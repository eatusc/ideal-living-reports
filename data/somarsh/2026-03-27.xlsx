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2026 - Performance Report" sheetId="2" r:id="rId6"/>
    <sheet state="visible" name="2025 - Performance Report" sheetId="3" r:id="rId7"/>
    <sheet state="visible" name="2024 - Performance Report" sheetId="4" r:id="rId8"/>
    <sheet state="visible" name="2025 - Ad Tests" sheetId="5" r:id="rId9"/>
  </sheets>
  <definedNames/>
  <calcPr/>
</workbook>
</file>

<file path=xl/sharedStrings.xml><?xml version="1.0" encoding="utf-8"?>
<sst xmlns="http://schemas.openxmlformats.org/spreadsheetml/2006/main" count="292" uniqueCount="199">
  <si>
    <t>https://sellercentral.amazon.com/business-reports/ref=xx_sitemetric_dnav_xx#/report?id=102%3ADetailSalesTrafficByTime&amp;chartCols=17&amp;columns=0%2F1%2F2%2F3%2F4%2F5%2F6%2F17%2F18%2F23%2F24%2F25%2F26%2F29%2F30%2F31%2F32</t>
  </si>
  <si>
    <t>- SALES (note SALES = **Ordered Product Sales** on Sales Performance Report spreadsheet)</t>
  </si>
  <si>
    <t>- UNITS SOLD (note UNITS SOLD = **Units Ordered** on Sales Performance Report spreadsheet)</t>
  </si>
  <si>
    <t>- ORDERED ITEMS (note ORDERED ITEMS = **Total Order Items** on Sales Performance Report spreadsheet)</t>
  </si>
  <si>
    <t>- SESSIONS (SESSIONS **traffic = Sessions - Total** on Sales Performance Report spreadsheet)</t>
  </si>
  <si>
    <t>Buiness Report &gt; Detail Sales</t>
  </si>
  <si>
    <t>Southern Marsh</t>
  </si>
  <si>
    <t>Total Sales</t>
  </si>
  <si>
    <t>Total Orders</t>
  </si>
  <si>
    <t>Total Units Sold</t>
  </si>
  <si>
    <t>Advertising Sales</t>
  </si>
  <si>
    <t>Advertising Cost</t>
  </si>
  <si>
    <t>ACoS</t>
  </si>
  <si>
    <t>SALES METRICS</t>
  </si>
  <si>
    <t xml:space="preserve">ADVERTISING PERFORMANCE </t>
  </si>
  <si>
    <t>WOW</t>
  </si>
  <si>
    <t>MONTH 
CODE</t>
  </si>
  <si>
    <t>DATE</t>
  </si>
  <si>
    <t>SALES</t>
  </si>
  <si>
    <t>UNITS SOLD</t>
  </si>
  <si>
    <t>ORDERS</t>
  </si>
  <si>
    <t>UNITS PER ORDER</t>
  </si>
  <si>
    <t>$$ PER 
ORDER</t>
  </si>
  <si>
    <t>AVE SALES 
PRICE</t>
  </si>
  <si>
    <t>SESSIONS (traffic)</t>
  </si>
  <si>
    <t>SALE PER SESSION (conversion)</t>
  </si>
  <si>
    <t>SP AD SPEND</t>
  </si>
  <si>
    <t>AD SALES</t>
  </si>
  <si>
    <t>UNIT SALES</t>
  </si>
  <si>
    <t>IMPRESSIONS</t>
  </si>
  <si>
    <t>ROAS (return on ad spend)</t>
  </si>
  <si>
    <t>REVENUE PERCENTAGE OF AD SALES</t>
  </si>
  <si>
    <t>UNITS</t>
  </si>
  <si>
    <t>2025 - Week 52</t>
  </si>
  <si>
    <t>2026 - Week 1</t>
  </si>
  <si>
    <t>2026 - Week 2</t>
  </si>
  <si>
    <t>2026 - Week 3</t>
  </si>
  <si>
    <t>2026 - Week 4</t>
  </si>
  <si>
    <t>2026 - Week 5</t>
  </si>
  <si>
    <t>2026 - Week 6</t>
  </si>
  <si>
    <t>2026 - Week 7</t>
  </si>
  <si>
    <t>2026 - Week 8</t>
  </si>
  <si>
    <t>2026 - Week 9</t>
  </si>
  <si>
    <t>2026 - Week 10</t>
  </si>
  <si>
    <t>Previous Week</t>
  </si>
  <si>
    <t>Current Week</t>
  </si>
  <si>
    <t>2024 - Week 52</t>
  </si>
  <si>
    <t>2025 - Week 1</t>
  </si>
  <si>
    <t>2025 - Week 2</t>
  </si>
  <si>
    <t>2025 - Week 3</t>
  </si>
  <si>
    <t>2025 - Week 4</t>
  </si>
  <si>
    <t>2025 - Week 5</t>
  </si>
  <si>
    <t>2025 - Week 6</t>
  </si>
  <si>
    <t>2025 - Week 7</t>
  </si>
  <si>
    <t>2025 - Week 8</t>
  </si>
  <si>
    <t>2025 - Week 9</t>
  </si>
  <si>
    <t>2025 - Week 10</t>
  </si>
  <si>
    <t>2025 - Week 11</t>
  </si>
  <si>
    <t>2025 - Week 12</t>
  </si>
  <si>
    <t>2025 - Week 13</t>
  </si>
  <si>
    <t>2025 - Week 14</t>
  </si>
  <si>
    <t>2025 - Week 15</t>
  </si>
  <si>
    <t>2025 - Week 16</t>
  </si>
  <si>
    <t>2025 - Week 17</t>
  </si>
  <si>
    <t>2025 - Week 18</t>
  </si>
  <si>
    <t>2025 - Week 19</t>
  </si>
  <si>
    <t>2025 - Week 20</t>
  </si>
  <si>
    <t>2025 - Week 21</t>
  </si>
  <si>
    <t>2025 - Week 22</t>
  </si>
  <si>
    <t>2025 - Week 23</t>
  </si>
  <si>
    <t>2025 - Week 24</t>
  </si>
  <si>
    <t>2025 - Week 25</t>
  </si>
  <si>
    <t>2025 - Week 26</t>
  </si>
  <si>
    <t>2025 - Week 27</t>
  </si>
  <si>
    <t>2025 - Week 28</t>
  </si>
  <si>
    <t>2025 - Week 29</t>
  </si>
  <si>
    <t>2025 - Week 30</t>
  </si>
  <si>
    <t>2025 - Week 31</t>
  </si>
  <si>
    <t>2025 - Week 32</t>
  </si>
  <si>
    <t>2025 - Week 33</t>
  </si>
  <si>
    <t>2025 - Week 34</t>
  </si>
  <si>
    <t>2025 - Week 35</t>
  </si>
  <si>
    <t>2025 - Week 36</t>
  </si>
  <si>
    <t>2025 - Week 37</t>
  </si>
  <si>
    <t>2025 - Week 38</t>
  </si>
  <si>
    <t>2025 - Week 39</t>
  </si>
  <si>
    <t>2025 - Week 40</t>
  </si>
  <si>
    <t>2025 - Week 41</t>
  </si>
  <si>
    <t>2025 - Week 42</t>
  </si>
  <si>
    <t>2025 - Week 43</t>
  </si>
  <si>
    <t>2025 - Week 44</t>
  </si>
  <si>
    <t>2025 - Week 45</t>
  </si>
  <si>
    <t>2025 - Week 46</t>
  </si>
  <si>
    <t>2025 - Week 47</t>
  </si>
  <si>
    <t>2025 - Week 48</t>
  </si>
  <si>
    <t>2025 - Week 49</t>
  </si>
  <si>
    <t>2025 - Week 50</t>
  </si>
  <si>
    <t>2025 - Week 51</t>
  </si>
  <si>
    <t>2024 - Week 02</t>
  </si>
  <si>
    <t>2024 - Week 03</t>
  </si>
  <si>
    <t>2024 - Week 04</t>
  </si>
  <si>
    <t>2024 - Week 05</t>
  </si>
  <si>
    <t>2024 - Week 06</t>
  </si>
  <si>
    <t>2024 - Week 07</t>
  </si>
  <si>
    <t>2024 - Week 08</t>
  </si>
  <si>
    <t>2024 - Week 09</t>
  </si>
  <si>
    <t>2024 - Week 10</t>
  </si>
  <si>
    <t>2024 - Week 11</t>
  </si>
  <si>
    <t>2024 - Week 12</t>
  </si>
  <si>
    <t>2024 - Week 13</t>
  </si>
  <si>
    <t>2024 - Week 14</t>
  </si>
  <si>
    <t>2024 - Week 15</t>
  </si>
  <si>
    <t>2024 - Week 16</t>
  </si>
  <si>
    <t>2024 - Week 17</t>
  </si>
  <si>
    <t>2024 - Week 18</t>
  </si>
  <si>
    <t>2024 - Week 19</t>
  </si>
  <si>
    <t>2024 - Week 20</t>
  </si>
  <si>
    <t>2024 - Week 21</t>
  </si>
  <si>
    <t>2024 - Week 22</t>
  </si>
  <si>
    <t>2024 - Week 23</t>
  </si>
  <si>
    <t>2024 - Week 24</t>
  </si>
  <si>
    <t>2024 - Week 25</t>
  </si>
  <si>
    <t>2024 - Week 26</t>
  </si>
  <si>
    <t>2024 - Week 27</t>
  </si>
  <si>
    <t>2024 - Week 28</t>
  </si>
  <si>
    <t>2024 - Week 29</t>
  </si>
  <si>
    <t>2024 - Week 30</t>
  </si>
  <si>
    <t>2024 - Week 31</t>
  </si>
  <si>
    <t>2024 - Week 32</t>
  </si>
  <si>
    <t>2024 - Week 33</t>
  </si>
  <si>
    <t>2024 - Week 34</t>
  </si>
  <si>
    <t>2024 - Week 35</t>
  </si>
  <si>
    <t>2024 - Week 36</t>
  </si>
  <si>
    <t>2024 - Week 37</t>
  </si>
  <si>
    <t>2024 - Week 38</t>
  </si>
  <si>
    <t>2024 - Week 39</t>
  </si>
  <si>
    <t>2024 - Week 40</t>
  </si>
  <si>
    <t>2024 - Week 41</t>
  </si>
  <si>
    <t>2024 - Week 42</t>
  </si>
  <si>
    <t>2024 - Week 43</t>
  </si>
  <si>
    <t>2024 - Week 44</t>
  </si>
  <si>
    <t>2024 - Week 45</t>
  </si>
  <si>
    <t>2024 - Week 46</t>
  </si>
  <si>
    <t>2024 - Week 47</t>
  </si>
  <si>
    <t>2024 - Week 48</t>
  </si>
  <si>
    <t>2024 - Week 49</t>
  </si>
  <si>
    <t>2024 - Week 50</t>
  </si>
  <si>
    <t>2024 - Week 51</t>
  </si>
  <si>
    <t>Test Description</t>
  </si>
  <si>
    <t>Related Campaigns</t>
  </si>
  <si>
    <t>Start Date</t>
  </si>
  <si>
    <t>End Date</t>
  </si>
  <si>
    <t>Base Data</t>
  </si>
  <si>
    <t>Changes</t>
  </si>
  <si>
    <t>Additional Notes</t>
  </si>
  <si>
    <t>Result Set 1</t>
  </si>
  <si>
    <t>Result Set 2</t>
  </si>
  <si>
    <t>Result Set 3</t>
  </si>
  <si>
    <t>Result Set 4</t>
  </si>
  <si>
    <t>Significatly increasing bids on "high order" campaigns</t>
  </si>
  <si>
    <t>Unloved_09_29_20
Prospecting - Tees - SS
UB - Youth - SP/PT - SS Tees - Expanded
Prospecting - Bottoms - Swim Shorts</t>
  </si>
  <si>
    <r>
      <rPr>
        <rFont val="Arial"/>
        <b/>
        <color theme="1"/>
        <sz val="9.0"/>
      </rPr>
      <t xml:space="preserve">03/18 - 03/25 (Sales / ACOS)
</t>
    </r>
    <r>
      <rPr>
        <rFont val="Arial"/>
        <color theme="1"/>
        <sz val="9.0"/>
      </rPr>
      <t xml:space="preserve">Unloved_09_29_20 </t>
    </r>
    <r>
      <rPr>
        <rFont val="Arial"/>
        <b/>
        <color theme="1"/>
        <sz val="9.0"/>
      </rPr>
      <t>(3,235 / 7.88%)</t>
    </r>
    <r>
      <rPr>
        <rFont val="Arial"/>
        <color theme="1"/>
        <sz val="9.0"/>
      </rPr>
      <t xml:space="preserve">
Prospecting - Tees - SS </t>
    </r>
    <r>
      <rPr>
        <rFont val="Arial"/>
        <b/>
        <color theme="1"/>
        <sz val="9.0"/>
      </rPr>
      <t>(1,226 / 9.31%)</t>
    </r>
    <r>
      <rPr>
        <rFont val="Arial"/>
        <color theme="1"/>
        <sz val="9.0"/>
      </rPr>
      <t xml:space="preserve">
UB - Youth - SP/PT - SS Tees - Expanded </t>
    </r>
    <r>
      <rPr>
        <rFont val="Arial"/>
        <b/>
        <color theme="1"/>
        <sz val="9.0"/>
      </rPr>
      <t>(510 / 6.46%)</t>
    </r>
    <r>
      <rPr>
        <rFont val="Arial"/>
        <color theme="1"/>
        <sz val="9.0"/>
      </rPr>
      <t xml:space="preserve">
Prospecting - Bottoms - Swim Shorts </t>
    </r>
    <r>
      <rPr>
        <rFont val="Arial"/>
        <b/>
        <color theme="1"/>
        <sz val="9.0"/>
      </rPr>
      <t>(404 / 3.89%)</t>
    </r>
  </si>
  <si>
    <t xml:space="preserve">Unloved 
- close 0.19 -&gt; 0.30
- comps 0.15 -&gt; 0.28
Prospecting Tees
- Subs 0.13 -&gt; 0.15
- Loose - 0.11 -&gt; 0.14
- Comps - 0.13 -&gt; 0.19
- Close - 0.11 -&gt; 0.20
UB - Youth
- 221 ASINs - 0.05 -&gt; 0.1
Prospecting Bottoms 
- 0.22 -&gt; 0.35
</t>
  </si>
  <si>
    <t>changes based on ACOS of that target</t>
  </si>
  <si>
    <r>
      <rPr>
        <rFont val="Arial"/>
        <b/>
        <color theme="1"/>
      </rPr>
      <t>03/26 - 03/31 (Sales / ACOS)</t>
    </r>
    <r>
      <rPr>
        <rFont val="Arial"/>
        <color theme="1"/>
      </rPr>
      <t xml:space="preserve">
Unloved_09_29_20 </t>
    </r>
    <r>
      <rPr>
        <rFont val="Arial"/>
        <b/>
        <color theme="1"/>
      </rPr>
      <t>(4,560 / 7.41%)</t>
    </r>
    <r>
      <rPr>
        <rFont val="Arial"/>
        <color theme="1"/>
      </rPr>
      <t xml:space="preserve">
Prospecting - Tees - SS </t>
    </r>
    <r>
      <rPr>
        <rFont val="Arial"/>
        <b/>
        <color theme="1"/>
      </rPr>
      <t>(1,930 / 9.99%)</t>
    </r>
    <r>
      <rPr>
        <rFont val="Arial"/>
        <color theme="1"/>
      </rPr>
      <t xml:space="preserve">
UB - Youth - SP/PT - SS Tees - Expanded </t>
    </r>
    <r>
      <rPr>
        <rFont val="Arial"/>
        <b/>
        <color theme="1"/>
      </rPr>
      <t>(110 / 15.76%)</t>
    </r>
    <r>
      <rPr>
        <rFont val="Arial"/>
        <color theme="1"/>
      </rPr>
      <t xml:space="preserve">
Prospecting - Bottoms - Swim Shorts </t>
    </r>
    <r>
      <rPr>
        <rFont val="Arial"/>
        <b/>
        <color theme="1"/>
      </rPr>
      <t>(139 / 55.01%)</t>
    </r>
  </si>
  <si>
    <r>
      <rPr>
        <rFont val="Arial"/>
        <b/>
        <color theme="1"/>
      </rPr>
      <t>04/01 - 04/07 (Sales / ACOS)</t>
    </r>
    <r>
      <rPr>
        <rFont val="Arial"/>
        <color theme="1"/>
      </rPr>
      <t xml:space="preserve">
Unloved_09_29_20 </t>
    </r>
    <r>
      <rPr>
        <rFont val="Arial"/>
        <b/>
        <color theme="1"/>
      </rPr>
      <t>(4,682 / 8.10%)</t>
    </r>
    <r>
      <rPr>
        <rFont val="Arial"/>
        <color theme="1"/>
      </rPr>
      <t xml:space="preserve">
Prospecting - Tees - SS </t>
    </r>
    <r>
      <rPr>
        <rFont val="Arial"/>
        <b/>
        <color theme="1"/>
      </rPr>
      <t>(1,475 / 12.69%)</t>
    </r>
    <r>
      <rPr>
        <rFont val="Arial"/>
        <color theme="1"/>
      </rPr>
      <t xml:space="preserve">
UB - Youth - SP/PT - SS Tees - Expanded </t>
    </r>
    <r>
      <rPr>
        <rFont val="Arial"/>
        <b/>
        <color theme="1"/>
      </rPr>
      <t>(0 / NA)</t>
    </r>
    <r>
      <rPr>
        <rFont val="Arial"/>
        <color theme="1"/>
      </rPr>
      <t xml:space="preserve">
Prospecting - Bottoms - Swim Shorts </t>
    </r>
    <r>
      <rPr>
        <rFont val="Arial"/>
        <b/>
        <color theme="1"/>
      </rPr>
      <t>(125 / 63.46%)</t>
    </r>
  </si>
  <si>
    <r>
      <rPr>
        <rFont val="Arial"/>
        <b/>
        <color theme="1"/>
      </rPr>
      <t>04/08 - 04/14 (Sales / ACOS)</t>
    </r>
    <r>
      <rPr>
        <rFont val="Arial"/>
        <color theme="1"/>
      </rPr>
      <t xml:space="preserve">
Unloved_09_29_20 </t>
    </r>
    <r>
      <rPr>
        <rFont val="Arial"/>
        <b/>
        <color theme="1"/>
      </rPr>
      <t>(3,394 / 10.50%)</t>
    </r>
    <r>
      <rPr>
        <rFont val="Arial"/>
        <color theme="1"/>
      </rPr>
      <t xml:space="preserve">
Prospecting - Tees - SS </t>
    </r>
    <r>
      <rPr>
        <rFont val="Arial"/>
        <b/>
        <color theme="1"/>
      </rPr>
      <t>(2,324 / 9.41%)</t>
    </r>
    <r>
      <rPr>
        <rFont val="Arial"/>
        <color theme="1"/>
      </rPr>
      <t xml:space="preserve">
UB - Youth - SP/PT - SS Tees - Expanded </t>
    </r>
    <r>
      <rPr>
        <rFont val="Arial"/>
        <b/>
        <color theme="1"/>
      </rPr>
      <t>(157 / 7.70%)</t>
    </r>
    <r>
      <rPr>
        <rFont val="Arial"/>
        <color theme="1"/>
      </rPr>
      <t xml:space="preserve">
Prospecting - Bottoms - Swim Shorts </t>
    </r>
    <r>
      <rPr>
        <rFont val="Arial"/>
        <b/>
        <color theme="1"/>
      </rPr>
      <t>(184.96 / 24.53%)</t>
    </r>
  </si>
  <si>
    <r>
      <rPr>
        <rFont val="Arial"/>
        <b/>
        <color theme="1"/>
      </rPr>
      <t>04/15 - 04/21 (Sales / ACOS)</t>
    </r>
    <r>
      <rPr>
        <rFont val="Arial"/>
        <color theme="1"/>
      </rPr>
      <t xml:space="preserve">
Unloved_09_29_20 </t>
    </r>
    <r>
      <rPr>
        <rFont val="Arial"/>
        <b/>
        <color theme="1"/>
      </rPr>
      <t>(2,214 / 13.40%)</t>
    </r>
    <r>
      <rPr>
        <rFont val="Arial"/>
        <color theme="1"/>
      </rPr>
      <t xml:space="preserve">
Prospecting - Tees - SS </t>
    </r>
    <r>
      <rPr>
        <rFont val="Arial"/>
        <b/>
        <color theme="1"/>
      </rPr>
      <t>(1,771 / 12.47%)</t>
    </r>
    <r>
      <rPr>
        <rFont val="Arial"/>
        <color theme="1"/>
      </rPr>
      <t xml:space="preserve">
UB - Youth - SP/PT - SS Tees - Expanded </t>
    </r>
    <r>
      <rPr>
        <rFont val="Arial"/>
        <b/>
        <color theme="1"/>
      </rPr>
      <t>(20 / 37.0%)</t>
    </r>
    <r>
      <rPr>
        <rFont val="Arial"/>
        <color theme="1"/>
      </rPr>
      <t xml:space="preserve">
Prospecting - Bottoms - Swim Shorts </t>
    </r>
    <r>
      <rPr>
        <rFont val="Arial"/>
        <b/>
        <color theme="1"/>
      </rPr>
      <t>(780 / 23.70%)</t>
    </r>
  </si>
  <si>
    <t>Significatly increasing bids on low ACOS categories</t>
  </si>
  <si>
    <t>UB - Bottoms - SP/PT - Category - Mens Swim Trunks
UB - Tops - SP/PT - Category - Mens Polo Shirts</t>
  </si>
  <si>
    <r>
      <rPr>
        <rFont val="Arial"/>
        <b/>
        <color theme="1"/>
        <sz val="9.0"/>
      </rPr>
      <t xml:space="preserve">03/18 - 03/25 (Sales / ACOS)
</t>
    </r>
    <r>
      <rPr>
        <rFont val="Arial"/>
        <color theme="1"/>
        <sz val="9.0"/>
      </rPr>
      <t xml:space="preserve">UB - Bottoms - SP/PT - Category - Mens Swim Trunks </t>
    </r>
    <r>
      <rPr>
        <rFont val="Arial"/>
        <b/>
        <color theme="1"/>
        <sz val="9.0"/>
      </rPr>
      <t>(149 / 0.91%)</t>
    </r>
    <r>
      <rPr>
        <rFont val="Arial"/>
        <color theme="1"/>
        <sz val="9.0"/>
      </rPr>
      <t xml:space="preserve">
UB - Tops - SP/PT - Category - Mens Polo Shirts</t>
    </r>
    <r>
      <rPr>
        <rFont val="Arial"/>
        <b/>
        <color theme="1"/>
        <sz val="9.0"/>
      </rPr>
      <t xml:space="preserve"> (55 / 1.89%)</t>
    </r>
  </si>
  <si>
    <t>0.28 -&gt; 0.5
0.26 -&gt; 0.5</t>
  </si>
  <si>
    <r>
      <rPr>
        <rFont val="Arial"/>
        <b/>
        <color theme="1"/>
      </rPr>
      <t>03/26 - 03/31 (Sales / ACOS)</t>
    </r>
    <r>
      <rPr>
        <rFont val="Arial"/>
        <color theme="1"/>
      </rPr>
      <t xml:space="preserve">
UB - Bottoms - SP/PT - Category - Mens Swim Trunks </t>
    </r>
    <r>
      <rPr>
        <rFont val="Arial"/>
        <b/>
        <color theme="1"/>
      </rPr>
      <t>(0 / NA)</t>
    </r>
    <r>
      <rPr>
        <rFont val="Arial"/>
        <color theme="1"/>
      </rPr>
      <t xml:space="preserve">
UB - Tops - SP/PT - Category - Mens Polo Shirts </t>
    </r>
    <r>
      <rPr>
        <rFont val="Arial"/>
        <b/>
        <color theme="1"/>
      </rPr>
      <t>(130 / 20.38%)</t>
    </r>
  </si>
  <si>
    <r>
      <rPr>
        <rFont val="Arial"/>
        <b/>
        <color theme="1"/>
      </rPr>
      <t>04/01 - 04/07 (Sales / ACOS)</t>
    </r>
    <r>
      <rPr>
        <rFont val="Arial"/>
        <color theme="1"/>
      </rPr>
      <t xml:space="preserve">
UB - Bottoms - SP/PT - Category - Mens Swim Trunks </t>
    </r>
    <r>
      <rPr>
        <rFont val="Arial"/>
        <b/>
        <color theme="1"/>
      </rPr>
      <t>(0 / NA)</t>
    </r>
    <r>
      <rPr>
        <rFont val="Arial"/>
        <color theme="1"/>
      </rPr>
      <t xml:space="preserve">
UB - Tops - SP/PT - Category - Mens Polo Shirts </t>
    </r>
    <r>
      <rPr>
        <rFont val="Arial"/>
        <b/>
        <color theme="1"/>
      </rPr>
      <t xml:space="preserve">(35 / 93.43%)
</t>
    </r>
    <r>
      <rPr>
        <rFont val="Arial"/>
        <b/>
        <color rgb="FFC27BA0"/>
      </rPr>
      <t>Lowered Tops bid from 0.50 -&gt; 0.35
Upped Bottoms to 0.50</t>
    </r>
  </si>
  <si>
    <r>
      <rPr>
        <rFont val="Arial"/>
        <b/>
        <color theme="1"/>
      </rPr>
      <t>04/08 - 04/14 (Sales / ACOS)</t>
    </r>
    <r>
      <rPr>
        <rFont val="Arial"/>
        <color theme="1"/>
      </rPr>
      <t xml:space="preserve">
UB - Bottoms - SP/PT - Category - Mens Swim Trunks </t>
    </r>
    <r>
      <rPr>
        <rFont val="Arial"/>
        <b/>
        <color theme="1"/>
      </rPr>
      <t>(175 / 29.06%)</t>
    </r>
    <r>
      <rPr>
        <rFont val="Arial"/>
        <color theme="1"/>
      </rPr>
      <t xml:space="preserve">
UB - Tops - SP/PT - Category - Mens Polo Shirts </t>
    </r>
    <r>
      <rPr>
        <rFont val="Arial"/>
        <b/>
        <color theme="1"/>
      </rPr>
      <t>(0 /NA)</t>
    </r>
  </si>
  <si>
    <r>
      <rPr>
        <rFont val="Arial"/>
        <b/>
        <color theme="1"/>
      </rPr>
      <t>04/15 - 04/21 (Sales / ACOS)</t>
    </r>
    <r>
      <rPr>
        <rFont val="Arial"/>
        <color theme="1"/>
      </rPr>
      <t xml:space="preserve">
UB - Bottoms - SP/PT - Category - Mens Swim Trunks </t>
    </r>
    <r>
      <rPr>
        <rFont val="Arial"/>
        <b/>
        <color theme="1"/>
      </rPr>
      <t>(240 / 31.65%)</t>
    </r>
    <r>
      <rPr>
        <rFont val="Arial"/>
        <color theme="1"/>
      </rPr>
      <t xml:space="preserve">
UB - Tops - SP/PT - Category - Mens Polo Shirts </t>
    </r>
    <r>
      <rPr>
        <rFont val="Arial"/>
        <b/>
        <color theme="1"/>
      </rPr>
      <t>(110/13.82%)</t>
    </r>
  </si>
  <si>
    <t>Large increase in bids in order to gain traction on Swim Shorts</t>
  </si>
  <si>
    <t>UB - SB - Keywords - Swim Shorts
UB - SB - Keywords - Youth Swim Shorts</t>
  </si>
  <si>
    <r>
      <rPr>
        <rFont val="Arial"/>
        <b/>
        <color theme="1"/>
        <sz val="9.0"/>
      </rPr>
      <t xml:space="preserve">03/26 - 03/31 (Sales / ACOS)
</t>
    </r>
    <r>
      <rPr>
        <rFont val="Arial"/>
        <color theme="1"/>
        <sz val="9.0"/>
      </rPr>
      <t>UB - SB - Keywords - Swim Shorts (35 / 11.11%)
UB - SB - Keywords - Youth Swim Shorts (0 / 0)</t>
    </r>
  </si>
  <si>
    <t>youth: 0.15 -&gt; 0.25
standard: 0.16 - 0.20 -&gt; 0.25</t>
  </si>
  <si>
    <r>
      <rPr>
        <rFont val="Arial"/>
        <b/>
        <color theme="1"/>
        <sz val="9.0"/>
      </rPr>
      <t xml:space="preserve">04/01 - 04/07 (Sales / ACOS)
</t>
    </r>
    <r>
      <rPr>
        <rFont val="Arial"/>
        <color theme="1"/>
        <sz val="9.0"/>
      </rPr>
      <t xml:space="preserve">UB - SB - Keywords - Swim Shorts </t>
    </r>
    <r>
      <rPr>
        <rFont val="Arial"/>
        <b/>
        <color theme="1"/>
        <sz val="9.0"/>
      </rPr>
      <t>(130 / 12.70%)</t>
    </r>
    <r>
      <rPr>
        <rFont val="Arial"/>
        <color theme="1"/>
        <sz val="9.0"/>
      </rPr>
      <t xml:space="preserve">
UB - SB - Keywords - Youth Swim Shorts </t>
    </r>
    <r>
      <rPr>
        <rFont val="Arial"/>
        <b/>
        <color theme="1"/>
        <sz val="9.0"/>
      </rPr>
      <t>(155 / 4.79%)</t>
    </r>
  </si>
  <si>
    <r>
      <rPr>
        <rFont val="Arial"/>
        <b/>
        <color theme="1"/>
      </rPr>
      <t>04/08 - 04/14 (Sales / ACOS)</t>
    </r>
    <r>
      <rPr>
        <rFont val="Arial"/>
        <color theme="1"/>
      </rPr>
      <t xml:space="preserve">
UB - SB - Keywords - Swim Shorts </t>
    </r>
    <r>
      <rPr>
        <rFont val="Arial"/>
        <b/>
        <color theme="1"/>
      </rPr>
      <t>(260 / 10.47%)</t>
    </r>
    <r>
      <rPr>
        <rFont val="Arial"/>
        <color theme="1"/>
      </rPr>
      <t xml:space="preserve">
UB - SB - Keywords - Youth Swim Shorts </t>
    </r>
    <r>
      <rPr>
        <rFont val="Arial"/>
        <b/>
        <color theme="1"/>
      </rPr>
      <t>(255 / 10.39%)</t>
    </r>
  </si>
  <si>
    <r>
      <rPr>
        <rFont val="Arial"/>
        <b/>
        <color theme="1"/>
      </rPr>
      <t>04/15 - 04/21 (Sales / ACOS)</t>
    </r>
    <r>
      <rPr>
        <rFont val="Arial"/>
        <color theme="1"/>
      </rPr>
      <t xml:space="preserve">
UB - SB - Keywords - Swim Shorts </t>
    </r>
    <r>
      <rPr>
        <rFont val="Arial"/>
        <b/>
        <color theme="1"/>
      </rPr>
      <t>(1,017 / 3.09%)</t>
    </r>
    <r>
      <rPr>
        <rFont val="Arial"/>
        <color theme="1"/>
      </rPr>
      <t xml:space="preserve">
UB - SB - Keywords - Youth Swim Shorts </t>
    </r>
    <r>
      <rPr>
        <rFont val="Arial"/>
        <b/>
        <color theme="1"/>
      </rPr>
      <t>(0 / NA)</t>
    </r>
  </si>
  <si>
    <t>Added 47 top selling products in its own  campaign with higher bid of 0.20 (Temporary Campaign)</t>
  </si>
  <si>
    <t>Prospecting - Top 50 ASINs 30 Days - All</t>
  </si>
  <si>
    <t>7+ Days</t>
  </si>
  <si>
    <t xml:space="preserve">Resulted in 20% ACOS. Lowered </t>
  </si>
  <si>
    <t>close/complements from 0.20 to 0.17 on 04/07</t>
  </si>
  <si>
    <t>0.20 cents - will observe for a week while adjusting bids when necessary</t>
  </si>
  <si>
    <r>
      <rPr>
        <rFont val="Arial"/>
        <b/>
        <color theme="1"/>
        <sz val="9.0"/>
      </rPr>
      <t xml:space="preserve">04/01 - 04/07 (Sales / ACOS)
</t>
    </r>
    <r>
      <rPr>
        <rFont val="Arial"/>
        <color theme="1"/>
        <sz val="9.0"/>
      </rPr>
      <t xml:space="preserve">Prospecting - Top 50 ASINs 30 Days - All </t>
    </r>
    <r>
      <rPr>
        <rFont val="Arial"/>
        <b/>
        <color theme="1"/>
        <sz val="9.0"/>
      </rPr>
      <t xml:space="preserve">(1,292 / 17.93%)
</t>
    </r>
    <r>
      <rPr>
        <rFont val="Arial"/>
        <b/>
        <color rgb="FFC27BA0"/>
        <sz val="9.0"/>
      </rPr>
      <t>Paused Test on 04/12 - ACOS above client threshold</t>
    </r>
  </si>
  <si>
    <r>
      <rPr>
        <rFont val="Arial"/>
        <b/>
        <color theme="1"/>
      </rPr>
      <t>04/08 - 04/11(Sales / ACOS)</t>
    </r>
    <r>
      <rPr>
        <rFont val="Arial"/>
        <color theme="1"/>
      </rPr>
      <t xml:space="preserve">
Prospecting - Top 50 ASINs 30 Days - All </t>
    </r>
    <r>
      <rPr>
        <rFont val="Arial"/>
        <b/>
        <color theme="1"/>
      </rPr>
      <t>(745 / 12.43%)</t>
    </r>
  </si>
  <si>
    <t>Test Stopped</t>
  </si>
  <si>
    <t>Added 22 top selling products (Low ACOS &lt;= 5%) in its own campaign with higher bid of 0.20 (Temporary Campaign)</t>
  </si>
  <si>
    <t>Prospecting - Top 22 ASINs - Low ACOS - 30 Days - All</t>
  </si>
  <si>
    <t>Resulted in being top campaign in sales. 04/13 - 04/19 - 5,951.00 (9.15%) ACOS</t>
  </si>
  <si>
    <t>Continuing to monitor to maintain close to 10% ACOS</t>
  </si>
  <si>
    <t>04/12 - Low ACOS - Raised to 0.23</t>
  </si>
  <si>
    <r>
      <rPr>
        <rFont val="Arial"/>
        <b/>
        <color theme="1"/>
      </rPr>
      <t>04/08 - 04/14 (Sales / ACOS)</t>
    </r>
    <r>
      <rPr>
        <rFont val="Arial"/>
        <color theme="1"/>
      </rPr>
      <t xml:space="preserve">
Prospecting - Top 22 ASINs - Low ACOS - 30 Days - All </t>
    </r>
    <r>
      <rPr>
        <rFont val="Arial"/>
        <b/>
        <color theme="1"/>
      </rPr>
      <t>(3,661 / 5.80%)</t>
    </r>
  </si>
  <si>
    <r>
      <rPr>
        <rFont val="Arial"/>
        <b/>
        <color theme="1"/>
      </rPr>
      <t>04/15 - 04/21 (Sales / ACOS)</t>
    </r>
    <r>
      <rPr>
        <rFont val="Arial"/>
        <color theme="1"/>
      </rPr>
      <t xml:space="preserve">
Prospecting - Top 22 ASINs - Low ACOS - 30 Days - All </t>
    </r>
    <r>
      <rPr>
        <rFont val="Arial"/>
        <b/>
        <color theme="1"/>
      </rPr>
      <t>(5,081 / 11.35%)</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</si>
</sst>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
    <numFmt numFmtId="165" formatCode="m/d/yyyy"/>
    <numFmt numFmtId="166" formatCode="&quot;$&quot;#,##0.00"/>
    <numFmt numFmtId="167" formatCode="mm/dd/yyyy"/>
  </numFmts>
  <fonts count="18">
    <font>
      <sz val="10.0"/>
      <color rgb="FF000000"/>
      <name val="Arial"/>
      <scheme val="minor"/>
    </font>
    <font>
      <u/>
      <color rgb="FF1155CC"/>
      <name val="Arial"/>
    </font>
    <font>
      <color theme="1"/>
      <name val="Arial"/>
    </font>
    <font>
      <u/>
      <color rgb="FF0000FF"/>
      <name val="Calibri"/>
    </font>
    <font/>
    <font>
      <color theme="1"/>
      <name val="Arial"/>
      <scheme val="minor"/>
    </font>
    <font>
      <b/>
      <sz val="23.0"/>
      <color theme="1"/>
      <name val="Calibri"/>
    </font>
    <font>
      <sz val="12.0"/>
      <color rgb="FF757171"/>
      <name val="Calibri"/>
    </font>
    <font>
      <b/>
      <sz val="14.0"/>
      <color theme="1"/>
      <name val="Calibri"/>
    </font>
    <font>
      <b/>
      <color rgb="FF6AA84F"/>
      <name val="Calibri"/>
    </font>
    <font>
      <b/>
      <color rgb="FFCC0000"/>
      <name val="Calibri"/>
    </font>
    <font>
      <b/>
      <color rgb="FF008000"/>
      <name val="Calibri"/>
    </font>
    <font>
      <b/>
      <color theme="1"/>
      <name val="Calibri"/>
    </font>
    <font>
      <color theme="1"/>
      <name val="Calibri"/>
    </font>
    <font>
      <b/>
      <sz val="10.0"/>
      <color theme="1"/>
      <name val="Calibri"/>
    </font>
    <font>
      <b/>
      <color theme="1"/>
      <name val="Arial"/>
    </font>
    <font>
      <sz val="9.0"/>
      <color theme="1"/>
      <name val="Arial"/>
    </font>
    <font>
      <sz val="9.0"/>
      <color theme="1"/>
      <name val="Arial"/>
      <scheme val="minor"/>
    </font>
  </fonts>
  <fills count="7">
    <fill>
      <patternFill patternType="none"/>
    </fill>
    <fill>
      <patternFill patternType="lightGray"/>
    </fill>
    <fill>
      <patternFill patternType="solid">
        <fgColor rgb="FFF9CB9C"/>
        <bgColor rgb="FFF9CB9C"/>
      </patternFill>
    </fill>
    <fill>
      <patternFill patternType="solid">
        <fgColor rgb="FFB7E1CD"/>
        <bgColor rgb="FFB7E1CD"/>
      </patternFill>
    </fill>
    <fill>
      <patternFill patternType="solid">
        <fgColor rgb="FFFFFFFF"/>
        <bgColor rgb="FFFFFFFF"/>
      </patternFill>
    </fill>
    <fill>
      <patternFill patternType="solid">
        <fgColor rgb="FFEFEFEF"/>
        <bgColor rgb="FFEFEFEF"/>
      </patternFill>
    </fill>
    <fill>
      <patternFill patternType="solid">
        <fgColor rgb="FFD9EAD3"/>
        <bgColor rgb="FFD9EAD3"/>
      </patternFill>
    </fill>
  </fills>
  <borders count="15">
    <border/>
    <border>
      <left style="thin">
        <color rgb="FFFFFFFF"/>
      </left>
      <top style="thin">
        <color rgb="FFFFFFFF"/>
      </top>
      <bottom style="thin">
        <color rgb="FFFFFFFF"/>
      </bottom>
    </border>
    <border>
      <right style="thin">
        <color rgb="FFFFFFFF"/>
      </right>
      <top style="thin">
        <color rgb="FFFFFFFF"/>
      </top>
      <bottom style="thin">
        <color rgb="FFFFFFFF"/>
      </bottom>
    </border>
    <border>
      <bottom style="thin">
        <color rgb="FFFFFFFF"/>
      </bottom>
    </border>
    <border>
      <right style="thin">
        <color rgb="FFFFFFFF"/>
      </right>
      <bottom style="thin">
        <color rgb="FFFFFFFF"/>
      </bottom>
    </border>
    <border>
      <bottom style="thin">
        <color rgb="FF000000"/>
      </bottom>
    </border>
    <border>
      <right style="thin">
        <color rgb="FFFFFFFF"/>
      </right>
      <bottom style="thin">
        <color rgb="FF000000"/>
      </bottom>
    </border>
    <border>
      <left style="thin">
        <color rgb="FF000000"/>
      </left>
      <right style="thin">
        <color rgb="FFFFFFFF"/>
      </right>
      <bottom style="thin">
        <color rgb="FFFFFFFF"/>
      </bottom>
    </border>
    <border>
      <right style="thin">
        <color rgb="FF000000"/>
      </right>
      <bottom style="thin">
        <color rgb="FFFFFFFF"/>
      </bottom>
    </border>
    <border>
      <left style="thin">
        <color rgb="FF000000"/>
      </left>
      <right style="thin">
        <color rgb="FFFFFFFF"/>
      </right>
      <bottom style="thin">
        <color rgb="FF000000"/>
      </bottom>
    </border>
    <border>
      <right style="thin">
        <color rgb="FF000000"/>
      </right>
      <bottom style="thin">
        <color rgb="FF000000"/>
      </bottom>
    </border>
    <border>
      <right style="thin">
        <color rgb="FFFFFFFF"/>
      </right>
      <top style="thin">
        <color rgb="FFFFFFFF"/>
      </top>
    </border>
    <border>
      <top style="thin">
        <color rgb="FFFFFFFF"/>
      </top>
      <bottom style="thin">
        <color rgb="FFFFFFFF"/>
      </bottom>
    </border>
    <border>
      <right style="thin">
        <color rgb="FF000000"/>
      </right>
      <top style="thin">
        <color rgb="FFFFFFFF"/>
      </top>
      <bottom style="thin">
        <color rgb="FFFFFFFF"/>
      </bottom>
    </border>
    <border>
      <right style="thin">
        <color rgb="FFFFFFFF"/>
      </right>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vertical="bottom"/>
    </xf>
    <xf borderId="1" fillId="2" fontId="3" numFmtId="0" xfId="0" applyAlignment="1" applyBorder="1" applyFill="1" applyFont="1">
      <alignment horizontal="left" readingOrder="0" vertical="bottom"/>
    </xf>
    <xf borderId="2" fillId="0" fontId="4" numFmtId="0" xfId="0" applyBorder="1" applyFont="1"/>
    <xf borderId="2" fillId="0" fontId="2" numFmtId="0" xfId="0" applyAlignment="1" applyBorder="1" applyFont="1">
      <alignment horizontal="left" vertical="bottom"/>
    </xf>
    <xf borderId="0" fillId="0" fontId="2" numFmtId="0" xfId="0" applyAlignment="1" applyFont="1">
      <alignment horizontal="left" vertical="bottom"/>
    </xf>
    <xf borderId="0" fillId="0" fontId="5" numFmtId="0" xfId="0" applyAlignment="1" applyFont="1">
      <alignment horizontal="left"/>
    </xf>
    <xf borderId="3" fillId="3" fontId="6" numFmtId="0" xfId="0" applyAlignment="1" applyBorder="1" applyFill="1" applyFont="1">
      <alignment horizontal="left" readingOrder="0" vertical="bottom"/>
    </xf>
    <xf borderId="3" fillId="0" fontId="4" numFmtId="0" xfId="0" applyBorder="1" applyFont="1"/>
    <xf borderId="4" fillId="0" fontId="4" numFmtId="0" xfId="0" applyBorder="1" applyFont="1"/>
    <xf borderId="3" fillId="0" fontId="7" numFmtId="0" xfId="0" applyAlignment="1" applyBorder="1" applyFont="1">
      <alignment horizontal="left" vertical="bottom"/>
    </xf>
    <xf borderId="4" fillId="0" fontId="2" numFmtId="0" xfId="0" applyAlignment="1" applyBorder="1" applyFont="1">
      <alignment horizontal="left" vertical="bottom"/>
    </xf>
    <xf borderId="3" fillId="0" fontId="8" numFmtId="164" xfId="0" applyAlignment="1" applyBorder="1" applyFont="1" applyNumberFormat="1">
      <alignment horizontal="left" vertical="bottom"/>
    </xf>
    <xf borderId="3" fillId="0" fontId="8" numFmtId="0" xfId="0" applyAlignment="1" applyBorder="1" applyFont="1">
      <alignment horizontal="left" vertical="bottom"/>
    </xf>
    <xf borderId="3" fillId="4" fontId="9" numFmtId="10" xfId="0" applyAlignment="1" applyBorder="1" applyFill="1" applyFont="1" applyNumberFormat="1">
      <alignment horizontal="left" vertical="bottom"/>
    </xf>
    <xf borderId="3" fillId="0" fontId="2" numFmtId="0" xfId="0" applyAlignment="1" applyBorder="1" applyFont="1">
      <alignment horizontal="left" vertical="bottom"/>
    </xf>
    <xf borderId="3" fillId="0" fontId="8" numFmtId="10" xfId="0" applyAlignment="1" applyBorder="1" applyFont="1" applyNumberFormat="1">
      <alignment horizontal="left" vertical="bottom"/>
    </xf>
    <xf borderId="5" fillId="0" fontId="4" numFmtId="0" xfId="0" applyBorder="1" applyFont="1"/>
    <xf borderId="5" fillId="4" fontId="9" numFmtId="10" xfId="0" applyAlignment="1" applyBorder="1" applyFont="1" applyNumberFormat="1">
      <alignment horizontal="left" vertical="bottom"/>
    </xf>
    <xf borderId="6" fillId="0" fontId="4" numFmtId="0" xfId="0" applyBorder="1" applyFont="1"/>
    <xf borderId="5" fillId="4" fontId="10" numFmtId="10" xfId="0" applyAlignment="1" applyBorder="1" applyFont="1" applyNumberFormat="1">
      <alignment horizontal="left" vertical="bottom"/>
    </xf>
    <xf borderId="5" fillId="0" fontId="11" numFmtId="10" xfId="0" applyAlignment="1" applyBorder="1" applyFont="1" applyNumberFormat="1">
      <alignment horizontal="left" vertical="bottom"/>
    </xf>
    <xf borderId="6" fillId="0" fontId="2" numFmtId="0" xfId="0" applyAlignment="1" applyBorder="1" applyFont="1">
      <alignment horizontal="left" vertical="bottom"/>
    </xf>
    <xf borderId="7" fillId="0" fontId="2" numFmtId="0" xfId="0" applyAlignment="1" applyBorder="1" applyFont="1">
      <alignment horizontal="left" vertical="bottom"/>
    </xf>
    <xf borderId="8" fillId="0" fontId="2" numFmtId="0" xfId="0" applyAlignment="1" applyBorder="1" applyFont="1">
      <alignment horizontal="left" vertical="bottom"/>
    </xf>
    <xf borderId="8" fillId="0" fontId="4" numFmtId="0" xfId="0" applyBorder="1" applyFont="1"/>
    <xf borderId="3" fillId="0" fontId="8" numFmtId="0" xfId="0" applyAlignment="1" applyBorder="1" applyFont="1">
      <alignment horizontal="left" shrinkToFit="0" vertical="bottom" wrapText="1"/>
    </xf>
    <xf borderId="9" fillId="0" fontId="12" numFmtId="0" xfId="0" applyAlignment="1" applyBorder="1" applyFont="1">
      <alignment horizontal="left" shrinkToFit="0" vertical="bottom" wrapText="1"/>
    </xf>
    <xf borderId="10" fillId="0" fontId="12" numFmtId="0" xfId="0" applyAlignment="1" applyBorder="1" applyFont="1">
      <alignment horizontal="left" shrinkToFit="0" vertical="bottom" wrapText="1"/>
    </xf>
    <xf borderId="10" fillId="0" fontId="2" numFmtId="0" xfId="0" applyAlignment="1" applyBorder="1" applyFont="1">
      <alignment horizontal="left" vertical="bottom"/>
    </xf>
    <xf borderId="6" fillId="0" fontId="12" numFmtId="0" xfId="0" applyAlignment="1" applyBorder="1" applyFont="1">
      <alignment horizontal="left" shrinkToFit="0" vertical="bottom" wrapText="1"/>
    </xf>
    <xf borderId="5" fillId="0" fontId="12" numFmtId="0" xfId="0" applyAlignment="1" applyBorder="1" applyFont="1">
      <alignment horizontal="left" shrinkToFit="0" vertical="bottom" wrapText="1"/>
    </xf>
    <xf borderId="11" fillId="4" fontId="13" numFmtId="165" xfId="0" applyAlignment="1" applyBorder="1" applyFont="1" applyNumberFormat="1">
      <alignment horizontal="left" vertical="bottom"/>
    </xf>
    <xf borderId="2" fillId="0" fontId="13" numFmtId="165" xfId="0" applyAlignment="1" applyBorder="1" applyFont="1" applyNumberFormat="1">
      <alignment horizontal="left" vertical="bottom"/>
    </xf>
    <xf borderId="2" fillId="5" fontId="2" numFmtId="10" xfId="0" applyAlignment="1" applyBorder="1" applyFill="1" applyFont="1" applyNumberFormat="1">
      <alignment horizontal="left" vertical="bottom"/>
    </xf>
    <xf borderId="2" fillId="0" fontId="13" numFmtId="166" xfId="0" applyAlignment="1" applyBorder="1" applyFont="1" applyNumberFormat="1">
      <alignment horizontal="left" vertical="bottom"/>
    </xf>
    <xf borderId="2" fillId="0" fontId="13" numFmtId="0" xfId="0" applyAlignment="1" applyBorder="1" applyFont="1">
      <alignment horizontal="left" vertical="bottom"/>
    </xf>
    <xf borderId="2" fillId="0" fontId="13" numFmtId="2" xfId="0" applyAlignment="1" applyBorder="1" applyFont="1" applyNumberFormat="1">
      <alignment horizontal="left" vertical="bottom"/>
    </xf>
    <xf borderId="2" fillId="0" fontId="13" numFmtId="3" xfId="0" applyAlignment="1" applyBorder="1" applyFont="1" applyNumberFormat="1">
      <alignment horizontal="left" vertical="bottom"/>
    </xf>
    <xf borderId="2" fillId="0" fontId="13" numFmtId="10" xfId="0" applyAlignment="1" applyBorder="1" applyFont="1" applyNumberFormat="1">
      <alignment horizontal="left" vertical="bottom"/>
    </xf>
    <xf borderId="2" fillId="0" fontId="13" numFmtId="4" xfId="0" applyAlignment="1" applyBorder="1" applyFont="1" applyNumberFormat="1">
      <alignment horizontal="left" vertical="bottom"/>
    </xf>
    <xf borderId="12" fillId="0" fontId="2" numFmtId="0" xfId="0" applyAlignment="1" applyBorder="1" applyFont="1">
      <alignment horizontal="left" vertical="bottom"/>
    </xf>
    <xf borderId="13" fillId="0" fontId="2" numFmtId="0" xfId="0" applyAlignment="1" applyBorder="1" applyFont="1">
      <alignment horizontal="left" vertical="bottom"/>
    </xf>
    <xf borderId="14" fillId="4" fontId="13" numFmtId="165" xfId="0" applyAlignment="1" applyBorder="1" applyFont="1" applyNumberFormat="1">
      <alignment horizontal="left" vertical="bottom"/>
    </xf>
    <xf borderId="4" fillId="5" fontId="2" numFmtId="10" xfId="0" applyAlignment="1" applyBorder="1" applyFont="1" applyNumberFormat="1">
      <alignment horizontal="left" vertical="bottom"/>
    </xf>
    <xf borderId="4" fillId="0" fontId="13" numFmtId="166" xfId="0" applyAlignment="1" applyBorder="1" applyFont="1" applyNumberFormat="1">
      <alignment horizontal="left" vertical="bottom"/>
    </xf>
    <xf borderId="4" fillId="0" fontId="13" numFmtId="0" xfId="0" applyAlignment="1" applyBorder="1" applyFont="1">
      <alignment horizontal="left" vertical="bottom"/>
    </xf>
    <xf borderId="4" fillId="0" fontId="13" numFmtId="2" xfId="0" applyAlignment="1" applyBorder="1" applyFont="1" applyNumberFormat="1">
      <alignment horizontal="left" vertical="bottom"/>
    </xf>
    <xf borderId="4" fillId="0" fontId="13" numFmtId="3" xfId="0" applyAlignment="1" applyBorder="1" applyFont="1" applyNumberFormat="1">
      <alignment horizontal="left" vertical="bottom"/>
    </xf>
    <xf borderId="4" fillId="0" fontId="13" numFmtId="10" xfId="0" applyAlignment="1" applyBorder="1" applyFont="1" applyNumberFormat="1">
      <alignment horizontal="left" vertical="bottom"/>
    </xf>
    <xf borderId="4" fillId="0" fontId="13" numFmtId="4" xfId="0" applyAlignment="1" applyBorder="1" applyFont="1" applyNumberFormat="1">
      <alignment horizontal="left" vertical="bottom"/>
    </xf>
    <xf borderId="4" fillId="3" fontId="12" numFmtId="0" xfId="0" applyAlignment="1" applyBorder="1" applyFont="1">
      <alignment horizontal="left" readingOrder="0" vertical="bottom"/>
    </xf>
    <xf borderId="4" fillId="3" fontId="2" numFmtId="165" xfId="0" applyAlignment="1" applyBorder="1" applyFont="1" applyNumberFormat="1">
      <alignment horizontal="left" vertical="bottom"/>
    </xf>
    <xf borderId="4" fillId="3" fontId="2" numFmtId="10" xfId="0" applyAlignment="1" applyBorder="1" applyFont="1" applyNumberFormat="1">
      <alignment horizontal="left" vertical="bottom"/>
    </xf>
    <xf borderId="4" fillId="3" fontId="12" numFmtId="166" xfId="0" applyAlignment="1" applyBorder="1" applyFont="1" applyNumberFormat="1">
      <alignment horizontal="left" vertical="bottom"/>
    </xf>
    <xf borderId="4" fillId="3" fontId="12" numFmtId="0" xfId="0" applyAlignment="1" applyBorder="1" applyFont="1">
      <alignment horizontal="left" vertical="bottom"/>
    </xf>
    <xf borderId="2" fillId="3" fontId="12" numFmtId="2" xfId="0" applyAlignment="1" applyBorder="1" applyFont="1" applyNumberFormat="1">
      <alignment horizontal="left" vertical="bottom"/>
    </xf>
    <xf borderId="2" fillId="3" fontId="12" numFmtId="166" xfId="0" applyAlignment="1" applyBorder="1" applyFont="1" applyNumberFormat="1">
      <alignment horizontal="left" vertical="bottom"/>
    </xf>
    <xf borderId="4" fillId="3" fontId="12" numFmtId="3" xfId="0" applyAlignment="1" applyBorder="1" applyFont="1" applyNumberFormat="1">
      <alignment horizontal="left" vertical="bottom"/>
    </xf>
    <xf borderId="4" fillId="3" fontId="12" numFmtId="10" xfId="0" applyAlignment="1" applyBorder="1" applyFont="1" applyNumberFormat="1">
      <alignment horizontal="left" vertical="bottom"/>
    </xf>
    <xf borderId="4" fillId="3" fontId="2" numFmtId="4" xfId="0" applyAlignment="1" applyBorder="1" applyFont="1" applyNumberFormat="1">
      <alignment horizontal="left" vertical="bottom"/>
    </xf>
    <xf borderId="4" fillId="3" fontId="13" numFmtId="10" xfId="0" applyAlignment="1" applyBorder="1" applyFont="1" applyNumberFormat="1">
      <alignment horizontal="left" vertical="bottom"/>
    </xf>
    <xf borderId="8" fillId="3" fontId="2" numFmtId="10" xfId="0" applyAlignment="1" applyBorder="1" applyFont="1" applyNumberFormat="1">
      <alignment horizontal="left" vertical="bottom"/>
    </xf>
    <xf borderId="0" fillId="0" fontId="2" numFmtId="166" xfId="0" applyAlignment="1" applyFont="1" applyNumberFormat="1">
      <alignment horizontal="left" vertical="bottom"/>
    </xf>
    <xf borderId="11" fillId="4" fontId="13" numFmtId="165" xfId="0" applyAlignment="1" applyBorder="1" applyFont="1" applyNumberFormat="1">
      <alignment vertical="bottom"/>
    </xf>
    <xf borderId="2" fillId="0" fontId="13" numFmtId="165" xfId="0" applyAlignment="1" applyBorder="1" applyFont="1" applyNumberFormat="1">
      <alignment horizontal="left" readingOrder="0" vertical="bottom"/>
    </xf>
    <xf borderId="2" fillId="0" fontId="13" numFmtId="166" xfId="0" applyAlignment="1" applyBorder="1" applyFont="1" applyNumberFormat="1">
      <alignment horizontal="left" readingOrder="0" vertical="bottom"/>
    </xf>
    <xf borderId="2" fillId="0" fontId="13" numFmtId="0" xfId="0" applyAlignment="1" applyBorder="1" applyFont="1">
      <alignment horizontal="left" readingOrder="0" vertical="bottom"/>
    </xf>
    <xf borderId="2" fillId="0" fontId="13" numFmtId="3" xfId="0" applyAlignment="1" applyBorder="1" applyFont="1" applyNumberFormat="1">
      <alignment horizontal="left" readingOrder="0" vertical="bottom"/>
    </xf>
    <xf borderId="14" fillId="4" fontId="13" numFmtId="165" xfId="0" applyAlignment="1" applyBorder="1" applyFont="1" applyNumberFormat="1">
      <alignment vertical="bottom"/>
    </xf>
    <xf borderId="4" fillId="0" fontId="13" numFmtId="166" xfId="0" applyAlignment="1" applyBorder="1" applyFont="1" applyNumberFormat="1">
      <alignment horizontal="left" readingOrder="0" vertical="bottom"/>
    </xf>
    <xf borderId="4" fillId="0" fontId="13" numFmtId="0" xfId="0" applyAlignment="1" applyBorder="1" applyFont="1">
      <alignment horizontal="left" readingOrder="0" vertical="bottom"/>
    </xf>
    <xf borderId="4" fillId="0" fontId="13" numFmtId="3" xfId="0" applyAlignment="1" applyBorder="1" applyFont="1" applyNumberFormat="1">
      <alignment horizontal="left" readingOrder="0" vertical="bottom"/>
    </xf>
    <xf borderId="4" fillId="3" fontId="12" numFmtId="0" xfId="0" applyAlignment="1" applyBorder="1" applyFont="1">
      <alignment horizontal="left" vertical="bottom"/>
    </xf>
    <xf borderId="2" fillId="3" fontId="14" numFmtId="2" xfId="0" applyAlignment="1" applyBorder="1" applyFont="1" applyNumberFormat="1">
      <alignment horizontal="left" vertical="bottom"/>
    </xf>
    <xf borderId="2" fillId="3" fontId="14" numFmtId="166" xfId="0" applyAlignment="1" applyBorder="1" applyFont="1" applyNumberFormat="1">
      <alignment horizontal="left" vertical="bottom"/>
    </xf>
    <xf borderId="4" fillId="3" fontId="12" numFmtId="3" xfId="0" applyAlignment="1" applyBorder="1" applyFont="1" applyNumberFormat="1">
      <alignment horizontal="left" readingOrder="0" vertical="bottom"/>
    </xf>
    <xf borderId="4" fillId="3" fontId="2" numFmtId="4" xfId="0" applyAlignment="1" applyBorder="1" applyFont="1" applyNumberFormat="1">
      <alignment horizontal="left" readingOrder="0" vertical="bottom"/>
    </xf>
    <xf borderId="0" fillId="0" fontId="13" numFmtId="10" xfId="0" applyAlignment="1" applyFont="1" applyNumberFormat="1">
      <alignment horizontal="left" vertical="bottom"/>
    </xf>
    <xf borderId="0" fillId="0" fontId="13" numFmtId="0" xfId="0" applyAlignment="1" applyFont="1">
      <alignment horizontal="left" vertical="bottom"/>
    </xf>
    <xf borderId="4" fillId="3" fontId="12" numFmtId="49" xfId="0" applyAlignment="1" applyBorder="1" applyFont="1" applyNumberFormat="1">
      <alignment horizontal="left" vertical="bottom"/>
    </xf>
    <xf borderId="2" fillId="0" fontId="13" numFmtId="165" xfId="0" applyAlignment="1" applyBorder="1" applyFont="1" applyNumberFormat="1">
      <alignment vertical="bottom"/>
    </xf>
    <xf borderId="2" fillId="5" fontId="2" numFmtId="10" xfId="0" applyAlignment="1" applyBorder="1" applyFont="1" applyNumberFormat="1">
      <alignment vertical="bottom"/>
    </xf>
    <xf borderId="2" fillId="0" fontId="13" numFmtId="166" xfId="0" applyAlignment="1" applyBorder="1" applyFont="1" applyNumberFormat="1">
      <alignment vertical="bottom"/>
    </xf>
    <xf borderId="2" fillId="0" fontId="13" numFmtId="0" xfId="0" applyAlignment="1" applyBorder="1" applyFont="1">
      <alignment vertical="bottom"/>
    </xf>
    <xf borderId="2" fillId="0" fontId="13" numFmtId="2" xfId="0" applyAlignment="1" applyBorder="1" applyFont="1" applyNumberFormat="1">
      <alignment vertical="bottom"/>
    </xf>
    <xf borderId="2" fillId="0" fontId="13" numFmtId="3" xfId="0" applyAlignment="1" applyBorder="1" applyFont="1" applyNumberFormat="1">
      <alignment vertical="bottom"/>
    </xf>
    <xf borderId="2" fillId="0" fontId="13" numFmtId="10" xfId="0" applyAlignment="1" applyBorder="1" applyFont="1" applyNumberFormat="1">
      <alignment vertical="bottom"/>
    </xf>
    <xf borderId="2" fillId="0" fontId="13" numFmtId="4" xfId="0" applyAlignment="1" applyBorder="1" applyFont="1" applyNumberFormat="1">
      <alignment vertical="bottom"/>
    </xf>
    <xf borderId="12" fillId="0" fontId="2" numFmtId="0" xfId="0" applyAlignment="1" applyBorder="1" applyFont="1">
      <alignment vertical="bottom"/>
    </xf>
    <xf borderId="13" fillId="0" fontId="2" numFmtId="0" xfId="0" applyAlignment="1" applyBorder="1" applyFont="1">
      <alignment vertical="bottom"/>
    </xf>
    <xf borderId="4" fillId="5" fontId="2" numFmtId="10" xfId="0" applyAlignment="1" applyBorder="1" applyFont="1" applyNumberFormat="1">
      <alignment vertical="bottom"/>
    </xf>
    <xf borderId="4" fillId="0" fontId="13" numFmtId="166" xfId="0" applyAlignment="1" applyBorder="1" applyFont="1" applyNumberFormat="1">
      <alignment vertical="bottom"/>
    </xf>
    <xf borderId="4" fillId="0" fontId="13" numFmtId="0" xfId="0" applyAlignment="1" applyBorder="1" applyFont="1">
      <alignment vertical="bottom"/>
    </xf>
    <xf borderId="4" fillId="0" fontId="13" numFmtId="2" xfId="0" applyAlignment="1" applyBorder="1" applyFont="1" applyNumberFormat="1">
      <alignment vertical="bottom"/>
    </xf>
    <xf borderId="4" fillId="0" fontId="13" numFmtId="3" xfId="0" applyAlignment="1" applyBorder="1" applyFont="1" applyNumberFormat="1">
      <alignment vertical="bottom"/>
    </xf>
    <xf borderId="4" fillId="0" fontId="13" numFmtId="10" xfId="0" applyAlignment="1" applyBorder="1" applyFont="1" applyNumberFormat="1">
      <alignment vertical="bottom"/>
    </xf>
    <xf borderId="4" fillId="0" fontId="13" numFmtId="4" xfId="0" applyAlignment="1" applyBorder="1" applyFont="1" applyNumberFormat="1">
      <alignment vertical="bottom"/>
    </xf>
    <xf borderId="3" fillId="0" fontId="2" numFmtId="0" xfId="0" applyAlignment="1" applyBorder="1" applyFont="1">
      <alignment vertical="bottom"/>
    </xf>
    <xf borderId="8" fillId="0" fontId="2" numFmtId="0" xfId="0" applyAlignment="1" applyBorder="1" applyFont="1">
      <alignment vertical="bottom"/>
    </xf>
    <xf borderId="4" fillId="0" fontId="13" numFmtId="165" xfId="0" applyAlignment="1" applyBorder="1" applyFont="1" applyNumberFormat="1">
      <alignment horizontal="left" vertical="bottom"/>
    </xf>
    <xf borderId="0" fillId="0" fontId="2" numFmtId="166" xfId="0" applyAlignment="1" applyFont="1" applyNumberFormat="1">
      <alignment horizontal="left" readingOrder="0" vertical="bottom"/>
    </xf>
    <xf borderId="4" fillId="0" fontId="13" numFmtId="165" xfId="0" applyAlignment="1" applyBorder="1" applyFont="1" applyNumberFormat="1">
      <alignment vertical="bottom"/>
    </xf>
    <xf borderId="0" fillId="0" fontId="2" numFmtId="166" xfId="0" applyAlignment="1" applyFont="1" applyNumberFormat="1">
      <alignment vertical="bottom"/>
    </xf>
    <xf borderId="4" fillId="0" fontId="13" numFmtId="165" xfId="0" applyAlignment="1" applyBorder="1" applyFont="1" applyNumberFormat="1">
      <alignment horizontal="left" readingOrder="0" vertical="bottom"/>
    </xf>
    <xf borderId="4" fillId="3" fontId="12" numFmtId="0" xfId="0" applyAlignment="1" applyBorder="1" applyFont="1">
      <alignment readingOrder="0" vertical="bottom"/>
    </xf>
    <xf borderId="4" fillId="3" fontId="2" numFmtId="165" xfId="0" applyAlignment="1" applyBorder="1" applyFont="1" applyNumberFormat="1">
      <alignment vertical="bottom"/>
    </xf>
    <xf borderId="4" fillId="3" fontId="2" numFmtId="10" xfId="0" applyAlignment="1" applyBorder="1" applyFont="1" applyNumberFormat="1">
      <alignment vertical="bottom"/>
    </xf>
    <xf borderId="4" fillId="3" fontId="12" numFmtId="2" xfId="0" applyAlignment="1" applyBorder="1" applyFont="1" applyNumberFormat="1">
      <alignment horizontal="left" vertical="bottom"/>
    </xf>
    <xf borderId="8" fillId="3" fontId="2" numFmtId="10" xfId="0" applyAlignment="1" applyBorder="1" applyFont="1" applyNumberFormat="1">
      <alignment vertical="bottom"/>
    </xf>
    <xf borderId="0" fillId="6" fontId="15" numFmtId="0" xfId="0" applyAlignment="1" applyFill="1" applyFont="1">
      <alignment shrinkToFit="0" vertical="bottom" wrapText="1"/>
    </xf>
    <xf borderId="0" fillId="6" fontId="15" numFmtId="0" xfId="0" applyAlignment="1" applyFont="1">
      <alignment readingOrder="0" shrinkToFit="0" vertical="bottom" wrapText="1"/>
    </xf>
    <xf borderId="0" fillId="6" fontId="15" numFmtId="0" xfId="0" applyAlignment="1" applyFont="1">
      <alignment readingOrder="0" vertical="bottom"/>
    </xf>
    <xf borderId="0" fillId="6" fontId="2" numFmtId="0" xfId="0" applyAlignment="1" applyFont="1">
      <alignment vertical="bottom"/>
    </xf>
    <xf borderId="0" fillId="0" fontId="2" numFmtId="0" xfId="0" applyAlignment="1" applyFont="1">
      <alignment readingOrder="0" shrinkToFit="0" vertical="bottom" wrapText="1"/>
    </xf>
    <xf borderId="0" fillId="0" fontId="16" numFmtId="0" xfId="0" applyAlignment="1" applyFont="1">
      <alignment readingOrder="0" shrinkToFit="0" vertical="bottom" wrapText="1"/>
    </xf>
    <xf borderId="0" fillId="0" fontId="2" numFmtId="167" xfId="0" applyAlignment="1" applyFont="1" applyNumberFormat="1">
      <alignment horizontal="right" readingOrder="0" shrinkToFit="0" vertical="bottom" wrapText="1"/>
    </xf>
    <xf borderId="0" fillId="0" fontId="2" numFmtId="165" xfId="0" applyAlignment="1" applyFont="1" applyNumberFormat="1">
      <alignment horizontal="right" shrinkToFit="0" vertical="bottom" wrapText="1"/>
    </xf>
    <xf borderId="0" fillId="0" fontId="2" numFmtId="0" xfId="0" applyAlignment="1" applyFont="1">
      <alignment readingOrder="0" vertical="bottom"/>
    </xf>
    <xf borderId="0" fillId="0" fontId="2" numFmtId="0" xfId="0" applyAlignment="1" applyFont="1">
      <alignment shrinkToFit="0" vertical="bottom" wrapText="1"/>
    </xf>
    <xf borderId="0" fillId="0" fontId="5" numFmtId="0" xfId="0" applyAlignment="1" applyFont="1">
      <alignment readingOrder="0" shrinkToFit="0" wrapText="1"/>
    </xf>
    <xf borderId="0" fillId="0" fontId="17" numFmtId="0" xfId="0" applyAlignment="1" applyFont="1">
      <alignment readingOrder="0"/>
    </xf>
    <xf borderId="0" fillId="0" fontId="5" numFmtId="0" xfId="0" applyAlignment="1" applyFont="1">
      <alignment readingOrder="0"/>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t="s">
        <v>1</v>
      </c>
      <c r="B2" s="2"/>
      <c r="C2" s="2"/>
      <c r="D2" s="2"/>
      <c r="E2" s="2"/>
      <c r="F2" s="2"/>
      <c r="G2" s="2"/>
      <c r="H2" s="2"/>
      <c r="I2" s="2"/>
      <c r="J2" s="2"/>
      <c r="K2" s="2"/>
      <c r="L2" s="2"/>
      <c r="M2" s="2"/>
      <c r="N2" s="2"/>
      <c r="O2" s="2"/>
      <c r="P2" s="2"/>
      <c r="Q2" s="2"/>
      <c r="R2" s="2"/>
      <c r="S2" s="2"/>
      <c r="T2" s="2"/>
      <c r="U2" s="2"/>
      <c r="V2" s="2"/>
      <c r="W2" s="2"/>
      <c r="X2" s="2"/>
      <c r="Y2" s="2"/>
      <c r="Z2" s="2"/>
    </row>
    <row r="3">
      <c r="A3" s="2" t="s">
        <v>2</v>
      </c>
      <c r="B3" s="2"/>
      <c r="C3" s="2"/>
      <c r="D3" s="2"/>
      <c r="E3" s="2"/>
      <c r="F3" s="2"/>
      <c r="G3" s="2"/>
      <c r="H3" s="2"/>
      <c r="I3" s="2"/>
      <c r="J3" s="2"/>
      <c r="K3" s="2"/>
      <c r="L3" s="2"/>
      <c r="M3" s="2"/>
      <c r="N3" s="2"/>
      <c r="O3" s="2"/>
      <c r="P3" s="2"/>
      <c r="Q3" s="2"/>
      <c r="R3" s="2"/>
      <c r="S3" s="2"/>
      <c r="T3" s="2"/>
      <c r="U3" s="2"/>
      <c r="V3" s="2"/>
      <c r="W3" s="2"/>
      <c r="X3" s="2"/>
      <c r="Y3" s="2"/>
      <c r="Z3" s="2"/>
    </row>
    <row r="4">
      <c r="A4" s="2" t="s">
        <v>3</v>
      </c>
      <c r="B4" s="2"/>
      <c r="C4" s="2"/>
      <c r="D4" s="2"/>
      <c r="E4" s="2"/>
      <c r="F4" s="2"/>
      <c r="G4" s="2"/>
      <c r="H4" s="2"/>
      <c r="I4" s="2"/>
      <c r="J4" s="2"/>
      <c r="K4" s="2"/>
      <c r="L4" s="2"/>
      <c r="M4" s="2"/>
      <c r="N4" s="2"/>
      <c r="O4" s="2"/>
      <c r="P4" s="2"/>
      <c r="Q4" s="2"/>
      <c r="R4" s="2"/>
      <c r="S4" s="2"/>
      <c r="T4" s="2"/>
      <c r="U4" s="2"/>
      <c r="V4" s="2"/>
      <c r="W4" s="2"/>
      <c r="X4" s="2"/>
      <c r="Y4" s="2"/>
      <c r="Z4" s="2"/>
    </row>
    <row r="5">
      <c r="A5" s="2" t="s">
        <v>4</v>
      </c>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hyperlinks>
    <hyperlink r:id="rId1" location="/report?id=102%3ADetailSalesTrafficByTime&amp;chartCols=17&amp;columns=0%2F1%2F2%2F3%2F4%2F5%2F6%2F17%2F18%2F23%2F24%2F25%2F26%2F29%2F30%2F31%2F32"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1" max="1" width="19.0"/>
  </cols>
  <sheetData>
    <row r="1">
      <c r="A1" s="3" t="s">
        <v>5</v>
      </c>
      <c r="B1" s="4"/>
      <c r="C1" s="5"/>
      <c r="D1" s="5"/>
      <c r="E1" s="5"/>
      <c r="F1" s="5"/>
      <c r="G1" s="5"/>
      <c r="H1" s="5"/>
      <c r="I1" s="5"/>
      <c r="J1" s="5"/>
      <c r="K1" s="5"/>
      <c r="L1" s="5"/>
      <c r="M1" s="5"/>
      <c r="N1" s="5"/>
      <c r="O1" s="5"/>
      <c r="P1" s="5"/>
      <c r="Q1" s="5"/>
      <c r="R1" s="5"/>
      <c r="S1" s="5"/>
      <c r="T1" s="5"/>
      <c r="U1" s="6"/>
      <c r="V1" s="6"/>
      <c r="W1" s="7"/>
      <c r="X1" s="7"/>
      <c r="Y1" s="7"/>
      <c r="Z1" s="7"/>
    </row>
    <row r="2">
      <c r="A2" s="8" t="s">
        <v>6</v>
      </c>
      <c r="B2" s="9"/>
      <c r="C2" s="9"/>
      <c r="D2" s="9"/>
      <c r="E2" s="9"/>
      <c r="F2" s="9"/>
      <c r="G2" s="9"/>
      <c r="H2" s="9"/>
      <c r="I2" s="9"/>
      <c r="J2" s="9"/>
      <c r="K2" s="9"/>
      <c r="L2" s="9"/>
      <c r="M2" s="9"/>
      <c r="N2" s="9"/>
      <c r="O2" s="9"/>
      <c r="P2" s="9"/>
      <c r="Q2" s="9"/>
      <c r="R2" s="9"/>
      <c r="S2" s="9"/>
      <c r="T2" s="10"/>
      <c r="U2" s="6"/>
      <c r="V2" s="6"/>
      <c r="W2" s="7"/>
      <c r="X2" s="7"/>
      <c r="Y2" s="7"/>
      <c r="Z2" s="7"/>
    </row>
    <row r="3">
      <c r="A3" s="6"/>
      <c r="C3" s="11" t="s">
        <v>7</v>
      </c>
      <c r="D3" s="9"/>
      <c r="E3" s="9"/>
      <c r="F3" s="10"/>
      <c r="G3" s="11" t="s">
        <v>8</v>
      </c>
      <c r="H3" s="9"/>
      <c r="I3" s="10"/>
      <c r="J3" s="11" t="s">
        <v>9</v>
      </c>
      <c r="K3" s="9"/>
      <c r="L3" s="9"/>
      <c r="M3" s="6"/>
      <c r="N3" s="12"/>
      <c r="O3" s="12"/>
      <c r="P3" s="12"/>
      <c r="Q3" s="12"/>
      <c r="R3" s="12"/>
      <c r="S3" s="12"/>
      <c r="T3" s="12"/>
      <c r="U3" s="6"/>
      <c r="V3" s="6"/>
      <c r="W3" s="7"/>
      <c r="X3" s="7"/>
      <c r="Y3" s="7"/>
      <c r="Z3" s="7"/>
    </row>
    <row r="4">
      <c r="C4" s="13">
        <f>VLOOKUP("Current Week",$A$11:$T$401,match("SALES",$A$11:$T$11,0),FALSE)</f>
        <v>11335</v>
      </c>
      <c r="D4" s="9"/>
      <c r="E4" s="10"/>
      <c r="F4" s="12"/>
      <c r="G4" s="14">
        <f>VLOOKUP("Current Week",$A$11:$T$401,match("ORDERS",$A$11:$T$11,0),FALSE)</f>
        <v>359</v>
      </c>
      <c r="H4" s="9"/>
      <c r="I4" s="10"/>
      <c r="J4" s="14">
        <f>VLOOKUP("Current Week",$A$11:$T$401,match("UNITS SOLD",$A$11:$T$11,0),FALSE)</f>
        <v>362</v>
      </c>
      <c r="K4" s="9"/>
      <c r="L4" s="9"/>
      <c r="N4" s="12"/>
      <c r="O4" s="12"/>
      <c r="P4" s="12"/>
      <c r="Q4" s="12"/>
      <c r="R4" s="12"/>
      <c r="S4" s="12"/>
      <c r="T4" s="12"/>
      <c r="U4" s="6"/>
      <c r="V4" s="6"/>
      <c r="W4" s="7"/>
      <c r="X4" s="7"/>
      <c r="Y4" s="7"/>
      <c r="Z4" s="7"/>
    </row>
    <row r="5">
      <c r="C5" s="15">
        <f>(C4-(VLOOKUP("Previous Week",$A$11:$T401,match("SALES",$A$11:$T$11,0),FALSE)))/C4</f>
        <v>0.001632112925</v>
      </c>
      <c r="D5" s="9"/>
      <c r="E5" s="9"/>
      <c r="F5" s="10"/>
      <c r="G5" s="15">
        <f>(G4-(VLOOKUP("Previous Week",$A$11:$T401,match("ORDERS",$A$11:$T$11,0),FALSE)))/G4</f>
        <v>0.0278551532</v>
      </c>
      <c r="H5" s="9"/>
      <c r="I5" s="10"/>
      <c r="J5" s="15">
        <f>(J4-(VLOOKUP("Previous Week",$A$11:$T401,match("UNITS SOLD",$A$11:$T$11,0),FALSE)))/J4</f>
        <v>0.03038674033</v>
      </c>
      <c r="K5" s="9"/>
      <c r="L5" s="9"/>
      <c r="N5" s="12"/>
      <c r="O5" s="12"/>
      <c r="P5" s="12"/>
      <c r="Q5" s="12"/>
      <c r="R5" s="12"/>
      <c r="S5" s="12"/>
      <c r="T5" s="12"/>
      <c r="U5" s="6"/>
      <c r="V5" s="6"/>
      <c r="W5" s="7"/>
      <c r="X5" s="7"/>
      <c r="Y5" s="7"/>
      <c r="Z5" s="7"/>
    </row>
    <row r="6">
      <c r="C6" s="12"/>
      <c r="D6" s="12"/>
      <c r="E6" s="12"/>
      <c r="F6" s="12"/>
      <c r="G6" s="12"/>
      <c r="H6" s="12"/>
      <c r="I6" s="12"/>
      <c r="J6" s="16"/>
      <c r="K6" s="9"/>
      <c r="L6" s="10"/>
      <c r="N6" s="12"/>
      <c r="O6" s="12"/>
      <c r="P6" s="12"/>
      <c r="Q6" s="12"/>
      <c r="R6" s="12"/>
      <c r="S6" s="12"/>
      <c r="T6" s="12"/>
      <c r="U6" s="6"/>
      <c r="V6" s="6"/>
      <c r="W6" s="7"/>
      <c r="X6" s="7"/>
      <c r="Y6" s="7"/>
      <c r="Z6" s="7"/>
    </row>
    <row r="7">
      <c r="C7" s="11" t="s">
        <v>10</v>
      </c>
      <c r="D7" s="9"/>
      <c r="E7" s="9"/>
      <c r="F7" s="10"/>
      <c r="G7" s="11" t="s">
        <v>11</v>
      </c>
      <c r="H7" s="9"/>
      <c r="I7" s="10"/>
      <c r="J7" s="11" t="s">
        <v>12</v>
      </c>
      <c r="K7" s="9"/>
      <c r="L7" s="9"/>
      <c r="N7" s="12"/>
      <c r="O7" s="12"/>
      <c r="P7" s="12"/>
      <c r="Q7" s="12"/>
      <c r="R7" s="12"/>
      <c r="S7" s="12"/>
      <c r="T7" s="12"/>
      <c r="U7" s="6"/>
      <c r="V7" s="6"/>
      <c r="W7" s="7"/>
      <c r="X7" s="7"/>
      <c r="Y7" s="7"/>
      <c r="Z7" s="7"/>
    </row>
    <row r="8">
      <c r="C8" s="13">
        <f>VLOOKUP("Current Week",$A$11:$T$401,match("AD SALES",$A$11:$T$11,0),FALSE)</f>
        <v>6823</v>
      </c>
      <c r="D8" s="9"/>
      <c r="E8" s="10"/>
      <c r="F8" s="12"/>
      <c r="G8" s="13">
        <f>VLOOKUP("Current Week",$A$11:$T$401,match("SP AD SPEND",$A$11:$T$11,0),FALSE)</f>
        <v>1128.22</v>
      </c>
      <c r="H8" s="9"/>
      <c r="I8" s="10"/>
      <c r="J8" s="17" t="str">
        <f>I8/E8</f>
        <v>#DIV/0!</v>
      </c>
      <c r="K8" s="9"/>
      <c r="L8" s="9"/>
      <c r="N8" s="12"/>
      <c r="O8" s="12"/>
      <c r="P8" s="12"/>
      <c r="Q8" s="12"/>
      <c r="R8" s="12"/>
      <c r="S8" s="12"/>
      <c r="T8" s="12"/>
      <c r="U8" s="6"/>
      <c r="V8" s="6"/>
      <c r="W8" s="7"/>
      <c r="X8" s="7"/>
      <c r="Y8" s="7"/>
      <c r="Z8" s="7"/>
    </row>
    <row r="9">
      <c r="A9" s="18"/>
      <c r="B9" s="18"/>
      <c r="C9" s="19">
        <f>(C8-(VLOOKUP("Previous Week",$A$11:$T401,match("AD SALES",$A$11:$T$11,0),FALSE)))/C8</f>
        <v>0.04514143339</v>
      </c>
      <c r="D9" s="18"/>
      <c r="E9" s="18"/>
      <c r="F9" s="20"/>
      <c r="G9" s="21">
        <f>(G8-(VLOOKUP("Previous Week",$A$11:$T401,match("SP AD SPEND",$A$11:$T$11,0),FALSE)))/G8</f>
        <v>0.2591959015</v>
      </c>
      <c r="H9" s="18"/>
      <c r="I9" s="20"/>
      <c r="J9" s="22" t="str">
        <f>(J8-(VLOOKUP("Previous Week",$A$11:$T401,match("ACoS",$A$11:$T$11,0),FALSE)))/J8</f>
        <v>#DIV/0!</v>
      </c>
      <c r="K9" s="18"/>
      <c r="L9" s="18"/>
      <c r="M9" s="18"/>
      <c r="N9" s="23"/>
      <c r="O9" s="23"/>
      <c r="P9" s="23"/>
      <c r="Q9" s="23"/>
      <c r="R9" s="23"/>
      <c r="S9" s="23"/>
      <c r="T9" s="23"/>
      <c r="U9" s="6"/>
      <c r="V9" s="6"/>
      <c r="W9" s="7"/>
      <c r="X9" s="7"/>
      <c r="Y9" s="7"/>
      <c r="Z9" s="7"/>
    </row>
    <row r="10">
      <c r="A10" s="24"/>
      <c r="B10" s="25"/>
      <c r="C10" s="25"/>
      <c r="D10" s="14" t="s">
        <v>13</v>
      </c>
      <c r="E10" s="9"/>
      <c r="F10" s="9"/>
      <c r="G10" s="9"/>
      <c r="H10" s="9"/>
      <c r="I10" s="9"/>
      <c r="J10" s="9"/>
      <c r="K10" s="26"/>
      <c r="L10" s="27" t="s">
        <v>14</v>
      </c>
      <c r="M10" s="9"/>
      <c r="N10" s="9"/>
      <c r="O10" s="9"/>
      <c r="P10" s="9"/>
      <c r="Q10" s="9"/>
      <c r="R10" s="26"/>
      <c r="S10" s="14" t="s">
        <v>15</v>
      </c>
      <c r="T10" s="26"/>
      <c r="U10" s="6"/>
      <c r="V10" s="6"/>
      <c r="W10" s="7"/>
      <c r="X10" s="7"/>
      <c r="Y10" s="7"/>
      <c r="Z10" s="7"/>
    </row>
    <row r="11">
      <c r="A11" s="28" t="s">
        <v>16</v>
      </c>
      <c r="B11" s="29" t="s">
        <v>17</v>
      </c>
      <c r="C11" s="30"/>
      <c r="D11" s="31" t="s">
        <v>18</v>
      </c>
      <c r="E11" s="31" t="s">
        <v>19</v>
      </c>
      <c r="F11" s="31" t="s">
        <v>20</v>
      </c>
      <c r="G11" s="31" t="s">
        <v>21</v>
      </c>
      <c r="H11" s="31" t="s">
        <v>22</v>
      </c>
      <c r="I11" s="31" t="s">
        <v>23</v>
      </c>
      <c r="J11" s="31" t="s">
        <v>24</v>
      </c>
      <c r="K11" s="29" t="s">
        <v>25</v>
      </c>
      <c r="L11" s="31" t="s">
        <v>26</v>
      </c>
      <c r="M11" s="31" t="s">
        <v>27</v>
      </c>
      <c r="N11" s="31" t="s">
        <v>28</v>
      </c>
      <c r="O11" s="31" t="s">
        <v>29</v>
      </c>
      <c r="P11" s="31" t="s">
        <v>12</v>
      </c>
      <c r="Q11" s="31" t="s">
        <v>30</v>
      </c>
      <c r="R11" s="29" t="s">
        <v>31</v>
      </c>
      <c r="S11" s="32" t="s">
        <v>18</v>
      </c>
      <c r="T11" s="29" t="s">
        <v>32</v>
      </c>
      <c r="U11" s="6"/>
      <c r="V11" s="6"/>
      <c r="W11" s="7"/>
      <c r="X11" s="7"/>
      <c r="Y11" s="7"/>
      <c r="Z11" s="7"/>
    </row>
    <row r="12" hidden="1" outlineLevel="1">
      <c r="A12" s="33" t="str">
        <f t="shared" ref="A12:A25" si="1">iferror(if(B12&gt;0,month(B12)&amp;"-"&amp;year(B12),B12),)</f>
        <v>12-2024</v>
      </c>
      <c r="B12" s="34">
        <v>45648.0</v>
      </c>
      <c r="C12" s="35"/>
      <c r="D12" s="36">
        <v>2385.0</v>
      </c>
      <c r="E12" s="37">
        <v>68.0</v>
      </c>
      <c r="F12" s="37">
        <v>68.0</v>
      </c>
      <c r="G12" s="38">
        <f t="shared" ref="G12:G122" si="2">E12/F12</f>
        <v>1</v>
      </c>
      <c r="H12" s="36">
        <f t="shared" ref="H12:H25" si="3">D12/F12</f>
        <v>35.07352941</v>
      </c>
      <c r="I12" s="36">
        <f t="shared" ref="I12:I25" si="4">D12/E12</f>
        <v>35.07352941</v>
      </c>
      <c r="J12" s="39">
        <v>4564.0</v>
      </c>
      <c r="K12" s="40">
        <f t="shared" ref="K12:K122" si="5">E12/J12</f>
        <v>0.01489921122</v>
      </c>
      <c r="L12" s="36">
        <v>317.87</v>
      </c>
      <c r="M12" s="36">
        <v>1560.0</v>
      </c>
      <c r="N12" s="37">
        <v>48.0</v>
      </c>
      <c r="O12" s="39">
        <v>223827.0</v>
      </c>
      <c r="P12" s="40">
        <f t="shared" ref="P12:P122" si="6">L12/M12</f>
        <v>0.2037628205</v>
      </c>
      <c r="Q12" s="41">
        <f t="shared" ref="Q12:Q122" si="7">M12/L12</f>
        <v>4.907666656</v>
      </c>
      <c r="R12" s="40">
        <f t="shared" ref="R12:R114" si="8">M12/D12</f>
        <v>0.6540880503</v>
      </c>
      <c r="S12" s="42"/>
      <c r="T12" s="43"/>
      <c r="U12" s="6"/>
      <c r="V12" s="6"/>
      <c r="W12" s="6"/>
      <c r="X12" s="6"/>
      <c r="Y12" s="6"/>
      <c r="Z12" s="6"/>
    </row>
    <row r="13" hidden="1" outlineLevel="1">
      <c r="A13" s="44" t="str">
        <f t="shared" si="1"/>
        <v>12-2024</v>
      </c>
      <c r="B13" s="34">
        <v>45649.0</v>
      </c>
      <c r="C13" s="45"/>
      <c r="D13" s="46">
        <v>1186.0</v>
      </c>
      <c r="E13" s="47">
        <v>31.0</v>
      </c>
      <c r="F13" s="47">
        <v>31.0</v>
      </c>
      <c r="G13" s="48">
        <f t="shared" si="2"/>
        <v>1</v>
      </c>
      <c r="H13" s="46">
        <f t="shared" si="3"/>
        <v>38.25806452</v>
      </c>
      <c r="I13" s="46">
        <f t="shared" si="4"/>
        <v>38.25806452</v>
      </c>
      <c r="J13" s="49">
        <v>2767.0</v>
      </c>
      <c r="K13" s="50">
        <f t="shared" si="5"/>
        <v>0.01120346946</v>
      </c>
      <c r="L13" s="46">
        <v>178.83</v>
      </c>
      <c r="M13" s="46">
        <v>746.0</v>
      </c>
      <c r="N13" s="47">
        <v>22.0</v>
      </c>
      <c r="O13" s="49">
        <v>139288.0</v>
      </c>
      <c r="P13" s="50">
        <f t="shared" si="6"/>
        <v>0.2397184987</v>
      </c>
      <c r="Q13" s="51">
        <f t="shared" si="7"/>
        <v>4.171559582</v>
      </c>
      <c r="R13" s="50">
        <f t="shared" si="8"/>
        <v>0.629005059</v>
      </c>
      <c r="S13" s="16"/>
      <c r="T13" s="25"/>
      <c r="U13" s="6"/>
      <c r="V13" s="6"/>
      <c r="W13" s="6"/>
      <c r="X13" s="6"/>
      <c r="Y13" s="6"/>
      <c r="Z13" s="6"/>
    </row>
    <row r="14" hidden="1" outlineLevel="1">
      <c r="A14" s="44" t="str">
        <f t="shared" si="1"/>
        <v>12-2024</v>
      </c>
      <c r="B14" s="34">
        <v>45650.0</v>
      </c>
      <c r="C14" s="45"/>
      <c r="D14" s="46">
        <v>857.0</v>
      </c>
      <c r="E14" s="47">
        <v>26.0</v>
      </c>
      <c r="F14" s="47">
        <v>26.0</v>
      </c>
      <c r="G14" s="48">
        <f t="shared" si="2"/>
        <v>1</v>
      </c>
      <c r="H14" s="46">
        <f t="shared" si="3"/>
        <v>32.96153846</v>
      </c>
      <c r="I14" s="46">
        <f t="shared" si="4"/>
        <v>32.96153846</v>
      </c>
      <c r="J14" s="49">
        <v>2373.0</v>
      </c>
      <c r="K14" s="50">
        <f t="shared" si="5"/>
        <v>0.01095659503</v>
      </c>
      <c r="L14" s="46">
        <v>153.17</v>
      </c>
      <c r="M14" s="46">
        <v>666.97</v>
      </c>
      <c r="N14" s="47">
        <v>17.0</v>
      </c>
      <c r="O14" s="49">
        <v>107188.0</v>
      </c>
      <c r="P14" s="50">
        <f t="shared" si="6"/>
        <v>0.229650509</v>
      </c>
      <c r="Q14" s="51">
        <f t="shared" si="7"/>
        <v>4.354442776</v>
      </c>
      <c r="R14" s="50">
        <f t="shared" si="8"/>
        <v>0.7782613769</v>
      </c>
      <c r="S14" s="16"/>
      <c r="T14" s="25"/>
      <c r="U14" s="6"/>
      <c r="V14" s="6"/>
      <c r="W14" s="6"/>
      <c r="X14" s="6"/>
      <c r="Y14" s="6"/>
      <c r="Z14" s="6"/>
    </row>
    <row r="15" hidden="1" outlineLevel="1">
      <c r="A15" s="44" t="str">
        <f t="shared" si="1"/>
        <v>12-2024</v>
      </c>
      <c r="B15" s="34">
        <v>45651.0</v>
      </c>
      <c r="C15" s="45"/>
      <c r="D15" s="46">
        <v>2394.0</v>
      </c>
      <c r="E15" s="47">
        <v>63.0</v>
      </c>
      <c r="F15" s="47">
        <v>63.0</v>
      </c>
      <c r="G15" s="48">
        <f t="shared" si="2"/>
        <v>1</v>
      </c>
      <c r="H15" s="46">
        <f t="shared" si="3"/>
        <v>38</v>
      </c>
      <c r="I15" s="46">
        <f t="shared" si="4"/>
        <v>38</v>
      </c>
      <c r="J15" s="49">
        <v>3848.0</v>
      </c>
      <c r="K15" s="50">
        <f t="shared" si="5"/>
        <v>0.01637214137</v>
      </c>
      <c r="L15" s="46">
        <v>225.01</v>
      </c>
      <c r="M15" s="46">
        <v>1548.0</v>
      </c>
      <c r="N15" s="47">
        <v>39.0</v>
      </c>
      <c r="O15" s="49">
        <v>176023.0</v>
      </c>
      <c r="P15" s="50">
        <f t="shared" si="6"/>
        <v>0.1453552972</v>
      </c>
      <c r="Q15" s="51">
        <f t="shared" si="7"/>
        <v>6.879694236</v>
      </c>
      <c r="R15" s="50">
        <f t="shared" si="8"/>
        <v>0.6466165414</v>
      </c>
      <c r="S15" s="16"/>
      <c r="T15" s="25"/>
      <c r="U15" s="6"/>
      <c r="V15" s="6"/>
      <c r="W15" s="6"/>
      <c r="X15" s="6"/>
      <c r="Y15" s="6"/>
      <c r="Z15" s="6"/>
    </row>
    <row r="16" hidden="1" outlineLevel="1">
      <c r="A16" s="44" t="str">
        <f t="shared" si="1"/>
        <v>12-2024</v>
      </c>
      <c r="B16" s="34">
        <v>45652.0</v>
      </c>
      <c r="C16" s="45"/>
      <c r="D16" s="46">
        <v>2869.0</v>
      </c>
      <c r="E16" s="47">
        <v>75.0</v>
      </c>
      <c r="F16" s="47">
        <v>75.0</v>
      </c>
      <c r="G16" s="48">
        <f t="shared" si="2"/>
        <v>1</v>
      </c>
      <c r="H16" s="46">
        <f t="shared" si="3"/>
        <v>38.25333333</v>
      </c>
      <c r="I16" s="46">
        <f t="shared" si="4"/>
        <v>38.25333333</v>
      </c>
      <c r="J16" s="49">
        <v>4781.0</v>
      </c>
      <c r="K16" s="50">
        <f t="shared" si="5"/>
        <v>0.01568709475</v>
      </c>
      <c r="L16" s="46">
        <v>286.19</v>
      </c>
      <c r="M16" s="46">
        <v>1609.0</v>
      </c>
      <c r="N16" s="47">
        <v>41.0</v>
      </c>
      <c r="O16" s="49">
        <v>202033.0</v>
      </c>
      <c r="P16" s="50">
        <f t="shared" si="6"/>
        <v>0.1778682411</v>
      </c>
      <c r="Q16" s="51">
        <f t="shared" si="7"/>
        <v>5.622139138</v>
      </c>
      <c r="R16" s="50">
        <f t="shared" si="8"/>
        <v>0.5608225863</v>
      </c>
      <c r="S16" s="16"/>
      <c r="T16" s="25"/>
      <c r="U16" s="6"/>
      <c r="V16" s="6"/>
      <c r="W16" s="6"/>
      <c r="X16" s="6"/>
      <c r="Y16" s="6"/>
      <c r="Z16" s="6"/>
    </row>
    <row r="17" hidden="1" outlineLevel="1">
      <c r="A17" s="44" t="str">
        <f t="shared" si="1"/>
        <v>12-2024</v>
      </c>
      <c r="B17" s="34">
        <v>45653.0</v>
      </c>
      <c r="C17" s="45"/>
      <c r="D17" s="46">
        <v>1675.0</v>
      </c>
      <c r="E17" s="47">
        <v>45.0</v>
      </c>
      <c r="F17" s="47">
        <v>44.0</v>
      </c>
      <c r="G17" s="48">
        <f t="shared" si="2"/>
        <v>1.022727273</v>
      </c>
      <c r="H17" s="46">
        <f t="shared" si="3"/>
        <v>38.06818182</v>
      </c>
      <c r="I17" s="46">
        <f t="shared" si="4"/>
        <v>37.22222222</v>
      </c>
      <c r="J17" s="49">
        <v>3964.0</v>
      </c>
      <c r="K17" s="50">
        <f t="shared" si="5"/>
        <v>0.01135216953</v>
      </c>
      <c r="L17" s="46">
        <v>217.07</v>
      </c>
      <c r="M17" s="46">
        <v>965.0</v>
      </c>
      <c r="N17" s="47">
        <v>24.0</v>
      </c>
      <c r="O17" s="49">
        <v>166991.0</v>
      </c>
      <c r="P17" s="50">
        <f t="shared" si="6"/>
        <v>0.2249430052</v>
      </c>
      <c r="Q17" s="51">
        <f t="shared" si="7"/>
        <v>4.445570553</v>
      </c>
      <c r="R17" s="50">
        <f t="shared" si="8"/>
        <v>0.576119403</v>
      </c>
      <c r="S17" s="16"/>
      <c r="T17" s="25"/>
      <c r="U17" s="6"/>
      <c r="V17" s="6"/>
      <c r="W17" s="6"/>
      <c r="X17" s="6"/>
      <c r="Y17" s="6"/>
      <c r="Z17" s="6"/>
    </row>
    <row r="18" hidden="1" outlineLevel="1">
      <c r="A18" s="44" t="str">
        <f t="shared" si="1"/>
        <v>12-2024</v>
      </c>
      <c r="B18" s="34">
        <v>45654.0</v>
      </c>
      <c r="C18" s="45"/>
      <c r="D18" s="46">
        <v>1905.0</v>
      </c>
      <c r="E18" s="47">
        <v>53.0</v>
      </c>
      <c r="F18" s="47">
        <v>53.0</v>
      </c>
      <c r="G18" s="48">
        <f t="shared" si="2"/>
        <v>1</v>
      </c>
      <c r="H18" s="46">
        <f t="shared" si="3"/>
        <v>35.94339623</v>
      </c>
      <c r="I18" s="46">
        <f t="shared" si="4"/>
        <v>35.94339623</v>
      </c>
      <c r="J18" s="49">
        <v>4594.0</v>
      </c>
      <c r="K18" s="50">
        <f t="shared" si="5"/>
        <v>0.01153678711</v>
      </c>
      <c r="L18" s="46">
        <v>252.36</v>
      </c>
      <c r="M18" s="46">
        <v>1266.97</v>
      </c>
      <c r="N18" s="47">
        <v>39.0</v>
      </c>
      <c r="O18" s="49">
        <v>184919.0</v>
      </c>
      <c r="P18" s="50">
        <f t="shared" si="6"/>
        <v>0.1991838796</v>
      </c>
      <c r="Q18" s="51">
        <f t="shared" si="7"/>
        <v>5.020486606</v>
      </c>
      <c r="R18" s="50">
        <f t="shared" si="8"/>
        <v>0.6650761155</v>
      </c>
      <c r="S18" s="16"/>
      <c r="T18" s="25"/>
      <c r="U18" s="6"/>
      <c r="V18" s="6"/>
      <c r="W18" s="6"/>
      <c r="X18" s="6"/>
      <c r="Y18" s="6"/>
      <c r="Z18" s="6"/>
    </row>
    <row r="19" hidden="1" outlineLevel="1">
      <c r="A19" s="33" t="str">
        <f t="shared" si="1"/>
        <v>12-2025</v>
      </c>
      <c r="B19" s="34">
        <v>46012.0</v>
      </c>
      <c r="C19" s="35"/>
      <c r="D19" s="36">
        <v>698.0</v>
      </c>
      <c r="E19" s="37">
        <v>22.0</v>
      </c>
      <c r="F19" s="37">
        <v>22.0</v>
      </c>
      <c r="G19" s="38">
        <f t="shared" si="2"/>
        <v>1</v>
      </c>
      <c r="H19" s="36">
        <f t="shared" si="3"/>
        <v>31.72727273</v>
      </c>
      <c r="I19" s="36">
        <f t="shared" si="4"/>
        <v>31.72727273</v>
      </c>
      <c r="J19" s="39">
        <v>2099.0</v>
      </c>
      <c r="K19" s="40">
        <f t="shared" si="5"/>
        <v>0.01048118152</v>
      </c>
      <c r="L19" s="36">
        <v>87.94</v>
      </c>
      <c r="M19" s="36">
        <v>259.0</v>
      </c>
      <c r="N19" s="37">
        <v>9.0</v>
      </c>
      <c r="O19" s="39">
        <v>77572.0</v>
      </c>
      <c r="P19" s="40">
        <f t="shared" si="6"/>
        <v>0.3395366795</v>
      </c>
      <c r="Q19" s="41">
        <f t="shared" si="7"/>
        <v>2.945189902</v>
      </c>
      <c r="R19" s="40">
        <f t="shared" si="8"/>
        <v>0.3710601719</v>
      </c>
      <c r="S19" s="42"/>
      <c r="T19" s="43"/>
      <c r="U19" s="6"/>
      <c r="V19" s="6"/>
      <c r="W19" s="6"/>
      <c r="X19" s="6"/>
      <c r="Y19" s="6"/>
      <c r="Z19" s="6"/>
    </row>
    <row r="20" hidden="1" outlineLevel="1">
      <c r="A20" s="44" t="str">
        <f t="shared" si="1"/>
        <v>12-2025</v>
      </c>
      <c r="B20" s="34">
        <v>46013.0</v>
      </c>
      <c r="C20" s="45"/>
      <c r="D20" s="46">
        <v>1231.1</v>
      </c>
      <c r="E20" s="47">
        <v>37.0</v>
      </c>
      <c r="F20" s="47">
        <v>36.0</v>
      </c>
      <c r="G20" s="48">
        <f t="shared" si="2"/>
        <v>1.027777778</v>
      </c>
      <c r="H20" s="46">
        <f t="shared" si="3"/>
        <v>34.19722222</v>
      </c>
      <c r="I20" s="46">
        <f t="shared" si="4"/>
        <v>33.27297297</v>
      </c>
      <c r="J20" s="49">
        <v>1890.0</v>
      </c>
      <c r="K20" s="50">
        <f t="shared" si="5"/>
        <v>0.01957671958</v>
      </c>
      <c r="L20" s="46">
        <v>84.94</v>
      </c>
      <c r="M20" s="46">
        <v>450.5</v>
      </c>
      <c r="N20" s="47">
        <v>12.0</v>
      </c>
      <c r="O20" s="49">
        <v>84449.0</v>
      </c>
      <c r="P20" s="50">
        <f t="shared" si="6"/>
        <v>0.1885460599</v>
      </c>
      <c r="Q20" s="51">
        <f t="shared" si="7"/>
        <v>5.303743819</v>
      </c>
      <c r="R20" s="50">
        <f t="shared" si="8"/>
        <v>0.3659329055</v>
      </c>
      <c r="S20" s="16"/>
      <c r="T20" s="25"/>
      <c r="U20" s="6"/>
      <c r="V20" s="6"/>
      <c r="W20" s="6"/>
      <c r="X20" s="6"/>
      <c r="Y20" s="6"/>
      <c r="Z20" s="6"/>
    </row>
    <row r="21" hidden="1" outlineLevel="1">
      <c r="A21" s="44" t="str">
        <f t="shared" si="1"/>
        <v>12-2025</v>
      </c>
      <c r="B21" s="34">
        <v>46014.0</v>
      </c>
      <c r="C21" s="45"/>
      <c r="D21" s="46">
        <v>676.2</v>
      </c>
      <c r="E21" s="47">
        <v>20.0</v>
      </c>
      <c r="F21" s="47">
        <v>20.0</v>
      </c>
      <c r="G21" s="48">
        <f t="shared" si="2"/>
        <v>1</v>
      </c>
      <c r="H21" s="46">
        <f t="shared" si="3"/>
        <v>33.81</v>
      </c>
      <c r="I21" s="46">
        <f t="shared" si="4"/>
        <v>33.81</v>
      </c>
      <c r="J21" s="49">
        <v>1376.0</v>
      </c>
      <c r="K21" s="50">
        <f t="shared" si="5"/>
        <v>0.01453488372</v>
      </c>
      <c r="L21" s="46">
        <v>58.04</v>
      </c>
      <c r="M21" s="46">
        <v>501.2</v>
      </c>
      <c r="N21" s="47">
        <v>14.0</v>
      </c>
      <c r="O21" s="49">
        <v>55553.0</v>
      </c>
      <c r="P21" s="50">
        <f t="shared" si="6"/>
        <v>0.115802075</v>
      </c>
      <c r="Q21" s="51">
        <f t="shared" si="7"/>
        <v>8.635423846</v>
      </c>
      <c r="R21" s="50">
        <f t="shared" si="8"/>
        <v>0.7412008282</v>
      </c>
      <c r="S21" s="16"/>
      <c r="T21" s="25"/>
      <c r="U21" s="6"/>
      <c r="V21" s="6"/>
      <c r="W21" s="6"/>
      <c r="X21" s="6"/>
      <c r="Y21" s="6"/>
      <c r="Z21" s="6"/>
    </row>
    <row r="22" hidden="1" outlineLevel="1">
      <c r="A22" s="44" t="str">
        <f t="shared" si="1"/>
        <v>12-2025</v>
      </c>
      <c r="B22" s="34">
        <v>46015.0</v>
      </c>
      <c r="C22" s="45"/>
      <c r="D22" s="46">
        <v>454.2</v>
      </c>
      <c r="E22" s="47">
        <v>13.0</v>
      </c>
      <c r="F22" s="47">
        <v>13.0</v>
      </c>
      <c r="G22" s="48">
        <f t="shared" si="2"/>
        <v>1</v>
      </c>
      <c r="H22" s="46">
        <f t="shared" si="3"/>
        <v>34.93846154</v>
      </c>
      <c r="I22" s="46">
        <f t="shared" si="4"/>
        <v>34.93846154</v>
      </c>
      <c r="J22" s="49">
        <v>1011.0</v>
      </c>
      <c r="K22" s="50">
        <f t="shared" si="5"/>
        <v>0.01285855589</v>
      </c>
      <c r="L22" s="46">
        <v>36.29</v>
      </c>
      <c r="M22" s="46">
        <v>339.2</v>
      </c>
      <c r="N22" s="47">
        <v>10.0</v>
      </c>
      <c r="O22" s="49">
        <v>35277.0</v>
      </c>
      <c r="P22" s="50">
        <f t="shared" si="6"/>
        <v>0.1069870283</v>
      </c>
      <c r="Q22" s="51">
        <f t="shared" si="7"/>
        <v>9.346927528</v>
      </c>
      <c r="R22" s="50">
        <f t="shared" si="8"/>
        <v>0.7468075738</v>
      </c>
      <c r="S22" s="16"/>
      <c r="T22" s="25"/>
      <c r="U22" s="6"/>
      <c r="V22" s="6"/>
      <c r="W22" s="6"/>
      <c r="X22" s="6"/>
      <c r="Y22" s="6"/>
      <c r="Z22" s="6"/>
    </row>
    <row r="23" hidden="1" outlineLevel="1">
      <c r="A23" s="44" t="str">
        <f t="shared" si="1"/>
        <v>12-2025</v>
      </c>
      <c r="B23" s="34">
        <v>46016.0</v>
      </c>
      <c r="C23" s="45"/>
      <c r="D23" s="46">
        <v>778.0</v>
      </c>
      <c r="E23" s="47">
        <v>21.0</v>
      </c>
      <c r="F23" s="47">
        <v>21.0</v>
      </c>
      <c r="G23" s="48">
        <f t="shared" si="2"/>
        <v>1</v>
      </c>
      <c r="H23" s="46">
        <f t="shared" si="3"/>
        <v>37.04761905</v>
      </c>
      <c r="I23" s="46">
        <f t="shared" si="4"/>
        <v>37.04761905</v>
      </c>
      <c r="J23" s="49">
        <v>1520.0</v>
      </c>
      <c r="K23" s="50">
        <f t="shared" si="5"/>
        <v>0.01381578947</v>
      </c>
      <c r="L23" s="46">
        <v>54.96</v>
      </c>
      <c r="M23" s="46">
        <v>346.8</v>
      </c>
      <c r="N23" s="47">
        <v>13.0</v>
      </c>
      <c r="O23" s="49">
        <v>61446.0</v>
      </c>
      <c r="P23" s="50">
        <f t="shared" si="6"/>
        <v>0.1584775087</v>
      </c>
      <c r="Q23" s="51">
        <f t="shared" si="7"/>
        <v>6.310043668</v>
      </c>
      <c r="R23" s="50">
        <f t="shared" si="8"/>
        <v>0.4457583548</v>
      </c>
      <c r="S23" s="16"/>
      <c r="T23" s="25"/>
      <c r="U23" s="6"/>
      <c r="V23" s="6"/>
      <c r="W23" s="6"/>
      <c r="X23" s="6"/>
      <c r="Y23" s="6"/>
      <c r="Z23" s="6"/>
    </row>
    <row r="24" hidden="1" outlineLevel="1">
      <c r="A24" s="44" t="str">
        <f t="shared" si="1"/>
        <v>12-2025</v>
      </c>
      <c r="B24" s="34">
        <v>46017.0</v>
      </c>
      <c r="C24" s="45"/>
      <c r="D24" s="46">
        <v>1270.1</v>
      </c>
      <c r="E24" s="47">
        <v>36.0</v>
      </c>
      <c r="F24" s="47">
        <v>36.0</v>
      </c>
      <c r="G24" s="48">
        <f t="shared" si="2"/>
        <v>1</v>
      </c>
      <c r="H24" s="46">
        <f t="shared" si="3"/>
        <v>35.28055556</v>
      </c>
      <c r="I24" s="46">
        <f t="shared" si="4"/>
        <v>35.28055556</v>
      </c>
      <c r="J24" s="49">
        <v>1819.0</v>
      </c>
      <c r="K24" s="50">
        <f t="shared" si="5"/>
        <v>0.01979109401</v>
      </c>
      <c r="L24" s="46">
        <v>73.01</v>
      </c>
      <c r="M24" s="46">
        <v>587.3</v>
      </c>
      <c r="N24" s="47">
        <v>16.0</v>
      </c>
      <c r="O24" s="49">
        <v>92460.0</v>
      </c>
      <c r="P24" s="50">
        <f t="shared" si="6"/>
        <v>0.1243146603</v>
      </c>
      <c r="Q24" s="51">
        <f t="shared" si="7"/>
        <v>8.044103547</v>
      </c>
      <c r="R24" s="50">
        <f t="shared" si="8"/>
        <v>0.4624045351</v>
      </c>
      <c r="S24" s="16"/>
      <c r="T24" s="25"/>
      <c r="U24" s="6"/>
      <c r="V24" s="6"/>
      <c r="W24" s="6"/>
      <c r="X24" s="6"/>
      <c r="Y24" s="6"/>
      <c r="Z24" s="6"/>
    </row>
    <row r="25" hidden="1" outlineLevel="1">
      <c r="A25" s="44" t="str">
        <f t="shared" si="1"/>
        <v>12-2025</v>
      </c>
      <c r="B25" s="34">
        <v>46018.0</v>
      </c>
      <c r="C25" s="45"/>
      <c r="D25" s="46">
        <v>748.0</v>
      </c>
      <c r="E25" s="47">
        <v>22.0</v>
      </c>
      <c r="F25" s="47">
        <v>22.0</v>
      </c>
      <c r="G25" s="48">
        <f t="shared" si="2"/>
        <v>1</v>
      </c>
      <c r="H25" s="46">
        <f t="shared" si="3"/>
        <v>34</v>
      </c>
      <c r="I25" s="46">
        <f t="shared" si="4"/>
        <v>34</v>
      </c>
      <c r="J25" s="49">
        <v>2352.0</v>
      </c>
      <c r="K25" s="50">
        <f t="shared" si="5"/>
        <v>0.009353741497</v>
      </c>
      <c r="L25" s="46">
        <v>83.64</v>
      </c>
      <c r="M25" s="46">
        <v>335.0</v>
      </c>
      <c r="N25" s="47">
        <v>8.0</v>
      </c>
      <c r="O25" s="49">
        <v>101923.0</v>
      </c>
      <c r="P25" s="50">
        <f t="shared" si="6"/>
        <v>0.2496716418</v>
      </c>
      <c r="Q25" s="51">
        <f t="shared" si="7"/>
        <v>4.005260641</v>
      </c>
      <c r="R25" s="50">
        <f t="shared" si="8"/>
        <v>0.4478609626</v>
      </c>
      <c r="S25" s="16"/>
      <c r="T25" s="25"/>
      <c r="U25" s="6"/>
      <c r="V25" s="6"/>
      <c r="W25" s="6"/>
      <c r="X25" s="6"/>
      <c r="Y25" s="6"/>
      <c r="Z25" s="6"/>
    </row>
    <row r="26" collapsed="1">
      <c r="A26" s="52" t="s">
        <v>33</v>
      </c>
      <c r="B26" s="53"/>
      <c r="C26" s="54"/>
      <c r="D26" s="55">
        <f t="shared" ref="D26:F26" si="9">SUM(D19:D25)</f>
        <v>5855.6</v>
      </c>
      <c r="E26" s="56">
        <f t="shared" si="9"/>
        <v>171</v>
      </c>
      <c r="F26" s="56">
        <f t="shared" si="9"/>
        <v>170</v>
      </c>
      <c r="G26" s="57">
        <f t="shared" si="2"/>
        <v>1.005882353</v>
      </c>
      <c r="H26" s="55">
        <f>AVERAGE(H19:H25)</f>
        <v>34.42873301</v>
      </c>
      <c r="I26" s="58">
        <f>H26/G26</f>
        <v>34.22739539</v>
      </c>
      <c r="J26" s="59">
        <f>SUM(J19:J25)</f>
        <v>12067</v>
      </c>
      <c r="K26" s="60">
        <f t="shared" si="5"/>
        <v>0.01417087926</v>
      </c>
      <c r="L26" s="55">
        <f t="shared" ref="L26:N26" si="10">SUM(L19:L25)</f>
        <v>478.82</v>
      </c>
      <c r="M26" s="55">
        <f t="shared" si="10"/>
        <v>2819</v>
      </c>
      <c r="N26" s="56">
        <f t="shared" si="10"/>
        <v>82</v>
      </c>
      <c r="O26" s="59">
        <f>sum(O19:O25)</f>
        <v>508680</v>
      </c>
      <c r="P26" s="60">
        <f t="shared" si="6"/>
        <v>0.1698545584</v>
      </c>
      <c r="Q26" s="61">
        <f t="shared" si="7"/>
        <v>5.887389833</v>
      </c>
      <c r="R26" s="62">
        <f t="shared" si="8"/>
        <v>0.4814194959</v>
      </c>
      <c r="S26" s="54" t="str">
        <f>iferror((D26-#REF!)/D26,)</f>
        <v/>
      </c>
      <c r="T26" s="63" t="str">
        <f>iferror((F26-#REF!)/F26,)</f>
        <v/>
      </c>
      <c r="U26" s="64">
        <f t="shared" ref="U26:V26" si="11">L26</f>
        <v>478.82</v>
      </c>
      <c r="V26" s="64">
        <f t="shared" si="11"/>
        <v>2819</v>
      </c>
      <c r="W26" s="6"/>
      <c r="X26" s="6"/>
      <c r="Y26" s="6"/>
      <c r="Z26" s="6"/>
    </row>
    <row r="27" hidden="1" outlineLevel="1">
      <c r="A27" s="33" t="str">
        <f t="shared" ref="A27:A33" si="12">iferror(if(B27&gt;0,month(B27)&amp;"-"&amp;year(B27),B27),)</f>
        <v>12-2025</v>
      </c>
      <c r="B27" s="34">
        <v>46019.0</v>
      </c>
      <c r="C27" s="35"/>
      <c r="D27" s="36">
        <v>861.5</v>
      </c>
      <c r="E27" s="37">
        <v>25.0</v>
      </c>
      <c r="F27" s="37">
        <v>25.0</v>
      </c>
      <c r="G27" s="38">
        <f t="shared" si="2"/>
        <v>1</v>
      </c>
      <c r="H27" s="36">
        <f t="shared" ref="H27:H33" si="13">D27/F27</f>
        <v>34.46</v>
      </c>
      <c r="I27" s="36">
        <f t="shared" ref="I27:I33" si="14">D27/E27</f>
        <v>34.46</v>
      </c>
      <c r="J27" s="39">
        <v>1776.0</v>
      </c>
      <c r="K27" s="40">
        <f t="shared" si="5"/>
        <v>0.01407657658</v>
      </c>
      <c r="L27" s="36">
        <v>61.6</v>
      </c>
      <c r="M27" s="36">
        <v>646.5</v>
      </c>
      <c r="N27" s="37">
        <v>18.0</v>
      </c>
      <c r="O27" s="39">
        <v>94959.0</v>
      </c>
      <c r="P27" s="40">
        <f t="shared" si="6"/>
        <v>0.09528228925</v>
      </c>
      <c r="Q27" s="41">
        <f t="shared" si="7"/>
        <v>10.49512987</v>
      </c>
      <c r="R27" s="40">
        <f t="shared" si="8"/>
        <v>0.7504352873</v>
      </c>
      <c r="S27" s="42"/>
      <c r="T27" s="43"/>
      <c r="U27" s="6"/>
      <c r="V27" s="6"/>
      <c r="W27" s="6"/>
      <c r="X27" s="6"/>
      <c r="Y27" s="6"/>
      <c r="Z27" s="6"/>
    </row>
    <row r="28" hidden="1" outlineLevel="1">
      <c r="A28" s="44" t="str">
        <f t="shared" si="12"/>
        <v>12-2025</v>
      </c>
      <c r="B28" s="34">
        <v>46020.0</v>
      </c>
      <c r="C28" s="45"/>
      <c r="D28" s="46">
        <v>972.5</v>
      </c>
      <c r="E28" s="47">
        <v>29.0</v>
      </c>
      <c r="F28" s="47">
        <v>29.0</v>
      </c>
      <c r="G28" s="48">
        <f t="shared" si="2"/>
        <v>1</v>
      </c>
      <c r="H28" s="46">
        <f t="shared" si="13"/>
        <v>33.53448276</v>
      </c>
      <c r="I28" s="46">
        <f t="shared" si="14"/>
        <v>33.53448276</v>
      </c>
      <c r="J28" s="49">
        <v>1554.0</v>
      </c>
      <c r="K28" s="50">
        <f t="shared" si="5"/>
        <v>0.01866151866</v>
      </c>
      <c r="L28" s="46">
        <v>57.69</v>
      </c>
      <c r="M28" s="46">
        <v>460.3</v>
      </c>
      <c r="N28" s="47">
        <v>14.0</v>
      </c>
      <c r="O28" s="49">
        <v>87218.0</v>
      </c>
      <c r="P28" s="50">
        <f t="shared" si="6"/>
        <v>0.1253313057</v>
      </c>
      <c r="Q28" s="51">
        <f t="shared" si="7"/>
        <v>7.978852487</v>
      </c>
      <c r="R28" s="50">
        <f t="shared" si="8"/>
        <v>0.4733161954</v>
      </c>
      <c r="S28" s="16"/>
      <c r="T28" s="25"/>
      <c r="U28" s="6"/>
      <c r="V28" s="6"/>
      <c r="W28" s="6"/>
      <c r="X28" s="6"/>
      <c r="Y28" s="6"/>
      <c r="Z28" s="6"/>
    </row>
    <row r="29" hidden="1" outlineLevel="1">
      <c r="A29" s="44" t="str">
        <f t="shared" si="12"/>
        <v>12-2025</v>
      </c>
      <c r="B29" s="34">
        <v>46021.0</v>
      </c>
      <c r="C29" s="45"/>
      <c r="D29" s="46">
        <v>483.5</v>
      </c>
      <c r="E29" s="47">
        <v>15.0</v>
      </c>
      <c r="F29" s="47">
        <v>15.0</v>
      </c>
      <c r="G29" s="48">
        <f t="shared" si="2"/>
        <v>1</v>
      </c>
      <c r="H29" s="46">
        <f t="shared" si="13"/>
        <v>32.23333333</v>
      </c>
      <c r="I29" s="46">
        <f t="shared" si="14"/>
        <v>32.23333333</v>
      </c>
      <c r="J29" s="49">
        <v>1173.0</v>
      </c>
      <c r="K29" s="50">
        <f t="shared" si="5"/>
        <v>0.01278772379</v>
      </c>
      <c r="L29" s="46">
        <v>43.28</v>
      </c>
      <c r="M29" s="46">
        <v>544.0</v>
      </c>
      <c r="N29" s="47">
        <v>12.0</v>
      </c>
      <c r="O29" s="49">
        <v>84787.0</v>
      </c>
      <c r="P29" s="50">
        <f t="shared" si="6"/>
        <v>0.07955882353</v>
      </c>
      <c r="Q29" s="51">
        <f t="shared" si="7"/>
        <v>12.56931608</v>
      </c>
      <c r="R29" s="50">
        <f t="shared" si="8"/>
        <v>1.125129266</v>
      </c>
      <c r="S29" s="16"/>
      <c r="T29" s="25"/>
      <c r="U29" s="6"/>
      <c r="V29" s="6"/>
      <c r="W29" s="6"/>
      <c r="X29" s="6"/>
      <c r="Y29" s="6"/>
      <c r="Z29" s="6"/>
    </row>
    <row r="30" hidden="1" outlineLevel="1">
      <c r="A30" s="44" t="str">
        <f t="shared" si="12"/>
        <v>12-2025</v>
      </c>
      <c r="B30" s="34">
        <v>46022.0</v>
      </c>
      <c r="C30" s="45"/>
      <c r="D30" s="46">
        <v>484.0</v>
      </c>
      <c r="E30" s="47">
        <v>10.0</v>
      </c>
      <c r="F30" s="47">
        <v>10.0</v>
      </c>
      <c r="G30" s="48">
        <f t="shared" si="2"/>
        <v>1</v>
      </c>
      <c r="H30" s="46">
        <f t="shared" si="13"/>
        <v>48.4</v>
      </c>
      <c r="I30" s="46">
        <f t="shared" si="14"/>
        <v>48.4</v>
      </c>
      <c r="J30" s="49">
        <v>936.0</v>
      </c>
      <c r="K30" s="50">
        <f t="shared" si="5"/>
        <v>0.01068376068</v>
      </c>
      <c r="L30" s="46">
        <v>33.9</v>
      </c>
      <c r="M30" s="46">
        <v>120.0</v>
      </c>
      <c r="N30" s="47">
        <v>2.0</v>
      </c>
      <c r="O30" s="49">
        <v>74298.0</v>
      </c>
      <c r="P30" s="50">
        <f t="shared" si="6"/>
        <v>0.2825</v>
      </c>
      <c r="Q30" s="51">
        <f t="shared" si="7"/>
        <v>3.539823009</v>
      </c>
      <c r="R30" s="50">
        <f t="shared" si="8"/>
        <v>0.2479338843</v>
      </c>
      <c r="S30" s="16"/>
      <c r="T30" s="25"/>
      <c r="U30" s="6"/>
      <c r="V30" s="6"/>
      <c r="W30" s="6"/>
      <c r="X30" s="6"/>
      <c r="Y30" s="6"/>
      <c r="Z30" s="6"/>
    </row>
    <row r="31" hidden="1" outlineLevel="1">
      <c r="A31" s="44" t="str">
        <f t="shared" si="12"/>
        <v>1-2026</v>
      </c>
      <c r="B31" s="34">
        <v>46023.0</v>
      </c>
      <c r="C31" s="45"/>
      <c r="D31" s="46">
        <v>667.0</v>
      </c>
      <c r="E31" s="47">
        <v>16.0</v>
      </c>
      <c r="F31" s="47">
        <v>16.0</v>
      </c>
      <c r="G31" s="48">
        <f t="shared" si="2"/>
        <v>1</v>
      </c>
      <c r="H31" s="46">
        <f t="shared" si="13"/>
        <v>41.6875</v>
      </c>
      <c r="I31" s="46">
        <f t="shared" si="14"/>
        <v>41.6875</v>
      </c>
      <c r="J31" s="49">
        <v>1360.0</v>
      </c>
      <c r="K31" s="50">
        <f t="shared" si="5"/>
        <v>0.01176470588</v>
      </c>
      <c r="L31" s="46">
        <v>65.62</v>
      </c>
      <c r="M31" s="46">
        <v>626.0</v>
      </c>
      <c r="N31" s="47">
        <v>14.0</v>
      </c>
      <c r="O31" s="49">
        <v>104251.0</v>
      </c>
      <c r="P31" s="50">
        <f t="shared" si="6"/>
        <v>0.1048242812</v>
      </c>
      <c r="Q31" s="51">
        <f t="shared" si="7"/>
        <v>9.539774459</v>
      </c>
      <c r="R31" s="50">
        <f t="shared" si="8"/>
        <v>0.9385307346</v>
      </c>
      <c r="S31" s="16"/>
      <c r="T31" s="25"/>
      <c r="U31" s="6"/>
      <c r="V31" s="6"/>
      <c r="W31" s="6"/>
      <c r="X31" s="6"/>
      <c r="Y31" s="6"/>
      <c r="Z31" s="6"/>
    </row>
    <row r="32" hidden="1" outlineLevel="1">
      <c r="A32" s="44" t="str">
        <f t="shared" si="12"/>
        <v>1-2026</v>
      </c>
      <c r="B32" s="34">
        <v>46024.0</v>
      </c>
      <c r="C32" s="45"/>
      <c r="D32" s="46">
        <v>908.0</v>
      </c>
      <c r="E32" s="47">
        <v>24.0</v>
      </c>
      <c r="F32" s="47">
        <v>24.0</v>
      </c>
      <c r="G32" s="48">
        <f t="shared" si="2"/>
        <v>1</v>
      </c>
      <c r="H32" s="46">
        <f t="shared" si="13"/>
        <v>37.83333333</v>
      </c>
      <c r="I32" s="46">
        <f t="shared" si="14"/>
        <v>37.83333333</v>
      </c>
      <c r="J32" s="49">
        <v>1263.0</v>
      </c>
      <c r="K32" s="50">
        <f t="shared" si="5"/>
        <v>0.0190023753</v>
      </c>
      <c r="L32" s="46">
        <v>57.38</v>
      </c>
      <c r="M32" s="46">
        <v>435.0</v>
      </c>
      <c r="N32" s="47">
        <v>12.0</v>
      </c>
      <c r="O32" s="49">
        <v>100978.0</v>
      </c>
      <c r="P32" s="50">
        <f t="shared" si="6"/>
        <v>0.131908046</v>
      </c>
      <c r="Q32" s="51">
        <f t="shared" si="7"/>
        <v>7.581038689</v>
      </c>
      <c r="R32" s="50">
        <f t="shared" si="8"/>
        <v>0.4790748899</v>
      </c>
      <c r="S32" s="16"/>
      <c r="T32" s="25"/>
      <c r="U32" s="6"/>
      <c r="V32" s="6"/>
      <c r="W32" s="6"/>
      <c r="X32" s="6"/>
      <c r="Y32" s="6"/>
      <c r="Z32" s="6"/>
    </row>
    <row r="33" hidden="1" outlineLevel="1">
      <c r="A33" s="44" t="str">
        <f t="shared" si="12"/>
        <v>1-2026</v>
      </c>
      <c r="B33" s="34">
        <v>46025.0</v>
      </c>
      <c r="C33" s="45"/>
      <c r="D33" s="46">
        <v>895.0</v>
      </c>
      <c r="E33" s="47">
        <v>25.0</v>
      </c>
      <c r="F33" s="47">
        <v>25.0</v>
      </c>
      <c r="G33" s="48">
        <f t="shared" si="2"/>
        <v>1</v>
      </c>
      <c r="H33" s="46">
        <f t="shared" si="13"/>
        <v>35.8</v>
      </c>
      <c r="I33" s="46">
        <f t="shared" si="14"/>
        <v>35.8</v>
      </c>
      <c r="J33" s="49">
        <v>1280.0</v>
      </c>
      <c r="K33" s="50">
        <f t="shared" si="5"/>
        <v>0.01953125</v>
      </c>
      <c r="L33" s="46">
        <v>56.43</v>
      </c>
      <c r="M33" s="46">
        <v>420.0</v>
      </c>
      <c r="N33" s="47">
        <v>14.0</v>
      </c>
      <c r="O33" s="49">
        <v>105151.0</v>
      </c>
      <c r="P33" s="50">
        <f t="shared" si="6"/>
        <v>0.1343571429</v>
      </c>
      <c r="Q33" s="51">
        <f t="shared" si="7"/>
        <v>7.442849548</v>
      </c>
      <c r="R33" s="50">
        <f t="shared" si="8"/>
        <v>0.469273743</v>
      </c>
      <c r="S33" s="16"/>
      <c r="T33" s="25"/>
      <c r="U33" s="6"/>
      <c r="V33" s="6"/>
      <c r="W33" s="6"/>
      <c r="X33" s="6"/>
      <c r="Y33" s="6"/>
      <c r="Z33" s="6"/>
    </row>
    <row r="34" collapsed="1">
      <c r="A34" s="52" t="s">
        <v>34</v>
      </c>
      <c r="B34" s="53"/>
      <c r="C34" s="54"/>
      <c r="D34" s="55">
        <f t="shared" ref="D34:F34" si="15">SUM(D27:D33)</f>
        <v>5271.5</v>
      </c>
      <c r="E34" s="56">
        <f t="shared" si="15"/>
        <v>144</v>
      </c>
      <c r="F34" s="56">
        <f t="shared" si="15"/>
        <v>144</v>
      </c>
      <c r="G34" s="57">
        <f t="shared" si="2"/>
        <v>1</v>
      </c>
      <c r="H34" s="55">
        <f>AVERAGE(H27:H33)</f>
        <v>37.70694992</v>
      </c>
      <c r="I34" s="58">
        <f>H34/G34</f>
        <v>37.70694992</v>
      </c>
      <c r="J34" s="59">
        <f>SUM(J27:J33)</f>
        <v>9342</v>
      </c>
      <c r="K34" s="60">
        <f t="shared" si="5"/>
        <v>0.01541425819</v>
      </c>
      <c r="L34" s="55">
        <f t="shared" ref="L34:N34" si="16">SUM(L27:L33)</f>
        <v>375.9</v>
      </c>
      <c r="M34" s="55">
        <f t="shared" si="16"/>
        <v>3251.8</v>
      </c>
      <c r="N34" s="56">
        <f t="shared" si="16"/>
        <v>86</v>
      </c>
      <c r="O34" s="59">
        <f>sum(O27:O33)</f>
        <v>651642</v>
      </c>
      <c r="P34" s="60">
        <f t="shared" si="6"/>
        <v>0.1155975152</v>
      </c>
      <c r="Q34" s="61">
        <f t="shared" si="7"/>
        <v>8.650704975</v>
      </c>
      <c r="R34" s="62">
        <f t="shared" si="8"/>
        <v>0.6168642701</v>
      </c>
      <c r="S34" s="54" t="str">
        <f>iferror((D34-#REF!)/D34,)</f>
        <v/>
      </c>
      <c r="T34" s="63" t="str">
        <f>iferror((F34-#REF!)/F34,)</f>
        <v/>
      </c>
      <c r="U34" s="64">
        <f t="shared" ref="U34:V34" si="17">L34</f>
        <v>375.9</v>
      </c>
      <c r="V34" s="64">
        <f t="shared" si="17"/>
        <v>3251.8</v>
      </c>
      <c r="W34" s="6"/>
      <c r="X34" s="6"/>
      <c r="Y34" s="6"/>
      <c r="Z34" s="6"/>
    </row>
    <row r="35" hidden="1" outlineLevel="1">
      <c r="A35" s="33" t="str">
        <f t="shared" ref="A35:A41" si="18">iferror(if(B35&gt;0,month(B35)&amp;"-"&amp;year(B35),B35),)</f>
        <v>1-2026</v>
      </c>
      <c r="B35" s="34">
        <v>46026.0</v>
      </c>
      <c r="C35" s="35"/>
      <c r="D35" s="36">
        <v>929.0</v>
      </c>
      <c r="E35" s="37">
        <v>26.0</v>
      </c>
      <c r="F35" s="37">
        <v>26.0</v>
      </c>
      <c r="G35" s="38">
        <f t="shared" si="2"/>
        <v>1</v>
      </c>
      <c r="H35" s="36">
        <f t="shared" ref="H35:H41" si="19">D35/F35</f>
        <v>35.73076923</v>
      </c>
      <c r="I35" s="36">
        <f t="shared" ref="I35:I41" si="20">D35/E35</f>
        <v>35.73076923</v>
      </c>
      <c r="J35" s="39">
        <v>1484.0</v>
      </c>
      <c r="K35" s="40">
        <f t="shared" si="5"/>
        <v>0.01752021563</v>
      </c>
      <c r="L35" s="36">
        <v>63.93</v>
      </c>
      <c r="M35" s="36">
        <v>699.0</v>
      </c>
      <c r="N35" s="37">
        <v>18.0</v>
      </c>
      <c r="O35" s="39">
        <v>120775.0</v>
      </c>
      <c r="P35" s="40">
        <f t="shared" si="6"/>
        <v>0.09145922747</v>
      </c>
      <c r="Q35" s="41">
        <f t="shared" si="7"/>
        <v>10.93383388</v>
      </c>
      <c r="R35" s="40">
        <f t="shared" si="8"/>
        <v>0.7524219591</v>
      </c>
      <c r="S35" s="42"/>
      <c r="T35" s="43"/>
      <c r="U35" s="6"/>
      <c r="V35" s="6"/>
      <c r="W35" s="6"/>
      <c r="X35" s="6"/>
      <c r="Y35" s="6"/>
      <c r="Z35" s="6"/>
    </row>
    <row r="36" hidden="1" outlineLevel="1">
      <c r="A36" s="44" t="str">
        <f t="shared" si="18"/>
        <v>1-2026</v>
      </c>
      <c r="B36" s="34">
        <v>46027.0</v>
      </c>
      <c r="C36" s="45"/>
      <c r="D36" s="46">
        <v>483.0</v>
      </c>
      <c r="E36" s="47">
        <v>14.0</v>
      </c>
      <c r="F36" s="47">
        <v>14.0</v>
      </c>
      <c r="G36" s="48">
        <f t="shared" si="2"/>
        <v>1</v>
      </c>
      <c r="H36" s="46">
        <f t="shared" si="19"/>
        <v>34.5</v>
      </c>
      <c r="I36" s="46">
        <f t="shared" si="20"/>
        <v>34.5</v>
      </c>
      <c r="J36" s="49">
        <v>1605.0</v>
      </c>
      <c r="K36" s="50">
        <f t="shared" si="5"/>
        <v>0.008722741433</v>
      </c>
      <c r="L36" s="46">
        <v>42.32</v>
      </c>
      <c r="M36" s="46">
        <v>244.0</v>
      </c>
      <c r="N36" s="47">
        <v>8.0</v>
      </c>
      <c r="O36" s="49">
        <v>101677.0</v>
      </c>
      <c r="P36" s="50">
        <f t="shared" si="6"/>
        <v>0.173442623</v>
      </c>
      <c r="Q36" s="51">
        <f t="shared" si="7"/>
        <v>5.765595463</v>
      </c>
      <c r="R36" s="50">
        <f t="shared" si="8"/>
        <v>0.5051759834</v>
      </c>
      <c r="S36" s="16"/>
      <c r="T36" s="25"/>
      <c r="U36" s="6"/>
      <c r="V36" s="6"/>
      <c r="W36" s="6"/>
      <c r="X36" s="6"/>
      <c r="Y36" s="6"/>
      <c r="Z36" s="6"/>
    </row>
    <row r="37" hidden="1" outlineLevel="1">
      <c r="A37" s="44" t="str">
        <f t="shared" si="18"/>
        <v>1-2026</v>
      </c>
      <c r="B37" s="34">
        <v>46028.0</v>
      </c>
      <c r="C37" s="45"/>
      <c r="D37" s="46">
        <v>1047.0</v>
      </c>
      <c r="E37" s="47">
        <v>26.0</v>
      </c>
      <c r="F37" s="47">
        <v>26.0</v>
      </c>
      <c r="G37" s="48">
        <f t="shared" si="2"/>
        <v>1</v>
      </c>
      <c r="H37" s="46">
        <f t="shared" si="19"/>
        <v>40.26923077</v>
      </c>
      <c r="I37" s="46">
        <f t="shared" si="20"/>
        <v>40.26923077</v>
      </c>
      <c r="J37" s="49">
        <v>2362.0</v>
      </c>
      <c r="K37" s="50">
        <f t="shared" si="5"/>
        <v>0.01100762066</v>
      </c>
      <c r="L37" s="46">
        <v>62.47</v>
      </c>
      <c r="M37" s="46">
        <v>345.0</v>
      </c>
      <c r="N37" s="47">
        <v>10.0</v>
      </c>
      <c r="O37" s="49">
        <v>107212.0</v>
      </c>
      <c r="P37" s="50">
        <f t="shared" si="6"/>
        <v>0.1810724638</v>
      </c>
      <c r="Q37" s="51">
        <f t="shared" si="7"/>
        <v>5.522650872</v>
      </c>
      <c r="R37" s="50">
        <f t="shared" si="8"/>
        <v>0.329512894</v>
      </c>
      <c r="S37" s="16"/>
      <c r="T37" s="25"/>
      <c r="U37" s="6"/>
      <c r="V37" s="6"/>
      <c r="W37" s="6"/>
      <c r="X37" s="6"/>
      <c r="Y37" s="6"/>
      <c r="Z37" s="6"/>
    </row>
    <row r="38" hidden="1" outlineLevel="1">
      <c r="A38" s="44" t="str">
        <f t="shared" si="18"/>
        <v>1-2026</v>
      </c>
      <c r="B38" s="34">
        <v>46029.0</v>
      </c>
      <c r="C38" s="45"/>
      <c r="D38" s="46">
        <v>779.0</v>
      </c>
      <c r="E38" s="47">
        <v>24.0</v>
      </c>
      <c r="F38" s="47">
        <v>24.0</v>
      </c>
      <c r="G38" s="48">
        <f t="shared" si="2"/>
        <v>1</v>
      </c>
      <c r="H38" s="46">
        <f t="shared" si="19"/>
        <v>32.45833333</v>
      </c>
      <c r="I38" s="46">
        <f t="shared" si="20"/>
        <v>32.45833333</v>
      </c>
      <c r="J38" s="49">
        <v>2798.0</v>
      </c>
      <c r="K38" s="50">
        <f t="shared" si="5"/>
        <v>0.008577555397</v>
      </c>
      <c r="L38" s="46">
        <v>55.32</v>
      </c>
      <c r="M38" s="46">
        <v>619.0</v>
      </c>
      <c r="N38" s="47">
        <v>17.0</v>
      </c>
      <c r="O38" s="49">
        <v>98998.0</v>
      </c>
      <c r="P38" s="50">
        <f t="shared" si="6"/>
        <v>0.08936995153</v>
      </c>
      <c r="Q38" s="51">
        <f t="shared" si="7"/>
        <v>11.18944324</v>
      </c>
      <c r="R38" s="50">
        <f t="shared" si="8"/>
        <v>0.7946084724</v>
      </c>
      <c r="S38" s="16"/>
      <c r="T38" s="25"/>
      <c r="U38" s="6"/>
      <c r="V38" s="6"/>
      <c r="W38" s="6"/>
      <c r="X38" s="6"/>
      <c r="Y38" s="6"/>
      <c r="Z38" s="6"/>
    </row>
    <row r="39" hidden="1" outlineLevel="1">
      <c r="A39" s="44" t="str">
        <f t="shared" si="18"/>
        <v>1-2026</v>
      </c>
      <c r="B39" s="34">
        <v>46030.0</v>
      </c>
      <c r="C39" s="45"/>
      <c r="D39" s="46">
        <v>415.0</v>
      </c>
      <c r="E39" s="47">
        <v>12.0</v>
      </c>
      <c r="F39" s="47">
        <v>12.0</v>
      </c>
      <c r="G39" s="48">
        <f t="shared" si="2"/>
        <v>1</v>
      </c>
      <c r="H39" s="46">
        <f t="shared" si="19"/>
        <v>34.58333333</v>
      </c>
      <c r="I39" s="46">
        <f t="shared" si="20"/>
        <v>34.58333333</v>
      </c>
      <c r="J39" s="49">
        <v>2429.0</v>
      </c>
      <c r="K39" s="50">
        <f t="shared" si="5"/>
        <v>0.004940304652</v>
      </c>
      <c r="L39" s="46">
        <v>51.99</v>
      </c>
      <c r="M39" s="46">
        <v>145.0</v>
      </c>
      <c r="N39" s="47">
        <v>4.0</v>
      </c>
      <c r="O39" s="49">
        <v>98686.0</v>
      </c>
      <c r="P39" s="50">
        <f t="shared" si="6"/>
        <v>0.3585517241</v>
      </c>
      <c r="Q39" s="51">
        <f t="shared" si="7"/>
        <v>2.788997884</v>
      </c>
      <c r="R39" s="50">
        <f t="shared" si="8"/>
        <v>0.3493975904</v>
      </c>
      <c r="S39" s="16"/>
      <c r="T39" s="25"/>
      <c r="U39" s="6"/>
      <c r="V39" s="6"/>
      <c r="W39" s="6"/>
      <c r="X39" s="6"/>
      <c r="Y39" s="6"/>
      <c r="Z39" s="6"/>
    </row>
    <row r="40" hidden="1" outlineLevel="1">
      <c r="A40" s="44" t="str">
        <f t="shared" si="18"/>
        <v>1-2026</v>
      </c>
      <c r="B40" s="34">
        <v>46031.0</v>
      </c>
      <c r="C40" s="45"/>
      <c r="D40" s="46">
        <v>574.0</v>
      </c>
      <c r="E40" s="47">
        <v>17.0</v>
      </c>
      <c r="F40" s="47">
        <v>17.0</v>
      </c>
      <c r="G40" s="48">
        <f t="shared" si="2"/>
        <v>1</v>
      </c>
      <c r="H40" s="46">
        <f t="shared" si="19"/>
        <v>33.76470588</v>
      </c>
      <c r="I40" s="46">
        <f t="shared" si="20"/>
        <v>33.76470588</v>
      </c>
      <c r="J40" s="49">
        <v>1390.0</v>
      </c>
      <c r="K40" s="50">
        <f t="shared" si="5"/>
        <v>0.01223021583</v>
      </c>
      <c r="L40" s="46">
        <v>68.71</v>
      </c>
      <c r="M40" s="46">
        <v>290.0</v>
      </c>
      <c r="N40" s="47">
        <v>6.0</v>
      </c>
      <c r="O40" s="49">
        <v>102196.0</v>
      </c>
      <c r="P40" s="50">
        <f t="shared" si="6"/>
        <v>0.2369310345</v>
      </c>
      <c r="Q40" s="51">
        <f t="shared" si="7"/>
        <v>4.220637462</v>
      </c>
      <c r="R40" s="50">
        <f t="shared" si="8"/>
        <v>0.5052264808</v>
      </c>
      <c r="S40" s="16"/>
      <c r="T40" s="25"/>
      <c r="U40" s="6"/>
      <c r="V40" s="6"/>
      <c r="W40" s="6"/>
      <c r="X40" s="6"/>
      <c r="Y40" s="6"/>
      <c r="Z40" s="6"/>
    </row>
    <row r="41" hidden="1" outlineLevel="1">
      <c r="A41" s="44" t="str">
        <f t="shared" si="18"/>
        <v>1-2026</v>
      </c>
      <c r="B41" s="34">
        <v>46032.0</v>
      </c>
      <c r="C41" s="45"/>
      <c r="D41" s="46">
        <v>779.0</v>
      </c>
      <c r="E41" s="47">
        <v>18.0</v>
      </c>
      <c r="F41" s="47">
        <v>18.0</v>
      </c>
      <c r="G41" s="48">
        <f t="shared" si="2"/>
        <v>1</v>
      </c>
      <c r="H41" s="46">
        <f t="shared" si="19"/>
        <v>43.27777778</v>
      </c>
      <c r="I41" s="46">
        <f t="shared" si="20"/>
        <v>43.27777778</v>
      </c>
      <c r="J41" s="49">
        <v>1790.0</v>
      </c>
      <c r="K41" s="50">
        <f t="shared" si="5"/>
        <v>0.01005586592</v>
      </c>
      <c r="L41" s="46">
        <v>76.17</v>
      </c>
      <c r="M41" s="46">
        <v>249.0</v>
      </c>
      <c r="N41" s="47">
        <v>4.0</v>
      </c>
      <c r="O41" s="49">
        <v>126680.0</v>
      </c>
      <c r="P41" s="50">
        <f t="shared" si="6"/>
        <v>0.3059036145</v>
      </c>
      <c r="Q41" s="51">
        <f t="shared" si="7"/>
        <v>3.269003545</v>
      </c>
      <c r="R41" s="50">
        <f t="shared" si="8"/>
        <v>0.3196405648</v>
      </c>
      <c r="S41" s="16"/>
      <c r="T41" s="25"/>
      <c r="U41" s="6"/>
      <c r="V41" s="6"/>
      <c r="W41" s="6"/>
      <c r="X41" s="6"/>
      <c r="Y41" s="6"/>
      <c r="Z41" s="6"/>
    </row>
    <row r="42" collapsed="1">
      <c r="A42" s="52" t="s">
        <v>35</v>
      </c>
      <c r="B42" s="53"/>
      <c r="C42" s="54"/>
      <c r="D42" s="55">
        <f t="shared" ref="D42:F42" si="21">SUM(D35:D41)</f>
        <v>5006</v>
      </c>
      <c r="E42" s="56">
        <f t="shared" si="21"/>
        <v>137</v>
      </c>
      <c r="F42" s="56">
        <f t="shared" si="21"/>
        <v>137</v>
      </c>
      <c r="G42" s="57">
        <f t="shared" si="2"/>
        <v>1</v>
      </c>
      <c r="H42" s="55">
        <f>AVERAGE(H35:H41)</f>
        <v>36.36916433</v>
      </c>
      <c r="I42" s="58">
        <f>H42/G42</f>
        <v>36.36916433</v>
      </c>
      <c r="J42" s="59">
        <f>SUM(J35:J41)</f>
        <v>13858</v>
      </c>
      <c r="K42" s="60">
        <f t="shared" si="5"/>
        <v>0.009885986434</v>
      </c>
      <c r="L42" s="55">
        <f t="shared" ref="L42:N42" si="22">SUM(L35:L41)</f>
        <v>420.91</v>
      </c>
      <c r="M42" s="55">
        <f t="shared" si="22"/>
        <v>2591</v>
      </c>
      <c r="N42" s="56">
        <f t="shared" si="22"/>
        <v>67</v>
      </c>
      <c r="O42" s="59">
        <f>sum(O35:O41)</f>
        <v>756224</v>
      </c>
      <c r="P42" s="60">
        <f t="shared" si="6"/>
        <v>0.1624507912</v>
      </c>
      <c r="Q42" s="61">
        <f t="shared" si="7"/>
        <v>6.155710247</v>
      </c>
      <c r="R42" s="62">
        <f t="shared" si="8"/>
        <v>0.5175789053</v>
      </c>
      <c r="S42" s="54" t="str">
        <f>iferror((D42-#REF!)/D42,)</f>
        <v/>
      </c>
      <c r="T42" s="63" t="str">
        <f>iferror((F42-#REF!)/F42,)</f>
        <v/>
      </c>
      <c r="U42" s="64">
        <f t="shared" ref="U42:V42" si="23">L42</f>
        <v>420.91</v>
      </c>
      <c r="V42" s="64">
        <f t="shared" si="23"/>
        <v>2591</v>
      </c>
      <c r="W42" s="6"/>
      <c r="X42" s="6"/>
      <c r="Y42" s="6"/>
      <c r="Z42" s="6"/>
    </row>
    <row r="43" hidden="1" outlineLevel="1">
      <c r="A43" s="33" t="str">
        <f t="shared" ref="A43:A49" si="24">iferror(if(B43&gt;0,month(B43)&amp;"-"&amp;year(B43),B43),)</f>
        <v>1-2026</v>
      </c>
      <c r="B43" s="34">
        <v>46033.0</v>
      </c>
      <c r="C43" s="35"/>
      <c r="D43" s="36">
        <v>849.0</v>
      </c>
      <c r="E43" s="37">
        <v>23.0</v>
      </c>
      <c r="F43" s="37">
        <v>22.0</v>
      </c>
      <c r="G43" s="38">
        <f t="shared" si="2"/>
        <v>1.045454545</v>
      </c>
      <c r="H43" s="36">
        <f t="shared" ref="H43:H49" si="25">D43/F43</f>
        <v>38.59090909</v>
      </c>
      <c r="I43" s="36">
        <f t="shared" ref="I43:I49" si="26">D43/E43</f>
        <v>36.91304348</v>
      </c>
      <c r="J43" s="39">
        <v>2066.0</v>
      </c>
      <c r="K43" s="40">
        <f t="shared" si="5"/>
        <v>0.01113262343</v>
      </c>
      <c r="L43" s="36">
        <v>95.6</v>
      </c>
      <c r="M43" s="36">
        <v>335.0</v>
      </c>
      <c r="N43" s="37">
        <v>11.0</v>
      </c>
      <c r="O43" s="39">
        <v>139908.0</v>
      </c>
      <c r="P43" s="40">
        <f t="shared" si="6"/>
        <v>0.2853731343</v>
      </c>
      <c r="Q43" s="41">
        <f t="shared" si="7"/>
        <v>3.5041841</v>
      </c>
      <c r="R43" s="40">
        <f t="shared" si="8"/>
        <v>0.394581861</v>
      </c>
      <c r="S43" s="42"/>
      <c r="T43" s="43"/>
      <c r="U43" s="6"/>
      <c r="V43" s="6"/>
      <c r="W43" s="6"/>
      <c r="X43" s="6"/>
      <c r="Y43" s="6"/>
      <c r="Z43" s="6"/>
    </row>
    <row r="44" hidden="1" outlineLevel="1">
      <c r="A44" s="44" t="str">
        <f t="shared" si="24"/>
        <v>1-2026</v>
      </c>
      <c r="B44" s="34">
        <v>46034.0</v>
      </c>
      <c r="C44" s="45"/>
      <c r="D44" s="46">
        <v>839.0</v>
      </c>
      <c r="E44" s="47">
        <v>26.0</v>
      </c>
      <c r="F44" s="47">
        <v>26.0</v>
      </c>
      <c r="G44" s="48">
        <f t="shared" si="2"/>
        <v>1</v>
      </c>
      <c r="H44" s="46">
        <f t="shared" si="25"/>
        <v>32.26923077</v>
      </c>
      <c r="I44" s="46">
        <f t="shared" si="26"/>
        <v>32.26923077</v>
      </c>
      <c r="J44" s="49">
        <v>1686.0</v>
      </c>
      <c r="K44" s="50">
        <f t="shared" si="5"/>
        <v>0.01542111507</v>
      </c>
      <c r="L44" s="46">
        <v>67.08</v>
      </c>
      <c r="M44" s="46">
        <v>538.0</v>
      </c>
      <c r="N44" s="47">
        <v>16.0</v>
      </c>
      <c r="O44" s="49">
        <v>112406.0</v>
      </c>
      <c r="P44" s="50">
        <f t="shared" si="6"/>
        <v>0.1246840149</v>
      </c>
      <c r="Q44" s="51">
        <f t="shared" si="7"/>
        <v>8.020274299</v>
      </c>
      <c r="R44" s="50">
        <f t="shared" si="8"/>
        <v>0.6412395709</v>
      </c>
      <c r="S44" s="16"/>
      <c r="T44" s="25"/>
      <c r="U44" s="6"/>
      <c r="V44" s="6"/>
      <c r="W44" s="6"/>
      <c r="X44" s="6"/>
      <c r="Y44" s="6"/>
      <c r="Z44" s="6"/>
    </row>
    <row r="45" hidden="1" outlineLevel="1">
      <c r="A45" s="44" t="str">
        <f t="shared" si="24"/>
        <v>1-2026</v>
      </c>
      <c r="B45" s="34">
        <v>46035.0</v>
      </c>
      <c r="C45" s="45"/>
      <c r="D45" s="46">
        <v>843.0</v>
      </c>
      <c r="E45" s="47">
        <v>25.0</v>
      </c>
      <c r="F45" s="47">
        <v>25.0</v>
      </c>
      <c r="G45" s="48">
        <f t="shared" si="2"/>
        <v>1</v>
      </c>
      <c r="H45" s="46">
        <f t="shared" si="25"/>
        <v>33.72</v>
      </c>
      <c r="I45" s="46">
        <f t="shared" si="26"/>
        <v>33.72</v>
      </c>
      <c r="J45" s="49">
        <v>1469.0</v>
      </c>
      <c r="K45" s="50">
        <f t="shared" si="5"/>
        <v>0.01701837985</v>
      </c>
      <c r="L45" s="46">
        <v>56.74</v>
      </c>
      <c r="M45" s="46">
        <v>399.0</v>
      </c>
      <c r="N45" s="47">
        <v>12.0</v>
      </c>
      <c r="O45" s="49">
        <v>94645.0</v>
      </c>
      <c r="P45" s="50">
        <f t="shared" si="6"/>
        <v>0.1422055138</v>
      </c>
      <c r="Q45" s="51">
        <f t="shared" si="7"/>
        <v>7.032076137</v>
      </c>
      <c r="R45" s="50">
        <f t="shared" si="8"/>
        <v>0.4733096085</v>
      </c>
      <c r="S45" s="16"/>
      <c r="T45" s="25"/>
      <c r="U45" s="6"/>
      <c r="V45" s="6"/>
      <c r="W45" s="6"/>
      <c r="X45" s="6"/>
      <c r="Y45" s="6"/>
      <c r="Z45" s="6"/>
    </row>
    <row r="46" hidden="1" outlineLevel="1">
      <c r="A46" s="44" t="str">
        <f t="shared" si="24"/>
        <v>1-2026</v>
      </c>
      <c r="B46" s="34">
        <v>46036.0</v>
      </c>
      <c r="C46" s="45"/>
      <c r="D46" s="46">
        <v>1013.0</v>
      </c>
      <c r="E46" s="47">
        <v>28.0</v>
      </c>
      <c r="F46" s="47">
        <v>28.0</v>
      </c>
      <c r="G46" s="48">
        <f t="shared" si="2"/>
        <v>1</v>
      </c>
      <c r="H46" s="46">
        <f t="shared" si="25"/>
        <v>36.17857143</v>
      </c>
      <c r="I46" s="46">
        <f t="shared" si="26"/>
        <v>36.17857143</v>
      </c>
      <c r="J46" s="49">
        <v>1486.0</v>
      </c>
      <c r="K46" s="50">
        <f t="shared" si="5"/>
        <v>0.01884253028</v>
      </c>
      <c r="L46" s="46">
        <v>63.09</v>
      </c>
      <c r="M46" s="46">
        <v>646.0</v>
      </c>
      <c r="N46" s="47">
        <v>16.0</v>
      </c>
      <c r="O46" s="49">
        <v>98050.0</v>
      </c>
      <c r="P46" s="50">
        <f t="shared" si="6"/>
        <v>0.0976625387</v>
      </c>
      <c r="Q46" s="51">
        <f t="shared" si="7"/>
        <v>10.23934062</v>
      </c>
      <c r="R46" s="50">
        <f t="shared" si="8"/>
        <v>0.637709773</v>
      </c>
      <c r="S46" s="16"/>
      <c r="T46" s="25"/>
      <c r="U46" s="6"/>
      <c r="V46" s="6"/>
      <c r="W46" s="6"/>
      <c r="X46" s="6"/>
      <c r="Y46" s="6"/>
      <c r="Z46" s="6"/>
    </row>
    <row r="47" hidden="1" outlineLevel="1">
      <c r="A47" s="44" t="str">
        <f t="shared" si="24"/>
        <v>1-2026</v>
      </c>
      <c r="B47" s="34">
        <v>46037.0</v>
      </c>
      <c r="C47" s="45"/>
      <c r="D47" s="46">
        <v>348.0</v>
      </c>
      <c r="E47" s="47">
        <v>11.0</v>
      </c>
      <c r="F47" s="47">
        <v>11.0</v>
      </c>
      <c r="G47" s="48">
        <f t="shared" si="2"/>
        <v>1</v>
      </c>
      <c r="H47" s="46">
        <f t="shared" si="25"/>
        <v>31.63636364</v>
      </c>
      <c r="I47" s="46">
        <f t="shared" si="26"/>
        <v>31.63636364</v>
      </c>
      <c r="J47" s="49">
        <v>1538.0</v>
      </c>
      <c r="K47" s="50">
        <f t="shared" si="5"/>
        <v>0.007152145644</v>
      </c>
      <c r="L47" s="46">
        <v>69.48</v>
      </c>
      <c r="M47" s="46">
        <v>254.0</v>
      </c>
      <c r="N47" s="47">
        <v>9.0</v>
      </c>
      <c r="O47" s="49">
        <v>97173.0</v>
      </c>
      <c r="P47" s="50">
        <f t="shared" si="6"/>
        <v>0.2735433071</v>
      </c>
      <c r="Q47" s="51">
        <f t="shared" si="7"/>
        <v>3.655728267</v>
      </c>
      <c r="R47" s="50">
        <f t="shared" si="8"/>
        <v>0.7298850575</v>
      </c>
      <c r="S47" s="16"/>
      <c r="T47" s="25"/>
      <c r="U47" s="6"/>
      <c r="V47" s="6"/>
      <c r="W47" s="6"/>
      <c r="X47" s="6"/>
      <c r="Y47" s="6"/>
      <c r="Z47" s="6"/>
    </row>
    <row r="48" hidden="1" outlineLevel="1">
      <c r="A48" s="44" t="str">
        <f t="shared" si="24"/>
        <v>1-2026</v>
      </c>
      <c r="B48" s="34">
        <v>46038.0</v>
      </c>
      <c r="C48" s="45"/>
      <c r="D48" s="46">
        <v>789.0</v>
      </c>
      <c r="E48" s="47">
        <v>19.0</v>
      </c>
      <c r="F48" s="47">
        <v>19.0</v>
      </c>
      <c r="G48" s="48">
        <f t="shared" si="2"/>
        <v>1</v>
      </c>
      <c r="H48" s="46">
        <f t="shared" si="25"/>
        <v>41.52631579</v>
      </c>
      <c r="I48" s="46">
        <f t="shared" si="26"/>
        <v>41.52631579</v>
      </c>
      <c r="J48" s="49">
        <v>1376.0</v>
      </c>
      <c r="K48" s="50">
        <f t="shared" si="5"/>
        <v>0.01380813953</v>
      </c>
      <c r="L48" s="46">
        <v>64.9</v>
      </c>
      <c r="M48" s="46">
        <v>309.0</v>
      </c>
      <c r="N48" s="47">
        <v>9.0</v>
      </c>
      <c r="O48" s="49">
        <v>119672.0</v>
      </c>
      <c r="P48" s="50">
        <f t="shared" si="6"/>
        <v>0.2100323625</v>
      </c>
      <c r="Q48" s="51">
        <f t="shared" si="7"/>
        <v>4.761171032</v>
      </c>
      <c r="R48" s="50">
        <f t="shared" si="8"/>
        <v>0.391634981</v>
      </c>
      <c r="S48" s="16"/>
      <c r="T48" s="25"/>
      <c r="U48" s="6"/>
      <c r="V48" s="6"/>
      <c r="W48" s="6"/>
      <c r="X48" s="6"/>
      <c r="Y48" s="6"/>
      <c r="Z48" s="6"/>
    </row>
    <row r="49" hidden="1" outlineLevel="1">
      <c r="A49" s="44" t="str">
        <f t="shared" si="24"/>
        <v>1-2026</v>
      </c>
      <c r="B49" s="34">
        <v>46039.0</v>
      </c>
      <c r="C49" s="45"/>
      <c r="D49" s="46">
        <v>933.0</v>
      </c>
      <c r="E49" s="47">
        <v>27.0</v>
      </c>
      <c r="F49" s="47">
        <v>27.0</v>
      </c>
      <c r="G49" s="48">
        <f t="shared" si="2"/>
        <v>1</v>
      </c>
      <c r="H49" s="46">
        <f t="shared" si="25"/>
        <v>34.55555556</v>
      </c>
      <c r="I49" s="46">
        <f t="shared" si="26"/>
        <v>34.55555556</v>
      </c>
      <c r="J49" s="49">
        <v>1743.0</v>
      </c>
      <c r="K49" s="50">
        <f t="shared" si="5"/>
        <v>0.01549053356</v>
      </c>
      <c r="L49" s="46">
        <v>99.67</v>
      </c>
      <c r="M49" s="46">
        <v>694.0</v>
      </c>
      <c r="N49" s="47">
        <v>20.0</v>
      </c>
      <c r="O49" s="49">
        <v>178385.0</v>
      </c>
      <c r="P49" s="50">
        <f t="shared" si="6"/>
        <v>0.1436167147</v>
      </c>
      <c r="Q49" s="51">
        <f t="shared" si="7"/>
        <v>6.962977827</v>
      </c>
      <c r="R49" s="50">
        <f t="shared" si="8"/>
        <v>0.7438370847</v>
      </c>
      <c r="S49" s="16"/>
      <c r="T49" s="25"/>
      <c r="U49" s="6"/>
      <c r="V49" s="6"/>
      <c r="W49" s="6"/>
      <c r="X49" s="6"/>
      <c r="Y49" s="6"/>
      <c r="Z49" s="6"/>
    </row>
    <row r="50" collapsed="1">
      <c r="A50" s="52" t="s">
        <v>36</v>
      </c>
      <c r="B50" s="53"/>
      <c r="C50" s="54"/>
      <c r="D50" s="55">
        <f t="shared" ref="D50:F50" si="27">SUM(D43:D49)</f>
        <v>5614</v>
      </c>
      <c r="E50" s="56">
        <f t="shared" si="27"/>
        <v>159</v>
      </c>
      <c r="F50" s="56">
        <f t="shared" si="27"/>
        <v>158</v>
      </c>
      <c r="G50" s="57">
        <f t="shared" si="2"/>
        <v>1.006329114</v>
      </c>
      <c r="H50" s="55">
        <f>AVERAGE(H43:H49)</f>
        <v>35.49670661</v>
      </c>
      <c r="I50" s="58">
        <f>H50/G50</f>
        <v>35.27345688</v>
      </c>
      <c r="J50" s="59">
        <f>SUM(J43:J49)</f>
        <v>11364</v>
      </c>
      <c r="K50" s="60">
        <f t="shared" si="5"/>
        <v>0.01399155227</v>
      </c>
      <c r="L50" s="55">
        <f t="shared" ref="L50:N50" si="28">SUM(L43:L49)</f>
        <v>516.56</v>
      </c>
      <c r="M50" s="55">
        <f t="shared" si="28"/>
        <v>3175</v>
      </c>
      <c r="N50" s="56">
        <f t="shared" si="28"/>
        <v>93</v>
      </c>
      <c r="O50" s="59">
        <f>sum(O43:O49)</f>
        <v>840239</v>
      </c>
      <c r="P50" s="60">
        <f t="shared" si="6"/>
        <v>0.162696063</v>
      </c>
      <c r="Q50" s="61">
        <f t="shared" si="7"/>
        <v>6.146430231</v>
      </c>
      <c r="R50" s="62">
        <f t="shared" si="8"/>
        <v>0.5655504097</v>
      </c>
      <c r="S50" s="54" t="str">
        <f>iferror((D50-#REF!)/D50,)</f>
        <v/>
      </c>
      <c r="T50" s="63" t="str">
        <f>iferror((F50-#REF!)/F50,)</f>
        <v/>
      </c>
      <c r="U50" s="64">
        <f t="shared" ref="U50:V50" si="29">L50</f>
        <v>516.56</v>
      </c>
      <c r="V50" s="64">
        <f t="shared" si="29"/>
        <v>3175</v>
      </c>
      <c r="W50" s="6"/>
      <c r="X50" s="6"/>
      <c r="Y50" s="6"/>
      <c r="Z50" s="6"/>
    </row>
    <row r="51" hidden="1" outlineLevel="1">
      <c r="A51" s="33" t="str">
        <f t="shared" ref="A51:A57" si="30">iferror(if(B51&gt;0,month(B51)&amp;"-"&amp;year(B51),B51),)</f>
        <v>1-2026</v>
      </c>
      <c r="B51" s="34">
        <v>46040.0</v>
      </c>
      <c r="C51" s="35"/>
      <c r="D51" s="36">
        <v>800.0</v>
      </c>
      <c r="E51" s="37">
        <v>22.0</v>
      </c>
      <c r="F51" s="37">
        <v>22.0</v>
      </c>
      <c r="G51" s="38">
        <f t="shared" si="2"/>
        <v>1</v>
      </c>
      <c r="H51" s="36">
        <f t="shared" ref="H51:H57" si="31">D51/F51</f>
        <v>36.36363636</v>
      </c>
      <c r="I51" s="36">
        <f t="shared" ref="I51:I57" si="32">D51/E51</f>
        <v>36.36363636</v>
      </c>
      <c r="J51" s="39">
        <v>2158.0</v>
      </c>
      <c r="K51" s="40">
        <f t="shared" si="5"/>
        <v>0.01019462465</v>
      </c>
      <c r="L51" s="36">
        <v>98.13</v>
      </c>
      <c r="M51" s="36">
        <v>625.0</v>
      </c>
      <c r="N51" s="37">
        <v>15.0</v>
      </c>
      <c r="O51" s="39">
        <v>182133.0</v>
      </c>
      <c r="P51" s="40">
        <f t="shared" si="6"/>
        <v>0.157008</v>
      </c>
      <c r="Q51" s="41">
        <f t="shared" si="7"/>
        <v>6.369102211</v>
      </c>
      <c r="R51" s="40">
        <f t="shared" si="8"/>
        <v>0.78125</v>
      </c>
      <c r="S51" s="42"/>
      <c r="T51" s="43"/>
      <c r="U51" s="6"/>
      <c r="V51" s="6"/>
      <c r="W51" s="6"/>
      <c r="X51" s="6"/>
      <c r="Y51" s="6"/>
      <c r="Z51" s="6"/>
    </row>
    <row r="52" hidden="1" outlineLevel="1">
      <c r="A52" s="44" t="str">
        <f t="shared" si="30"/>
        <v>1-2026</v>
      </c>
      <c r="B52" s="34">
        <v>46041.0</v>
      </c>
      <c r="C52" s="45"/>
      <c r="D52" s="46">
        <v>728.0</v>
      </c>
      <c r="E52" s="47">
        <v>21.0</v>
      </c>
      <c r="F52" s="47">
        <v>21.0</v>
      </c>
      <c r="G52" s="48">
        <f t="shared" si="2"/>
        <v>1</v>
      </c>
      <c r="H52" s="46">
        <f t="shared" si="31"/>
        <v>34.66666667</v>
      </c>
      <c r="I52" s="46">
        <f t="shared" si="32"/>
        <v>34.66666667</v>
      </c>
      <c r="J52" s="49">
        <v>1846.0</v>
      </c>
      <c r="K52" s="50">
        <f t="shared" si="5"/>
        <v>0.011375948</v>
      </c>
      <c r="L52" s="46">
        <v>80.08</v>
      </c>
      <c r="M52" s="46">
        <v>289.0</v>
      </c>
      <c r="N52" s="47">
        <v>9.0</v>
      </c>
      <c r="O52" s="49">
        <v>178167.0</v>
      </c>
      <c r="P52" s="50">
        <f t="shared" si="6"/>
        <v>0.2770934256</v>
      </c>
      <c r="Q52" s="51">
        <f t="shared" si="7"/>
        <v>3.608891109</v>
      </c>
      <c r="R52" s="50">
        <f t="shared" si="8"/>
        <v>0.396978022</v>
      </c>
      <c r="S52" s="16"/>
      <c r="T52" s="25"/>
      <c r="U52" s="6"/>
      <c r="V52" s="6"/>
      <c r="W52" s="6"/>
      <c r="X52" s="6"/>
      <c r="Y52" s="6"/>
      <c r="Z52" s="6"/>
    </row>
    <row r="53" hidden="1" outlineLevel="1">
      <c r="A53" s="44" t="str">
        <f t="shared" si="30"/>
        <v>1-2026</v>
      </c>
      <c r="B53" s="34">
        <v>46042.0</v>
      </c>
      <c r="C53" s="45"/>
      <c r="D53" s="46">
        <v>1044.0</v>
      </c>
      <c r="E53" s="47">
        <v>26.0</v>
      </c>
      <c r="F53" s="47">
        <v>26.0</v>
      </c>
      <c r="G53" s="48">
        <f t="shared" si="2"/>
        <v>1</v>
      </c>
      <c r="H53" s="46">
        <f t="shared" si="31"/>
        <v>40.15384615</v>
      </c>
      <c r="I53" s="46">
        <f t="shared" si="32"/>
        <v>40.15384615</v>
      </c>
      <c r="J53" s="49">
        <v>1586.0</v>
      </c>
      <c r="K53" s="50">
        <f t="shared" si="5"/>
        <v>0.01639344262</v>
      </c>
      <c r="L53" s="46">
        <v>77.83</v>
      </c>
      <c r="M53" s="46">
        <v>994.0</v>
      </c>
      <c r="N53" s="47">
        <v>24.0</v>
      </c>
      <c r="O53" s="49">
        <v>158531.0</v>
      </c>
      <c r="P53" s="50">
        <f t="shared" si="6"/>
        <v>0.07829979879</v>
      </c>
      <c r="Q53" s="51">
        <f t="shared" si="7"/>
        <v>12.7714249</v>
      </c>
      <c r="R53" s="50">
        <f t="shared" si="8"/>
        <v>0.9521072797</v>
      </c>
      <c r="S53" s="16"/>
      <c r="T53" s="25"/>
      <c r="U53" s="6"/>
      <c r="V53" s="6"/>
      <c r="W53" s="6"/>
      <c r="X53" s="6"/>
      <c r="Y53" s="6"/>
      <c r="Z53" s="6"/>
    </row>
    <row r="54" hidden="1" outlineLevel="1">
      <c r="A54" s="44" t="str">
        <f t="shared" si="30"/>
        <v>1-2026</v>
      </c>
      <c r="B54" s="34">
        <v>46043.0</v>
      </c>
      <c r="C54" s="45"/>
      <c r="D54" s="46">
        <v>689.0</v>
      </c>
      <c r="E54" s="47">
        <v>15.0</v>
      </c>
      <c r="F54" s="47">
        <v>15.0</v>
      </c>
      <c r="G54" s="48">
        <f t="shared" si="2"/>
        <v>1</v>
      </c>
      <c r="H54" s="46">
        <f t="shared" si="31"/>
        <v>45.93333333</v>
      </c>
      <c r="I54" s="46">
        <f t="shared" si="32"/>
        <v>45.93333333</v>
      </c>
      <c r="J54" s="49">
        <v>1726.0</v>
      </c>
      <c r="K54" s="50">
        <f t="shared" si="5"/>
        <v>0.008690614137</v>
      </c>
      <c r="L54" s="46">
        <v>82.97</v>
      </c>
      <c r="M54" s="46">
        <v>489.0</v>
      </c>
      <c r="N54" s="47">
        <v>11.0</v>
      </c>
      <c r="O54" s="49">
        <v>181520.0</v>
      </c>
      <c r="P54" s="50">
        <f t="shared" si="6"/>
        <v>0.1696728016</v>
      </c>
      <c r="Q54" s="51">
        <f t="shared" si="7"/>
        <v>5.893696517</v>
      </c>
      <c r="R54" s="50">
        <f t="shared" si="8"/>
        <v>0.709724238</v>
      </c>
      <c r="S54" s="16"/>
      <c r="T54" s="25"/>
      <c r="U54" s="6"/>
      <c r="V54" s="6"/>
      <c r="W54" s="6"/>
      <c r="X54" s="6"/>
      <c r="Y54" s="6"/>
      <c r="Z54" s="6"/>
    </row>
    <row r="55" hidden="1" outlineLevel="1">
      <c r="A55" s="44" t="str">
        <f t="shared" si="30"/>
        <v>1-2026</v>
      </c>
      <c r="B55" s="34">
        <v>46044.0</v>
      </c>
      <c r="C55" s="45"/>
      <c r="D55" s="46">
        <v>588.0</v>
      </c>
      <c r="E55" s="47">
        <v>16.0</v>
      </c>
      <c r="F55" s="47">
        <v>16.0</v>
      </c>
      <c r="G55" s="48">
        <f t="shared" si="2"/>
        <v>1</v>
      </c>
      <c r="H55" s="46">
        <f t="shared" si="31"/>
        <v>36.75</v>
      </c>
      <c r="I55" s="46">
        <f t="shared" si="32"/>
        <v>36.75</v>
      </c>
      <c r="J55" s="49">
        <v>1527.0</v>
      </c>
      <c r="K55" s="50">
        <f t="shared" si="5"/>
        <v>0.01047806156</v>
      </c>
      <c r="L55" s="46">
        <v>65.92</v>
      </c>
      <c r="M55" s="46">
        <v>597.0</v>
      </c>
      <c r="N55" s="47">
        <v>16.0</v>
      </c>
      <c r="O55" s="49">
        <v>165376.0</v>
      </c>
      <c r="P55" s="50">
        <f t="shared" si="6"/>
        <v>0.1104187605</v>
      </c>
      <c r="Q55" s="51">
        <f t="shared" si="7"/>
        <v>9.056432039</v>
      </c>
      <c r="R55" s="50">
        <f t="shared" si="8"/>
        <v>1.015306122</v>
      </c>
      <c r="S55" s="16"/>
      <c r="T55" s="25"/>
      <c r="U55" s="6"/>
      <c r="V55" s="6"/>
      <c r="W55" s="6"/>
      <c r="X55" s="6"/>
      <c r="Y55" s="6"/>
      <c r="Z55" s="6"/>
    </row>
    <row r="56" hidden="1" outlineLevel="1">
      <c r="A56" s="44" t="str">
        <f t="shared" si="30"/>
        <v>1-2026</v>
      </c>
      <c r="B56" s="34">
        <v>46045.0</v>
      </c>
      <c r="C56" s="45"/>
      <c r="D56" s="46">
        <v>434.0</v>
      </c>
      <c r="E56" s="47">
        <v>14.0</v>
      </c>
      <c r="F56" s="47">
        <v>14.0</v>
      </c>
      <c r="G56" s="48">
        <f t="shared" si="2"/>
        <v>1</v>
      </c>
      <c r="H56" s="46">
        <f t="shared" si="31"/>
        <v>31</v>
      </c>
      <c r="I56" s="46">
        <f t="shared" si="32"/>
        <v>31</v>
      </c>
      <c r="J56" s="49">
        <v>2066.0</v>
      </c>
      <c r="K56" s="50">
        <f t="shared" si="5"/>
        <v>0.006776379477</v>
      </c>
      <c r="L56" s="46">
        <v>67.62</v>
      </c>
      <c r="M56" s="46">
        <v>150.0</v>
      </c>
      <c r="N56" s="47">
        <v>5.0</v>
      </c>
      <c r="O56" s="49">
        <v>158773.0</v>
      </c>
      <c r="P56" s="50">
        <f t="shared" si="6"/>
        <v>0.4508</v>
      </c>
      <c r="Q56" s="51">
        <f t="shared" si="7"/>
        <v>2.218278616</v>
      </c>
      <c r="R56" s="50">
        <f t="shared" si="8"/>
        <v>0.3456221198</v>
      </c>
      <c r="S56" s="16"/>
      <c r="T56" s="25"/>
      <c r="U56" s="6"/>
      <c r="V56" s="6"/>
      <c r="W56" s="6"/>
      <c r="X56" s="6"/>
      <c r="Y56" s="6"/>
      <c r="Z56" s="6"/>
    </row>
    <row r="57" hidden="1" outlineLevel="1">
      <c r="A57" s="44" t="str">
        <f t="shared" si="30"/>
        <v>1-2026</v>
      </c>
      <c r="B57" s="34">
        <v>46046.0</v>
      </c>
      <c r="C57" s="45"/>
      <c r="D57" s="46">
        <v>719.0</v>
      </c>
      <c r="E57" s="47">
        <v>20.0</v>
      </c>
      <c r="F57" s="47">
        <v>20.0</v>
      </c>
      <c r="G57" s="48">
        <f t="shared" si="2"/>
        <v>1</v>
      </c>
      <c r="H57" s="46">
        <f t="shared" si="31"/>
        <v>35.95</v>
      </c>
      <c r="I57" s="46">
        <f t="shared" si="32"/>
        <v>35.95</v>
      </c>
      <c r="J57" s="49">
        <v>2396.0</v>
      </c>
      <c r="K57" s="50">
        <f t="shared" si="5"/>
        <v>0.008347245409</v>
      </c>
      <c r="L57" s="46">
        <v>92.76</v>
      </c>
      <c r="M57" s="46">
        <v>294.0</v>
      </c>
      <c r="N57" s="47">
        <v>9.0</v>
      </c>
      <c r="O57" s="49">
        <v>177199.0</v>
      </c>
      <c r="P57" s="50">
        <f t="shared" si="6"/>
        <v>0.3155102041</v>
      </c>
      <c r="Q57" s="51">
        <f t="shared" si="7"/>
        <v>3.169469599</v>
      </c>
      <c r="R57" s="50">
        <f t="shared" si="8"/>
        <v>0.4089012517</v>
      </c>
      <c r="S57" s="16"/>
      <c r="T57" s="25"/>
      <c r="U57" s="6"/>
      <c r="V57" s="6"/>
      <c r="W57" s="6"/>
      <c r="X57" s="6"/>
      <c r="Y57" s="6"/>
      <c r="Z57" s="6"/>
    </row>
    <row r="58" collapsed="1">
      <c r="A58" s="52" t="s">
        <v>37</v>
      </c>
      <c r="B58" s="53"/>
      <c r="C58" s="54"/>
      <c r="D58" s="55">
        <f t="shared" ref="D58:F58" si="33">SUM(D51:D57)</f>
        <v>5002</v>
      </c>
      <c r="E58" s="56">
        <f t="shared" si="33"/>
        <v>134</v>
      </c>
      <c r="F58" s="56">
        <f t="shared" si="33"/>
        <v>134</v>
      </c>
      <c r="G58" s="57">
        <f t="shared" si="2"/>
        <v>1</v>
      </c>
      <c r="H58" s="55">
        <f>AVERAGE(H51:H57)</f>
        <v>37.25964036</v>
      </c>
      <c r="I58" s="58">
        <f>H58/G58</f>
        <v>37.25964036</v>
      </c>
      <c r="J58" s="59">
        <f>SUM(J51:J57)</f>
        <v>13305</v>
      </c>
      <c r="K58" s="60">
        <f t="shared" si="5"/>
        <v>0.01007140173</v>
      </c>
      <c r="L58" s="55">
        <f t="shared" ref="L58:N58" si="34">SUM(L51:L57)</f>
        <v>565.31</v>
      </c>
      <c r="M58" s="55">
        <f t="shared" si="34"/>
        <v>3438</v>
      </c>
      <c r="N58" s="56">
        <f t="shared" si="34"/>
        <v>89</v>
      </c>
      <c r="O58" s="59">
        <f>sum(O51:O57)</f>
        <v>1201699</v>
      </c>
      <c r="P58" s="60">
        <f t="shared" si="6"/>
        <v>0.1644299011</v>
      </c>
      <c r="Q58" s="61">
        <f t="shared" si="7"/>
        <v>6.081618935</v>
      </c>
      <c r="R58" s="62">
        <f t="shared" si="8"/>
        <v>0.68732507</v>
      </c>
      <c r="S58" s="54" t="str">
        <f>iferror((D58-#REF!)/D58,)</f>
        <v/>
      </c>
      <c r="T58" s="63" t="str">
        <f>iferror((F58-#REF!)/F58,)</f>
        <v/>
      </c>
      <c r="U58" s="64">
        <f t="shared" ref="U58:V58" si="35">L58</f>
        <v>565.31</v>
      </c>
      <c r="V58" s="64">
        <f t="shared" si="35"/>
        <v>3438</v>
      </c>
      <c r="W58" s="6"/>
      <c r="X58" s="6"/>
      <c r="Y58" s="6"/>
      <c r="Z58" s="6"/>
    </row>
    <row r="59" hidden="1" outlineLevel="1">
      <c r="A59" s="33" t="str">
        <f t="shared" ref="A59:A65" si="36">iferror(if(B59&gt;0,month(B59)&amp;"-"&amp;year(B59),B59),)</f>
        <v>1-2026</v>
      </c>
      <c r="B59" s="34">
        <v>46047.0</v>
      </c>
      <c r="C59" s="35"/>
      <c r="D59" s="36">
        <v>319.0</v>
      </c>
      <c r="E59" s="37">
        <v>8.0</v>
      </c>
      <c r="F59" s="37">
        <v>8.0</v>
      </c>
      <c r="G59" s="38">
        <f t="shared" si="2"/>
        <v>1</v>
      </c>
      <c r="H59" s="36">
        <f t="shared" ref="H59:H65" si="37">D59/F59</f>
        <v>39.875</v>
      </c>
      <c r="I59" s="36">
        <f t="shared" ref="I59:I65" si="38">D59/E59</f>
        <v>39.875</v>
      </c>
      <c r="J59" s="39">
        <v>1748.0</v>
      </c>
      <c r="K59" s="40">
        <f t="shared" si="5"/>
        <v>0.004576659039</v>
      </c>
      <c r="L59" s="36">
        <v>85.85</v>
      </c>
      <c r="M59" s="36">
        <v>199.0</v>
      </c>
      <c r="N59" s="37">
        <v>4.0</v>
      </c>
      <c r="O59" s="39">
        <v>291444.0</v>
      </c>
      <c r="P59" s="40">
        <f t="shared" si="6"/>
        <v>0.4314070352</v>
      </c>
      <c r="Q59" s="41">
        <f t="shared" si="7"/>
        <v>2.317996506</v>
      </c>
      <c r="R59" s="40">
        <f t="shared" si="8"/>
        <v>0.6238244514</v>
      </c>
      <c r="S59" s="42"/>
      <c r="T59" s="43"/>
      <c r="U59" s="6"/>
      <c r="V59" s="6"/>
      <c r="W59" s="6"/>
      <c r="X59" s="6"/>
      <c r="Y59" s="6"/>
      <c r="Z59" s="6"/>
    </row>
    <row r="60" hidden="1" outlineLevel="1">
      <c r="A60" s="44" t="str">
        <f t="shared" si="36"/>
        <v>1-2026</v>
      </c>
      <c r="B60" s="34">
        <v>46048.0</v>
      </c>
      <c r="C60" s="45"/>
      <c r="D60" s="46">
        <v>518.0</v>
      </c>
      <c r="E60" s="47">
        <v>13.0</v>
      </c>
      <c r="F60" s="47">
        <v>13.0</v>
      </c>
      <c r="G60" s="48">
        <f t="shared" si="2"/>
        <v>1</v>
      </c>
      <c r="H60" s="46">
        <f t="shared" si="37"/>
        <v>39.84615385</v>
      </c>
      <c r="I60" s="46">
        <f t="shared" si="38"/>
        <v>39.84615385</v>
      </c>
      <c r="J60" s="49">
        <v>1701.0</v>
      </c>
      <c r="K60" s="50">
        <f t="shared" si="5"/>
        <v>0.007642563198</v>
      </c>
      <c r="L60" s="46">
        <v>73.45</v>
      </c>
      <c r="M60" s="46">
        <v>423.0</v>
      </c>
      <c r="N60" s="47">
        <v>10.0</v>
      </c>
      <c r="O60" s="49">
        <v>155727.0</v>
      </c>
      <c r="P60" s="50">
        <f t="shared" si="6"/>
        <v>0.1736406619</v>
      </c>
      <c r="Q60" s="51">
        <f t="shared" si="7"/>
        <v>5.759019741</v>
      </c>
      <c r="R60" s="50">
        <f t="shared" si="8"/>
        <v>0.8166023166</v>
      </c>
      <c r="S60" s="16"/>
      <c r="T60" s="25"/>
      <c r="U60" s="6"/>
      <c r="V60" s="6"/>
      <c r="W60" s="6"/>
      <c r="X60" s="6"/>
      <c r="Y60" s="6"/>
      <c r="Z60" s="6"/>
    </row>
    <row r="61" hidden="1" outlineLevel="1">
      <c r="A61" s="44" t="str">
        <f t="shared" si="36"/>
        <v>1-2026</v>
      </c>
      <c r="B61" s="34">
        <v>46049.0</v>
      </c>
      <c r="C61" s="45"/>
      <c r="D61" s="46">
        <v>560.0</v>
      </c>
      <c r="E61" s="47">
        <v>14.0</v>
      </c>
      <c r="F61" s="47">
        <v>14.0</v>
      </c>
      <c r="G61" s="48">
        <f t="shared" si="2"/>
        <v>1</v>
      </c>
      <c r="H61" s="46">
        <f t="shared" si="37"/>
        <v>40</v>
      </c>
      <c r="I61" s="46">
        <f t="shared" si="38"/>
        <v>40</v>
      </c>
      <c r="J61" s="49">
        <v>1295.0</v>
      </c>
      <c r="K61" s="50">
        <f t="shared" si="5"/>
        <v>0.01081081081</v>
      </c>
      <c r="L61" s="46">
        <v>61.46</v>
      </c>
      <c r="M61" s="46">
        <v>410.0</v>
      </c>
      <c r="N61" s="47">
        <v>10.0</v>
      </c>
      <c r="O61" s="49">
        <v>142076.0</v>
      </c>
      <c r="P61" s="50">
        <f t="shared" si="6"/>
        <v>0.149902439</v>
      </c>
      <c r="Q61" s="51">
        <f t="shared" si="7"/>
        <v>6.671005532</v>
      </c>
      <c r="R61" s="50">
        <f t="shared" si="8"/>
        <v>0.7321428571</v>
      </c>
      <c r="S61" s="16"/>
      <c r="T61" s="25"/>
      <c r="U61" s="6"/>
      <c r="V61" s="6"/>
      <c r="W61" s="6"/>
      <c r="X61" s="6"/>
      <c r="Y61" s="6"/>
      <c r="Z61" s="6"/>
    </row>
    <row r="62" hidden="1" outlineLevel="1">
      <c r="A62" s="44" t="str">
        <f t="shared" si="36"/>
        <v>1-2026</v>
      </c>
      <c r="B62" s="34">
        <v>46050.0</v>
      </c>
      <c r="C62" s="45"/>
      <c r="D62" s="46">
        <v>380.0</v>
      </c>
      <c r="E62" s="47">
        <v>13.0</v>
      </c>
      <c r="F62" s="47">
        <v>13.0</v>
      </c>
      <c r="G62" s="48">
        <f t="shared" si="2"/>
        <v>1</v>
      </c>
      <c r="H62" s="46">
        <f t="shared" si="37"/>
        <v>29.23076923</v>
      </c>
      <c r="I62" s="46">
        <f t="shared" si="38"/>
        <v>29.23076923</v>
      </c>
      <c r="J62" s="49">
        <v>1420.0</v>
      </c>
      <c r="K62" s="50">
        <f t="shared" si="5"/>
        <v>0.009154929577</v>
      </c>
      <c r="L62" s="46">
        <v>59.2</v>
      </c>
      <c r="M62" s="46">
        <v>449.0</v>
      </c>
      <c r="N62" s="47">
        <v>13.0</v>
      </c>
      <c r="O62" s="49">
        <v>150226.0</v>
      </c>
      <c r="P62" s="50">
        <f t="shared" si="6"/>
        <v>0.1318485523</v>
      </c>
      <c r="Q62" s="51">
        <f t="shared" si="7"/>
        <v>7.584459459</v>
      </c>
      <c r="R62" s="50">
        <f t="shared" si="8"/>
        <v>1.181578947</v>
      </c>
      <c r="S62" s="16"/>
      <c r="T62" s="25"/>
      <c r="U62" s="6"/>
      <c r="V62" s="6"/>
      <c r="W62" s="6"/>
      <c r="X62" s="6"/>
      <c r="Y62" s="6"/>
      <c r="Z62" s="6"/>
    </row>
    <row r="63" hidden="1" outlineLevel="1">
      <c r="A63" s="44" t="str">
        <f t="shared" si="36"/>
        <v>1-2026</v>
      </c>
      <c r="B63" s="34">
        <v>46051.0</v>
      </c>
      <c r="C63" s="45"/>
      <c r="D63" s="46">
        <v>839.0</v>
      </c>
      <c r="E63" s="47">
        <v>24.0</v>
      </c>
      <c r="F63" s="47">
        <v>24.0</v>
      </c>
      <c r="G63" s="48">
        <f t="shared" si="2"/>
        <v>1</v>
      </c>
      <c r="H63" s="46">
        <f t="shared" si="37"/>
        <v>34.95833333</v>
      </c>
      <c r="I63" s="46">
        <f t="shared" si="38"/>
        <v>34.95833333</v>
      </c>
      <c r="J63" s="49">
        <v>1456.0</v>
      </c>
      <c r="K63" s="50">
        <f t="shared" si="5"/>
        <v>0.01648351648</v>
      </c>
      <c r="L63" s="46">
        <v>63.57</v>
      </c>
      <c r="M63" s="46">
        <v>418.0</v>
      </c>
      <c r="N63" s="47">
        <v>11.0</v>
      </c>
      <c r="O63" s="49">
        <v>140120.0</v>
      </c>
      <c r="P63" s="50">
        <f t="shared" si="6"/>
        <v>0.1520813397</v>
      </c>
      <c r="Q63" s="51">
        <f t="shared" si="7"/>
        <v>6.575428661</v>
      </c>
      <c r="R63" s="50">
        <f t="shared" si="8"/>
        <v>0.4982121573</v>
      </c>
      <c r="S63" s="16"/>
      <c r="T63" s="25"/>
      <c r="U63" s="6"/>
      <c r="V63" s="6"/>
      <c r="W63" s="6"/>
      <c r="X63" s="6"/>
      <c r="Y63" s="6"/>
      <c r="Z63" s="6"/>
    </row>
    <row r="64" hidden="1" outlineLevel="1">
      <c r="A64" s="44" t="str">
        <f t="shared" si="36"/>
        <v>1-2026</v>
      </c>
      <c r="B64" s="34">
        <v>46052.0</v>
      </c>
      <c r="C64" s="45"/>
      <c r="D64" s="46">
        <v>554.0</v>
      </c>
      <c r="E64" s="47">
        <v>15.0</v>
      </c>
      <c r="F64" s="47">
        <v>15.0</v>
      </c>
      <c r="G64" s="48">
        <f t="shared" si="2"/>
        <v>1</v>
      </c>
      <c r="H64" s="46">
        <f t="shared" si="37"/>
        <v>36.93333333</v>
      </c>
      <c r="I64" s="46">
        <f t="shared" si="38"/>
        <v>36.93333333</v>
      </c>
      <c r="J64" s="49">
        <v>1095.0</v>
      </c>
      <c r="K64" s="50">
        <f t="shared" si="5"/>
        <v>0.01369863014</v>
      </c>
      <c r="L64" s="46">
        <v>45.17</v>
      </c>
      <c r="M64" s="46">
        <v>210.0</v>
      </c>
      <c r="N64" s="47">
        <v>7.0</v>
      </c>
      <c r="O64" s="49">
        <v>126004.0</v>
      </c>
      <c r="P64" s="50">
        <f t="shared" si="6"/>
        <v>0.2150952381</v>
      </c>
      <c r="Q64" s="51">
        <f t="shared" si="7"/>
        <v>4.649103387</v>
      </c>
      <c r="R64" s="50">
        <f t="shared" si="8"/>
        <v>0.3790613718</v>
      </c>
      <c r="S64" s="16"/>
      <c r="T64" s="25"/>
      <c r="U64" s="6"/>
      <c r="V64" s="6"/>
      <c r="W64" s="6"/>
      <c r="X64" s="6"/>
      <c r="Y64" s="6"/>
      <c r="Z64" s="6"/>
    </row>
    <row r="65" hidden="1" outlineLevel="1">
      <c r="A65" s="44" t="str">
        <f t="shared" si="36"/>
        <v>1-2026</v>
      </c>
      <c r="B65" s="34">
        <v>46053.0</v>
      </c>
      <c r="C65" s="45"/>
      <c r="D65" s="46">
        <v>610.0</v>
      </c>
      <c r="E65" s="47">
        <v>19.0</v>
      </c>
      <c r="F65" s="47">
        <v>19.0</v>
      </c>
      <c r="G65" s="48">
        <f t="shared" si="2"/>
        <v>1</v>
      </c>
      <c r="H65" s="46">
        <f t="shared" si="37"/>
        <v>32.10526316</v>
      </c>
      <c r="I65" s="46">
        <f t="shared" si="38"/>
        <v>32.10526316</v>
      </c>
      <c r="J65" s="49">
        <v>1686.0</v>
      </c>
      <c r="K65" s="50">
        <f t="shared" si="5"/>
        <v>0.01126927639</v>
      </c>
      <c r="L65" s="46">
        <v>76.69</v>
      </c>
      <c r="M65" s="46">
        <v>420.0</v>
      </c>
      <c r="N65" s="47">
        <v>12.0</v>
      </c>
      <c r="O65" s="49">
        <v>160727.0</v>
      </c>
      <c r="P65" s="50">
        <f t="shared" si="6"/>
        <v>0.1825952381</v>
      </c>
      <c r="Q65" s="51">
        <f t="shared" si="7"/>
        <v>5.47659408</v>
      </c>
      <c r="R65" s="50">
        <f t="shared" si="8"/>
        <v>0.6885245902</v>
      </c>
      <c r="S65" s="16"/>
      <c r="T65" s="25"/>
      <c r="U65" s="6"/>
      <c r="V65" s="6"/>
      <c r="W65" s="6"/>
      <c r="X65" s="6"/>
      <c r="Y65" s="6"/>
      <c r="Z65" s="6"/>
    </row>
    <row r="66" collapsed="1">
      <c r="A66" s="52" t="s">
        <v>38</v>
      </c>
      <c r="B66" s="53"/>
      <c r="C66" s="54"/>
      <c r="D66" s="55">
        <f t="shared" ref="D66:F66" si="39">SUM(D59:D65)</f>
        <v>3780</v>
      </c>
      <c r="E66" s="56">
        <f t="shared" si="39"/>
        <v>106</v>
      </c>
      <c r="F66" s="56">
        <f t="shared" si="39"/>
        <v>106</v>
      </c>
      <c r="G66" s="57">
        <f t="shared" si="2"/>
        <v>1</v>
      </c>
      <c r="H66" s="55">
        <f>AVERAGE(H59:H65)</f>
        <v>36.13555041</v>
      </c>
      <c r="I66" s="58">
        <f>H66/G66</f>
        <v>36.13555041</v>
      </c>
      <c r="J66" s="59">
        <f>SUM(J59:J65)</f>
        <v>10401</v>
      </c>
      <c r="K66" s="60">
        <f t="shared" si="5"/>
        <v>0.01019132776</v>
      </c>
      <c r="L66" s="55">
        <f t="shared" ref="L66:N66" si="40">SUM(L59:L65)</f>
        <v>465.39</v>
      </c>
      <c r="M66" s="55">
        <f t="shared" si="40"/>
        <v>2529</v>
      </c>
      <c r="N66" s="56">
        <f t="shared" si="40"/>
        <v>67</v>
      </c>
      <c r="O66" s="59">
        <f>sum(O59:O65)</f>
        <v>1166324</v>
      </c>
      <c r="P66" s="60">
        <f t="shared" si="6"/>
        <v>0.1840213523</v>
      </c>
      <c r="Q66" s="61">
        <f t="shared" si="7"/>
        <v>5.434152002</v>
      </c>
      <c r="R66" s="62">
        <f t="shared" si="8"/>
        <v>0.669047619</v>
      </c>
      <c r="S66" s="54" t="str">
        <f>iferror((D66-#REF!)/D66,)</f>
        <v/>
      </c>
      <c r="T66" s="63" t="str">
        <f>iferror((F66-#REF!)/F66,)</f>
        <v/>
      </c>
      <c r="U66" s="64">
        <f t="shared" ref="U66:V66" si="41">L66</f>
        <v>465.39</v>
      </c>
      <c r="V66" s="64">
        <f t="shared" si="41"/>
        <v>2529</v>
      </c>
      <c r="W66" s="6"/>
      <c r="X66" s="6"/>
      <c r="Y66" s="6"/>
      <c r="Z66" s="6"/>
    </row>
    <row r="67" hidden="1" outlineLevel="1">
      <c r="A67" s="33" t="str">
        <f t="shared" ref="A67:A73" si="42">iferror(if(B67&gt;0,month(B67)&amp;"-"&amp;year(B67),B67),)</f>
        <v>2-2026</v>
      </c>
      <c r="B67" s="34">
        <v>46054.0</v>
      </c>
      <c r="C67" s="35"/>
      <c r="D67" s="36">
        <v>870.0</v>
      </c>
      <c r="E67" s="37">
        <v>24.0</v>
      </c>
      <c r="F67" s="37">
        <v>24.0</v>
      </c>
      <c r="G67" s="38">
        <f t="shared" si="2"/>
        <v>1</v>
      </c>
      <c r="H67" s="36">
        <f t="shared" ref="H67:H73" si="43">D67/F67</f>
        <v>36.25</v>
      </c>
      <c r="I67" s="36">
        <f t="shared" ref="I67:I73" si="44">D67/E67</f>
        <v>36.25</v>
      </c>
      <c r="J67" s="39">
        <v>1959.0</v>
      </c>
      <c r="K67" s="40">
        <f t="shared" si="5"/>
        <v>0.01225114855</v>
      </c>
      <c r="L67" s="36">
        <v>103.59</v>
      </c>
      <c r="M67" s="36">
        <v>626.0</v>
      </c>
      <c r="N67" s="37">
        <v>16.0</v>
      </c>
      <c r="O67" s="39">
        <v>197440.0</v>
      </c>
      <c r="P67" s="40">
        <f t="shared" si="6"/>
        <v>0.1654792332</v>
      </c>
      <c r="Q67" s="41">
        <f t="shared" si="7"/>
        <v>6.043054349</v>
      </c>
      <c r="R67" s="40">
        <f t="shared" si="8"/>
        <v>0.7195402299</v>
      </c>
      <c r="S67" s="42"/>
      <c r="T67" s="43"/>
      <c r="U67" s="6"/>
      <c r="V67" s="6"/>
      <c r="W67" s="6"/>
      <c r="X67" s="6"/>
      <c r="Y67" s="6"/>
      <c r="Z67" s="6"/>
    </row>
    <row r="68" hidden="1" outlineLevel="1">
      <c r="A68" s="44" t="str">
        <f t="shared" si="42"/>
        <v>2-2026</v>
      </c>
      <c r="B68" s="34">
        <v>46055.0</v>
      </c>
      <c r="C68" s="45"/>
      <c r="D68" s="46">
        <v>1226.0</v>
      </c>
      <c r="E68" s="47">
        <v>35.0</v>
      </c>
      <c r="F68" s="47">
        <v>35.0</v>
      </c>
      <c r="G68" s="48">
        <f t="shared" si="2"/>
        <v>1</v>
      </c>
      <c r="H68" s="46">
        <f t="shared" si="43"/>
        <v>35.02857143</v>
      </c>
      <c r="I68" s="46">
        <f t="shared" si="44"/>
        <v>35.02857143</v>
      </c>
      <c r="J68" s="49">
        <v>2060.0</v>
      </c>
      <c r="K68" s="50">
        <f t="shared" si="5"/>
        <v>0.01699029126</v>
      </c>
      <c r="L68" s="46">
        <v>81.15</v>
      </c>
      <c r="M68" s="46">
        <v>517.0</v>
      </c>
      <c r="N68" s="47">
        <v>13.0</v>
      </c>
      <c r="O68" s="49">
        <v>164099.0</v>
      </c>
      <c r="P68" s="50">
        <f t="shared" si="6"/>
        <v>0.1569632495</v>
      </c>
      <c r="Q68" s="51">
        <f t="shared" si="7"/>
        <v>6.370918053</v>
      </c>
      <c r="R68" s="50">
        <f t="shared" si="8"/>
        <v>0.4216965742</v>
      </c>
      <c r="S68" s="16"/>
      <c r="T68" s="25"/>
      <c r="U68" s="6"/>
      <c r="V68" s="6"/>
      <c r="W68" s="6"/>
      <c r="X68" s="6"/>
      <c r="Y68" s="6"/>
      <c r="Z68" s="6"/>
    </row>
    <row r="69" hidden="1" outlineLevel="1">
      <c r="A69" s="44" t="str">
        <f t="shared" si="42"/>
        <v>2-2026</v>
      </c>
      <c r="B69" s="34">
        <v>46056.0</v>
      </c>
      <c r="C69" s="45"/>
      <c r="D69" s="46">
        <v>1147.0</v>
      </c>
      <c r="E69" s="47">
        <v>31.0</v>
      </c>
      <c r="F69" s="47">
        <v>31.0</v>
      </c>
      <c r="G69" s="48">
        <f t="shared" si="2"/>
        <v>1</v>
      </c>
      <c r="H69" s="46">
        <f t="shared" si="43"/>
        <v>37</v>
      </c>
      <c r="I69" s="46">
        <f t="shared" si="44"/>
        <v>37</v>
      </c>
      <c r="J69" s="49">
        <v>1899.0</v>
      </c>
      <c r="K69" s="50">
        <f t="shared" si="5"/>
        <v>0.01632438125</v>
      </c>
      <c r="L69" s="46">
        <v>79.02</v>
      </c>
      <c r="M69" s="46">
        <v>703.0</v>
      </c>
      <c r="N69" s="47">
        <v>19.0</v>
      </c>
      <c r="O69" s="49">
        <v>172459.0</v>
      </c>
      <c r="P69" s="50">
        <f t="shared" si="6"/>
        <v>0.1124039829</v>
      </c>
      <c r="Q69" s="51">
        <f t="shared" si="7"/>
        <v>8.896481903</v>
      </c>
      <c r="R69" s="50">
        <f t="shared" si="8"/>
        <v>0.6129032258</v>
      </c>
      <c r="S69" s="16"/>
      <c r="T69" s="25"/>
      <c r="U69" s="6"/>
      <c r="V69" s="6"/>
      <c r="W69" s="6"/>
      <c r="X69" s="6"/>
      <c r="Y69" s="6"/>
      <c r="Z69" s="6"/>
    </row>
    <row r="70" hidden="1" outlineLevel="1">
      <c r="A70" s="44" t="str">
        <f t="shared" si="42"/>
        <v>2-2026</v>
      </c>
      <c r="B70" s="34">
        <v>46057.0</v>
      </c>
      <c r="C70" s="45"/>
      <c r="D70" s="46">
        <v>815.0</v>
      </c>
      <c r="E70" s="47">
        <v>20.0</v>
      </c>
      <c r="F70" s="47">
        <v>20.0</v>
      </c>
      <c r="G70" s="48">
        <f t="shared" si="2"/>
        <v>1</v>
      </c>
      <c r="H70" s="46">
        <f t="shared" si="43"/>
        <v>40.75</v>
      </c>
      <c r="I70" s="46">
        <f t="shared" si="44"/>
        <v>40.75</v>
      </c>
      <c r="J70" s="49">
        <v>1543.0</v>
      </c>
      <c r="K70" s="50">
        <f t="shared" si="5"/>
        <v>0.0129617628</v>
      </c>
      <c r="L70" s="46">
        <v>72.59</v>
      </c>
      <c r="M70" s="46">
        <v>480.0</v>
      </c>
      <c r="N70" s="47">
        <v>12.0</v>
      </c>
      <c r="O70" s="49">
        <v>159927.0</v>
      </c>
      <c r="P70" s="50">
        <f t="shared" si="6"/>
        <v>0.1512291667</v>
      </c>
      <c r="Q70" s="51">
        <f t="shared" si="7"/>
        <v>6.612481058</v>
      </c>
      <c r="R70" s="50">
        <f t="shared" si="8"/>
        <v>0.5889570552</v>
      </c>
      <c r="S70" s="16"/>
      <c r="T70" s="25"/>
      <c r="U70" s="6"/>
      <c r="V70" s="6"/>
      <c r="W70" s="6"/>
      <c r="X70" s="6"/>
      <c r="Y70" s="6"/>
      <c r="Z70" s="6"/>
    </row>
    <row r="71" hidden="1" outlineLevel="1">
      <c r="A71" s="44" t="str">
        <f t="shared" si="42"/>
        <v>2-2026</v>
      </c>
      <c r="B71" s="34">
        <v>46058.0</v>
      </c>
      <c r="C71" s="45"/>
      <c r="D71" s="46">
        <v>1027.0</v>
      </c>
      <c r="E71" s="47">
        <v>33.0</v>
      </c>
      <c r="F71" s="47">
        <v>33.0</v>
      </c>
      <c r="G71" s="48">
        <f t="shared" si="2"/>
        <v>1</v>
      </c>
      <c r="H71" s="46">
        <f t="shared" si="43"/>
        <v>31.12121212</v>
      </c>
      <c r="I71" s="46">
        <f t="shared" si="44"/>
        <v>31.12121212</v>
      </c>
      <c r="J71" s="49">
        <v>1613.0</v>
      </c>
      <c r="K71" s="50">
        <f t="shared" si="5"/>
        <v>0.02045877247</v>
      </c>
      <c r="L71" s="46">
        <v>77.84</v>
      </c>
      <c r="M71" s="46">
        <v>744.0</v>
      </c>
      <c r="N71" s="47">
        <v>21.0</v>
      </c>
      <c r="O71" s="49">
        <v>151294.0</v>
      </c>
      <c r="P71" s="50">
        <f t="shared" si="6"/>
        <v>0.1046236559</v>
      </c>
      <c r="Q71" s="51">
        <f t="shared" si="7"/>
        <v>9.558067831</v>
      </c>
      <c r="R71" s="50">
        <f t="shared" si="8"/>
        <v>0.7244401168</v>
      </c>
      <c r="S71" s="16"/>
      <c r="T71" s="25"/>
      <c r="U71" s="6"/>
      <c r="V71" s="6"/>
      <c r="W71" s="6"/>
      <c r="X71" s="6"/>
      <c r="Y71" s="6"/>
      <c r="Z71" s="6"/>
    </row>
    <row r="72" hidden="1" outlineLevel="1">
      <c r="A72" s="44" t="str">
        <f t="shared" si="42"/>
        <v>2-2026</v>
      </c>
      <c r="B72" s="34">
        <v>46059.0</v>
      </c>
      <c r="C72" s="45"/>
      <c r="D72" s="46">
        <v>799.0</v>
      </c>
      <c r="E72" s="47">
        <v>22.0</v>
      </c>
      <c r="F72" s="47">
        <v>22.0</v>
      </c>
      <c r="G72" s="48">
        <f t="shared" si="2"/>
        <v>1</v>
      </c>
      <c r="H72" s="46">
        <f t="shared" si="43"/>
        <v>36.31818182</v>
      </c>
      <c r="I72" s="46">
        <f t="shared" si="44"/>
        <v>36.31818182</v>
      </c>
      <c r="J72" s="49">
        <v>1490.0</v>
      </c>
      <c r="K72" s="50">
        <f t="shared" si="5"/>
        <v>0.01476510067</v>
      </c>
      <c r="L72" s="46">
        <v>62.19</v>
      </c>
      <c r="M72" s="46">
        <v>285.0</v>
      </c>
      <c r="N72" s="47">
        <v>9.0</v>
      </c>
      <c r="O72" s="49">
        <v>128356.0</v>
      </c>
      <c r="P72" s="50">
        <f t="shared" si="6"/>
        <v>0.2182105263</v>
      </c>
      <c r="Q72" s="51">
        <f t="shared" si="7"/>
        <v>4.582730342</v>
      </c>
      <c r="R72" s="50">
        <f t="shared" si="8"/>
        <v>0.3566958698</v>
      </c>
      <c r="S72" s="16"/>
      <c r="T72" s="25"/>
      <c r="U72" s="6"/>
      <c r="V72" s="6"/>
      <c r="W72" s="6"/>
      <c r="X72" s="6"/>
      <c r="Y72" s="6"/>
      <c r="Z72" s="6"/>
    </row>
    <row r="73" hidden="1" outlineLevel="1">
      <c r="A73" s="44" t="str">
        <f t="shared" si="42"/>
        <v>2-2026</v>
      </c>
      <c r="B73" s="34">
        <v>46060.0</v>
      </c>
      <c r="C73" s="45"/>
      <c r="D73" s="46">
        <v>835.0</v>
      </c>
      <c r="E73" s="47">
        <v>23.0</v>
      </c>
      <c r="F73" s="47">
        <v>23.0</v>
      </c>
      <c r="G73" s="48">
        <f t="shared" si="2"/>
        <v>1</v>
      </c>
      <c r="H73" s="46">
        <f t="shared" si="43"/>
        <v>36.30434783</v>
      </c>
      <c r="I73" s="46">
        <f t="shared" si="44"/>
        <v>36.30434783</v>
      </c>
      <c r="J73" s="49">
        <v>1953.0</v>
      </c>
      <c r="K73" s="50">
        <f t="shared" si="5"/>
        <v>0.01177675371</v>
      </c>
      <c r="L73" s="46">
        <v>79.32</v>
      </c>
      <c r="M73" s="46">
        <v>465.0</v>
      </c>
      <c r="N73" s="47">
        <v>13.0</v>
      </c>
      <c r="O73" s="49">
        <v>143174.0</v>
      </c>
      <c r="P73" s="50">
        <f t="shared" si="6"/>
        <v>0.1705806452</v>
      </c>
      <c r="Q73" s="51">
        <f t="shared" si="7"/>
        <v>5.862329803</v>
      </c>
      <c r="R73" s="50">
        <f t="shared" si="8"/>
        <v>0.5568862275</v>
      </c>
      <c r="S73" s="16"/>
      <c r="T73" s="25"/>
      <c r="U73" s="6"/>
      <c r="V73" s="6"/>
      <c r="W73" s="6"/>
      <c r="X73" s="6"/>
      <c r="Y73" s="6"/>
      <c r="Z73" s="6"/>
    </row>
    <row r="74" collapsed="1">
      <c r="A74" s="52" t="s">
        <v>39</v>
      </c>
      <c r="B74" s="53"/>
      <c r="C74" s="54"/>
      <c r="D74" s="55">
        <f t="shared" ref="D74:F74" si="45">SUM(D67:D73)</f>
        <v>6719</v>
      </c>
      <c r="E74" s="56">
        <f t="shared" si="45"/>
        <v>188</v>
      </c>
      <c r="F74" s="56">
        <f t="shared" si="45"/>
        <v>188</v>
      </c>
      <c r="G74" s="57">
        <f t="shared" si="2"/>
        <v>1</v>
      </c>
      <c r="H74" s="55">
        <f>AVERAGE(H67:H73)</f>
        <v>36.11033046</v>
      </c>
      <c r="I74" s="58">
        <f>H74/G74</f>
        <v>36.11033046</v>
      </c>
      <c r="J74" s="59">
        <f>SUM(J67:J73)</f>
        <v>12517</v>
      </c>
      <c r="K74" s="60">
        <f t="shared" si="5"/>
        <v>0.01501957338</v>
      </c>
      <c r="L74" s="55">
        <f t="shared" ref="L74:N74" si="46">SUM(L67:L73)</f>
        <v>555.7</v>
      </c>
      <c r="M74" s="55">
        <f t="shared" si="46"/>
        <v>3820</v>
      </c>
      <c r="N74" s="56">
        <f t="shared" si="46"/>
        <v>103</v>
      </c>
      <c r="O74" s="59">
        <f>sum(O67:O73)</f>
        <v>1116749</v>
      </c>
      <c r="P74" s="60">
        <f t="shared" si="6"/>
        <v>0.1454712042</v>
      </c>
      <c r="Q74" s="61">
        <f t="shared" si="7"/>
        <v>6.874212705</v>
      </c>
      <c r="R74" s="62">
        <f t="shared" si="8"/>
        <v>0.5685369847</v>
      </c>
      <c r="S74" s="54" t="str">
        <f>iferror((D74-#REF!)/D74,)</f>
        <v/>
      </c>
      <c r="T74" s="63" t="str">
        <f>iferror((F74-#REF!)/F74,)</f>
        <v/>
      </c>
      <c r="U74" s="64">
        <f t="shared" ref="U74:V74" si="47">L74</f>
        <v>555.7</v>
      </c>
      <c r="V74" s="64">
        <f t="shared" si="47"/>
        <v>3820</v>
      </c>
      <c r="W74" s="6"/>
      <c r="X74" s="6"/>
      <c r="Y74" s="6"/>
      <c r="Z74" s="6"/>
    </row>
    <row r="75" hidden="1" outlineLevel="1">
      <c r="A75" s="33" t="str">
        <f t="shared" ref="A75:A81" si="48">iferror(if(B75&gt;0,month(B75)&amp;"-"&amp;year(B75),B75),)</f>
        <v>2-2026</v>
      </c>
      <c r="B75" s="34">
        <v>46061.0</v>
      </c>
      <c r="C75" s="35"/>
      <c r="D75" s="36">
        <v>2113.0</v>
      </c>
      <c r="E75" s="37">
        <v>48.0</v>
      </c>
      <c r="F75" s="37">
        <v>48.0</v>
      </c>
      <c r="G75" s="38">
        <f t="shared" si="2"/>
        <v>1</v>
      </c>
      <c r="H75" s="36">
        <f t="shared" ref="H75:H81" si="49">D75/F75</f>
        <v>44.02083333</v>
      </c>
      <c r="I75" s="36">
        <f t="shared" ref="I75:I81" si="50">D75/E75</f>
        <v>44.02083333</v>
      </c>
      <c r="J75" s="39">
        <v>2380.0</v>
      </c>
      <c r="K75" s="40">
        <f t="shared" si="5"/>
        <v>0.02016806723</v>
      </c>
      <c r="L75" s="36">
        <v>100.08</v>
      </c>
      <c r="M75" s="36">
        <v>1766.0</v>
      </c>
      <c r="N75" s="37">
        <v>35.0</v>
      </c>
      <c r="O75" s="39">
        <v>159940.0</v>
      </c>
      <c r="P75" s="40">
        <f t="shared" si="6"/>
        <v>0.05667044168</v>
      </c>
      <c r="Q75" s="41">
        <f t="shared" si="7"/>
        <v>17.64588329</v>
      </c>
      <c r="R75" s="40">
        <f t="shared" si="8"/>
        <v>0.835778514</v>
      </c>
      <c r="S75" s="42"/>
      <c r="T75" s="43"/>
      <c r="U75" s="6"/>
      <c r="V75" s="6"/>
      <c r="W75" s="6"/>
      <c r="X75" s="6"/>
      <c r="Y75" s="6"/>
      <c r="Z75" s="6"/>
    </row>
    <row r="76" hidden="1" outlineLevel="1">
      <c r="A76" s="44" t="str">
        <f t="shared" si="48"/>
        <v>2-2026</v>
      </c>
      <c r="B76" s="34">
        <v>46062.0</v>
      </c>
      <c r="C76" s="45"/>
      <c r="D76" s="46">
        <v>1737.0</v>
      </c>
      <c r="E76" s="47">
        <v>41.0</v>
      </c>
      <c r="F76" s="47">
        <v>41.0</v>
      </c>
      <c r="G76" s="48">
        <f t="shared" si="2"/>
        <v>1</v>
      </c>
      <c r="H76" s="46">
        <f t="shared" si="49"/>
        <v>42.36585366</v>
      </c>
      <c r="I76" s="46">
        <f t="shared" si="50"/>
        <v>42.36585366</v>
      </c>
      <c r="J76" s="49">
        <v>2297.0</v>
      </c>
      <c r="K76" s="50">
        <f t="shared" si="5"/>
        <v>0.01784936874</v>
      </c>
      <c r="L76" s="46">
        <v>89.99</v>
      </c>
      <c r="M76" s="46">
        <v>704.0</v>
      </c>
      <c r="N76" s="47">
        <v>20.0</v>
      </c>
      <c r="O76" s="49">
        <v>134675.0</v>
      </c>
      <c r="P76" s="50">
        <f t="shared" si="6"/>
        <v>0.1278267045</v>
      </c>
      <c r="Q76" s="51">
        <f t="shared" si="7"/>
        <v>7.823091455</v>
      </c>
      <c r="R76" s="50">
        <f t="shared" si="8"/>
        <v>0.4052964882</v>
      </c>
      <c r="S76" s="16"/>
      <c r="T76" s="25"/>
      <c r="U76" s="6"/>
      <c r="V76" s="6"/>
      <c r="W76" s="6"/>
      <c r="X76" s="6"/>
      <c r="Y76" s="6"/>
      <c r="Z76" s="6"/>
    </row>
    <row r="77" hidden="1" outlineLevel="1">
      <c r="A77" s="44" t="str">
        <f t="shared" si="48"/>
        <v>2-2026</v>
      </c>
      <c r="B77" s="34">
        <v>46063.0</v>
      </c>
      <c r="C77" s="45"/>
      <c r="D77" s="46">
        <v>2015.0</v>
      </c>
      <c r="E77" s="47">
        <v>48.0</v>
      </c>
      <c r="F77" s="47">
        <v>48.0</v>
      </c>
      <c r="G77" s="48">
        <f t="shared" si="2"/>
        <v>1</v>
      </c>
      <c r="H77" s="46">
        <f t="shared" si="49"/>
        <v>41.97916667</v>
      </c>
      <c r="I77" s="46">
        <f t="shared" si="50"/>
        <v>41.97916667</v>
      </c>
      <c r="J77" s="49">
        <v>2319.0</v>
      </c>
      <c r="K77" s="50">
        <f t="shared" si="5"/>
        <v>0.02069857697</v>
      </c>
      <c r="L77" s="46">
        <v>101.99</v>
      </c>
      <c r="M77" s="46">
        <v>1597.0</v>
      </c>
      <c r="N77" s="47">
        <v>38.0</v>
      </c>
      <c r="O77" s="49">
        <v>142393.0</v>
      </c>
      <c r="P77" s="50">
        <f t="shared" si="6"/>
        <v>0.06386349405</v>
      </c>
      <c r="Q77" s="51">
        <f t="shared" si="7"/>
        <v>15.65839788</v>
      </c>
      <c r="R77" s="50">
        <f t="shared" si="8"/>
        <v>0.7925558313</v>
      </c>
      <c r="S77" s="16"/>
      <c r="T77" s="25"/>
      <c r="U77" s="6"/>
      <c r="V77" s="6"/>
      <c r="W77" s="6"/>
      <c r="X77" s="6"/>
      <c r="Y77" s="6"/>
      <c r="Z77" s="6"/>
    </row>
    <row r="78" hidden="1" outlineLevel="1">
      <c r="A78" s="44" t="str">
        <f t="shared" si="48"/>
        <v>2-2026</v>
      </c>
      <c r="B78" s="34">
        <v>46064.0</v>
      </c>
      <c r="C78" s="45"/>
      <c r="D78" s="46">
        <v>1302.0</v>
      </c>
      <c r="E78" s="47">
        <v>35.0</v>
      </c>
      <c r="F78" s="47">
        <v>35.0</v>
      </c>
      <c r="G78" s="48">
        <f t="shared" si="2"/>
        <v>1</v>
      </c>
      <c r="H78" s="46">
        <f t="shared" si="49"/>
        <v>37.2</v>
      </c>
      <c r="I78" s="46">
        <f t="shared" si="50"/>
        <v>37.2</v>
      </c>
      <c r="J78" s="49">
        <v>2143.0</v>
      </c>
      <c r="K78" s="50">
        <f t="shared" si="5"/>
        <v>0.01633224452</v>
      </c>
      <c r="L78" s="46">
        <v>122.39</v>
      </c>
      <c r="M78" s="46">
        <v>985.0</v>
      </c>
      <c r="N78" s="47">
        <v>27.0</v>
      </c>
      <c r="O78" s="49">
        <v>179037.0</v>
      </c>
      <c r="P78" s="50">
        <f t="shared" si="6"/>
        <v>0.1242538071</v>
      </c>
      <c r="Q78" s="51">
        <f t="shared" si="7"/>
        <v>8.048043141</v>
      </c>
      <c r="R78" s="50">
        <f t="shared" si="8"/>
        <v>0.7565284178</v>
      </c>
      <c r="S78" s="16"/>
      <c r="T78" s="25"/>
      <c r="U78" s="6"/>
      <c r="V78" s="6"/>
      <c r="W78" s="6"/>
      <c r="X78" s="6"/>
      <c r="Y78" s="6"/>
      <c r="Z78" s="6"/>
    </row>
    <row r="79" hidden="1" outlineLevel="1">
      <c r="A79" s="44" t="str">
        <f t="shared" si="48"/>
        <v>2-2026</v>
      </c>
      <c r="B79" s="34">
        <v>46065.0</v>
      </c>
      <c r="C79" s="45"/>
      <c r="D79" s="46">
        <v>833.0</v>
      </c>
      <c r="E79" s="47">
        <v>20.0</v>
      </c>
      <c r="F79" s="47">
        <v>20.0</v>
      </c>
      <c r="G79" s="48">
        <f t="shared" si="2"/>
        <v>1</v>
      </c>
      <c r="H79" s="46">
        <f t="shared" si="49"/>
        <v>41.65</v>
      </c>
      <c r="I79" s="46">
        <f t="shared" si="50"/>
        <v>41.65</v>
      </c>
      <c r="J79" s="49">
        <v>1852.0</v>
      </c>
      <c r="K79" s="50">
        <f t="shared" si="5"/>
        <v>0.01079913607</v>
      </c>
      <c r="L79" s="46">
        <v>95.35</v>
      </c>
      <c r="M79" s="46">
        <v>665.0</v>
      </c>
      <c r="N79" s="47">
        <v>16.0</v>
      </c>
      <c r="O79" s="49">
        <v>177078.0</v>
      </c>
      <c r="P79" s="50">
        <f t="shared" si="6"/>
        <v>0.1433834586</v>
      </c>
      <c r="Q79" s="51">
        <f t="shared" si="7"/>
        <v>6.974305191</v>
      </c>
      <c r="R79" s="50">
        <f t="shared" si="8"/>
        <v>0.7983193277</v>
      </c>
      <c r="S79" s="16"/>
      <c r="T79" s="25"/>
      <c r="U79" s="6"/>
      <c r="V79" s="6"/>
      <c r="W79" s="6"/>
      <c r="X79" s="6"/>
      <c r="Y79" s="6"/>
      <c r="Z79" s="6"/>
    </row>
    <row r="80" hidden="1" outlineLevel="1">
      <c r="A80" s="44" t="str">
        <f t="shared" si="48"/>
        <v>2-2026</v>
      </c>
      <c r="B80" s="34">
        <v>46066.0</v>
      </c>
      <c r="C80" s="45"/>
      <c r="D80" s="46">
        <v>1248.0</v>
      </c>
      <c r="E80" s="47">
        <v>34.0</v>
      </c>
      <c r="F80" s="47">
        <v>34.0</v>
      </c>
      <c r="G80" s="48">
        <f t="shared" si="2"/>
        <v>1</v>
      </c>
      <c r="H80" s="46">
        <f t="shared" si="49"/>
        <v>36.70588235</v>
      </c>
      <c r="I80" s="46">
        <f t="shared" si="50"/>
        <v>36.70588235</v>
      </c>
      <c r="J80" s="49">
        <v>1735.0</v>
      </c>
      <c r="K80" s="50">
        <f t="shared" si="5"/>
        <v>0.01959654179</v>
      </c>
      <c r="L80" s="46">
        <v>89.55</v>
      </c>
      <c r="M80" s="46">
        <v>823.0</v>
      </c>
      <c r="N80" s="47">
        <v>21.0</v>
      </c>
      <c r="O80" s="49">
        <v>137345.0</v>
      </c>
      <c r="P80" s="50">
        <f t="shared" si="6"/>
        <v>0.1088092345</v>
      </c>
      <c r="Q80" s="51">
        <f t="shared" si="7"/>
        <v>9.190396427</v>
      </c>
      <c r="R80" s="50">
        <f t="shared" si="8"/>
        <v>0.6594551282</v>
      </c>
      <c r="S80" s="16"/>
      <c r="T80" s="25"/>
      <c r="U80" s="6"/>
      <c r="V80" s="6"/>
      <c r="W80" s="6"/>
      <c r="X80" s="6"/>
      <c r="Y80" s="6"/>
      <c r="Z80" s="6"/>
    </row>
    <row r="81" hidden="1" outlineLevel="1">
      <c r="A81" s="44" t="str">
        <f t="shared" si="48"/>
        <v>2-2026</v>
      </c>
      <c r="B81" s="34">
        <v>46067.0</v>
      </c>
      <c r="C81" s="45"/>
      <c r="D81" s="46">
        <v>790.0</v>
      </c>
      <c r="E81" s="47">
        <v>21.0</v>
      </c>
      <c r="F81" s="47">
        <v>20.0</v>
      </c>
      <c r="G81" s="48">
        <f t="shared" si="2"/>
        <v>1.05</v>
      </c>
      <c r="H81" s="46">
        <f t="shared" si="49"/>
        <v>39.5</v>
      </c>
      <c r="I81" s="46">
        <f t="shared" si="50"/>
        <v>37.61904762</v>
      </c>
      <c r="J81" s="49">
        <v>1537.0</v>
      </c>
      <c r="K81" s="50">
        <f t="shared" si="5"/>
        <v>0.01366297983</v>
      </c>
      <c r="L81" s="46">
        <v>78.43</v>
      </c>
      <c r="M81" s="46">
        <v>155.0</v>
      </c>
      <c r="N81" s="47">
        <v>7.0</v>
      </c>
      <c r="O81" s="49">
        <v>142291.0</v>
      </c>
      <c r="P81" s="50">
        <f t="shared" si="6"/>
        <v>0.506</v>
      </c>
      <c r="Q81" s="51">
        <f t="shared" si="7"/>
        <v>1.976284585</v>
      </c>
      <c r="R81" s="50">
        <f t="shared" si="8"/>
        <v>0.1962025316</v>
      </c>
      <c r="S81" s="16"/>
      <c r="T81" s="25"/>
      <c r="U81" s="6"/>
      <c r="V81" s="6"/>
      <c r="W81" s="6"/>
      <c r="X81" s="6"/>
      <c r="Y81" s="6"/>
      <c r="Z81" s="6"/>
    </row>
    <row r="82" collapsed="1">
      <c r="A82" s="52" t="s">
        <v>40</v>
      </c>
      <c r="B82" s="53"/>
      <c r="C82" s="54"/>
      <c r="D82" s="55">
        <f t="shared" ref="D82:F82" si="51">SUM(D75:D81)</f>
        <v>10038</v>
      </c>
      <c r="E82" s="56">
        <f t="shared" si="51"/>
        <v>247</v>
      </c>
      <c r="F82" s="56">
        <f t="shared" si="51"/>
        <v>246</v>
      </c>
      <c r="G82" s="57">
        <f t="shared" si="2"/>
        <v>1.004065041</v>
      </c>
      <c r="H82" s="55">
        <f>AVERAGE(H75:H81)</f>
        <v>40.48881943</v>
      </c>
      <c r="I82" s="58">
        <f>H82/G82</f>
        <v>40.32489708</v>
      </c>
      <c r="J82" s="59">
        <f>SUM(J75:J81)</f>
        <v>14263</v>
      </c>
      <c r="K82" s="60">
        <f t="shared" si="5"/>
        <v>0.01731753488</v>
      </c>
      <c r="L82" s="55">
        <f t="shared" ref="L82:N82" si="52">SUM(L75:L81)</f>
        <v>677.78</v>
      </c>
      <c r="M82" s="55">
        <f t="shared" si="52"/>
        <v>6695</v>
      </c>
      <c r="N82" s="56">
        <f t="shared" si="52"/>
        <v>164</v>
      </c>
      <c r="O82" s="59">
        <f>sum(O75:O81)</f>
        <v>1072759</v>
      </c>
      <c r="P82" s="60">
        <f t="shared" si="6"/>
        <v>0.1012367438</v>
      </c>
      <c r="Q82" s="61">
        <f t="shared" si="7"/>
        <v>9.877836466</v>
      </c>
      <c r="R82" s="62">
        <f t="shared" si="8"/>
        <v>0.666965531</v>
      </c>
      <c r="S82" s="54" t="str">
        <f>iferror((D82-#REF!)/D82,)</f>
        <v/>
      </c>
      <c r="T82" s="63" t="str">
        <f>iferror((F82-#REF!)/F82,)</f>
        <v/>
      </c>
      <c r="U82" s="64">
        <f t="shared" ref="U82:V82" si="53">L82</f>
        <v>677.78</v>
      </c>
      <c r="V82" s="64">
        <f t="shared" si="53"/>
        <v>6695</v>
      </c>
      <c r="W82" s="6"/>
      <c r="X82" s="6"/>
      <c r="Y82" s="6"/>
      <c r="Z82" s="6"/>
    </row>
    <row r="83" hidden="1" outlineLevel="1">
      <c r="A83" s="33" t="str">
        <f t="shared" ref="A83:A89" si="54">iferror(if(B83&gt;0,month(B83)&amp;"-"&amp;year(B83),B83),)</f>
        <v>2-2026</v>
      </c>
      <c r="B83" s="34">
        <v>46068.0</v>
      </c>
      <c r="C83" s="35"/>
      <c r="D83" s="36">
        <v>980.0</v>
      </c>
      <c r="E83" s="37">
        <v>23.0</v>
      </c>
      <c r="F83" s="37">
        <v>23.0</v>
      </c>
      <c r="G83" s="38">
        <f t="shared" si="2"/>
        <v>1</v>
      </c>
      <c r="H83" s="36">
        <f t="shared" ref="H83:H89" si="55">D83/F83</f>
        <v>42.60869565</v>
      </c>
      <c r="I83" s="36">
        <f t="shared" ref="I83:I89" si="56">D83/E83</f>
        <v>42.60869565</v>
      </c>
      <c r="J83" s="39">
        <v>2007.0</v>
      </c>
      <c r="K83" s="40">
        <f t="shared" si="5"/>
        <v>0.01145989038</v>
      </c>
      <c r="L83" s="36">
        <v>102.53</v>
      </c>
      <c r="M83" s="36">
        <v>668.0</v>
      </c>
      <c r="N83" s="37">
        <v>14.0</v>
      </c>
      <c r="O83" s="39">
        <v>156803.0</v>
      </c>
      <c r="P83" s="40">
        <f t="shared" si="6"/>
        <v>0.153488024</v>
      </c>
      <c r="Q83" s="41">
        <f t="shared" si="7"/>
        <v>6.515166293</v>
      </c>
      <c r="R83" s="40">
        <f t="shared" si="8"/>
        <v>0.6816326531</v>
      </c>
      <c r="S83" s="42"/>
      <c r="T83" s="43"/>
      <c r="U83" s="6"/>
      <c r="V83" s="6"/>
      <c r="W83" s="6"/>
      <c r="X83" s="6"/>
      <c r="Y83" s="6"/>
      <c r="Z83" s="6"/>
    </row>
    <row r="84" hidden="1" outlineLevel="1">
      <c r="A84" s="44" t="str">
        <f t="shared" si="54"/>
        <v>2-2026</v>
      </c>
      <c r="B84" s="34">
        <v>46069.0</v>
      </c>
      <c r="C84" s="45"/>
      <c r="D84" s="46">
        <v>1130.0</v>
      </c>
      <c r="E84" s="47">
        <v>29.0</v>
      </c>
      <c r="F84" s="47">
        <v>29.0</v>
      </c>
      <c r="G84" s="48">
        <f t="shared" si="2"/>
        <v>1</v>
      </c>
      <c r="H84" s="46">
        <f t="shared" si="55"/>
        <v>38.96551724</v>
      </c>
      <c r="I84" s="46">
        <f t="shared" si="56"/>
        <v>38.96551724</v>
      </c>
      <c r="J84" s="49">
        <v>1811.0</v>
      </c>
      <c r="K84" s="50">
        <f t="shared" si="5"/>
        <v>0.01601325235</v>
      </c>
      <c r="L84" s="46">
        <v>91.15</v>
      </c>
      <c r="M84" s="46">
        <v>1088.0</v>
      </c>
      <c r="N84" s="47">
        <v>26.0</v>
      </c>
      <c r="O84" s="49">
        <v>140356.0</v>
      </c>
      <c r="P84" s="50">
        <f t="shared" si="6"/>
        <v>0.08377757353</v>
      </c>
      <c r="Q84" s="51">
        <f t="shared" si="7"/>
        <v>11.93636862</v>
      </c>
      <c r="R84" s="50">
        <f t="shared" si="8"/>
        <v>0.9628318584</v>
      </c>
      <c r="S84" s="16"/>
      <c r="T84" s="25"/>
      <c r="U84" s="6"/>
      <c r="V84" s="6"/>
      <c r="W84" s="6"/>
      <c r="X84" s="6"/>
      <c r="Y84" s="6"/>
      <c r="Z84" s="6"/>
    </row>
    <row r="85" hidden="1" outlineLevel="1">
      <c r="A85" s="44" t="str">
        <f t="shared" si="54"/>
        <v>2-2026</v>
      </c>
      <c r="B85" s="34">
        <v>46070.0</v>
      </c>
      <c r="C85" s="45"/>
      <c r="D85" s="46">
        <v>599.0</v>
      </c>
      <c r="E85" s="47">
        <v>19.0</v>
      </c>
      <c r="F85" s="47">
        <v>19.0</v>
      </c>
      <c r="G85" s="48">
        <f t="shared" si="2"/>
        <v>1</v>
      </c>
      <c r="H85" s="46">
        <f t="shared" si="55"/>
        <v>31.52631579</v>
      </c>
      <c r="I85" s="46">
        <f t="shared" si="56"/>
        <v>31.52631579</v>
      </c>
      <c r="J85" s="49">
        <v>1855.0</v>
      </c>
      <c r="K85" s="50">
        <f t="shared" si="5"/>
        <v>0.0102425876</v>
      </c>
      <c r="L85" s="46">
        <v>82.11</v>
      </c>
      <c r="M85" s="46">
        <v>361.0</v>
      </c>
      <c r="N85" s="47">
        <v>12.0</v>
      </c>
      <c r="O85" s="49">
        <v>117429.0</v>
      </c>
      <c r="P85" s="50">
        <f t="shared" si="6"/>
        <v>0.2274515235</v>
      </c>
      <c r="Q85" s="51">
        <f t="shared" si="7"/>
        <v>4.396541225</v>
      </c>
      <c r="R85" s="50">
        <f t="shared" si="8"/>
        <v>0.6026711185</v>
      </c>
      <c r="S85" s="16"/>
      <c r="T85" s="25"/>
      <c r="U85" s="6"/>
      <c r="V85" s="6"/>
      <c r="W85" s="6"/>
      <c r="X85" s="6"/>
      <c r="Y85" s="6"/>
      <c r="Z85" s="6"/>
    </row>
    <row r="86" hidden="1" outlineLevel="1">
      <c r="A86" s="44" t="str">
        <f t="shared" si="54"/>
        <v>2-2026</v>
      </c>
      <c r="B86" s="34">
        <v>46071.0</v>
      </c>
      <c r="C86" s="45"/>
      <c r="D86" s="46">
        <v>755.0</v>
      </c>
      <c r="E86" s="47">
        <v>23.0</v>
      </c>
      <c r="F86" s="47">
        <v>23.0</v>
      </c>
      <c r="G86" s="48">
        <f t="shared" si="2"/>
        <v>1</v>
      </c>
      <c r="H86" s="46">
        <f t="shared" si="55"/>
        <v>32.82608696</v>
      </c>
      <c r="I86" s="46">
        <f t="shared" si="56"/>
        <v>32.82608696</v>
      </c>
      <c r="J86" s="49">
        <v>2399.0</v>
      </c>
      <c r="K86" s="50">
        <f t="shared" si="5"/>
        <v>0.009587328053</v>
      </c>
      <c r="L86" s="46">
        <v>103.18</v>
      </c>
      <c r="M86" s="46">
        <v>430.0</v>
      </c>
      <c r="N86" s="47">
        <v>12.0</v>
      </c>
      <c r="O86" s="49">
        <v>138477.0</v>
      </c>
      <c r="P86" s="50">
        <f t="shared" si="6"/>
        <v>0.2399534884</v>
      </c>
      <c r="Q86" s="51">
        <f t="shared" si="7"/>
        <v>4.167474317</v>
      </c>
      <c r="R86" s="50">
        <f t="shared" si="8"/>
        <v>0.5695364238</v>
      </c>
      <c r="S86" s="16"/>
      <c r="T86" s="25"/>
      <c r="U86" s="6"/>
      <c r="V86" s="6"/>
      <c r="W86" s="6"/>
      <c r="X86" s="6"/>
      <c r="Y86" s="6"/>
      <c r="Z86" s="6"/>
    </row>
    <row r="87" hidden="1" outlineLevel="1">
      <c r="A87" s="44" t="str">
        <f t="shared" si="54"/>
        <v>2-2026</v>
      </c>
      <c r="B87" s="34">
        <v>46072.0</v>
      </c>
      <c r="C87" s="45"/>
      <c r="D87" s="46">
        <v>940.0</v>
      </c>
      <c r="E87" s="47">
        <v>24.0</v>
      </c>
      <c r="F87" s="47">
        <v>24.0</v>
      </c>
      <c r="G87" s="48">
        <f t="shared" si="2"/>
        <v>1</v>
      </c>
      <c r="H87" s="46">
        <f t="shared" si="55"/>
        <v>39.16666667</v>
      </c>
      <c r="I87" s="46">
        <f t="shared" si="56"/>
        <v>39.16666667</v>
      </c>
      <c r="J87" s="49">
        <v>1761.0</v>
      </c>
      <c r="K87" s="50">
        <f t="shared" si="5"/>
        <v>0.0136286201</v>
      </c>
      <c r="L87" s="46">
        <v>84.12</v>
      </c>
      <c r="M87" s="46">
        <v>120.0</v>
      </c>
      <c r="N87" s="47">
        <v>4.0</v>
      </c>
      <c r="O87" s="49">
        <v>133250.0</v>
      </c>
      <c r="P87" s="50">
        <f t="shared" si="6"/>
        <v>0.701</v>
      </c>
      <c r="Q87" s="51">
        <f t="shared" si="7"/>
        <v>1.426533524</v>
      </c>
      <c r="R87" s="50">
        <f t="shared" si="8"/>
        <v>0.1276595745</v>
      </c>
      <c r="S87" s="16"/>
      <c r="T87" s="25"/>
      <c r="U87" s="6"/>
      <c r="V87" s="6"/>
      <c r="W87" s="6"/>
      <c r="X87" s="6"/>
      <c r="Y87" s="6"/>
      <c r="Z87" s="6"/>
    </row>
    <row r="88" hidden="1" outlineLevel="1">
      <c r="A88" s="44" t="str">
        <f t="shared" si="54"/>
        <v>2-2026</v>
      </c>
      <c r="B88" s="34">
        <v>46073.0</v>
      </c>
      <c r="C88" s="45"/>
      <c r="D88" s="46">
        <v>1332.0</v>
      </c>
      <c r="E88" s="47">
        <v>35.0</v>
      </c>
      <c r="F88" s="47">
        <v>35.0</v>
      </c>
      <c r="G88" s="48">
        <f t="shared" si="2"/>
        <v>1</v>
      </c>
      <c r="H88" s="46">
        <f t="shared" si="55"/>
        <v>38.05714286</v>
      </c>
      <c r="I88" s="46">
        <f t="shared" si="56"/>
        <v>38.05714286</v>
      </c>
      <c r="J88" s="49">
        <v>2060.0</v>
      </c>
      <c r="K88" s="50">
        <f t="shared" si="5"/>
        <v>0.01699029126</v>
      </c>
      <c r="L88" s="46">
        <v>80.7</v>
      </c>
      <c r="M88" s="46">
        <v>702.0</v>
      </c>
      <c r="N88" s="47">
        <v>17.0</v>
      </c>
      <c r="O88" s="49">
        <v>122791.0</v>
      </c>
      <c r="P88" s="50">
        <f t="shared" si="6"/>
        <v>0.114957265</v>
      </c>
      <c r="Q88" s="51">
        <f t="shared" si="7"/>
        <v>8.698884758</v>
      </c>
      <c r="R88" s="50">
        <f t="shared" si="8"/>
        <v>0.527027027</v>
      </c>
      <c r="S88" s="16"/>
      <c r="T88" s="25"/>
      <c r="U88" s="6"/>
      <c r="V88" s="6"/>
      <c r="W88" s="6"/>
      <c r="X88" s="6"/>
      <c r="Y88" s="6"/>
      <c r="Z88" s="6"/>
    </row>
    <row r="89" hidden="1" outlineLevel="1">
      <c r="A89" s="44" t="str">
        <f t="shared" si="54"/>
        <v>2-2026</v>
      </c>
      <c r="B89" s="34">
        <v>46074.0</v>
      </c>
      <c r="C89" s="45"/>
      <c r="D89" s="46">
        <v>1501.0</v>
      </c>
      <c r="E89" s="47">
        <v>33.0</v>
      </c>
      <c r="F89" s="47">
        <v>33.0</v>
      </c>
      <c r="G89" s="48">
        <f t="shared" si="2"/>
        <v>1</v>
      </c>
      <c r="H89" s="46">
        <f t="shared" si="55"/>
        <v>45.48484848</v>
      </c>
      <c r="I89" s="46">
        <f t="shared" si="56"/>
        <v>45.48484848</v>
      </c>
      <c r="J89" s="49">
        <v>2407.0</v>
      </c>
      <c r="K89" s="50">
        <f t="shared" si="5"/>
        <v>0.01371001246</v>
      </c>
      <c r="L89" s="46">
        <v>127.62</v>
      </c>
      <c r="M89" s="46">
        <v>1181.0</v>
      </c>
      <c r="N89" s="47">
        <v>24.0</v>
      </c>
      <c r="O89" s="49">
        <v>175502.0</v>
      </c>
      <c r="P89" s="50">
        <f t="shared" si="6"/>
        <v>0.1080609653</v>
      </c>
      <c r="Q89" s="51">
        <f t="shared" si="7"/>
        <v>9.254035418</v>
      </c>
      <c r="R89" s="50">
        <f t="shared" si="8"/>
        <v>0.7868087941</v>
      </c>
      <c r="S89" s="16"/>
      <c r="T89" s="25"/>
      <c r="U89" s="6"/>
      <c r="V89" s="6"/>
      <c r="W89" s="6"/>
      <c r="X89" s="6"/>
      <c r="Y89" s="6"/>
      <c r="Z89" s="6"/>
    </row>
    <row r="90" collapsed="1">
      <c r="A90" s="52" t="s">
        <v>41</v>
      </c>
      <c r="B90" s="53"/>
      <c r="C90" s="54"/>
      <c r="D90" s="55">
        <f t="shared" ref="D90:F90" si="57">SUM(D83:D89)</f>
        <v>7237</v>
      </c>
      <c r="E90" s="56">
        <f t="shared" si="57"/>
        <v>186</v>
      </c>
      <c r="F90" s="56">
        <f t="shared" si="57"/>
        <v>186</v>
      </c>
      <c r="G90" s="57">
        <f t="shared" si="2"/>
        <v>1</v>
      </c>
      <c r="H90" s="55">
        <f>AVERAGE(H83:H89)</f>
        <v>38.37646766</v>
      </c>
      <c r="I90" s="58">
        <f>H90/G90</f>
        <v>38.37646766</v>
      </c>
      <c r="J90" s="59">
        <f>SUM(J83:J89)</f>
        <v>14300</v>
      </c>
      <c r="K90" s="60">
        <f t="shared" si="5"/>
        <v>0.01300699301</v>
      </c>
      <c r="L90" s="55">
        <f t="shared" ref="L90:N90" si="58">SUM(L83:L89)</f>
        <v>671.41</v>
      </c>
      <c r="M90" s="55">
        <f t="shared" si="58"/>
        <v>4550</v>
      </c>
      <c r="N90" s="56">
        <f t="shared" si="58"/>
        <v>109</v>
      </c>
      <c r="O90" s="59">
        <f>sum(O83:O89)</f>
        <v>984608</v>
      </c>
      <c r="P90" s="60">
        <f t="shared" si="6"/>
        <v>0.1475626374</v>
      </c>
      <c r="Q90" s="61">
        <f t="shared" si="7"/>
        <v>6.776783188</v>
      </c>
      <c r="R90" s="62">
        <f t="shared" si="8"/>
        <v>0.6287135553</v>
      </c>
      <c r="S90" s="54" t="str">
        <f>iferror((D90-#REF!)/D90,)</f>
        <v/>
      </c>
      <c r="T90" s="63" t="str">
        <f>iferror((F90-#REF!)/F90,)</f>
        <v/>
      </c>
      <c r="U90" s="64">
        <f t="shared" ref="U90:V90" si="59">L90</f>
        <v>671.41</v>
      </c>
      <c r="V90" s="64">
        <f t="shared" si="59"/>
        <v>4550</v>
      </c>
      <c r="W90" s="6"/>
      <c r="X90" s="6"/>
      <c r="Y90" s="6"/>
      <c r="Z90" s="6"/>
    </row>
    <row r="91" hidden="1" outlineLevel="1">
      <c r="A91" s="33" t="str">
        <f t="shared" ref="A91:A97" si="60">iferror(if(B91&gt;0,month(B91)&amp;"-"&amp;year(B91),B91),)</f>
        <v>2-2026</v>
      </c>
      <c r="B91" s="34">
        <v>46075.0</v>
      </c>
      <c r="C91" s="35"/>
      <c r="D91" s="36">
        <v>1404.5</v>
      </c>
      <c r="E91" s="37">
        <v>41.0</v>
      </c>
      <c r="F91" s="37">
        <v>41.0</v>
      </c>
      <c r="G91" s="38">
        <f t="shared" si="2"/>
        <v>1</v>
      </c>
      <c r="H91" s="36">
        <f t="shared" ref="H91:H97" si="61">D91/F91</f>
        <v>34.25609756</v>
      </c>
      <c r="I91" s="36">
        <f t="shared" ref="I91:I97" si="62">D91/E91</f>
        <v>34.25609756</v>
      </c>
      <c r="J91" s="39">
        <v>2615.0</v>
      </c>
      <c r="K91" s="40">
        <f t="shared" si="5"/>
        <v>0.01567877629</v>
      </c>
      <c r="L91" s="36">
        <v>148.88</v>
      </c>
      <c r="M91" s="36">
        <v>1141.0</v>
      </c>
      <c r="N91" s="37">
        <v>28.0</v>
      </c>
      <c r="O91" s="39">
        <v>206668.0</v>
      </c>
      <c r="P91" s="40">
        <f t="shared" si="6"/>
        <v>0.1304820333</v>
      </c>
      <c r="Q91" s="41">
        <f t="shared" si="7"/>
        <v>7.663890382</v>
      </c>
      <c r="R91" s="40">
        <f t="shared" si="8"/>
        <v>0.8123887504</v>
      </c>
      <c r="S91" s="42"/>
      <c r="T91" s="43"/>
      <c r="U91" s="6"/>
      <c r="V91" s="6"/>
      <c r="W91" s="6"/>
      <c r="X91" s="6"/>
      <c r="Y91" s="6"/>
      <c r="Z91" s="6"/>
    </row>
    <row r="92" hidden="1" outlineLevel="1">
      <c r="A92" s="44" t="str">
        <f t="shared" si="60"/>
        <v>2-2026</v>
      </c>
      <c r="B92" s="34">
        <v>46076.0</v>
      </c>
      <c r="C92" s="45"/>
      <c r="D92" s="46">
        <v>1628.5</v>
      </c>
      <c r="E92" s="47">
        <v>44.0</v>
      </c>
      <c r="F92" s="47">
        <v>44.0</v>
      </c>
      <c r="G92" s="48">
        <f t="shared" si="2"/>
        <v>1</v>
      </c>
      <c r="H92" s="46">
        <f t="shared" si="61"/>
        <v>37.01136364</v>
      </c>
      <c r="I92" s="46">
        <f t="shared" si="62"/>
        <v>37.01136364</v>
      </c>
      <c r="J92" s="49">
        <v>2240.0</v>
      </c>
      <c r="K92" s="50">
        <f t="shared" si="5"/>
        <v>0.01964285714</v>
      </c>
      <c r="L92" s="46">
        <v>104.26</v>
      </c>
      <c r="M92" s="46">
        <v>890.5</v>
      </c>
      <c r="N92" s="47">
        <v>24.0</v>
      </c>
      <c r="O92" s="49">
        <v>159067.0</v>
      </c>
      <c r="P92" s="50">
        <f t="shared" si="6"/>
        <v>0.117080292</v>
      </c>
      <c r="Q92" s="51">
        <f t="shared" si="7"/>
        <v>8.541147132</v>
      </c>
      <c r="R92" s="50">
        <f t="shared" si="8"/>
        <v>0.546822229</v>
      </c>
      <c r="S92" s="16"/>
      <c r="T92" s="25"/>
      <c r="U92" s="6"/>
      <c r="V92" s="6"/>
      <c r="W92" s="6"/>
      <c r="X92" s="6"/>
      <c r="Y92" s="6"/>
      <c r="Z92" s="6"/>
    </row>
    <row r="93" hidden="1" outlineLevel="1">
      <c r="A93" s="44" t="str">
        <f t="shared" si="60"/>
        <v>2-2026</v>
      </c>
      <c r="B93" s="34">
        <v>46077.0</v>
      </c>
      <c r="C93" s="45"/>
      <c r="D93" s="46">
        <v>947.5</v>
      </c>
      <c r="E93" s="47">
        <v>24.0</v>
      </c>
      <c r="F93" s="47">
        <v>24.0</v>
      </c>
      <c r="G93" s="48">
        <f t="shared" si="2"/>
        <v>1</v>
      </c>
      <c r="H93" s="46">
        <f t="shared" si="61"/>
        <v>39.47916667</v>
      </c>
      <c r="I93" s="46">
        <f t="shared" si="62"/>
        <v>39.47916667</v>
      </c>
      <c r="J93" s="49">
        <v>1611.0</v>
      </c>
      <c r="K93" s="50">
        <f t="shared" si="5"/>
        <v>0.01489757914</v>
      </c>
      <c r="L93" s="46">
        <v>91.99</v>
      </c>
      <c r="M93" s="46">
        <v>442.0</v>
      </c>
      <c r="N93" s="47">
        <v>10.0</v>
      </c>
      <c r="O93" s="49">
        <v>153848.0</v>
      </c>
      <c r="P93" s="50">
        <f t="shared" si="6"/>
        <v>0.2081221719</v>
      </c>
      <c r="Q93" s="51">
        <f t="shared" si="7"/>
        <v>4.804870095</v>
      </c>
      <c r="R93" s="50">
        <f t="shared" si="8"/>
        <v>0.4664907652</v>
      </c>
      <c r="S93" s="16"/>
      <c r="T93" s="25"/>
      <c r="U93" s="6"/>
      <c r="V93" s="6"/>
      <c r="W93" s="6"/>
      <c r="X93" s="6"/>
      <c r="Y93" s="6"/>
      <c r="Z93" s="6"/>
    </row>
    <row r="94" hidden="1" outlineLevel="1">
      <c r="A94" s="44" t="str">
        <f t="shared" si="60"/>
        <v>2-2026</v>
      </c>
      <c r="B94" s="34">
        <v>46078.0</v>
      </c>
      <c r="C94" s="45"/>
      <c r="D94" s="46">
        <v>1300.0</v>
      </c>
      <c r="E94" s="47">
        <v>37.0</v>
      </c>
      <c r="F94" s="47">
        <v>37.0</v>
      </c>
      <c r="G94" s="48">
        <f t="shared" si="2"/>
        <v>1</v>
      </c>
      <c r="H94" s="46">
        <f t="shared" si="61"/>
        <v>35.13513514</v>
      </c>
      <c r="I94" s="46">
        <f t="shared" si="62"/>
        <v>35.13513514</v>
      </c>
      <c r="J94" s="49">
        <v>2071.0</v>
      </c>
      <c r="K94" s="50">
        <f t="shared" si="5"/>
        <v>0.01786576533</v>
      </c>
      <c r="L94" s="46">
        <v>103.97</v>
      </c>
      <c r="M94" s="46">
        <v>687.0</v>
      </c>
      <c r="N94" s="47">
        <v>23.0</v>
      </c>
      <c r="O94" s="49">
        <v>167375.0</v>
      </c>
      <c r="P94" s="50">
        <f t="shared" si="6"/>
        <v>0.1513391557</v>
      </c>
      <c r="Q94" s="51">
        <f t="shared" si="7"/>
        <v>6.607675291</v>
      </c>
      <c r="R94" s="50">
        <f t="shared" si="8"/>
        <v>0.5284615385</v>
      </c>
      <c r="S94" s="16"/>
      <c r="T94" s="25"/>
      <c r="U94" s="6"/>
      <c r="V94" s="6"/>
      <c r="W94" s="6"/>
      <c r="X94" s="6"/>
      <c r="Y94" s="6"/>
      <c r="Z94" s="6"/>
    </row>
    <row r="95" hidden="1" outlineLevel="1">
      <c r="A95" s="44" t="str">
        <f t="shared" si="60"/>
        <v>2-2026</v>
      </c>
      <c r="B95" s="34">
        <v>46079.0</v>
      </c>
      <c r="C95" s="45"/>
      <c r="D95" s="46">
        <v>971.5</v>
      </c>
      <c r="E95" s="47">
        <v>27.0</v>
      </c>
      <c r="F95" s="47">
        <v>27.0</v>
      </c>
      <c r="G95" s="48">
        <f t="shared" si="2"/>
        <v>1</v>
      </c>
      <c r="H95" s="46">
        <f t="shared" si="61"/>
        <v>35.98148148</v>
      </c>
      <c r="I95" s="46">
        <f t="shared" si="62"/>
        <v>35.98148148</v>
      </c>
      <c r="J95" s="49">
        <v>1957.0</v>
      </c>
      <c r="K95" s="50">
        <f t="shared" si="5"/>
        <v>0.01379662749</v>
      </c>
      <c r="L95" s="46">
        <v>103.29</v>
      </c>
      <c r="M95" s="46">
        <v>631.5</v>
      </c>
      <c r="N95" s="47">
        <v>16.0</v>
      </c>
      <c r="O95" s="49">
        <v>174007.0</v>
      </c>
      <c r="P95" s="50">
        <f t="shared" si="6"/>
        <v>0.1635629454</v>
      </c>
      <c r="Q95" s="51">
        <f t="shared" si="7"/>
        <v>6.113854197</v>
      </c>
      <c r="R95" s="50">
        <f t="shared" si="8"/>
        <v>0.6500257334</v>
      </c>
      <c r="S95" s="16"/>
      <c r="T95" s="25"/>
      <c r="U95" s="6"/>
      <c r="V95" s="6"/>
      <c r="W95" s="6"/>
      <c r="X95" s="6"/>
      <c r="Y95" s="6"/>
      <c r="Z95" s="6"/>
    </row>
    <row r="96" hidden="1" outlineLevel="1">
      <c r="A96" s="44" t="str">
        <f t="shared" si="60"/>
        <v>2-2026</v>
      </c>
      <c r="B96" s="34">
        <v>46080.0</v>
      </c>
      <c r="C96" s="45"/>
      <c r="D96" s="46">
        <v>1080.5</v>
      </c>
      <c r="E96" s="47">
        <v>32.0</v>
      </c>
      <c r="F96" s="47">
        <v>32.0</v>
      </c>
      <c r="G96" s="48">
        <f t="shared" si="2"/>
        <v>1</v>
      </c>
      <c r="H96" s="46">
        <f t="shared" si="61"/>
        <v>33.765625</v>
      </c>
      <c r="I96" s="46">
        <f t="shared" si="62"/>
        <v>33.765625</v>
      </c>
      <c r="J96" s="49">
        <v>2569.0</v>
      </c>
      <c r="K96" s="50">
        <f t="shared" si="5"/>
        <v>0.01245620864</v>
      </c>
      <c r="L96" s="46">
        <v>110.21</v>
      </c>
      <c r="M96" s="46">
        <v>589.5</v>
      </c>
      <c r="N96" s="47">
        <v>17.0</v>
      </c>
      <c r="O96" s="49">
        <v>158825.0</v>
      </c>
      <c r="P96" s="50">
        <f t="shared" si="6"/>
        <v>0.1869550466</v>
      </c>
      <c r="Q96" s="51">
        <f t="shared" si="7"/>
        <v>5.348879412</v>
      </c>
      <c r="R96" s="50">
        <f t="shared" si="8"/>
        <v>0.5455807497</v>
      </c>
      <c r="S96" s="16"/>
      <c r="T96" s="25"/>
      <c r="U96" s="6"/>
      <c r="V96" s="6"/>
      <c r="W96" s="6"/>
      <c r="X96" s="6"/>
      <c r="Y96" s="6"/>
      <c r="Z96" s="6"/>
    </row>
    <row r="97" hidden="1" outlineLevel="1">
      <c r="A97" s="44" t="str">
        <f t="shared" si="60"/>
        <v>2-2026</v>
      </c>
      <c r="B97" s="34">
        <v>46081.0</v>
      </c>
      <c r="C97" s="45"/>
      <c r="D97" s="46">
        <v>1696.0</v>
      </c>
      <c r="E97" s="47">
        <v>52.0</v>
      </c>
      <c r="F97" s="47">
        <v>52.0</v>
      </c>
      <c r="G97" s="48">
        <f t="shared" si="2"/>
        <v>1</v>
      </c>
      <c r="H97" s="46">
        <f t="shared" si="61"/>
        <v>32.61538462</v>
      </c>
      <c r="I97" s="46">
        <f t="shared" si="62"/>
        <v>32.61538462</v>
      </c>
      <c r="J97" s="49">
        <v>2266.0</v>
      </c>
      <c r="K97" s="50">
        <f t="shared" si="5"/>
        <v>0.02294792586</v>
      </c>
      <c r="L97" s="46">
        <v>110.23</v>
      </c>
      <c r="M97" s="46">
        <v>1107.0</v>
      </c>
      <c r="N97" s="47">
        <v>38.0</v>
      </c>
      <c r="O97" s="49">
        <v>187698.0</v>
      </c>
      <c r="P97" s="50">
        <f t="shared" si="6"/>
        <v>0.09957542909</v>
      </c>
      <c r="Q97" s="51">
        <f t="shared" si="7"/>
        <v>10.04263812</v>
      </c>
      <c r="R97" s="50">
        <f t="shared" si="8"/>
        <v>0.6527122642</v>
      </c>
      <c r="S97" s="16"/>
      <c r="T97" s="25"/>
      <c r="U97" s="6"/>
      <c r="V97" s="6"/>
      <c r="W97" s="6"/>
      <c r="X97" s="6"/>
      <c r="Y97" s="6"/>
      <c r="Z97" s="6"/>
    </row>
    <row r="98" collapsed="1">
      <c r="A98" s="52" t="s">
        <v>42</v>
      </c>
      <c r="B98" s="53"/>
      <c r="C98" s="54"/>
      <c r="D98" s="55">
        <f t="shared" ref="D98:F98" si="63">SUM(D91:D97)</f>
        <v>9028.5</v>
      </c>
      <c r="E98" s="56">
        <f t="shared" si="63"/>
        <v>257</v>
      </c>
      <c r="F98" s="56">
        <f t="shared" si="63"/>
        <v>257</v>
      </c>
      <c r="G98" s="57">
        <f t="shared" si="2"/>
        <v>1</v>
      </c>
      <c r="H98" s="55">
        <f>AVERAGE(H91:H97)</f>
        <v>35.46346487</v>
      </c>
      <c r="I98" s="58">
        <f>H98/G98</f>
        <v>35.46346487</v>
      </c>
      <c r="J98" s="59">
        <f>SUM(J91:J97)</f>
        <v>15329</v>
      </c>
      <c r="K98" s="60">
        <f t="shared" si="5"/>
        <v>0.01676560767</v>
      </c>
      <c r="L98" s="55">
        <f t="shared" ref="L98:N98" si="64">SUM(L91:L97)</f>
        <v>772.83</v>
      </c>
      <c r="M98" s="55">
        <f t="shared" si="64"/>
        <v>5488.5</v>
      </c>
      <c r="N98" s="56">
        <f t="shared" si="64"/>
        <v>156</v>
      </c>
      <c r="O98" s="59">
        <f>sum(O91:O97)</f>
        <v>1207488</v>
      </c>
      <c r="P98" s="60">
        <f t="shared" si="6"/>
        <v>0.1408089642</v>
      </c>
      <c r="Q98" s="61">
        <f t="shared" si="7"/>
        <v>7.101820581</v>
      </c>
      <c r="R98" s="62">
        <f t="shared" si="8"/>
        <v>0.6079082904</v>
      </c>
      <c r="S98" s="54" t="str">
        <f>iferror((D98-#REF!)/D98,)</f>
        <v/>
      </c>
      <c r="T98" s="63" t="str">
        <f>iferror((F98-#REF!)/F98,)</f>
        <v/>
      </c>
      <c r="U98" s="64">
        <f t="shared" ref="U98:V98" si="65">L98</f>
        <v>772.83</v>
      </c>
      <c r="V98" s="64">
        <f t="shared" si="65"/>
        <v>5488.5</v>
      </c>
      <c r="W98" s="6"/>
      <c r="X98" s="6"/>
      <c r="Y98" s="6"/>
      <c r="Z98" s="6"/>
    </row>
    <row r="99" hidden="1" outlineLevel="1">
      <c r="A99" s="33" t="str">
        <f t="shared" ref="A99:A105" si="66">iferror(if(B99&gt;0,month(B99)&amp;"-"&amp;year(B99),B99),)</f>
        <v>3-2026</v>
      </c>
      <c r="B99" s="34">
        <v>46082.0</v>
      </c>
      <c r="C99" s="35"/>
      <c r="D99" s="36">
        <v>2179.5</v>
      </c>
      <c r="E99" s="37">
        <v>65.0</v>
      </c>
      <c r="F99" s="37">
        <v>65.0</v>
      </c>
      <c r="G99" s="38">
        <f t="shared" si="2"/>
        <v>1</v>
      </c>
      <c r="H99" s="36">
        <f t="shared" ref="H99:H105" si="67">D99/F99</f>
        <v>33.53076923</v>
      </c>
      <c r="I99" s="36">
        <f t="shared" ref="I99:I105" si="68">D99/E99</f>
        <v>33.53076923</v>
      </c>
      <c r="J99" s="39">
        <v>3326.0</v>
      </c>
      <c r="K99" s="40">
        <f t="shared" si="5"/>
        <v>0.01954299459</v>
      </c>
      <c r="L99" s="36">
        <v>211.76</v>
      </c>
      <c r="M99" s="36">
        <v>1612.0</v>
      </c>
      <c r="N99" s="37">
        <v>48.0</v>
      </c>
      <c r="O99" s="39">
        <v>274826.0</v>
      </c>
      <c r="P99" s="40">
        <f t="shared" si="6"/>
        <v>0.1313647643</v>
      </c>
      <c r="Q99" s="41">
        <f t="shared" si="7"/>
        <v>7.612391386</v>
      </c>
      <c r="R99" s="40">
        <f t="shared" si="8"/>
        <v>0.7396191787</v>
      </c>
      <c r="S99" s="42"/>
      <c r="T99" s="43"/>
      <c r="U99" s="6"/>
      <c r="V99" s="6"/>
      <c r="W99" s="6"/>
      <c r="X99" s="6"/>
      <c r="Y99" s="6"/>
      <c r="Z99" s="6"/>
    </row>
    <row r="100" hidden="1" outlineLevel="1">
      <c r="A100" s="44" t="str">
        <f t="shared" si="66"/>
        <v>3-2026</v>
      </c>
      <c r="B100" s="34">
        <v>46083.0</v>
      </c>
      <c r="C100" s="45"/>
      <c r="D100" s="46">
        <v>1918.0</v>
      </c>
      <c r="E100" s="47">
        <v>58.0</v>
      </c>
      <c r="F100" s="47">
        <v>58.0</v>
      </c>
      <c r="G100" s="48">
        <f t="shared" si="2"/>
        <v>1</v>
      </c>
      <c r="H100" s="46">
        <f t="shared" si="67"/>
        <v>33.06896552</v>
      </c>
      <c r="I100" s="46">
        <f t="shared" si="68"/>
        <v>33.06896552</v>
      </c>
      <c r="J100" s="49">
        <v>2325.0</v>
      </c>
      <c r="K100" s="50">
        <f t="shared" si="5"/>
        <v>0.02494623656</v>
      </c>
      <c r="L100" s="46">
        <v>106.84</v>
      </c>
      <c r="M100" s="46">
        <v>1055.0</v>
      </c>
      <c r="N100" s="47">
        <v>32.0</v>
      </c>
      <c r="O100" s="49">
        <v>173016.0</v>
      </c>
      <c r="P100" s="50">
        <f t="shared" si="6"/>
        <v>0.1012701422</v>
      </c>
      <c r="Q100" s="51">
        <f t="shared" si="7"/>
        <v>9.874578809</v>
      </c>
      <c r="R100" s="50">
        <f t="shared" si="8"/>
        <v>0.5500521376</v>
      </c>
      <c r="S100" s="16"/>
      <c r="T100" s="25"/>
      <c r="U100" s="6"/>
      <c r="V100" s="6"/>
      <c r="W100" s="6"/>
      <c r="X100" s="6"/>
      <c r="Y100" s="6"/>
      <c r="Z100" s="6"/>
    </row>
    <row r="101" hidden="1" outlineLevel="1">
      <c r="A101" s="44" t="str">
        <f t="shared" si="66"/>
        <v>3-2026</v>
      </c>
      <c r="B101" s="34">
        <v>46084.0</v>
      </c>
      <c r="C101" s="45"/>
      <c r="D101" s="46">
        <v>1825.5</v>
      </c>
      <c r="E101" s="47">
        <v>44.0</v>
      </c>
      <c r="F101" s="47">
        <v>44.0</v>
      </c>
      <c r="G101" s="48">
        <f t="shared" si="2"/>
        <v>1</v>
      </c>
      <c r="H101" s="46">
        <f t="shared" si="67"/>
        <v>41.48863636</v>
      </c>
      <c r="I101" s="46">
        <f t="shared" si="68"/>
        <v>41.48863636</v>
      </c>
      <c r="J101" s="49">
        <v>2315.0</v>
      </c>
      <c r="K101" s="50">
        <f t="shared" si="5"/>
        <v>0.01900647948</v>
      </c>
      <c r="L101" s="46">
        <v>104.83</v>
      </c>
      <c r="M101" s="46">
        <v>1368.0</v>
      </c>
      <c r="N101" s="47">
        <v>33.0</v>
      </c>
      <c r="O101" s="49">
        <v>160862.0</v>
      </c>
      <c r="P101" s="50">
        <f t="shared" si="6"/>
        <v>0.07663011696</v>
      </c>
      <c r="Q101" s="51">
        <f t="shared" si="7"/>
        <v>13.04969951</v>
      </c>
      <c r="R101" s="50">
        <f t="shared" si="8"/>
        <v>0.7493837305</v>
      </c>
      <c r="S101" s="16"/>
      <c r="T101" s="25"/>
      <c r="U101" s="6"/>
      <c r="V101" s="6"/>
      <c r="W101" s="6"/>
      <c r="X101" s="6"/>
      <c r="Y101" s="6"/>
      <c r="Z101" s="6"/>
    </row>
    <row r="102" hidden="1" outlineLevel="1">
      <c r="A102" s="44" t="str">
        <f t="shared" si="66"/>
        <v>3-2026</v>
      </c>
      <c r="B102" s="34">
        <v>46085.0</v>
      </c>
      <c r="C102" s="45"/>
      <c r="D102" s="46">
        <v>1212.0</v>
      </c>
      <c r="E102" s="47">
        <v>37.0</v>
      </c>
      <c r="F102" s="47">
        <v>37.0</v>
      </c>
      <c r="G102" s="48">
        <f t="shared" si="2"/>
        <v>1</v>
      </c>
      <c r="H102" s="46">
        <f t="shared" si="67"/>
        <v>32.75675676</v>
      </c>
      <c r="I102" s="46">
        <f t="shared" si="68"/>
        <v>32.75675676</v>
      </c>
      <c r="J102" s="49">
        <v>2585.0</v>
      </c>
      <c r="K102" s="50">
        <f t="shared" si="5"/>
        <v>0.01431334623</v>
      </c>
      <c r="L102" s="46">
        <v>120.39</v>
      </c>
      <c r="M102" s="46">
        <v>838.0</v>
      </c>
      <c r="N102" s="47">
        <v>27.0</v>
      </c>
      <c r="O102" s="49">
        <v>168809.0</v>
      </c>
      <c r="P102" s="50">
        <f t="shared" si="6"/>
        <v>0.1436634845</v>
      </c>
      <c r="Q102" s="51">
        <f t="shared" si="7"/>
        <v>6.960711023</v>
      </c>
      <c r="R102" s="50">
        <f t="shared" si="8"/>
        <v>0.6914191419</v>
      </c>
      <c r="S102" s="16"/>
      <c r="T102" s="25"/>
      <c r="U102" s="6"/>
      <c r="V102" s="6"/>
      <c r="W102" s="6"/>
      <c r="X102" s="6"/>
      <c r="Y102" s="6"/>
      <c r="Z102" s="6"/>
    </row>
    <row r="103" hidden="1" outlineLevel="1">
      <c r="A103" s="44" t="str">
        <f t="shared" si="66"/>
        <v>3-2026</v>
      </c>
      <c r="B103" s="34">
        <v>46086.0</v>
      </c>
      <c r="C103" s="45"/>
      <c r="D103" s="46">
        <v>1149.5</v>
      </c>
      <c r="E103" s="47">
        <v>35.0</v>
      </c>
      <c r="F103" s="47">
        <v>35.0</v>
      </c>
      <c r="G103" s="48">
        <f t="shared" si="2"/>
        <v>1</v>
      </c>
      <c r="H103" s="46">
        <f t="shared" si="67"/>
        <v>32.84285714</v>
      </c>
      <c r="I103" s="46">
        <f t="shared" si="68"/>
        <v>32.84285714</v>
      </c>
      <c r="J103" s="49">
        <v>2448.0</v>
      </c>
      <c r="K103" s="50">
        <f t="shared" si="5"/>
        <v>0.01429738562</v>
      </c>
      <c r="L103" s="46">
        <v>120.15</v>
      </c>
      <c r="M103" s="46">
        <v>800.5</v>
      </c>
      <c r="N103" s="47">
        <v>24.0</v>
      </c>
      <c r="O103" s="49">
        <v>157020.0</v>
      </c>
      <c r="P103" s="50">
        <f t="shared" si="6"/>
        <v>0.1500936914</v>
      </c>
      <c r="Q103" s="51">
        <f t="shared" si="7"/>
        <v>6.662505202</v>
      </c>
      <c r="R103" s="50">
        <f t="shared" si="8"/>
        <v>0.6963897347</v>
      </c>
      <c r="S103" s="16"/>
      <c r="T103" s="25"/>
      <c r="U103" s="6"/>
      <c r="V103" s="6"/>
      <c r="W103" s="6"/>
      <c r="X103" s="6"/>
      <c r="Y103" s="6"/>
      <c r="Z103" s="6"/>
    </row>
    <row r="104" hidden="1" outlineLevel="1">
      <c r="A104" s="44" t="str">
        <f t="shared" si="66"/>
        <v>3-2026</v>
      </c>
      <c r="B104" s="34">
        <v>46087.0</v>
      </c>
      <c r="C104" s="45"/>
      <c r="D104" s="46">
        <v>1560.5</v>
      </c>
      <c r="E104" s="47">
        <v>40.0</v>
      </c>
      <c r="F104" s="47">
        <v>40.0</v>
      </c>
      <c r="G104" s="48">
        <f t="shared" si="2"/>
        <v>1</v>
      </c>
      <c r="H104" s="46">
        <f t="shared" si="67"/>
        <v>39.0125</v>
      </c>
      <c r="I104" s="46">
        <f t="shared" si="68"/>
        <v>39.0125</v>
      </c>
      <c r="J104" s="49">
        <v>2348.0</v>
      </c>
      <c r="K104" s="50">
        <f t="shared" si="5"/>
        <v>0.01703577513</v>
      </c>
      <c r="L104" s="46">
        <v>134.87</v>
      </c>
      <c r="M104" s="46">
        <v>767.0</v>
      </c>
      <c r="N104" s="47">
        <v>22.0</v>
      </c>
      <c r="O104" s="49">
        <v>156305.0</v>
      </c>
      <c r="P104" s="50">
        <f t="shared" si="6"/>
        <v>0.1758409387</v>
      </c>
      <c r="Q104" s="51">
        <f t="shared" si="7"/>
        <v>5.686957811</v>
      </c>
      <c r="R104" s="50">
        <f t="shared" si="8"/>
        <v>0.4915091317</v>
      </c>
      <c r="S104" s="16"/>
      <c r="T104" s="25"/>
      <c r="U104" s="6"/>
      <c r="V104" s="6"/>
      <c r="W104" s="6"/>
      <c r="X104" s="6"/>
      <c r="Y104" s="6"/>
      <c r="Z104" s="6"/>
    </row>
    <row r="105" hidden="1" outlineLevel="1">
      <c r="A105" s="44" t="str">
        <f t="shared" si="66"/>
        <v>3-2026</v>
      </c>
      <c r="B105" s="34">
        <v>46088.0</v>
      </c>
      <c r="C105" s="45"/>
      <c r="D105" s="46">
        <v>1727.5</v>
      </c>
      <c r="E105" s="47">
        <v>51.0</v>
      </c>
      <c r="F105" s="47">
        <v>51.0</v>
      </c>
      <c r="G105" s="48">
        <f t="shared" si="2"/>
        <v>1</v>
      </c>
      <c r="H105" s="46">
        <f t="shared" si="67"/>
        <v>33.87254902</v>
      </c>
      <c r="I105" s="46">
        <f t="shared" si="68"/>
        <v>33.87254902</v>
      </c>
      <c r="J105" s="49">
        <v>2842.0</v>
      </c>
      <c r="K105" s="50">
        <f t="shared" si="5"/>
        <v>0.01794510908</v>
      </c>
      <c r="L105" s="46">
        <v>153.51</v>
      </c>
      <c r="M105" s="46">
        <v>1282.0</v>
      </c>
      <c r="N105" s="47">
        <v>34.0</v>
      </c>
      <c r="O105" s="49">
        <v>183433.0</v>
      </c>
      <c r="P105" s="50">
        <f t="shared" si="6"/>
        <v>0.1197425897</v>
      </c>
      <c r="Q105" s="51">
        <f t="shared" si="7"/>
        <v>8.351247476</v>
      </c>
      <c r="R105" s="50">
        <f t="shared" si="8"/>
        <v>0.7421128799</v>
      </c>
      <c r="S105" s="16"/>
      <c r="T105" s="25"/>
      <c r="U105" s="6"/>
      <c r="V105" s="6"/>
      <c r="W105" s="6"/>
      <c r="X105" s="6"/>
      <c r="Y105" s="6"/>
      <c r="Z105" s="6"/>
    </row>
    <row r="106" collapsed="1">
      <c r="A106" s="52" t="s">
        <v>43</v>
      </c>
      <c r="B106" s="53"/>
      <c r="C106" s="54"/>
      <c r="D106" s="55">
        <f t="shared" ref="D106:F106" si="69">SUM(D99:D105)</f>
        <v>11572.5</v>
      </c>
      <c r="E106" s="56">
        <f t="shared" si="69"/>
        <v>330</v>
      </c>
      <c r="F106" s="56">
        <f t="shared" si="69"/>
        <v>330</v>
      </c>
      <c r="G106" s="57">
        <f t="shared" si="2"/>
        <v>1</v>
      </c>
      <c r="H106" s="55">
        <f>AVERAGE(H99:H105)</f>
        <v>35.22471915</v>
      </c>
      <c r="I106" s="58">
        <f>H106/G106</f>
        <v>35.22471915</v>
      </c>
      <c r="J106" s="59">
        <f>SUM(J99:J105)</f>
        <v>18189</v>
      </c>
      <c r="K106" s="60">
        <f t="shared" si="5"/>
        <v>0.01814283358</v>
      </c>
      <c r="L106" s="55">
        <f t="shared" ref="L106:N106" si="70">SUM(L99:L105)</f>
        <v>952.35</v>
      </c>
      <c r="M106" s="55">
        <f t="shared" si="70"/>
        <v>7722.5</v>
      </c>
      <c r="N106" s="56">
        <f t="shared" si="70"/>
        <v>220</v>
      </c>
      <c r="O106" s="59">
        <f>sum(O99:O105)</f>
        <v>1274271</v>
      </c>
      <c r="P106" s="60">
        <f t="shared" si="6"/>
        <v>0.1233214633</v>
      </c>
      <c r="Q106" s="61">
        <f t="shared" si="7"/>
        <v>8.108888539</v>
      </c>
      <c r="R106" s="62">
        <f t="shared" si="8"/>
        <v>0.6673147548</v>
      </c>
      <c r="S106" s="54" t="str">
        <f>iferror((D106-#REF!)/D106,)</f>
        <v/>
      </c>
      <c r="T106" s="63" t="str">
        <f>iferror((F106-#REF!)/F106,)</f>
        <v/>
      </c>
      <c r="U106" s="64">
        <f t="shared" ref="U106:V106" si="71">L106</f>
        <v>952.35</v>
      </c>
      <c r="V106" s="64">
        <f t="shared" si="71"/>
        <v>7722.5</v>
      </c>
      <c r="W106" s="6"/>
      <c r="X106" s="6"/>
      <c r="Y106" s="6"/>
      <c r="Z106" s="6"/>
    </row>
    <row r="107">
      <c r="A107" s="65" t="str">
        <f t="shared" ref="A107:A113" si="72">iferror(if(B107&gt;0,month(B107)&amp;"-"&amp;year(B107),B107),)</f>
        <v>3-2026</v>
      </c>
      <c r="B107" s="66">
        <v>46089.0</v>
      </c>
      <c r="C107" s="35"/>
      <c r="D107" s="67">
        <v>2478.0</v>
      </c>
      <c r="E107" s="68">
        <v>78.0</v>
      </c>
      <c r="F107" s="68">
        <v>78.0</v>
      </c>
      <c r="G107" s="38">
        <f t="shared" si="2"/>
        <v>1</v>
      </c>
      <c r="H107" s="36">
        <f t="shared" ref="H107:H113" si="73">D107/F107</f>
        <v>31.76923077</v>
      </c>
      <c r="I107" s="36">
        <f t="shared" ref="I107:I113" si="74">D107/E107</f>
        <v>31.76923077</v>
      </c>
      <c r="J107" s="69">
        <v>3457.0</v>
      </c>
      <c r="K107" s="40">
        <f t="shared" si="5"/>
        <v>0.02256291582</v>
      </c>
      <c r="L107" s="67">
        <v>190.07</v>
      </c>
      <c r="M107" s="67">
        <v>1438.0</v>
      </c>
      <c r="N107" s="68">
        <v>49.0</v>
      </c>
      <c r="O107" s="69">
        <v>243541.0</v>
      </c>
      <c r="P107" s="40">
        <f t="shared" si="6"/>
        <v>0.1321766342</v>
      </c>
      <c r="Q107" s="41">
        <f t="shared" si="7"/>
        <v>7.565633714</v>
      </c>
      <c r="R107" s="40">
        <f t="shared" si="8"/>
        <v>0.580306699</v>
      </c>
      <c r="S107" s="42"/>
      <c r="T107" s="43"/>
      <c r="U107" s="2"/>
      <c r="V107" s="2"/>
      <c r="W107" s="2"/>
      <c r="X107" s="2"/>
      <c r="Y107" s="2"/>
      <c r="Z107" s="2"/>
    </row>
    <row r="108">
      <c r="A108" s="70" t="str">
        <f t="shared" si="72"/>
        <v>3-2026</v>
      </c>
      <c r="B108" s="66">
        <v>46090.0</v>
      </c>
      <c r="C108" s="45"/>
      <c r="D108" s="71">
        <v>1420.0</v>
      </c>
      <c r="E108" s="72">
        <v>51.0</v>
      </c>
      <c r="F108" s="72">
        <v>50.0</v>
      </c>
      <c r="G108" s="48">
        <f t="shared" si="2"/>
        <v>1.02</v>
      </c>
      <c r="H108" s="46">
        <f t="shared" si="73"/>
        <v>28.4</v>
      </c>
      <c r="I108" s="46">
        <f t="shared" si="74"/>
        <v>27.84313725</v>
      </c>
      <c r="J108" s="73">
        <v>2741.0</v>
      </c>
      <c r="K108" s="50">
        <f t="shared" si="5"/>
        <v>0.01860634805</v>
      </c>
      <c r="L108" s="71">
        <v>144.63</v>
      </c>
      <c r="M108" s="71">
        <v>1019.5</v>
      </c>
      <c r="N108" s="72">
        <v>39.0</v>
      </c>
      <c r="O108" s="73">
        <v>220571.0</v>
      </c>
      <c r="P108" s="50">
        <f t="shared" si="6"/>
        <v>0.1418636587</v>
      </c>
      <c r="Q108" s="51">
        <f t="shared" si="7"/>
        <v>7.049021641</v>
      </c>
      <c r="R108" s="50">
        <f t="shared" si="8"/>
        <v>0.7179577465</v>
      </c>
      <c r="S108" s="16"/>
      <c r="T108" s="25"/>
      <c r="U108" s="2"/>
      <c r="V108" s="2"/>
      <c r="W108" s="2"/>
      <c r="X108" s="2"/>
      <c r="Y108" s="2"/>
      <c r="Z108" s="2"/>
    </row>
    <row r="109">
      <c r="A109" s="70" t="str">
        <f t="shared" si="72"/>
        <v>3-2026</v>
      </c>
      <c r="B109" s="66">
        <v>46091.0</v>
      </c>
      <c r="C109" s="45"/>
      <c r="D109" s="71">
        <v>2085.0</v>
      </c>
      <c r="E109" s="72">
        <v>57.0</v>
      </c>
      <c r="F109" s="72">
        <v>57.0</v>
      </c>
      <c r="G109" s="48">
        <f t="shared" si="2"/>
        <v>1</v>
      </c>
      <c r="H109" s="46">
        <f t="shared" si="73"/>
        <v>36.57894737</v>
      </c>
      <c r="I109" s="46">
        <f t="shared" si="74"/>
        <v>36.57894737</v>
      </c>
      <c r="J109" s="73">
        <v>2457.0</v>
      </c>
      <c r="K109" s="50">
        <f t="shared" si="5"/>
        <v>0.0231990232</v>
      </c>
      <c r="L109" s="71">
        <v>120.11</v>
      </c>
      <c r="M109" s="71">
        <v>1165.5</v>
      </c>
      <c r="N109" s="72">
        <v>29.0</v>
      </c>
      <c r="O109" s="73">
        <v>187103.0</v>
      </c>
      <c r="P109" s="50">
        <f t="shared" si="6"/>
        <v>0.1030544831</v>
      </c>
      <c r="Q109" s="51">
        <f t="shared" si="7"/>
        <v>9.703605029</v>
      </c>
      <c r="R109" s="50">
        <f t="shared" si="8"/>
        <v>0.5589928058</v>
      </c>
      <c r="S109" s="16"/>
      <c r="T109" s="25"/>
      <c r="U109" s="2"/>
      <c r="V109" s="2"/>
      <c r="W109" s="2"/>
      <c r="X109" s="2"/>
      <c r="Y109" s="2"/>
      <c r="Z109" s="2"/>
    </row>
    <row r="110">
      <c r="A110" s="70" t="str">
        <f t="shared" si="72"/>
        <v>3-2026</v>
      </c>
      <c r="B110" s="66">
        <v>46092.0</v>
      </c>
      <c r="C110" s="45"/>
      <c r="D110" s="71">
        <v>1324.0</v>
      </c>
      <c r="E110" s="72">
        <v>37.0</v>
      </c>
      <c r="F110" s="72">
        <v>37.0</v>
      </c>
      <c r="G110" s="48">
        <f t="shared" si="2"/>
        <v>1</v>
      </c>
      <c r="H110" s="46">
        <f t="shared" si="73"/>
        <v>35.78378378</v>
      </c>
      <c r="I110" s="46">
        <f t="shared" si="74"/>
        <v>35.78378378</v>
      </c>
      <c r="J110" s="73">
        <v>2017.0</v>
      </c>
      <c r="K110" s="50">
        <f t="shared" si="5"/>
        <v>0.01834407536</v>
      </c>
      <c r="L110" s="71">
        <v>92.69</v>
      </c>
      <c r="M110" s="71">
        <v>774.5</v>
      </c>
      <c r="N110" s="72">
        <v>20.0</v>
      </c>
      <c r="O110" s="73">
        <v>155006.0</v>
      </c>
      <c r="P110" s="50">
        <f t="shared" si="6"/>
        <v>0.1196772111</v>
      </c>
      <c r="Q110" s="51">
        <f t="shared" si="7"/>
        <v>8.355809688</v>
      </c>
      <c r="R110" s="50">
        <f t="shared" si="8"/>
        <v>0.5849697885</v>
      </c>
      <c r="S110" s="16"/>
      <c r="T110" s="25"/>
      <c r="U110" s="2"/>
      <c r="V110" s="2"/>
      <c r="W110" s="2"/>
      <c r="X110" s="2"/>
      <c r="Y110" s="2"/>
      <c r="Z110" s="2"/>
    </row>
    <row r="111">
      <c r="A111" s="70" t="str">
        <f t="shared" si="72"/>
        <v>3-2026</v>
      </c>
      <c r="B111" s="66">
        <v>46093.0</v>
      </c>
      <c r="C111" s="45"/>
      <c r="D111" s="71">
        <v>1463.0</v>
      </c>
      <c r="E111" s="72">
        <v>45.0</v>
      </c>
      <c r="F111" s="72">
        <v>45.0</v>
      </c>
      <c r="G111" s="48">
        <f t="shared" si="2"/>
        <v>1</v>
      </c>
      <c r="H111" s="46">
        <f t="shared" si="73"/>
        <v>32.51111111</v>
      </c>
      <c r="I111" s="46">
        <f t="shared" si="74"/>
        <v>32.51111111</v>
      </c>
      <c r="J111" s="73">
        <v>2121.0</v>
      </c>
      <c r="K111" s="50">
        <f t="shared" si="5"/>
        <v>0.02121640736</v>
      </c>
      <c r="L111" s="71">
        <v>104.44</v>
      </c>
      <c r="M111" s="71">
        <v>649.0</v>
      </c>
      <c r="N111" s="72">
        <v>23.0</v>
      </c>
      <c r="O111" s="73">
        <v>148863.0</v>
      </c>
      <c r="P111" s="50">
        <f t="shared" si="6"/>
        <v>0.1609244992</v>
      </c>
      <c r="Q111" s="51">
        <f t="shared" si="7"/>
        <v>6.214094217</v>
      </c>
      <c r="R111" s="50">
        <f t="shared" si="8"/>
        <v>0.4436090226</v>
      </c>
      <c r="S111" s="16"/>
      <c r="T111" s="25"/>
      <c r="U111" s="2"/>
      <c r="V111" s="2"/>
      <c r="W111" s="2"/>
      <c r="X111" s="2"/>
      <c r="Y111" s="2"/>
      <c r="Z111" s="2"/>
    </row>
    <row r="112">
      <c r="A112" s="70" t="str">
        <f t="shared" si="72"/>
        <v>3-2026</v>
      </c>
      <c r="B112" s="66">
        <v>46094.0</v>
      </c>
      <c r="C112" s="45"/>
      <c r="D112" s="71">
        <v>1133.5</v>
      </c>
      <c r="E112" s="72">
        <v>34.0</v>
      </c>
      <c r="F112" s="72">
        <v>33.0</v>
      </c>
      <c r="G112" s="48">
        <f t="shared" si="2"/>
        <v>1.03030303</v>
      </c>
      <c r="H112" s="46">
        <f t="shared" si="73"/>
        <v>34.34848485</v>
      </c>
      <c r="I112" s="46">
        <f t="shared" si="74"/>
        <v>33.33823529</v>
      </c>
      <c r="J112" s="73">
        <v>1768.0</v>
      </c>
      <c r="K112" s="50">
        <f t="shared" si="5"/>
        <v>0.01923076923</v>
      </c>
      <c r="L112" s="71">
        <v>75.08</v>
      </c>
      <c r="M112" s="71">
        <v>628.0</v>
      </c>
      <c r="N112" s="72">
        <v>18.0</v>
      </c>
      <c r="O112" s="73">
        <v>130924.0</v>
      </c>
      <c r="P112" s="50">
        <f t="shared" si="6"/>
        <v>0.1195541401</v>
      </c>
      <c r="Q112" s="51">
        <f t="shared" si="7"/>
        <v>8.364411295</v>
      </c>
      <c r="R112" s="50">
        <f t="shared" si="8"/>
        <v>0.5540361712</v>
      </c>
      <c r="S112" s="16"/>
      <c r="T112" s="25"/>
      <c r="U112" s="2"/>
      <c r="V112" s="2"/>
      <c r="W112" s="2"/>
      <c r="X112" s="2"/>
      <c r="Y112" s="2"/>
      <c r="Z112" s="2"/>
    </row>
    <row r="113">
      <c r="A113" s="70" t="str">
        <f t="shared" si="72"/>
        <v>3-2026</v>
      </c>
      <c r="B113" s="66">
        <v>46095.0</v>
      </c>
      <c r="C113" s="45"/>
      <c r="D113" s="71">
        <v>1413.0</v>
      </c>
      <c r="E113" s="72">
        <v>49.0</v>
      </c>
      <c r="F113" s="72">
        <v>49.0</v>
      </c>
      <c r="G113" s="48">
        <f t="shared" si="2"/>
        <v>1</v>
      </c>
      <c r="H113" s="46">
        <f t="shared" si="73"/>
        <v>28.83673469</v>
      </c>
      <c r="I113" s="46">
        <f t="shared" si="74"/>
        <v>28.83673469</v>
      </c>
      <c r="J113" s="73">
        <v>2213.0</v>
      </c>
      <c r="K113" s="50">
        <f t="shared" si="5"/>
        <v>0.02214188884</v>
      </c>
      <c r="L113" s="71">
        <v>108.77</v>
      </c>
      <c r="M113" s="71">
        <v>840.5</v>
      </c>
      <c r="N113" s="72">
        <v>24.0</v>
      </c>
      <c r="O113" s="73">
        <v>172605.0</v>
      </c>
      <c r="P113" s="50">
        <f t="shared" si="6"/>
        <v>0.1294110648</v>
      </c>
      <c r="Q113" s="51">
        <f t="shared" si="7"/>
        <v>7.727314517</v>
      </c>
      <c r="R113" s="50">
        <f t="shared" si="8"/>
        <v>0.5948336872</v>
      </c>
      <c r="S113" s="16"/>
      <c r="T113" s="25"/>
      <c r="U113" s="2"/>
      <c r="V113" s="2"/>
      <c r="W113" s="2"/>
      <c r="X113" s="2"/>
      <c r="Y113" s="2"/>
      <c r="Z113" s="2"/>
    </row>
    <row r="114">
      <c r="A114" s="52" t="s">
        <v>44</v>
      </c>
      <c r="B114" s="53"/>
      <c r="C114" s="54"/>
      <c r="D114" s="55">
        <f t="shared" ref="D114:F114" si="75">SUM(D107:D113)</f>
        <v>11316.5</v>
      </c>
      <c r="E114" s="74">
        <f t="shared" si="75"/>
        <v>351</v>
      </c>
      <c r="F114" s="74">
        <f t="shared" si="75"/>
        <v>349</v>
      </c>
      <c r="G114" s="75">
        <f t="shared" si="2"/>
        <v>1.005730659</v>
      </c>
      <c r="H114" s="55">
        <f>AVERAGE(H107:H113)</f>
        <v>32.6040418</v>
      </c>
      <c r="I114" s="76">
        <f>H114/G114</f>
        <v>32.41826378</v>
      </c>
      <c r="J114" s="59">
        <f>SUM(J107:J113)</f>
        <v>16774</v>
      </c>
      <c r="K114" s="60">
        <f t="shared" si="5"/>
        <v>0.02092524145</v>
      </c>
      <c r="L114" s="55">
        <f t="shared" ref="L114:N114" si="76">SUM(L107:L113)</f>
        <v>835.79</v>
      </c>
      <c r="M114" s="55">
        <f t="shared" si="76"/>
        <v>6515</v>
      </c>
      <c r="N114" s="74">
        <f t="shared" si="76"/>
        <v>202</v>
      </c>
      <c r="O114" s="77">
        <f>sum(O107:O113)</f>
        <v>1258613</v>
      </c>
      <c r="P114" s="60">
        <f t="shared" si="6"/>
        <v>0.1282870299</v>
      </c>
      <c r="Q114" s="78">
        <f t="shared" si="7"/>
        <v>7.79502028</v>
      </c>
      <c r="R114" s="62">
        <f t="shared" si="8"/>
        <v>0.5757080369</v>
      </c>
      <c r="S114" s="54" t="str">
        <f>iferror((D114-#REF!)/D114,)</f>
        <v/>
      </c>
      <c r="T114" s="63" t="str">
        <f>iferror((F114-#REF!)/F114,)</f>
        <v/>
      </c>
      <c r="U114" s="64">
        <f t="shared" ref="U114:V114" si="77">L114</f>
        <v>835.79</v>
      </c>
      <c r="V114" s="64">
        <f t="shared" si="77"/>
        <v>6515</v>
      </c>
      <c r="W114" s="7"/>
      <c r="X114" s="7"/>
      <c r="Y114" s="7"/>
      <c r="Z114" s="7"/>
    </row>
    <row r="115">
      <c r="A115" s="65" t="str">
        <f t="shared" ref="A115:A121" si="78">iferror(if(B115&gt;0,month(B115)&amp;"-"&amp;year(B115),B115),)</f>
        <v>3-2026</v>
      </c>
      <c r="B115" s="66">
        <v>46096.0</v>
      </c>
      <c r="C115" s="35"/>
      <c r="D115" s="67">
        <v>1668.0</v>
      </c>
      <c r="E115" s="68">
        <v>56.0</v>
      </c>
      <c r="F115" s="68">
        <v>55.0</v>
      </c>
      <c r="G115" s="38">
        <f t="shared" si="2"/>
        <v>1.018181818</v>
      </c>
      <c r="H115" s="36">
        <f t="shared" ref="H115:H121" si="79">D115/F115</f>
        <v>30.32727273</v>
      </c>
      <c r="I115" s="36">
        <f t="shared" ref="I115:I121" si="80">D115/E115</f>
        <v>29.78571429</v>
      </c>
      <c r="J115" s="69">
        <v>2697.0</v>
      </c>
      <c r="K115" s="40">
        <f t="shared" si="5"/>
        <v>0.02076381164</v>
      </c>
      <c r="L115" s="67">
        <v>136.63</v>
      </c>
      <c r="M115" s="71">
        <v>930.0</v>
      </c>
      <c r="N115" s="68">
        <v>31.0</v>
      </c>
      <c r="O115" s="69">
        <v>189103.0</v>
      </c>
      <c r="P115" s="50">
        <f t="shared" si="6"/>
        <v>0.1469139785</v>
      </c>
      <c r="Q115" s="51">
        <f t="shared" si="7"/>
        <v>6.806704238</v>
      </c>
      <c r="R115" s="40">
        <f>L115/D115</f>
        <v>0.08191247002</v>
      </c>
      <c r="S115" s="42"/>
      <c r="T115" s="43"/>
      <c r="U115" s="2"/>
      <c r="V115" s="2"/>
      <c r="W115" s="2"/>
      <c r="X115" s="2"/>
      <c r="Y115" s="2"/>
      <c r="Z115" s="2"/>
    </row>
    <row r="116">
      <c r="A116" s="70" t="str">
        <f t="shared" si="78"/>
        <v>3-2026</v>
      </c>
      <c r="B116" s="66">
        <v>46097.0</v>
      </c>
      <c r="C116" s="45"/>
      <c r="D116" s="71">
        <v>1756.0</v>
      </c>
      <c r="E116" s="72">
        <v>52.0</v>
      </c>
      <c r="F116" s="72">
        <v>52.0</v>
      </c>
      <c r="G116" s="48">
        <f t="shared" si="2"/>
        <v>1</v>
      </c>
      <c r="H116" s="46">
        <f t="shared" si="79"/>
        <v>33.76923077</v>
      </c>
      <c r="I116" s="46">
        <f t="shared" si="80"/>
        <v>33.76923077</v>
      </c>
      <c r="J116" s="73">
        <v>2192.0</v>
      </c>
      <c r="K116" s="50">
        <f t="shared" si="5"/>
        <v>0.02372262774</v>
      </c>
      <c r="L116" s="71">
        <v>104.81</v>
      </c>
      <c r="M116" s="71">
        <v>1384.5</v>
      </c>
      <c r="N116" s="72">
        <v>43.0</v>
      </c>
      <c r="O116" s="73">
        <v>156158.0</v>
      </c>
      <c r="P116" s="50">
        <f t="shared" si="6"/>
        <v>0.07570241965</v>
      </c>
      <c r="Q116" s="51">
        <f t="shared" si="7"/>
        <v>13.2096174</v>
      </c>
      <c r="R116" s="50">
        <f t="shared" ref="R116:R122" si="81">M116/D116</f>
        <v>0.7884396355</v>
      </c>
      <c r="S116" s="16"/>
      <c r="T116" s="25"/>
      <c r="U116" s="2"/>
      <c r="V116" s="2"/>
      <c r="W116" s="2"/>
      <c r="X116" s="2"/>
      <c r="Y116" s="2"/>
      <c r="Z116" s="2"/>
    </row>
    <row r="117">
      <c r="A117" s="70" t="str">
        <f t="shared" si="78"/>
        <v>3-2026</v>
      </c>
      <c r="B117" s="66">
        <v>46098.0</v>
      </c>
      <c r="C117" s="45"/>
      <c r="D117" s="71">
        <v>1662.5</v>
      </c>
      <c r="E117" s="72">
        <v>52.0</v>
      </c>
      <c r="F117" s="72">
        <v>52.0</v>
      </c>
      <c r="G117" s="48">
        <f t="shared" si="2"/>
        <v>1</v>
      </c>
      <c r="H117" s="46">
        <f t="shared" si="79"/>
        <v>31.97115385</v>
      </c>
      <c r="I117" s="46">
        <f t="shared" si="80"/>
        <v>31.97115385</v>
      </c>
      <c r="J117" s="73">
        <v>2538.0</v>
      </c>
      <c r="K117" s="50">
        <f t="shared" si="5"/>
        <v>0.02048857368</v>
      </c>
      <c r="L117" s="71">
        <v>130.25</v>
      </c>
      <c r="M117" s="71">
        <v>1045.0</v>
      </c>
      <c r="N117" s="72">
        <v>30.0</v>
      </c>
      <c r="O117" s="73">
        <v>168370.0</v>
      </c>
      <c r="P117" s="50">
        <f t="shared" si="6"/>
        <v>0.1246411483</v>
      </c>
      <c r="Q117" s="51">
        <f t="shared" si="7"/>
        <v>8.02303263</v>
      </c>
      <c r="R117" s="50">
        <f t="shared" si="81"/>
        <v>0.6285714286</v>
      </c>
      <c r="S117" s="16"/>
      <c r="T117" s="25"/>
      <c r="U117" s="2"/>
      <c r="V117" s="2"/>
      <c r="W117" s="2"/>
      <c r="X117" s="2"/>
      <c r="Y117" s="2"/>
      <c r="Z117" s="2"/>
    </row>
    <row r="118">
      <c r="A118" s="70" t="str">
        <f t="shared" si="78"/>
        <v>3-2026</v>
      </c>
      <c r="B118" s="66">
        <v>46099.0</v>
      </c>
      <c r="C118" s="45"/>
      <c r="D118" s="71">
        <v>1342.0</v>
      </c>
      <c r="E118" s="72">
        <v>45.0</v>
      </c>
      <c r="F118" s="72">
        <v>45.0</v>
      </c>
      <c r="G118" s="48">
        <f t="shared" si="2"/>
        <v>1</v>
      </c>
      <c r="H118" s="46">
        <f t="shared" si="79"/>
        <v>29.82222222</v>
      </c>
      <c r="I118" s="46">
        <f t="shared" si="80"/>
        <v>29.82222222</v>
      </c>
      <c r="J118" s="73">
        <v>2487.0</v>
      </c>
      <c r="K118" s="50">
        <f t="shared" si="5"/>
        <v>0.01809408926</v>
      </c>
      <c r="L118" s="71">
        <v>145.18</v>
      </c>
      <c r="M118" s="71">
        <v>696.0</v>
      </c>
      <c r="N118" s="72">
        <v>25.0</v>
      </c>
      <c r="O118" s="73">
        <v>185148.0</v>
      </c>
      <c r="P118" s="50">
        <f t="shared" si="6"/>
        <v>0.208591954</v>
      </c>
      <c r="Q118" s="51">
        <f t="shared" si="7"/>
        <v>4.794048767</v>
      </c>
      <c r="R118" s="50">
        <f t="shared" si="81"/>
        <v>0.5186289121</v>
      </c>
      <c r="S118" s="16"/>
      <c r="T118" s="25"/>
      <c r="U118" s="2"/>
      <c r="V118" s="2"/>
      <c r="W118" s="2"/>
      <c r="X118" s="2"/>
      <c r="Y118" s="2"/>
      <c r="Z118" s="2"/>
    </row>
    <row r="119">
      <c r="A119" s="70" t="str">
        <f t="shared" si="78"/>
        <v>3-2026</v>
      </c>
      <c r="B119" s="66">
        <v>46100.0</v>
      </c>
      <c r="C119" s="45"/>
      <c r="D119" s="71">
        <v>1784.5</v>
      </c>
      <c r="E119" s="72">
        <v>58.0</v>
      </c>
      <c r="F119" s="72">
        <v>58.0</v>
      </c>
      <c r="G119" s="48">
        <f t="shared" si="2"/>
        <v>1</v>
      </c>
      <c r="H119" s="46">
        <f t="shared" si="79"/>
        <v>30.76724138</v>
      </c>
      <c r="I119" s="46">
        <f t="shared" si="80"/>
        <v>30.76724138</v>
      </c>
      <c r="J119" s="73">
        <v>2639.0</v>
      </c>
      <c r="K119" s="50">
        <f t="shared" si="5"/>
        <v>0.02197802198</v>
      </c>
      <c r="L119" s="71">
        <v>209.76</v>
      </c>
      <c r="M119" s="71">
        <v>1066.5</v>
      </c>
      <c r="N119" s="72">
        <v>32.0</v>
      </c>
      <c r="O119" s="73">
        <v>198007.0</v>
      </c>
      <c r="P119" s="50">
        <f t="shared" si="6"/>
        <v>0.1966807314</v>
      </c>
      <c r="Q119" s="51">
        <f t="shared" si="7"/>
        <v>5.084382151</v>
      </c>
      <c r="R119" s="50">
        <f t="shared" si="81"/>
        <v>0.5976463996</v>
      </c>
      <c r="S119" s="16"/>
      <c r="T119" s="25"/>
      <c r="U119" s="2"/>
      <c r="V119" s="2"/>
      <c r="W119" s="2"/>
      <c r="X119" s="2"/>
      <c r="Y119" s="2"/>
      <c r="Z119" s="2"/>
    </row>
    <row r="120">
      <c r="A120" s="70" t="str">
        <f t="shared" si="78"/>
        <v>3-2026</v>
      </c>
      <c r="B120" s="66">
        <v>46101.0</v>
      </c>
      <c r="C120" s="45"/>
      <c r="D120" s="71">
        <v>1573.5</v>
      </c>
      <c r="E120" s="72">
        <v>53.0</v>
      </c>
      <c r="F120" s="72">
        <v>52.0</v>
      </c>
      <c r="G120" s="48">
        <f t="shared" si="2"/>
        <v>1.019230769</v>
      </c>
      <c r="H120" s="46">
        <f t="shared" si="79"/>
        <v>30.25961538</v>
      </c>
      <c r="I120" s="46">
        <f t="shared" si="80"/>
        <v>29.68867925</v>
      </c>
      <c r="J120" s="73">
        <v>2801.0</v>
      </c>
      <c r="K120" s="50">
        <f t="shared" si="5"/>
        <v>0.01892181364</v>
      </c>
      <c r="L120" s="71">
        <v>196.4</v>
      </c>
      <c r="M120" s="71">
        <v>901.5</v>
      </c>
      <c r="N120" s="72">
        <v>28.0</v>
      </c>
      <c r="O120" s="73">
        <v>198544.0</v>
      </c>
      <c r="P120" s="50">
        <f t="shared" si="6"/>
        <v>0.2178591237</v>
      </c>
      <c r="Q120" s="51">
        <f t="shared" si="7"/>
        <v>4.5901222</v>
      </c>
      <c r="R120" s="50">
        <f t="shared" si="81"/>
        <v>0.5729265968</v>
      </c>
      <c r="S120" s="16"/>
      <c r="T120" s="25"/>
      <c r="U120" s="2"/>
      <c r="V120" s="2"/>
      <c r="W120" s="2"/>
      <c r="X120" s="2"/>
      <c r="Y120" s="2"/>
      <c r="Z120" s="2"/>
    </row>
    <row r="121">
      <c r="A121" s="70" t="str">
        <f t="shared" si="78"/>
        <v>3-2026</v>
      </c>
      <c r="B121" s="66">
        <v>46102.0</v>
      </c>
      <c r="C121" s="45"/>
      <c r="D121" s="71">
        <v>1548.5</v>
      </c>
      <c r="E121" s="72">
        <v>46.0</v>
      </c>
      <c r="F121" s="72">
        <v>45.0</v>
      </c>
      <c r="G121" s="48">
        <f t="shared" si="2"/>
        <v>1.022222222</v>
      </c>
      <c r="H121" s="46">
        <f t="shared" si="79"/>
        <v>34.41111111</v>
      </c>
      <c r="I121" s="46">
        <f t="shared" si="80"/>
        <v>33.66304348</v>
      </c>
      <c r="J121" s="73">
        <v>2738.0</v>
      </c>
      <c r="K121" s="50">
        <f t="shared" si="5"/>
        <v>0.01680058437</v>
      </c>
      <c r="L121" s="71">
        <v>205.19</v>
      </c>
      <c r="M121" s="71">
        <v>799.5</v>
      </c>
      <c r="N121" s="72">
        <v>24.0</v>
      </c>
      <c r="O121" s="73">
        <v>222315.0</v>
      </c>
      <c r="P121" s="50">
        <f t="shared" si="6"/>
        <v>0.2566479049</v>
      </c>
      <c r="Q121" s="51">
        <f t="shared" si="7"/>
        <v>3.896388713</v>
      </c>
      <c r="R121" s="50">
        <f t="shared" si="81"/>
        <v>0.5163061027</v>
      </c>
      <c r="S121" s="16"/>
      <c r="T121" s="25"/>
      <c r="U121" s="2"/>
      <c r="V121" s="2"/>
      <c r="W121" s="2"/>
      <c r="X121" s="2"/>
      <c r="Y121" s="2"/>
      <c r="Z121" s="2"/>
    </row>
    <row r="122">
      <c r="A122" s="74" t="s">
        <v>45</v>
      </c>
      <c r="B122" s="53"/>
      <c r="C122" s="54"/>
      <c r="D122" s="55">
        <f t="shared" ref="D122:F122" si="82">SUM(D115:D121)</f>
        <v>11335</v>
      </c>
      <c r="E122" s="74">
        <f t="shared" si="82"/>
        <v>362</v>
      </c>
      <c r="F122" s="74">
        <f t="shared" si="82"/>
        <v>359</v>
      </c>
      <c r="G122" s="75">
        <f t="shared" si="2"/>
        <v>1.008356546</v>
      </c>
      <c r="H122" s="55">
        <f>AVERAGE(H115:H121)</f>
        <v>31.61826392</v>
      </c>
      <c r="I122" s="76">
        <f>H122/G122</f>
        <v>31.35623411</v>
      </c>
      <c r="J122" s="59">
        <f>SUM(J115:J121)</f>
        <v>18092</v>
      </c>
      <c r="K122" s="60">
        <f t="shared" si="5"/>
        <v>0.02000884369</v>
      </c>
      <c r="L122" s="55">
        <f t="shared" ref="L122:N122" si="83">SUM(L115:L121)</f>
        <v>1128.22</v>
      </c>
      <c r="M122" s="55">
        <f t="shared" si="83"/>
        <v>6823</v>
      </c>
      <c r="N122" s="74">
        <f t="shared" si="83"/>
        <v>213</v>
      </c>
      <c r="O122" s="77">
        <f>sum(O115:O121)</f>
        <v>1317645</v>
      </c>
      <c r="P122" s="60">
        <f t="shared" si="6"/>
        <v>0.1653554155</v>
      </c>
      <c r="Q122" s="78">
        <f t="shared" si="7"/>
        <v>6.047579373</v>
      </c>
      <c r="R122" s="62">
        <f t="shared" si="81"/>
        <v>0.601940891</v>
      </c>
      <c r="S122" s="54" t="str">
        <f>iferror((D122-#REF!)/D122,)</f>
        <v/>
      </c>
      <c r="T122" s="63" t="str">
        <f>iferror((F122-#REF!)/F122,)</f>
        <v/>
      </c>
      <c r="U122" s="64">
        <f t="shared" ref="U122:V122" si="84">L122</f>
        <v>1128.22</v>
      </c>
      <c r="V122" s="64">
        <f t="shared" si="84"/>
        <v>6823</v>
      </c>
      <c r="W122" s="7"/>
      <c r="X122" s="7"/>
      <c r="Y122" s="7"/>
      <c r="Z122" s="7"/>
    </row>
    <row r="123">
      <c r="A123" s="6"/>
      <c r="B123" s="6"/>
      <c r="C123" s="6"/>
      <c r="D123" s="6"/>
      <c r="E123" s="6"/>
      <c r="F123" s="6"/>
      <c r="G123" s="6"/>
      <c r="H123" s="6"/>
      <c r="I123" s="6"/>
      <c r="J123" s="6"/>
      <c r="K123" s="6"/>
      <c r="L123" s="79">
        <f>L122/D122</f>
        <v>0.09953418615</v>
      </c>
      <c r="M123" s="80"/>
      <c r="N123" s="80"/>
      <c r="O123" s="80"/>
      <c r="P123" s="6"/>
      <c r="Q123" s="6"/>
      <c r="R123" s="6"/>
      <c r="S123" s="6"/>
      <c r="T123" s="6"/>
      <c r="U123" s="6">
        <f t="shared" ref="U123:V123" si="85">sum(U19:U122)</f>
        <v>8416.97</v>
      </c>
      <c r="V123" s="6">
        <f t="shared" si="85"/>
        <v>59417.8</v>
      </c>
      <c r="W123" s="7"/>
      <c r="X123" s="7"/>
      <c r="Y123" s="7"/>
      <c r="Z123" s="7"/>
    </row>
    <row r="124">
      <c r="A124" s="6"/>
      <c r="B124" s="6"/>
      <c r="C124" s="6"/>
      <c r="D124" s="6"/>
      <c r="E124" s="6"/>
      <c r="F124" s="6"/>
      <c r="G124" s="6"/>
      <c r="H124" s="6"/>
      <c r="I124" s="6"/>
      <c r="J124" s="6"/>
      <c r="K124" s="6"/>
      <c r="L124" s="80"/>
      <c r="M124" s="80"/>
      <c r="N124" s="80"/>
      <c r="O124" s="80"/>
      <c r="P124" s="6"/>
      <c r="Q124" s="6"/>
      <c r="R124" s="6"/>
      <c r="S124" s="6"/>
      <c r="T124" s="6"/>
      <c r="U124" s="6"/>
      <c r="V124" s="6"/>
      <c r="W124" s="7"/>
      <c r="X124" s="7"/>
      <c r="Y124" s="7"/>
      <c r="Z124" s="7"/>
    </row>
    <row r="125">
      <c r="A125" s="6"/>
      <c r="B125" s="6"/>
      <c r="C125" s="6"/>
      <c r="D125" s="6"/>
      <c r="E125" s="6"/>
      <c r="F125" s="6"/>
      <c r="G125" s="6"/>
      <c r="H125" s="6"/>
      <c r="I125" s="6"/>
      <c r="J125" s="6"/>
      <c r="K125" s="6"/>
      <c r="L125" s="80"/>
      <c r="M125" s="80"/>
      <c r="N125" s="80"/>
      <c r="O125" s="80"/>
      <c r="P125" s="6"/>
      <c r="Q125" s="6"/>
      <c r="R125" s="6"/>
      <c r="S125" s="6"/>
      <c r="T125" s="6"/>
      <c r="U125" s="6"/>
      <c r="V125" s="6"/>
      <c r="W125" s="7"/>
      <c r="X125" s="7"/>
      <c r="Y125" s="7"/>
      <c r="Z125" s="7"/>
    </row>
    <row r="126">
      <c r="A126" s="6"/>
      <c r="B126" s="6"/>
      <c r="C126" s="6"/>
      <c r="D126" s="6"/>
      <c r="E126" s="6"/>
      <c r="F126" s="6"/>
      <c r="G126" s="6"/>
      <c r="H126" s="6"/>
      <c r="I126" s="6"/>
      <c r="J126" s="6"/>
      <c r="K126" s="6"/>
      <c r="L126" s="80"/>
      <c r="M126" s="80"/>
      <c r="N126" s="80"/>
      <c r="O126" s="80"/>
      <c r="P126" s="6"/>
      <c r="Q126" s="6"/>
      <c r="R126" s="6"/>
      <c r="S126" s="6"/>
      <c r="T126" s="6"/>
      <c r="U126" s="6"/>
      <c r="V126" s="6"/>
      <c r="W126" s="7"/>
      <c r="X126" s="7"/>
      <c r="Y126" s="7"/>
      <c r="Z126" s="7"/>
    </row>
    <row r="127">
      <c r="A127" s="6"/>
      <c r="B127" s="6"/>
      <c r="C127" s="6"/>
      <c r="D127" s="6"/>
      <c r="E127" s="6"/>
      <c r="F127" s="6"/>
      <c r="G127" s="6"/>
      <c r="H127" s="6"/>
      <c r="I127" s="6"/>
      <c r="J127" s="6"/>
      <c r="K127" s="6"/>
      <c r="L127" s="80"/>
      <c r="M127" s="80"/>
      <c r="N127" s="80"/>
      <c r="O127" s="80"/>
      <c r="P127" s="6"/>
      <c r="Q127" s="6"/>
      <c r="R127" s="6"/>
      <c r="S127" s="6"/>
      <c r="T127" s="6"/>
      <c r="U127" s="6"/>
      <c r="V127" s="6"/>
      <c r="W127" s="7"/>
      <c r="X127" s="7"/>
      <c r="Y127" s="7"/>
      <c r="Z127" s="7"/>
    </row>
    <row r="128">
      <c r="A128" s="6"/>
      <c r="B128" s="6"/>
      <c r="C128" s="6"/>
      <c r="D128" s="6"/>
      <c r="E128" s="6"/>
      <c r="F128" s="6"/>
      <c r="G128" s="6"/>
      <c r="H128" s="6"/>
      <c r="I128" s="6"/>
      <c r="J128" s="6"/>
      <c r="K128" s="6"/>
      <c r="L128" s="80"/>
      <c r="M128" s="80"/>
      <c r="N128" s="80"/>
      <c r="O128" s="80"/>
      <c r="P128" s="6"/>
      <c r="Q128" s="6"/>
      <c r="R128" s="6"/>
      <c r="S128" s="6"/>
      <c r="T128" s="6"/>
      <c r="U128" s="6"/>
      <c r="V128" s="6"/>
      <c r="W128" s="7"/>
      <c r="X128" s="7"/>
      <c r="Y128" s="7"/>
      <c r="Z128" s="7"/>
    </row>
    <row r="129">
      <c r="A129" s="6"/>
      <c r="B129" s="6"/>
      <c r="C129" s="6"/>
      <c r="D129" s="6"/>
      <c r="E129" s="6"/>
      <c r="F129" s="6"/>
      <c r="G129" s="6"/>
      <c r="H129" s="6"/>
      <c r="I129" s="6"/>
      <c r="J129" s="6"/>
      <c r="K129" s="6"/>
      <c r="L129" s="80"/>
      <c r="M129" s="80"/>
      <c r="N129" s="80"/>
      <c r="O129" s="80"/>
      <c r="P129" s="6"/>
      <c r="Q129" s="6"/>
      <c r="R129" s="6"/>
      <c r="S129" s="6"/>
      <c r="T129" s="6"/>
      <c r="U129" s="6"/>
      <c r="V129" s="6"/>
      <c r="W129" s="7"/>
      <c r="X129" s="7"/>
      <c r="Y129" s="7"/>
      <c r="Z129" s="7"/>
    </row>
    <row r="130">
      <c r="A130" s="6"/>
      <c r="B130" s="6"/>
      <c r="C130" s="6"/>
      <c r="D130" s="6"/>
      <c r="E130" s="6"/>
      <c r="F130" s="6"/>
      <c r="G130" s="6"/>
      <c r="H130" s="6"/>
      <c r="I130" s="6"/>
      <c r="J130" s="6"/>
      <c r="K130" s="6"/>
      <c r="L130" s="80"/>
      <c r="M130" s="80"/>
      <c r="N130" s="80"/>
      <c r="O130" s="80"/>
      <c r="P130" s="6"/>
      <c r="Q130" s="6"/>
      <c r="R130" s="6"/>
      <c r="S130" s="6"/>
      <c r="T130" s="6"/>
      <c r="U130" s="6"/>
      <c r="V130" s="6"/>
      <c r="W130" s="7"/>
      <c r="X130" s="7"/>
      <c r="Y130" s="7"/>
      <c r="Z130" s="7"/>
    </row>
    <row r="131">
      <c r="A131" s="6"/>
      <c r="B131" s="6"/>
      <c r="C131" s="6"/>
      <c r="D131" s="6"/>
      <c r="E131" s="6"/>
      <c r="F131" s="6"/>
      <c r="G131" s="6"/>
      <c r="H131" s="6"/>
      <c r="I131" s="6"/>
      <c r="J131" s="6"/>
      <c r="K131" s="6"/>
      <c r="L131" s="80"/>
      <c r="M131" s="80"/>
      <c r="N131" s="80"/>
      <c r="O131" s="80"/>
      <c r="P131" s="6"/>
      <c r="Q131" s="6"/>
      <c r="R131" s="6"/>
      <c r="S131" s="6"/>
      <c r="T131" s="6"/>
      <c r="U131" s="6"/>
      <c r="V131" s="6"/>
      <c r="W131" s="7"/>
      <c r="X131" s="7"/>
      <c r="Y131" s="7"/>
      <c r="Z131" s="7"/>
    </row>
    <row r="132">
      <c r="A132" s="6"/>
      <c r="B132" s="6"/>
      <c r="C132" s="6"/>
      <c r="D132" s="6"/>
      <c r="E132" s="6"/>
      <c r="F132" s="6"/>
      <c r="G132" s="6"/>
      <c r="H132" s="6"/>
      <c r="I132" s="6"/>
      <c r="J132" s="6"/>
      <c r="K132" s="6"/>
      <c r="L132" s="80"/>
      <c r="M132" s="80"/>
      <c r="N132" s="80"/>
      <c r="O132" s="80"/>
      <c r="P132" s="6"/>
      <c r="Q132" s="6"/>
      <c r="R132" s="6"/>
      <c r="S132" s="6"/>
      <c r="T132" s="6"/>
      <c r="U132" s="6"/>
      <c r="V132" s="6"/>
      <c r="W132" s="7"/>
      <c r="X132" s="7"/>
      <c r="Y132" s="7"/>
      <c r="Z132" s="7"/>
    </row>
    <row r="133">
      <c r="A133" s="6"/>
      <c r="B133" s="6"/>
      <c r="C133" s="6"/>
      <c r="D133" s="6"/>
      <c r="E133" s="6"/>
      <c r="F133" s="6"/>
      <c r="G133" s="6"/>
      <c r="H133" s="6"/>
      <c r="I133" s="6"/>
      <c r="J133" s="6"/>
      <c r="K133" s="6"/>
      <c r="L133" s="80"/>
      <c r="M133" s="80"/>
      <c r="N133" s="80"/>
      <c r="O133" s="80"/>
      <c r="P133" s="6"/>
      <c r="Q133" s="6"/>
      <c r="R133" s="6"/>
      <c r="S133" s="6"/>
      <c r="T133" s="6"/>
      <c r="U133" s="6"/>
      <c r="V133" s="6"/>
      <c r="W133" s="7"/>
      <c r="X133" s="7"/>
      <c r="Y133" s="7"/>
      <c r="Z133" s="7"/>
    </row>
    <row r="134">
      <c r="A134" s="6"/>
      <c r="B134" s="6"/>
      <c r="C134" s="6"/>
      <c r="D134" s="6"/>
      <c r="E134" s="6"/>
      <c r="F134" s="6"/>
      <c r="G134" s="6"/>
      <c r="H134" s="6"/>
      <c r="I134" s="6"/>
      <c r="J134" s="6"/>
      <c r="K134" s="6"/>
      <c r="L134" s="80"/>
      <c r="M134" s="80"/>
      <c r="N134" s="80"/>
      <c r="O134" s="80"/>
      <c r="P134" s="6"/>
      <c r="Q134" s="6"/>
      <c r="R134" s="6"/>
      <c r="S134" s="6"/>
      <c r="T134" s="6"/>
      <c r="U134" s="6"/>
      <c r="V134" s="6"/>
      <c r="W134" s="7"/>
      <c r="X134" s="7"/>
      <c r="Y134" s="7"/>
      <c r="Z134" s="7"/>
    </row>
    <row r="135">
      <c r="A135" s="6"/>
      <c r="B135" s="6"/>
      <c r="C135" s="6"/>
      <c r="D135" s="6"/>
      <c r="E135" s="6"/>
      <c r="F135" s="6"/>
      <c r="G135" s="6"/>
      <c r="H135" s="6"/>
      <c r="I135" s="6"/>
      <c r="J135" s="6"/>
      <c r="K135" s="6"/>
      <c r="L135" s="80"/>
      <c r="M135" s="80"/>
      <c r="N135" s="80"/>
      <c r="O135" s="80"/>
      <c r="P135" s="6"/>
      <c r="Q135" s="6"/>
      <c r="R135" s="6"/>
      <c r="S135" s="6"/>
      <c r="T135" s="6"/>
      <c r="U135" s="6"/>
      <c r="V135" s="6"/>
      <c r="W135" s="7"/>
      <c r="X135" s="7"/>
      <c r="Y135" s="7"/>
      <c r="Z135" s="7"/>
    </row>
    <row r="136">
      <c r="A136" s="6"/>
      <c r="B136" s="6"/>
      <c r="C136" s="6"/>
      <c r="D136" s="6"/>
      <c r="E136" s="6"/>
      <c r="F136" s="6"/>
      <c r="G136" s="6"/>
      <c r="H136" s="6"/>
      <c r="I136" s="6"/>
      <c r="J136" s="6"/>
      <c r="K136" s="6"/>
      <c r="L136" s="80"/>
      <c r="M136" s="80"/>
      <c r="N136" s="80"/>
      <c r="O136" s="80"/>
      <c r="P136" s="6"/>
      <c r="Q136" s="6"/>
      <c r="R136" s="6"/>
      <c r="S136" s="6"/>
      <c r="T136" s="6"/>
      <c r="U136" s="6"/>
      <c r="V136" s="6"/>
      <c r="W136" s="7"/>
      <c r="X136" s="7"/>
      <c r="Y136" s="7"/>
      <c r="Z136" s="7"/>
    </row>
    <row r="137">
      <c r="A137" s="6"/>
      <c r="B137" s="6"/>
      <c r="C137" s="6"/>
      <c r="D137" s="6"/>
      <c r="E137" s="6"/>
      <c r="F137" s="6"/>
      <c r="G137" s="6"/>
      <c r="H137" s="6"/>
      <c r="I137" s="6"/>
      <c r="J137" s="6"/>
      <c r="K137" s="6"/>
      <c r="L137" s="80"/>
      <c r="M137" s="80"/>
      <c r="N137" s="80"/>
      <c r="O137" s="80"/>
      <c r="P137" s="6"/>
      <c r="Q137" s="6"/>
      <c r="R137" s="6"/>
      <c r="S137" s="6"/>
      <c r="T137" s="6"/>
      <c r="U137" s="6"/>
      <c r="V137" s="6"/>
      <c r="W137" s="7"/>
      <c r="X137" s="7"/>
      <c r="Y137" s="7"/>
      <c r="Z137" s="7"/>
    </row>
    <row r="138">
      <c r="A138" s="6"/>
      <c r="B138" s="6"/>
      <c r="C138" s="6"/>
      <c r="D138" s="6"/>
      <c r="E138" s="6"/>
      <c r="F138" s="6"/>
      <c r="G138" s="6"/>
      <c r="H138" s="6"/>
      <c r="I138" s="6"/>
      <c r="J138" s="6"/>
      <c r="K138" s="6"/>
      <c r="L138" s="80"/>
      <c r="M138" s="80"/>
      <c r="N138" s="80"/>
      <c r="O138" s="80"/>
      <c r="P138" s="6"/>
      <c r="Q138" s="6"/>
      <c r="R138" s="6"/>
      <c r="S138" s="6"/>
      <c r="T138" s="6"/>
      <c r="U138" s="6"/>
      <c r="V138" s="6"/>
      <c r="W138" s="7"/>
      <c r="X138" s="7"/>
      <c r="Y138" s="7"/>
      <c r="Z138" s="7"/>
    </row>
    <row r="139">
      <c r="A139" s="6"/>
      <c r="B139" s="6"/>
      <c r="C139" s="6"/>
      <c r="D139" s="6"/>
      <c r="E139" s="6"/>
      <c r="F139" s="6"/>
      <c r="G139" s="6"/>
      <c r="H139" s="6"/>
      <c r="I139" s="6"/>
      <c r="J139" s="6"/>
      <c r="K139" s="6"/>
      <c r="L139" s="80"/>
      <c r="M139" s="80"/>
      <c r="N139" s="80"/>
      <c r="O139" s="80"/>
      <c r="P139" s="6"/>
      <c r="Q139" s="6"/>
      <c r="R139" s="6"/>
      <c r="S139" s="6"/>
      <c r="T139" s="6"/>
      <c r="U139" s="6"/>
      <c r="V139" s="6"/>
      <c r="W139" s="7"/>
      <c r="X139" s="7"/>
      <c r="Y139" s="7"/>
      <c r="Z139" s="7"/>
    </row>
    <row r="140">
      <c r="A140" s="6"/>
      <c r="B140" s="6"/>
      <c r="C140" s="6"/>
      <c r="D140" s="6"/>
      <c r="E140" s="6"/>
      <c r="F140" s="6"/>
      <c r="G140" s="6"/>
      <c r="H140" s="6"/>
      <c r="I140" s="6"/>
      <c r="J140" s="6"/>
      <c r="K140" s="6"/>
      <c r="L140" s="80"/>
      <c r="M140" s="80"/>
      <c r="N140" s="80"/>
      <c r="O140" s="80"/>
      <c r="P140" s="6"/>
      <c r="Q140" s="6"/>
      <c r="R140" s="6"/>
      <c r="S140" s="6"/>
      <c r="T140" s="6"/>
      <c r="U140" s="6"/>
      <c r="V140" s="6"/>
      <c r="W140" s="7"/>
      <c r="X140" s="7"/>
      <c r="Y140" s="7"/>
      <c r="Z140" s="7"/>
    </row>
    <row r="141">
      <c r="A141" s="6"/>
      <c r="B141" s="6"/>
      <c r="C141" s="6"/>
      <c r="D141" s="6"/>
      <c r="E141" s="6"/>
      <c r="F141" s="6"/>
      <c r="G141" s="6"/>
      <c r="H141" s="6"/>
      <c r="I141" s="6"/>
      <c r="J141" s="6"/>
      <c r="K141" s="6"/>
      <c r="L141" s="80"/>
      <c r="M141" s="80"/>
      <c r="N141" s="80"/>
      <c r="O141" s="80"/>
      <c r="P141" s="6"/>
      <c r="Q141" s="6"/>
      <c r="R141" s="6"/>
      <c r="S141" s="6"/>
      <c r="T141" s="6"/>
      <c r="U141" s="6"/>
      <c r="V141" s="6"/>
      <c r="W141" s="7"/>
      <c r="X141" s="7"/>
      <c r="Y141" s="7"/>
      <c r="Z141" s="7"/>
    </row>
    <row r="142">
      <c r="A142" s="6"/>
      <c r="B142" s="6"/>
      <c r="C142" s="6"/>
      <c r="D142" s="6"/>
      <c r="E142" s="6"/>
      <c r="F142" s="6"/>
      <c r="G142" s="6"/>
      <c r="H142" s="6"/>
      <c r="I142" s="6"/>
      <c r="J142" s="6"/>
      <c r="K142" s="6"/>
      <c r="L142" s="80"/>
      <c r="M142" s="80"/>
      <c r="N142" s="80"/>
      <c r="O142" s="80"/>
      <c r="P142" s="6"/>
      <c r="Q142" s="6"/>
      <c r="R142" s="6"/>
      <c r="S142" s="6"/>
      <c r="T142" s="6"/>
      <c r="U142" s="6"/>
      <c r="V142" s="6"/>
      <c r="W142" s="7"/>
      <c r="X142" s="7"/>
      <c r="Y142" s="7"/>
      <c r="Z142" s="7"/>
    </row>
    <row r="143">
      <c r="A143" s="6"/>
      <c r="B143" s="6"/>
      <c r="C143" s="6"/>
      <c r="D143" s="6"/>
      <c r="E143" s="6"/>
      <c r="F143" s="6"/>
      <c r="G143" s="6"/>
      <c r="H143" s="6"/>
      <c r="I143" s="6"/>
      <c r="J143" s="6"/>
      <c r="K143" s="6"/>
      <c r="L143" s="80"/>
      <c r="M143" s="80"/>
      <c r="N143" s="80"/>
      <c r="O143" s="80"/>
      <c r="P143" s="6"/>
      <c r="Q143" s="6"/>
      <c r="R143" s="6"/>
      <c r="S143" s="6"/>
      <c r="T143" s="6"/>
      <c r="U143" s="6"/>
      <c r="V143" s="6"/>
      <c r="W143" s="7"/>
      <c r="X143" s="7"/>
      <c r="Y143" s="7"/>
      <c r="Z143" s="7"/>
    </row>
    <row r="144">
      <c r="A144" s="6"/>
      <c r="B144" s="6"/>
      <c r="C144" s="6"/>
      <c r="D144" s="6"/>
      <c r="E144" s="6"/>
      <c r="F144" s="6"/>
      <c r="G144" s="6"/>
      <c r="H144" s="6"/>
      <c r="I144" s="6"/>
      <c r="J144" s="6"/>
      <c r="K144" s="6"/>
      <c r="L144" s="80"/>
      <c r="M144" s="80"/>
      <c r="N144" s="80"/>
      <c r="O144" s="80"/>
      <c r="P144" s="6"/>
      <c r="Q144" s="6"/>
      <c r="R144" s="6"/>
      <c r="S144" s="6"/>
      <c r="T144" s="6"/>
      <c r="U144" s="6"/>
      <c r="V144" s="6"/>
      <c r="W144" s="7"/>
      <c r="X144" s="7"/>
      <c r="Y144" s="7"/>
      <c r="Z144" s="7"/>
    </row>
    <row r="145">
      <c r="A145" s="6"/>
      <c r="B145" s="6"/>
      <c r="C145" s="6"/>
      <c r="D145" s="6"/>
      <c r="E145" s="6"/>
      <c r="F145" s="6"/>
      <c r="G145" s="6"/>
      <c r="H145" s="6"/>
      <c r="I145" s="6"/>
      <c r="J145" s="6"/>
      <c r="K145" s="6"/>
      <c r="L145" s="80"/>
      <c r="M145" s="80"/>
      <c r="N145" s="80"/>
      <c r="O145" s="80"/>
      <c r="P145" s="6"/>
      <c r="Q145" s="6"/>
      <c r="R145" s="6"/>
      <c r="S145" s="6"/>
      <c r="T145" s="6"/>
      <c r="U145" s="6"/>
      <c r="V145" s="6"/>
      <c r="W145" s="7"/>
      <c r="X145" s="7"/>
      <c r="Y145" s="7"/>
      <c r="Z145" s="7"/>
    </row>
    <row r="146">
      <c r="A146" s="6"/>
      <c r="B146" s="6"/>
      <c r="C146" s="6"/>
      <c r="D146" s="6"/>
      <c r="E146" s="6"/>
      <c r="F146" s="6"/>
      <c r="G146" s="6"/>
      <c r="H146" s="6"/>
      <c r="I146" s="6"/>
      <c r="J146" s="6"/>
      <c r="K146" s="6"/>
      <c r="L146" s="80"/>
      <c r="M146" s="80"/>
      <c r="N146" s="80"/>
      <c r="O146" s="80"/>
      <c r="P146" s="6"/>
      <c r="Q146" s="6"/>
      <c r="R146" s="6"/>
      <c r="S146" s="6"/>
      <c r="T146" s="6"/>
      <c r="U146" s="6"/>
      <c r="V146" s="6"/>
      <c r="W146" s="7"/>
      <c r="X146" s="7"/>
      <c r="Y146" s="7"/>
      <c r="Z146" s="7"/>
    </row>
    <row r="147">
      <c r="A147" s="6"/>
      <c r="B147" s="6"/>
      <c r="C147" s="6"/>
      <c r="D147" s="6"/>
      <c r="E147" s="6"/>
      <c r="F147" s="6"/>
      <c r="G147" s="6"/>
      <c r="H147" s="6"/>
      <c r="I147" s="6"/>
      <c r="J147" s="6"/>
      <c r="K147" s="6"/>
      <c r="L147" s="80"/>
      <c r="M147" s="80"/>
      <c r="N147" s="80"/>
      <c r="O147" s="80"/>
      <c r="P147" s="6"/>
      <c r="Q147" s="6"/>
      <c r="R147" s="6"/>
      <c r="S147" s="6"/>
      <c r="T147" s="6"/>
      <c r="U147" s="6"/>
      <c r="V147" s="6"/>
      <c r="W147" s="7"/>
      <c r="X147" s="7"/>
      <c r="Y147" s="7"/>
      <c r="Z147" s="7"/>
    </row>
    <row r="148">
      <c r="A148" s="6"/>
      <c r="B148" s="6"/>
      <c r="C148" s="6"/>
      <c r="D148" s="6"/>
      <c r="E148" s="6"/>
      <c r="F148" s="6"/>
      <c r="G148" s="6"/>
      <c r="H148" s="6"/>
      <c r="I148" s="6"/>
      <c r="J148" s="6"/>
      <c r="K148" s="6"/>
      <c r="L148" s="80"/>
      <c r="M148" s="80"/>
      <c r="N148" s="80"/>
      <c r="O148" s="80"/>
      <c r="P148" s="6"/>
      <c r="Q148" s="6"/>
      <c r="R148" s="6"/>
      <c r="S148" s="6"/>
      <c r="T148" s="6"/>
      <c r="U148" s="6"/>
      <c r="V148" s="6"/>
      <c r="W148" s="7"/>
      <c r="X148" s="7"/>
      <c r="Y148" s="7"/>
      <c r="Z148" s="7"/>
    </row>
    <row r="149">
      <c r="A149" s="6"/>
      <c r="B149" s="6"/>
      <c r="C149" s="6"/>
      <c r="D149" s="6"/>
      <c r="E149" s="6"/>
      <c r="F149" s="6"/>
      <c r="G149" s="6"/>
      <c r="H149" s="6"/>
      <c r="I149" s="6"/>
      <c r="J149" s="6"/>
      <c r="K149" s="6"/>
      <c r="L149" s="80"/>
      <c r="M149" s="80"/>
      <c r="N149" s="80"/>
      <c r="O149" s="80"/>
      <c r="P149" s="6"/>
      <c r="Q149" s="6"/>
      <c r="R149" s="6"/>
      <c r="S149" s="6"/>
      <c r="T149" s="6"/>
      <c r="U149" s="6"/>
      <c r="V149" s="6"/>
      <c r="W149" s="7"/>
      <c r="X149" s="7"/>
      <c r="Y149" s="7"/>
      <c r="Z149" s="7"/>
    </row>
    <row r="150">
      <c r="A150" s="6"/>
      <c r="B150" s="6"/>
      <c r="C150" s="6"/>
      <c r="D150" s="6"/>
      <c r="E150" s="6"/>
      <c r="F150" s="6"/>
      <c r="G150" s="6"/>
      <c r="H150" s="6"/>
      <c r="I150" s="6"/>
      <c r="J150" s="6"/>
      <c r="K150" s="6"/>
      <c r="L150" s="80"/>
      <c r="M150" s="80"/>
      <c r="N150" s="80"/>
      <c r="O150" s="80"/>
      <c r="P150" s="6"/>
      <c r="Q150" s="6"/>
      <c r="R150" s="6"/>
      <c r="S150" s="6"/>
      <c r="T150" s="6"/>
      <c r="U150" s="6"/>
      <c r="V150" s="6"/>
      <c r="W150" s="7"/>
      <c r="X150" s="7"/>
      <c r="Y150" s="7"/>
      <c r="Z150" s="7"/>
    </row>
    <row r="151">
      <c r="A151" s="6"/>
      <c r="B151" s="6"/>
      <c r="C151" s="6"/>
      <c r="D151" s="6"/>
      <c r="E151" s="6"/>
      <c r="F151" s="6"/>
      <c r="G151" s="6"/>
      <c r="H151" s="6"/>
      <c r="I151" s="6"/>
      <c r="J151" s="6"/>
      <c r="K151" s="6"/>
      <c r="L151" s="80"/>
      <c r="M151" s="80"/>
      <c r="N151" s="80"/>
      <c r="O151" s="80"/>
      <c r="P151" s="6"/>
      <c r="Q151" s="6"/>
      <c r="R151" s="6"/>
      <c r="S151" s="6"/>
      <c r="T151" s="6"/>
      <c r="U151" s="6"/>
      <c r="V151" s="6"/>
      <c r="W151" s="7"/>
      <c r="X151" s="7"/>
      <c r="Y151" s="7"/>
      <c r="Z151" s="7"/>
    </row>
    <row r="152">
      <c r="A152" s="6"/>
      <c r="B152" s="6"/>
      <c r="C152" s="6"/>
      <c r="D152" s="6"/>
      <c r="E152" s="6"/>
      <c r="F152" s="6"/>
      <c r="G152" s="6"/>
      <c r="H152" s="6"/>
      <c r="I152" s="6"/>
      <c r="J152" s="6"/>
      <c r="K152" s="6"/>
      <c r="L152" s="80"/>
      <c r="M152" s="80"/>
      <c r="N152" s="80"/>
      <c r="O152" s="80"/>
      <c r="P152" s="6"/>
      <c r="Q152" s="6"/>
      <c r="R152" s="6"/>
      <c r="S152" s="6"/>
      <c r="T152" s="6"/>
      <c r="U152" s="6"/>
      <c r="V152" s="6"/>
      <c r="W152" s="7"/>
      <c r="X152" s="7"/>
      <c r="Y152" s="7"/>
      <c r="Z152" s="7"/>
    </row>
    <row r="153">
      <c r="A153" s="6"/>
      <c r="B153" s="6"/>
      <c r="C153" s="6"/>
      <c r="D153" s="6"/>
      <c r="E153" s="6"/>
      <c r="F153" s="6"/>
      <c r="G153" s="6"/>
      <c r="H153" s="6"/>
      <c r="I153" s="6"/>
      <c r="J153" s="6"/>
      <c r="K153" s="6"/>
      <c r="L153" s="80"/>
      <c r="M153" s="80"/>
      <c r="N153" s="80"/>
      <c r="O153" s="80"/>
      <c r="P153" s="6"/>
      <c r="Q153" s="6"/>
      <c r="R153" s="6"/>
      <c r="S153" s="6"/>
      <c r="T153" s="6"/>
      <c r="U153" s="6"/>
      <c r="V153" s="6"/>
      <c r="W153" s="7"/>
      <c r="X153" s="7"/>
      <c r="Y153" s="7"/>
      <c r="Z153" s="7"/>
    </row>
    <row r="154">
      <c r="A154" s="6"/>
      <c r="B154" s="6"/>
      <c r="C154" s="6"/>
      <c r="D154" s="6"/>
      <c r="E154" s="6"/>
      <c r="F154" s="6"/>
      <c r="G154" s="6"/>
      <c r="H154" s="6"/>
      <c r="I154" s="6"/>
      <c r="J154" s="6"/>
      <c r="K154" s="6"/>
      <c r="L154" s="80"/>
      <c r="M154" s="80"/>
      <c r="N154" s="80"/>
      <c r="O154" s="80"/>
      <c r="P154" s="6"/>
      <c r="Q154" s="6"/>
      <c r="R154" s="6"/>
      <c r="S154" s="6"/>
      <c r="T154" s="6"/>
      <c r="U154" s="6"/>
      <c r="V154" s="6"/>
      <c r="W154" s="7"/>
      <c r="X154" s="7"/>
      <c r="Y154" s="7"/>
      <c r="Z154" s="7"/>
    </row>
    <row r="155">
      <c r="A155" s="6"/>
      <c r="B155" s="6"/>
      <c r="C155" s="6"/>
      <c r="D155" s="6"/>
      <c r="E155" s="6"/>
      <c r="F155" s="6"/>
      <c r="G155" s="6"/>
      <c r="H155" s="6"/>
      <c r="I155" s="6"/>
      <c r="J155" s="6"/>
      <c r="K155" s="6"/>
      <c r="L155" s="80"/>
      <c r="M155" s="80"/>
      <c r="N155" s="80"/>
      <c r="O155" s="80"/>
      <c r="P155" s="6"/>
      <c r="Q155" s="6"/>
      <c r="R155" s="6"/>
      <c r="S155" s="6"/>
      <c r="T155" s="6"/>
      <c r="U155" s="6"/>
      <c r="V155" s="6"/>
      <c r="W155" s="7"/>
      <c r="X155" s="7"/>
      <c r="Y155" s="7"/>
      <c r="Z155" s="7"/>
    </row>
    <row r="156">
      <c r="A156" s="6"/>
      <c r="B156" s="6"/>
      <c r="C156" s="6"/>
      <c r="D156" s="6"/>
      <c r="E156" s="6"/>
      <c r="F156" s="6"/>
      <c r="G156" s="6"/>
      <c r="H156" s="6"/>
      <c r="I156" s="6"/>
      <c r="J156" s="6"/>
      <c r="K156" s="6"/>
      <c r="L156" s="80"/>
      <c r="M156" s="80"/>
      <c r="N156" s="80"/>
      <c r="O156" s="80"/>
      <c r="P156" s="6"/>
      <c r="Q156" s="6"/>
      <c r="R156" s="6"/>
      <c r="S156" s="6"/>
      <c r="T156" s="6"/>
      <c r="U156" s="6"/>
      <c r="V156" s="6"/>
      <c r="W156" s="7"/>
      <c r="X156" s="7"/>
      <c r="Y156" s="7"/>
      <c r="Z156" s="7"/>
    </row>
    <row r="157">
      <c r="A157" s="6"/>
      <c r="B157" s="6"/>
      <c r="C157" s="6"/>
      <c r="D157" s="6"/>
      <c r="E157" s="6"/>
      <c r="F157" s="6"/>
      <c r="G157" s="6"/>
      <c r="H157" s="6"/>
      <c r="I157" s="6"/>
      <c r="J157" s="6"/>
      <c r="K157" s="6"/>
      <c r="L157" s="80"/>
      <c r="M157" s="80"/>
      <c r="N157" s="80"/>
      <c r="O157" s="80"/>
      <c r="P157" s="6"/>
      <c r="Q157" s="6"/>
      <c r="R157" s="6"/>
      <c r="S157" s="6"/>
      <c r="T157" s="6"/>
      <c r="U157" s="6"/>
      <c r="V157" s="6"/>
      <c r="W157" s="7"/>
      <c r="X157" s="7"/>
      <c r="Y157" s="7"/>
      <c r="Z157" s="7"/>
    </row>
    <row r="158">
      <c r="A158" s="6"/>
      <c r="B158" s="6"/>
      <c r="C158" s="6"/>
      <c r="D158" s="6"/>
      <c r="E158" s="6"/>
      <c r="F158" s="6"/>
      <c r="G158" s="6"/>
      <c r="H158" s="6"/>
      <c r="I158" s="6"/>
      <c r="J158" s="6"/>
      <c r="K158" s="6"/>
      <c r="L158" s="80"/>
      <c r="M158" s="80"/>
      <c r="N158" s="80"/>
      <c r="O158" s="80"/>
      <c r="P158" s="6"/>
      <c r="Q158" s="6"/>
      <c r="R158" s="6"/>
      <c r="S158" s="6"/>
      <c r="T158" s="6"/>
      <c r="U158" s="6"/>
      <c r="V158" s="6"/>
      <c r="W158" s="7"/>
      <c r="X158" s="7"/>
      <c r="Y158" s="7"/>
      <c r="Z158" s="7"/>
    </row>
    <row r="159">
      <c r="A159" s="6"/>
      <c r="B159" s="6"/>
      <c r="C159" s="6"/>
      <c r="D159" s="6"/>
      <c r="E159" s="6"/>
      <c r="F159" s="6"/>
      <c r="G159" s="6"/>
      <c r="H159" s="6"/>
      <c r="I159" s="6"/>
      <c r="J159" s="6"/>
      <c r="K159" s="6"/>
      <c r="L159" s="80"/>
      <c r="M159" s="80"/>
      <c r="N159" s="80"/>
      <c r="O159" s="80"/>
      <c r="P159" s="6"/>
      <c r="Q159" s="6"/>
      <c r="R159" s="6"/>
      <c r="S159" s="6"/>
      <c r="T159" s="6"/>
      <c r="U159" s="6"/>
      <c r="V159" s="6"/>
      <c r="W159" s="7"/>
      <c r="X159" s="7"/>
      <c r="Y159" s="7"/>
      <c r="Z159" s="7"/>
    </row>
    <row r="160">
      <c r="A160" s="6"/>
      <c r="B160" s="6"/>
      <c r="C160" s="6"/>
      <c r="D160" s="6"/>
      <c r="E160" s="6"/>
      <c r="F160" s="6"/>
      <c r="G160" s="6"/>
      <c r="H160" s="6"/>
      <c r="I160" s="6"/>
      <c r="J160" s="6"/>
      <c r="K160" s="6"/>
      <c r="L160" s="80"/>
      <c r="M160" s="80"/>
      <c r="N160" s="80"/>
      <c r="O160" s="80"/>
      <c r="P160" s="6"/>
      <c r="Q160" s="6"/>
      <c r="R160" s="6"/>
      <c r="S160" s="6"/>
      <c r="T160" s="6"/>
      <c r="U160" s="6"/>
      <c r="V160" s="6"/>
      <c r="W160" s="7"/>
      <c r="X160" s="7"/>
      <c r="Y160" s="7"/>
      <c r="Z160" s="7"/>
    </row>
    <row r="161">
      <c r="A161" s="6"/>
      <c r="B161" s="6"/>
      <c r="C161" s="6"/>
      <c r="D161" s="6"/>
      <c r="E161" s="6"/>
      <c r="F161" s="6"/>
      <c r="G161" s="6"/>
      <c r="H161" s="6"/>
      <c r="I161" s="6"/>
      <c r="J161" s="6"/>
      <c r="K161" s="6"/>
      <c r="L161" s="80"/>
      <c r="M161" s="80"/>
      <c r="N161" s="80"/>
      <c r="O161" s="80"/>
      <c r="P161" s="6"/>
      <c r="Q161" s="6"/>
      <c r="R161" s="6"/>
      <c r="S161" s="6"/>
      <c r="T161" s="6"/>
      <c r="U161" s="6"/>
      <c r="V161" s="6"/>
      <c r="W161" s="7"/>
      <c r="X161" s="7"/>
      <c r="Y161" s="7"/>
      <c r="Z161" s="7"/>
    </row>
    <row r="162">
      <c r="A162" s="6"/>
      <c r="B162" s="6"/>
      <c r="C162" s="6"/>
      <c r="D162" s="6"/>
      <c r="E162" s="6"/>
      <c r="F162" s="6"/>
      <c r="G162" s="6"/>
      <c r="H162" s="6"/>
      <c r="I162" s="6"/>
      <c r="J162" s="6"/>
      <c r="K162" s="6"/>
      <c r="L162" s="80"/>
      <c r="M162" s="80"/>
      <c r="N162" s="80"/>
      <c r="O162" s="80"/>
      <c r="P162" s="6"/>
      <c r="Q162" s="6"/>
      <c r="R162" s="6"/>
      <c r="S162" s="6"/>
      <c r="T162" s="6"/>
      <c r="U162" s="6"/>
      <c r="V162" s="6"/>
      <c r="W162" s="7"/>
      <c r="X162" s="7"/>
      <c r="Y162" s="7"/>
      <c r="Z162" s="7"/>
    </row>
    <row r="163">
      <c r="A163" s="6"/>
      <c r="B163" s="6"/>
      <c r="C163" s="6"/>
      <c r="D163" s="6"/>
      <c r="E163" s="6"/>
      <c r="F163" s="6"/>
      <c r="G163" s="6"/>
      <c r="H163" s="6"/>
      <c r="I163" s="6"/>
      <c r="J163" s="6"/>
      <c r="K163" s="6"/>
      <c r="L163" s="80"/>
      <c r="M163" s="80"/>
      <c r="N163" s="80"/>
      <c r="O163" s="80"/>
      <c r="P163" s="6"/>
      <c r="Q163" s="6"/>
      <c r="R163" s="6"/>
      <c r="S163" s="6"/>
      <c r="T163" s="6"/>
      <c r="U163" s="6"/>
      <c r="V163" s="6"/>
      <c r="W163" s="7"/>
      <c r="X163" s="7"/>
      <c r="Y163" s="7"/>
      <c r="Z163" s="7"/>
    </row>
    <row r="164">
      <c r="A164" s="6"/>
      <c r="B164" s="6"/>
      <c r="C164" s="6"/>
      <c r="D164" s="6"/>
      <c r="E164" s="6"/>
      <c r="F164" s="6"/>
      <c r="G164" s="6"/>
      <c r="H164" s="6"/>
      <c r="I164" s="6"/>
      <c r="J164" s="6"/>
      <c r="K164" s="6"/>
      <c r="L164" s="80"/>
      <c r="M164" s="80"/>
      <c r="N164" s="80"/>
      <c r="O164" s="80"/>
      <c r="P164" s="6"/>
      <c r="Q164" s="6"/>
      <c r="R164" s="6"/>
      <c r="S164" s="6"/>
      <c r="T164" s="6"/>
      <c r="U164" s="6"/>
      <c r="V164" s="6"/>
      <c r="W164" s="7"/>
      <c r="X164" s="7"/>
      <c r="Y164" s="7"/>
      <c r="Z164" s="7"/>
    </row>
    <row r="165">
      <c r="A165" s="6"/>
      <c r="B165" s="6"/>
      <c r="C165" s="6"/>
      <c r="D165" s="6"/>
      <c r="E165" s="6"/>
      <c r="F165" s="6"/>
      <c r="G165" s="6"/>
      <c r="H165" s="6"/>
      <c r="I165" s="6"/>
      <c r="J165" s="6"/>
      <c r="K165" s="6"/>
      <c r="L165" s="80"/>
      <c r="M165" s="80"/>
      <c r="N165" s="80"/>
      <c r="O165" s="80"/>
      <c r="P165" s="6"/>
      <c r="Q165" s="6"/>
      <c r="R165" s="6"/>
      <c r="S165" s="6"/>
      <c r="T165" s="6"/>
      <c r="U165" s="6"/>
      <c r="V165" s="6"/>
      <c r="W165" s="7"/>
      <c r="X165" s="7"/>
      <c r="Y165" s="7"/>
      <c r="Z165" s="7"/>
    </row>
    <row r="166">
      <c r="A166" s="6"/>
      <c r="B166" s="6"/>
      <c r="C166" s="6"/>
      <c r="D166" s="6"/>
      <c r="E166" s="6"/>
      <c r="F166" s="6"/>
      <c r="G166" s="6"/>
      <c r="H166" s="6"/>
      <c r="I166" s="6"/>
      <c r="J166" s="6"/>
      <c r="K166" s="6"/>
      <c r="L166" s="80"/>
      <c r="M166" s="80"/>
      <c r="N166" s="80"/>
      <c r="O166" s="80"/>
      <c r="P166" s="6"/>
      <c r="Q166" s="6"/>
      <c r="R166" s="6"/>
      <c r="S166" s="6"/>
      <c r="T166" s="6"/>
      <c r="U166" s="6"/>
      <c r="V166" s="6"/>
      <c r="W166" s="7"/>
      <c r="X166" s="7"/>
      <c r="Y166" s="7"/>
      <c r="Z166" s="7"/>
    </row>
    <row r="167">
      <c r="A167" s="6"/>
      <c r="B167" s="6"/>
      <c r="C167" s="6"/>
      <c r="D167" s="6"/>
      <c r="E167" s="6"/>
      <c r="F167" s="6"/>
      <c r="G167" s="6"/>
      <c r="H167" s="6"/>
      <c r="I167" s="6"/>
      <c r="J167" s="6"/>
      <c r="K167" s="6"/>
      <c r="L167" s="80"/>
      <c r="M167" s="80"/>
      <c r="N167" s="80"/>
      <c r="O167" s="80"/>
      <c r="P167" s="6"/>
      <c r="Q167" s="6"/>
      <c r="R167" s="6"/>
      <c r="S167" s="6"/>
      <c r="T167" s="6"/>
      <c r="U167" s="6"/>
      <c r="V167" s="6"/>
      <c r="W167" s="7"/>
      <c r="X167" s="7"/>
      <c r="Y167" s="7"/>
      <c r="Z167" s="7"/>
    </row>
    <row r="168">
      <c r="A168" s="6"/>
      <c r="B168" s="6"/>
      <c r="C168" s="6"/>
      <c r="D168" s="6"/>
      <c r="E168" s="6"/>
      <c r="F168" s="6"/>
      <c r="G168" s="6"/>
      <c r="H168" s="6"/>
      <c r="I168" s="6"/>
      <c r="J168" s="6"/>
      <c r="K168" s="6"/>
      <c r="L168" s="80"/>
      <c r="M168" s="80"/>
      <c r="N168" s="80"/>
      <c r="O168" s="80"/>
      <c r="P168" s="6"/>
      <c r="Q168" s="6"/>
      <c r="R168" s="6"/>
      <c r="S168" s="6"/>
      <c r="T168" s="6"/>
      <c r="U168" s="6"/>
      <c r="V168" s="6"/>
      <c r="W168" s="7"/>
      <c r="X168" s="7"/>
      <c r="Y168" s="7"/>
      <c r="Z168" s="7"/>
    </row>
    <row r="169">
      <c r="A169" s="6"/>
      <c r="B169" s="6"/>
      <c r="C169" s="6"/>
      <c r="D169" s="6"/>
      <c r="E169" s="6"/>
      <c r="F169" s="6"/>
      <c r="G169" s="6"/>
      <c r="H169" s="6"/>
      <c r="I169" s="6"/>
      <c r="J169" s="6"/>
      <c r="K169" s="6"/>
      <c r="L169" s="80"/>
      <c r="M169" s="80"/>
      <c r="N169" s="80"/>
      <c r="O169" s="80"/>
      <c r="P169" s="6"/>
      <c r="Q169" s="6"/>
      <c r="R169" s="6"/>
      <c r="S169" s="6"/>
      <c r="T169" s="6"/>
      <c r="U169" s="6"/>
      <c r="V169" s="6"/>
      <c r="W169" s="7"/>
      <c r="X169" s="7"/>
      <c r="Y169" s="7"/>
      <c r="Z169" s="7"/>
    </row>
    <row r="170">
      <c r="A170" s="6"/>
      <c r="B170" s="6"/>
      <c r="C170" s="6"/>
      <c r="D170" s="6"/>
      <c r="E170" s="6"/>
      <c r="F170" s="6"/>
      <c r="G170" s="6"/>
      <c r="H170" s="6"/>
      <c r="I170" s="6"/>
      <c r="J170" s="6"/>
      <c r="K170" s="6"/>
      <c r="L170" s="80"/>
      <c r="M170" s="80"/>
      <c r="N170" s="80"/>
      <c r="O170" s="80"/>
      <c r="P170" s="6"/>
      <c r="Q170" s="6"/>
      <c r="R170" s="6"/>
      <c r="S170" s="6"/>
      <c r="T170" s="6"/>
      <c r="U170" s="6"/>
      <c r="V170" s="6"/>
      <c r="W170" s="7"/>
      <c r="X170" s="7"/>
      <c r="Y170" s="7"/>
      <c r="Z170" s="7"/>
    </row>
    <row r="171">
      <c r="A171" s="6"/>
      <c r="B171" s="6"/>
      <c r="C171" s="6"/>
      <c r="D171" s="6"/>
      <c r="E171" s="6"/>
      <c r="F171" s="6"/>
      <c r="G171" s="6"/>
      <c r="H171" s="6"/>
      <c r="I171" s="6"/>
      <c r="J171" s="6"/>
      <c r="K171" s="6"/>
      <c r="L171" s="80"/>
      <c r="M171" s="80"/>
      <c r="N171" s="80"/>
      <c r="O171" s="80"/>
      <c r="P171" s="6"/>
      <c r="Q171" s="6"/>
      <c r="R171" s="6"/>
      <c r="S171" s="6"/>
      <c r="T171" s="6"/>
      <c r="U171" s="6"/>
      <c r="V171" s="6"/>
      <c r="W171" s="7"/>
      <c r="X171" s="7"/>
      <c r="Y171" s="7"/>
      <c r="Z171" s="7"/>
    </row>
    <row r="172">
      <c r="A172" s="6"/>
      <c r="B172" s="6"/>
      <c r="C172" s="6"/>
      <c r="D172" s="6"/>
      <c r="E172" s="6"/>
      <c r="F172" s="6"/>
      <c r="G172" s="6"/>
      <c r="H172" s="6"/>
      <c r="I172" s="6"/>
      <c r="J172" s="6"/>
      <c r="K172" s="6"/>
      <c r="L172" s="80"/>
      <c r="M172" s="80"/>
      <c r="N172" s="80"/>
      <c r="O172" s="80"/>
      <c r="P172" s="6"/>
      <c r="Q172" s="6"/>
      <c r="R172" s="6"/>
      <c r="S172" s="6"/>
      <c r="T172" s="6"/>
      <c r="U172" s="6"/>
      <c r="V172" s="6"/>
      <c r="W172" s="7"/>
      <c r="X172" s="7"/>
      <c r="Y172" s="7"/>
      <c r="Z172" s="7"/>
    </row>
    <row r="173">
      <c r="A173" s="6"/>
      <c r="B173" s="6"/>
      <c r="C173" s="6"/>
      <c r="D173" s="6"/>
      <c r="E173" s="6"/>
      <c r="F173" s="6"/>
      <c r="G173" s="6"/>
      <c r="H173" s="6"/>
      <c r="I173" s="6"/>
      <c r="J173" s="6"/>
      <c r="K173" s="6"/>
      <c r="L173" s="80"/>
      <c r="M173" s="80"/>
      <c r="N173" s="80"/>
      <c r="O173" s="80"/>
      <c r="P173" s="6"/>
      <c r="Q173" s="6"/>
      <c r="R173" s="6"/>
      <c r="S173" s="6"/>
      <c r="T173" s="6"/>
      <c r="U173" s="6"/>
      <c r="V173" s="6"/>
      <c r="W173" s="7"/>
      <c r="X173" s="7"/>
      <c r="Y173" s="7"/>
      <c r="Z173" s="7"/>
    </row>
    <row r="174">
      <c r="A174" s="6"/>
      <c r="B174" s="6"/>
      <c r="C174" s="6"/>
      <c r="D174" s="6"/>
      <c r="E174" s="6"/>
      <c r="F174" s="6"/>
      <c r="G174" s="6"/>
      <c r="H174" s="6"/>
      <c r="I174" s="6"/>
      <c r="J174" s="6"/>
      <c r="K174" s="6"/>
      <c r="L174" s="80"/>
      <c r="M174" s="80"/>
      <c r="N174" s="80"/>
      <c r="O174" s="80"/>
      <c r="P174" s="6"/>
      <c r="Q174" s="6"/>
      <c r="R174" s="6"/>
      <c r="S174" s="6"/>
      <c r="T174" s="6"/>
      <c r="U174" s="6"/>
      <c r="V174" s="6"/>
      <c r="W174" s="7"/>
      <c r="X174" s="7"/>
      <c r="Y174" s="7"/>
      <c r="Z174" s="7"/>
    </row>
    <row r="175">
      <c r="A175" s="6"/>
      <c r="B175" s="6"/>
      <c r="C175" s="6"/>
      <c r="D175" s="6"/>
      <c r="E175" s="6"/>
      <c r="F175" s="6"/>
      <c r="G175" s="6"/>
      <c r="H175" s="6"/>
      <c r="I175" s="6"/>
      <c r="J175" s="6"/>
      <c r="K175" s="6"/>
      <c r="L175" s="80"/>
      <c r="M175" s="80"/>
      <c r="N175" s="80"/>
      <c r="O175" s="80"/>
      <c r="P175" s="6"/>
      <c r="Q175" s="6"/>
      <c r="R175" s="6"/>
      <c r="S175" s="6"/>
      <c r="T175" s="6"/>
      <c r="U175" s="6"/>
      <c r="V175" s="6"/>
      <c r="W175" s="7"/>
      <c r="X175" s="7"/>
      <c r="Y175" s="7"/>
      <c r="Z175" s="7"/>
    </row>
    <row r="176">
      <c r="A176" s="6"/>
      <c r="B176" s="6"/>
      <c r="C176" s="6"/>
      <c r="D176" s="6"/>
      <c r="E176" s="6"/>
      <c r="F176" s="6"/>
      <c r="G176" s="6"/>
      <c r="H176" s="6"/>
      <c r="I176" s="6"/>
      <c r="J176" s="6"/>
      <c r="K176" s="6"/>
      <c r="L176" s="80"/>
      <c r="M176" s="80"/>
      <c r="N176" s="80"/>
      <c r="O176" s="80"/>
      <c r="P176" s="6"/>
      <c r="Q176" s="6"/>
      <c r="R176" s="6"/>
      <c r="S176" s="6"/>
      <c r="T176" s="6"/>
      <c r="U176" s="6"/>
      <c r="V176" s="6"/>
      <c r="W176" s="7"/>
      <c r="X176" s="7"/>
      <c r="Y176" s="7"/>
      <c r="Z176" s="7"/>
    </row>
    <row r="177">
      <c r="A177" s="6"/>
      <c r="B177" s="6"/>
      <c r="C177" s="6"/>
      <c r="D177" s="6"/>
      <c r="E177" s="6"/>
      <c r="F177" s="6"/>
      <c r="G177" s="6"/>
      <c r="H177" s="6"/>
      <c r="I177" s="6"/>
      <c r="J177" s="6"/>
      <c r="K177" s="6"/>
      <c r="L177" s="80"/>
      <c r="M177" s="80"/>
      <c r="N177" s="80"/>
      <c r="O177" s="80"/>
      <c r="P177" s="6"/>
      <c r="Q177" s="6"/>
      <c r="R177" s="6"/>
      <c r="S177" s="6"/>
      <c r="T177" s="6"/>
      <c r="U177" s="6"/>
      <c r="V177" s="6"/>
      <c r="W177" s="7"/>
      <c r="X177" s="7"/>
      <c r="Y177" s="7"/>
      <c r="Z177" s="7"/>
    </row>
    <row r="178">
      <c r="A178" s="6"/>
      <c r="B178" s="6"/>
      <c r="C178" s="6"/>
      <c r="D178" s="6"/>
      <c r="E178" s="6"/>
      <c r="F178" s="6"/>
      <c r="G178" s="6"/>
      <c r="H178" s="6"/>
      <c r="I178" s="6"/>
      <c r="J178" s="6"/>
      <c r="K178" s="6"/>
      <c r="L178" s="80"/>
      <c r="M178" s="80"/>
      <c r="N178" s="80"/>
      <c r="O178" s="80"/>
      <c r="P178" s="6"/>
      <c r="Q178" s="6"/>
      <c r="R178" s="6"/>
      <c r="S178" s="6"/>
      <c r="T178" s="6"/>
      <c r="U178" s="6"/>
      <c r="V178" s="6"/>
      <c r="W178" s="7"/>
      <c r="X178" s="7"/>
      <c r="Y178" s="7"/>
      <c r="Z178" s="7"/>
    </row>
    <row r="179">
      <c r="A179" s="6"/>
      <c r="B179" s="6"/>
      <c r="C179" s="6"/>
      <c r="D179" s="6"/>
      <c r="E179" s="6"/>
      <c r="F179" s="6"/>
      <c r="G179" s="6"/>
      <c r="H179" s="6"/>
      <c r="I179" s="6"/>
      <c r="J179" s="6"/>
      <c r="K179" s="6"/>
      <c r="L179" s="80"/>
      <c r="M179" s="80"/>
      <c r="N179" s="80"/>
      <c r="O179" s="80"/>
      <c r="P179" s="6"/>
      <c r="Q179" s="6"/>
      <c r="R179" s="6"/>
      <c r="S179" s="6"/>
      <c r="T179" s="6"/>
      <c r="U179" s="6"/>
      <c r="V179" s="6"/>
      <c r="W179" s="7"/>
      <c r="X179" s="7"/>
      <c r="Y179" s="7"/>
      <c r="Z179" s="7"/>
    </row>
    <row r="180">
      <c r="A180" s="6"/>
      <c r="B180" s="6"/>
      <c r="C180" s="6"/>
      <c r="D180" s="6"/>
      <c r="E180" s="6"/>
      <c r="F180" s="6"/>
      <c r="G180" s="6"/>
      <c r="H180" s="6"/>
      <c r="I180" s="6"/>
      <c r="J180" s="6"/>
      <c r="K180" s="6"/>
      <c r="L180" s="80"/>
      <c r="M180" s="80"/>
      <c r="N180" s="80"/>
      <c r="O180" s="80"/>
      <c r="P180" s="6"/>
      <c r="Q180" s="6"/>
      <c r="R180" s="6"/>
      <c r="S180" s="6"/>
      <c r="T180" s="6"/>
      <c r="U180" s="6"/>
      <c r="V180" s="6"/>
      <c r="W180" s="7"/>
      <c r="X180" s="7"/>
      <c r="Y180" s="7"/>
      <c r="Z180" s="7"/>
    </row>
    <row r="181">
      <c r="A181" s="6"/>
      <c r="B181" s="6"/>
      <c r="C181" s="6"/>
      <c r="D181" s="6"/>
      <c r="E181" s="6"/>
      <c r="F181" s="6"/>
      <c r="G181" s="6"/>
      <c r="H181" s="6"/>
      <c r="I181" s="6"/>
      <c r="J181" s="6"/>
      <c r="K181" s="6"/>
      <c r="L181" s="80"/>
      <c r="M181" s="80"/>
      <c r="N181" s="80"/>
      <c r="O181" s="80"/>
      <c r="P181" s="6"/>
      <c r="Q181" s="6"/>
      <c r="R181" s="6"/>
      <c r="S181" s="6"/>
      <c r="T181" s="6"/>
      <c r="U181" s="6"/>
      <c r="V181" s="6"/>
      <c r="W181" s="7"/>
      <c r="X181" s="7"/>
      <c r="Y181" s="7"/>
      <c r="Z181" s="7"/>
    </row>
    <row r="182">
      <c r="A182" s="6"/>
      <c r="B182" s="6"/>
      <c r="C182" s="6"/>
      <c r="D182" s="6"/>
      <c r="E182" s="6"/>
      <c r="F182" s="6"/>
      <c r="G182" s="6"/>
      <c r="H182" s="6"/>
      <c r="I182" s="6"/>
      <c r="J182" s="6"/>
      <c r="K182" s="6"/>
      <c r="L182" s="80"/>
      <c r="M182" s="80"/>
      <c r="N182" s="80"/>
      <c r="O182" s="80"/>
      <c r="P182" s="6"/>
      <c r="Q182" s="6"/>
      <c r="R182" s="6"/>
      <c r="S182" s="6"/>
      <c r="T182" s="6"/>
      <c r="U182" s="6"/>
      <c r="V182" s="6"/>
      <c r="W182" s="7"/>
      <c r="X182" s="7"/>
      <c r="Y182" s="7"/>
      <c r="Z182" s="7"/>
    </row>
    <row r="183">
      <c r="A183" s="6"/>
      <c r="B183" s="6"/>
      <c r="C183" s="6"/>
      <c r="D183" s="6"/>
      <c r="E183" s="6"/>
      <c r="F183" s="6"/>
      <c r="G183" s="6"/>
      <c r="H183" s="6"/>
      <c r="I183" s="6"/>
      <c r="J183" s="6"/>
      <c r="K183" s="6"/>
      <c r="L183" s="80"/>
      <c r="M183" s="80"/>
      <c r="N183" s="80"/>
      <c r="O183" s="80"/>
      <c r="P183" s="6"/>
      <c r="Q183" s="6"/>
      <c r="R183" s="6"/>
      <c r="S183" s="6"/>
      <c r="T183" s="6"/>
      <c r="U183" s="6"/>
      <c r="V183" s="6"/>
      <c r="W183" s="7"/>
      <c r="X183" s="7"/>
      <c r="Y183" s="7"/>
      <c r="Z183" s="7"/>
    </row>
    <row r="184">
      <c r="A184" s="6"/>
      <c r="B184" s="6"/>
      <c r="C184" s="6"/>
      <c r="D184" s="6"/>
      <c r="E184" s="6"/>
      <c r="F184" s="6"/>
      <c r="G184" s="6"/>
      <c r="H184" s="6"/>
      <c r="I184" s="6"/>
      <c r="J184" s="6"/>
      <c r="K184" s="6"/>
      <c r="L184" s="80"/>
      <c r="M184" s="80"/>
      <c r="N184" s="80"/>
      <c r="O184" s="80"/>
      <c r="P184" s="6"/>
      <c r="Q184" s="6"/>
      <c r="R184" s="6"/>
      <c r="S184" s="6"/>
      <c r="T184" s="6"/>
      <c r="U184" s="6"/>
      <c r="V184" s="6"/>
      <c r="W184" s="7"/>
      <c r="X184" s="7"/>
      <c r="Y184" s="7"/>
      <c r="Z184" s="7"/>
    </row>
    <row r="185">
      <c r="A185" s="6"/>
      <c r="B185" s="6"/>
      <c r="C185" s="6"/>
      <c r="D185" s="6"/>
      <c r="E185" s="6"/>
      <c r="F185" s="6"/>
      <c r="G185" s="6"/>
      <c r="H185" s="6"/>
      <c r="I185" s="6"/>
      <c r="J185" s="6"/>
      <c r="K185" s="6"/>
      <c r="L185" s="80"/>
      <c r="M185" s="80"/>
      <c r="N185" s="80"/>
      <c r="O185" s="80"/>
      <c r="P185" s="6"/>
      <c r="Q185" s="6"/>
      <c r="R185" s="6"/>
      <c r="S185" s="6"/>
      <c r="T185" s="6"/>
      <c r="U185" s="6"/>
      <c r="V185" s="6"/>
      <c r="W185" s="7"/>
      <c r="X185" s="7"/>
      <c r="Y185" s="7"/>
      <c r="Z185" s="7"/>
    </row>
    <row r="186">
      <c r="A186" s="6"/>
      <c r="B186" s="6"/>
      <c r="C186" s="6"/>
      <c r="D186" s="6"/>
      <c r="E186" s="6"/>
      <c r="F186" s="6"/>
      <c r="G186" s="6"/>
      <c r="H186" s="6"/>
      <c r="I186" s="6"/>
      <c r="J186" s="6"/>
      <c r="K186" s="6"/>
      <c r="L186" s="80"/>
      <c r="M186" s="80"/>
      <c r="N186" s="80"/>
      <c r="O186" s="80"/>
      <c r="P186" s="6"/>
      <c r="Q186" s="6"/>
      <c r="R186" s="6"/>
      <c r="S186" s="6"/>
      <c r="T186" s="6"/>
      <c r="U186" s="6"/>
      <c r="V186" s="6"/>
      <c r="W186" s="7"/>
      <c r="X186" s="7"/>
      <c r="Y186" s="7"/>
      <c r="Z186" s="7"/>
    </row>
    <row r="187">
      <c r="A187" s="6"/>
      <c r="B187" s="6"/>
      <c r="C187" s="6"/>
      <c r="D187" s="6"/>
      <c r="E187" s="6"/>
      <c r="F187" s="6"/>
      <c r="G187" s="6"/>
      <c r="H187" s="6"/>
      <c r="I187" s="6"/>
      <c r="J187" s="6"/>
      <c r="K187" s="6"/>
      <c r="L187" s="80"/>
      <c r="M187" s="80"/>
      <c r="N187" s="80"/>
      <c r="O187" s="80"/>
      <c r="P187" s="6"/>
      <c r="Q187" s="6"/>
      <c r="R187" s="6"/>
      <c r="S187" s="6"/>
      <c r="T187" s="6"/>
      <c r="U187" s="6"/>
      <c r="V187" s="6"/>
      <c r="W187" s="7"/>
      <c r="X187" s="7"/>
      <c r="Y187" s="7"/>
      <c r="Z187" s="7"/>
    </row>
    <row r="188">
      <c r="A188" s="6"/>
      <c r="B188" s="6"/>
      <c r="C188" s="6"/>
      <c r="D188" s="6"/>
      <c r="E188" s="6"/>
      <c r="F188" s="6"/>
      <c r="G188" s="6"/>
      <c r="H188" s="6"/>
      <c r="I188" s="6"/>
      <c r="J188" s="6"/>
      <c r="K188" s="6"/>
      <c r="L188" s="80"/>
      <c r="M188" s="80"/>
      <c r="N188" s="80"/>
      <c r="O188" s="80"/>
      <c r="P188" s="6"/>
      <c r="Q188" s="6"/>
      <c r="R188" s="6"/>
      <c r="S188" s="6"/>
      <c r="T188" s="6"/>
      <c r="U188" s="6"/>
      <c r="V188" s="6"/>
      <c r="W188" s="7"/>
      <c r="X188" s="7"/>
      <c r="Y188" s="7"/>
      <c r="Z188" s="7"/>
    </row>
    <row r="189">
      <c r="A189" s="6"/>
      <c r="B189" s="6"/>
      <c r="C189" s="6"/>
      <c r="D189" s="6"/>
      <c r="E189" s="6"/>
      <c r="F189" s="6"/>
      <c r="G189" s="6"/>
      <c r="H189" s="6"/>
      <c r="I189" s="6"/>
      <c r="J189" s="6"/>
      <c r="K189" s="6"/>
      <c r="L189" s="80"/>
      <c r="M189" s="80"/>
      <c r="N189" s="80"/>
      <c r="O189" s="80"/>
      <c r="P189" s="6"/>
      <c r="Q189" s="6"/>
      <c r="R189" s="6"/>
      <c r="S189" s="6"/>
      <c r="T189" s="6"/>
      <c r="U189" s="6"/>
      <c r="V189" s="6"/>
      <c r="W189" s="7"/>
      <c r="X189" s="7"/>
      <c r="Y189" s="7"/>
      <c r="Z189" s="7"/>
    </row>
    <row r="190">
      <c r="A190" s="6"/>
      <c r="B190" s="6"/>
      <c r="C190" s="6"/>
      <c r="D190" s="6"/>
      <c r="E190" s="6"/>
      <c r="F190" s="6"/>
      <c r="G190" s="6"/>
      <c r="H190" s="6"/>
      <c r="I190" s="6"/>
      <c r="J190" s="6"/>
      <c r="K190" s="6"/>
      <c r="L190" s="80"/>
      <c r="M190" s="80"/>
      <c r="N190" s="80"/>
      <c r="O190" s="80"/>
      <c r="P190" s="6"/>
      <c r="Q190" s="6"/>
      <c r="R190" s="6"/>
      <c r="S190" s="6"/>
      <c r="T190" s="6"/>
      <c r="U190" s="6"/>
      <c r="V190" s="6"/>
      <c r="W190" s="7"/>
      <c r="X190" s="7"/>
      <c r="Y190" s="7"/>
      <c r="Z190" s="7"/>
    </row>
    <row r="191">
      <c r="A191" s="6"/>
      <c r="B191" s="6"/>
      <c r="C191" s="6"/>
      <c r="D191" s="6"/>
      <c r="E191" s="6"/>
      <c r="F191" s="6"/>
      <c r="G191" s="6"/>
      <c r="H191" s="6"/>
      <c r="I191" s="6"/>
      <c r="J191" s="6"/>
      <c r="K191" s="6"/>
      <c r="L191" s="80"/>
      <c r="M191" s="80"/>
      <c r="N191" s="80"/>
      <c r="O191" s="80"/>
      <c r="P191" s="6"/>
      <c r="Q191" s="6"/>
      <c r="R191" s="6"/>
      <c r="S191" s="6"/>
      <c r="T191" s="6"/>
      <c r="U191" s="6"/>
      <c r="V191" s="6"/>
      <c r="W191" s="7"/>
      <c r="X191" s="7"/>
      <c r="Y191" s="7"/>
      <c r="Z191" s="7"/>
    </row>
    <row r="192">
      <c r="A192" s="6"/>
      <c r="B192" s="6"/>
      <c r="C192" s="6"/>
      <c r="D192" s="6"/>
      <c r="E192" s="6"/>
      <c r="F192" s="6"/>
      <c r="G192" s="6"/>
      <c r="H192" s="6"/>
      <c r="I192" s="6"/>
      <c r="J192" s="6"/>
      <c r="K192" s="6"/>
      <c r="L192" s="80"/>
      <c r="M192" s="80"/>
      <c r="N192" s="80"/>
      <c r="O192" s="80"/>
      <c r="P192" s="6"/>
      <c r="Q192" s="6"/>
      <c r="R192" s="6"/>
      <c r="S192" s="6"/>
      <c r="T192" s="6"/>
      <c r="U192" s="6"/>
      <c r="V192" s="6"/>
      <c r="W192" s="7"/>
      <c r="X192" s="7"/>
      <c r="Y192" s="7"/>
      <c r="Z192" s="7"/>
    </row>
    <row r="193">
      <c r="A193" s="6"/>
      <c r="B193" s="6"/>
      <c r="C193" s="6"/>
      <c r="D193" s="6"/>
      <c r="E193" s="6"/>
      <c r="F193" s="6"/>
      <c r="G193" s="6"/>
      <c r="H193" s="6"/>
      <c r="I193" s="6"/>
      <c r="J193" s="6"/>
      <c r="K193" s="6"/>
      <c r="L193" s="80"/>
      <c r="M193" s="80"/>
      <c r="N193" s="80"/>
      <c r="O193" s="80"/>
      <c r="P193" s="6"/>
      <c r="Q193" s="6"/>
      <c r="R193" s="6"/>
      <c r="S193" s="6"/>
      <c r="T193" s="6"/>
      <c r="U193" s="6"/>
      <c r="V193" s="6"/>
      <c r="W193" s="7"/>
      <c r="X193" s="7"/>
      <c r="Y193" s="7"/>
      <c r="Z193" s="7"/>
    </row>
    <row r="194">
      <c r="A194" s="6"/>
      <c r="B194" s="6"/>
      <c r="C194" s="6"/>
      <c r="D194" s="6"/>
      <c r="E194" s="6"/>
      <c r="F194" s="6"/>
      <c r="G194" s="6"/>
      <c r="H194" s="6"/>
      <c r="I194" s="6"/>
      <c r="J194" s="6"/>
      <c r="K194" s="6"/>
      <c r="L194" s="80"/>
      <c r="M194" s="80"/>
      <c r="N194" s="80"/>
      <c r="O194" s="80"/>
      <c r="P194" s="6"/>
      <c r="Q194" s="6"/>
      <c r="R194" s="6"/>
      <c r="S194" s="6"/>
      <c r="T194" s="6"/>
      <c r="U194" s="6"/>
      <c r="V194" s="6"/>
      <c r="W194" s="7"/>
      <c r="X194" s="7"/>
      <c r="Y194" s="7"/>
      <c r="Z194" s="7"/>
    </row>
    <row r="195">
      <c r="A195" s="6"/>
      <c r="B195" s="6"/>
      <c r="C195" s="6"/>
      <c r="D195" s="6"/>
      <c r="E195" s="6"/>
      <c r="F195" s="6"/>
      <c r="G195" s="6"/>
      <c r="H195" s="6"/>
      <c r="I195" s="6"/>
      <c r="J195" s="6"/>
      <c r="K195" s="6"/>
      <c r="L195" s="80"/>
      <c r="M195" s="80"/>
      <c r="N195" s="80"/>
      <c r="O195" s="80"/>
      <c r="P195" s="6"/>
      <c r="Q195" s="6"/>
      <c r="R195" s="6"/>
      <c r="S195" s="6"/>
      <c r="T195" s="6"/>
      <c r="U195" s="6"/>
      <c r="V195" s="6"/>
      <c r="W195" s="7"/>
      <c r="X195" s="7"/>
      <c r="Y195" s="7"/>
      <c r="Z195" s="7"/>
    </row>
    <row r="196">
      <c r="A196" s="6"/>
      <c r="B196" s="6"/>
      <c r="C196" s="6"/>
      <c r="D196" s="6"/>
      <c r="E196" s="6"/>
      <c r="F196" s="6"/>
      <c r="G196" s="6"/>
      <c r="H196" s="6"/>
      <c r="I196" s="6"/>
      <c r="J196" s="6"/>
      <c r="K196" s="6"/>
      <c r="L196" s="80"/>
      <c r="M196" s="80"/>
      <c r="N196" s="80"/>
      <c r="O196" s="80"/>
      <c r="P196" s="6"/>
      <c r="Q196" s="6"/>
      <c r="R196" s="6"/>
      <c r="S196" s="6"/>
      <c r="T196" s="6"/>
      <c r="U196" s="6"/>
      <c r="V196" s="6"/>
      <c r="W196" s="7"/>
      <c r="X196" s="7"/>
      <c r="Y196" s="7"/>
      <c r="Z196" s="7"/>
    </row>
    <row r="197">
      <c r="A197" s="6"/>
      <c r="B197" s="6"/>
      <c r="C197" s="6"/>
      <c r="D197" s="6"/>
      <c r="E197" s="6"/>
      <c r="F197" s="6"/>
      <c r="G197" s="6"/>
      <c r="H197" s="6"/>
      <c r="I197" s="6"/>
      <c r="J197" s="6"/>
      <c r="K197" s="6"/>
      <c r="L197" s="80"/>
      <c r="M197" s="80"/>
      <c r="N197" s="80"/>
      <c r="O197" s="80"/>
      <c r="P197" s="6"/>
      <c r="Q197" s="6"/>
      <c r="R197" s="6"/>
      <c r="S197" s="6"/>
      <c r="T197" s="6"/>
      <c r="U197" s="6"/>
      <c r="V197" s="6"/>
      <c r="W197" s="7"/>
      <c r="X197" s="7"/>
      <c r="Y197" s="7"/>
      <c r="Z197" s="7"/>
    </row>
    <row r="198">
      <c r="A198" s="6"/>
      <c r="B198" s="6"/>
      <c r="C198" s="6"/>
      <c r="D198" s="6"/>
      <c r="E198" s="6"/>
      <c r="F198" s="6"/>
      <c r="G198" s="6"/>
      <c r="H198" s="6"/>
      <c r="I198" s="6"/>
      <c r="J198" s="6"/>
      <c r="K198" s="6"/>
      <c r="L198" s="80"/>
      <c r="M198" s="80"/>
      <c r="N198" s="80"/>
      <c r="O198" s="80"/>
      <c r="P198" s="6"/>
      <c r="Q198" s="6"/>
      <c r="R198" s="6"/>
      <c r="S198" s="6"/>
      <c r="T198" s="6"/>
      <c r="U198" s="6"/>
      <c r="V198" s="6"/>
      <c r="W198" s="7"/>
      <c r="X198" s="7"/>
      <c r="Y198" s="7"/>
      <c r="Z198" s="7"/>
    </row>
    <row r="199">
      <c r="A199" s="6"/>
      <c r="B199" s="6"/>
      <c r="C199" s="6"/>
      <c r="D199" s="6"/>
      <c r="E199" s="6"/>
      <c r="F199" s="6"/>
      <c r="G199" s="6"/>
      <c r="H199" s="6"/>
      <c r="I199" s="6"/>
      <c r="J199" s="6"/>
      <c r="K199" s="6"/>
      <c r="L199" s="80"/>
      <c r="M199" s="80"/>
      <c r="N199" s="80"/>
      <c r="O199" s="80"/>
      <c r="P199" s="6"/>
      <c r="Q199" s="6"/>
      <c r="R199" s="6"/>
      <c r="S199" s="6"/>
      <c r="T199" s="6"/>
      <c r="U199" s="6"/>
      <c r="V199" s="6"/>
      <c r="W199" s="7"/>
      <c r="X199" s="7"/>
      <c r="Y199" s="7"/>
      <c r="Z199" s="7"/>
    </row>
    <row r="200">
      <c r="A200" s="6"/>
      <c r="B200" s="6"/>
      <c r="C200" s="6"/>
      <c r="D200" s="6"/>
      <c r="E200" s="6"/>
      <c r="F200" s="6"/>
      <c r="G200" s="6"/>
      <c r="H200" s="6"/>
      <c r="I200" s="6"/>
      <c r="J200" s="6"/>
      <c r="K200" s="6"/>
      <c r="L200" s="80"/>
      <c r="M200" s="80"/>
      <c r="N200" s="80"/>
      <c r="O200" s="80"/>
      <c r="P200" s="6"/>
      <c r="Q200" s="6"/>
      <c r="R200" s="6"/>
      <c r="S200" s="6"/>
      <c r="T200" s="6"/>
      <c r="U200" s="6"/>
      <c r="V200" s="6"/>
      <c r="W200" s="7"/>
      <c r="X200" s="7"/>
      <c r="Y200" s="7"/>
      <c r="Z200" s="7"/>
    </row>
    <row r="201">
      <c r="A201" s="6"/>
      <c r="B201" s="6"/>
      <c r="C201" s="6"/>
      <c r="D201" s="6"/>
      <c r="E201" s="6"/>
      <c r="F201" s="6"/>
      <c r="G201" s="6"/>
      <c r="H201" s="6"/>
      <c r="I201" s="6"/>
      <c r="J201" s="6"/>
      <c r="K201" s="6"/>
      <c r="L201" s="80"/>
      <c r="M201" s="80"/>
      <c r="N201" s="80"/>
      <c r="O201" s="80"/>
      <c r="P201" s="6"/>
      <c r="Q201" s="6"/>
      <c r="R201" s="6"/>
      <c r="S201" s="6"/>
      <c r="T201" s="6"/>
      <c r="U201" s="6"/>
      <c r="V201" s="6"/>
      <c r="W201" s="7"/>
      <c r="X201" s="7"/>
      <c r="Y201" s="7"/>
      <c r="Z201" s="7"/>
    </row>
    <row r="202">
      <c r="A202" s="6"/>
      <c r="B202" s="6"/>
      <c r="C202" s="6"/>
      <c r="D202" s="6"/>
      <c r="E202" s="6"/>
      <c r="F202" s="6"/>
      <c r="G202" s="6"/>
      <c r="H202" s="6"/>
      <c r="I202" s="6"/>
      <c r="J202" s="6"/>
      <c r="K202" s="6"/>
      <c r="L202" s="80"/>
      <c r="M202" s="80"/>
      <c r="N202" s="80"/>
      <c r="O202" s="80"/>
      <c r="P202" s="6"/>
      <c r="Q202" s="6"/>
      <c r="R202" s="6"/>
      <c r="S202" s="6"/>
      <c r="T202" s="6"/>
      <c r="U202" s="6"/>
      <c r="V202" s="6"/>
      <c r="W202" s="7"/>
      <c r="X202" s="7"/>
      <c r="Y202" s="7"/>
      <c r="Z202" s="7"/>
    </row>
    <row r="203">
      <c r="A203" s="6"/>
      <c r="B203" s="6"/>
      <c r="C203" s="6"/>
      <c r="D203" s="6"/>
      <c r="E203" s="6"/>
      <c r="F203" s="6"/>
      <c r="G203" s="6"/>
      <c r="H203" s="6"/>
      <c r="I203" s="6"/>
      <c r="J203" s="6"/>
      <c r="K203" s="6"/>
      <c r="L203" s="80"/>
      <c r="M203" s="80"/>
      <c r="N203" s="80"/>
      <c r="O203" s="80"/>
      <c r="P203" s="6"/>
      <c r="Q203" s="6"/>
      <c r="R203" s="6"/>
      <c r="S203" s="6"/>
      <c r="T203" s="6"/>
      <c r="U203" s="6"/>
      <c r="V203" s="6"/>
      <c r="W203" s="7"/>
      <c r="X203" s="7"/>
      <c r="Y203" s="7"/>
      <c r="Z203" s="7"/>
    </row>
    <row r="204">
      <c r="A204" s="6"/>
      <c r="B204" s="6"/>
      <c r="C204" s="6"/>
      <c r="D204" s="6"/>
      <c r="E204" s="6"/>
      <c r="F204" s="6"/>
      <c r="G204" s="6"/>
      <c r="H204" s="6"/>
      <c r="I204" s="6"/>
      <c r="J204" s="6"/>
      <c r="K204" s="6"/>
      <c r="L204" s="80"/>
      <c r="M204" s="80"/>
      <c r="N204" s="80"/>
      <c r="O204" s="80"/>
      <c r="P204" s="6"/>
      <c r="Q204" s="6"/>
      <c r="R204" s="6"/>
      <c r="S204" s="6"/>
      <c r="T204" s="6"/>
      <c r="U204" s="6"/>
      <c r="V204" s="6"/>
      <c r="W204" s="7"/>
      <c r="X204" s="7"/>
      <c r="Y204" s="7"/>
      <c r="Z204" s="7"/>
    </row>
    <row r="205">
      <c r="A205" s="6"/>
      <c r="B205" s="6"/>
      <c r="C205" s="6"/>
      <c r="D205" s="6"/>
      <c r="E205" s="6"/>
      <c r="F205" s="6"/>
      <c r="G205" s="6"/>
      <c r="H205" s="6"/>
      <c r="I205" s="6"/>
      <c r="J205" s="6"/>
      <c r="K205" s="6"/>
      <c r="L205" s="80"/>
      <c r="M205" s="80"/>
      <c r="N205" s="80"/>
      <c r="O205" s="80"/>
      <c r="P205" s="6"/>
      <c r="Q205" s="6"/>
      <c r="R205" s="6"/>
      <c r="S205" s="6"/>
      <c r="T205" s="6"/>
      <c r="U205" s="6"/>
      <c r="V205" s="6"/>
      <c r="W205" s="7"/>
      <c r="X205" s="7"/>
      <c r="Y205" s="7"/>
      <c r="Z205" s="7"/>
    </row>
    <row r="206">
      <c r="A206" s="6"/>
      <c r="B206" s="6"/>
      <c r="C206" s="6"/>
      <c r="D206" s="6"/>
      <c r="E206" s="6"/>
      <c r="F206" s="6"/>
      <c r="G206" s="6"/>
      <c r="H206" s="6"/>
      <c r="I206" s="6"/>
      <c r="J206" s="6"/>
      <c r="K206" s="6"/>
      <c r="L206" s="80"/>
      <c r="M206" s="80"/>
      <c r="N206" s="80"/>
      <c r="O206" s="80"/>
      <c r="P206" s="6"/>
      <c r="Q206" s="6"/>
      <c r="R206" s="6"/>
      <c r="S206" s="6"/>
      <c r="T206" s="6"/>
      <c r="U206" s="6"/>
      <c r="V206" s="6"/>
      <c r="W206" s="7"/>
      <c r="X206" s="7"/>
      <c r="Y206" s="7"/>
      <c r="Z206" s="7"/>
    </row>
    <row r="207">
      <c r="A207" s="6"/>
      <c r="B207" s="6"/>
      <c r="C207" s="6"/>
      <c r="D207" s="6"/>
      <c r="E207" s="6"/>
      <c r="F207" s="6"/>
      <c r="G207" s="6"/>
      <c r="H207" s="6"/>
      <c r="I207" s="6"/>
      <c r="J207" s="6"/>
      <c r="K207" s="6"/>
      <c r="L207" s="80"/>
      <c r="M207" s="80"/>
      <c r="N207" s="80"/>
      <c r="O207" s="80"/>
      <c r="P207" s="6"/>
      <c r="Q207" s="6"/>
      <c r="R207" s="6"/>
      <c r="S207" s="6"/>
      <c r="T207" s="6"/>
      <c r="U207" s="6"/>
      <c r="V207" s="6"/>
      <c r="W207" s="7"/>
      <c r="X207" s="7"/>
      <c r="Y207" s="7"/>
      <c r="Z207" s="7"/>
    </row>
    <row r="208">
      <c r="A208" s="6"/>
      <c r="B208" s="6"/>
      <c r="C208" s="6"/>
      <c r="D208" s="6"/>
      <c r="E208" s="6"/>
      <c r="F208" s="6"/>
      <c r="G208" s="6"/>
      <c r="H208" s="6"/>
      <c r="I208" s="6"/>
      <c r="J208" s="6"/>
      <c r="K208" s="6"/>
      <c r="L208" s="80"/>
      <c r="M208" s="80"/>
      <c r="N208" s="80"/>
      <c r="O208" s="80"/>
      <c r="P208" s="6"/>
      <c r="Q208" s="6"/>
      <c r="R208" s="6"/>
      <c r="S208" s="6"/>
      <c r="T208" s="6"/>
      <c r="U208" s="6"/>
      <c r="V208" s="6"/>
      <c r="W208" s="7"/>
      <c r="X208" s="7"/>
      <c r="Y208" s="7"/>
      <c r="Z208" s="7"/>
    </row>
    <row r="209">
      <c r="A209" s="6"/>
      <c r="B209" s="6"/>
      <c r="C209" s="6"/>
      <c r="D209" s="6"/>
      <c r="E209" s="6"/>
      <c r="F209" s="6"/>
      <c r="G209" s="6"/>
      <c r="H209" s="6"/>
      <c r="I209" s="6"/>
      <c r="J209" s="6"/>
      <c r="K209" s="6"/>
      <c r="L209" s="80"/>
      <c r="M209" s="80"/>
      <c r="N209" s="80"/>
      <c r="O209" s="80"/>
      <c r="P209" s="6"/>
      <c r="Q209" s="6"/>
      <c r="R209" s="6"/>
      <c r="S209" s="6"/>
      <c r="T209" s="6"/>
      <c r="U209" s="6"/>
      <c r="V209" s="6"/>
      <c r="W209" s="7"/>
      <c r="X209" s="7"/>
      <c r="Y209" s="7"/>
      <c r="Z209" s="7"/>
    </row>
    <row r="210">
      <c r="A210" s="6"/>
      <c r="B210" s="6"/>
      <c r="C210" s="6"/>
      <c r="D210" s="6"/>
      <c r="E210" s="6"/>
      <c r="F210" s="6"/>
      <c r="G210" s="6"/>
      <c r="H210" s="6"/>
      <c r="I210" s="6"/>
      <c r="J210" s="6"/>
      <c r="K210" s="6"/>
      <c r="L210" s="80"/>
      <c r="M210" s="80"/>
      <c r="N210" s="80"/>
      <c r="O210" s="80"/>
      <c r="P210" s="6"/>
      <c r="Q210" s="6"/>
      <c r="R210" s="6"/>
      <c r="S210" s="6"/>
      <c r="T210" s="6"/>
      <c r="U210" s="6"/>
      <c r="V210" s="6"/>
      <c r="W210" s="7"/>
      <c r="X210" s="7"/>
      <c r="Y210" s="7"/>
      <c r="Z210" s="7"/>
    </row>
    <row r="211">
      <c r="A211" s="6"/>
      <c r="B211" s="6"/>
      <c r="C211" s="6"/>
      <c r="D211" s="6"/>
      <c r="E211" s="6"/>
      <c r="F211" s="6"/>
      <c r="G211" s="6"/>
      <c r="H211" s="6"/>
      <c r="I211" s="6"/>
      <c r="J211" s="6"/>
      <c r="K211" s="6"/>
      <c r="L211" s="80"/>
      <c r="M211" s="80"/>
      <c r="N211" s="80"/>
      <c r="O211" s="80"/>
      <c r="P211" s="6"/>
      <c r="Q211" s="6"/>
      <c r="R211" s="6"/>
      <c r="S211" s="6"/>
      <c r="T211" s="6"/>
      <c r="U211" s="6"/>
      <c r="V211" s="6"/>
      <c r="W211" s="7"/>
      <c r="X211" s="7"/>
      <c r="Y211" s="7"/>
      <c r="Z211" s="7"/>
    </row>
    <row r="212">
      <c r="A212" s="6"/>
      <c r="B212" s="6"/>
      <c r="C212" s="6"/>
      <c r="D212" s="6"/>
      <c r="E212" s="6"/>
      <c r="F212" s="6"/>
      <c r="G212" s="6"/>
      <c r="H212" s="6"/>
      <c r="I212" s="6"/>
      <c r="J212" s="6"/>
      <c r="K212" s="6"/>
      <c r="L212" s="80"/>
      <c r="M212" s="80"/>
      <c r="N212" s="80"/>
      <c r="O212" s="80"/>
      <c r="P212" s="6"/>
      <c r="Q212" s="6"/>
      <c r="R212" s="6"/>
      <c r="S212" s="6"/>
      <c r="T212" s="6"/>
      <c r="U212" s="6"/>
      <c r="V212" s="6"/>
      <c r="W212" s="7"/>
      <c r="X212" s="7"/>
      <c r="Y212" s="7"/>
      <c r="Z212" s="7"/>
    </row>
    <row r="213">
      <c r="A213" s="6"/>
      <c r="B213" s="6"/>
      <c r="C213" s="6"/>
      <c r="D213" s="6"/>
      <c r="E213" s="6"/>
      <c r="F213" s="6"/>
      <c r="G213" s="6"/>
      <c r="H213" s="6"/>
      <c r="I213" s="6"/>
      <c r="J213" s="6"/>
      <c r="K213" s="6"/>
      <c r="L213" s="80"/>
      <c r="M213" s="80"/>
      <c r="N213" s="80"/>
      <c r="O213" s="80"/>
      <c r="P213" s="6"/>
      <c r="Q213" s="6"/>
      <c r="R213" s="6"/>
      <c r="S213" s="6"/>
      <c r="T213" s="6"/>
      <c r="U213" s="6"/>
      <c r="V213" s="6"/>
      <c r="W213" s="7"/>
      <c r="X213" s="7"/>
      <c r="Y213" s="7"/>
      <c r="Z213" s="7"/>
    </row>
    <row r="214">
      <c r="A214" s="6"/>
      <c r="B214" s="6"/>
      <c r="C214" s="6"/>
      <c r="D214" s="6"/>
      <c r="E214" s="6"/>
      <c r="F214" s="6"/>
      <c r="G214" s="6"/>
      <c r="H214" s="6"/>
      <c r="I214" s="6"/>
      <c r="J214" s="6"/>
      <c r="K214" s="6"/>
      <c r="L214" s="80"/>
      <c r="M214" s="80"/>
      <c r="N214" s="80"/>
      <c r="O214" s="80"/>
      <c r="P214" s="6"/>
      <c r="Q214" s="6"/>
      <c r="R214" s="6"/>
      <c r="S214" s="6"/>
      <c r="T214" s="6"/>
      <c r="U214" s="6"/>
      <c r="V214" s="6"/>
      <c r="W214" s="7"/>
      <c r="X214" s="7"/>
      <c r="Y214" s="7"/>
      <c r="Z214" s="7"/>
    </row>
    <row r="215">
      <c r="A215" s="6"/>
      <c r="B215" s="6"/>
      <c r="C215" s="6"/>
      <c r="D215" s="6"/>
      <c r="E215" s="6"/>
      <c r="F215" s="6"/>
      <c r="G215" s="6"/>
      <c r="H215" s="6"/>
      <c r="I215" s="6"/>
      <c r="J215" s="6"/>
      <c r="K215" s="6"/>
      <c r="L215" s="80"/>
      <c r="M215" s="80"/>
      <c r="N215" s="80"/>
      <c r="O215" s="80"/>
      <c r="P215" s="6"/>
      <c r="Q215" s="6"/>
      <c r="R215" s="6"/>
      <c r="S215" s="6"/>
      <c r="T215" s="6"/>
      <c r="U215" s="6"/>
      <c r="V215" s="6"/>
      <c r="W215" s="7"/>
      <c r="X215" s="7"/>
      <c r="Y215" s="7"/>
      <c r="Z215" s="7"/>
    </row>
    <row r="216">
      <c r="A216" s="6"/>
      <c r="B216" s="6"/>
      <c r="C216" s="6"/>
      <c r="D216" s="6"/>
      <c r="E216" s="6"/>
      <c r="F216" s="6"/>
      <c r="G216" s="6"/>
      <c r="H216" s="6"/>
      <c r="I216" s="6"/>
      <c r="J216" s="6"/>
      <c r="K216" s="6"/>
      <c r="L216" s="80"/>
      <c r="M216" s="80"/>
      <c r="N216" s="80"/>
      <c r="O216" s="80"/>
      <c r="P216" s="6"/>
      <c r="Q216" s="6"/>
      <c r="R216" s="6"/>
      <c r="S216" s="6"/>
      <c r="T216" s="6"/>
      <c r="U216" s="6"/>
      <c r="V216" s="6"/>
      <c r="W216" s="7"/>
      <c r="X216" s="7"/>
      <c r="Y216" s="7"/>
      <c r="Z216" s="7"/>
    </row>
    <row r="217">
      <c r="A217" s="6"/>
      <c r="B217" s="6"/>
      <c r="C217" s="6"/>
      <c r="D217" s="6"/>
      <c r="E217" s="6"/>
      <c r="F217" s="6"/>
      <c r="G217" s="6"/>
      <c r="H217" s="6"/>
      <c r="I217" s="6"/>
      <c r="J217" s="6"/>
      <c r="K217" s="6"/>
      <c r="L217" s="80"/>
      <c r="M217" s="80"/>
      <c r="N217" s="80"/>
      <c r="O217" s="80"/>
      <c r="P217" s="6"/>
      <c r="Q217" s="6"/>
      <c r="R217" s="6"/>
      <c r="S217" s="6"/>
      <c r="T217" s="6"/>
      <c r="U217" s="6"/>
      <c r="V217" s="6"/>
      <c r="W217" s="7"/>
      <c r="X217" s="7"/>
      <c r="Y217" s="7"/>
      <c r="Z217" s="7"/>
    </row>
    <row r="218">
      <c r="A218" s="6"/>
      <c r="B218" s="6"/>
      <c r="C218" s="6"/>
      <c r="D218" s="6"/>
      <c r="E218" s="6"/>
      <c r="F218" s="6"/>
      <c r="G218" s="6"/>
      <c r="H218" s="6"/>
      <c r="I218" s="6"/>
      <c r="J218" s="6"/>
      <c r="K218" s="6"/>
      <c r="L218" s="80"/>
      <c r="M218" s="80"/>
      <c r="N218" s="80"/>
      <c r="O218" s="80"/>
      <c r="P218" s="6"/>
      <c r="Q218" s="6"/>
      <c r="R218" s="6"/>
      <c r="S218" s="6"/>
      <c r="T218" s="6"/>
      <c r="U218" s="6"/>
      <c r="V218" s="6"/>
      <c r="W218" s="7"/>
      <c r="X218" s="7"/>
      <c r="Y218" s="7"/>
      <c r="Z218" s="7"/>
    </row>
    <row r="219">
      <c r="A219" s="6"/>
      <c r="B219" s="6"/>
      <c r="C219" s="6"/>
      <c r="D219" s="6"/>
      <c r="E219" s="6"/>
      <c r="F219" s="6"/>
      <c r="G219" s="6"/>
      <c r="H219" s="6"/>
      <c r="I219" s="6"/>
      <c r="J219" s="6"/>
      <c r="K219" s="6"/>
      <c r="L219" s="80"/>
      <c r="M219" s="80"/>
      <c r="N219" s="80"/>
      <c r="O219" s="80"/>
      <c r="P219" s="6"/>
      <c r="Q219" s="6"/>
      <c r="R219" s="6"/>
      <c r="S219" s="6"/>
      <c r="T219" s="6"/>
      <c r="U219" s="6"/>
      <c r="V219" s="6"/>
      <c r="W219" s="7"/>
      <c r="X219" s="7"/>
      <c r="Y219" s="7"/>
      <c r="Z219" s="7"/>
    </row>
    <row r="220">
      <c r="A220" s="6"/>
      <c r="B220" s="6"/>
      <c r="C220" s="6"/>
      <c r="D220" s="6"/>
      <c r="E220" s="6"/>
      <c r="F220" s="6"/>
      <c r="G220" s="6"/>
      <c r="H220" s="6"/>
      <c r="I220" s="6"/>
      <c r="J220" s="6"/>
      <c r="K220" s="6"/>
      <c r="L220" s="80"/>
      <c r="M220" s="80"/>
      <c r="N220" s="80"/>
      <c r="O220" s="80"/>
      <c r="P220" s="6"/>
      <c r="Q220" s="6"/>
      <c r="R220" s="6"/>
      <c r="S220" s="6"/>
      <c r="T220" s="6"/>
      <c r="U220" s="6"/>
      <c r="V220" s="6"/>
      <c r="W220" s="7"/>
      <c r="X220" s="7"/>
      <c r="Y220" s="7"/>
      <c r="Z220" s="7"/>
    </row>
    <row r="221">
      <c r="A221" s="6"/>
      <c r="B221" s="6"/>
      <c r="C221" s="6"/>
      <c r="D221" s="6"/>
      <c r="E221" s="6"/>
      <c r="F221" s="6"/>
      <c r="G221" s="6"/>
      <c r="H221" s="6"/>
      <c r="I221" s="6"/>
      <c r="J221" s="6"/>
      <c r="K221" s="6"/>
      <c r="L221" s="80"/>
      <c r="M221" s="80"/>
      <c r="N221" s="80"/>
      <c r="O221" s="80"/>
      <c r="P221" s="6"/>
      <c r="Q221" s="6"/>
      <c r="R221" s="6"/>
      <c r="S221" s="6"/>
      <c r="T221" s="6"/>
      <c r="U221" s="6"/>
      <c r="V221" s="6"/>
      <c r="W221" s="7"/>
      <c r="X221" s="7"/>
      <c r="Y221" s="7"/>
      <c r="Z221" s="7"/>
    </row>
    <row r="222">
      <c r="A222" s="6"/>
      <c r="B222" s="6"/>
      <c r="C222" s="6"/>
      <c r="D222" s="6"/>
      <c r="E222" s="6"/>
      <c r="F222" s="6"/>
      <c r="G222" s="6"/>
      <c r="H222" s="6"/>
      <c r="I222" s="6"/>
      <c r="J222" s="6"/>
      <c r="K222" s="6"/>
      <c r="L222" s="80"/>
      <c r="M222" s="80"/>
      <c r="N222" s="80"/>
      <c r="O222" s="80"/>
      <c r="P222" s="6"/>
      <c r="Q222" s="6"/>
      <c r="R222" s="6"/>
      <c r="S222" s="6"/>
      <c r="T222" s="6"/>
      <c r="U222" s="6"/>
      <c r="V222" s="6"/>
      <c r="W222" s="7"/>
      <c r="X222" s="7"/>
      <c r="Y222" s="7"/>
      <c r="Z222" s="7"/>
    </row>
    <row r="223">
      <c r="A223" s="6"/>
      <c r="B223" s="6"/>
      <c r="C223" s="6"/>
      <c r="D223" s="6"/>
      <c r="E223" s="6"/>
      <c r="F223" s="6"/>
      <c r="G223" s="6"/>
      <c r="H223" s="6"/>
      <c r="I223" s="6"/>
      <c r="J223" s="6"/>
      <c r="K223" s="6"/>
      <c r="L223" s="80"/>
      <c r="M223" s="80"/>
      <c r="N223" s="80"/>
      <c r="O223" s="80"/>
      <c r="P223" s="6"/>
      <c r="Q223" s="6"/>
      <c r="R223" s="6"/>
      <c r="S223" s="6"/>
      <c r="T223" s="6"/>
      <c r="U223" s="6"/>
      <c r="V223" s="6"/>
      <c r="W223" s="7"/>
      <c r="X223" s="7"/>
      <c r="Y223" s="7"/>
      <c r="Z223" s="7"/>
    </row>
    <row r="224">
      <c r="A224" s="6"/>
      <c r="B224" s="6"/>
      <c r="C224" s="6"/>
      <c r="D224" s="6"/>
      <c r="E224" s="6"/>
      <c r="F224" s="6"/>
      <c r="G224" s="6"/>
      <c r="H224" s="6"/>
      <c r="I224" s="6"/>
      <c r="J224" s="6"/>
      <c r="K224" s="6"/>
      <c r="L224" s="80"/>
      <c r="M224" s="80"/>
      <c r="N224" s="80"/>
      <c r="O224" s="80"/>
      <c r="P224" s="6"/>
      <c r="Q224" s="6"/>
      <c r="R224" s="6"/>
      <c r="S224" s="6"/>
      <c r="T224" s="6"/>
      <c r="U224" s="6"/>
      <c r="V224" s="6"/>
      <c r="W224" s="7"/>
      <c r="X224" s="7"/>
      <c r="Y224" s="7"/>
      <c r="Z224" s="7"/>
    </row>
    <row r="225">
      <c r="A225" s="6"/>
      <c r="B225" s="6"/>
      <c r="C225" s="6"/>
      <c r="D225" s="6"/>
      <c r="E225" s="6"/>
      <c r="F225" s="6"/>
      <c r="G225" s="6"/>
      <c r="H225" s="6"/>
      <c r="I225" s="6"/>
      <c r="J225" s="6"/>
      <c r="K225" s="6"/>
      <c r="L225" s="80"/>
      <c r="M225" s="80"/>
      <c r="N225" s="80"/>
      <c r="O225" s="80"/>
      <c r="P225" s="6"/>
      <c r="Q225" s="6"/>
      <c r="R225" s="6"/>
      <c r="S225" s="6"/>
      <c r="T225" s="6"/>
      <c r="U225" s="6"/>
      <c r="V225" s="6"/>
      <c r="W225" s="7"/>
      <c r="X225" s="7"/>
      <c r="Y225" s="7"/>
      <c r="Z225" s="7"/>
    </row>
    <row r="226">
      <c r="A226" s="6"/>
      <c r="B226" s="6"/>
      <c r="C226" s="6"/>
      <c r="D226" s="6"/>
      <c r="E226" s="6"/>
      <c r="F226" s="6"/>
      <c r="G226" s="6"/>
      <c r="H226" s="6"/>
      <c r="I226" s="6"/>
      <c r="J226" s="6"/>
      <c r="K226" s="6"/>
      <c r="L226" s="80"/>
      <c r="M226" s="80"/>
      <c r="N226" s="80"/>
      <c r="O226" s="80"/>
      <c r="P226" s="6"/>
      <c r="Q226" s="6"/>
      <c r="R226" s="6"/>
      <c r="S226" s="6"/>
      <c r="T226" s="6"/>
      <c r="U226" s="6"/>
      <c r="V226" s="6"/>
      <c r="W226" s="7"/>
      <c r="X226" s="7"/>
      <c r="Y226" s="7"/>
      <c r="Z226" s="7"/>
    </row>
    <row r="227">
      <c r="A227" s="6"/>
      <c r="B227" s="6"/>
      <c r="C227" s="6"/>
      <c r="D227" s="6"/>
      <c r="E227" s="6"/>
      <c r="F227" s="6"/>
      <c r="G227" s="6"/>
      <c r="H227" s="6"/>
      <c r="I227" s="6"/>
      <c r="J227" s="6"/>
      <c r="K227" s="6"/>
      <c r="L227" s="80"/>
      <c r="M227" s="80"/>
      <c r="N227" s="80"/>
      <c r="O227" s="80"/>
      <c r="P227" s="6"/>
      <c r="Q227" s="6"/>
      <c r="R227" s="6"/>
      <c r="S227" s="6"/>
      <c r="T227" s="6"/>
      <c r="U227" s="6"/>
      <c r="V227" s="6"/>
      <c r="W227" s="7"/>
      <c r="X227" s="7"/>
      <c r="Y227" s="7"/>
      <c r="Z227" s="7"/>
    </row>
    <row r="228">
      <c r="A228" s="6"/>
      <c r="B228" s="6"/>
      <c r="C228" s="6"/>
      <c r="D228" s="6"/>
      <c r="E228" s="6"/>
      <c r="F228" s="6"/>
      <c r="G228" s="6"/>
      <c r="H228" s="6"/>
      <c r="I228" s="6"/>
      <c r="J228" s="6"/>
      <c r="K228" s="6"/>
      <c r="L228" s="80"/>
      <c r="M228" s="80"/>
      <c r="N228" s="80"/>
      <c r="O228" s="80"/>
      <c r="P228" s="6"/>
      <c r="Q228" s="6"/>
      <c r="R228" s="6"/>
      <c r="S228" s="6"/>
      <c r="T228" s="6"/>
      <c r="U228" s="6"/>
      <c r="V228" s="6"/>
      <c r="W228" s="7"/>
      <c r="X228" s="7"/>
      <c r="Y228" s="7"/>
      <c r="Z228" s="7"/>
    </row>
    <row r="229">
      <c r="A229" s="6"/>
      <c r="B229" s="6"/>
      <c r="C229" s="6"/>
      <c r="D229" s="6"/>
      <c r="E229" s="6"/>
      <c r="F229" s="6"/>
      <c r="G229" s="6"/>
      <c r="H229" s="6"/>
      <c r="I229" s="6"/>
      <c r="J229" s="6"/>
      <c r="K229" s="6"/>
      <c r="L229" s="80"/>
      <c r="M229" s="80"/>
      <c r="N229" s="80"/>
      <c r="O229" s="80"/>
      <c r="P229" s="6"/>
      <c r="Q229" s="6"/>
      <c r="R229" s="6"/>
      <c r="S229" s="6"/>
      <c r="T229" s="6"/>
      <c r="U229" s="6"/>
      <c r="V229" s="6"/>
      <c r="W229" s="7"/>
      <c r="X229" s="7"/>
      <c r="Y229" s="7"/>
      <c r="Z229" s="7"/>
    </row>
    <row r="230">
      <c r="A230" s="6"/>
      <c r="B230" s="6"/>
      <c r="C230" s="6"/>
      <c r="D230" s="6"/>
      <c r="E230" s="6"/>
      <c r="F230" s="6"/>
      <c r="G230" s="6"/>
      <c r="H230" s="6"/>
      <c r="I230" s="6"/>
      <c r="J230" s="6"/>
      <c r="K230" s="6"/>
      <c r="L230" s="80"/>
      <c r="M230" s="80"/>
      <c r="N230" s="80"/>
      <c r="O230" s="80"/>
      <c r="P230" s="6"/>
      <c r="Q230" s="6"/>
      <c r="R230" s="6"/>
      <c r="S230" s="6"/>
      <c r="T230" s="6"/>
      <c r="U230" s="6"/>
      <c r="V230" s="6"/>
      <c r="W230" s="7"/>
      <c r="X230" s="7"/>
      <c r="Y230" s="7"/>
      <c r="Z230" s="7"/>
    </row>
    <row r="231">
      <c r="A231" s="6"/>
      <c r="B231" s="6"/>
      <c r="C231" s="6"/>
      <c r="D231" s="6"/>
      <c r="E231" s="6"/>
      <c r="F231" s="6"/>
      <c r="G231" s="6"/>
      <c r="H231" s="6"/>
      <c r="I231" s="6"/>
      <c r="J231" s="6"/>
      <c r="K231" s="6"/>
      <c r="L231" s="80"/>
      <c r="M231" s="80"/>
      <c r="N231" s="80"/>
      <c r="O231" s="80"/>
      <c r="P231" s="6"/>
      <c r="Q231" s="6"/>
      <c r="R231" s="6"/>
      <c r="S231" s="6"/>
      <c r="T231" s="6"/>
      <c r="U231" s="6"/>
      <c r="V231" s="6"/>
      <c r="W231" s="7"/>
      <c r="X231" s="7"/>
      <c r="Y231" s="7"/>
      <c r="Z231" s="7"/>
    </row>
    <row r="232">
      <c r="A232" s="6"/>
      <c r="B232" s="6"/>
      <c r="C232" s="6"/>
      <c r="D232" s="6"/>
      <c r="E232" s="6"/>
      <c r="F232" s="6"/>
      <c r="G232" s="6"/>
      <c r="H232" s="6"/>
      <c r="I232" s="6"/>
      <c r="J232" s="6"/>
      <c r="K232" s="6"/>
      <c r="L232" s="80"/>
      <c r="M232" s="80"/>
      <c r="N232" s="80"/>
      <c r="O232" s="80"/>
      <c r="P232" s="6"/>
      <c r="Q232" s="6"/>
      <c r="R232" s="6"/>
      <c r="S232" s="6"/>
      <c r="T232" s="6"/>
      <c r="U232" s="6"/>
      <c r="V232" s="6"/>
      <c r="W232" s="7"/>
      <c r="X232" s="7"/>
      <c r="Y232" s="7"/>
      <c r="Z232" s="7"/>
    </row>
    <row r="233">
      <c r="A233" s="6"/>
      <c r="B233" s="6"/>
      <c r="C233" s="6"/>
      <c r="D233" s="6"/>
      <c r="E233" s="6"/>
      <c r="F233" s="6"/>
      <c r="G233" s="6"/>
      <c r="H233" s="6"/>
      <c r="I233" s="6"/>
      <c r="J233" s="6"/>
      <c r="K233" s="6"/>
      <c r="L233" s="80"/>
      <c r="M233" s="80"/>
      <c r="N233" s="80"/>
      <c r="O233" s="80"/>
      <c r="P233" s="6"/>
      <c r="Q233" s="6"/>
      <c r="R233" s="6"/>
      <c r="S233" s="6"/>
      <c r="T233" s="6"/>
      <c r="U233" s="6"/>
      <c r="V233" s="6"/>
      <c r="W233" s="7"/>
      <c r="X233" s="7"/>
      <c r="Y233" s="7"/>
      <c r="Z233" s="7"/>
    </row>
    <row r="234">
      <c r="A234" s="6"/>
      <c r="B234" s="6"/>
      <c r="C234" s="6"/>
      <c r="D234" s="6"/>
      <c r="E234" s="6"/>
      <c r="F234" s="6"/>
      <c r="G234" s="6"/>
      <c r="H234" s="6"/>
      <c r="I234" s="6"/>
      <c r="J234" s="6"/>
      <c r="K234" s="6"/>
      <c r="L234" s="80"/>
      <c r="M234" s="80"/>
      <c r="N234" s="80"/>
      <c r="O234" s="80"/>
      <c r="P234" s="6"/>
      <c r="Q234" s="6"/>
      <c r="R234" s="6"/>
      <c r="S234" s="6"/>
      <c r="T234" s="6"/>
      <c r="U234" s="6"/>
      <c r="V234" s="6"/>
      <c r="W234" s="7"/>
      <c r="X234" s="7"/>
      <c r="Y234" s="7"/>
      <c r="Z234" s="7"/>
    </row>
    <row r="235">
      <c r="A235" s="6"/>
      <c r="B235" s="6"/>
      <c r="C235" s="6"/>
      <c r="D235" s="6"/>
      <c r="E235" s="6"/>
      <c r="F235" s="6"/>
      <c r="G235" s="6"/>
      <c r="H235" s="6"/>
      <c r="I235" s="6"/>
      <c r="J235" s="6"/>
      <c r="K235" s="6"/>
      <c r="L235" s="80"/>
      <c r="M235" s="80"/>
      <c r="N235" s="80"/>
      <c r="O235" s="80"/>
      <c r="P235" s="6"/>
      <c r="Q235" s="6"/>
      <c r="R235" s="6"/>
      <c r="S235" s="6"/>
      <c r="T235" s="6"/>
      <c r="U235" s="6"/>
      <c r="V235" s="6"/>
      <c r="W235" s="7"/>
      <c r="X235" s="7"/>
      <c r="Y235" s="7"/>
      <c r="Z235" s="7"/>
    </row>
    <row r="236">
      <c r="A236" s="6"/>
      <c r="B236" s="6"/>
      <c r="C236" s="6"/>
      <c r="D236" s="6"/>
      <c r="E236" s="6"/>
      <c r="F236" s="6"/>
      <c r="G236" s="6"/>
      <c r="H236" s="6"/>
      <c r="I236" s="6"/>
      <c r="J236" s="6"/>
      <c r="K236" s="6"/>
      <c r="L236" s="80"/>
      <c r="M236" s="80"/>
      <c r="N236" s="80"/>
      <c r="O236" s="80"/>
      <c r="P236" s="6"/>
      <c r="Q236" s="6"/>
      <c r="R236" s="6"/>
      <c r="S236" s="6"/>
      <c r="T236" s="6"/>
      <c r="U236" s="6"/>
      <c r="V236" s="6"/>
      <c r="W236" s="7"/>
      <c r="X236" s="7"/>
      <c r="Y236" s="7"/>
      <c r="Z236" s="7"/>
    </row>
    <row r="237">
      <c r="A237" s="6"/>
      <c r="B237" s="6"/>
      <c r="C237" s="6"/>
      <c r="D237" s="6"/>
      <c r="E237" s="6"/>
      <c r="F237" s="6"/>
      <c r="G237" s="6"/>
      <c r="H237" s="6"/>
      <c r="I237" s="6"/>
      <c r="J237" s="6"/>
      <c r="K237" s="6"/>
      <c r="L237" s="80"/>
      <c r="M237" s="80"/>
      <c r="N237" s="80"/>
      <c r="O237" s="80"/>
      <c r="P237" s="6"/>
      <c r="Q237" s="6"/>
      <c r="R237" s="6"/>
      <c r="S237" s="6"/>
      <c r="T237" s="6"/>
      <c r="U237" s="6"/>
      <c r="V237" s="6"/>
      <c r="W237" s="7"/>
      <c r="X237" s="7"/>
      <c r="Y237" s="7"/>
      <c r="Z237" s="7"/>
    </row>
    <row r="238">
      <c r="A238" s="6"/>
      <c r="B238" s="6"/>
      <c r="C238" s="6"/>
      <c r="D238" s="6"/>
      <c r="E238" s="6"/>
      <c r="F238" s="6"/>
      <c r="G238" s="6"/>
      <c r="H238" s="6"/>
      <c r="I238" s="6"/>
      <c r="J238" s="6"/>
      <c r="K238" s="6"/>
      <c r="L238" s="80"/>
      <c r="M238" s="80"/>
      <c r="N238" s="80"/>
      <c r="O238" s="80"/>
      <c r="P238" s="6"/>
      <c r="Q238" s="6"/>
      <c r="R238" s="6"/>
      <c r="S238" s="6"/>
      <c r="T238" s="6"/>
      <c r="U238" s="6"/>
      <c r="V238" s="6"/>
      <c r="W238" s="7"/>
      <c r="X238" s="7"/>
      <c r="Y238" s="7"/>
      <c r="Z238" s="7"/>
    </row>
    <row r="239">
      <c r="A239" s="6"/>
      <c r="B239" s="6"/>
      <c r="C239" s="6"/>
      <c r="D239" s="6"/>
      <c r="E239" s="6"/>
      <c r="F239" s="6"/>
      <c r="G239" s="6"/>
      <c r="H239" s="6"/>
      <c r="I239" s="6"/>
      <c r="J239" s="6"/>
      <c r="K239" s="6"/>
      <c r="L239" s="80"/>
      <c r="M239" s="80"/>
      <c r="N239" s="80"/>
      <c r="O239" s="80"/>
      <c r="P239" s="6"/>
      <c r="Q239" s="6"/>
      <c r="R239" s="6"/>
      <c r="S239" s="6"/>
      <c r="T239" s="6"/>
      <c r="U239" s="6"/>
      <c r="V239" s="6"/>
      <c r="W239" s="7"/>
      <c r="X239" s="7"/>
      <c r="Y239" s="7"/>
      <c r="Z239" s="7"/>
    </row>
    <row r="240">
      <c r="A240" s="6"/>
      <c r="B240" s="6"/>
      <c r="C240" s="6"/>
      <c r="D240" s="6"/>
      <c r="E240" s="6"/>
      <c r="F240" s="6"/>
      <c r="G240" s="6"/>
      <c r="H240" s="6"/>
      <c r="I240" s="6"/>
      <c r="J240" s="6"/>
      <c r="K240" s="6"/>
      <c r="L240" s="80"/>
      <c r="M240" s="80"/>
      <c r="N240" s="80"/>
      <c r="O240" s="80"/>
      <c r="P240" s="6"/>
      <c r="Q240" s="6"/>
      <c r="R240" s="6"/>
      <c r="S240" s="6"/>
      <c r="T240" s="6"/>
      <c r="U240" s="6"/>
      <c r="V240" s="6"/>
      <c r="W240" s="7"/>
      <c r="X240" s="7"/>
      <c r="Y240" s="7"/>
      <c r="Z240" s="7"/>
    </row>
    <row r="241">
      <c r="A241" s="6"/>
      <c r="B241" s="6"/>
      <c r="C241" s="6"/>
      <c r="D241" s="6"/>
      <c r="E241" s="6"/>
      <c r="F241" s="6"/>
      <c r="G241" s="6"/>
      <c r="H241" s="6"/>
      <c r="I241" s="6"/>
      <c r="J241" s="6"/>
      <c r="K241" s="6"/>
      <c r="L241" s="80"/>
      <c r="M241" s="80"/>
      <c r="N241" s="80"/>
      <c r="O241" s="80"/>
      <c r="P241" s="6"/>
      <c r="Q241" s="6"/>
      <c r="R241" s="6"/>
      <c r="S241" s="6"/>
      <c r="T241" s="6"/>
      <c r="U241" s="6"/>
      <c r="V241" s="6"/>
      <c r="W241" s="7"/>
      <c r="X241" s="7"/>
      <c r="Y241" s="7"/>
      <c r="Z241" s="7"/>
    </row>
    <row r="242">
      <c r="A242" s="6"/>
      <c r="B242" s="6"/>
      <c r="C242" s="6"/>
      <c r="D242" s="6"/>
      <c r="E242" s="6"/>
      <c r="F242" s="6"/>
      <c r="G242" s="6"/>
      <c r="H242" s="6"/>
      <c r="I242" s="6"/>
      <c r="J242" s="6"/>
      <c r="K242" s="6"/>
      <c r="L242" s="80"/>
      <c r="M242" s="80"/>
      <c r="N242" s="80"/>
      <c r="O242" s="80"/>
      <c r="P242" s="6"/>
      <c r="Q242" s="6"/>
      <c r="R242" s="6"/>
      <c r="S242" s="6"/>
      <c r="T242" s="6"/>
      <c r="U242" s="6"/>
      <c r="V242" s="6"/>
      <c r="W242" s="7"/>
      <c r="X242" s="7"/>
      <c r="Y242" s="7"/>
      <c r="Z242" s="7"/>
    </row>
    <row r="243">
      <c r="A243" s="6"/>
      <c r="B243" s="6"/>
      <c r="C243" s="6"/>
      <c r="D243" s="6"/>
      <c r="E243" s="6"/>
      <c r="F243" s="6"/>
      <c r="G243" s="6"/>
      <c r="H243" s="6"/>
      <c r="I243" s="6"/>
      <c r="J243" s="6"/>
      <c r="K243" s="6"/>
      <c r="L243" s="80"/>
      <c r="M243" s="80"/>
      <c r="N243" s="80"/>
      <c r="O243" s="80"/>
      <c r="P243" s="6"/>
      <c r="Q243" s="6"/>
      <c r="R243" s="6"/>
      <c r="S243" s="6"/>
      <c r="T243" s="6"/>
      <c r="U243" s="6"/>
      <c r="V243" s="6"/>
      <c r="W243" s="7"/>
      <c r="X243" s="7"/>
      <c r="Y243" s="7"/>
      <c r="Z243" s="7"/>
    </row>
    <row r="244">
      <c r="A244" s="6"/>
      <c r="B244" s="6"/>
      <c r="C244" s="6"/>
      <c r="D244" s="6"/>
      <c r="E244" s="6"/>
      <c r="F244" s="6"/>
      <c r="G244" s="6"/>
      <c r="H244" s="6"/>
      <c r="I244" s="6"/>
      <c r="J244" s="6"/>
      <c r="K244" s="6"/>
      <c r="L244" s="80"/>
      <c r="M244" s="80"/>
      <c r="N244" s="80"/>
      <c r="O244" s="80"/>
      <c r="P244" s="6"/>
      <c r="Q244" s="6"/>
      <c r="R244" s="6"/>
      <c r="S244" s="6"/>
      <c r="T244" s="6"/>
      <c r="U244" s="6"/>
      <c r="V244" s="6"/>
      <c r="W244" s="7"/>
      <c r="X244" s="7"/>
      <c r="Y244" s="7"/>
      <c r="Z244" s="7"/>
    </row>
    <row r="245">
      <c r="A245" s="6"/>
      <c r="B245" s="6"/>
      <c r="C245" s="6"/>
      <c r="D245" s="6"/>
      <c r="E245" s="6"/>
      <c r="F245" s="6"/>
      <c r="G245" s="6"/>
      <c r="H245" s="6"/>
      <c r="I245" s="6"/>
      <c r="J245" s="6"/>
      <c r="K245" s="6"/>
      <c r="L245" s="80"/>
      <c r="M245" s="80"/>
      <c r="N245" s="80"/>
      <c r="O245" s="80"/>
      <c r="P245" s="6"/>
      <c r="Q245" s="6"/>
      <c r="R245" s="6"/>
      <c r="S245" s="6"/>
      <c r="T245" s="6"/>
      <c r="U245" s="6"/>
      <c r="V245" s="6"/>
      <c r="W245" s="7"/>
      <c r="X245" s="7"/>
      <c r="Y245" s="7"/>
      <c r="Z245" s="7"/>
    </row>
    <row r="246">
      <c r="A246" s="6"/>
      <c r="B246" s="6"/>
      <c r="C246" s="6"/>
      <c r="D246" s="6"/>
      <c r="E246" s="6"/>
      <c r="F246" s="6"/>
      <c r="G246" s="6"/>
      <c r="H246" s="6"/>
      <c r="I246" s="6"/>
      <c r="J246" s="6"/>
      <c r="K246" s="6"/>
      <c r="L246" s="80"/>
      <c r="M246" s="80"/>
      <c r="N246" s="80"/>
      <c r="O246" s="80"/>
      <c r="P246" s="6"/>
      <c r="Q246" s="6"/>
      <c r="R246" s="6"/>
      <c r="S246" s="6"/>
      <c r="T246" s="6"/>
      <c r="U246" s="6"/>
      <c r="V246" s="6"/>
      <c r="W246" s="7"/>
      <c r="X246" s="7"/>
      <c r="Y246" s="7"/>
      <c r="Z246" s="7"/>
    </row>
    <row r="247">
      <c r="A247" s="6"/>
      <c r="B247" s="6"/>
      <c r="C247" s="6"/>
      <c r="D247" s="6"/>
      <c r="E247" s="6"/>
      <c r="F247" s="6"/>
      <c r="G247" s="6"/>
      <c r="H247" s="6"/>
      <c r="I247" s="6"/>
      <c r="J247" s="6"/>
      <c r="K247" s="6"/>
      <c r="L247" s="80"/>
      <c r="M247" s="80"/>
      <c r="N247" s="80"/>
      <c r="O247" s="80"/>
      <c r="P247" s="6"/>
      <c r="Q247" s="6"/>
      <c r="R247" s="6"/>
      <c r="S247" s="6"/>
      <c r="T247" s="6"/>
      <c r="U247" s="6"/>
      <c r="V247" s="6"/>
      <c r="W247" s="7"/>
      <c r="X247" s="7"/>
      <c r="Y247" s="7"/>
      <c r="Z247" s="7"/>
    </row>
    <row r="248">
      <c r="A248" s="6"/>
      <c r="B248" s="6"/>
      <c r="C248" s="6"/>
      <c r="D248" s="6"/>
      <c r="E248" s="6"/>
      <c r="F248" s="6"/>
      <c r="G248" s="6"/>
      <c r="H248" s="6"/>
      <c r="I248" s="6"/>
      <c r="J248" s="6"/>
      <c r="K248" s="6"/>
      <c r="L248" s="80"/>
      <c r="M248" s="80"/>
      <c r="N248" s="80"/>
      <c r="O248" s="80"/>
      <c r="P248" s="6"/>
      <c r="Q248" s="6"/>
      <c r="R248" s="6"/>
      <c r="S248" s="6"/>
      <c r="T248" s="6"/>
      <c r="U248" s="6"/>
      <c r="V248" s="6"/>
      <c r="W248" s="7"/>
      <c r="X248" s="7"/>
      <c r="Y248" s="7"/>
      <c r="Z248" s="7"/>
    </row>
    <row r="249">
      <c r="A249" s="6"/>
      <c r="B249" s="6"/>
      <c r="C249" s="6"/>
      <c r="D249" s="6"/>
      <c r="E249" s="6"/>
      <c r="F249" s="6"/>
      <c r="G249" s="6"/>
      <c r="H249" s="6"/>
      <c r="I249" s="6"/>
      <c r="J249" s="6"/>
      <c r="K249" s="6"/>
      <c r="L249" s="80"/>
      <c r="M249" s="80"/>
      <c r="N249" s="80"/>
      <c r="O249" s="80"/>
      <c r="P249" s="6"/>
      <c r="Q249" s="6"/>
      <c r="R249" s="6"/>
      <c r="S249" s="6"/>
      <c r="T249" s="6"/>
      <c r="U249" s="6"/>
      <c r="V249" s="6"/>
      <c r="W249" s="7"/>
      <c r="X249" s="7"/>
      <c r="Y249" s="7"/>
      <c r="Z249" s="7"/>
    </row>
    <row r="250">
      <c r="A250" s="6"/>
      <c r="B250" s="6"/>
      <c r="C250" s="6"/>
      <c r="D250" s="6"/>
      <c r="E250" s="6"/>
      <c r="F250" s="6"/>
      <c r="G250" s="6"/>
      <c r="H250" s="6"/>
      <c r="I250" s="6"/>
      <c r="J250" s="6"/>
      <c r="K250" s="6"/>
      <c r="L250" s="80"/>
      <c r="M250" s="80"/>
      <c r="N250" s="80"/>
      <c r="O250" s="80"/>
      <c r="P250" s="6"/>
      <c r="Q250" s="6"/>
      <c r="R250" s="6"/>
      <c r="S250" s="6"/>
      <c r="T250" s="6"/>
      <c r="U250" s="6"/>
      <c r="V250" s="6"/>
      <c r="W250" s="7"/>
      <c r="X250" s="7"/>
      <c r="Y250" s="7"/>
      <c r="Z250" s="7"/>
    </row>
    <row r="251">
      <c r="A251" s="6"/>
      <c r="B251" s="6"/>
      <c r="C251" s="6"/>
      <c r="D251" s="6"/>
      <c r="E251" s="6"/>
      <c r="F251" s="6"/>
      <c r="G251" s="6"/>
      <c r="H251" s="6"/>
      <c r="I251" s="6"/>
      <c r="J251" s="6"/>
      <c r="K251" s="6"/>
      <c r="L251" s="80"/>
      <c r="M251" s="80"/>
      <c r="N251" s="80"/>
      <c r="O251" s="80"/>
      <c r="P251" s="6"/>
      <c r="Q251" s="6"/>
      <c r="R251" s="6"/>
      <c r="S251" s="6"/>
      <c r="T251" s="6"/>
      <c r="U251" s="6"/>
      <c r="V251" s="6"/>
      <c r="W251" s="7"/>
      <c r="X251" s="7"/>
      <c r="Y251" s="7"/>
      <c r="Z251" s="7"/>
    </row>
    <row r="252">
      <c r="A252" s="6"/>
      <c r="B252" s="6"/>
      <c r="C252" s="6"/>
      <c r="D252" s="6"/>
      <c r="E252" s="6"/>
      <c r="F252" s="6"/>
      <c r="G252" s="6"/>
      <c r="H252" s="6"/>
      <c r="I252" s="6"/>
      <c r="J252" s="6"/>
      <c r="K252" s="6"/>
      <c r="L252" s="80"/>
      <c r="M252" s="80"/>
      <c r="N252" s="80"/>
      <c r="O252" s="80"/>
      <c r="P252" s="6"/>
      <c r="Q252" s="6"/>
      <c r="R252" s="6"/>
      <c r="S252" s="6"/>
      <c r="T252" s="6"/>
      <c r="U252" s="6"/>
      <c r="V252" s="6"/>
      <c r="W252" s="7"/>
      <c r="X252" s="7"/>
      <c r="Y252" s="7"/>
      <c r="Z252" s="7"/>
    </row>
    <row r="253">
      <c r="A253" s="6"/>
      <c r="B253" s="6"/>
      <c r="C253" s="6"/>
      <c r="D253" s="6"/>
      <c r="E253" s="6"/>
      <c r="F253" s="6"/>
      <c r="G253" s="6"/>
      <c r="H253" s="6"/>
      <c r="I253" s="6"/>
      <c r="J253" s="6"/>
      <c r="K253" s="6"/>
      <c r="L253" s="80"/>
      <c r="M253" s="80"/>
      <c r="N253" s="80"/>
      <c r="O253" s="80"/>
      <c r="P253" s="6"/>
      <c r="Q253" s="6"/>
      <c r="R253" s="6"/>
      <c r="S253" s="6"/>
      <c r="T253" s="6"/>
      <c r="U253" s="6"/>
      <c r="V253" s="6"/>
      <c r="W253" s="7"/>
      <c r="X253" s="7"/>
      <c r="Y253" s="7"/>
      <c r="Z253" s="7"/>
    </row>
    <row r="254">
      <c r="A254" s="6"/>
      <c r="B254" s="6"/>
      <c r="C254" s="6"/>
      <c r="D254" s="6"/>
      <c r="E254" s="6"/>
      <c r="F254" s="6"/>
      <c r="G254" s="6"/>
      <c r="H254" s="6"/>
      <c r="I254" s="6"/>
      <c r="J254" s="6"/>
      <c r="K254" s="6"/>
      <c r="L254" s="80"/>
      <c r="M254" s="80"/>
      <c r="N254" s="80"/>
      <c r="O254" s="80"/>
      <c r="P254" s="6"/>
      <c r="Q254" s="6"/>
      <c r="R254" s="6"/>
      <c r="S254" s="6"/>
      <c r="T254" s="6"/>
      <c r="U254" s="6"/>
      <c r="V254" s="6"/>
      <c r="W254" s="7"/>
      <c r="X254" s="7"/>
      <c r="Y254" s="7"/>
      <c r="Z254" s="7"/>
    </row>
    <row r="255">
      <c r="A255" s="6"/>
      <c r="B255" s="6"/>
      <c r="C255" s="6"/>
      <c r="D255" s="6"/>
      <c r="E255" s="6"/>
      <c r="F255" s="6"/>
      <c r="G255" s="6"/>
      <c r="H255" s="6"/>
      <c r="I255" s="6"/>
      <c r="J255" s="6"/>
      <c r="K255" s="6"/>
      <c r="L255" s="80"/>
      <c r="M255" s="80"/>
      <c r="N255" s="80"/>
      <c r="O255" s="80"/>
      <c r="P255" s="6"/>
      <c r="Q255" s="6"/>
      <c r="R255" s="6"/>
      <c r="S255" s="6"/>
      <c r="T255" s="6"/>
      <c r="U255" s="6"/>
      <c r="V255" s="6"/>
      <c r="W255" s="7"/>
      <c r="X255" s="7"/>
      <c r="Y255" s="7"/>
      <c r="Z255" s="7"/>
    </row>
    <row r="256">
      <c r="A256" s="6"/>
      <c r="B256" s="6"/>
      <c r="C256" s="6"/>
      <c r="D256" s="6"/>
      <c r="E256" s="6"/>
      <c r="F256" s="6"/>
      <c r="G256" s="6"/>
      <c r="H256" s="6"/>
      <c r="I256" s="6"/>
      <c r="J256" s="6"/>
      <c r="K256" s="6"/>
      <c r="L256" s="80"/>
      <c r="M256" s="80"/>
      <c r="N256" s="80"/>
      <c r="O256" s="80"/>
      <c r="P256" s="6"/>
      <c r="Q256" s="6"/>
      <c r="R256" s="6"/>
      <c r="S256" s="6"/>
      <c r="T256" s="6"/>
      <c r="U256" s="6"/>
      <c r="V256" s="6"/>
      <c r="W256" s="7"/>
      <c r="X256" s="7"/>
      <c r="Y256" s="7"/>
      <c r="Z256" s="7"/>
    </row>
    <row r="257">
      <c r="A257" s="6"/>
      <c r="B257" s="6"/>
      <c r="C257" s="6"/>
      <c r="D257" s="6"/>
      <c r="E257" s="6"/>
      <c r="F257" s="6"/>
      <c r="G257" s="6"/>
      <c r="H257" s="6"/>
      <c r="I257" s="6"/>
      <c r="J257" s="6"/>
      <c r="K257" s="6"/>
      <c r="L257" s="80"/>
      <c r="M257" s="80"/>
      <c r="N257" s="80"/>
      <c r="O257" s="80"/>
      <c r="P257" s="6"/>
      <c r="Q257" s="6"/>
      <c r="R257" s="6"/>
      <c r="S257" s="6"/>
      <c r="T257" s="6"/>
      <c r="U257" s="6"/>
      <c r="V257" s="6"/>
      <c r="W257" s="7"/>
      <c r="X257" s="7"/>
      <c r="Y257" s="7"/>
      <c r="Z257" s="7"/>
    </row>
    <row r="258">
      <c r="A258" s="6"/>
      <c r="B258" s="6"/>
      <c r="C258" s="6"/>
      <c r="D258" s="6"/>
      <c r="E258" s="6"/>
      <c r="F258" s="6"/>
      <c r="G258" s="6"/>
      <c r="H258" s="6"/>
      <c r="I258" s="6"/>
      <c r="J258" s="6"/>
      <c r="K258" s="6"/>
      <c r="L258" s="80"/>
      <c r="M258" s="80"/>
      <c r="N258" s="80"/>
      <c r="O258" s="80"/>
      <c r="P258" s="6"/>
      <c r="Q258" s="6"/>
      <c r="R258" s="6"/>
      <c r="S258" s="6"/>
      <c r="T258" s="6"/>
      <c r="U258" s="6"/>
      <c r="V258" s="6"/>
      <c r="W258" s="7"/>
      <c r="X258" s="7"/>
      <c r="Y258" s="7"/>
      <c r="Z258" s="7"/>
    </row>
    <row r="259">
      <c r="A259" s="6"/>
      <c r="B259" s="6"/>
      <c r="C259" s="6"/>
      <c r="D259" s="6"/>
      <c r="E259" s="6"/>
      <c r="F259" s="6"/>
      <c r="G259" s="6"/>
      <c r="H259" s="6"/>
      <c r="I259" s="6"/>
      <c r="J259" s="6"/>
      <c r="K259" s="6"/>
      <c r="L259" s="80"/>
      <c r="M259" s="80"/>
      <c r="N259" s="80"/>
      <c r="O259" s="80"/>
      <c r="P259" s="6"/>
      <c r="Q259" s="6"/>
      <c r="R259" s="6"/>
      <c r="S259" s="6"/>
      <c r="T259" s="6"/>
      <c r="U259" s="6"/>
      <c r="V259" s="6"/>
      <c r="W259" s="7"/>
      <c r="X259" s="7"/>
      <c r="Y259" s="7"/>
      <c r="Z259" s="7"/>
    </row>
    <row r="260">
      <c r="A260" s="6"/>
      <c r="B260" s="6"/>
      <c r="C260" s="6"/>
      <c r="D260" s="6"/>
      <c r="E260" s="6"/>
      <c r="F260" s="6"/>
      <c r="G260" s="6"/>
      <c r="H260" s="6"/>
      <c r="I260" s="6"/>
      <c r="J260" s="6"/>
      <c r="K260" s="6"/>
      <c r="L260" s="80"/>
      <c r="M260" s="80"/>
      <c r="N260" s="80"/>
      <c r="O260" s="80"/>
      <c r="P260" s="6"/>
      <c r="Q260" s="6"/>
      <c r="R260" s="6"/>
      <c r="S260" s="6"/>
      <c r="T260" s="6"/>
      <c r="U260" s="6"/>
      <c r="V260" s="6"/>
      <c r="W260" s="7"/>
      <c r="X260" s="7"/>
      <c r="Y260" s="7"/>
      <c r="Z260" s="7"/>
    </row>
    <row r="261">
      <c r="A261" s="6"/>
      <c r="B261" s="6"/>
      <c r="C261" s="6"/>
      <c r="D261" s="6"/>
      <c r="E261" s="6"/>
      <c r="F261" s="6"/>
      <c r="G261" s="6"/>
      <c r="H261" s="6"/>
      <c r="I261" s="6"/>
      <c r="J261" s="6"/>
      <c r="K261" s="6"/>
      <c r="L261" s="80"/>
      <c r="M261" s="80"/>
      <c r="N261" s="80"/>
      <c r="O261" s="80"/>
      <c r="P261" s="6"/>
      <c r="Q261" s="6"/>
      <c r="R261" s="6"/>
      <c r="S261" s="6"/>
      <c r="T261" s="6"/>
      <c r="U261" s="6"/>
      <c r="V261" s="6"/>
      <c r="W261" s="7"/>
      <c r="X261" s="7"/>
      <c r="Y261" s="7"/>
      <c r="Z261" s="7"/>
    </row>
    <row r="262">
      <c r="A262" s="6"/>
      <c r="B262" s="6"/>
      <c r="C262" s="6"/>
      <c r="D262" s="6"/>
      <c r="E262" s="6"/>
      <c r="F262" s="6"/>
      <c r="G262" s="6"/>
      <c r="H262" s="6"/>
      <c r="I262" s="6"/>
      <c r="J262" s="6"/>
      <c r="K262" s="6"/>
      <c r="L262" s="80"/>
      <c r="M262" s="80"/>
      <c r="N262" s="80"/>
      <c r="O262" s="80"/>
      <c r="P262" s="6"/>
      <c r="Q262" s="6"/>
      <c r="R262" s="6"/>
      <c r="S262" s="6"/>
      <c r="T262" s="6"/>
      <c r="U262" s="6"/>
      <c r="V262" s="6"/>
      <c r="W262" s="7"/>
      <c r="X262" s="7"/>
      <c r="Y262" s="7"/>
      <c r="Z262" s="7"/>
    </row>
    <row r="263">
      <c r="A263" s="6"/>
      <c r="B263" s="6"/>
      <c r="C263" s="6"/>
      <c r="D263" s="6"/>
      <c r="E263" s="6"/>
      <c r="F263" s="6"/>
      <c r="G263" s="6"/>
      <c r="H263" s="6"/>
      <c r="I263" s="6"/>
      <c r="J263" s="6"/>
      <c r="K263" s="6"/>
      <c r="L263" s="80"/>
      <c r="M263" s="80"/>
      <c r="N263" s="80"/>
      <c r="O263" s="80"/>
      <c r="P263" s="6"/>
      <c r="Q263" s="6"/>
      <c r="R263" s="6"/>
      <c r="S263" s="6"/>
      <c r="T263" s="6"/>
      <c r="U263" s="6"/>
      <c r="V263" s="6"/>
      <c r="W263" s="7"/>
      <c r="X263" s="7"/>
      <c r="Y263" s="7"/>
      <c r="Z263" s="7"/>
    </row>
    <row r="264">
      <c r="A264" s="6"/>
      <c r="B264" s="6"/>
      <c r="C264" s="6"/>
      <c r="D264" s="6"/>
      <c r="E264" s="6"/>
      <c r="F264" s="6"/>
      <c r="G264" s="6"/>
      <c r="H264" s="6"/>
      <c r="I264" s="6"/>
      <c r="J264" s="6"/>
      <c r="K264" s="6"/>
      <c r="L264" s="80"/>
      <c r="M264" s="80"/>
      <c r="N264" s="80"/>
      <c r="O264" s="80"/>
      <c r="P264" s="6"/>
      <c r="Q264" s="6"/>
      <c r="R264" s="6"/>
      <c r="S264" s="6"/>
      <c r="T264" s="6"/>
      <c r="U264" s="6"/>
      <c r="V264" s="6"/>
      <c r="W264" s="7"/>
      <c r="X264" s="7"/>
      <c r="Y264" s="7"/>
      <c r="Z264" s="7"/>
    </row>
    <row r="265">
      <c r="A265" s="6"/>
      <c r="B265" s="6"/>
      <c r="C265" s="6"/>
      <c r="D265" s="6"/>
      <c r="E265" s="6"/>
      <c r="F265" s="6"/>
      <c r="G265" s="6"/>
      <c r="H265" s="6"/>
      <c r="I265" s="6"/>
      <c r="J265" s="6"/>
      <c r="K265" s="6"/>
      <c r="L265" s="80"/>
      <c r="M265" s="80"/>
      <c r="N265" s="80"/>
      <c r="O265" s="80"/>
      <c r="P265" s="6"/>
      <c r="Q265" s="6"/>
      <c r="R265" s="6"/>
      <c r="S265" s="6"/>
      <c r="T265" s="6"/>
      <c r="U265" s="6"/>
      <c r="V265" s="6"/>
      <c r="W265" s="7"/>
      <c r="X265" s="7"/>
      <c r="Y265" s="7"/>
      <c r="Z265" s="7"/>
    </row>
    <row r="266">
      <c r="A266" s="6"/>
      <c r="B266" s="6"/>
      <c r="C266" s="6"/>
      <c r="D266" s="6"/>
      <c r="E266" s="6"/>
      <c r="F266" s="6"/>
      <c r="G266" s="6"/>
      <c r="H266" s="6"/>
      <c r="I266" s="6"/>
      <c r="J266" s="6"/>
      <c r="K266" s="6"/>
      <c r="L266" s="80"/>
      <c r="M266" s="80"/>
      <c r="N266" s="80"/>
      <c r="O266" s="80"/>
      <c r="P266" s="6"/>
      <c r="Q266" s="6"/>
      <c r="R266" s="6"/>
      <c r="S266" s="6"/>
      <c r="T266" s="6"/>
      <c r="U266" s="6"/>
      <c r="V266" s="6"/>
      <c r="W266" s="7"/>
      <c r="X266" s="7"/>
      <c r="Y266" s="7"/>
      <c r="Z266" s="7"/>
    </row>
    <row r="267">
      <c r="A267" s="6"/>
      <c r="B267" s="6"/>
      <c r="C267" s="6"/>
      <c r="D267" s="6"/>
      <c r="E267" s="6"/>
      <c r="F267" s="6"/>
      <c r="G267" s="6"/>
      <c r="H267" s="6"/>
      <c r="I267" s="6"/>
      <c r="J267" s="6"/>
      <c r="K267" s="6"/>
      <c r="L267" s="80"/>
      <c r="M267" s="80"/>
      <c r="N267" s="80"/>
      <c r="O267" s="80"/>
      <c r="P267" s="6"/>
      <c r="Q267" s="6"/>
      <c r="R267" s="6"/>
      <c r="S267" s="6"/>
      <c r="T267" s="6"/>
      <c r="U267" s="6"/>
      <c r="V267" s="6"/>
      <c r="W267" s="7"/>
      <c r="X267" s="7"/>
      <c r="Y267" s="7"/>
      <c r="Z267" s="7"/>
    </row>
    <row r="268">
      <c r="A268" s="6"/>
      <c r="B268" s="6"/>
      <c r="C268" s="6"/>
      <c r="D268" s="6"/>
      <c r="E268" s="6"/>
      <c r="F268" s="6"/>
      <c r="G268" s="6"/>
      <c r="H268" s="6"/>
      <c r="I268" s="6"/>
      <c r="J268" s="6"/>
      <c r="K268" s="6"/>
      <c r="L268" s="80"/>
      <c r="M268" s="80"/>
      <c r="N268" s="80"/>
      <c r="O268" s="80"/>
      <c r="P268" s="6"/>
      <c r="Q268" s="6"/>
      <c r="R268" s="6"/>
      <c r="S268" s="6"/>
      <c r="T268" s="6"/>
      <c r="U268" s="6"/>
      <c r="V268" s="6"/>
      <c r="W268" s="7"/>
      <c r="X268" s="7"/>
      <c r="Y268" s="7"/>
      <c r="Z268" s="7"/>
    </row>
    <row r="269">
      <c r="A269" s="6"/>
      <c r="B269" s="6"/>
      <c r="C269" s="6"/>
      <c r="D269" s="6"/>
      <c r="E269" s="6"/>
      <c r="F269" s="6"/>
      <c r="G269" s="6"/>
      <c r="H269" s="6"/>
      <c r="I269" s="6"/>
      <c r="J269" s="6"/>
      <c r="K269" s="6"/>
      <c r="L269" s="80"/>
      <c r="M269" s="80"/>
      <c r="N269" s="80"/>
      <c r="O269" s="80"/>
      <c r="P269" s="6"/>
      <c r="Q269" s="6"/>
      <c r="R269" s="6"/>
      <c r="S269" s="6"/>
      <c r="T269" s="6"/>
      <c r="U269" s="6"/>
      <c r="V269" s="6"/>
      <c r="W269" s="7"/>
      <c r="X269" s="7"/>
      <c r="Y269" s="7"/>
      <c r="Z269" s="7"/>
    </row>
    <row r="270">
      <c r="A270" s="6"/>
      <c r="B270" s="6"/>
      <c r="C270" s="6"/>
      <c r="D270" s="6"/>
      <c r="E270" s="6"/>
      <c r="F270" s="6"/>
      <c r="G270" s="6"/>
      <c r="H270" s="6"/>
      <c r="I270" s="6"/>
      <c r="J270" s="6"/>
      <c r="K270" s="6"/>
      <c r="L270" s="80"/>
      <c r="M270" s="80"/>
      <c r="N270" s="80"/>
      <c r="O270" s="80"/>
      <c r="P270" s="6"/>
      <c r="Q270" s="6"/>
      <c r="R270" s="6"/>
      <c r="S270" s="6"/>
      <c r="T270" s="6"/>
      <c r="U270" s="6"/>
      <c r="V270" s="6"/>
      <c r="W270" s="7"/>
      <c r="X270" s="7"/>
      <c r="Y270" s="7"/>
      <c r="Z270" s="7"/>
    </row>
    <row r="271">
      <c r="A271" s="6"/>
      <c r="B271" s="6"/>
      <c r="C271" s="6"/>
      <c r="D271" s="6"/>
      <c r="E271" s="6"/>
      <c r="F271" s="6"/>
      <c r="G271" s="6"/>
      <c r="H271" s="6"/>
      <c r="I271" s="6"/>
      <c r="J271" s="6"/>
      <c r="K271" s="6"/>
      <c r="L271" s="80"/>
      <c r="M271" s="80"/>
      <c r="N271" s="80"/>
      <c r="O271" s="80"/>
      <c r="P271" s="6"/>
      <c r="Q271" s="6"/>
      <c r="R271" s="6"/>
      <c r="S271" s="6"/>
      <c r="T271" s="6"/>
      <c r="U271" s="6"/>
      <c r="V271" s="6"/>
      <c r="W271" s="7"/>
      <c r="X271" s="7"/>
      <c r="Y271" s="7"/>
      <c r="Z271" s="7"/>
    </row>
    <row r="272">
      <c r="A272" s="6"/>
      <c r="B272" s="6"/>
      <c r="C272" s="6"/>
      <c r="D272" s="6"/>
      <c r="E272" s="6"/>
      <c r="F272" s="6"/>
      <c r="G272" s="6"/>
      <c r="H272" s="6"/>
      <c r="I272" s="6"/>
      <c r="J272" s="6"/>
      <c r="K272" s="6"/>
      <c r="L272" s="80"/>
      <c r="M272" s="80"/>
      <c r="N272" s="80"/>
      <c r="O272" s="80"/>
      <c r="P272" s="6"/>
      <c r="Q272" s="6"/>
      <c r="R272" s="6"/>
      <c r="S272" s="6"/>
      <c r="T272" s="6"/>
      <c r="U272" s="6"/>
      <c r="V272" s="6"/>
      <c r="W272" s="7"/>
      <c r="X272" s="7"/>
      <c r="Y272" s="7"/>
      <c r="Z272" s="7"/>
    </row>
    <row r="273">
      <c r="A273" s="6"/>
      <c r="B273" s="6"/>
      <c r="C273" s="6"/>
      <c r="D273" s="6"/>
      <c r="E273" s="6"/>
      <c r="F273" s="6"/>
      <c r="G273" s="6"/>
      <c r="H273" s="6"/>
      <c r="I273" s="6"/>
      <c r="J273" s="6"/>
      <c r="K273" s="6"/>
      <c r="L273" s="80"/>
      <c r="M273" s="80"/>
      <c r="N273" s="80"/>
      <c r="O273" s="80"/>
      <c r="P273" s="6"/>
      <c r="Q273" s="6"/>
      <c r="R273" s="6"/>
      <c r="S273" s="6"/>
      <c r="T273" s="6"/>
      <c r="U273" s="6"/>
      <c r="V273" s="6"/>
      <c r="W273" s="7"/>
      <c r="X273" s="7"/>
      <c r="Y273" s="7"/>
      <c r="Z273" s="7"/>
    </row>
    <row r="274">
      <c r="A274" s="6"/>
      <c r="B274" s="6"/>
      <c r="C274" s="6"/>
      <c r="D274" s="6"/>
      <c r="E274" s="6"/>
      <c r="F274" s="6"/>
      <c r="G274" s="6"/>
      <c r="H274" s="6"/>
      <c r="I274" s="6"/>
      <c r="J274" s="6"/>
      <c r="K274" s="6"/>
      <c r="L274" s="80"/>
      <c r="M274" s="80"/>
      <c r="N274" s="80"/>
      <c r="O274" s="80"/>
      <c r="P274" s="6"/>
      <c r="Q274" s="6"/>
      <c r="R274" s="6"/>
      <c r="S274" s="6"/>
      <c r="T274" s="6"/>
      <c r="U274" s="6"/>
      <c r="V274" s="6"/>
      <c r="W274" s="7"/>
      <c r="X274" s="7"/>
      <c r="Y274" s="7"/>
      <c r="Z274" s="7"/>
    </row>
    <row r="275">
      <c r="A275" s="6"/>
      <c r="B275" s="6"/>
      <c r="C275" s="6"/>
      <c r="D275" s="6"/>
      <c r="E275" s="6"/>
      <c r="F275" s="6"/>
      <c r="G275" s="6"/>
      <c r="H275" s="6"/>
      <c r="I275" s="6"/>
      <c r="J275" s="6"/>
      <c r="K275" s="6"/>
      <c r="L275" s="80"/>
      <c r="M275" s="80"/>
      <c r="N275" s="80"/>
      <c r="O275" s="80"/>
      <c r="P275" s="6"/>
      <c r="Q275" s="6"/>
      <c r="R275" s="6"/>
      <c r="S275" s="6"/>
      <c r="T275" s="6"/>
      <c r="U275" s="6"/>
      <c r="V275" s="6"/>
      <c r="W275" s="7"/>
      <c r="X275" s="7"/>
      <c r="Y275" s="7"/>
      <c r="Z275" s="7"/>
    </row>
    <row r="276">
      <c r="A276" s="6"/>
      <c r="B276" s="6"/>
      <c r="C276" s="6"/>
      <c r="D276" s="6"/>
      <c r="E276" s="6"/>
      <c r="F276" s="6"/>
      <c r="G276" s="6"/>
      <c r="H276" s="6"/>
      <c r="I276" s="6"/>
      <c r="J276" s="6"/>
      <c r="K276" s="6"/>
      <c r="L276" s="80"/>
      <c r="M276" s="80"/>
      <c r="N276" s="80"/>
      <c r="O276" s="80"/>
      <c r="P276" s="6"/>
      <c r="Q276" s="6"/>
      <c r="R276" s="6"/>
      <c r="S276" s="6"/>
      <c r="T276" s="6"/>
      <c r="U276" s="6"/>
      <c r="V276" s="6"/>
      <c r="W276" s="7"/>
      <c r="X276" s="7"/>
      <c r="Y276" s="7"/>
      <c r="Z276" s="7"/>
    </row>
    <row r="277">
      <c r="A277" s="6"/>
      <c r="B277" s="6"/>
      <c r="C277" s="6"/>
      <c r="D277" s="6"/>
      <c r="E277" s="6"/>
      <c r="F277" s="6"/>
      <c r="G277" s="6"/>
      <c r="H277" s="6"/>
      <c r="I277" s="6"/>
      <c r="J277" s="6"/>
      <c r="K277" s="6"/>
      <c r="L277" s="80"/>
      <c r="M277" s="80"/>
      <c r="N277" s="80"/>
      <c r="O277" s="80"/>
      <c r="P277" s="6"/>
      <c r="Q277" s="6"/>
      <c r="R277" s="6"/>
      <c r="S277" s="6"/>
      <c r="T277" s="6"/>
      <c r="U277" s="6"/>
      <c r="V277" s="6"/>
      <c r="W277" s="7"/>
      <c r="X277" s="7"/>
      <c r="Y277" s="7"/>
      <c r="Z277" s="7"/>
    </row>
    <row r="278">
      <c r="A278" s="6"/>
      <c r="B278" s="6"/>
      <c r="C278" s="6"/>
      <c r="D278" s="6"/>
      <c r="E278" s="6"/>
      <c r="F278" s="6"/>
      <c r="G278" s="6"/>
      <c r="H278" s="6"/>
      <c r="I278" s="6"/>
      <c r="J278" s="6"/>
      <c r="K278" s="6"/>
      <c r="L278" s="80"/>
      <c r="M278" s="80"/>
      <c r="N278" s="80"/>
      <c r="O278" s="80"/>
      <c r="P278" s="6"/>
      <c r="Q278" s="6"/>
      <c r="R278" s="6"/>
      <c r="S278" s="6"/>
      <c r="T278" s="6"/>
      <c r="U278" s="6"/>
      <c r="V278" s="6"/>
      <c r="W278" s="7"/>
      <c r="X278" s="7"/>
      <c r="Y278" s="7"/>
      <c r="Z278" s="7"/>
    </row>
    <row r="279">
      <c r="A279" s="6"/>
      <c r="B279" s="6"/>
      <c r="C279" s="6"/>
      <c r="D279" s="6"/>
      <c r="E279" s="6"/>
      <c r="F279" s="6"/>
      <c r="G279" s="6"/>
      <c r="H279" s="6"/>
      <c r="I279" s="6"/>
      <c r="J279" s="6"/>
      <c r="K279" s="6"/>
      <c r="L279" s="80"/>
      <c r="M279" s="80"/>
      <c r="N279" s="80"/>
      <c r="O279" s="80"/>
      <c r="P279" s="6"/>
      <c r="Q279" s="6"/>
      <c r="R279" s="6"/>
      <c r="S279" s="6"/>
      <c r="T279" s="6"/>
      <c r="U279" s="6"/>
      <c r="V279" s="6"/>
      <c r="W279" s="7"/>
      <c r="X279" s="7"/>
      <c r="Y279" s="7"/>
      <c r="Z279" s="7"/>
    </row>
    <row r="280">
      <c r="A280" s="6"/>
      <c r="B280" s="6"/>
      <c r="C280" s="6"/>
      <c r="D280" s="6"/>
      <c r="E280" s="6"/>
      <c r="F280" s="6"/>
      <c r="G280" s="6"/>
      <c r="H280" s="6"/>
      <c r="I280" s="6"/>
      <c r="J280" s="6"/>
      <c r="K280" s="6"/>
      <c r="L280" s="80"/>
      <c r="M280" s="80"/>
      <c r="N280" s="80"/>
      <c r="O280" s="80"/>
      <c r="P280" s="6"/>
      <c r="Q280" s="6"/>
      <c r="R280" s="6"/>
      <c r="S280" s="6"/>
      <c r="T280" s="6"/>
      <c r="U280" s="6"/>
      <c r="V280" s="6"/>
      <c r="W280" s="7"/>
      <c r="X280" s="7"/>
      <c r="Y280" s="7"/>
      <c r="Z280" s="7"/>
    </row>
    <row r="281">
      <c r="A281" s="6"/>
      <c r="B281" s="6"/>
      <c r="C281" s="6"/>
      <c r="D281" s="6"/>
      <c r="E281" s="6"/>
      <c r="F281" s="6"/>
      <c r="G281" s="6"/>
      <c r="H281" s="6"/>
      <c r="I281" s="6"/>
      <c r="J281" s="6"/>
      <c r="K281" s="6"/>
      <c r="L281" s="80"/>
      <c r="M281" s="80"/>
      <c r="N281" s="80"/>
      <c r="O281" s="80"/>
      <c r="P281" s="6"/>
      <c r="Q281" s="6"/>
      <c r="R281" s="6"/>
      <c r="S281" s="6"/>
      <c r="T281" s="6"/>
      <c r="U281" s="6"/>
      <c r="V281" s="6"/>
      <c r="W281" s="7"/>
      <c r="X281" s="7"/>
      <c r="Y281" s="7"/>
      <c r="Z281" s="7"/>
    </row>
    <row r="282">
      <c r="A282" s="6"/>
      <c r="B282" s="6"/>
      <c r="C282" s="6"/>
      <c r="D282" s="6"/>
      <c r="E282" s="6"/>
      <c r="F282" s="6"/>
      <c r="G282" s="6"/>
      <c r="H282" s="6"/>
      <c r="I282" s="6"/>
      <c r="J282" s="6"/>
      <c r="K282" s="6"/>
      <c r="L282" s="80"/>
      <c r="M282" s="80"/>
      <c r="N282" s="80"/>
      <c r="O282" s="80"/>
      <c r="P282" s="6"/>
      <c r="Q282" s="6"/>
      <c r="R282" s="6"/>
      <c r="S282" s="6"/>
      <c r="T282" s="6"/>
      <c r="U282" s="6"/>
      <c r="V282" s="6"/>
      <c r="W282" s="7"/>
      <c r="X282" s="7"/>
      <c r="Y282" s="7"/>
      <c r="Z282" s="7"/>
    </row>
    <row r="283">
      <c r="A283" s="6"/>
      <c r="B283" s="6"/>
      <c r="C283" s="6"/>
      <c r="D283" s="6"/>
      <c r="E283" s="6"/>
      <c r="F283" s="6"/>
      <c r="G283" s="6"/>
      <c r="H283" s="6"/>
      <c r="I283" s="6"/>
      <c r="J283" s="6"/>
      <c r="K283" s="6"/>
      <c r="L283" s="80"/>
      <c r="M283" s="80"/>
      <c r="N283" s="80"/>
      <c r="O283" s="80"/>
      <c r="P283" s="6"/>
      <c r="Q283" s="6"/>
      <c r="R283" s="6"/>
      <c r="S283" s="6"/>
      <c r="T283" s="6"/>
      <c r="U283" s="6"/>
      <c r="V283" s="6"/>
      <c r="W283" s="7"/>
      <c r="X283" s="7"/>
      <c r="Y283" s="7"/>
      <c r="Z283" s="7"/>
    </row>
    <row r="284">
      <c r="A284" s="6"/>
      <c r="B284" s="6"/>
      <c r="C284" s="6"/>
      <c r="D284" s="6"/>
      <c r="E284" s="6"/>
      <c r="F284" s="6"/>
      <c r="G284" s="6"/>
      <c r="H284" s="6"/>
      <c r="I284" s="6"/>
      <c r="J284" s="6"/>
      <c r="K284" s="6"/>
      <c r="L284" s="80"/>
      <c r="M284" s="80"/>
      <c r="N284" s="80"/>
      <c r="O284" s="80"/>
      <c r="P284" s="6"/>
      <c r="Q284" s="6"/>
      <c r="R284" s="6"/>
      <c r="S284" s="6"/>
      <c r="T284" s="6"/>
      <c r="U284" s="6"/>
      <c r="V284" s="6"/>
      <c r="W284" s="7"/>
      <c r="X284" s="7"/>
      <c r="Y284" s="7"/>
      <c r="Z284" s="7"/>
    </row>
    <row r="285">
      <c r="A285" s="6"/>
      <c r="B285" s="6"/>
      <c r="C285" s="6"/>
      <c r="D285" s="6"/>
      <c r="E285" s="6"/>
      <c r="F285" s="6"/>
      <c r="G285" s="6"/>
      <c r="H285" s="6"/>
      <c r="I285" s="6"/>
      <c r="J285" s="6"/>
      <c r="K285" s="6"/>
      <c r="L285" s="80"/>
      <c r="M285" s="80"/>
      <c r="N285" s="80"/>
      <c r="O285" s="80"/>
      <c r="P285" s="6"/>
      <c r="Q285" s="6"/>
      <c r="R285" s="6"/>
      <c r="S285" s="6"/>
      <c r="T285" s="6"/>
      <c r="U285" s="6"/>
      <c r="V285" s="6"/>
      <c r="W285" s="7"/>
      <c r="X285" s="7"/>
      <c r="Y285" s="7"/>
      <c r="Z285" s="7"/>
    </row>
    <row r="286">
      <c r="A286" s="6"/>
      <c r="B286" s="6"/>
      <c r="C286" s="6"/>
      <c r="D286" s="6"/>
      <c r="E286" s="6"/>
      <c r="F286" s="6"/>
      <c r="G286" s="6"/>
      <c r="H286" s="6"/>
      <c r="I286" s="6"/>
      <c r="J286" s="6"/>
      <c r="K286" s="6"/>
      <c r="L286" s="80"/>
      <c r="M286" s="80"/>
      <c r="N286" s="80"/>
      <c r="O286" s="80"/>
      <c r="P286" s="6"/>
      <c r="Q286" s="6"/>
      <c r="R286" s="6"/>
      <c r="S286" s="6"/>
      <c r="T286" s="6"/>
      <c r="U286" s="6"/>
      <c r="V286" s="6"/>
      <c r="W286" s="7"/>
      <c r="X286" s="7"/>
      <c r="Y286" s="7"/>
      <c r="Z286" s="7"/>
    </row>
    <row r="287">
      <c r="A287" s="6"/>
      <c r="B287" s="6"/>
      <c r="C287" s="6"/>
      <c r="D287" s="6"/>
      <c r="E287" s="6"/>
      <c r="F287" s="6"/>
      <c r="G287" s="6"/>
      <c r="H287" s="6"/>
      <c r="I287" s="6"/>
      <c r="J287" s="6"/>
      <c r="K287" s="6"/>
      <c r="L287" s="80"/>
      <c r="M287" s="80"/>
      <c r="N287" s="80"/>
      <c r="O287" s="80"/>
      <c r="P287" s="6"/>
      <c r="Q287" s="6"/>
      <c r="R287" s="6"/>
      <c r="S287" s="6"/>
      <c r="T287" s="6"/>
      <c r="U287" s="6"/>
      <c r="V287" s="6"/>
      <c r="W287" s="7"/>
      <c r="X287" s="7"/>
      <c r="Y287" s="7"/>
      <c r="Z287" s="7"/>
    </row>
    <row r="288">
      <c r="A288" s="6"/>
      <c r="B288" s="6"/>
      <c r="C288" s="6"/>
      <c r="D288" s="6"/>
      <c r="E288" s="6"/>
      <c r="F288" s="6"/>
      <c r="G288" s="6"/>
      <c r="H288" s="6"/>
      <c r="I288" s="6"/>
      <c r="J288" s="6"/>
      <c r="K288" s="6"/>
      <c r="L288" s="80"/>
      <c r="M288" s="80"/>
      <c r="N288" s="80"/>
      <c r="O288" s="80"/>
      <c r="P288" s="6"/>
      <c r="Q288" s="6"/>
      <c r="R288" s="6"/>
      <c r="S288" s="6"/>
      <c r="T288" s="6"/>
      <c r="U288" s="6"/>
      <c r="V288" s="6"/>
      <c r="W288" s="7"/>
      <c r="X288" s="7"/>
      <c r="Y288" s="7"/>
      <c r="Z288" s="7"/>
    </row>
    <row r="289">
      <c r="A289" s="6"/>
      <c r="B289" s="6"/>
      <c r="C289" s="6"/>
      <c r="D289" s="6"/>
      <c r="E289" s="6"/>
      <c r="F289" s="6"/>
      <c r="G289" s="6"/>
      <c r="H289" s="6"/>
      <c r="I289" s="6"/>
      <c r="J289" s="6"/>
      <c r="K289" s="6"/>
      <c r="L289" s="80"/>
      <c r="M289" s="80"/>
      <c r="N289" s="80"/>
      <c r="O289" s="80"/>
      <c r="P289" s="6"/>
      <c r="Q289" s="6"/>
      <c r="R289" s="6"/>
      <c r="S289" s="6"/>
      <c r="T289" s="6"/>
      <c r="U289" s="6"/>
      <c r="V289" s="6"/>
      <c r="W289" s="7"/>
      <c r="X289" s="7"/>
      <c r="Y289" s="7"/>
      <c r="Z289" s="7"/>
    </row>
    <row r="290">
      <c r="A290" s="6"/>
      <c r="B290" s="6"/>
      <c r="C290" s="6"/>
      <c r="D290" s="6"/>
      <c r="E290" s="6"/>
      <c r="F290" s="6"/>
      <c r="G290" s="6"/>
      <c r="H290" s="6"/>
      <c r="I290" s="6"/>
      <c r="J290" s="6"/>
      <c r="K290" s="6"/>
      <c r="L290" s="80"/>
      <c r="M290" s="80"/>
      <c r="N290" s="80"/>
      <c r="O290" s="80"/>
      <c r="P290" s="6"/>
      <c r="Q290" s="6"/>
      <c r="R290" s="6"/>
      <c r="S290" s="6"/>
      <c r="T290" s="6"/>
      <c r="U290" s="6"/>
      <c r="V290" s="6"/>
      <c r="W290" s="7"/>
      <c r="X290" s="7"/>
      <c r="Y290" s="7"/>
      <c r="Z290" s="7"/>
    </row>
    <row r="291">
      <c r="A291" s="6"/>
      <c r="B291" s="6"/>
      <c r="C291" s="6"/>
      <c r="D291" s="6"/>
      <c r="E291" s="6"/>
      <c r="F291" s="6"/>
      <c r="G291" s="6"/>
      <c r="H291" s="6"/>
      <c r="I291" s="6"/>
      <c r="J291" s="6"/>
      <c r="K291" s="6"/>
      <c r="L291" s="80"/>
      <c r="M291" s="80"/>
      <c r="N291" s="80"/>
      <c r="O291" s="80"/>
      <c r="P291" s="6"/>
      <c r="Q291" s="6"/>
      <c r="R291" s="6"/>
      <c r="S291" s="6"/>
      <c r="T291" s="6"/>
      <c r="U291" s="6"/>
      <c r="V291" s="6"/>
      <c r="W291" s="7"/>
      <c r="X291" s="7"/>
      <c r="Y291" s="7"/>
      <c r="Z291" s="7"/>
    </row>
    <row r="292">
      <c r="A292" s="6"/>
      <c r="B292" s="6"/>
      <c r="C292" s="6"/>
      <c r="D292" s="6"/>
      <c r="E292" s="6"/>
      <c r="F292" s="6"/>
      <c r="G292" s="6"/>
      <c r="H292" s="6"/>
      <c r="I292" s="6"/>
      <c r="J292" s="6"/>
      <c r="K292" s="6"/>
      <c r="L292" s="80"/>
      <c r="M292" s="80"/>
      <c r="N292" s="80"/>
      <c r="O292" s="80"/>
      <c r="P292" s="6"/>
      <c r="Q292" s="6"/>
      <c r="R292" s="6"/>
      <c r="S292" s="6"/>
      <c r="T292" s="6"/>
      <c r="U292" s="6"/>
      <c r="V292" s="6"/>
      <c r="W292" s="7"/>
      <c r="X292" s="7"/>
      <c r="Y292" s="7"/>
      <c r="Z292" s="7"/>
    </row>
    <row r="293">
      <c r="A293" s="6"/>
      <c r="B293" s="6"/>
      <c r="C293" s="6"/>
      <c r="D293" s="6"/>
      <c r="E293" s="6"/>
      <c r="F293" s="6"/>
      <c r="G293" s="6"/>
      <c r="H293" s="6"/>
      <c r="I293" s="6"/>
      <c r="J293" s="6"/>
      <c r="K293" s="6"/>
      <c r="L293" s="80"/>
      <c r="M293" s="80"/>
      <c r="N293" s="80"/>
      <c r="O293" s="80"/>
      <c r="P293" s="6"/>
      <c r="Q293" s="6"/>
      <c r="R293" s="6"/>
      <c r="S293" s="6"/>
      <c r="T293" s="6"/>
      <c r="U293" s="6"/>
      <c r="V293" s="6"/>
      <c r="W293" s="7"/>
      <c r="X293" s="7"/>
      <c r="Y293" s="7"/>
      <c r="Z293" s="7"/>
    </row>
    <row r="294">
      <c r="A294" s="6"/>
      <c r="B294" s="6"/>
      <c r="C294" s="6"/>
      <c r="D294" s="6"/>
      <c r="E294" s="6"/>
      <c r="F294" s="6"/>
      <c r="G294" s="6"/>
      <c r="H294" s="6"/>
      <c r="I294" s="6"/>
      <c r="J294" s="6"/>
      <c r="K294" s="6"/>
      <c r="L294" s="80"/>
      <c r="M294" s="80"/>
      <c r="N294" s="80"/>
      <c r="O294" s="80"/>
      <c r="P294" s="6"/>
      <c r="Q294" s="6"/>
      <c r="R294" s="6"/>
      <c r="S294" s="6"/>
      <c r="T294" s="6"/>
      <c r="U294" s="6"/>
      <c r="V294" s="6"/>
      <c r="W294" s="7"/>
      <c r="X294" s="7"/>
      <c r="Y294" s="7"/>
      <c r="Z294" s="7"/>
    </row>
    <row r="295">
      <c r="A295" s="6"/>
      <c r="B295" s="6"/>
      <c r="C295" s="6"/>
      <c r="D295" s="6"/>
      <c r="E295" s="6"/>
      <c r="F295" s="6"/>
      <c r="G295" s="6"/>
      <c r="H295" s="6"/>
      <c r="I295" s="6"/>
      <c r="J295" s="6"/>
      <c r="K295" s="6"/>
      <c r="L295" s="80"/>
      <c r="M295" s="80"/>
      <c r="N295" s="80"/>
      <c r="O295" s="80"/>
      <c r="P295" s="6"/>
      <c r="Q295" s="6"/>
      <c r="R295" s="6"/>
      <c r="S295" s="6"/>
      <c r="T295" s="6"/>
      <c r="U295" s="6"/>
      <c r="V295" s="6"/>
      <c r="W295" s="7"/>
      <c r="X295" s="7"/>
      <c r="Y295" s="7"/>
      <c r="Z295" s="7"/>
    </row>
    <row r="296">
      <c r="A296" s="6"/>
      <c r="B296" s="6"/>
      <c r="C296" s="6"/>
      <c r="D296" s="6"/>
      <c r="E296" s="6"/>
      <c r="F296" s="6"/>
      <c r="G296" s="6"/>
      <c r="H296" s="6"/>
      <c r="I296" s="6"/>
      <c r="J296" s="6"/>
      <c r="K296" s="6"/>
      <c r="L296" s="80"/>
      <c r="M296" s="80"/>
      <c r="N296" s="80"/>
      <c r="O296" s="80"/>
      <c r="P296" s="6"/>
      <c r="Q296" s="6"/>
      <c r="R296" s="6"/>
      <c r="S296" s="6"/>
      <c r="T296" s="6"/>
      <c r="U296" s="6"/>
      <c r="V296" s="6"/>
      <c r="W296" s="7"/>
      <c r="X296" s="7"/>
      <c r="Y296" s="7"/>
      <c r="Z296" s="7"/>
    </row>
    <row r="297">
      <c r="A297" s="6"/>
      <c r="B297" s="6"/>
      <c r="C297" s="6"/>
      <c r="D297" s="6"/>
      <c r="E297" s="6"/>
      <c r="F297" s="6"/>
      <c r="G297" s="6"/>
      <c r="H297" s="6"/>
      <c r="I297" s="6"/>
      <c r="J297" s="6"/>
      <c r="K297" s="6"/>
      <c r="L297" s="80"/>
      <c r="M297" s="80"/>
      <c r="N297" s="80"/>
      <c r="O297" s="80"/>
      <c r="P297" s="6"/>
      <c r="Q297" s="6"/>
      <c r="R297" s="6"/>
      <c r="S297" s="6"/>
      <c r="T297" s="6"/>
      <c r="U297" s="6"/>
      <c r="V297" s="6"/>
      <c r="W297" s="7"/>
      <c r="X297" s="7"/>
      <c r="Y297" s="7"/>
      <c r="Z297" s="7"/>
    </row>
    <row r="298">
      <c r="A298" s="6"/>
      <c r="B298" s="6"/>
      <c r="C298" s="6"/>
      <c r="D298" s="6"/>
      <c r="E298" s="6"/>
      <c r="F298" s="6"/>
      <c r="G298" s="6"/>
      <c r="H298" s="6"/>
      <c r="I298" s="6"/>
      <c r="J298" s="6"/>
      <c r="K298" s="6"/>
      <c r="L298" s="80"/>
      <c r="M298" s="80"/>
      <c r="N298" s="80"/>
      <c r="O298" s="80"/>
      <c r="P298" s="6"/>
      <c r="Q298" s="6"/>
      <c r="R298" s="6"/>
      <c r="S298" s="6"/>
      <c r="T298" s="6"/>
      <c r="U298" s="6"/>
      <c r="V298" s="6"/>
      <c r="W298" s="7"/>
      <c r="X298" s="7"/>
      <c r="Y298" s="7"/>
      <c r="Z298" s="7"/>
    </row>
    <row r="299">
      <c r="A299" s="6"/>
      <c r="B299" s="6"/>
      <c r="C299" s="6"/>
      <c r="D299" s="6"/>
      <c r="E299" s="6"/>
      <c r="F299" s="6"/>
      <c r="G299" s="6"/>
      <c r="H299" s="6"/>
      <c r="I299" s="6"/>
      <c r="J299" s="6"/>
      <c r="K299" s="6"/>
      <c r="L299" s="80"/>
      <c r="M299" s="80"/>
      <c r="N299" s="80"/>
      <c r="O299" s="80"/>
      <c r="P299" s="6"/>
      <c r="Q299" s="6"/>
      <c r="R299" s="6"/>
      <c r="S299" s="6"/>
      <c r="T299" s="6"/>
      <c r="U299" s="6"/>
      <c r="V299" s="6"/>
      <c r="W299" s="7"/>
      <c r="X299" s="7"/>
      <c r="Y299" s="7"/>
      <c r="Z299" s="7"/>
    </row>
    <row r="300">
      <c r="A300" s="6"/>
      <c r="B300" s="6"/>
      <c r="C300" s="6"/>
      <c r="D300" s="6"/>
      <c r="E300" s="6"/>
      <c r="F300" s="6"/>
      <c r="G300" s="6"/>
      <c r="H300" s="6"/>
      <c r="I300" s="6"/>
      <c r="J300" s="6"/>
      <c r="K300" s="6"/>
      <c r="L300" s="80"/>
      <c r="M300" s="80"/>
      <c r="N300" s="80"/>
      <c r="O300" s="80"/>
      <c r="P300" s="6"/>
      <c r="Q300" s="6"/>
      <c r="R300" s="6"/>
      <c r="S300" s="6"/>
      <c r="T300" s="6"/>
      <c r="U300" s="6"/>
      <c r="V300" s="6"/>
      <c r="W300" s="7"/>
      <c r="X300" s="7"/>
      <c r="Y300" s="7"/>
      <c r="Z300" s="7"/>
    </row>
    <row r="301">
      <c r="A301" s="6"/>
      <c r="B301" s="6"/>
      <c r="C301" s="6"/>
      <c r="D301" s="6"/>
      <c r="E301" s="6"/>
      <c r="F301" s="6"/>
      <c r="G301" s="6"/>
      <c r="H301" s="6"/>
      <c r="I301" s="6"/>
      <c r="J301" s="6"/>
      <c r="K301" s="6"/>
      <c r="L301" s="80"/>
      <c r="M301" s="80"/>
      <c r="N301" s="80"/>
      <c r="O301" s="80"/>
      <c r="P301" s="6"/>
      <c r="Q301" s="6"/>
      <c r="R301" s="6"/>
      <c r="S301" s="6"/>
      <c r="T301" s="6"/>
      <c r="U301" s="6"/>
      <c r="V301" s="6"/>
      <c r="W301" s="7"/>
      <c r="X301" s="7"/>
      <c r="Y301" s="7"/>
      <c r="Z301" s="7"/>
    </row>
    <row r="302">
      <c r="A302" s="6"/>
      <c r="B302" s="6"/>
      <c r="C302" s="6"/>
      <c r="D302" s="6"/>
      <c r="E302" s="6"/>
      <c r="F302" s="6"/>
      <c r="G302" s="6"/>
      <c r="H302" s="6"/>
      <c r="I302" s="6"/>
      <c r="J302" s="6"/>
      <c r="K302" s="6"/>
      <c r="L302" s="80"/>
      <c r="M302" s="80"/>
      <c r="N302" s="80"/>
      <c r="O302" s="80"/>
      <c r="P302" s="6"/>
      <c r="Q302" s="6"/>
      <c r="R302" s="6"/>
      <c r="S302" s="6"/>
      <c r="T302" s="6"/>
      <c r="U302" s="6"/>
      <c r="V302" s="6"/>
      <c r="W302" s="7"/>
      <c r="X302" s="7"/>
      <c r="Y302" s="7"/>
      <c r="Z302" s="7"/>
    </row>
    <row r="303">
      <c r="A303" s="6"/>
      <c r="B303" s="6"/>
      <c r="C303" s="6"/>
      <c r="D303" s="6"/>
      <c r="E303" s="6"/>
      <c r="F303" s="6"/>
      <c r="G303" s="6"/>
      <c r="H303" s="6"/>
      <c r="I303" s="6"/>
      <c r="J303" s="6"/>
      <c r="K303" s="6"/>
      <c r="L303" s="80"/>
      <c r="M303" s="80"/>
      <c r="N303" s="80"/>
      <c r="O303" s="80"/>
      <c r="P303" s="6"/>
      <c r="Q303" s="6"/>
      <c r="R303" s="6"/>
      <c r="S303" s="6"/>
      <c r="T303" s="6"/>
      <c r="U303" s="6"/>
      <c r="V303" s="6"/>
      <c r="W303" s="7"/>
      <c r="X303" s="7"/>
      <c r="Y303" s="7"/>
      <c r="Z303" s="7"/>
    </row>
    <row r="304">
      <c r="A304" s="6"/>
      <c r="B304" s="6"/>
      <c r="C304" s="6"/>
      <c r="D304" s="6"/>
      <c r="E304" s="6"/>
      <c r="F304" s="6"/>
      <c r="G304" s="6"/>
      <c r="H304" s="6"/>
      <c r="I304" s="6"/>
      <c r="J304" s="6"/>
      <c r="K304" s="6"/>
      <c r="L304" s="80"/>
      <c r="M304" s="80"/>
      <c r="N304" s="80"/>
      <c r="O304" s="80"/>
      <c r="P304" s="6"/>
      <c r="Q304" s="6"/>
      <c r="R304" s="6"/>
      <c r="S304" s="6"/>
      <c r="T304" s="6"/>
      <c r="U304" s="6"/>
      <c r="V304" s="6"/>
      <c r="W304" s="7"/>
      <c r="X304" s="7"/>
      <c r="Y304" s="7"/>
      <c r="Z304" s="7"/>
    </row>
    <row r="305">
      <c r="A305" s="6"/>
      <c r="B305" s="6"/>
      <c r="C305" s="6"/>
      <c r="D305" s="6"/>
      <c r="E305" s="6"/>
      <c r="F305" s="6"/>
      <c r="G305" s="6"/>
      <c r="H305" s="6"/>
      <c r="I305" s="6"/>
      <c r="J305" s="6"/>
      <c r="K305" s="6"/>
      <c r="L305" s="80"/>
      <c r="M305" s="80"/>
      <c r="N305" s="80"/>
      <c r="O305" s="80"/>
      <c r="P305" s="6"/>
      <c r="Q305" s="6"/>
      <c r="R305" s="6"/>
      <c r="S305" s="6"/>
      <c r="T305" s="6"/>
      <c r="U305" s="6"/>
      <c r="V305" s="6"/>
      <c r="W305" s="7"/>
      <c r="X305" s="7"/>
      <c r="Y305" s="7"/>
      <c r="Z305" s="7"/>
    </row>
    <row r="306">
      <c r="A306" s="6"/>
      <c r="B306" s="6"/>
      <c r="C306" s="6"/>
      <c r="D306" s="6"/>
      <c r="E306" s="6"/>
      <c r="F306" s="6"/>
      <c r="G306" s="6"/>
      <c r="H306" s="6"/>
      <c r="I306" s="6"/>
      <c r="J306" s="6"/>
      <c r="K306" s="6"/>
      <c r="L306" s="80"/>
      <c r="M306" s="80"/>
      <c r="N306" s="80"/>
      <c r="O306" s="80"/>
      <c r="P306" s="6"/>
      <c r="Q306" s="6"/>
      <c r="R306" s="6"/>
      <c r="S306" s="6"/>
      <c r="T306" s="6"/>
      <c r="U306" s="6"/>
      <c r="V306" s="6"/>
      <c r="W306" s="7"/>
      <c r="X306" s="7"/>
      <c r="Y306" s="7"/>
      <c r="Z306" s="7"/>
    </row>
    <row r="307">
      <c r="A307" s="6"/>
      <c r="B307" s="6"/>
      <c r="C307" s="6"/>
      <c r="D307" s="6"/>
      <c r="E307" s="6"/>
      <c r="F307" s="6"/>
      <c r="G307" s="6"/>
      <c r="H307" s="6"/>
      <c r="I307" s="6"/>
      <c r="J307" s="6"/>
      <c r="K307" s="6"/>
      <c r="L307" s="80"/>
      <c r="M307" s="80"/>
      <c r="N307" s="80"/>
      <c r="O307" s="80"/>
      <c r="P307" s="6"/>
      <c r="Q307" s="6"/>
      <c r="R307" s="6"/>
      <c r="S307" s="6"/>
      <c r="T307" s="6"/>
      <c r="U307" s="6"/>
      <c r="V307" s="6"/>
      <c r="W307" s="7"/>
      <c r="X307" s="7"/>
      <c r="Y307" s="7"/>
      <c r="Z307" s="7"/>
    </row>
    <row r="308">
      <c r="A308" s="6"/>
      <c r="B308" s="6"/>
      <c r="C308" s="6"/>
      <c r="D308" s="6"/>
      <c r="E308" s="6"/>
      <c r="F308" s="6"/>
      <c r="G308" s="6"/>
      <c r="H308" s="6"/>
      <c r="I308" s="6"/>
      <c r="J308" s="6"/>
      <c r="K308" s="6"/>
      <c r="L308" s="80"/>
      <c r="M308" s="80"/>
      <c r="N308" s="80"/>
      <c r="O308" s="80"/>
      <c r="P308" s="6"/>
      <c r="Q308" s="6"/>
      <c r="R308" s="6"/>
      <c r="S308" s="6"/>
      <c r="T308" s="6"/>
      <c r="U308" s="6"/>
      <c r="V308" s="6"/>
      <c r="W308" s="7"/>
      <c r="X308" s="7"/>
      <c r="Y308" s="7"/>
      <c r="Z308" s="7"/>
    </row>
    <row r="309">
      <c r="A309" s="6"/>
      <c r="B309" s="6"/>
      <c r="C309" s="6"/>
      <c r="D309" s="6"/>
      <c r="E309" s="6"/>
      <c r="F309" s="6"/>
      <c r="G309" s="6"/>
      <c r="H309" s="6"/>
      <c r="I309" s="6"/>
      <c r="J309" s="6"/>
      <c r="K309" s="6"/>
      <c r="L309" s="80"/>
      <c r="M309" s="80"/>
      <c r="N309" s="80"/>
      <c r="O309" s="80"/>
      <c r="P309" s="6"/>
      <c r="Q309" s="6"/>
      <c r="R309" s="6"/>
      <c r="S309" s="6"/>
      <c r="T309" s="6"/>
      <c r="U309" s="6"/>
      <c r="V309" s="6"/>
      <c r="W309" s="7"/>
      <c r="X309" s="7"/>
      <c r="Y309" s="7"/>
      <c r="Z309" s="7"/>
    </row>
    <row r="310">
      <c r="A310" s="6"/>
      <c r="B310" s="6"/>
      <c r="C310" s="6"/>
      <c r="D310" s="6"/>
      <c r="E310" s="6"/>
      <c r="F310" s="6"/>
      <c r="G310" s="6"/>
      <c r="H310" s="6"/>
      <c r="I310" s="6"/>
      <c r="J310" s="6"/>
      <c r="K310" s="6"/>
      <c r="L310" s="80"/>
      <c r="M310" s="80"/>
      <c r="N310" s="80"/>
      <c r="O310" s="80"/>
      <c r="P310" s="6"/>
      <c r="Q310" s="6"/>
      <c r="R310" s="6"/>
      <c r="S310" s="6"/>
      <c r="T310" s="6"/>
      <c r="U310" s="6"/>
      <c r="V310" s="6"/>
      <c r="W310" s="7"/>
      <c r="X310" s="7"/>
      <c r="Y310" s="7"/>
      <c r="Z310" s="7"/>
    </row>
    <row r="311">
      <c r="A311" s="6"/>
      <c r="B311" s="6"/>
      <c r="C311" s="6"/>
      <c r="D311" s="6"/>
      <c r="E311" s="6"/>
      <c r="F311" s="6"/>
      <c r="G311" s="6"/>
      <c r="H311" s="6"/>
      <c r="I311" s="6"/>
      <c r="J311" s="6"/>
      <c r="K311" s="6"/>
      <c r="L311" s="80"/>
      <c r="M311" s="80"/>
      <c r="N311" s="80"/>
      <c r="O311" s="80"/>
      <c r="P311" s="6"/>
      <c r="Q311" s="6"/>
      <c r="R311" s="6"/>
      <c r="S311" s="6"/>
      <c r="T311" s="6"/>
      <c r="U311" s="6"/>
      <c r="V311" s="6"/>
      <c r="W311" s="7"/>
      <c r="X311" s="7"/>
      <c r="Y311" s="7"/>
      <c r="Z311" s="7"/>
    </row>
    <row r="312">
      <c r="A312" s="6"/>
      <c r="B312" s="6"/>
      <c r="C312" s="6"/>
      <c r="D312" s="6"/>
      <c r="E312" s="6"/>
      <c r="F312" s="6"/>
      <c r="G312" s="6"/>
      <c r="H312" s="6"/>
      <c r="I312" s="6"/>
      <c r="J312" s="6"/>
      <c r="K312" s="6"/>
      <c r="L312" s="80"/>
      <c r="M312" s="80"/>
      <c r="N312" s="80"/>
      <c r="O312" s="80"/>
      <c r="P312" s="6"/>
      <c r="Q312" s="6"/>
      <c r="R312" s="6"/>
      <c r="S312" s="6"/>
      <c r="T312" s="6"/>
      <c r="U312" s="6"/>
      <c r="V312" s="6"/>
      <c r="W312" s="7"/>
      <c r="X312" s="7"/>
      <c r="Y312" s="7"/>
      <c r="Z312" s="7"/>
    </row>
    <row r="313">
      <c r="A313" s="6"/>
      <c r="B313" s="6"/>
      <c r="C313" s="6"/>
      <c r="D313" s="6"/>
      <c r="E313" s="6"/>
      <c r="F313" s="6"/>
      <c r="G313" s="6"/>
      <c r="H313" s="6"/>
      <c r="I313" s="6"/>
      <c r="J313" s="6"/>
      <c r="K313" s="6"/>
      <c r="L313" s="80"/>
      <c r="M313" s="80"/>
      <c r="N313" s="80"/>
      <c r="O313" s="80"/>
      <c r="P313" s="6"/>
      <c r="Q313" s="6"/>
      <c r="R313" s="6"/>
      <c r="S313" s="6"/>
      <c r="T313" s="6"/>
      <c r="U313" s="6"/>
      <c r="V313" s="6"/>
      <c r="W313" s="7"/>
      <c r="X313" s="7"/>
      <c r="Y313" s="7"/>
      <c r="Z313" s="7"/>
    </row>
    <row r="314">
      <c r="A314" s="6"/>
      <c r="B314" s="6"/>
      <c r="C314" s="6"/>
      <c r="D314" s="6"/>
      <c r="E314" s="6"/>
      <c r="F314" s="6"/>
      <c r="G314" s="6"/>
      <c r="H314" s="6"/>
      <c r="I314" s="6"/>
      <c r="J314" s="6"/>
      <c r="K314" s="6"/>
      <c r="L314" s="80"/>
      <c r="M314" s="80"/>
      <c r="N314" s="80"/>
      <c r="O314" s="80"/>
      <c r="P314" s="6"/>
      <c r="Q314" s="6"/>
      <c r="R314" s="6"/>
      <c r="S314" s="6"/>
      <c r="T314" s="6"/>
      <c r="U314" s="6"/>
      <c r="V314" s="6"/>
      <c r="W314" s="7"/>
      <c r="X314" s="7"/>
      <c r="Y314" s="7"/>
      <c r="Z314" s="7"/>
    </row>
    <row r="315">
      <c r="A315" s="6"/>
      <c r="B315" s="6"/>
      <c r="C315" s="6"/>
      <c r="D315" s="6"/>
      <c r="E315" s="6"/>
      <c r="F315" s="6"/>
      <c r="G315" s="6"/>
      <c r="H315" s="6"/>
      <c r="I315" s="6"/>
      <c r="J315" s="6"/>
      <c r="K315" s="6"/>
      <c r="L315" s="80"/>
      <c r="M315" s="80"/>
      <c r="N315" s="80"/>
      <c r="O315" s="80"/>
      <c r="P315" s="6"/>
      <c r="Q315" s="6"/>
      <c r="R315" s="6"/>
      <c r="S315" s="6"/>
      <c r="T315" s="6"/>
      <c r="U315" s="6"/>
      <c r="V315" s="6"/>
      <c r="W315" s="7"/>
      <c r="X315" s="7"/>
      <c r="Y315" s="7"/>
      <c r="Z315" s="7"/>
    </row>
    <row r="316">
      <c r="A316" s="6"/>
      <c r="B316" s="6"/>
      <c r="C316" s="6"/>
      <c r="D316" s="6"/>
      <c r="E316" s="6"/>
      <c r="F316" s="6"/>
      <c r="G316" s="6"/>
      <c r="H316" s="6"/>
      <c r="I316" s="6"/>
      <c r="J316" s="6"/>
      <c r="K316" s="6"/>
      <c r="L316" s="80"/>
      <c r="M316" s="80"/>
      <c r="N316" s="80"/>
      <c r="O316" s="80"/>
      <c r="P316" s="6"/>
      <c r="Q316" s="6"/>
      <c r="R316" s="6"/>
      <c r="S316" s="6"/>
      <c r="T316" s="6"/>
      <c r="U316" s="6"/>
      <c r="V316" s="6"/>
      <c r="W316" s="7"/>
      <c r="X316" s="7"/>
      <c r="Y316" s="7"/>
      <c r="Z316" s="7"/>
    </row>
    <row r="317">
      <c r="A317" s="6"/>
      <c r="B317" s="6"/>
      <c r="C317" s="6"/>
      <c r="D317" s="6"/>
      <c r="E317" s="6"/>
      <c r="F317" s="6"/>
      <c r="G317" s="6"/>
      <c r="H317" s="6"/>
      <c r="I317" s="6"/>
      <c r="J317" s="6"/>
      <c r="K317" s="6"/>
      <c r="L317" s="80"/>
      <c r="M317" s="80"/>
      <c r="N317" s="80"/>
      <c r="O317" s="80"/>
      <c r="P317" s="6"/>
      <c r="Q317" s="6"/>
      <c r="R317" s="6"/>
      <c r="S317" s="6"/>
      <c r="T317" s="6"/>
      <c r="U317" s="6"/>
      <c r="V317" s="6"/>
      <c r="W317" s="7"/>
      <c r="X317" s="7"/>
      <c r="Y317" s="7"/>
      <c r="Z317" s="7"/>
    </row>
    <row r="318">
      <c r="A318" s="6"/>
      <c r="B318" s="6"/>
      <c r="C318" s="6"/>
      <c r="D318" s="6"/>
      <c r="E318" s="6"/>
      <c r="F318" s="6"/>
      <c r="G318" s="6"/>
      <c r="H318" s="6"/>
      <c r="I318" s="6"/>
      <c r="J318" s="6"/>
      <c r="K318" s="6"/>
      <c r="L318" s="80"/>
      <c r="M318" s="80"/>
      <c r="N318" s="80"/>
      <c r="O318" s="80"/>
      <c r="P318" s="6"/>
      <c r="Q318" s="6"/>
      <c r="R318" s="6"/>
      <c r="S318" s="6"/>
      <c r="T318" s="6"/>
      <c r="U318" s="6"/>
      <c r="V318" s="6"/>
      <c r="W318" s="7"/>
      <c r="X318" s="7"/>
      <c r="Y318" s="7"/>
      <c r="Z318" s="7"/>
    </row>
    <row r="319">
      <c r="A319" s="6"/>
      <c r="B319" s="6"/>
      <c r="C319" s="6"/>
      <c r="D319" s="6"/>
      <c r="E319" s="6"/>
      <c r="F319" s="6"/>
      <c r="G319" s="6"/>
      <c r="H319" s="6"/>
      <c r="I319" s="6"/>
      <c r="J319" s="6"/>
      <c r="K319" s="6"/>
      <c r="L319" s="80"/>
      <c r="M319" s="80"/>
      <c r="N319" s="80"/>
      <c r="O319" s="80"/>
      <c r="P319" s="6"/>
      <c r="Q319" s="6"/>
      <c r="R319" s="6"/>
      <c r="S319" s="6"/>
      <c r="T319" s="6"/>
      <c r="U319" s="6"/>
      <c r="V319" s="6"/>
      <c r="W319" s="7"/>
      <c r="X319" s="7"/>
      <c r="Y319" s="7"/>
      <c r="Z319" s="7"/>
    </row>
    <row r="320">
      <c r="A320" s="6"/>
      <c r="B320" s="6"/>
      <c r="C320" s="6"/>
      <c r="D320" s="6"/>
      <c r="E320" s="6"/>
      <c r="F320" s="6"/>
      <c r="G320" s="6"/>
      <c r="H320" s="6"/>
      <c r="I320" s="6"/>
      <c r="J320" s="6"/>
      <c r="K320" s="6"/>
      <c r="L320" s="80"/>
      <c r="M320" s="80"/>
      <c r="N320" s="80"/>
      <c r="O320" s="80"/>
      <c r="P320" s="6"/>
      <c r="Q320" s="6"/>
      <c r="R320" s="6"/>
      <c r="S320" s="6"/>
      <c r="T320" s="6"/>
      <c r="U320" s="6"/>
      <c r="V320" s="6"/>
      <c r="W320" s="7"/>
      <c r="X320" s="7"/>
      <c r="Y320" s="7"/>
      <c r="Z320" s="7"/>
    </row>
    <row r="321">
      <c r="A321" s="6"/>
      <c r="B321" s="6"/>
      <c r="C321" s="6"/>
      <c r="D321" s="6"/>
      <c r="E321" s="6"/>
      <c r="F321" s="6"/>
      <c r="G321" s="6"/>
      <c r="H321" s="6"/>
      <c r="I321" s="6"/>
      <c r="J321" s="6"/>
      <c r="K321" s="6"/>
      <c r="L321" s="80"/>
      <c r="M321" s="80"/>
      <c r="N321" s="80"/>
      <c r="O321" s="80"/>
      <c r="P321" s="6"/>
      <c r="Q321" s="6"/>
      <c r="R321" s="6"/>
      <c r="S321" s="6"/>
      <c r="T321" s="6"/>
      <c r="U321" s="6"/>
      <c r="V321" s="6"/>
      <c r="W321" s="7"/>
      <c r="X321" s="7"/>
      <c r="Y321" s="7"/>
      <c r="Z321" s="7"/>
    </row>
    <row r="322">
      <c r="A322" s="6"/>
      <c r="B322" s="6"/>
      <c r="C322" s="6"/>
      <c r="D322" s="6"/>
      <c r="E322" s="6"/>
      <c r="F322" s="6"/>
      <c r="G322" s="6"/>
      <c r="H322" s="6"/>
      <c r="I322" s="6"/>
      <c r="J322" s="6"/>
      <c r="K322" s="6"/>
      <c r="L322" s="80"/>
      <c r="M322" s="80"/>
      <c r="N322" s="80"/>
      <c r="O322" s="80"/>
      <c r="P322" s="6"/>
      <c r="Q322" s="6"/>
      <c r="R322" s="6"/>
      <c r="S322" s="6"/>
      <c r="T322" s="6"/>
      <c r="U322" s="6"/>
      <c r="V322" s="6"/>
      <c r="W322" s="7"/>
      <c r="X322" s="7"/>
      <c r="Y322" s="7"/>
      <c r="Z322" s="7"/>
    </row>
    <row r="323">
      <c r="A323" s="6"/>
      <c r="B323" s="6"/>
      <c r="C323" s="6"/>
      <c r="D323" s="6"/>
      <c r="E323" s="6"/>
      <c r="F323" s="6"/>
      <c r="G323" s="6"/>
      <c r="H323" s="6"/>
      <c r="I323" s="6"/>
      <c r="J323" s="6"/>
      <c r="K323" s="6"/>
      <c r="L323" s="80"/>
      <c r="M323" s="80"/>
      <c r="N323" s="80"/>
      <c r="O323" s="80"/>
      <c r="P323" s="6"/>
      <c r="Q323" s="6"/>
      <c r="R323" s="6"/>
      <c r="S323" s="6"/>
      <c r="T323" s="6"/>
      <c r="U323" s="6"/>
      <c r="V323" s="6"/>
      <c r="W323" s="7"/>
      <c r="X323" s="7"/>
      <c r="Y323" s="7"/>
      <c r="Z323" s="7"/>
    </row>
    <row r="324">
      <c r="A324" s="6"/>
      <c r="B324" s="6"/>
      <c r="C324" s="6"/>
      <c r="D324" s="6"/>
      <c r="E324" s="6"/>
      <c r="F324" s="6"/>
      <c r="G324" s="6"/>
      <c r="H324" s="6"/>
      <c r="I324" s="6"/>
      <c r="J324" s="6"/>
      <c r="K324" s="6"/>
      <c r="L324" s="80"/>
      <c r="M324" s="80"/>
      <c r="N324" s="80"/>
      <c r="O324" s="80"/>
      <c r="P324" s="6"/>
      <c r="Q324" s="6"/>
      <c r="R324" s="6"/>
      <c r="S324" s="6"/>
      <c r="T324" s="6"/>
      <c r="U324" s="6"/>
      <c r="V324" s="6"/>
      <c r="W324" s="7"/>
      <c r="X324" s="7"/>
      <c r="Y324" s="7"/>
      <c r="Z324" s="7"/>
    </row>
    <row r="325">
      <c r="A325" s="6"/>
      <c r="B325" s="6"/>
      <c r="C325" s="6"/>
      <c r="D325" s="6"/>
      <c r="E325" s="6"/>
      <c r="F325" s="6"/>
      <c r="G325" s="6"/>
      <c r="H325" s="6"/>
      <c r="I325" s="6"/>
      <c r="J325" s="6"/>
      <c r="K325" s="6"/>
      <c r="L325" s="80"/>
      <c r="M325" s="80"/>
      <c r="N325" s="80"/>
      <c r="O325" s="80"/>
      <c r="P325" s="6"/>
      <c r="Q325" s="6"/>
      <c r="R325" s="6"/>
      <c r="S325" s="6"/>
      <c r="T325" s="6"/>
      <c r="U325" s="6"/>
      <c r="V325" s="6"/>
      <c r="W325" s="7"/>
      <c r="X325" s="7"/>
      <c r="Y325" s="7"/>
      <c r="Z325" s="7"/>
    </row>
    <row r="326">
      <c r="A326" s="6"/>
      <c r="B326" s="6"/>
      <c r="C326" s="6"/>
      <c r="D326" s="6"/>
      <c r="E326" s="6"/>
      <c r="F326" s="6"/>
      <c r="G326" s="6"/>
      <c r="H326" s="6"/>
      <c r="I326" s="6"/>
      <c r="J326" s="6"/>
      <c r="K326" s="6"/>
      <c r="L326" s="80"/>
      <c r="M326" s="80"/>
      <c r="N326" s="80"/>
      <c r="O326" s="80"/>
      <c r="P326" s="6"/>
      <c r="Q326" s="6"/>
      <c r="R326" s="6"/>
      <c r="S326" s="6"/>
      <c r="T326" s="6"/>
      <c r="U326" s="6"/>
      <c r="V326" s="6"/>
      <c r="W326" s="7"/>
      <c r="X326" s="7"/>
      <c r="Y326" s="7"/>
      <c r="Z326" s="7"/>
    </row>
    <row r="327">
      <c r="A327" s="6"/>
      <c r="B327" s="6"/>
      <c r="C327" s="6"/>
      <c r="D327" s="6"/>
      <c r="E327" s="6"/>
      <c r="F327" s="6"/>
      <c r="G327" s="6"/>
      <c r="H327" s="6"/>
      <c r="I327" s="6"/>
      <c r="J327" s="6"/>
      <c r="K327" s="6"/>
      <c r="L327" s="80"/>
      <c r="M327" s="80"/>
      <c r="N327" s="80"/>
      <c r="O327" s="80"/>
      <c r="P327" s="6"/>
      <c r="Q327" s="6"/>
      <c r="R327" s="6"/>
      <c r="S327" s="6"/>
      <c r="T327" s="6"/>
      <c r="U327" s="6"/>
      <c r="V327" s="6"/>
      <c r="W327" s="7"/>
      <c r="X327" s="7"/>
      <c r="Y327" s="7"/>
      <c r="Z327" s="7"/>
    </row>
    <row r="328">
      <c r="A328" s="6"/>
      <c r="B328" s="6"/>
      <c r="C328" s="6"/>
      <c r="D328" s="6"/>
      <c r="E328" s="6"/>
      <c r="F328" s="6"/>
      <c r="G328" s="6"/>
      <c r="H328" s="6"/>
      <c r="I328" s="6"/>
      <c r="J328" s="6"/>
      <c r="K328" s="6"/>
      <c r="L328" s="80"/>
      <c r="M328" s="80"/>
      <c r="N328" s="80"/>
      <c r="O328" s="80"/>
      <c r="P328" s="6"/>
      <c r="Q328" s="6"/>
      <c r="R328" s="6"/>
      <c r="S328" s="6"/>
      <c r="T328" s="6"/>
      <c r="U328" s="6"/>
      <c r="V328" s="6"/>
      <c r="W328" s="7"/>
      <c r="X328" s="7"/>
      <c r="Y328" s="7"/>
      <c r="Z328" s="7"/>
    </row>
    <row r="329">
      <c r="A329" s="6"/>
      <c r="B329" s="6"/>
      <c r="C329" s="6"/>
      <c r="D329" s="6"/>
      <c r="E329" s="6"/>
      <c r="F329" s="6"/>
      <c r="G329" s="6"/>
      <c r="H329" s="6"/>
      <c r="I329" s="6"/>
      <c r="J329" s="6"/>
      <c r="K329" s="6"/>
      <c r="L329" s="80"/>
      <c r="M329" s="80"/>
      <c r="N329" s="80"/>
      <c r="O329" s="80"/>
      <c r="P329" s="6"/>
      <c r="Q329" s="6"/>
      <c r="R329" s="6"/>
      <c r="S329" s="6"/>
      <c r="T329" s="6"/>
      <c r="U329" s="6"/>
      <c r="V329" s="6"/>
      <c r="W329" s="7"/>
      <c r="X329" s="7"/>
      <c r="Y329" s="7"/>
      <c r="Z329" s="7"/>
    </row>
    <row r="330">
      <c r="A330" s="6"/>
      <c r="B330" s="6"/>
      <c r="C330" s="6"/>
      <c r="D330" s="6"/>
      <c r="E330" s="6"/>
      <c r="F330" s="6"/>
      <c r="G330" s="6"/>
      <c r="H330" s="6"/>
      <c r="I330" s="6"/>
      <c r="J330" s="6"/>
      <c r="K330" s="6"/>
      <c r="L330" s="80"/>
      <c r="M330" s="80"/>
      <c r="N330" s="80"/>
      <c r="O330" s="80"/>
      <c r="P330" s="6"/>
      <c r="Q330" s="6"/>
      <c r="R330" s="6"/>
      <c r="S330" s="6"/>
      <c r="T330" s="6"/>
      <c r="U330" s="6"/>
      <c r="V330" s="6"/>
      <c r="W330" s="7"/>
      <c r="X330" s="7"/>
      <c r="Y330" s="7"/>
      <c r="Z330" s="7"/>
    </row>
    <row r="331">
      <c r="A331" s="6"/>
      <c r="B331" s="6"/>
      <c r="C331" s="6"/>
      <c r="D331" s="6"/>
      <c r="E331" s="6"/>
      <c r="F331" s="6"/>
      <c r="G331" s="6"/>
      <c r="H331" s="6"/>
      <c r="I331" s="6"/>
      <c r="J331" s="6"/>
      <c r="K331" s="6"/>
      <c r="L331" s="80"/>
      <c r="M331" s="80"/>
      <c r="N331" s="80"/>
      <c r="O331" s="80"/>
      <c r="P331" s="6"/>
      <c r="Q331" s="6"/>
      <c r="R331" s="6"/>
      <c r="S331" s="6"/>
      <c r="T331" s="6"/>
      <c r="U331" s="6"/>
      <c r="V331" s="6"/>
      <c r="W331" s="7"/>
      <c r="X331" s="7"/>
      <c r="Y331" s="7"/>
      <c r="Z331" s="7"/>
    </row>
    <row r="332">
      <c r="A332" s="6"/>
      <c r="B332" s="6"/>
      <c r="C332" s="6"/>
      <c r="D332" s="6"/>
      <c r="E332" s="6"/>
      <c r="F332" s="6"/>
      <c r="G332" s="6"/>
      <c r="H332" s="6"/>
      <c r="I332" s="6"/>
      <c r="J332" s="6"/>
      <c r="K332" s="6"/>
      <c r="L332" s="80"/>
      <c r="M332" s="80"/>
      <c r="N332" s="80"/>
      <c r="O332" s="80"/>
      <c r="P332" s="6"/>
      <c r="Q332" s="6"/>
      <c r="R332" s="6"/>
      <c r="S332" s="6"/>
      <c r="T332" s="6"/>
      <c r="U332" s="6"/>
      <c r="V332" s="6"/>
      <c r="W332" s="7"/>
      <c r="X332" s="7"/>
      <c r="Y332" s="7"/>
      <c r="Z332" s="7"/>
    </row>
    <row r="333">
      <c r="A333" s="6"/>
      <c r="B333" s="6"/>
      <c r="C333" s="6"/>
      <c r="D333" s="6"/>
      <c r="E333" s="6"/>
      <c r="F333" s="6"/>
      <c r="G333" s="6"/>
      <c r="H333" s="6"/>
      <c r="I333" s="6"/>
      <c r="J333" s="6"/>
      <c r="K333" s="6"/>
      <c r="L333" s="80"/>
      <c r="M333" s="80"/>
      <c r="N333" s="80"/>
      <c r="O333" s="80"/>
      <c r="P333" s="6"/>
      <c r="Q333" s="6"/>
      <c r="R333" s="6"/>
      <c r="S333" s="6"/>
      <c r="T333" s="6"/>
      <c r="U333" s="6"/>
      <c r="V333" s="6"/>
      <c r="W333" s="7"/>
      <c r="X333" s="7"/>
      <c r="Y333" s="7"/>
      <c r="Z333" s="7"/>
    </row>
    <row r="334">
      <c r="A334" s="6"/>
      <c r="B334" s="6"/>
      <c r="C334" s="6"/>
      <c r="D334" s="6"/>
      <c r="E334" s="6"/>
      <c r="F334" s="6"/>
      <c r="G334" s="6"/>
      <c r="H334" s="6"/>
      <c r="I334" s="6"/>
      <c r="J334" s="6"/>
      <c r="K334" s="6"/>
      <c r="L334" s="80"/>
      <c r="M334" s="80"/>
      <c r="N334" s="80"/>
      <c r="O334" s="80"/>
      <c r="P334" s="6"/>
      <c r="Q334" s="6"/>
      <c r="R334" s="6"/>
      <c r="S334" s="6"/>
      <c r="T334" s="6"/>
      <c r="U334" s="6"/>
      <c r="V334" s="6"/>
      <c r="W334" s="7"/>
      <c r="X334" s="7"/>
      <c r="Y334" s="7"/>
      <c r="Z334" s="7"/>
    </row>
    <row r="335">
      <c r="A335" s="6"/>
      <c r="B335" s="6"/>
      <c r="C335" s="6"/>
      <c r="D335" s="6"/>
      <c r="E335" s="6"/>
      <c r="F335" s="6"/>
      <c r="G335" s="6"/>
      <c r="H335" s="6"/>
      <c r="I335" s="6"/>
      <c r="J335" s="6"/>
      <c r="K335" s="6"/>
      <c r="L335" s="80"/>
      <c r="M335" s="80"/>
      <c r="N335" s="80"/>
      <c r="O335" s="80"/>
      <c r="P335" s="6"/>
      <c r="Q335" s="6"/>
      <c r="R335" s="6"/>
      <c r="S335" s="6"/>
      <c r="T335" s="6"/>
      <c r="U335" s="6"/>
      <c r="V335" s="6"/>
      <c r="W335" s="7"/>
      <c r="X335" s="7"/>
      <c r="Y335" s="7"/>
      <c r="Z335" s="7"/>
    </row>
    <row r="336">
      <c r="A336" s="6"/>
      <c r="B336" s="6"/>
      <c r="C336" s="6"/>
      <c r="D336" s="6"/>
      <c r="E336" s="6"/>
      <c r="F336" s="6"/>
      <c r="G336" s="6"/>
      <c r="H336" s="6"/>
      <c r="I336" s="6"/>
      <c r="J336" s="6"/>
      <c r="K336" s="6"/>
      <c r="L336" s="80"/>
      <c r="M336" s="80"/>
      <c r="N336" s="80"/>
      <c r="O336" s="80"/>
      <c r="P336" s="6"/>
      <c r="Q336" s="6"/>
      <c r="R336" s="6"/>
      <c r="S336" s="6"/>
      <c r="T336" s="6"/>
      <c r="U336" s="6"/>
      <c r="V336" s="6"/>
      <c r="W336" s="7"/>
      <c r="X336" s="7"/>
      <c r="Y336" s="7"/>
      <c r="Z336" s="7"/>
    </row>
    <row r="337">
      <c r="A337" s="6"/>
      <c r="B337" s="6"/>
      <c r="C337" s="6"/>
      <c r="D337" s="6"/>
      <c r="E337" s="6"/>
      <c r="F337" s="6"/>
      <c r="G337" s="6"/>
      <c r="H337" s="6"/>
      <c r="I337" s="6"/>
      <c r="J337" s="6"/>
      <c r="K337" s="6"/>
      <c r="L337" s="80"/>
      <c r="M337" s="80"/>
      <c r="N337" s="80"/>
      <c r="O337" s="80"/>
      <c r="P337" s="6"/>
      <c r="Q337" s="6"/>
      <c r="R337" s="6"/>
      <c r="S337" s="6"/>
      <c r="T337" s="6"/>
      <c r="U337" s="6"/>
      <c r="V337" s="6"/>
      <c r="W337" s="7"/>
      <c r="X337" s="7"/>
      <c r="Y337" s="7"/>
      <c r="Z337" s="7"/>
    </row>
    <row r="338">
      <c r="A338" s="6"/>
      <c r="B338" s="6"/>
      <c r="C338" s="6"/>
      <c r="D338" s="6"/>
      <c r="E338" s="6"/>
      <c r="F338" s="6"/>
      <c r="G338" s="6"/>
      <c r="H338" s="6"/>
      <c r="I338" s="6"/>
      <c r="J338" s="6"/>
      <c r="K338" s="6"/>
      <c r="L338" s="80"/>
      <c r="M338" s="80"/>
      <c r="N338" s="80"/>
      <c r="O338" s="80"/>
      <c r="P338" s="6"/>
      <c r="Q338" s="6"/>
      <c r="R338" s="6"/>
      <c r="S338" s="6"/>
      <c r="T338" s="6"/>
      <c r="U338" s="6"/>
      <c r="V338" s="6"/>
      <c r="W338" s="7"/>
      <c r="X338" s="7"/>
      <c r="Y338" s="7"/>
      <c r="Z338" s="7"/>
    </row>
    <row r="339">
      <c r="A339" s="6"/>
      <c r="B339" s="6"/>
      <c r="C339" s="6"/>
      <c r="D339" s="6"/>
      <c r="E339" s="6"/>
      <c r="F339" s="6"/>
      <c r="G339" s="6"/>
      <c r="H339" s="6"/>
      <c r="I339" s="6"/>
      <c r="J339" s="6"/>
      <c r="K339" s="6"/>
      <c r="L339" s="80"/>
      <c r="M339" s="80"/>
      <c r="N339" s="80"/>
      <c r="O339" s="80"/>
      <c r="P339" s="6"/>
      <c r="Q339" s="6"/>
      <c r="R339" s="6"/>
      <c r="S339" s="6"/>
      <c r="T339" s="6"/>
      <c r="U339" s="6"/>
      <c r="V339" s="6"/>
      <c r="W339" s="7"/>
      <c r="X339" s="7"/>
      <c r="Y339" s="7"/>
      <c r="Z339" s="7"/>
    </row>
    <row r="340">
      <c r="A340" s="6"/>
      <c r="B340" s="6"/>
      <c r="C340" s="6"/>
      <c r="D340" s="6"/>
      <c r="E340" s="6"/>
      <c r="F340" s="6"/>
      <c r="G340" s="6"/>
      <c r="H340" s="6"/>
      <c r="I340" s="6"/>
      <c r="J340" s="6"/>
      <c r="K340" s="6"/>
      <c r="L340" s="80"/>
      <c r="M340" s="80"/>
      <c r="N340" s="80"/>
      <c r="O340" s="80"/>
      <c r="P340" s="6"/>
      <c r="Q340" s="6"/>
      <c r="R340" s="6"/>
      <c r="S340" s="6"/>
      <c r="T340" s="6"/>
      <c r="U340" s="6"/>
      <c r="V340" s="6"/>
      <c r="W340" s="7"/>
      <c r="X340" s="7"/>
      <c r="Y340" s="7"/>
      <c r="Z340" s="7"/>
    </row>
    <row r="341">
      <c r="A341" s="6"/>
      <c r="B341" s="6"/>
      <c r="C341" s="6"/>
      <c r="D341" s="6"/>
      <c r="E341" s="6"/>
      <c r="F341" s="6"/>
      <c r="G341" s="6"/>
      <c r="H341" s="6"/>
      <c r="I341" s="6"/>
      <c r="J341" s="6"/>
      <c r="K341" s="6"/>
      <c r="L341" s="80"/>
      <c r="M341" s="80"/>
      <c r="N341" s="80"/>
      <c r="O341" s="80"/>
      <c r="P341" s="6"/>
      <c r="Q341" s="6"/>
      <c r="R341" s="6"/>
      <c r="S341" s="6"/>
      <c r="T341" s="6"/>
      <c r="U341" s="6"/>
      <c r="V341" s="6"/>
      <c r="W341" s="7"/>
      <c r="X341" s="7"/>
      <c r="Y341" s="7"/>
      <c r="Z341" s="7"/>
    </row>
    <row r="342">
      <c r="A342" s="6"/>
      <c r="B342" s="6"/>
      <c r="C342" s="6"/>
      <c r="D342" s="6"/>
      <c r="E342" s="6"/>
      <c r="F342" s="6"/>
      <c r="G342" s="6"/>
      <c r="H342" s="6"/>
      <c r="I342" s="6"/>
      <c r="J342" s="6"/>
      <c r="K342" s="6"/>
      <c r="L342" s="80"/>
      <c r="M342" s="80"/>
      <c r="N342" s="80"/>
      <c r="O342" s="80"/>
      <c r="P342" s="6"/>
      <c r="Q342" s="6"/>
      <c r="R342" s="6"/>
      <c r="S342" s="6"/>
      <c r="T342" s="6"/>
      <c r="U342" s="6"/>
      <c r="V342" s="6"/>
      <c r="W342" s="7"/>
      <c r="X342" s="7"/>
      <c r="Y342" s="7"/>
      <c r="Z342" s="7"/>
    </row>
    <row r="343">
      <c r="A343" s="6"/>
      <c r="B343" s="6"/>
      <c r="C343" s="6"/>
      <c r="D343" s="6"/>
      <c r="E343" s="6"/>
      <c r="F343" s="6"/>
      <c r="G343" s="6"/>
      <c r="H343" s="6"/>
      <c r="I343" s="6"/>
      <c r="J343" s="6"/>
      <c r="K343" s="6"/>
      <c r="L343" s="80"/>
      <c r="M343" s="80"/>
      <c r="N343" s="80"/>
      <c r="O343" s="80"/>
      <c r="P343" s="6"/>
      <c r="Q343" s="6"/>
      <c r="R343" s="6"/>
      <c r="S343" s="6"/>
      <c r="T343" s="6"/>
      <c r="U343" s="6"/>
      <c r="V343" s="6"/>
      <c r="W343" s="7"/>
      <c r="X343" s="7"/>
      <c r="Y343" s="7"/>
      <c r="Z343" s="7"/>
    </row>
    <row r="344">
      <c r="A344" s="6"/>
      <c r="B344" s="6"/>
      <c r="C344" s="6"/>
      <c r="D344" s="6"/>
      <c r="E344" s="6"/>
      <c r="F344" s="6"/>
      <c r="G344" s="6"/>
      <c r="H344" s="6"/>
      <c r="I344" s="6"/>
      <c r="J344" s="6"/>
      <c r="K344" s="6"/>
      <c r="L344" s="80"/>
      <c r="M344" s="80"/>
      <c r="N344" s="80"/>
      <c r="O344" s="80"/>
      <c r="P344" s="6"/>
      <c r="Q344" s="6"/>
      <c r="R344" s="6"/>
      <c r="S344" s="6"/>
      <c r="T344" s="6"/>
      <c r="U344" s="6"/>
      <c r="V344" s="6"/>
      <c r="W344" s="7"/>
      <c r="X344" s="7"/>
      <c r="Y344" s="7"/>
      <c r="Z344" s="7"/>
    </row>
    <row r="345">
      <c r="A345" s="6"/>
      <c r="B345" s="6"/>
      <c r="C345" s="6"/>
      <c r="D345" s="6"/>
      <c r="E345" s="6"/>
      <c r="F345" s="6"/>
      <c r="G345" s="6"/>
      <c r="H345" s="6"/>
      <c r="I345" s="6"/>
      <c r="J345" s="6"/>
      <c r="K345" s="6"/>
      <c r="L345" s="80"/>
      <c r="M345" s="80"/>
      <c r="N345" s="80"/>
      <c r="O345" s="80"/>
      <c r="P345" s="6"/>
      <c r="Q345" s="6"/>
      <c r="R345" s="6"/>
      <c r="S345" s="6"/>
      <c r="T345" s="6"/>
      <c r="U345" s="6"/>
      <c r="V345" s="6"/>
      <c r="W345" s="7"/>
      <c r="X345" s="7"/>
      <c r="Y345" s="7"/>
      <c r="Z345" s="7"/>
    </row>
    <row r="346">
      <c r="A346" s="6"/>
      <c r="B346" s="6"/>
      <c r="C346" s="6"/>
      <c r="D346" s="6"/>
      <c r="E346" s="6"/>
      <c r="F346" s="6"/>
      <c r="G346" s="6"/>
      <c r="H346" s="6"/>
      <c r="I346" s="6"/>
      <c r="J346" s="6"/>
      <c r="K346" s="6"/>
      <c r="L346" s="80"/>
      <c r="M346" s="80"/>
      <c r="N346" s="80"/>
      <c r="O346" s="80"/>
      <c r="P346" s="6"/>
      <c r="Q346" s="6"/>
      <c r="R346" s="6"/>
      <c r="S346" s="6"/>
      <c r="T346" s="6"/>
      <c r="U346" s="6"/>
      <c r="V346" s="6"/>
      <c r="W346" s="7"/>
      <c r="X346" s="7"/>
      <c r="Y346" s="7"/>
      <c r="Z346" s="7"/>
    </row>
    <row r="347">
      <c r="A347" s="6"/>
      <c r="B347" s="6"/>
      <c r="C347" s="6"/>
      <c r="D347" s="6"/>
      <c r="E347" s="6"/>
      <c r="F347" s="6"/>
      <c r="G347" s="6"/>
      <c r="H347" s="6"/>
      <c r="I347" s="6"/>
      <c r="J347" s="6"/>
      <c r="K347" s="6"/>
      <c r="L347" s="80"/>
      <c r="M347" s="80"/>
      <c r="N347" s="80"/>
      <c r="O347" s="80"/>
      <c r="P347" s="6"/>
      <c r="Q347" s="6"/>
      <c r="R347" s="6"/>
      <c r="S347" s="6"/>
      <c r="T347" s="6"/>
      <c r="U347" s="6"/>
      <c r="V347" s="6"/>
      <c r="W347" s="7"/>
      <c r="X347" s="7"/>
      <c r="Y347" s="7"/>
      <c r="Z347" s="7"/>
    </row>
    <row r="348">
      <c r="A348" s="6"/>
      <c r="B348" s="6"/>
      <c r="C348" s="6"/>
      <c r="D348" s="6"/>
      <c r="E348" s="6"/>
      <c r="F348" s="6"/>
      <c r="G348" s="6"/>
      <c r="H348" s="6"/>
      <c r="I348" s="6"/>
      <c r="J348" s="6"/>
      <c r="K348" s="6"/>
      <c r="L348" s="80"/>
      <c r="M348" s="80"/>
      <c r="N348" s="80"/>
      <c r="O348" s="80"/>
      <c r="P348" s="6"/>
      <c r="Q348" s="6"/>
      <c r="R348" s="6"/>
      <c r="S348" s="6"/>
      <c r="T348" s="6"/>
      <c r="U348" s="6"/>
      <c r="V348" s="6"/>
      <c r="W348" s="7"/>
      <c r="X348" s="7"/>
      <c r="Y348" s="7"/>
      <c r="Z348" s="7"/>
    </row>
    <row r="349">
      <c r="A349" s="6"/>
      <c r="B349" s="6"/>
      <c r="C349" s="6"/>
      <c r="D349" s="6"/>
      <c r="E349" s="6"/>
      <c r="F349" s="6"/>
      <c r="G349" s="6"/>
      <c r="H349" s="6"/>
      <c r="I349" s="6"/>
      <c r="J349" s="6"/>
      <c r="K349" s="6"/>
      <c r="L349" s="80"/>
      <c r="M349" s="80"/>
      <c r="N349" s="80"/>
      <c r="O349" s="80"/>
      <c r="P349" s="6"/>
      <c r="Q349" s="6"/>
      <c r="R349" s="6"/>
      <c r="S349" s="6"/>
      <c r="T349" s="6"/>
      <c r="U349" s="6"/>
      <c r="V349" s="6"/>
      <c r="W349" s="7"/>
      <c r="X349" s="7"/>
      <c r="Y349" s="7"/>
      <c r="Z349" s="7"/>
    </row>
    <row r="350">
      <c r="A350" s="6"/>
      <c r="B350" s="6"/>
      <c r="C350" s="6"/>
      <c r="D350" s="6"/>
      <c r="E350" s="6"/>
      <c r="F350" s="6"/>
      <c r="G350" s="6"/>
      <c r="H350" s="6"/>
      <c r="I350" s="6"/>
      <c r="J350" s="6"/>
      <c r="K350" s="6"/>
      <c r="L350" s="80"/>
      <c r="M350" s="80"/>
      <c r="N350" s="80"/>
      <c r="O350" s="80"/>
      <c r="P350" s="6"/>
      <c r="Q350" s="6"/>
      <c r="R350" s="6"/>
      <c r="S350" s="6"/>
      <c r="T350" s="6"/>
      <c r="U350" s="6"/>
      <c r="V350" s="6"/>
      <c r="W350" s="7"/>
      <c r="X350" s="7"/>
      <c r="Y350" s="7"/>
      <c r="Z350" s="7"/>
    </row>
    <row r="351">
      <c r="A351" s="6"/>
      <c r="B351" s="6"/>
      <c r="C351" s="6"/>
      <c r="D351" s="6"/>
      <c r="E351" s="6"/>
      <c r="F351" s="6"/>
      <c r="G351" s="6"/>
      <c r="H351" s="6"/>
      <c r="I351" s="6"/>
      <c r="J351" s="6"/>
      <c r="K351" s="6"/>
      <c r="L351" s="80"/>
      <c r="M351" s="80"/>
      <c r="N351" s="80"/>
      <c r="O351" s="80"/>
      <c r="P351" s="6"/>
      <c r="Q351" s="6"/>
      <c r="R351" s="6"/>
      <c r="S351" s="6"/>
      <c r="T351" s="6"/>
      <c r="U351" s="6"/>
      <c r="V351" s="6"/>
      <c r="W351" s="7"/>
      <c r="X351" s="7"/>
      <c r="Y351" s="7"/>
      <c r="Z351" s="7"/>
    </row>
    <row r="352">
      <c r="A352" s="6"/>
      <c r="B352" s="6"/>
      <c r="C352" s="6"/>
      <c r="D352" s="6"/>
      <c r="E352" s="6"/>
      <c r="F352" s="6"/>
      <c r="G352" s="6"/>
      <c r="H352" s="6"/>
      <c r="I352" s="6"/>
      <c r="J352" s="6"/>
      <c r="K352" s="6"/>
      <c r="L352" s="80"/>
      <c r="M352" s="80"/>
      <c r="N352" s="80"/>
      <c r="O352" s="80"/>
      <c r="P352" s="6"/>
      <c r="Q352" s="6"/>
      <c r="R352" s="6"/>
      <c r="S352" s="6"/>
      <c r="T352" s="6"/>
      <c r="U352" s="6"/>
      <c r="V352" s="6"/>
      <c r="W352" s="7"/>
      <c r="X352" s="7"/>
      <c r="Y352" s="7"/>
      <c r="Z352" s="7"/>
    </row>
    <row r="353">
      <c r="A353" s="6"/>
      <c r="B353" s="6"/>
      <c r="C353" s="6"/>
      <c r="D353" s="6"/>
      <c r="E353" s="6"/>
      <c r="F353" s="6"/>
      <c r="G353" s="6"/>
      <c r="H353" s="6"/>
      <c r="I353" s="6"/>
      <c r="J353" s="6"/>
      <c r="K353" s="6"/>
      <c r="L353" s="80"/>
      <c r="M353" s="80"/>
      <c r="N353" s="80"/>
      <c r="O353" s="80"/>
      <c r="P353" s="6"/>
      <c r="Q353" s="6"/>
      <c r="R353" s="6"/>
      <c r="S353" s="6"/>
      <c r="T353" s="6"/>
      <c r="U353" s="6"/>
      <c r="V353" s="6"/>
      <c r="W353" s="7"/>
      <c r="X353" s="7"/>
      <c r="Y353" s="7"/>
      <c r="Z353" s="7"/>
    </row>
    <row r="354">
      <c r="A354" s="6"/>
      <c r="B354" s="6"/>
      <c r="C354" s="6"/>
      <c r="D354" s="6"/>
      <c r="E354" s="6"/>
      <c r="F354" s="6"/>
      <c r="G354" s="6"/>
      <c r="H354" s="6"/>
      <c r="I354" s="6"/>
      <c r="J354" s="6"/>
      <c r="K354" s="6"/>
      <c r="L354" s="80"/>
      <c r="M354" s="80"/>
      <c r="N354" s="80"/>
      <c r="O354" s="80"/>
      <c r="P354" s="6"/>
      <c r="Q354" s="6"/>
      <c r="R354" s="6"/>
      <c r="S354" s="6"/>
      <c r="T354" s="6"/>
      <c r="U354" s="6"/>
      <c r="V354" s="6"/>
      <c r="W354" s="7"/>
      <c r="X354" s="7"/>
      <c r="Y354" s="7"/>
      <c r="Z354" s="7"/>
    </row>
    <row r="355">
      <c r="A355" s="6"/>
      <c r="B355" s="6"/>
      <c r="C355" s="6"/>
      <c r="D355" s="6"/>
      <c r="E355" s="6"/>
      <c r="F355" s="6"/>
      <c r="G355" s="6"/>
      <c r="H355" s="6"/>
      <c r="I355" s="6"/>
      <c r="J355" s="6"/>
      <c r="K355" s="6"/>
      <c r="L355" s="80"/>
      <c r="M355" s="80"/>
      <c r="N355" s="80"/>
      <c r="O355" s="80"/>
      <c r="P355" s="6"/>
      <c r="Q355" s="6"/>
      <c r="R355" s="6"/>
      <c r="S355" s="6"/>
      <c r="T355" s="6"/>
      <c r="U355" s="6"/>
      <c r="V355" s="6"/>
      <c r="W355" s="7"/>
      <c r="X355" s="7"/>
      <c r="Y355" s="7"/>
      <c r="Z355" s="7"/>
    </row>
    <row r="356">
      <c r="A356" s="6"/>
      <c r="B356" s="6"/>
      <c r="C356" s="6"/>
      <c r="D356" s="6"/>
      <c r="E356" s="6"/>
      <c r="F356" s="6"/>
      <c r="G356" s="6"/>
      <c r="H356" s="6"/>
      <c r="I356" s="6"/>
      <c r="J356" s="6"/>
      <c r="K356" s="6"/>
      <c r="L356" s="80"/>
      <c r="M356" s="80"/>
      <c r="N356" s="80"/>
      <c r="O356" s="80"/>
      <c r="P356" s="6"/>
      <c r="Q356" s="6"/>
      <c r="R356" s="6"/>
      <c r="S356" s="6"/>
      <c r="T356" s="6"/>
      <c r="U356" s="6"/>
      <c r="V356" s="6"/>
      <c r="W356" s="7"/>
      <c r="X356" s="7"/>
      <c r="Y356" s="7"/>
      <c r="Z356" s="7"/>
    </row>
    <row r="357">
      <c r="A357" s="6"/>
      <c r="B357" s="6"/>
      <c r="C357" s="6"/>
      <c r="D357" s="6"/>
      <c r="E357" s="6"/>
      <c r="F357" s="6"/>
      <c r="G357" s="6"/>
      <c r="H357" s="6"/>
      <c r="I357" s="6"/>
      <c r="J357" s="6"/>
      <c r="K357" s="6"/>
      <c r="L357" s="80"/>
      <c r="M357" s="80"/>
      <c r="N357" s="80"/>
      <c r="O357" s="80"/>
      <c r="P357" s="6"/>
      <c r="Q357" s="6"/>
      <c r="R357" s="6"/>
      <c r="S357" s="6"/>
      <c r="T357" s="6"/>
      <c r="U357" s="6"/>
      <c r="V357" s="6"/>
      <c r="W357" s="7"/>
      <c r="X357" s="7"/>
      <c r="Y357" s="7"/>
      <c r="Z357" s="7"/>
    </row>
    <row r="358">
      <c r="A358" s="6"/>
      <c r="B358" s="6"/>
      <c r="C358" s="6"/>
      <c r="D358" s="6"/>
      <c r="E358" s="6"/>
      <c r="F358" s="6"/>
      <c r="G358" s="6"/>
      <c r="H358" s="6"/>
      <c r="I358" s="6"/>
      <c r="J358" s="6"/>
      <c r="K358" s="6"/>
      <c r="L358" s="80"/>
      <c r="M358" s="80"/>
      <c r="N358" s="80"/>
      <c r="O358" s="80"/>
      <c r="P358" s="6"/>
      <c r="Q358" s="6"/>
      <c r="R358" s="6"/>
      <c r="S358" s="6"/>
      <c r="T358" s="6"/>
      <c r="U358" s="6"/>
      <c r="V358" s="6"/>
      <c r="W358" s="7"/>
      <c r="X358" s="7"/>
      <c r="Y358" s="7"/>
      <c r="Z358" s="7"/>
    </row>
    <row r="359">
      <c r="A359" s="6"/>
      <c r="B359" s="6"/>
      <c r="C359" s="6"/>
      <c r="D359" s="6"/>
      <c r="E359" s="6"/>
      <c r="F359" s="6"/>
      <c r="G359" s="6"/>
      <c r="H359" s="6"/>
      <c r="I359" s="6"/>
      <c r="J359" s="6"/>
      <c r="K359" s="6"/>
      <c r="L359" s="80"/>
      <c r="M359" s="80"/>
      <c r="N359" s="80"/>
      <c r="O359" s="80"/>
      <c r="P359" s="6"/>
      <c r="Q359" s="6"/>
      <c r="R359" s="6"/>
      <c r="S359" s="6"/>
      <c r="T359" s="6"/>
      <c r="U359" s="6"/>
      <c r="V359" s="6"/>
      <c r="W359" s="7"/>
      <c r="X359" s="7"/>
      <c r="Y359" s="7"/>
      <c r="Z359" s="7"/>
    </row>
    <row r="360">
      <c r="A360" s="6"/>
      <c r="B360" s="6"/>
      <c r="C360" s="6"/>
      <c r="D360" s="6"/>
      <c r="E360" s="6"/>
      <c r="F360" s="6"/>
      <c r="G360" s="6"/>
      <c r="H360" s="6"/>
      <c r="I360" s="6"/>
      <c r="J360" s="6"/>
      <c r="K360" s="6"/>
      <c r="L360" s="80"/>
      <c r="M360" s="80"/>
      <c r="N360" s="80"/>
      <c r="O360" s="80"/>
      <c r="P360" s="6"/>
      <c r="Q360" s="6"/>
      <c r="R360" s="6"/>
      <c r="S360" s="6"/>
      <c r="T360" s="6"/>
      <c r="U360" s="6"/>
      <c r="V360" s="6"/>
      <c r="W360" s="7"/>
      <c r="X360" s="7"/>
      <c r="Y360" s="7"/>
      <c r="Z360" s="7"/>
    </row>
    <row r="361">
      <c r="A361" s="6"/>
      <c r="B361" s="6"/>
      <c r="C361" s="6"/>
      <c r="D361" s="6"/>
      <c r="E361" s="6"/>
      <c r="F361" s="6"/>
      <c r="G361" s="6"/>
      <c r="H361" s="6"/>
      <c r="I361" s="6"/>
      <c r="J361" s="6"/>
      <c r="K361" s="6"/>
      <c r="L361" s="80"/>
      <c r="M361" s="80"/>
      <c r="N361" s="80"/>
      <c r="O361" s="80"/>
      <c r="P361" s="6"/>
      <c r="Q361" s="6"/>
      <c r="R361" s="6"/>
      <c r="S361" s="6"/>
      <c r="T361" s="6"/>
      <c r="U361" s="6"/>
      <c r="V361" s="6"/>
      <c r="W361" s="7"/>
      <c r="X361" s="7"/>
      <c r="Y361" s="7"/>
      <c r="Z361" s="7"/>
    </row>
    <row r="362">
      <c r="A362" s="6"/>
      <c r="B362" s="6"/>
      <c r="C362" s="6"/>
      <c r="D362" s="6"/>
      <c r="E362" s="6"/>
      <c r="F362" s="6"/>
      <c r="G362" s="6"/>
      <c r="H362" s="6"/>
      <c r="I362" s="6"/>
      <c r="J362" s="6"/>
      <c r="K362" s="6"/>
      <c r="L362" s="80"/>
      <c r="M362" s="80"/>
      <c r="N362" s="80"/>
      <c r="O362" s="80"/>
      <c r="P362" s="6"/>
      <c r="Q362" s="6"/>
      <c r="R362" s="6"/>
      <c r="S362" s="6"/>
      <c r="T362" s="6"/>
      <c r="U362" s="6"/>
      <c r="V362" s="6"/>
      <c r="W362" s="7"/>
      <c r="X362" s="7"/>
      <c r="Y362" s="7"/>
      <c r="Z362" s="7"/>
    </row>
    <row r="363">
      <c r="A363" s="6"/>
      <c r="B363" s="6"/>
      <c r="C363" s="6"/>
      <c r="D363" s="6"/>
      <c r="E363" s="6"/>
      <c r="F363" s="6"/>
      <c r="G363" s="6"/>
      <c r="H363" s="6"/>
      <c r="I363" s="6"/>
      <c r="J363" s="6"/>
      <c r="K363" s="6"/>
      <c r="L363" s="80"/>
      <c r="M363" s="80"/>
      <c r="N363" s="80"/>
      <c r="O363" s="80"/>
      <c r="P363" s="6"/>
      <c r="Q363" s="6"/>
      <c r="R363" s="6"/>
      <c r="S363" s="6"/>
      <c r="T363" s="6"/>
      <c r="U363" s="6"/>
      <c r="V363" s="6"/>
      <c r="W363" s="7"/>
      <c r="X363" s="7"/>
      <c r="Y363" s="7"/>
      <c r="Z363" s="7"/>
    </row>
    <row r="364">
      <c r="A364" s="6"/>
      <c r="B364" s="6"/>
      <c r="C364" s="6"/>
      <c r="D364" s="6"/>
      <c r="E364" s="6"/>
      <c r="F364" s="6"/>
      <c r="G364" s="6"/>
      <c r="H364" s="6"/>
      <c r="I364" s="6"/>
      <c r="J364" s="6"/>
      <c r="K364" s="6"/>
      <c r="L364" s="80"/>
      <c r="M364" s="80"/>
      <c r="N364" s="80"/>
      <c r="O364" s="80"/>
      <c r="P364" s="6"/>
      <c r="Q364" s="6"/>
      <c r="R364" s="6"/>
      <c r="S364" s="6"/>
      <c r="T364" s="6"/>
      <c r="U364" s="6"/>
      <c r="V364" s="6"/>
      <c r="W364" s="7"/>
      <c r="X364" s="7"/>
      <c r="Y364" s="7"/>
      <c r="Z364" s="7"/>
    </row>
    <row r="365">
      <c r="A365" s="6"/>
      <c r="B365" s="6"/>
      <c r="C365" s="6"/>
      <c r="D365" s="6"/>
      <c r="E365" s="6"/>
      <c r="F365" s="6"/>
      <c r="G365" s="6"/>
      <c r="H365" s="6"/>
      <c r="I365" s="6"/>
      <c r="J365" s="6"/>
      <c r="K365" s="6"/>
      <c r="L365" s="80"/>
      <c r="M365" s="80"/>
      <c r="N365" s="80"/>
      <c r="O365" s="80"/>
      <c r="P365" s="6"/>
      <c r="Q365" s="6"/>
      <c r="R365" s="6"/>
      <c r="S365" s="6"/>
      <c r="T365" s="6"/>
      <c r="U365" s="6"/>
      <c r="V365" s="6"/>
      <c r="W365" s="7"/>
      <c r="X365" s="7"/>
      <c r="Y365" s="7"/>
      <c r="Z365" s="7"/>
    </row>
    <row r="366">
      <c r="A366" s="6"/>
      <c r="B366" s="6"/>
      <c r="C366" s="6"/>
      <c r="D366" s="6"/>
      <c r="E366" s="6"/>
      <c r="F366" s="6"/>
      <c r="G366" s="6"/>
      <c r="H366" s="6"/>
      <c r="I366" s="6"/>
      <c r="J366" s="6"/>
      <c r="K366" s="6"/>
      <c r="L366" s="80"/>
      <c r="M366" s="80"/>
      <c r="N366" s="80"/>
      <c r="O366" s="80"/>
      <c r="P366" s="6"/>
      <c r="Q366" s="6"/>
      <c r="R366" s="6"/>
      <c r="S366" s="6"/>
      <c r="T366" s="6"/>
      <c r="U366" s="6"/>
      <c r="V366" s="6"/>
      <c r="W366" s="7"/>
      <c r="X366" s="7"/>
      <c r="Y366" s="7"/>
      <c r="Z366" s="7"/>
    </row>
    <row r="367">
      <c r="A367" s="6"/>
      <c r="B367" s="6"/>
      <c r="C367" s="6"/>
      <c r="D367" s="6"/>
      <c r="E367" s="6"/>
      <c r="F367" s="6"/>
      <c r="G367" s="6"/>
      <c r="H367" s="6"/>
      <c r="I367" s="6"/>
      <c r="J367" s="6"/>
      <c r="K367" s="6"/>
      <c r="L367" s="80"/>
      <c r="M367" s="80"/>
      <c r="N367" s="80"/>
      <c r="O367" s="80"/>
      <c r="P367" s="6"/>
      <c r="Q367" s="6"/>
      <c r="R367" s="6"/>
      <c r="S367" s="6"/>
      <c r="T367" s="6"/>
      <c r="U367" s="6"/>
      <c r="V367" s="6"/>
      <c r="W367" s="7"/>
      <c r="X367" s="7"/>
      <c r="Y367" s="7"/>
      <c r="Z367" s="7"/>
    </row>
    <row r="368">
      <c r="A368" s="6"/>
      <c r="B368" s="6"/>
      <c r="C368" s="6"/>
      <c r="D368" s="6"/>
      <c r="E368" s="6"/>
      <c r="F368" s="6"/>
      <c r="G368" s="6"/>
      <c r="H368" s="6"/>
      <c r="I368" s="6"/>
      <c r="J368" s="6"/>
      <c r="K368" s="6"/>
      <c r="L368" s="80"/>
      <c r="M368" s="80"/>
      <c r="N368" s="80"/>
      <c r="O368" s="80"/>
      <c r="P368" s="6"/>
      <c r="Q368" s="6"/>
      <c r="R368" s="6"/>
      <c r="S368" s="6"/>
      <c r="T368" s="6"/>
      <c r="U368" s="6"/>
      <c r="V368" s="6"/>
      <c r="W368" s="7"/>
      <c r="X368" s="7"/>
      <c r="Y368" s="7"/>
      <c r="Z368" s="7"/>
    </row>
    <row r="369">
      <c r="A369" s="6"/>
      <c r="B369" s="6"/>
      <c r="C369" s="6"/>
      <c r="D369" s="6"/>
      <c r="E369" s="6"/>
      <c r="F369" s="6"/>
      <c r="G369" s="6"/>
      <c r="H369" s="6"/>
      <c r="I369" s="6"/>
      <c r="J369" s="6"/>
      <c r="K369" s="6"/>
      <c r="L369" s="80"/>
      <c r="M369" s="80"/>
      <c r="N369" s="80"/>
      <c r="O369" s="80"/>
      <c r="P369" s="6"/>
      <c r="Q369" s="6"/>
      <c r="R369" s="6"/>
      <c r="S369" s="6"/>
      <c r="T369" s="6"/>
      <c r="U369" s="6"/>
      <c r="V369" s="6"/>
      <c r="W369" s="7"/>
      <c r="X369" s="7"/>
      <c r="Y369" s="7"/>
      <c r="Z369" s="7"/>
    </row>
    <row r="370">
      <c r="A370" s="6"/>
      <c r="B370" s="6"/>
      <c r="C370" s="6"/>
      <c r="D370" s="6"/>
      <c r="E370" s="6"/>
      <c r="F370" s="6"/>
      <c r="G370" s="6"/>
      <c r="H370" s="6"/>
      <c r="I370" s="6"/>
      <c r="J370" s="6"/>
      <c r="K370" s="6"/>
      <c r="L370" s="80"/>
      <c r="M370" s="80"/>
      <c r="N370" s="80"/>
      <c r="O370" s="80"/>
      <c r="P370" s="6"/>
      <c r="Q370" s="6"/>
      <c r="R370" s="6"/>
      <c r="S370" s="6"/>
      <c r="T370" s="6"/>
      <c r="U370" s="6"/>
      <c r="V370" s="6"/>
      <c r="W370" s="7"/>
      <c r="X370" s="7"/>
      <c r="Y370" s="7"/>
      <c r="Z370" s="7"/>
    </row>
    <row r="371">
      <c r="A371" s="6"/>
      <c r="B371" s="6"/>
      <c r="C371" s="6"/>
      <c r="D371" s="6"/>
      <c r="E371" s="6"/>
      <c r="F371" s="6"/>
      <c r="G371" s="6"/>
      <c r="H371" s="6"/>
      <c r="I371" s="6"/>
      <c r="J371" s="6"/>
      <c r="K371" s="6"/>
      <c r="L371" s="80"/>
      <c r="M371" s="80"/>
      <c r="N371" s="80"/>
      <c r="O371" s="80"/>
      <c r="P371" s="6"/>
      <c r="Q371" s="6"/>
      <c r="R371" s="6"/>
      <c r="S371" s="6"/>
      <c r="T371" s="6"/>
      <c r="U371" s="6"/>
      <c r="V371" s="6"/>
      <c r="W371" s="7"/>
      <c r="X371" s="7"/>
      <c r="Y371" s="7"/>
      <c r="Z371" s="7"/>
    </row>
    <row r="372">
      <c r="A372" s="6"/>
      <c r="B372" s="6"/>
      <c r="C372" s="6"/>
      <c r="D372" s="6"/>
      <c r="E372" s="6"/>
      <c r="F372" s="6"/>
      <c r="G372" s="6"/>
      <c r="H372" s="6"/>
      <c r="I372" s="6"/>
      <c r="J372" s="6"/>
      <c r="K372" s="6"/>
      <c r="L372" s="80"/>
      <c r="M372" s="80"/>
      <c r="N372" s="80"/>
      <c r="O372" s="80"/>
      <c r="P372" s="6"/>
      <c r="Q372" s="6"/>
      <c r="R372" s="6"/>
      <c r="S372" s="6"/>
      <c r="T372" s="6"/>
      <c r="U372" s="6"/>
      <c r="V372" s="6"/>
      <c r="W372" s="7"/>
      <c r="X372" s="7"/>
      <c r="Y372" s="7"/>
      <c r="Z372" s="7"/>
    </row>
    <row r="373">
      <c r="A373" s="6"/>
      <c r="B373" s="6"/>
      <c r="C373" s="6"/>
      <c r="D373" s="6"/>
      <c r="E373" s="6"/>
      <c r="F373" s="6"/>
      <c r="G373" s="6"/>
      <c r="H373" s="6"/>
      <c r="I373" s="6"/>
      <c r="J373" s="6"/>
      <c r="K373" s="6"/>
      <c r="L373" s="80"/>
      <c r="M373" s="80"/>
      <c r="N373" s="80"/>
      <c r="O373" s="80"/>
      <c r="P373" s="6"/>
      <c r="Q373" s="6"/>
      <c r="R373" s="6"/>
      <c r="S373" s="6"/>
      <c r="T373" s="6"/>
      <c r="U373" s="6"/>
      <c r="V373" s="6"/>
      <c r="W373" s="7"/>
      <c r="X373" s="7"/>
      <c r="Y373" s="7"/>
      <c r="Z373" s="7"/>
    </row>
    <row r="374">
      <c r="A374" s="6"/>
      <c r="B374" s="6"/>
      <c r="C374" s="6"/>
      <c r="D374" s="6"/>
      <c r="E374" s="6"/>
      <c r="F374" s="6"/>
      <c r="G374" s="6"/>
      <c r="H374" s="6"/>
      <c r="I374" s="6"/>
      <c r="J374" s="6"/>
      <c r="K374" s="6"/>
      <c r="L374" s="80"/>
      <c r="M374" s="80"/>
      <c r="N374" s="80"/>
      <c r="O374" s="80"/>
      <c r="P374" s="6"/>
      <c r="Q374" s="6"/>
      <c r="R374" s="6"/>
      <c r="S374" s="6"/>
      <c r="T374" s="6"/>
      <c r="U374" s="6"/>
      <c r="V374" s="6"/>
      <c r="W374" s="7"/>
      <c r="X374" s="7"/>
      <c r="Y374" s="7"/>
      <c r="Z374" s="7"/>
    </row>
    <row r="375">
      <c r="A375" s="6"/>
      <c r="B375" s="6"/>
      <c r="C375" s="6"/>
      <c r="D375" s="6"/>
      <c r="E375" s="6"/>
      <c r="F375" s="6"/>
      <c r="G375" s="6"/>
      <c r="H375" s="6"/>
      <c r="I375" s="6"/>
      <c r="J375" s="6"/>
      <c r="K375" s="6"/>
      <c r="L375" s="80"/>
      <c r="M375" s="80"/>
      <c r="N375" s="80"/>
      <c r="O375" s="80"/>
      <c r="P375" s="6"/>
      <c r="Q375" s="6"/>
      <c r="R375" s="6"/>
      <c r="S375" s="6"/>
      <c r="T375" s="6"/>
      <c r="U375" s="6"/>
      <c r="V375" s="6"/>
      <c r="W375" s="7"/>
      <c r="X375" s="7"/>
      <c r="Y375" s="7"/>
      <c r="Z375" s="7"/>
    </row>
    <row r="376">
      <c r="A376" s="6"/>
      <c r="B376" s="6"/>
      <c r="C376" s="6"/>
      <c r="D376" s="6"/>
      <c r="E376" s="6"/>
      <c r="F376" s="6"/>
      <c r="G376" s="6"/>
      <c r="H376" s="6"/>
      <c r="I376" s="6"/>
      <c r="J376" s="6"/>
      <c r="K376" s="6"/>
      <c r="L376" s="80"/>
      <c r="M376" s="80"/>
      <c r="N376" s="80"/>
      <c r="O376" s="80"/>
      <c r="P376" s="6"/>
      <c r="Q376" s="6"/>
      <c r="R376" s="6"/>
      <c r="S376" s="6"/>
      <c r="T376" s="6"/>
      <c r="U376" s="6"/>
      <c r="V376" s="6"/>
      <c r="W376" s="7"/>
      <c r="X376" s="7"/>
      <c r="Y376" s="7"/>
      <c r="Z376" s="7"/>
    </row>
    <row r="377">
      <c r="A377" s="6"/>
      <c r="B377" s="6"/>
      <c r="C377" s="6"/>
      <c r="D377" s="6"/>
      <c r="E377" s="6"/>
      <c r="F377" s="6"/>
      <c r="G377" s="6"/>
      <c r="H377" s="6"/>
      <c r="I377" s="6"/>
      <c r="J377" s="6"/>
      <c r="K377" s="6"/>
      <c r="L377" s="80"/>
      <c r="M377" s="80"/>
      <c r="N377" s="80"/>
      <c r="O377" s="80"/>
      <c r="P377" s="6"/>
      <c r="Q377" s="6"/>
      <c r="R377" s="6"/>
      <c r="S377" s="6"/>
      <c r="T377" s="6"/>
      <c r="U377" s="6"/>
      <c r="V377" s="6"/>
      <c r="W377" s="7"/>
      <c r="X377" s="7"/>
      <c r="Y377" s="7"/>
      <c r="Z377" s="7"/>
    </row>
    <row r="378">
      <c r="A378" s="6"/>
      <c r="B378" s="6"/>
      <c r="C378" s="6"/>
      <c r="D378" s="6"/>
      <c r="E378" s="6"/>
      <c r="F378" s="6"/>
      <c r="G378" s="6"/>
      <c r="H378" s="6"/>
      <c r="I378" s="6"/>
      <c r="J378" s="6"/>
      <c r="K378" s="6"/>
      <c r="L378" s="80"/>
      <c r="M378" s="80"/>
      <c r="N378" s="80"/>
      <c r="O378" s="80"/>
      <c r="P378" s="6"/>
      <c r="Q378" s="6"/>
      <c r="R378" s="6"/>
      <c r="S378" s="6"/>
      <c r="T378" s="6"/>
      <c r="U378" s="6"/>
      <c r="V378" s="6"/>
      <c r="W378" s="7"/>
      <c r="X378" s="7"/>
      <c r="Y378" s="7"/>
      <c r="Z378" s="7"/>
    </row>
    <row r="379">
      <c r="A379" s="6"/>
      <c r="B379" s="6"/>
      <c r="C379" s="6"/>
      <c r="D379" s="6"/>
      <c r="E379" s="6"/>
      <c r="F379" s="6"/>
      <c r="G379" s="6"/>
      <c r="H379" s="6"/>
      <c r="I379" s="6"/>
      <c r="J379" s="6"/>
      <c r="K379" s="6"/>
      <c r="L379" s="80"/>
      <c r="M379" s="80"/>
      <c r="N379" s="80"/>
      <c r="O379" s="80"/>
      <c r="P379" s="6"/>
      <c r="Q379" s="6"/>
      <c r="R379" s="6"/>
      <c r="S379" s="6"/>
      <c r="T379" s="6"/>
      <c r="U379" s="6"/>
      <c r="V379" s="6"/>
      <c r="W379" s="7"/>
      <c r="X379" s="7"/>
      <c r="Y379" s="7"/>
      <c r="Z379" s="7"/>
    </row>
    <row r="380">
      <c r="A380" s="6"/>
      <c r="B380" s="6"/>
      <c r="C380" s="6"/>
      <c r="D380" s="6"/>
      <c r="E380" s="6"/>
      <c r="F380" s="6"/>
      <c r="G380" s="6"/>
      <c r="H380" s="6"/>
      <c r="I380" s="6"/>
      <c r="J380" s="6"/>
      <c r="K380" s="6"/>
      <c r="L380" s="80"/>
      <c r="M380" s="80"/>
      <c r="N380" s="80"/>
      <c r="O380" s="80"/>
      <c r="P380" s="6"/>
      <c r="Q380" s="6"/>
      <c r="R380" s="6"/>
      <c r="S380" s="6"/>
      <c r="T380" s="6"/>
      <c r="U380" s="6"/>
      <c r="V380" s="6"/>
      <c r="W380" s="7"/>
      <c r="X380" s="7"/>
      <c r="Y380" s="7"/>
      <c r="Z380" s="7"/>
    </row>
    <row r="381">
      <c r="A381" s="6"/>
      <c r="B381" s="6"/>
      <c r="C381" s="6"/>
      <c r="D381" s="6"/>
      <c r="E381" s="6"/>
      <c r="F381" s="6"/>
      <c r="G381" s="6"/>
      <c r="H381" s="6"/>
      <c r="I381" s="6"/>
      <c r="J381" s="6"/>
      <c r="K381" s="6"/>
      <c r="L381" s="80"/>
      <c r="M381" s="80"/>
      <c r="N381" s="80"/>
      <c r="O381" s="80"/>
      <c r="P381" s="6"/>
      <c r="Q381" s="6"/>
      <c r="R381" s="6"/>
      <c r="S381" s="6"/>
      <c r="T381" s="6"/>
      <c r="U381" s="6"/>
      <c r="V381" s="6"/>
      <c r="W381" s="7"/>
      <c r="X381" s="7"/>
      <c r="Y381" s="7"/>
      <c r="Z381" s="7"/>
    </row>
    <row r="382">
      <c r="A382" s="6"/>
      <c r="B382" s="6"/>
      <c r="C382" s="6"/>
      <c r="D382" s="6"/>
      <c r="E382" s="6"/>
      <c r="F382" s="6"/>
      <c r="G382" s="6"/>
      <c r="H382" s="6"/>
      <c r="I382" s="6"/>
      <c r="J382" s="6"/>
      <c r="K382" s="6"/>
      <c r="L382" s="80"/>
      <c r="M382" s="80"/>
      <c r="N382" s="80"/>
      <c r="O382" s="80"/>
      <c r="P382" s="6"/>
      <c r="Q382" s="6"/>
      <c r="R382" s="6"/>
      <c r="S382" s="6"/>
      <c r="T382" s="6"/>
      <c r="U382" s="6"/>
      <c r="V382" s="6"/>
      <c r="W382" s="7"/>
      <c r="X382" s="7"/>
      <c r="Y382" s="7"/>
      <c r="Z382" s="7"/>
    </row>
    <row r="383">
      <c r="A383" s="6"/>
      <c r="B383" s="6"/>
      <c r="C383" s="6"/>
      <c r="D383" s="6"/>
      <c r="E383" s="6"/>
      <c r="F383" s="6"/>
      <c r="G383" s="6"/>
      <c r="H383" s="6"/>
      <c r="I383" s="6"/>
      <c r="J383" s="6"/>
      <c r="K383" s="6"/>
      <c r="L383" s="80"/>
      <c r="M383" s="80"/>
      <c r="N383" s="80"/>
      <c r="O383" s="80"/>
      <c r="P383" s="6"/>
      <c r="Q383" s="6"/>
      <c r="R383" s="6"/>
      <c r="S383" s="6"/>
      <c r="T383" s="6"/>
      <c r="U383" s="6"/>
      <c r="V383" s="6"/>
      <c r="W383" s="7"/>
      <c r="X383" s="7"/>
      <c r="Y383" s="7"/>
      <c r="Z383" s="7"/>
    </row>
    <row r="384">
      <c r="A384" s="6"/>
      <c r="B384" s="6"/>
      <c r="C384" s="6"/>
      <c r="D384" s="6"/>
      <c r="E384" s="6"/>
      <c r="F384" s="6"/>
      <c r="G384" s="6"/>
      <c r="H384" s="6"/>
      <c r="I384" s="6"/>
      <c r="J384" s="6"/>
      <c r="K384" s="6"/>
      <c r="L384" s="80"/>
      <c r="M384" s="80"/>
      <c r="N384" s="80"/>
      <c r="O384" s="80"/>
      <c r="P384" s="6"/>
      <c r="Q384" s="6"/>
      <c r="R384" s="6"/>
      <c r="S384" s="6"/>
      <c r="T384" s="6"/>
      <c r="U384" s="6"/>
      <c r="V384" s="6"/>
      <c r="W384" s="7"/>
      <c r="X384" s="7"/>
      <c r="Y384" s="7"/>
      <c r="Z384" s="7"/>
    </row>
    <row r="385">
      <c r="A385" s="6"/>
      <c r="B385" s="6"/>
      <c r="C385" s="6"/>
      <c r="D385" s="6"/>
      <c r="E385" s="6"/>
      <c r="F385" s="6"/>
      <c r="G385" s="6"/>
      <c r="H385" s="6"/>
      <c r="I385" s="6"/>
      <c r="J385" s="6"/>
      <c r="K385" s="6"/>
      <c r="L385" s="80"/>
      <c r="M385" s="80"/>
      <c r="N385" s="80"/>
      <c r="O385" s="80"/>
      <c r="P385" s="6"/>
      <c r="Q385" s="6"/>
      <c r="R385" s="6"/>
      <c r="S385" s="6"/>
      <c r="T385" s="6"/>
      <c r="U385" s="6"/>
      <c r="V385" s="6"/>
      <c r="W385" s="7"/>
      <c r="X385" s="7"/>
      <c r="Y385" s="7"/>
      <c r="Z385" s="7"/>
    </row>
    <row r="386">
      <c r="A386" s="6"/>
      <c r="B386" s="6"/>
      <c r="C386" s="6"/>
      <c r="D386" s="6"/>
      <c r="E386" s="6"/>
      <c r="F386" s="6"/>
      <c r="G386" s="6"/>
      <c r="H386" s="6"/>
      <c r="I386" s="6"/>
      <c r="J386" s="6"/>
      <c r="K386" s="6"/>
      <c r="L386" s="80"/>
      <c r="M386" s="80"/>
      <c r="N386" s="80"/>
      <c r="O386" s="80"/>
      <c r="P386" s="6"/>
      <c r="Q386" s="6"/>
      <c r="R386" s="6"/>
      <c r="S386" s="6"/>
      <c r="T386" s="6"/>
      <c r="U386" s="6"/>
      <c r="V386" s="6"/>
      <c r="W386" s="7"/>
      <c r="X386" s="7"/>
      <c r="Y386" s="7"/>
      <c r="Z386" s="7"/>
    </row>
    <row r="387">
      <c r="A387" s="6"/>
      <c r="B387" s="6"/>
      <c r="C387" s="6"/>
      <c r="D387" s="6"/>
      <c r="E387" s="6"/>
      <c r="F387" s="6"/>
      <c r="G387" s="6"/>
      <c r="H387" s="6"/>
      <c r="I387" s="6"/>
      <c r="J387" s="6"/>
      <c r="K387" s="6"/>
      <c r="L387" s="80"/>
      <c r="M387" s="80"/>
      <c r="N387" s="80"/>
      <c r="O387" s="80"/>
      <c r="P387" s="6"/>
      <c r="Q387" s="6"/>
      <c r="R387" s="6"/>
      <c r="S387" s="6"/>
      <c r="T387" s="6"/>
      <c r="U387" s="6"/>
      <c r="V387" s="6"/>
      <c r="W387" s="7"/>
      <c r="X387" s="7"/>
      <c r="Y387" s="7"/>
      <c r="Z387" s="7"/>
    </row>
    <row r="388">
      <c r="A388" s="6"/>
      <c r="B388" s="6"/>
      <c r="C388" s="6"/>
      <c r="D388" s="6"/>
      <c r="E388" s="6"/>
      <c r="F388" s="6"/>
      <c r="G388" s="6"/>
      <c r="H388" s="6"/>
      <c r="I388" s="6"/>
      <c r="J388" s="6"/>
      <c r="K388" s="6"/>
      <c r="L388" s="80"/>
      <c r="M388" s="80"/>
      <c r="N388" s="80"/>
      <c r="O388" s="80"/>
      <c r="P388" s="6"/>
      <c r="Q388" s="6"/>
      <c r="R388" s="6"/>
      <c r="S388" s="6"/>
      <c r="T388" s="6"/>
      <c r="U388" s="6"/>
      <c r="V388" s="6"/>
      <c r="W388" s="7"/>
      <c r="X388" s="7"/>
      <c r="Y388" s="7"/>
      <c r="Z388" s="7"/>
    </row>
    <row r="389">
      <c r="A389" s="6"/>
      <c r="B389" s="6"/>
      <c r="C389" s="6"/>
      <c r="D389" s="6"/>
      <c r="E389" s="6"/>
      <c r="F389" s="6"/>
      <c r="G389" s="6"/>
      <c r="H389" s="6"/>
      <c r="I389" s="6"/>
      <c r="J389" s="6"/>
      <c r="K389" s="6"/>
      <c r="L389" s="80"/>
      <c r="M389" s="80"/>
      <c r="N389" s="80"/>
      <c r="O389" s="80"/>
      <c r="P389" s="6"/>
      <c r="Q389" s="6"/>
      <c r="R389" s="6"/>
      <c r="S389" s="6"/>
      <c r="T389" s="6"/>
      <c r="U389" s="6"/>
      <c r="V389" s="6"/>
      <c r="W389" s="7"/>
      <c r="X389" s="7"/>
      <c r="Y389" s="7"/>
      <c r="Z389" s="7"/>
    </row>
    <row r="390">
      <c r="A390" s="6"/>
      <c r="B390" s="6"/>
      <c r="C390" s="6"/>
      <c r="D390" s="6"/>
      <c r="E390" s="6"/>
      <c r="F390" s="6"/>
      <c r="G390" s="6"/>
      <c r="H390" s="6"/>
      <c r="I390" s="6"/>
      <c r="J390" s="6"/>
      <c r="K390" s="6"/>
      <c r="L390" s="80"/>
      <c r="M390" s="80"/>
      <c r="N390" s="80"/>
      <c r="O390" s="80"/>
      <c r="P390" s="6"/>
      <c r="Q390" s="6"/>
      <c r="R390" s="6"/>
      <c r="S390" s="6"/>
      <c r="T390" s="6"/>
      <c r="U390" s="6"/>
      <c r="V390" s="6"/>
      <c r="W390" s="7"/>
      <c r="X390" s="7"/>
      <c r="Y390" s="7"/>
      <c r="Z390" s="7"/>
    </row>
    <row r="391">
      <c r="A391" s="6"/>
      <c r="B391" s="6"/>
      <c r="C391" s="6"/>
      <c r="D391" s="6"/>
      <c r="E391" s="6"/>
      <c r="F391" s="6"/>
      <c r="G391" s="6"/>
      <c r="H391" s="6"/>
      <c r="I391" s="6"/>
      <c r="J391" s="6"/>
      <c r="K391" s="6"/>
      <c r="L391" s="80"/>
      <c r="M391" s="80"/>
      <c r="N391" s="80"/>
      <c r="O391" s="80"/>
      <c r="P391" s="6"/>
      <c r="Q391" s="6"/>
      <c r="R391" s="6"/>
      <c r="S391" s="6"/>
      <c r="T391" s="6"/>
      <c r="U391" s="6"/>
      <c r="V391" s="6"/>
      <c r="W391" s="7"/>
      <c r="X391" s="7"/>
      <c r="Y391" s="7"/>
      <c r="Z391" s="7"/>
    </row>
    <row r="392">
      <c r="A392" s="6"/>
      <c r="B392" s="6"/>
      <c r="C392" s="6"/>
      <c r="D392" s="6"/>
      <c r="E392" s="6"/>
      <c r="F392" s="6"/>
      <c r="G392" s="6"/>
      <c r="H392" s="6"/>
      <c r="I392" s="6"/>
      <c r="J392" s="6"/>
      <c r="K392" s="6"/>
      <c r="L392" s="80"/>
      <c r="M392" s="80"/>
      <c r="N392" s="80"/>
      <c r="O392" s="80"/>
      <c r="P392" s="6"/>
      <c r="Q392" s="6"/>
      <c r="R392" s="6"/>
      <c r="S392" s="6"/>
      <c r="T392" s="6"/>
      <c r="U392" s="6"/>
      <c r="V392" s="6"/>
      <c r="W392" s="7"/>
      <c r="X392" s="7"/>
      <c r="Y392" s="7"/>
      <c r="Z392" s="7"/>
    </row>
    <row r="393">
      <c r="A393" s="6"/>
      <c r="B393" s="6"/>
      <c r="C393" s="6"/>
      <c r="D393" s="6"/>
      <c r="E393" s="6"/>
      <c r="F393" s="6"/>
      <c r="G393" s="6"/>
      <c r="H393" s="6"/>
      <c r="I393" s="6"/>
      <c r="J393" s="6"/>
      <c r="K393" s="6"/>
      <c r="L393" s="80"/>
      <c r="M393" s="80"/>
      <c r="N393" s="80"/>
      <c r="O393" s="80"/>
      <c r="P393" s="6"/>
      <c r="Q393" s="6"/>
      <c r="R393" s="6"/>
      <c r="S393" s="6"/>
      <c r="T393" s="6"/>
      <c r="U393" s="6"/>
      <c r="V393" s="6"/>
      <c r="W393" s="7"/>
      <c r="X393" s="7"/>
      <c r="Y393" s="7"/>
      <c r="Z393" s="7"/>
    </row>
    <row r="394">
      <c r="A394" s="6"/>
      <c r="B394" s="6"/>
      <c r="C394" s="6"/>
      <c r="D394" s="6"/>
      <c r="E394" s="6"/>
      <c r="F394" s="6"/>
      <c r="G394" s="6"/>
      <c r="H394" s="6"/>
      <c r="I394" s="6"/>
      <c r="J394" s="6"/>
      <c r="K394" s="6"/>
      <c r="L394" s="80"/>
      <c r="M394" s="80"/>
      <c r="N394" s="80"/>
      <c r="O394" s="80"/>
      <c r="P394" s="6"/>
      <c r="Q394" s="6"/>
      <c r="R394" s="6"/>
      <c r="S394" s="6"/>
      <c r="T394" s="6"/>
      <c r="U394" s="6"/>
      <c r="V394" s="6"/>
      <c r="W394" s="7"/>
      <c r="X394" s="7"/>
      <c r="Y394" s="7"/>
      <c r="Z394" s="7"/>
    </row>
    <row r="395">
      <c r="A395" s="6"/>
      <c r="B395" s="6"/>
      <c r="C395" s="6"/>
      <c r="D395" s="6"/>
      <c r="E395" s="6"/>
      <c r="F395" s="6"/>
      <c r="G395" s="6"/>
      <c r="H395" s="6"/>
      <c r="I395" s="6"/>
      <c r="J395" s="6"/>
      <c r="K395" s="6"/>
      <c r="L395" s="80"/>
      <c r="M395" s="80"/>
      <c r="N395" s="80"/>
      <c r="O395" s="80"/>
      <c r="P395" s="6"/>
      <c r="Q395" s="6"/>
      <c r="R395" s="6"/>
      <c r="S395" s="6"/>
      <c r="T395" s="6"/>
      <c r="U395" s="6"/>
      <c r="V395" s="6"/>
      <c r="W395" s="7"/>
      <c r="X395" s="7"/>
      <c r="Y395" s="7"/>
      <c r="Z395" s="7"/>
    </row>
    <row r="396">
      <c r="A396" s="6"/>
      <c r="B396" s="6"/>
      <c r="C396" s="6"/>
      <c r="D396" s="6"/>
      <c r="E396" s="6"/>
      <c r="F396" s="6"/>
      <c r="G396" s="6"/>
      <c r="H396" s="6"/>
      <c r="I396" s="6"/>
      <c r="J396" s="6"/>
      <c r="K396" s="6"/>
      <c r="L396" s="80"/>
      <c r="M396" s="80"/>
      <c r="N396" s="80"/>
      <c r="O396" s="80"/>
      <c r="P396" s="6"/>
      <c r="Q396" s="6"/>
      <c r="R396" s="6"/>
      <c r="S396" s="6"/>
      <c r="T396" s="6"/>
      <c r="U396" s="6"/>
      <c r="V396" s="6"/>
      <c r="W396" s="7"/>
      <c r="X396" s="7"/>
      <c r="Y396" s="7"/>
      <c r="Z396" s="7"/>
    </row>
    <row r="397">
      <c r="A397" s="6"/>
      <c r="B397" s="6"/>
      <c r="C397" s="6"/>
      <c r="D397" s="6"/>
      <c r="E397" s="6"/>
      <c r="F397" s="6"/>
      <c r="G397" s="6"/>
      <c r="H397" s="6"/>
      <c r="I397" s="6"/>
      <c r="J397" s="6"/>
      <c r="K397" s="6"/>
      <c r="L397" s="80"/>
      <c r="M397" s="80"/>
      <c r="N397" s="80"/>
      <c r="O397" s="80"/>
      <c r="P397" s="6"/>
      <c r="Q397" s="6"/>
      <c r="R397" s="6"/>
      <c r="S397" s="6"/>
      <c r="T397" s="6"/>
      <c r="U397" s="6"/>
      <c r="V397" s="6"/>
      <c r="W397" s="7"/>
      <c r="X397" s="7"/>
      <c r="Y397" s="7"/>
      <c r="Z397" s="7"/>
    </row>
    <row r="398">
      <c r="A398" s="6"/>
      <c r="B398" s="6"/>
      <c r="C398" s="6"/>
      <c r="D398" s="6"/>
      <c r="E398" s="6"/>
      <c r="F398" s="6"/>
      <c r="G398" s="6"/>
      <c r="H398" s="6"/>
      <c r="I398" s="6"/>
      <c r="J398" s="6"/>
      <c r="K398" s="6"/>
      <c r="L398" s="80"/>
      <c r="M398" s="80"/>
      <c r="N398" s="80"/>
      <c r="O398" s="80"/>
      <c r="P398" s="6"/>
      <c r="Q398" s="6"/>
      <c r="R398" s="6"/>
      <c r="S398" s="6"/>
      <c r="T398" s="6"/>
      <c r="U398" s="6"/>
      <c r="V398" s="6"/>
      <c r="W398" s="7"/>
      <c r="X398" s="7"/>
      <c r="Y398" s="7"/>
      <c r="Z398" s="7"/>
    </row>
    <row r="399">
      <c r="A399" s="6"/>
      <c r="B399" s="6"/>
      <c r="C399" s="6"/>
      <c r="D399" s="6"/>
      <c r="E399" s="6"/>
      <c r="F399" s="6"/>
      <c r="G399" s="6"/>
      <c r="H399" s="6"/>
      <c r="I399" s="6"/>
      <c r="J399" s="6"/>
      <c r="K399" s="6"/>
      <c r="L399" s="80"/>
      <c r="M399" s="80"/>
      <c r="N399" s="80"/>
      <c r="O399" s="80"/>
      <c r="P399" s="6"/>
      <c r="Q399" s="6"/>
      <c r="R399" s="6"/>
      <c r="S399" s="6"/>
      <c r="T399" s="6"/>
      <c r="U399" s="6"/>
      <c r="V399" s="6"/>
      <c r="W399" s="7"/>
      <c r="X399" s="7"/>
      <c r="Y399" s="7"/>
      <c r="Z399" s="7"/>
    </row>
    <row r="400">
      <c r="A400" s="6"/>
      <c r="B400" s="6"/>
      <c r="C400" s="6"/>
      <c r="D400" s="6"/>
      <c r="E400" s="6"/>
      <c r="F400" s="6"/>
      <c r="G400" s="6"/>
      <c r="H400" s="6"/>
      <c r="I400" s="6"/>
      <c r="J400" s="6"/>
      <c r="K400" s="6"/>
      <c r="L400" s="80"/>
      <c r="M400" s="80"/>
      <c r="N400" s="80"/>
      <c r="O400" s="80"/>
      <c r="P400" s="6"/>
      <c r="Q400" s="6"/>
      <c r="R400" s="6"/>
      <c r="S400" s="6"/>
      <c r="T400" s="6"/>
      <c r="U400" s="6"/>
      <c r="V400" s="6"/>
      <c r="W400" s="7"/>
      <c r="X400" s="7"/>
      <c r="Y400" s="7"/>
      <c r="Z400" s="7"/>
    </row>
    <row r="401">
      <c r="A401" s="6"/>
      <c r="B401" s="6"/>
      <c r="C401" s="6"/>
      <c r="D401" s="6"/>
      <c r="E401" s="6"/>
      <c r="F401" s="6"/>
      <c r="G401" s="6"/>
      <c r="H401" s="6"/>
      <c r="I401" s="6"/>
      <c r="J401" s="6"/>
      <c r="K401" s="6"/>
      <c r="L401" s="80"/>
      <c r="M401" s="80"/>
      <c r="N401" s="80"/>
      <c r="O401" s="80"/>
      <c r="P401" s="6"/>
      <c r="Q401" s="6"/>
      <c r="R401" s="6"/>
      <c r="S401" s="6"/>
      <c r="T401" s="6"/>
      <c r="U401" s="6"/>
      <c r="V401" s="6"/>
      <c r="W401" s="7"/>
      <c r="X401" s="7"/>
      <c r="Y401" s="7"/>
      <c r="Z401" s="7"/>
    </row>
    <row r="402">
      <c r="A402" s="6"/>
      <c r="B402" s="6"/>
      <c r="C402" s="6"/>
      <c r="D402" s="6"/>
      <c r="E402" s="6"/>
      <c r="F402" s="6"/>
      <c r="G402" s="6"/>
      <c r="H402" s="6"/>
      <c r="I402" s="6"/>
      <c r="J402" s="6"/>
      <c r="K402" s="6"/>
      <c r="L402" s="80"/>
      <c r="M402" s="80"/>
      <c r="N402" s="80"/>
      <c r="O402" s="80"/>
      <c r="P402" s="6"/>
      <c r="Q402" s="6"/>
      <c r="R402" s="6"/>
      <c r="S402" s="6"/>
      <c r="T402" s="6"/>
      <c r="U402" s="6"/>
      <c r="V402" s="6"/>
      <c r="W402" s="7"/>
      <c r="X402" s="7"/>
      <c r="Y402" s="7"/>
      <c r="Z402" s="7"/>
    </row>
    <row r="403">
      <c r="A403" s="6"/>
      <c r="B403" s="6"/>
      <c r="C403" s="6"/>
      <c r="D403" s="6"/>
      <c r="E403" s="6"/>
      <c r="F403" s="6"/>
      <c r="G403" s="6"/>
      <c r="H403" s="6"/>
      <c r="I403" s="6"/>
      <c r="J403" s="6"/>
      <c r="K403" s="6"/>
      <c r="L403" s="80"/>
      <c r="M403" s="80"/>
      <c r="N403" s="80"/>
      <c r="O403" s="80"/>
      <c r="P403" s="6"/>
      <c r="Q403" s="6"/>
      <c r="R403" s="6"/>
      <c r="S403" s="6"/>
      <c r="T403" s="6"/>
      <c r="U403" s="6"/>
      <c r="V403" s="6"/>
      <c r="W403" s="7"/>
      <c r="X403" s="7"/>
      <c r="Y403" s="7"/>
      <c r="Z403" s="7"/>
    </row>
    <row r="404">
      <c r="A404" s="6"/>
      <c r="B404" s="6"/>
      <c r="C404" s="6"/>
      <c r="D404" s="6"/>
      <c r="E404" s="6"/>
      <c r="F404" s="6"/>
      <c r="G404" s="6"/>
      <c r="H404" s="6"/>
      <c r="I404" s="6"/>
      <c r="J404" s="6"/>
      <c r="K404" s="6"/>
      <c r="L404" s="80"/>
      <c r="M404" s="80"/>
      <c r="N404" s="80"/>
      <c r="O404" s="80"/>
      <c r="P404" s="6"/>
      <c r="Q404" s="6"/>
      <c r="R404" s="6"/>
      <c r="S404" s="6"/>
      <c r="T404" s="6"/>
      <c r="U404" s="6"/>
      <c r="V404" s="6"/>
      <c r="W404" s="7"/>
      <c r="X404" s="7"/>
      <c r="Y404" s="7"/>
      <c r="Z404" s="7"/>
    </row>
    <row r="405">
      <c r="A405" s="6"/>
      <c r="B405" s="6"/>
      <c r="C405" s="6"/>
      <c r="D405" s="6"/>
      <c r="E405" s="6"/>
      <c r="F405" s="6"/>
      <c r="G405" s="6"/>
      <c r="H405" s="6"/>
      <c r="I405" s="6"/>
      <c r="J405" s="6"/>
      <c r="K405" s="6"/>
      <c r="L405" s="80"/>
      <c r="M405" s="80"/>
      <c r="N405" s="80"/>
      <c r="O405" s="80"/>
      <c r="P405" s="6"/>
      <c r="Q405" s="6"/>
      <c r="R405" s="6"/>
      <c r="S405" s="6"/>
      <c r="T405" s="6"/>
      <c r="U405" s="6"/>
      <c r="V405" s="6"/>
      <c r="W405" s="7"/>
      <c r="X405" s="7"/>
      <c r="Y405" s="7"/>
      <c r="Z405" s="7"/>
    </row>
    <row r="406">
      <c r="A406" s="6"/>
      <c r="B406" s="6"/>
      <c r="C406" s="6"/>
      <c r="D406" s="6"/>
      <c r="E406" s="6"/>
      <c r="F406" s="6"/>
      <c r="G406" s="6"/>
      <c r="H406" s="6"/>
      <c r="I406" s="6"/>
      <c r="J406" s="6"/>
      <c r="K406" s="6"/>
      <c r="L406" s="80"/>
      <c r="M406" s="80"/>
      <c r="N406" s="80"/>
      <c r="O406" s="80"/>
      <c r="P406" s="6"/>
      <c r="Q406" s="6"/>
      <c r="R406" s="6"/>
      <c r="S406" s="6"/>
      <c r="T406" s="6"/>
      <c r="U406" s="6"/>
      <c r="V406" s="6"/>
      <c r="W406" s="7"/>
      <c r="X406" s="7"/>
      <c r="Y406" s="7"/>
      <c r="Z406" s="7"/>
    </row>
    <row r="407">
      <c r="A407" s="6"/>
      <c r="B407" s="6"/>
      <c r="C407" s="6"/>
      <c r="D407" s="6"/>
      <c r="E407" s="6"/>
      <c r="F407" s="6"/>
      <c r="G407" s="6"/>
      <c r="H407" s="6"/>
      <c r="I407" s="6"/>
      <c r="J407" s="6"/>
      <c r="K407" s="6"/>
      <c r="L407" s="80"/>
      <c r="M407" s="80"/>
      <c r="N407" s="80"/>
      <c r="O407" s="80"/>
      <c r="P407" s="6"/>
      <c r="Q407" s="6"/>
      <c r="R407" s="6"/>
      <c r="S407" s="6"/>
      <c r="T407" s="6"/>
      <c r="U407" s="6"/>
      <c r="V407" s="6"/>
      <c r="W407" s="7"/>
      <c r="X407" s="7"/>
      <c r="Y407" s="7"/>
      <c r="Z407" s="7"/>
    </row>
    <row r="408">
      <c r="A408" s="6"/>
      <c r="B408" s="6"/>
      <c r="C408" s="6"/>
      <c r="D408" s="6"/>
      <c r="E408" s="6"/>
      <c r="F408" s="6"/>
      <c r="G408" s="6"/>
      <c r="H408" s="6"/>
      <c r="I408" s="6"/>
      <c r="J408" s="6"/>
      <c r="K408" s="6"/>
      <c r="L408" s="80"/>
      <c r="M408" s="80"/>
      <c r="N408" s="80"/>
      <c r="O408" s="80"/>
      <c r="P408" s="6"/>
      <c r="Q408" s="6"/>
      <c r="R408" s="6"/>
      <c r="S408" s="6"/>
      <c r="T408" s="6"/>
      <c r="U408" s="6"/>
      <c r="V408" s="6"/>
      <c r="W408" s="7"/>
      <c r="X408" s="7"/>
      <c r="Y408" s="7"/>
      <c r="Z408" s="7"/>
    </row>
    <row r="409">
      <c r="A409" s="6"/>
      <c r="B409" s="6"/>
      <c r="C409" s="6"/>
      <c r="D409" s="6"/>
      <c r="E409" s="6"/>
      <c r="F409" s="6"/>
      <c r="G409" s="6"/>
      <c r="H409" s="6"/>
      <c r="I409" s="6"/>
      <c r="J409" s="6"/>
      <c r="K409" s="6"/>
      <c r="L409" s="80"/>
      <c r="M409" s="80"/>
      <c r="N409" s="80"/>
      <c r="O409" s="80"/>
      <c r="P409" s="6"/>
      <c r="Q409" s="6"/>
      <c r="R409" s="6"/>
      <c r="S409" s="6"/>
      <c r="T409" s="6"/>
      <c r="U409" s="6"/>
      <c r="V409" s="6"/>
      <c r="W409" s="7"/>
      <c r="X409" s="7"/>
      <c r="Y409" s="7"/>
      <c r="Z409" s="7"/>
    </row>
    <row r="410">
      <c r="A410" s="6"/>
      <c r="B410" s="6"/>
      <c r="C410" s="6"/>
      <c r="D410" s="6"/>
      <c r="E410" s="6"/>
      <c r="F410" s="6"/>
      <c r="G410" s="6"/>
      <c r="H410" s="6"/>
      <c r="I410" s="6"/>
      <c r="J410" s="6"/>
      <c r="K410" s="6"/>
      <c r="L410" s="80"/>
      <c r="M410" s="80"/>
      <c r="N410" s="80"/>
      <c r="O410" s="80"/>
      <c r="P410" s="6"/>
      <c r="Q410" s="6"/>
      <c r="R410" s="6"/>
      <c r="S410" s="6"/>
      <c r="T410" s="6"/>
      <c r="U410" s="6"/>
      <c r="V410" s="6"/>
      <c r="W410" s="7"/>
      <c r="X410" s="7"/>
      <c r="Y410" s="7"/>
      <c r="Z410" s="7"/>
    </row>
    <row r="411">
      <c r="A411" s="6"/>
      <c r="B411" s="6"/>
      <c r="C411" s="6"/>
      <c r="D411" s="6"/>
      <c r="E411" s="6"/>
      <c r="F411" s="6"/>
      <c r="G411" s="6"/>
      <c r="H411" s="6"/>
      <c r="I411" s="6"/>
      <c r="J411" s="6"/>
      <c r="K411" s="6"/>
      <c r="L411" s="80"/>
      <c r="M411" s="80"/>
      <c r="N411" s="80"/>
      <c r="O411" s="80"/>
      <c r="P411" s="6"/>
      <c r="Q411" s="6"/>
      <c r="R411" s="6"/>
      <c r="S411" s="6"/>
      <c r="T411" s="6"/>
      <c r="U411" s="6"/>
      <c r="V411" s="6"/>
      <c r="W411" s="7"/>
      <c r="X411" s="7"/>
      <c r="Y411" s="7"/>
      <c r="Z411" s="7"/>
    </row>
    <row r="412">
      <c r="A412" s="6"/>
      <c r="B412" s="6"/>
      <c r="C412" s="6"/>
      <c r="D412" s="6"/>
      <c r="E412" s="6"/>
      <c r="F412" s="6"/>
      <c r="G412" s="6"/>
      <c r="H412" s="6"/>
      <c r="I412" s="6"/>
      <c r="J412" s="6"/>
      <c r="K412" s="6"/>
      <c r="L412" s="80"/>
      <c r="M412" s="80"/>
      <c r="N412" s="80"/>
      <c r="O412" s="80"/>
      <c r="P412" s="6"/>
      <c r="Q412" s="6"/>
      <c r="R412" s="6"/>
      <c r="S412" s="6"/>
      <c r="T412" s="6"/>
      <c r="U412" s="6"/>
      <c r="V412" s="6"/>
      <c r="W412" s="7"/>
      <c r="X412" s="7"/>
      <c r="Y412" s="7"/>
      <c r="Z412" s="7"/>
    </row>
    <row r="413">
      <c r="A413" s="6"/>
      <c r="B413" s="6"/>
      <c r="C413" s="6"/>
      <c r="D413" s="6"/>
      <c r="E413" s="6"/>
      <c r="F413" s="6"/>
      <c r="G413" s="6"/>
      <c r="H413" s="6"/>
      <c r="I413" s="6"/>
      <c r="J413" s="6"/>
      <c r="K413" s="6"/>
      <c r="L413" s="80"/>
      <c r="M413" s="80"/>
      <c r="N413" s="80"/>
      <c r="O413" s="80"/>
      <c r="P413" s="6"/>
      <c r="Q413" s="6"/>
      <c r="R413" s="6"/>
      <c r="S413" s="6"/>
      <c r="T413" s="6"/>
      <c r="U413" s="6"/>
      <c r="V413" s="6"/>
      <c r="W413" s="7"/>
      <c r="X413" s="7"/>
      <c r="Y413" s="7"/>
      <c r="Z413" s="7"/>
    </row>
    <row r="414">
      <c r="A414" s="6"/>
      <c r="B414" s="6"/>
      <c r="C414" s="6"/>
      <c r="D414" s="6"/>
      <c r="E414" s="6"/>
      <c r="F414" s="6"/>
      <c r="G414" s="6"/>
      <c r="H414" s="6"/>
      <c r="I414" s="6"/>
      <c r="J414" s="6"/>
      <c r="K414" s="6"/>
      <c r="L414" s="80"/>
      <c r="M414" s="80"/>
      <c r="N414" s="80"/>
      <c r="O414" s="80"/>
      <c r="P414" s="6"/>
      <c r="Q414" s="6"/>
      <c r="R414" s="6"/>
      <c r="S414" s="6"/>
      <c r="T414" s="6"/>
      <c r="U414" s="6"/>
      <c r="V414" s="6"/>
      <c r="W414" s="7"/>
      <c r="X414" s="7"/>
      <c r="Y414" s="7"/>
      <c r="Z414" s="7"/>
    </row>
    <row r="415">
      <c r="A415" s="6"/>
      <c r="B415" s="6"/>
      <c r="C415" s="6"/>
      <c r="D415" s="6"/>
      <c r="E415" s="6"/>
      <c r="F415" s="6"/>
      <c r="G415" s="6"/>
      <c r="H415" s="6"/>
      <c r="I415" s="6"/>
      <c r="J415" s="6"/>
      <c r="K415" s="6"/>
      <c r="L415" s="80"/>
      <c r="M415" s="80"/>
      <c r="N415" s="80"/>
      <c r="O415" s="80"/>
      <c r="P415" s="6"/>
      <c r="Q415" s="6"/>
      <c r="R415" s="6"/>
      <c r="S415" s="6"/>
      <c r="T415" s="6"/>
      <c r="U415" s="6"/>
      <c r="V415" s="6"/>
      <c r="W415" s="7"/>
      <c r="X415" s="7"/>
      <c r="Y415" s="7"/>
      <c r="Z415" s="7"/>
    </row>
    <row r="416">
      <c r="A416" s="6"/>
      <c r="B416" s="6"/>
      <c r="C416" s="6"/>
      <c r="D416" s="6"/>
      <c r="E416" s="6"/>
      <c r="F416" s="6"/>
      <c r="G416" s="6"/>
      <c r="H416" s="6"/>
      <c r="I416" s="6"/>
      <c r="J416" s="6"/>
      <c r="K416" s="6"/>
      <c r="L416" s="80"/>
      <c r="M416" s="80"/>
      <c r="N416" s="80"/>
      <c r="O416" s="80"/>
      <c r="P416" s="6"/>
      <c r="Q416" s="6"/>
      <c r="R416" s="6"/>
      <c r="S416" s="6"/>
      <c r="T416" s="6"/>
      <c r="U416" s="6"/>
      <c r="V416" s="6"/>
      <c r="W416" s="7"/>
      <c r="X416" s="7"/>
      <c r="Y416" s="7"/>
      <c r="Z416" s="7"/>
    </row>
    <row r="417">
      <c r="A417" s="6"/>
      <c r="B417" s="6"/>
      <c r="C417" s="6"/>
      <c r="D417" s="6"/>
      <c r="E417" s="6"/>
      <c r="F417" s="6"/>
      <c r="G417" s="6"/>
      <c r="H417" s="6"/>
      <c r="I417" s="6"/>
      <c r="J417" s="6"/>
      <c r="K417" s="6"/>
      <c r="L417" s="80"/>
      <c r="M417" s="80"/>
      <c r="N417" s="80"/>
      <c r="O417" s="80"/>
      <c r="P417" s="6"/>
      <c r="Q417" s="6"/>
      <c r="R417" s="6"/>
      <c r="S417" s="6"/>
      <c r="T417" s="6"/>
      <c r="U417" s="6"/>
      <c r="V417" s="6"/>
      <c r="W417" s="7"/>
      <c r="X417" s="7"/>
      <c r="Y417" s="7"/>
      <c r="Z417" s="7"/>
    </row>
    <row r="418">
      <c r="A418" s="6"/>
      <c r="B418" s="6"/>
      <c r="C418" s="6"/>
      <c r="D418" s="6"/>
      <c r="E418" s="6"/>
      <c r="F418" s="6"/>
      <c r="G418" s="6"/>
      <c r="H418" s="6"/>
      <c r="I418" s="6"/>
      <c r="J418" s="6"/>
      <c r="K418" s="6"/>
      <c r="L418" s="80"/>
      <c r="M418" s="80"/>
      <c r="N418" s="80"/>
      <c r="O418" s="80"/>
      <c r="P418" s="6"/>
      <c r="Q418" s="6"/>
      <c r="R418" s="6"/>
      <c r="S418" s="6"/>
      <c r="T418" s="6"/>
      <c r="U418" s="6"/>
      <c r="V418" s="6"/>
      <c r="W418" s="7"/>
      <c r="X418" s="7"/>
      <c r="Y418" s="7"/>
      <c r="Z418" s="7"/>
    </row>
    <row r="419">
      <c r="A419" s="6"/>
      <c r="B419" s="6"/>
      <c r="C419" s="6"/>
      <c r="D419" s="6"/>
      <c r="E419" s="6"/>
      <c r="F419" s="6"/>
      <c r="G419" s="6"/>
      <c r="H419" s="6"/>
      <c r="I419" s="6"/>
      <c r="J419" s="6"/>
      <c r="K419" s="6"/>
      <c r="L419" s="80"/>
      <c r="M419" s="80"/>
      <c r="N419" s="80"/>
      <c r="O419" s="80"/>
      <c r="P419" s="6"/>
      <c r="Q419" s="6"/>
      <c r="R419" s="6"/>
      <c r="S419" s="6"/>
      <c r="T419" s="6"/>
      <c r="U419" s="6"/>
      <c r="V419" s="6"/>
      <c r="W419" s="7"/>
      <c r="X419" s="7"/>
      <c r="Y419" s="7"/>
      <c r="Z419" s="7"/>
    </row>
    <row r="420">
      <c r="A420" s="6"/>
      <c r="B420" s="6"/>
      <c r="C420" s="6"/>
      <c r="D420" s="6"/>
      <c r="E420" s="6"/>
      <c r="F420" s="6"/>
      <c r="G420" s="6"/>
      <c r="H420" s="6"/>
      <c r="I420" s="6"/>
      <c r="J420" s="6"/>
      <c r="K420" s="6"/>
      <c r="L420" s="80"/>
      <c r="M420" s="80"/>
      <c r="N420" s="80"/>
      <c r="O420" s="80"/>
      <c r="P420" s="6"/>
      <c r="Q420" s="6"/>
      <c r="R420" s="6"/>
      <c r="S420" s="6"/>
      <c r="T420" s="6"/>
      <c r="U420" s="6"/>
      <c r="V420" s="6"/>
      <c r="W420" s="7"/>
      <c r="X420" s="7"/>
      <c r="Y420" s="7"/>
      <c r="Z420" s="7"/>
    </row>
    <row r="421">
      <c r="A421" s="6"/>
      <c r="B421" s="6"/>
      <c r="C421" s="6"/>
      <c r="D421" s="6"/>
      <c r="E421" s="6"/>
      <c r="F421" s="6"/>
      <c r="G421" s="6"/>
      <c r="H421" s="6"/>
      <c r="I421" s="6"/>
      <c r="J421" s="6"/>
      <c r="K421" s="6"/>
      <c r="L421" s="80"/>
      <c r="M421" s="80"/>
      <c r="N421" s="80"/>
      <c r="O421" s="80"/>
      <c r="P421" s="6"/>
      <c r="Q421" s="6"/>
      <c r="R421" s="6"/>
      <c r="S421" s="6"/>
      <c r="T421" s="6"/>
      <c r="U421" s="6"/>
      <c r="V421" s="6"/>
      <c r="W421" s="7"/>
      <c r="X421" s="7"/>
      <c r="Y421" s="7"/>
      <c r="Z421" s="7"/>
    </row>
    <row r="422">
      <c r="A422" s="6"/>
      <c r="B422" s="6"/>
      <c r="C422" s="6"/>
      <c r="D422" s="6"/>
      <c r="E422" s="6"/>
      <c r="F422" s="6"/>
      <c r="G422" s="6"/>
      <c r="H422" s="6"/>
      <c r="I422" s="6"/>
      <c r="J422" s="6"/>
      <c r="K422" s="6"/>
      <c r="L422" s="80"/>
      <c r="M422" s="80"/>
      <c r="N422" s="80"/>
      <c r="O422" s="80"/>
      <c r="P422" s="6"/>
      <c r="Q422" s="6"/>
      <c r="R422" s="6"/>
      <c r="S422" s="6"/>
      <c r="T422" s="6"/>
      <c r="U422" s="6"/>
      <c r="V422" s="6"/>
      <c r="W422" s="7"/>
      <c r="X422" s="7"/>
      <c r="Y422" s="7"/>
      <c r="Z422" s="7"/>
    </row>
    <row r="423">
      <c r="A423" s="6"/>
      <c r="B423" s="6"/>
      <c r="C423" s="6"/>
      <c r="D423" s="6"/>
      <c r="E423" s="6"/>
      <c r="F423" s="6"/>
      <c r="G423" s="6"/>
      <c r="H423" s="6"/>
      <c r="I423" s="6"/>
      <c r="J423" s="6"/>
      <c r="K423" s="6"/>
      <c r="L423" s="80"/>
      <c r="M423" s="80"/>
      <c r="N423" s="80"/>
      <c r="O423" s="80"/>
      <c r="P423" s="6"/>
      <c r="Q423" s="6"/>
      <c r="R423" s="6"/>
      <c r="S423" s="6"/>
      <c r="T423" s="6"/>
      <c r="U423" s="6"/>
      <c r="V423" s="6"/>
      <c r="W423" s="7"/>
      <c r="X423" s="7"/>
      <c r="Y423" s="7"/>
      <c r="Z423" s="7"/>
    </row>
    <row r="424">
      <c r="A424" s="6"/>
      <c r="B424" s="6"/>
      <c r="C424" s="6"/>
      <c r="D424" s="6"/>
      <c r="E424" s="6"/>
      <c r="F424" s="6"/>
      <c r="G424" s="6"/>
      <c r="H424" s="6"/>
      <c r="I424" s="6"/>
      <c r="J424" s="6"/>
      <c r="K424" s="6"/>
      <c r="L424" s="80"/>
      <c r="M424" s="80"/>
      <c r="N424" s="80"/>
      <c r="O424" s="80"/>
      <c r="P424" s="6"/>
      <c r="Q424" s="6"/>
      <c r="R424" s="6"/>
      <c r="S424" s="6"/>
      <c r="T424" s="6"/>
      <c r="U424" s="6"/>
      <c r="V424" s="6"/>
      <c r="W424" s="7"/>
      <c r="X424" s="7"/>
      <c r="Y424" s="7"/>
      <c r="Z424" s="7"/>
    </row>
    <row r="425">
      <c r="A425" s="6"/>
      <c r="B425" s="6"/>
      <c r="C425" s="6"/>
      <c r="D425" s="6"/>
      <c r="E425" s="6"/>
      <c r="F425" s="6"/>
      <c r="G425" s="6"/>
      <c r="H425" s="6"/>
      <c r="I425" s="6"/>
      <c r="J425" s="6"/>
      <c r="K425" s="6"/>
      <c r="L425" s="80"/>
      <c r="M425" s="80"/>
      <c r="N425" s="80"/>
      <c r="O425" s="80"/>
      <c r="P425" s="6"/>
      <c r="Q425" s="6"/>
      <c r="R425" s="6"/>
      <c r="S425" s="6"/>
      <c r="T425" s="6"/>
      <c r="U425" s="6"/>
      <c r="V425" s="6"/>
      <c r="W425" s="7"/>
      <c r="X425" s="7"/>
      <c r="Y425" s="7"/>
      <c r="Z425" s="7"/>
    </row>
    <row r="426">
      <c r="A426" s="6"/>
      <c r="B426" s="6"/>
      <c r="C426" s="6"/>
      <c r="D426" s="6"/>
      <c r="E426" s="6"/>
      <c r="F426" s="6"/>
      <c r="G426" s="6"/>
      <c r="H426" s="6"/>
      <c r="I426" s="6"/>
      <c r="J426" s="6"/>
      <c r="K426" s="6"/>
      <c r="L426" s="80"/>
      <c r="M426" s="80"/>
      <c r="N426" s="80"/>
      <c r="O426" s="80"/>
      <c r="P426" s="6"/>
      <c r="Q426" s="6"/>
      <c r="R426" s="6"/>
      <c r="S426" s="6"/>
      <c r="T426" s="6"/>
      <c r="U426" s="6"/>
      <c r="V426" s="6"/>
      <c r="W426" s="7"/>
      <c r="X426" s="7"/>
      <c r="Y426" s="7"/>
      <c r="Z426" s="7"/>
    </row>
    <row r="427">
      <c r="A427" s="6"/>
      <c r="B427" s="6"/>
      <c r="C427" s="6"/>
      <c r="D427" s="6"/>
      <c r="E427" s="6"/>
      <c r="F427" s="6"/>
      <c r="G427" s="6"/>
      <c r="H427" s="6"/>
      <c r="I427" s="6"/>
      <c r="J427" s="6"/>
      <c r="K427" s="6"/>
      <c r="L427" s="80"/>
      <c r="M427" s="80"/>
      <c r="N427" s="80"/>
      <c r="O427" s="80"/>
      <c r="P427" s="6"/>
      <c r="Q427" s="6"/>
      <c r="R427" s="6"/>
      <c r="S427" s="6"/>
      <c r="T427" s="6"/>
      <c r="U427" s="6"/>
      <c r="V427" s="6"/>
      <c r="W427" s="7"/>
      <c r="X427" s="7"/>
      <c r="Y427" s="7"/>
      <c r="Z427" s="7"/>
    </row>
    <row r="428">
      <c r="A428" s="6"/>
      <c r="B428" s="6"/>
      <c r="C428" s="6"/>
      <c r="D428" s="6"/>
      <c r="E428" s="6"/>
      <c r="F428" s="6"/>
      <c r="G428" s="6"/>
      <c r="H428" s="6"/>
      <c r="I428" s="6"/>
      <c r="J428" s="6"/>
      <c r="K428" s="6"/>
      <c r="L428" s="80"/>
      <c r="M428" s="80"/>
      <c r="N428" s="80"/>
      <c r="O428" s="80"/>
      <c r="P428" s="6"/>
      <c r="Q428" s="6"/>
      <c r="R428" s="6"/>
      <c r="S428" s="6"/>
      <c r="T428" s="6"/>
      <c r="U428" s="6"/>
      <c r="V428" s="6"/>
      <c r="W428" s="7"/>
      <c r="X428" s="7"/>
      <c r="Y428" s="7"/>
      <c r="Z428" s="7"/>
    </row>
    <row r="429">
      <c r="A429" s="6"/>
      <c r="B429" s="6"/>
      <c r="C429" s="6"/>
      <c r="D429" s="6"/>
      <c r="E429" s="6"/>
      <c r="F429" s="6"/>
      <c r="G429" s="6"/>
      <c r="H429" s="6"/>
      <c r="I429" s="6"/>
      <c r="J429" s="6"/>
      <c r="K429" s="6"/>
      <c r="L429" s="80"/>
      <c r="M429" s="80"/>
      <c r="N429" s="80"/>
      <c r="O429" s="80"/>
      <c r="P429" s="6"/>
      <c r="Q429" s="6"/>
      <c r="R429" s="6"/>
      <c r="S429" s="6"/>
      <c r="T429" s="6"/>
      <c r="U429" s="6"/>
      <c r="V429" s="6"/>
      <c r="W429" s="7"/>
      <c r="X429" s="7"/>
      <c r="Y429" s="7"/>
      <c r="Z429" s="7"/>
    </row>
    <row r="430">
      <c r="A430" s="6"/>
      <c r="B430" s="6"/>
      <c r="C430" s="6"/>
      <c r="D430" s="6"/>
      <c r="E430" s="6"/>
      <c r="F430" s="6"/>
      <c r="G430" s="6"/>
      <c r="H430" s="6"/>
      <c r="I430" s="6"/>
      <c r="J430" s="6"/>
      <c r="K430" s="6"/>
      <c r="L430" s="80"/>
      <c r="M430" s="80"/>
      <c r="N430" s="80"/>
      <c r="O430" s="80"/>
      <c r="P430" s="6"/>
      <c r="Q430" s="6"/>
      <c r="R430" s="6"/>
      <c r="S430" s="6"/>
      <c r="T430" s="6"/>
      <c r="U430" s="6"/>
      <c r="V430" s="6"/>
      <c r="W430" s="7"/>
      <c r="X430" s="7"/>
      <c r="Y430" s="7"/>
      <c r="Z430" s="7"/>
    </row>
    <row r="431">
      <c r="A431" s="6"/>
      <c r="B431" s="6"/>
      <c r="C431" s="6"/>
      <c r="D431" s="6"/>
      <c r="E431" s="6"/>
      <c r="F431" s="6"/>
      <c r="G431" s="6"/>
      <c r="H431" s="6"/>
      <c r="I431" s="6"/>
      <c r="J431" s="6"/>
      <c r="K431" s="6"/>
      <c r="L431" s="80"/>
      <c r="M431" s="80"/>
      <c r="N431" s="80"/>
      <c r="O431" s="80"/>
      <c r="P431" s="6"/>
      <c r="Q431" s="6"/>
      <c r="R431" s="6"/>
      <c r="S431" s="6"/>
      <c r="T431" s="6"/>
      <c r="U431" s="6"/>
      <c r="V431" s="6"/>
      <c r="W431" s="7"/>
      <c r="X431" s="7"/>
      <c r="Y431" s="7"/>
      <c r="Z431" s="7"/>
    </row>
    <row r="432">
      <c r="A432" s="6"/>
      <c r="B432" s="6"/>
      <c r="C432" s="6"/>
      <c r="D432" s="6"/>
      <c r="E432" s="6"/>
      <c r="F432" s="6"/>
      <c r="G432" s="6"/>
      <c r="H432" s="6"/>
      <c r="I432" s="6"/>
      <c r="J432" s="6"/>
      <c r="K432" s="6"/>
      <c r="L432" s="80"/>
      <c r="M432" s="80"/>
      <c r="N432" s="80"/>
      <c r="O432" s="80"/>
      <c r="P432" s="6"/>
      <c r="Q432" s="6"/>
      <c r="R432" s="6"/>
      <c r="S432" s="6"/>
      <c r="T432" s="6"/>
      <c r="U432" s="6"/>
      <c r="V432" s="6"/>
      <c r="W432" s="7"/>
      <c r="X432" s="7"/>
      <c r="Y432" s="7"/>
      <c r="Z432" s="7"/>
    </row>
    <row r="433">
      <c r="A433" s="6"/>
      <c r="B433" s="6"/>
      <c r="C433" s="6"/>
      <c r="D433" s="6"/>
      <c r="E433" s="6"/>
      <c r="F433" s="6"/>
      <c r="G433" s="6"/>
      <c r="H433" s="6"/>
      <c r="I433" s="6"/>
      <c r="J433" s="6"/>
      <c r="K433" s="6"/>
      <c r="L433" s="80"/>
      <c r="M433" s="80"/>
      <c r="N433" s="80"/>
      <c r="O433" s="80"/>
      <c r="P433" s="6"/>
      <c r="Q433" s="6"/>
      <c r="R433" s="6"/>
      <c r="S433" s="6"/>
      <c r="T433" s="6"/>
      <c r="U433" s="6"/>
      <c r="V433" s="6"/>
      <c r="W433" s="7"/>
      <c r="X433" s="7"/>
      <c r="Y433" s="7"/>
      <c r="Z433" s="7"/>
    </row>
    <row r="434">
      <c r="A434" s="6"/>
      <c r="B434" s="6"/>
      <c r="C434" s="6"/>
      <c r="D434" s="6"/>
      <c r="E434" s="6"/>
      <c r="F434" s="6"/>
      <c r="G434" s="6"/>
      <c r="H434" s="6"/>
      <c r="I434" s="6"/>
      <c r="J434" s="6"/>
      <c r="K434" s="6"/>
      <c r="L434" s="80"/>
      <c r="M434" s="80"/>
      <c r="N434" s="80"/>
      <c r="O434" s="80"/>
      <c r="P434" s="6"/>
      <c r="Q434" s="6"/>
      <c r="R434" s="6"/>
      <c r="S434" s="6"/>
      <c r="T434" s="6"/>
      <c r="U434" s="6"/>
      <c r="V434" s="6"/>
      <c r="W434" s="7"/>
      <c r="X434" s="7"/>
      <c r="Y434" s="7"/>
      <c r="Z434" s="7"/>
    </row>
    <row r="435">
      <c r="A435" s="6"/>
      <c r="B435" s="6"/>
      <c r="C435" s="6"/>
      <c r="D435" s="6"/>
      <c r="E435" s="6"/>
      <c r="F435" s="6"/>
      <c r="G435" s="6"/>
      <c r="H435" s="6"/>
      <c r="I435" s="6"/>
      <c r="J435" s="6"/>
      <c r="K435" s="6"/>
      <c r="L435" s="80"/>
      <c r="M435" s="80"/>
      <c r="N435" s="80"/>
      <c r="O435" s="80"/>
      <c r="P435" s="6"/>
      <c r="Q435" s="6"/>
      <c r="R435" s="6"/>
      <c r="S435" s="6"/>
      <c r="T435" s="6"/>
      <c r="U435" s="6"/>
      <c r="V435" s="6"/>
      <c r="W435" s="7"/>
      <c r="X435" s="7"/>
      <c r="Y435" s="7"/>
      <c r="Z435" s="7"/>
    </row>
    <row r="436">
      <c r="A436" s="6"/>
      <c r="B436" s="6"/>
      <c r="C436" s="6"/>
      <c r="D436" s="6"/>
      <c r="E436" s="6"/>
      <c r="F436" s="6"/>
      <c r="G436" s="6"/>
      <c r="H436" s="6"/>
      <c r="I436" s="6"/>
      <c r="J436" s="6"/>
      <c r="K436" s="6"/>
      <c r="L436" s="80"/>
      <c r="M436" s="80"/>
      <c r="N436" s="80"/>
      <c r="O436" s="80"/>
      <c r="P436" s="6"/>
      <c r="Q436" s="6"/>
      <c r="R436" s="6"/>
      <c r="S436" s="6"/>
      <c r="T436" s="6"/>
      <c r="U436" s="6"/>
      <c r="V436" s="6"/>
      <c r="W436" s="7"/>
      <c r="X436" s="7"/>
      <c r="Y436" s="7"/>
      <c r="Z436" s="7"/>
    </row>
    <row r="437">
      <c r="A437" s="6"/>
      <c r="B437" s="6"/>
      <c r="C437" s="6"/>
      <c r="D437" s="6"/>
      <c r="E437" s="6"/>
      <c r="F437" s="6"/>
      <c r="G437" s="6"/>
      <c r="H437" s="6"/>
      <c r="I437" s="6"/>
      <c r="J437" s="6"/>
      <c r="K437" s="6"/>
      <c r="L437" s="80"/>
      <c r="M437" s="80"/>
      <c r="N437" s="80"/>
      <c r="O437" s="80"/>
      <c r="P437" s="6"/>
      <c r="Q437" s="6"/>
      <c r="R437" s="6"/>
      <c r="S437" s="6"/>
      <c r="T437" s="6"/>
      <c r="U437" s="6"/>
      <c r="V437" s="6"/>
      <c r="W437" s="7"/>
      <c r="X437" s="7"/>
      <c r="Y437" s="7"/>
      <c r="Z437" s="7"/>
    </row>
    <row r="438">
      <c r="A438" s="6"/>
      <c r="B438" s="6"/>
      <c r="C438" s="6"/>
      <c r="D438" s="6"/>
      <c r="E438" s="6"/>
      <c r="F438" s="6"/>
      <c r="G438" s="6"/>
      <c r="H438" s="6"/>
      <c r="I438" s="6"/>
      <c r="J438" s="6"/>
      <c r="K438" s="6"/>
      <c r="L438" s="80"/>
      <c r="M438" s="80"/>
      <c r="N438" s="80"/>
      <c r="O438" s="80"/>
      <c r="P438" s="6"/>
      <c r="Q438" s="6"/>
      <c r="R438" s="6"/>
      <c r="S438" s="6"/>
      <c r="T438" s="6"/>
      <c r="U438" s="6"/>
      <c r="V438" s="6"/>
      <c r="W438" s="7"/>
      <c r="X438" s="7"/>
      <c r="Y438" s="7"/>
      <c r="Z438" s="7"/>
    </row>
    <row r="439">
      <c r="A439" s="6"/>
      <c r="B439" s="6"/>
      <c r="C439" s="6"/>
      <c r="D439" s="6"/>
      <c r="E439" s="6"/>
      <c r="F439" s="6"/>
      <c r="G439" s="6"/>
      <c r="H439" s="6"/>
      <c r="I439" s="6"/>
      <c r="J439" s="6"/>
      <c r="K439" s="6"/>
      <c r="L439" s="80"/>
      <c r="M439" s="80"/>
      <c r="N439" s="80"/>
      <c r="O439" s="80"/>
      <c r="P439" s="6"/>
      <c r="Q439" s="6"/>
      <c r="R439" s="6"/>
      <c r="S439" s="6"/>
      <c r="T439" s="6"/>
      <c r="U439" s="6"/>
      <c r="V439" s="6"/>
      <c r="W439" s="7"/>
      <c r="X439" s="7"/>
      <c r="Y439" s="7"/>
      <c r="Z439" s="7"/>
    </row>
    <row r="440">
      <c r="A440" s="6"/>
      <c r="B440" s="6"/>
      <c r="C440" s="6"/>
      <c r="D440" s="6"/>
      <c r="E440" s="6"/>
      <c r="F440" s="6"/>
      <c r="G440" s="6"/>
      <c r="H440" s="6"/>
      <c r="I440" s="6"/>
      <c r="J440" s="6"/>
      <c r="K440" s="6"/>
      <c r="L440" s="80"/>
      <c r="M440" s="80"/>
      <c r="N440" s="80"/>
      <c r="O440" s="80"/>
      <c r="P440" s="6"/>
      <c r="Q440" s="6"/>
      <c r="R440" s="6"/>
      <c r="S440" s="6"/>
      <c r="T440" s="6"/>
      <c r="U440" s="6"/>
      <c r="V440" s="6"/>
      <c r="W440" s="7"/>
      <c r="X440" s="7"/>
      <c r="Y440" s="7"/>
      <c r="Z440" s="7"/>
    </row>
    <row r="441">
      <c r="A441" s="6"/>
      <c r="B441" s="6"/>
      <c r="C441" s="6"/>
      <c r="D441" s="6"/>
      <c r="E441" s="6"/>
      <c r="F441" s="6"/>
      <c r="G441" s="6"/>
      <c r="H441" s="6"/>
      <c r="I441" s="6"/>
      <c r="J441" s="6"/>
      <c r="K441" s="6"/>
      <c r="L441" s="80"/>
      <c r="M441" s="80"/>
      <c r="N441" s="80"/>
      <c r="O441" s="80"/>
      <c r="P441" s="6"/>
      <c r="Q441" s="6"/>
      <c r="R441" s="6"/>
      <c r="S441" s="6"/>
      <c r="T441" s="6"/>
      <c r="U441" s="6"/>
      <c r="V441" s="6"/>
      <c r="W441" s="7"/>
      <c r="X441" s="7"/>
      <c r="Y441" s="7"/>
      <c r="Z441" s="7"/>
    </row>
    <row r="442">
      <c r="A442" s="6"/>
      <c r="B442" s="6"/>
      <c r="C442" s="6"/>
      <c r="D442" s="6"/>
      <c r="E442" s="6"/>
      <c r="F442" s="6"/>
      <c r="G442" s="6"/>
      <c r="H442" s="6"/>
      <c r="I442" s="6"/>
      <c r="J442" s="6"/>
      <c r="K442" s="6"/>
      <c r="L442" s="80"/>
      <c r="M442" s="80"/>
      <c r="N442" s="80"/>
      <c r="O442" s="80"/>
      <c r="P442" s="6"/>
      <c r="Q442" s="6"/>
      <c r="R442" s="6"/>
      <c r="S442" s="6"/>
      <c r="T442" s="6"/>
      <c r="U442" s="6"/>
      <c r="V442" s="6"/>
      <c r="W442" s="7"/>
      <c r="X442" s="7"/>
      <c r="Y442" s="7"/>
      <c r="Z442" s="7"/>
    </row>
    <row r="443">
      <c r="A443" s="6"/>
      <c r="B443" s="6"/>
      <c r="C443" s="6"/>
      <c r="D443" s="6"/>
      <c r="E443" s="6"/>
      <c r="F443" s="6"/>
      <c r="G443" s="6"/>
      <c r="H443" s="6"/>
      <c r="I443" s="6"/>
      <c r="J443" s="6"/>
      <c r="K443" s="6"/>
      <c r="L443" s="80"/>
      <c r="M443" s="80"/>
      <c r="N443" s="80"/>
      <c r="O443" s="80"/>
      <c r="P443" s="6"/>
      <c r="Q443" s="6"/>
      <c r="R443" s="6"/>
      <c r="S443" s="6"/>
      <c r="T443" s="6"/>
      <c r="U443" s="6"/>
      <c r="V443" s="6"/>
      <c r="W443" s="7"/>
      <c r="X443" s="7"/>
      <c r="Y443" s="7"/>
      <c r="Z443" s="7"/>
    </row>
    <row r="444">
      <c r="A444" s="6"/>
      <c r="B444" s="6"/>
      <c r="C444" s="6"/>
      <c r="D444" s="6"/>
      <c r="E444" s="6"/>
      <c r="F444" s="6"/>
      <c r="G444" s="6"/>
      <c r="H444" s="6"/>
      <c r="I444" s="6"/>
      <c r="J444" s="6"/>
      <c r="K444" s="6"/>
      <c r="L444" s="80"/>
      <c r="M444" s="80"/>
      <c r="N444" s="80"/>
      <c r="O444" s="80"/>
      <c r="P444" s="6"/>
      <c r="Q444" s="6"/>
      <c r="R444" s="6"/>
      <c r="S444" s="6"/>
      <c r="T444" s="6"/>
      <c r="U444" s="6"/>
      <c r="V444" s="6"/>
      <c r="W444" s="7"/>
      <c r="X444" s="7"/>
      <c r="Y444" s="7"/>
      <c r="Z444" s="7"/>
    </row>
    <row r="445">
      <c r="A445" s="6"/>
      <c r="B445" s="6"/>
      <c r="C445" s="6"/>
      <c r="D445" s="6"/>
      <c r="E445" s="6"/>
      <c r="F445" s="6"/>
      <c r="G445" s="6"/>
      <c r="H445" s="6"/>
      <c r="I445" s="6"/>
      <c r="J445" s="6"/>
      <c r="K445" s="6"/>
      <c r="L445" s="80"/>
      <c r="M445" s="80"/>
      <c r="N445" s="80"/>
      <c r="O445" s="80"/>
      <c r="P445" s="6"/>
      <c r="Q445" s="6"/>
      <c r="R445" s="6"/>
      <c r="S445" s="6"/>
      <c r="T445" s="6"/>
      <c r="U445" s="6"/>
      <c r="V445" s="6"/>
      <c r="W445" s="7"/>
      <c r="X445" s="7"/>
      <c r="Y445" s="7"/>
      <c r="Z445" s="7"/>
    </row>
    <row r="446">
      <c r="A446" s="6"/>
      <c r="B446" s="6"/>
      <c r="C446" s="6"/>
      <c r="D446" s="6"/>
      <c r="E446" s="6"/>
      <c r="F446" s="6"/>
      <c r="G446" s="6"/>
      <c r="H446" s="6"/>
      <c r="I446" s="6"/>
      <c r="J446" s="6"/>
      <c r="K446" s="6"/>
      <c r="L446" s="80"/>
      <c r="M446" s="80"/>
      <c r="N446" s="80"/>
      <c r="O446" s="80"/>
      <c r="P446" s="6"/>
      <c r="Q446" s="6"/>
      <c r="R446" s="6"/>
      <c r="S446" s="6"/>
      <c r="T446" s="6"/>
      <c r="U446" s="6"/>
      <c r="V446" s="6"/>
      <c r="W446" s="7"/>
      <c r="X446" s="7"/>
      <c r="Y446" s="7"/>
      <c r="Z446" s="7"/>
    </row>
    <row r="447">
      <c r="A447" s="6"/>
      <c r="B447" s="6"/>
      <c r="C447" s="6"/>
      <c r="D447" s="6"/>
      <c r="E447" s="6"/>
      <c r="F447" s="6"/>
      <c r="G447" s="6"/>
      <c r="H447" s="6"/>
      <c r="I447" s="6"/>
      <c r="J447" s="6"/>
      <c r="K447" s="6"/>
      <c r="L447" s="80"/>
      <c r="M447" s="80"/>
      <c r="N447" s="80"/>
      <c r="O447" s="80"/>
      <c r="P447" s="6"/>
      <c r="Q447" s="6"/>
      <c r="R447" s="6"/>
      <c r="S447" s="6"/>
      <c r="T447" s="6"/>
      <c r="U447" s="6"/>
      <c r="V447" s="6"/>
      <c r="W447" s="7"/>
      <c r="X447" s="7"/>
      <c r="Y447" s="7"/>
      <c r="Z447" s="7"/>
    </row>
    <row r="448">
      <c r="A448" s="6"/>
      <c r="B448" s="6"/>
      <c r="C448" s="6"/>
      <c r="D448" s="6"/>
      <c r="E448" s="6"/>
      <c r="F448" s="6"/>
      <c r="G448" s="6"/>
      <c r="H448" s="6"/>
      <c r="I448" s="6"/>
      <c r="J448" s="6"/>
      <c r="K448" s="6"/>
      <c r="L448" s="80"/>
      <c r="M448" s="80"/>
      <c r="N448" s="80"/>
      <c r="O448" s="80"/>
      <c r="P448" s="6"/>
      <c r="Q448" s="6"/>
      <c r="R448" s="6"/>
      <c r="S448" s="6"/>
      <c r="T448" s="6"/>
      <c r="U448" s="6"/>
      <c r="V448" s="6"/>
      <c r="W448" s="7"/>
      <c r="X448" s="7"/>
      <c r="Y448" s="7"/>
      <c r="Z448" s="7"/>
    </row>
    <row r="449">
      <c r="A449" s="6"/>
      <c r="B449" s="6"/>
      <c r="C449" s="6"/>
      <c r="D449" s="6"/>
      <c r="E449" s="6"/>
      <c r="F449" s="6"/>
      <c r="G449" s="6"/>
      <c r="H449" s="6"/>
      <c r="I449" s="6"/>
      <c r="J449" s="6"/>
      <c r="K449" s="6"/>
      <c r="L449" s="80"/>
      <c r="M449" s="80"/>
      <c r="N449" s="80"/>
      <c r="O449" s="80"/>
      <c r="P449" s="6"/>
      <c r="Q449" s="6"/>
      <c r="R449" s="6"/>
      <c r="S449" s="6"/>
      <c r="T449" s="6"/>
      <c r="U449" s="6"/>
      <c r="V449" s="6"/>
      <c r="W449" s="7"/>
      <c r="X449" s="7"/>
      <c r="Y449" s="7"/>
      <c r="Z449" s="7"/>
    </row>
    <row r="450">
      <c r="A450" s="6"/>
      <c r="B450" s="6"/>
      <c r="C450" s="6"/>
      <c r="D450" s="6"/>
      <c r="E450" s="6"/>
      <c r="F450" s="6"/>
      <c r="G450" s="6"/>
      <c r="H450" s="6"/>
      <c r="I450" s="6"/>
      <c r="J450" s="6"/>
      <c r="K450" s="6"/>
      <c r="L450" s="80"/>
      <c r="M450" s="80"/>
      <c r="N450" s="80"/>
      <c r="O450" s="80"/>
      <c r="P450" s="6"/>
      <c r="Q450" s="6"/>
      <c r="R450" s="6"/>
      <c r="S450" s="6"/>
      <c r="T450" s="6"/>
      <c r="U450" s="6"/>
      <c r="V450" s="6"/>
      <c r="W450" s="7"/>
      <c r="X450" s="7"/>
      <c r="Y450" s="7"/>
      <c r="Z450" s="7"/>
    </row>
    <row r="451">
      <c r="A451" s="6"/>
      <c r="B451" s="6"/>
      <c r="C451" s="6"/>
      <c r="D451" s="6"/>
      <c r="E451" s="6"/>
      <c r="F451" s="6"/>
      <c r="G451" s="6"/>
      <c r="H451" s="6"/>
      <c r="I451" s="6"/>
      <c r="J451" s="6"/>
      <c r="K451" s="6"/>
      <c r="L451" s="80"/>
      <c r="M451" s="80"/>
      <c r="N451" s="80"/>
      <c r="O451" s="80"/>
      <c r="P451" s="6"/>
      <c r="Q451" s="6"/>
      <c r="R451" s="6"/>
      <c r="S451" s="6"/>
      <c r="T451" s="6"/>
      <c r="U451" s="6"/>
      <c r="V451" s="6"/>
      <c r="W451" s="7"/>
      <c r="X451" s="7"/>
      <c r="Y451" s="7"/>
      <c r="Z451" s="7"/>
    </row>
    <row r="452">
      <c r="A452" s="6"/>
      <c r="B452" s="6"/>
      <c r="C452" s="6"/>
      <c r="D452" s="6"/>
      <c r="E452" s="6"/>
      <c r="F452" s="6"/>
      <c r="G452" s="6"/>
      <c r="H452" s="6"/>
      <c r="I452" s="6"/>
      <c r="J452" s="6"/>
      <c r="K452" s="6"/>
      <c r="L452" s="80"/>
      <c r="M452" s="80"/>
      <c r="N452" s="80"/>
      <c r="O452" s="80"/>
      <c r="P452" s="6"/>
      <c r="Q452" s="6"/>
      <c r="R452" s="6"/>
      <c r="S452" s="6"/>
      <c r="T452" s="6"/>
      <c r="U452" s="6"/>
      <c r="V452" s="6"/>
      <c r="W452" s="7"/>
      <c r="X452" s="7"/>
      <c r="Y452" s="7"/>
      <c r="Z452" s="7"/>
    </row>
    <row r="453">
      <c r="A453" s="6"/>
      <c r="B453" s="6"/>
      <c r="C453" s="6"/>
      <c r="D453" s="6"/>
      <c r="E453" s="6"/>
      <c r="F453" s="6"/>
      <c r="G453" s="6"/>
      <c r="H453" s="6"/>
      <c r="I453" s="6"/>
      <c r="J453" s="6"/>
      <c r="K453" s="6"/>
      <c r="L453" s="80"/>
      <c r="M453" s="80"/>
      <c r="N453" s="80"/>
      <c r="O453" s="80"/>
      <c r="P453" s="6"/>
      <c r="Q453" s="6"/>
      <c r="R453" s="6"/>
      <c r="S453" s="6"/>
      <c r="T453" s="6"/>
      <c r="U453" s="6"/>
      <c r="V453" s="6"/>
      <c r="W453" s="7"/>
      <c r="X453" s="7"/>
      <c r="Y453" s="7"/>
      <c r="Z453" s="7"/>
    </row>
    <row r="454">
      <c r="A454" s="6"/>
      <c r="B454" s="6"/>
      <c r="C454" s="6"/>
      <c r="D454" s="6"/>
      <c r="E454" s="6"/>
      <c r="F454" s="6"/>
      <c r="G454" s="6"/>
      <c r="H454" s="6"/>
      <c r="I454" s="6"/>
      <c r="J454" s="6"/>
      <c r="K454" s="6"/>
      <c r="L454" s="80"/>
      <c r="M454" s="80"/>
      <c r="N454" s="80"/>
      <c r="O454" s="80"/>
      <c r="P454" s="6"/>
      <c r="Q454" s="6"/>
      <c r="R454" s="6"/>
      <c r="S454" s="6"/>
      <c r="T454" s="6"/>
      <c r="U454" s="6"/>
      <c r="V454" s="6"/>
      <c r="W454" s="7"/>
      <c r="X454" s="7"/>
      <c r="Y454" s="7"/>
      <c r="Z454" s="7"/>
    </row>
    <row r="455">
      <c r="A455" s="6"/>
      <c r="B455" s="6"/>
      <c r="C455" s="6"/>
      <c r="D455" s="6"/>
      <c r="E455" s="6"/>
      <c r="F455" s="6"/>
      <c r="G455" s="6"/>
      <c r="H455" s="6"/>
      <c r="I455" s="6"/>
      <c r="J455" s="6"/>
      <c r="K455" s="6"/>
      <c r="L455" s="80"/>
      <c r="M455" s="80"/>
      <c r="N455" s="80"/>
      <c r="O455" s="80"/>
      <c r="P455" s="6"/>
      <c r="Q455" s="6"/>
      <c r="R455" s="6"/>
      <c r="S455" s="6"/>
      <c r="T455" s="6"/>
      <c r="U455" s="6"/>
      <c r="V455" s="6"/>
      <c r="W455" s="7"/>
      <c r="X455" s="7"/>
      <c r="Y455" s="7"/>
      <c r="Z455" s="7"/>
    </row>
    <row r="456">
      <c r="A456" s="6"/>
      <c r="B456" s="6"/>
      <c r="C456" s="6"/>
      <c r="D456" s="6"/>
      <c r="E456" s="6"/>
      <c r="F456" s="6"/>
      <c r="G456" s="6"/>
      <c r="H456" s="6"/>
      <c r="I456" s="6"/>
      <c r="J456" s="6"/>
      <c r="K456" s="6"/>
      <c r="L456" s="80"/>
      <c r="M456" s="80"/>
      <c r="N456" s="80"/>
      <c r="O456" s="80"/>
      <c r="P456" s="6"/>
      <c r="Q456" s="6"/>
      <c r="R456" s="6"/>
      <c r="S456" s="6"/>
      <c r="T456" s="6"/>
      <c r="U456" s="6"/>
      <c r="V456" s="6"/>
      <c r="W456" s="7"/>
      <c r="X456" s="7"/>
      <c r="Y456" s="7"/>
      <c r="Z456" s="7"/>
    </row>
    <row r="457">
      <c r="A457" s="6"/>
      <c r="B457" s="6"/>
      <c r="C457" s="6"/>
      <c r="D457" s="6"/>
      <c r="E457" s="6"/>
      <c r="F457" s="6"/>
      <c r="G457" s="6"/>
      <c r="H457" s="6"/>
      <c r="I457" s="6"/>
      <c r="J457" s="6"/>
      <c r="K457" s="6"/>
      <c r="L457" s="80"/>
      <c r="M457" s="80"/>
      <c r="N457" s="80"/>
      <c r="O457" s="80"/>
      <c r="P457" s="6"/>
      <c r="Q457" s="6"/>
      <c r="R457" s="6"/>
      <c r="S457" s="6"/>
      <c r="T457" s="6"/>
      <c r="U457" s="6"/>
      <c r="V457" s="6"/>
      <c r="W457" s="7"/>
      <c r="X457" s="7"/>
      <c r="Y457" s="7"/>
      <c r="Z457" s="7"/>
    </row>
    <row r="458">
      <c r="A458" s="6"/>
      <c r="B458" s="6"/>
      <c r="C458" s="6"/>
      <c r="D458" s="6"/>
      <c r="E458" s="6"/>
      <c r="F458" s="6"/>
      <c r="G458" s="6"/>
      <c r="H458" s="6"/>
      <c r="I458" s="6"/>
      <c r="J458" s="6"/>
      <c r="K458" s="6"/>
      <c r="L458" s="80"/>
      <c r="M458" s="80"/>
      <c r="N458" s="80"/>
      <c r="O458" s="80"/>
      <c r="P458" s="6"/>
      <c r="Q458" s="6"/>
      <c r="R458" s="6"/>
      <c r="S458" s="6"/>
      <c r="T458" s="6"/>
      <c r="U458" s="6"/>
      <c r="V458" s="6"/>
      <c r="W458" s="7"/>
      <c r="X458" s="7"/>
      <c r="Y458" s="7"/>
      <c r="Z458" s="7"/>
    </row>
    <row r="459">
      <c r="A459" s="6"/>
      <c r="B459" s="6"/>
      <c r="C459" s="6"/>
      <c r="D459" s="6"/>
      <c r="E459" s="6"/>
      <c r="F459" s="6"/>
      <c r="G459" s="6"/>
      <c r="H459" s="6"/>
      <c r="I459" s="6"/>
      <c r="J459" s="6"/>
      <c r="K459" s="6"/>
      <c r="L459" s="80"/>
      <c r="M459" s="80"/>
      <c r="N459" s="80"/>
      <c r="O459" s="80"/>
      <c r="P459" s="6"/>
      <c r="Q459" s="6"/>
      <c r="R459" s="6"/>
      <c r="S459" s="6"/>
      <c r="T459" s="6"/>
      <c r="U459" s="6"/>
      <c r="V459" s="6"/>
      <c r="W459" s="7"/>
      <c r="X459" s="7"/>
      <c r="Y459" s="7"/>
      <c r="Z459" s="7"/>
    </row>
    <row r="460">
      <c r="A460" s="6"/>
      <c r="B460" s="6"/>
      <c r="C460" s="6"/>
      <c r="D460" s="6"/>
      <c r="E460" s="6"/>
      <c r="F460" s="6"/>
      <c r="G460" s="6"/>
      <c r="H460" s="6"/>
      <c r="I460" s="6"/>
      <c r="J460" s="6"/>
      <c r="K460" s="6"/>
      <c r="L460" s="80"/>
      <c r="M460" s="80"/>
      <c r="N460" s="80"/>
      <c r="O460" s="80"/>
      <c r="P460" s="6"/>
      <c r="Q460" s="6"/>
      <c r="R460" s="6"/>
      <c r="S460" s="6"/>
      <c r="T460" s="6"/>
      <c r="U460" s="6"/>
      <c r="V460" s="6"/>
      <c r="W460" s="7"/>
      <c r="X460" s="7"/>
      <c r="Y460" s="7"/>
      <c r="Z460" s="7"/>
    </row>
    <row r="461">
      <c r="A461" s="6"/>
      <c r="B461" s="6"/>
      <c r="C461" s="6"/>
      <c r="D461" s="6"/>
      <c r="E461" s="6"/>
      <c r="F461" s="6"/>
      <c r="G461" s="6"/>
      <c r="H461" s="6"/>
      <c r="I461" s="6"/>
      <c r="J461" s="6"/>
      <c r="K461" s="6"/>
      <c r="L461" s="80"/>
      <c r="M461" s="80"/>
      <c r="N461" s="80"/>
      <c r="O461" s="80"/>
      <c r="P461" s="6"/>
      <c r="Q461" s="6"/>
      <c r="R461" s="6"/>
      <c r="S461" s="6"/>
      <c r="T461" s="6"/>
      <c r="U461" s="6"/>
      <c r="V461" s="6"/>
      <c r="W461" s="7"/>
      <c r="X461" s="7"/>
      <c r="Y461" s="7"/>
      <c r="Z461" s="7"/>
    </row>
    <row r="462">
      <c r="A462" s="6"/>
      <c r="B462" s="6"/>
      <c r="C462" s="6"/>
      <c r="D462" s="6"/>
      <c r="E462" s="6"/>
      <c r="F462" s="6"/>
      <c r="G462" s="6"/>
      <c r="H462" s="6"/>
      <c r="I462" s="6"/>
      <c r="J462" s="6"/>
      <c r="K462" s="6"/>
      <c r="L462" s="80"/>
      <c r="M462" s="80"/>
      <c r="N462" s="80"/>
      <c r="O462" s="80"/>
      <c r="P462" s="6"/>
      <c r="Q462" s="6"/>
      <c r="R462" s="6"/>
      <c r="S462" s="6"/>
      <c r="T462" s="6"/>
      <c r="U462" s="6"/>
      <c r="V462" s="6"/>
      <c r="W462" s="7"/>
      <c r="X462" s="7"/>
      <c r="Y462" s="7"/>
      <c r="Z462" s="7"/>
    </row>
    <row r="463">
      <c r="A463" s="6"/>
      <c r="B463" s="6"/>
      <c r="C463" s="6"/>
      <c r="D463" s="6"/>
      <c r="E463" s="6"/>
      <c r="F463" s="6"/>
      <c r="G463" s="6"/>
      <c r="H463" s="6"/>
      <c r="I463" s="6"/>
      <c r="J463" s="6"/>
      <c r="K463" s="6"/>
      <c r="L463" s="80"/>
      <c r="M463" s="80"/>
      <c r="N463" s="80"/>
      <c r="O463" s="80"/>
      <c r="P463" s="6"/>
      <c r="Q463" s="6"/>
      <c r="R463" s="6"/>
      <c r="S463" s="6"/>
      <c r="T463" s="6"/>
      <c r="U463" s="6"/>
      <c r="V463" s="6"/>
      <c r="W463" s="7"/>
      <c r="X463" s="7"/>
      <c r="Y463" s="7"/>
      <c r="Z463" s="7"/>
    </row>
    <row r="464">
      <c r="A464" s="6"/>
      <c r="B464" s="6"/>
      <c r="C464" s="6"/>
      <c r="D464" s="6"/>
      <c r="E464" s="6"/>
      <c r="F464" s="6"/>
      <c r="G464" s="6"/>
      <c r="H464" s="6"/>
      <c r="I464" s="6"/>
      <c r="J464" s="6"/>
      <c r="K464" s="6"/>
      <c r="L464" s="80"/>
      <c r="M464" s="80"/>
      <c r="N464" s="80"/>
      <c r="O464" s="80"/>
      <c r="P464" s="6"/>
      <c r="Q464" s="6"/>
      <c r="R464" s="6"/>
      <c r="S464" s="6"/>
      <c r="T464" s="6"/>
      <c r="U464" s="6"/>
      <c r="V464" s="6"/>
      <c r="W464" s="7"/>
      <c r="X464" s="7"/>
      <c r="Y464" s="7"/>
      <c r="Z464" s="7"/>
    </row>
    <row r="465">
      <c r="A465" s="6"/>
      <c r="B465" s="6"/>
      <c r="C465" s="6"/>
      <c r="D465" s="6"/>
      <c r="E465" s="6"/>
      <c r="F465" s="6"/>
      <c r="G465" s="6"/>
      <c r="H465" s="6"/>
      <c r="I465" s="6"/>
      <c r="J465" s="6"/>
      <c r="K465" s="6"/>
      <c r="L465" s="80"/>
      <c r="M465" s="80"/>
      <c r="N465" s="80"/>
      <c r="O465" s="80"/>
      <c r="P465" s="6"/>
      <c r="Q465" s="6"/>
      <c r="R465" s="6"/>
      <c r="S465" s="6"/>
      <c r="T465" s="6"/>
      <c r="U465" s="6"/>
      <c r="V465" s="6"/>
      <c r="W465" s="7"/>
      <c r="X465" s="7"/>
      <c r="Y465" s="7"/>
      <c r="Z465" s="7"/>
    </row>
    <row r="466">
      <c r="A466" s="6"/>
      <c r="B466" s="6"/>
      <c r="C466" s="6"/>
      <c r="D466" s="6"/>
      <c r="E466" s="6"/>
      <c r="F466" s="6"/>
      <c r="G466" s="6"/>
      <c r="H466" s="6"/>
      <c r="I466" s="6"/>
      <c r="J466" s="6"/>
      <c r="K466" s="6"/>
      <c r="L466" s="80"/>
      <c r="M466" s="80"/>
      <c r="N466" s="80"/>
      <c r="O466" s="80"/>
      <c r="P466" s="6"/>
      <c r="Q466" s="6"/>
      <c r="R466" s="6"/>
      <c r="S466" s="6"/>
      <c r="T466" s="6"/>
      <c r="U466" s="6"/>
      <c r="V466" s="6"/>
      <c r="W466" s="7"/>
      <c r="X466" s="7"/>
      <c r="Y466" s="7"/>
      <c r="Z466" s="7"/>
    </row>
    <row r="467">
      <c r="A467" s="6"/>
      <c r="B467" s="6"/>
      <c r="C467" s="6"/>
      <c r="D467" s="6"/>
      <c r="E467" s="6"/>
      <c r="F467" s="6"/>
      <c r="G467" s="6"/>
      <c r="H467" s="6"/>
      <c r="I467" s="6"/>
      <c r="J467" s="6"/>
      <c r="K467" s="6"/>
      <c r="L467" s="80"/>
      <c r="M467" s="80"/>
      <c r="N467" s="80"/>
      <c r="O467" s="80"/>
      <c r="P467" s="6"/>
      <c r="Q467" s="6"/>
      <c r="R467" s="6"/>
      <c r="S467" s="6"/>
      <c r="T467" s="6"/>
      <c r="U467" s="6"/>
      <c r="V467" s="6"/>
      <c r="W467" s="7"/>
      <c r="X467" s="7"/>
      <c r="Y467" s="7"/>
      <c r="Z467" s="7"/>
    </row>
    <row r="468">
      <c r="A468" s="6"/>
      <c r="B468" s="6"/>
      <c r="C468" s="6"/>
      <c r="D468" s="6"/>
      <c r="E468" s="6"/>
      <c r="F468" s="6"/>
      <c r="G468" s="6"/>
      <c r="H468" s="6"/>
      <c r="I468" s="6"/>
      <c r="J468" s="6"/>
      <c r="K468" s="6"/>
      <c r="L468" s="80"/>
      <c r="M468" s="80"/>
      <c r="N468" s="80"/>
      <c r="O468" s="80"/>
      <c r="P468" s="6"/>
      <c r="Q468" s="6"/>
      <c r="R468" s="6"/>
      <c r="S468" s="6"/>
      <c r="T468" s="6"/>
      <c r="U468" s="6"/>
      <c r="V468" s="6"/>
      <c r="W468" s="7"/>
      <c r="X468" s="7"/>
      <c r="Y468" s="7"/>
      <c r="Z468" s="7"/>
    </row>
    <row r="469">
      <c r="A469" s="6"/>
      <c r="B469" s="6"/>
      <c r="C469" s="6"/>
      <c r="D469" s="6"/>
      <c r="E469" s="6"/>
      <c r="F469" s="6"/>
      <c r="G469" s="6"/>
      <c r="H469" s="6"/>
      <c r="I469" s="6"/>
      <c r="J469" s="6"/>
      <c r="K469" s="6"/>
      <c r="L469" s="80"/>
      <c r="M469" s="80"/>
      <c r="N469" s="80"/>
      <c r="O469" s="80"/>
      <c r="P469" s="6"/>
      <c r="Q469" s="6"/>
      <c r="R469" s="6"/>
      <c r="S469" s="6"/>
      <c r="T469" s="6"/>
      <c r="U469" s="6"/>
      <c r="V469" s="6"/>
      <c r="W469" s="7"/>
      <c r="X469" s="7"/>
      <c r="Y469" s="7"/>
      <c r="Z469" s="7"/>
    </row>
    <row r="470">
      <c r="A470" s="6"/>
      <c r="B470" s="6"/>
      <c r="C470" s="6"/>
      <c r="D470" s="6"/>
      <c r="E470" s="6"/>
      <c r="F470" s="6"/>
      <c r="G470" s="6"/>
      <c r="H470" s="6"/>
      <c r="I470" s="6"/>
      <c r="J470" s="6"/>
      <c r="K470" s="6"/>
      <c r="L470" s="80"/>
      <c r="M470" s="80"/>
      <c r="N470" s="80"/>
      <c r="O470" s="80"/>
      <c r="P470" s="6"/>
      <c r="Q470" s="6"/>
      <c r="R470" s="6"/>
      <c r="S470" s="6"/>
      <c r="T470" s="6"/>
      <c r="U470" s="6"/>
      <c r="V470" s="6"/>
      <c r="W470" s="7"/>
      <c r="X470" s="7"/>
      <c r="Y470" s="7"/>
      <c r="Z470" s="7"/>
    </row>
    <row r="471">
      <c r="A471" s="6"/>
      <c r="B471" s="6"/>
      <c r="C471" s="6"/>
      <c r="D471" s="6"/>
      <c r="E471" s="6"/>
      <c r="F471" s="6"/>
      <c r="G471" s="6"/>
      <c r="H471" s="6"/>
      <c r="I471" s="6"/>
      <c r="J471" s="6"/>
      <c r="K471" s="6"/>
      <c r="L471" s="80"/>
      <c r="M471" s="80"/>
      <c r="N471" s="80"/>
      <c r="O471" s="80"/>
      <c r="P471" s="6"/>
      <c r="Q471" s="6"/>
      <c r="R471" s="6"/>
      <c r="S471" s="6"/>
      <c r="T471" s="6"/>
      <c r="U471" s="6"/>
      <c r="V471" s="6"/>
      <c r="W471" s="7"/>
      <c r="X471" s="7"/>
      <c r="Y471" s="7"/>
      <c r="Z471" s="7"/>
    </row>
    <row r="472">
      <c r="A472" s="6"/>
      <c r="B472" s="6"/>
      <c r="C472" s="6"/>
      <c r="D472" s="6"/>
      <c r="E472" s="6"/>
      <c r="F472" s="6"/>
      <c r="G472" s="6"/>
      <c r="H472" s="6"/>
      <c r="I472" s="6"/>
      <c r="J472" s="6"/>
      <c r="K472" s="6"/>
      <c r="L472" s="80"/>
      <c r="M472" s="80"/>
      <c r="N472" s="80"/>
      <c r="O472" s="80"/>
      <c r="P472" s="6"/>
      <c r="Q472" s="6"/>
      <c r="R472" s="6"/>
      <c r="S472" s="6"/>
      <c r="T472" s="6"/>
      <c r="U472" s="6"/>
      <c r="V472" s="6"/>
      <c r="W472" s="7"/>
      <c r="X472" s="7"/>
      <c r="Y472" s="7"/>
      <c r="Z472" s="7"/>
    </row>
    <row r="473">
      <c r="A473" s="6"/>
      <c r="B473" s="6"/>
      <c r="C473" s="6"/>
      <c r="D473" s="6"/>
      <c r="E473" s="6"/>
      <c r="F473" s="6"/>
      <c r="G473" s="6"/>
      <c r="H473" s="6"/>
      <c r="I473" s="6"/>
      <c r="J473" s="6"/>
      <c r="K473" s="6"/>
      <c r="L473" s="80"/>
      <c r="M473" s="80"/>
      <c r="N473" s="80"/>
      <c r="O473" s="80"/>
      <c r="P473" s="6"/>
      <c r="Q473" s="6"/>
      <c r="R473" s="6"/>
      <c r="S473" s="6"/>
      <c r="T473" s="6"/>
      <c r="U473" s="6"/>
      <c r="V473" s="6"/>
      <c r="W473" s="7"/>
      <c r="X473" s="7"/>
      <c r="Y473" s="7"/>
      <c r="Z473" s="7"/>
    </row>
    <row r="474">
      <c r="A474" s="6"/>
      <c r="B474" s="6"/>
      <c r="C474" s="6"/>
      <c r="D474" s="6"/>
      <c r="E474" s="6"/>
      <c r="F474" s="6"/>
      <c r="G474" s="6"/>
      <c r="H474" s="6"/>
      <c r="I474" s="6"/>
      <c r="J474" s="6"/>
      <c r="K474" s="6"/>
      <c r="L474" s="80"/>
      <c r="M474" s="80"/>
      <c r="N474" s="80"/>
      <c r="O474" s="80"/>
      <c r="P474" s="6"/>
      <c r="Q474" s="6"/>
      <c r="R474" s="6"/>
      <c r="S474" s="6"/>
      <c r="T474" s="6"/>
      <c r="U474" s="6"/>
      <c r="V474" s="6"/>
      <c r="W474" s="7"/>
      <c r="X474" s="7"/>
      <c r="Y474" s="7"/>
      <c r="Z474" s="7"/>
    </row>
    <row r="475">
      <c r="A475" s="6"/>
      <c r="B475" s="6"/>
      <c r="C475" s="6"/>
      <c r="D475" s="6"/>
      <c r="E475" s="6"/>
      <c r="F475" s="6"/>
      <c r="G475" s="6"/>
      <c r="H475" s="6"/>
      <c r="I475" s="6"/>
      <c r="J475" s="6"/>
      <c r="K475" s="6"/>
      <c r="L475" s="80"/>
      <c r="M475" s="80"/>
      <c r="N475" s="80"/>
      <c r="O475" s="80"/>
      <c r="P475" s="6"/>
      <c r="Q475" s="6"/>
      <c r="R475" s="6"/>
      <c r="S475" s="6"/>
      <c r="T475" s="6"/>
      <c r="U475" s="6"/>
      <c r="V475" s="6"/>
      <c r="W475" s="7"/>
      <c r="X475" s="7"/>
      <c r="Y475" s="7"/>
      <c r="Z475" s="7"/>
    </row>
    <row r="476">
      <c r="A476" s="6"/>
      <c r="B476" s="6"/>
      <c r="C476" s="6"/>
      <c r="D476" s="6"/>
      <c r="E476" s="6"/>
      <c r="F476" s="6"/>
      <c r="G476" s="6"/>
      <c r="H476" s="6"/>
      <c r="I476" s="6"/>
      <c r="J476" s="6"/>
      <c r="K476" s="6"/>
      <c r="L476" s="80"/>
      <c r="M476" s="80"/>
      <c r="N476" s="80"/>
      <c r="O476" s="80"/>
      <c r="P476" s="6"/>
      <c r="Q476" s="6"/>
      <c r="R476" s="6"/>
      <c r="S476" s="6"/>
      <c r="T476" s="6"/>
      <c r="U476" s="6"/>
      <c r="V476" s="6"/>
      <c r="W476" s="7"/>
      <c r="X476" s="7"/>
      <c r="Y476" s="7"/>
      <c r="Z476" s="7"/>
    </row>
    <row r="477">
      <c r="A477" s="6"/>
      <c r="B477" s="6"/>
      <c r="C477" s="6"/>
      <c r="D477" s="6"/>
      <c r="E477" s="6"/>
      <c r="F477" s="6"/>
      <c r="G477" s="6"/>
      <c r="H477" s="6"/>
      <c r="I477" s="6"/>
      <c r="J477" s="6"/>
      <c r="K477" s="6"/>
      <c r="L477" s="80"/>
      <c r="M477" s="80"/>
      <c r="N477" s="80"/>
      <c r="O477" s="80"/>
      <c r="P477" s="6"/>
      <c r="Q477" s="6"/>
      <c r="R477" s="6"/>
      <c r="S477" s="6"/>
      <c r="T477" s="6"/>
      <c r="U477" s="6"/>
      <c r="V477" s="6"/>
      <c r="W477" s="7"/>
      <c r="X477" s="7"/>
      <c r="Y477" s="7"/>
      <c r="Z477" s="7"/>
    </row>
    <row r="478">
      <c r="A478" s="6"/>
      <c r="B478" s="6"/>
      <c r="C478" s="6"/>
      <c r="D478" s="6"/>
      <c r="E478" s="6"/>
      <c r="F478" s="6"/>
      <c r="G478" s="6"/>
      <c r="H478" s="6"/>
      <c r="I478" s="6"/>
      <c r="J478" s="6"/>
      <c r="K478" s="6"/>
      <c r="L478" s="80"/>
      <c r="M478" s="80"/>
      <c r="N478" s="80"/>
      <c r="O478" s="80"/>
      <c r="P478" s="6"/>
      <c r="Q478" s="6"/>
      <c r="R478" s="6"/>
      <c r="S478" s="6"/>
      <c r="T478" s="6"/>
      <c r="U478" s="6"/>
      <c r="V478" s="6"/>
      <c r="W478" s="7"/>
      <c r="X478" s="7"/>
      <c r="Y478" s="7"/>
      <c r="Z478" s="7"/>
    </row>
    <row r="479">
      <c r="A479" s="6"/>
      <c r="B479" s="6"/>
      <c r="C479" s="6"/>
      <c r="D479" s="6"/>
      <c r="E479" s="6"/>
      <c r="F479" s="6"/>
      <c r="G479" s="6"/>
      <c r="H479" s="6"/>
      <c r="I479" s="6"/>
      <c r="J479" s="6"/>
      <c r="K479" s="6"/>
      <c r="L479" s="80"/>
      <c r="M479" s="80"/>
      <c r="N479" s="80"/>
      <c r="O479" s="80"/>
      <c r="P479" s="6"/>
      <c r="Q479" s="6"/>
      <c r="R479" s="6"/>
      <c r="S479" s="6"/>
      <c r="T479" s="6"/>
      <c r="U479" s="6"/>
      <c r="V479" s="6"/>
      <c r="W479" s="7"/>
      <c r="X479" s="7"/>
      <c r="Y479" s="7"/>
      <c r="Z479" s="7"/>
    </row>
    <row r="480">
      <c r="A480" s="6"/>
      <c r="B480" s="6"/>
      <c r="C480" s="6"/>
      <c r="D480" s="6"/>
      <c r="E480" s="6"/>
      <c r="F480" s="6"/>
      <c r="G480" s="6"/>
      <c r="H480" s="6"/>
      <c r="I480" s="6"/>
      <c r="J480" s="6"/>
      <c r="K480" s="6"/>
      <c r="L480" s="80"/>
      <c r="M480" s="80"/>
      <c r="N480" s="80"/>
      <c r="O480" s="80"/>
      <c r="P480" s="6"/>
      <c r="Q480" s="6"/>
      <c r="R480" s="6"/>
      <c r="S480" s="6"/>
      <c r="T480" s="6"/>
      <c r="U480" s="6"/>
      <c r="V480" s="6"/>
      <c r="W480" s="7"/>
      <c r="X480" s="7"/>
      <c r="Y480" s="7"/>
      <c r="Z480" s="7"/>
    </row>
    <row r="481">
      <c r="A481" s="6"/>
      <c r="B481" s="6"/>
      <c r="C481" s="6"/>
      <c r="D481" s="6"/>
      <c r="E481" s="6"/>
      <c r="F481" s="6"/>
      <c r="G481" s="6"/>
      <c r="H481" s="6"/>
      <c r="I481" s="6"/>
      <c r="J481" s="6"/>
      <c r="K481" s="6"/>
      <c r="L481" s="80"/>
      <c r="M481" s="80"/>
      <c r="N481" s="80"/>
      <c r="O481" s="80"/>
      <c r="P481" s="6"/>
      <c r="Q481" s="6"/>
      <c r="R481" s="6"/>
      <c r="S481" s="6"/>
      <c r="T481" s="6"/>
      <c r="U481" s="6"/>
      <c r="V481" s="6"/>
      <c r="W481" s="7"/>
      <c r="X481" s="7"/>
      <c r="Y481" s="7"/>
      <c r="Z481" s="7"/>
    </row>
    <row r="482">
      <c r="A482" s="6"/>
      <c r="B482" s="6"/>
      <c r="C482" s="6"/>
      <c r="D482" s="6"/>
      <c r="E482" s="6"/>
      <c r="F482" s="6"/>
      <c r="G482" s="6"/>
      <c r="H482" s="6"/>
      <c r="I482" s="6"/>
      <c r="J482" s="6"/>
      <c r="K482" s="6"/>
      <c r="L482" s="80"/>
      <c r="M482" s="80"/>
      <c r="N482" s="80"/>
      <c r="O482" s="80"/>
      <c r="P482" s="6"/>
      <c r="Q482" s="6"/>
      <c r="R482" s="6"/>
      <c r="S482" s="6"/>
      <c r="T482" s="6"/>
      <c r="U482" s="6"/>
      <c r="V482" s="6"/>
      <c r="W482" s="7"/>
      <c r="X482" s="7"/>
      <c r="Y482" s="7"/>
      <c r="Z482" s="7"/>
    </row>
    <row r="483">
      <c r="A483" s="6"/>
      <c r="B483" s="6"/>
      <c r="C483" s="6"/>
      <c r="D483" s="6"/>
      <c r="E483" s="6"/>
      <c r="F483" s="6"/>
      <c r="G483" s="6"/>
      <c r="H483" s="6"/>
      <c r="I483" s="6"/>
      <c r="J483" s="6"/>
      <c r="K483" s="6"/>
      <c r="L483" s="80"/>
      <c r="M483" s="80"/>
      <c r="N483" s="80"/>
      <c r="O483" s="80"/>
      <c r="P483" s="6"/>
      <c r="Q483" s="6"/>
      <c r="R483" s="6"/>
      <c r="S483" s="6"/>
      <c r="T483" s="6"/>
      <c r="U483" s="6"/>
      <c r="V483" s="6"/>
      <c r="W483" s="7"/>
      <c r="X483" s="7"/>
      <c r="Y483" s="7"/>
      <c r="Z483" s="7"/>
    </row>
    <row r="484">
      <c r="A484" s="6"/>
      <c r="B484" s="6"/>
      <c r="C484" s="6"/>
      <c r="D484" s="6"/>
      <c r="E484" s="6"/>
      <c r="F484" s="6"/>
      <c r="G484" s="6"/>
      <c r="H484" s="6"/>
      <c r="I484" s="6"/>
      <c r="J484" s="6"/>
      <c r="K484" s="6"/>
      <c r="L484" s="80"/>
      <c r="M484" s="80"/>
      <c r="N484" s="80"/>
      <c r="O484" s="80"/>
      <c r="P484" s="6"/>
      <c r="Q484" s="6"/>
      <c r="R484" s="6"/>
      <c r="S484" s="6"/>
      <c r="T484" s="6"/>
      <c r="U484" s="6"/>
      <c r="V484" s="6"/>
      <c r="W484" s="7"/>
      <c r="X484" s="7"/>
      <c r="Y484" s="7"/>
      <c r="Z484" s="7"/>
    </row>
    <row r="485">
      <c r="A485" s="6"/>
      <c r="B485" s="6"/>
      <c r="C485" s="6"/>
      <c r="D485" s="6"/>
      <c r="E485" s="6"/>
      <c r="F485" s="6"/>
      <c r="G485" s="6"/>
      <c r="H485" s="6"/>
      <c r="I485" s="6"/>
      <c r="J485" s="6"/>
      <c r="K485" s="6"/>
      <c r="L485" s="80"/>
      <c r="M485" s="80"/>
      <c r="N485" s="80"/>
      <c r="O485" s="80"/>
      <c r="P485" s="6"/>
      <c r="Q485" s="6"/>
      <c r="R485" s="6"/>
      <c r="S485" s="6"/>
      <c r="T485" s="6"/>
      <c r="U485" s="6"/>
      <c r="V485" s="6"/>
      <c r="W485" s="7"/>
      <c r="X485" s="7"/>
      <c r="Y485" s="7"/>
      <c r="Z485" s="7"/>
    </row>
    <row r="486">
      <c r="A486" s="6"/>
      <c r="B486" s="6"/>
      <c r="C486" s="6"/>
      <c r="D486" s="6"/>
      <c r="E486" s="6"/>
      <c r="F486" s="6"/>
      <c r="G486" s="6"/>
      <c r="H486" s="6"/>
      <c r="I486" s="6"/>
      <c r="J486" s="6"/>
      <c r="K486" s="6"/>
      <c r="L486" s="80"/>
      <c r="M486" s="80"/>
      <c r="N486" s="80"/>
      <c r="O486" s="80"/>
      <c r="P486" s="6"/>
      <c r="Q486" s="6"/>
      <c r="R486" s="6"/>
      <c r="S486" s="6"/>
      <c r="T486" s="6"/>
      <c r="U486" s="6"/>
      <c r="V486" s="6"/>
      <c r="W486" s="7"/>
      <c r="X486" s="7"/>
      <c r="Y486" s="7"/>
      <c r="Z486" s="7"/>
    </row>
    <row r="487">
      <c r="A487" s="6"/>
      <c r="B487" s="6"/>
      <c r="C487" s="6"/>
      <c r="D487" s="6"/>
      <c r="E487" s="6"/>
      <c r="F487" s="6"/>
      <c r="G487" s="6"/>
      <c r="H487" s="6"/>
      <c r="I487" s="6"/>
      <c r="J487" s="6"/>
      <c r="K487" s="6"/>
      <c r="L487" s="80"/>
      <c r="M487" s="80"/>
      <c r="N487" s="80"/>
      <c r="O487" s="80"/>
      <c r="P487" s="6"/>
      <c r="Q487" s="6"/>
      <c r="R487" s="6"/>
      <c r="S487" s="6"/>
      <c r="T487" s="6"/>
      <c r="U487" s="6"/>
      <c r="V487" s="6"/>
      <c r="W487" s="7"/>
      <c r="X487" s="7"/>
      <c r="Y487" s="7"/>
      <c r="Z487" s="7"/>
    </row>
    <row r="488">
      <c r="A488" s="6"/>
      <c r="B488" s="6"/>
      <c r="C488" s="6"/>
      <c r="D488" s="6"/>
      <c r="E488" s="6"/>
      <c r="F488" s="6"/>
      <c r="G488" s="6"/>
      <c r="H488" s="6"/>
      <c r="I488" s="6"/>
      <c r="J488" s="6"/>
      <c r="K488" s="6"/>
      <c r="L488" s="80"/>
      <c r="M488" s="80"/>
      <c r="N488" s="80"/>
      <c r="O488" s="80"/>
      <c r="P488" s="6"/>
      <c r="Q488" s="6"/>
      <c r="R488" s="6"/>
      <c r="S488" s="6"/>
      <c r="T488" s="6"/>
      <c r="U488" s="6"/>
      <c r="V488" s="6"/>
      <c r="W488" s="7"/>
      <c r="X488" s="7"/>
      <c r="Y488" s="7"/>
      <c r="Z488" s="7"/>
    </row>
    <row r="489">
      <c r="A489" s="6"/>
      <c r="B489" s="6"/>
      <c r="C489" s="6"/>
      <c r="D489" s="6"/>
      <c r="E489" s="6"/>
      <c r="F489" s="6"/>
      <c r="G489" s="6"/>
      <c r="H489" s="6"/>
      <c r="I489" s="6"/>
      <c r="J489" s="6"/>
      <c r="K489" s="6"/>
      <c r="L489" s="80"/>
      <c r="M489" s="80"/>
      <c r="N489" s="80"/>
      <c r="O489" s="80"/>
      <c r="P489" s="6"/>
      <c r="Q489" s="6"/>
      <c r="R489" s="6"/>
      <c r="S489" s="6"/>
      <c r="T489" s="6"/>
      <c r="U489" s="6"/>
      <c r="V489" s="6"/>
      <c r="W489" s="7"/>
      <c r="X489" s="7"/>
      <c r="Y489" s="7"/>
      <c r="Z489" s="7"/>
    </row>
    <row r="490">
      <c r="A490" s="6"/>
      <c r="B490" s="6"/>
      <c r="C490" s="6"/>
      <c r="D490" s="6"/>
      <c r="E490" s="6"/>
      <c r="F490" s="6"/>
      <c r="G490" s="6"/>
      <c r="H490" s="6"/>
      <c r="I490" s="6"/>
      <c r="J490" s="6"/>
      <c r="K490" s="6"/>
      <c r="L490" s="80"/>
      <c r="M490" s="80"/>
      <c r="N490" s="80"/>
      <c r="O490" s="80"/>
      <c r="P490" s="6"/>
      <c r="Q490" s="6"/>
      <c r="R490" s="6"/>
      <c r="S490" s="6"/>
      <c r="T490" s="6"/>
      <c r="U490" s="6"/>
      <c r="V490" s="6"/>
      <c r="W490" s="7"/>
      <c r="X490" s="7"/>
      <c r="Y490" s="7"/>
      <c r="Z490" s="7"/>
    </row>
    <row r="491">
      <c r="A491" s="6"/>
      <c r="B491" s="6"/>
      <c r="C491" s="6"/>
      <c r="D491" s="6"/>
      <c r="E491" s="6"/>
      <c r="F491" s="6"/>
      <c r="G491" s="6"/>
      <c r="H491" s="6"/>
      <c r="I491" s="6"/>
      <c r="J491" s="6"/>
      <c r="K491" s="6"/>
      <c r="L491" s="80"/>
      <c r="M491" s="80"/>
      <c r="N491" s="80"/>
      <c r="O491" s="80"/>
      <c r="P491" s="6"/>
      <c r="Q491" s="6"/>
      <c r="R491" s="6"/>
      <c r="S491" s="6"/>
      <c r="T491" s="6"/>
      <c r="U491" s="6"/>
      <c r="V491" s="6"/>
      <c r="W491" s="7"/>
      <c r="X491" s="7"/>
      <c r="Y491" s="7"/>
      <c r="Z491" s="7"/>
    </row>
    <row r="492">
      <c r="A492" s="6"/>
      <c r="B492" s="6"/>
      <c r="C492" s="6"/>
      <c r="D492" s="6"/>
      <c r="E492" s="6"/>
      <c r="F492" s="6"/>
      <c r="G492" s="6"/>
      <c r="H492" s="6"/>
      <c r="I492" s="6"/>
      <c r="J492" s="6"/>
      <c r="K492" s="6"/>
      <c r="L492" s="80"/>
      <c r="M492" s="80"/>
      <c r="N492" s="80"/>
      <c r="O492" s="80"/>
      <c r="P492" s="6"/>
      <c r="Q492" s="6"/>
      <c r="R492" s="6"/>
      <c r="S492" s="6"/>
      <c r="T492" s="6"/>
      <c r="U492" s="6"/>
      <c r="V492" s="6"/>
      <c r="W492" s="7"/>
      <c r="X492" s="7"/>
      <c r="Y492" s="7"/>
      <c r="Z492" s="7"/>
    </row>
    <row r="493">
      <c r="A493" s="6"/>
      <c r="B493" s="6"/>
      <c r="C493" s="6"/>
      <c r="D493" s="6"/>
      <c r="E493" s="6"/>
      <c r="F493" s="6"/>
      <c r="G493" s="6"/>
      <c r="H493" s="6"/>
      <c r="I493" s="6"/>
      <c r="J493" s="6"/>
      <c r="K493" s="6"/>
      <c r="L493" s="80"/>
      <c r="M493" s="80"/>
      <c r="N493" s="80"/>
      <c r="O493" s="80"/>
      <c r="P493" s="6"/>
      <c r="Q493" s="6"/>
      <c r="R493" s="6"/>
      <c r="S493" s="6"/>
      <c r="T493" s="6"/>
      <c r="U493" s="6"/>
      <c r="V493" s="6"/>
      <c r="W493" s="7"/>
      <c r="X493" s="7"/>
      <c r="Y493" s="7"/>
      <c r="Z493" s="7"/>
    </row>
    <row r="494">
      <c r="A494" s="6"/>
      <c r="B494" s="6"/>
      <c r="C494" s="6"/>
      <c r="D494" s="6"/>
      <c r="E494" s="6"/>
      <c r="F494" s="6"/>
      <c r="G494" s="6"/>
      <c r="H494" s="6"/>
      <c r="I494" s="6"/>
      <c r="J494" s="6"/>
      <c r="K494" s="6"/>
      <c r="L494" s="80"/>
      <c r="M494" s="80"/>
      <c r="N494" s="80"/>
      <c r="O494" s="80"/>
      <c r="P494" s="6"/>
      <c r="Q494" s="6"/>
      <c r="R494" s="6"/>
      <c r="S494" s="6"/>
      <c r="T494" s="6"/>
      <c r="U494" s="6"/>
      <c r="V494" s="6"/>
      <c r="W494" s="7"/>
      <c r="X494" s="7"/>
      <c r="Y494" s="7"/>
      <c r="Z494" s="7"/>
    </row>
    <row r="495">
      <c r="A495" s="6"/>
      <c r="B495" s="6"/>
      <c r="C495" s="6"/>
      <c r="D495" s="6"/>
      <c r="E495" s="6"/>
      <c r="F495" s="6"/>
      <c r="G495" s="6"/>
      <c r="H495" s="6"/>
      <c r="I495" s="6"/>
      <c r="J495" s="6"/>
      <c r="K495" s="6"/>
      <c r="L495" s="80"/>
      <c r="M495" s="80"/>
      <c r="N495" s="80"/>
      <c r="O495" s="80"/>
      <c r="P495" s="6"/>
      <c r="Q495" s="6"/>
      <c r="R495" s="6"/>
      <c r="S495" s="6"/>
      <c r="T495" s="6"/>
      <c r="U495" s="6"/>
      <c r="V495" s="6"/>
      <c r="W495" s="7"/>
      <c r="X495" s="7"/>
      <c r="Y495" s="7"/>
      <c r="Z495" s="7"/>
    </row>
    <row r="496">
      <c r="A496" s="6"/>
      <c r="B496" s="6"/>
      <c r="C496" s="6"/>
      <c r="D496" s="6"/>
      <c r="E496" s="6"/>
      <c r="F496" s="6"/>
      <c r="G496" s="6"/>
      <c r="H496" s="6"/>
      <c r="I496" s="6"/>
      <c r="J496" s="6"/>
      <c r="K496" s="6"/>
      <c r="L496" s="80"/>
      <c r="M496" s="80"/>
      <c r="N496" s="80"/>
      <c r="O496" s="80"/>
      <c r="P496" s="6"/>
      <c r="Q496" s="6"/>
      <c r="R496" s="6"/>
      <c r="S496" s="6"/>
      <c r="T496" s="6"/>
      <c r="U496" s="6"/>
      <c r="V496" s="6"/>
      <c r="W496" s="7"/>
      <c r="X496" s="7"/>
      <c r="Y496" s="7"/>
      <c r="Z496" s="7"/>
    </row>
    <row r="497">
      <c r="A497" s="6"/>
      <c r="B497" s="6"/>
      <c r="C497" s="6"/>
      <c r="D497" s="6"/>
      <c r="E497" s="6"/>
      <c r="F497" s="6"/>
      <c r="G497" s="6"/>
      <c r="H497" s="6"/>
      <c r="I497" s="6"/>
      <c r="J497" s="6"/>
      <c r="K497" s="6"/>
      <c r="L497" s="80"/>
      <c r="M497" s="80"/>
      <c r="N497" s="80"/>
      <c r="O497" s="80"/>
      <c r="P497" s="6"/>
      <c r="Q497" s="6"/>
      <c r="R497" s="6"/>
      <c r="S497" s="6"/>
      <c r="T497" s="6"/>
      <c r="U497" s="6"/>
      <c r="V497" s="6"/>
      <c r="W497" s="7"/>
      <c r="X497" s="7"/>
      <c r="Y497" s="7"/>
      <c r="Z497" s="7"/>
    </row>
    <row r="498">
      <c r="A498" s="6"/>
      <c r="B498" s="6"/>
      <c r="C498" s="6"/>
      <c r="D498" s="6"/>
      <c r="E498" s="6"/>
      <c r="F498" s="6"/>
      <c r="G498" s="6"/>
      <c r="H498" s="6"/>
      <c r="I498" s="6"/>
      <c r="J498" s="6"/>
      <c r="K498" s="6"/>
      <c r="L498" s="80"/>
      <c r="M498" s="80"/>
      <c r="N498" s="80"/>
      <c r="O498" s="80"/>
      <c r="P498" s="6"/>
      <c r="Q498" s="6"/>
      <c r="R498" s="6"/>
      <c r="S498" s="6"/>
      <c r="T498" s="6"/>
      <c r="U498" s="6"/>
      <c r="V498" s="6"/>
      <c r="W498" s="7"/>
      <c r="X498" s="7"/>
      <c r="Y498" s="7"/>
      <c r="Z498" s="7"/>
    </row>
    <row r="499">
      <c r="A499" s="6"/>
      <c r="B499" s="6"/>
      <c r="C499" s="6"/>
      <c r="D499" s="6"/>
      <c r="E499" s="6"/>
      <c r="F499" s="6"/>
      <c r="G499" s="6"/>
      <c r="H499" s="6"/>
      <c r="I499" s="6"/>
      <c r="J499" s="6"/>
      <c r="K499" s="6"/>
      <c r="L499" s="80"/>
      <c r="M499" s="80"/>
      <c r="N499" s="80"/>
      <c r="O499" s="80"/>
      <c r="P499" s="6"/>
      <c r="Q499" s="6"/>
      <c r="R499" s="6"/>
      <c r="S499" s="6"/>
      <c r="T499" s="6"/>
      <c r="U499" s="6"/>
      <c r="V499" s="6"/>
      <c r="W499" s="7"/>
      <c r="X499" s="7"/>
      <c r="Y499" s="7"/>
      <c r="Z499" s="7"/>
    </row>
    <row r="500">
      <c r="A500" s="6"/>
      <c r="B500" s="6"/>
      <c r="C500" s="6"/>
      <c r="D500" s="6"/>
      <c r="E500" s="6"/>
      <c r="F500" s="6"/>
      <c r="G500" s="6"/>
      <c r="H500" s="6"/>
      <c r="I500" s="6"/>
      <c r="J500" s="6"/>
      <c r="K500" s="6"/>
      <c r="L500" s="80"/>
      <c r="M500" s="80"/>
      <c r="N500" s="80"/>
      <c r="O500" s="80"/>
      <c r="P500" s="6"/>
      <c r="Q500" s="6"/>
      <c r="R500" s="6"/>
      <c r="S500" s="6"/>
      <c r="T500" s="6"/>
      <c r="U500" s="6"/>
      <c r="V500" s="6"/>
      <c r="W500" s="7"/>
      <c r="X500" s="7"/>
      <c r="Y500" s="7"/>
      <c r="Z500" s="7"/>
    </row>
    <row r="501">
      <c r="A501" s="6"/>
      <c r="B501" s="6"/>
      <c r="C501" s="6"/>
      <c r="D501" s="6"/>
      <c r="E501" s="6"/>
      <c r="F501" s="6"/>
      <c r="G501" s="6"/>
      <c r="H501" s="6"/>
      <c r="I501" s="6"/>
      <c r="J501" s="6"/>
      <c r="K501" s="6"/>
      <c r="L501" s="80"/>
      <c r="M501" s="80"/>
      <c r="N501" s="80"/>
      <c r="O501" s="80"/>
      <c r="P501" s="6"/>
      <c r="Q501" s="6"/>
      <c r="R501" s="6"/>
      <c r="S501" s="6"/>
      <c r="T501" s="6"/>
      <c r="U501" s="6"/>
      <c r="V501" s="6"/>
      <c r="W501" s="7"/>
      <c r="X501" s="7"/>
      <c r="Y501" s="7"/>
      <c r="Z501" s="7"/>
    </row>
    <row r="502">
      <c r="A502" s="6"/>
      <c r="B502" s="6"/>
      <c r="C502" s="6"/>
      <c r="D502" s="6"/>
      <c r="E502" s="6"/>
      <c r="F502" s="6"/>
      <c r="G502" s="6"/>
      <c r="H502" s="6"/>
      <c r="I502" s="6"/>
      <c r="J502" s="6"/>
      <c r="K502" s="6"/>
      <c r="L502" s="80"/>
      <c r="M502" s="80"/>
      <c r="N502" s="80"/>
      <c r="O502" s="80"/>
      <c r="P502" s="6"/>
      <c r="Q502" s="6"/>
      <c r="R502" s="6"/>
      <c r="S502" s="6"/>
      <c r="T502" s="6"/>
      <c r="U502" s="6"/>
      <c r="V502" s="6"/>
      <c r="W502" s="7"/>
      <c r="X502" s="7"/>
      <c r="Y502" s="7"/>
      <c r="Z502" s="7"/>
    </row>
    <row r="503">
      <c r="A503" s="6"/>
      <c r="B503" s="6"/>
      <c r="C503" s="6"/>
      <c r="D503" s="6"/>
      <c r="E503" s="6"/>
      <c r="F503" s="6"/>
      <c r="G503" s="6"/>
      <c r="H503" s="6"/>
      <c r="I503" s="6"/>
      <c r="J503" s="6"/>
      <c r="K503" s="6"/>
      <c r="L503" s="80"/>
      <c r="M503" s="80"/>
      <c r="N503" s="80"/>
      <c r="O503" s="80"/>
      <c r="P503" s="6"/>
      <c r="Q503" s="6"/>
      <c r="R503" s="6"/>
      <c r="S503" s="6"/>
      <c r="T503" s="6"/>
      <c r="U503" s="6"/>
      <c r="V503" s="6"/>
      <c r="W503" s="7"/>
      <c r="X503" s="7"/>
      <c r="Y503" s="7"/>
      <c r="Z503" s="7"/>
    </row>
    <row r="504">
      <c r="A504" s="6"/>
      <c r="B504" s="6"/>
      <c r="C504" s="6"/>
      <c r="D504" s="6"/>
      <c r="E504" s="6"/>
      <c r="F504" s="6"/>
      <c r="G504" s="6"/>
      <c r="H504" s="6"/>
      <c r="I504" s="6"/>
      <c r="J504" s="6"/>
      <c r="K504" s="6"/>
      <c r="L504" s="80"/>
      <c r="M504" s="80"/>
      <c r="N504" s="80"/>
      <c r="O504" s="80"/>
      <c r="P504" s="6"/>
      <c r="Q504" s="6"/>
      <c r="R504" s="6"/>
      <c r="S504" s="6"/>
      <c r="T504" s="6"/>
      <c r="U504" s="6"/>
      <c r="V504" s="6"/>
      <c r="W504" s="7"/>
      <c r="X504" s="7"/>
      <c r="Y504" s="7"/>
      <c r="Z504" s="7"/>
    </row>
    <row r="505">
      <c r="A505" s="6"/>
      <c r="B505" s="6"/>
      <c r="C505" s="6"/>
      <c r="D505" s="6"/>
      <c r="E505" s="6"/>
      <c r="F505" s="6"/>
      <c r="G505" s="6"/>
      <c r="H505" s="6"/>
      <c r="I505" s="6"/>
      <c r="J505" s="6"/>
      <c r="K505" s="6"/>
      <c r="L505" s="80"/>
      <c r="M505" s="80"/>
      <c r="N505" s="80"/>
      <c r="O505" s="80"/>
      <c r="P505" s="6"/>
      <c r="Q505" s="6"/>
      <c r="R505" s="6"/>
      <c r="S505" s="6"/>
      <c r="T505" s="6"/>
      <c r="U505" s="6"/>
      <c r="V505" s="6"/>
      <c r="W505" s="7"/>
      <c r="X505" s="7"/>
      <c r="Y505" s="7"/>
      <c r="Z505" s="7"/>
    </row>
    <row r="506">
      <c r="A506" s="6"/>
      <c r="B506" s="6"/>
      <c r="C506" s="6"/>
      <c r="D506" s="6"/>
      <c r="E506" s="6"/>
      <c r="F506" s="6"/>
      <c r="G506" s="6"/>
      <c r="H506" s="6"/>
      <c r="I506" s="6"/>
      <c r="J506" s="6"/>
      <c r="K506" s="6"/>
      <c r="L506" s="80"/>
      <c r="M506" s="80"/>
      <c r="N506" s="80"/>
      <c r="O506" s="80"/>
      <c r="P506" s="6"/>
      <c r="Q506" s="6"/>
      <c r="R506" s="6"/>
      <c r="S506" s="6"/>
      <c r="T506" s="6"/>
      <c r="U506" s="6"/>
      <c r="V506" s="6"/>
      <c r="W506" s="7"/>
      <c r="X506" s="7"/>
      <c r="Y506" s="7"/>
      <c r="Z506" s="7"/>
    </row>
    <row r="507">
      <c r="A507" s="6"/>
      <c r="B507" s="6"/>
      <c r="C507" s="6"/>
      <c r="D507" s="6"/>
      <c r="E507" s="6"/>
      <c r="F507" s="6"/>
      <c r="G507" s="6"/>
      <c r="H507" s="6"/>
      <c r="I507" s="6"/>
      <c r="J507" s="6"/>
      <c r="K507" s="6"/>
      <c r="L507" s="80"/>
      <c r="M507" s="80"/>
      <c r="N507" s="80"/>
      <c r="O507" s="80"/>
      <c r="P507" s="6"/>
      <c r="Q507" s="6"/>
      <c r="R507" s="6"/>
      <c r="S507" s="6"/>
      <c r="T507" s="6"/>
      <c r="U507" s="6"/>
      <c r="V507" s="6"/>
      <c r="W507" s="7"/>
      <c r="X507" s="7"/>
      <c r="Y507" s="7"/>
      <c r="Z507" s="7"/>
    </row>
    <row r="508">
      <c r="A508" s="6"/>
      <c r="B508" s="6"/>
      <c r="C508" s="6"/>
      <c r="D508" s="6"/>
      <c r="E508" s="6"/>
      <c r="F508" s="6"/>
      <c r="G508" s="6"/>
      <c r="H508" s="6"/>
      <c r="I508" s="6"/>
      <c r="J508" s="6"/>
      <c r="K508" s="6"/>
      <c r="L508" s="80"/>
      <c r="M508" s="80"/>
      <c r="N508" s="80"/>
      <c r="O508" s="80"/>
      <c r="P508" s="6"/>
      <c r="Q508" s="6"/>
      <c r="R508" s="6"/>
      <c r="S508" s="6"/>
      <c r="T508" s="6"/>
      <c r="U508" s="6"/>
      <c r="V508" s="6"/>
      <c r="W508" s="7"/>
      <c r="X508" s="7"/>
      <c r="Y508" s="7"/>
      <c r="Z508" s="7"/>
    </row>
    <row r="509">
      <c r="A509" s="6"/>
      <c r="B509" s="6"/>
      <c r="C509" s="6"/>
      <c r="D509" s="6"/>
      <c r="E509" s="6"/>
      <c r="F509" s="6"/>
      <c r="G509" s="6"/>
      <c r="H509" s="6"/>
      <c r="I509" s="6"/>
      <c r="J509" s="6"/>
      <c r="K509" s="6"/>
      <c r="L509" s="80"/>
      <c r="M509" s="80"/>
      <c r="N509" s="80"/>
      <c r="O509" s="80"/>
      <c r="P509" s="6"/>
      <c r="Q509" s="6"/>
      <c r="R509" s="6"/>
      <c r="S509" s="6"/>
      <c r="T509" s="6"/>
      <c r="U509" s="6"/>
      <c r="V509" s="6"/>
      <c r="W509" s="7"/>
      <c r="X509" s="7"/>
      <c r="Y509" s="7"/>
      <c r="Z509" s="7"/>
    </row>
    <row r="510">
      <c r="A510" s="6"/>
      <c r="B510" s="6"/>
      <c r="C510" s="6"/>
      <c r="D510" s="6"/>
      <c r="E510" s="6"/>
      <c r="F510" s="6"/>
      <c r="G510" s="6"/>
      <c r="H510" s="6"/>
      <c r="I510" s="6"/>
      <c r="J510" s="6"/>
      <c r="K510" s="6"/>
      <c r="L510" s="80"/>
      <c r="M510" s="80"/>
      <c r="N510" s="80"/>
      <c r="O510" s="80"/>
      <c r="P510" s="6"/>
      <c r="Q510" s="6"/>
      <c r="R510" s="6"/>
      <c r="S510" s="6"/>
      <c r="T510" s="6"/>
      <c r="U510" s="6"/>
      <c r="V510" s="6"/>
      <c r="W510" s="7"/>
      <c r="X510" s="7"/>
      <c r="Y510" s="7"/>
      <c r="Z510" s="7"/>
    </row>
    <row r="511">
      <c r="A511" s="6"/>
      <c r="B511" s="6"/>
      <c r="C511" s="6"/>
      <c r="D511" s="6"/>
      <c r="E511" s="6"/>
      <c r="F511" s="6"/>
      <c r="G511" s="6"/>
      <c r="H511" s="6"/>
      <c r="I511" s="6"/>
      <c r="J511" s="6"/>
      <c r="K511" s="6"/>
      <c r="L511" s="80"/>
      <c r="M511" s="80"/>
      <c r="N511" s="80"/>
      <c r="O511" s="80"/>
      <c r="P511" s="6"/>
      <c r="Q511" s="6"/>
      <c r="R511" s="6"/>
      <c r="S511" s="6"/>
      <c r="T511" s="6"/>
      <c r="U511" s="6"/>
      <c r="V511" s="6"/>
      <c r="W511" s="7"/>
      <c r="X511" s="7"/>
      <c r="Y511" s="7"/>
      <c r="Z511" s="7"/>
    </row>
    <row r="512">
      <c r="A512" s="6"/>
      <c r="B512" s="6"/>
      <c r="C512" s="6"/>
      <c r="D512" s="6"/>
      <c r="E512" s="6"/>
      <c r="F512" s="6"/>
      <c r="G512" s="6"/>
      <c r="H512" s="6"/>
      <c r="I512" s="6"/>
      <c r="J512" s="6"/>
      <c r="K512" s="6"/>
      <c r="L512" s="80"/>
      <c r="M512" s="80"/>
      <c r="N512" s="80"/>
      <c r="O512" s="80"/>
      <c r="P512" s="6"/>
      <c r="Q512" s="6"/>
      <c r="R512" s="6"/>
      <c r="S512" s="6"/>
      <c r="T512" s="6"/>
      <c r="U512" s="6"/>
      <c r="V512" s="6"/>
      <c r="W512" s="7"/>
      <c r="X512" s="7"/>
      <c r="Y512" s="7"/>
      <c r="Z512" s="7"/>
    </row>
    <row r="513">
      <c r="A513" s="6"/>
      <c r="B513" s="6"/>
      <c r="C513" s="6"/>
      <c r="D513" s="6"/>
      <c r="E513" s="6"/>
      <c r="F513" s="6"/>
      <c r="G513" s="6"/>
      <c r="H513" s="6"/>
      <c r="I513" s="6"/>
      <c r="J513" s="6"/>
      <c r="K513" s="6"/>
      <c r="L513" s="80"/>
      <c r="M513" s="80"/>
      <c r="N513" s="80"/>
      <c r="O513" s="80"/>
      <c r="P513" s="6"/>
      <c r="Q513" s="6"/>
      <c r="R513" s="6"/>
      <c r="S513" s="6"/>
      <c r="T513" s="6"/>
      <c r="U513" s="6"/>
      <c r="V513" s="6"/>
      <c r="W513" s="7"/>
      <c r="X513" s="7"/>
      <c r="Y513" s="7"/>
      <c r="Z513" s="7"/>
    </row>
    <row r="514">
      <c r="A514" s="6"/>
      <c r="B514" s="6"/>
      <c r="C514" s="6"/>
      <c r="D514" s="6"/>
      <c r="E514" s="6"/>
      <c r="F514" s="6"/>
      <c r="G514" s="6"/>
      <c r="H514" s="6"/>
      <c r="I514" s="6"/>
      <c r="J514" s="6"/>
      <c r="K514" s="6"/>
      <c r="L514" s="80"/>
      <c r="M514" s="80"/>
      <c r="N514" s="80"/>
      <c r="O514" s="80"/>
      <c r="P514" s="6"/>
      <c r="Q514" s="6"/>
      <c r="R514" s="6"/>
      <c r="S514" s="6"/>
      <c r="T514" s="6"/>
      <c r="U514" s="6"/>
      <c r="V514" s="6"/>
      <c r="W514" s="7"/>
      <c r="X514" s="7"/>
      <c r="Y514" s="7"/>
      <c r="Z514" s="7"/>
    </row>
    <row r="515">
      <c r="A515" s="6"/>
      <c r="B515" s="6"/>
      <c r="C515" s="6"/>
      <c r="D515" s="6"/>
      <c r="E515" s="6"/>
      <c r="F515" s="6"/>
      <c r="G515" s="6"/>
      <c r="H515" s="6"/>
      <c r="I515" s="6"/>
      <c r="J515" s="6"/>
      <c r="K515" s="6"/>
      <c r="L515" s="80"/>
      <c r="M515" s="80"/>
      <c r="N515" s="80"/>
      <c r="O515" s="80"/>
      <c r="P515" s="6"/>
      <c r="Q515" s="6"/>
      <c r="R515" s="6"/>
      <c r="S515" s="6"/>
      <c r="T515" s="6"/>
      <c r="U515" s="6"/>
      <c r="V515" s="6"/>
      <c r="W515" s="7"/>
      <c r="X515" s="7"/>
      <c r="Y515" s="7"/>
      <c r="Z515" s="7"/>
    </row>
    <row r="516">
      <c r="A516" s="6"/>
      <c r="B516" s="6"/>
      <c r="C516" s="6"/>
      <c r="D516" s="6"/>
      <c r="E516" s="6"/>
      <c r="F516" s="6"/>
      <c r="G516" s="6"/>
      <c r="H516" s="6"/>
      <c r="I516" s="6"/>
      <c r="J516" s="6"/>
      <c r="K516" s="6"/>
      <c r="L516" s="80"/>
      <c r="M516" s="80"/>
      <c r="N516" s="80"/>
      <c r="O516" s="80"/>
      <c r="P516" s="6"/>
      <c r="Q516" s="6"/>
      <c r="R516" s="6"/>
      <c r="S516" s="6"/>
      <c r="T516" s="6"/>
      <c r="U516" s="6"/>
      <c r="V516" s="6"/>
      <c r="W516" s="7"/>
      <c r="X516" s="7"/>
      <c r="Y516" s="7"/>
      <c r="Z516" s="7"/>
    </row>
    <row r="517">
      <c r="A517" s="6"/>
      <c r="B517" s="6"/>
      <c r="C517" s="6"/>
      <c r="D517" s="6"/>
      <c r="E517" s="6"/>
      <c r="F517" s="6"/>
      <c r="G517" s="6"/>
      <c r="H517" s="6"/>
      <c r="I517" s="6"/>
      <c r="J517" s="6"/>
      <c r="K517" s="6"/>
      <c r="L517" s="80"/>
      <c r="M517" s="80"/>
      <c r="N517" s="80"/>
      <c r="O517" s="80"/>
      <c r="P517" s="6"/>
      <c r="Q517" s="6"/>
      <c r="R517" s="6"/>
      <c r="S517" s="6"/>
      <c r="T517" s="6"/>
      <c r="U517" s="6"/>
      <c r="V517" s="6"/>
      <c r="W517" s="7"/>
      <c r="X517" s="7"/>
      <c r="Y517" s="7"/>
      <c r="Z517" s="7"/>
    </row>
    <row r="518">
      <c r="A518" s="6"/>
      <c r="B518" s="6"/>
      <c r="C518" s="6"/>
      <c r="D518" s="6"/>
      <c r="E518" s="6"/>
      <c r="F518" s="6"/>
      <c r="G518" s="6"/>
      <c r="H518" s="6"/>
      <c r="I518" s="6"/>
      <c r="J518" s="6"/>
      <c r="K518" s="6"/>
      <c r="L518" s="80"/>
      <c r="M518" s="80"/>
      <c r="N518" s="80"/>
      <c r="O518" s="80"/>
      <c r="P518" s="6"/>
      <c r="Q518" s="6"/>
      <c r="R518" s="6"/>
      <c r="S518" s="6"/>
      <c r="T518" s="6"/>
      <c r="U518" s="6"/>
      <c r="V518" s="6"/>
      <c r="W518" s="7"/>
      <c r="X518" s="7"/>
      <c r="Y518" s="7"/>
      <c r="Z518" s="7"/>
    </row>
    <row r="519">
      <c r="A519" s="6"/>
      <c r="B519" s="6"/>
      <c r="C519" s="6"/>
      <c r="D519" s="6"/>
      <c r="E519" s="6"/>
      <c r="F519" s="6"/>
      <c r="G519" s="6"/>
      <c r="H519" s="6"/>
      <c r="I519" s="6"/>
      <c r="J519" s="6"/>
      <c r="K519" s="6"/>
      <c r="L519" s="80"/>
      <c r="M519" s="80"/>
      <c r="N519" s="80"/>
      <c r="O519" s="80"/>
      <c r="P519" s="6"/>
      <c r="Q519" s="6"/>
      <c r="R519" s="6"/>
      <c r="S519" s="6"/>
      <c r="T519" s="6"/>
      <c r="U519" s="6"/>
      <c r="V519" s="6"/>
      <c r="W519" s="7"/>
      <c r="X519" s="7"/>
      <c r="Y519" s="7"/>
      <c r="Z519" s="7"/>
    </row>
    <row r="520">
      <c r="A520" s="6"/>
      <c r="B520" s="6"/>
      <c r="C520" s="6"/>
      <c r="D520" s="6"/>
      <c r="E520" s="6"/>
      <c r="F520" s="6"/>
      <c r="G520" s="6"/>
      <c r="H520" s="6"/>
      <c r="I520" s="6"/>
      <c r="J520" s="6"/>
      <c r="K520" s="6"/>
      <c r="L520" s="80"/>
      <c r="M520" s="80"/>
      <c r="N520" s="80"/>
      <c r="O520" s="80"/>
      <c r="P520" s="6"/>
      <c r="Q520" s="6"/>
      <c r="R520" s="6"/>
      <c r="S520" s="6"/>
      <c r="T520" s="6"/>
      <c r="U520" s="6"/>
      <c r="V520" s="6"/>
      <c r="W520" s="7"/>
      <c r="X520" s="7"/>
      <c r="Y520" s="7"/>
      <c r="Z520" s="7"/>
    </row>
    <row r="521">
      <c r="A521" s="6"/>
      <c r="B521" s="6"/>
      <c r="C521" s="6"/>
      <c r="D521" s="6"/>
      <c r="E521" s="6"/>
      <c r="F521" s="6"/>
      <c r="G521" s="6"/>
      <c r="H521" s="6"/>
      <c r="I521" s="6"/>
      <c r="J521" s="6"/>
      <c r="K521" s="6"/>
      <c r="L521" s="80"/>
      <c r="M521" s="80"/>
      <c r="N521" s="80"/>
      <c r="O521" s="80"/>
      <c r="P521" s="6"/>
      <c r="Q521" s="6"/>
      <c r="R521" s="6"/>
      <c r="S521" s="6"/>
      <c r="T521" s="6"/>
      <c r="U521" s="6"/>
      <c r="V521" s="6"/>
      <c r="W521" s="7"/>
      <c r="X521" s="7"/>
      <c r="Y521" s="7"/>
      <c r="Z521" s="7"/>
    </row>
    <row r="522">
      <c r="A522" s="6"/>
      <c r="B522" s="6"/>
      <c r="C522" s="6"/>
      <c r="D522" s="6"/>
      <c r="E522" s="6"/>
      <c r="F522" s="6"/>
      <c r="G522" s="6"/>
      <c r="H522" s="6"/>
      <c r="I522" s="6"/>
      <c r="J522" s="6"/>
      <c r="K522" s="6"/>
      <c r="L522" s="80"/>
      <c r="M522" s="80"/>
      <c r="N522" s="80"/>
      <c r="O522" s="80"/>
      <c r="P522" s="6"/>
      <c r="Q522" s="6"/>
      <c r="R522" s="6"/>
      <c r="S522" s="6"/>
      <c r="T522" s="6"/>
      <c r="U522" s="6"/>
      <c r="V522" s="6"/>
      <c r="W522" s="7"/>
      <c r="X522" s="7"/>
      <c r="Y522" s="7"/>
      <c r="Z522" s="7"/>
    </row>
    <row r="523">
      <c r="A523" s="6"/>
      <c r="B523" s="6"/>
      <c r="C523" s="6"/>
      <c r="D523" s="6"/>
      <c r="E523" s="6"/>
      <c r="F523" s="6"/>
      <c r="G523" s="6"/>
      <c r="H523" s="6"/>
      <c r="I523" s="6"/>
      <c r="J523" s="6"/>
      <c r="K523" s="6"/>
      <c r="L523" s="80"/>
      <c r="M523" s="80"/>
      <c r="N523" s="80"/>
      <c r="O523" s="80"/>
      <c r="P523" s="6"/>
      <c r="Q523" s="6"/>
      <c r="R523" s="6"/>
      <c r="S523" s="6"/>
      <c r="T523" s="6"/>
      <c r="U523" s="6"/>
      <c r="V523" s="6"/>
      <c r="W523" s="7"/>
      <c r="X523" s="7"/>
      <c r="Y523" s="7"/>
      <c r="Z523" s="7"/>
    </row>
    <row r="524">
      <c r="A524" s="6"/>
      <c r="B524" s="6"/>
      <c r="C524" s="6"/>
      <c r="D524" s="6"/>
      <c r="E524" s="6"/>
      <c r="F524" s="6"/>
      <c r="G524" s="6"/>
      <c r="H524" s="6"/>
      <c r="I524" s="6"/>
      <c r="J524" s="6"/>
      <c r="K524" s="6"/>
      <c r="L524" s="80"/>
      <c r="M524" s="80"/>
      <c r="N524" s="80"/>
      <c r="O524" s="80"/>
      <c r="P524" s="6"/>
      <c r="Q524" s="6"/>
      <c r="R524" s="6"/>
      <c r="S524" s="6"/>
      <c r="T524" s="6"/>
      <c r="U524" s="6"/>
      <c r="V524" s="6"/>
      <c r="W524" s="7"/>
      <c r="X524" s="7"/>
      <c r="Y524" s="7"/>
      <c r="Z524" s="7"/>
    </row>
    <row r="525">
      <c r="A525" s="6"/>
      <c r="B525" s="6"/>
      <c r="C525" s="6"/>
      <c r="D525" s="6"/>
      <c r="E525" s="6"/>
      <c r="F525" s="6"/>
      <c r="G525" s="6"/>
      <c r="H525" s="6"/>
      <c r="I525" s="6"/>
      <c r="J525" s="6"/>
      <c r="K525" s="6"/>
      <c r="L525" s="80"/>
      <c r="M525" s="80"/>
      <c r="N525" s="80"/>
      <c r="O525" s="80"/>
      <c r="P525" s="6"/>
      <c r="Q525" s="6"/>
      <c r="R525" s="6"/>
      <c r="S525" s="6"/>
      <c r="T525" s="6"/>
      <c r="U525" s="6"/>
      <c r="V525" s="6"/>
      <c r="W525" s="7"/>
      <c r="X525" s="7"/>
      <c r="Y525" s="7"/>
      <c r="Z525" s="7"/>
    </row>
    <row r="526">
      <c r="A526" s="6"/>
      <c r="B526" s="6"/>
      <c r="C526" s="6"/>
      <c r="D526" s="6"/>
      <c r="E526" s="6"/>
      <c r="F526" s="6"/>
      <c r="G526" s="6"/>
      <c r="H526" s="6"/>
      <c r="I526" s="6"/>
      <c r="J526" s="6"/>
      <c r="K526" s="6"/>
      <c r="L526" s="80"/>
      <c r="M526" s="80"/>
      <c r="N526" s="80"/>
      <c r="O526" s="80"/>
      <c r="P526" s="6"/>
      <c r="Q526" s="6"/>
      <c r="R526" s="6"/>
      <c r="S526" s="6"/>
      <c r="T526" s="6"/>
      <c r="U526" s="6"/>
      <c r="V526" s="6"/>
      <c r="W526" s="7"/>
      <c r="X526" s="7"/>
      <c r="Y526" s="7"/>
      <c r="Z526" s="7"/>
    </row>
    <row r="527">
      <c r="A527" s="6"/>
      <c r="B527" s="6"/>
      <c r="C527" s="6"/>
      <c r="D527" s="6"/>
      <c r="E527" s="6"/>
      <c r="F527" s="6"/>
      <c r="G527" s="6"/>
      <c r="H527" s="6"/>
      <c r="I527" s="6"/>
      <c r="J527" s="6"/>
      <c r="K527" s="6"/>
      <c r="L527" s="80"/>
      <c r="M527" s="80"/>
      <c r="N527" s="80"/>
      <c r="O527" s="80"/>
      <c r="P527" s="6"/>
      <c r="Q527" s="6"/>
      <c r="R527" s="6"/>
      <c r="S527" s="6"/>
      <c r="T527" s="6"/>
      <c r="U527" s="6"/>
      <c r="V527" s="6"/>
      <c r="W527" s="7"/>
      <c r="X527" s="7"/>
      <c r="Y527" s="7"/>
      <c r="Z527" s="7"/>
    </row>
    <row r="528">
      <c r="A528" s="6"/>
      <c r="B528" s="6"/>
      <c r="C528" s="6"/>
      <c r="D528" s="6"/>
      <c r="E528" s="6"/>
      <c r="F528" s="6"/>
      <c r="G528" s="6"/>
      <c r="H528" s="6"/>
      <c r="I528" s="6"/>
      <c r="J528" s="6"/>
      <c r="K528" s="6"/>
      <c r="L528" s="80"/>
      <c r="M528" s="80"/>
      <c r="N528" s="80"/>
      <c r="O528" s="80"/>
      <c r="P528" s="6"/>
      <c r="Q528" s="6"/>
      <c r="R528" s="6"/>
      <c r="S528" s="6"/>
      <c r="T528" s="6"/>
      <c r="U528" s="6"/>
      <c r="V528" s="6"/>
      <c r="W528" s="7"/>
      <c r="X528" s="7"/>
      <c r="Y528" s="7"/>
      <c r="Z528" s="7"/>
    </row>
    <row r="529">
      <c r="A529" s="6"/>
      <c r="B529" s="6"/>
      <c r="C529" s="6"/>
      <c r="D529" s="6"/>
      <c r="E529" s="6"/>
      <c r="F529" s="6"/>
      <c r="G529" s="6"/>
      <c r="H529" s="6"/>
      <c r="I529" s="6"/>
      <c r="J529" s="6"/>
      <c r="K529" s="6"/>
      <c r="L529" s="80"/>
      <c r="M529" s="80"/>
      <c r="N529" s="80"/>
      <c r="O529" s="80"/>
      <c r="P529" s="6"/>
      <c r="Q529" s="6"/>
      <c r="R529" s="6"/>
      <c r="S529" s="6"/>
      <c r="T529" s="6"/>
      <c r="U529" s="6"/>
      <c r="V529" s="6"/>
      <c r="W529" s="7"/>
      <c r="X529" s="7"/>
      <c r="Y529" s="7"/>
      <c r="Z529" s="7"/>
    </row>
    <row r="530">
      <c r="A530" s="6"/>
      <c r="B530" s="6"/>
      <c r="C530" s="6"/>
      <c r="D530" s="6"/>
      <c r="E530" s="6"/>
      <c r="F530" s="6"/>
      <c r="G530" s="6"/>
      <c r="H530" s="6"/>
      <c r="I530" s="6"/>
      <c r="J530" s="6"/>
      <c r="K530" s="6"/>
      <c r="L530" s="80"/>
      <c r="M530" s="80"/>
      <c r="N530" s="80"/>
      <c r="O530" s="80"/>
      <c r="P530" s="6"/>
      <c r="Q530" s="6"/>
      <c r="R530" s="6"/>
      <c r="S530" s="6"/>
      <c r="T530" s="6"/>
      <c r="U530" s="6"/>
      <c r="V530" s="6"/>
      <c r="W530" s="7"/>
      <c r="X530" s="7"/>
      <c r="Y530" s="7"/>
      <c r="Z530" s="7"/>
    </row>
    <row r="531">
      <c r="A531" s="6"/>
      <c r="B531" s="6"/>
      <c r="C531" s="6"/>
      <c r="D531" s="6"/>
      <c r="E531" s="6"/>
      <c r="F531" s="6"/>
      <c r="G531" s="6"/>
      <c r="H531" s="6"/>
      <c r="I531" s="6"/>
      <c r="J531" s="6"/>
      <c r="K531" s="6"/>
      <c r="L531" s="80"/>
      <c r="M531" s="80"/>
      <c r="N531" s="80"/>
      <c r="O531" s="80"/>
      <c r="P531" s="6"/>
      <c r="Q531" s="6"/>
      <c r="R531" s="6"/>
      <c r="S531" s="6"/>
      <c r="T531" s="6"/>
      <c r="U531" s="6"/>
      <c r="V531" s="6"/>
      <c r="W531" s="7"/>
      <c r="X531" s="7"/>
      <c r="Y531" s="7"/>
      <c r="Z531" s="7"/>
    </row>
    <row r="532">
      <c r="A532" s="6"/>
      <c r="B532" s="6"/>
      <c r="C532" s="6"/>
      <c r="D532" s="6"/>
      <c r="E532" s="6"/>
      <c r="F532" s="6"/>
      <c r="G532" s="6"/>
      <c r="H532" s="6"/>
      <c r="I532" s="6"/>
      <c r="J532" s="6"/>
      <c r="K532" s="6"/>
      <c r="L532" s="80"/>
      <c r="M532" s="80"/>
      <c r="N532" s="80"/>
      <c r="O532" s="80"/>
      <c r="P532" s="6"/>
      <c r="Q532" s="6"/>
      <c r="R532" s="6"/>
      <c r="S532" s="6"/>
      <c r="T532" s="6"/>
      <c r="U532" s="6"/>
      <c r="V532" s="6"/>
      <c r="W532" s="7"/>
      <c r="X532" s="7"/>
      <c r="Y532" s="7"/>
      <c r="Z532" s="7"/>
    </row>
    <row r="533">
      <c r="A533" s="6"/>
      <c r="B533" s="6"/>
      <c r="C533" s="6"/>
      <c r="D533" s="6"/>
      <c r="E533" s="6"/>
      <c r="F533" s="6"/>
      <c r="G533" s="6"/>
      <c r="H533" s="6"/>
      <c r="I533" s="6"/>
      <c r="J533" s="6"/>
      <c r="K533" s="6"/>
      <c r="L533" s="80"/>
      <c r="M533" s="80"/>
      <c r="N533" s="80"/>
      <c r="O533" s="80"/>
      <c r="P533" s="6"/>
      <c r="Q533" s="6"/>
      <c r="R533" s="6"/>
      <c r="S533" s="6"/>
      <c r="T533" s="6"/>
      <c r="U533" s="6"/>
      <c r="V533" s="6"/>
      <c r="W533" s="7"/>
      <c r="X533" s="7"/>
      <c r="Y533" s="7"/>
      <c r="Z533" s="7"/>
    </row>
    <row r="534">
      <c r="A534" s="6"/>
      <c r="B534" s="6"/>
      <c r="C534" s="6"/>
      <c r="D534" s="6"/>
      <c r="E534" s="6"/>
      <c r="F534" s="6"/>
      <c r="G534" s="6"/>
      <c r="H534" s="6"/>
      <c r="I534" s="6"/>
      <c r="J534" s="6"/>
      <c r="K534" s="6"/>
      <c r="L534" s="80"/>
      <c r="M534" s="80"/>
      <c r="N534" s="80"/>
      <c r="O534" s="80"/>
      <c r="P534" s="6"/>
      <c r="Q534" s="6"/>
      <c r="R534" s="6"/>
      <c r="S534" s="6"/>
      <c r="T534" s="6"/>
      <c r="U534" s="6"/>
      <c r="V534" s="6"/>
      <c r="W534" s="7"/>
      <c r="X534" s="7"/>
      <c r="Y534" s="7"/>
      <c r="Z534" s="7"/>
    </row>
    <row r="535">
      <c r="A535" s="6"/>
      <c r="B535" s="6"/>
      <c r="C535" s="6"/>
      <c r="D535" s="6"/>
      <c r="E535" s="6"/>
      <c r="F535" s="6"/>
      <c r="G535" s="6"/>
      <c r="H535" s="6"/>
      <c r="I535" s="6"/>
      <c r="J535" s="6"/>
      <c r="K535" s="6"/>
      <c r="L535" s="80"/>
      <c r="M535" s="80"/>
      <c r="N535" s="80"/>
      <c r="O535" s="80"/>
      <c r="P535" s="6"/>
      <c r="Q535" s="6"/>
      <c r="R535" s="6"/>
      <c r="S535" s="6"/>
      <c r="T535" s="6"/>
      <c r="U535" s="6"/>
      <c r="V535" s="6"/>
      <c r="W535" s="7"/>
      <c r="X535" s="7"/>
      <c r="Y535" s="7"/>
      <c r="Z535" s="7"/>
    </row>
    <row r="536">
      <c r="A536" s="6"/>
      <c r="B536" s="6"/>
      <c r="C536" s="6"/>
      <c r="D536" s="6"/>
      <c r="E536" s="6"/>
      <c r="F536" s="6"/>
      <c r="G536" s="6"/>
      <c r="H536" s="6"/>
      <c r="I536" s="6"/>
      <c r="J536" s="6"/>
      <c r="K536" s="6"/>
      <c r="L536" s="80"/>
      <c r="M536" s="80"/>
      <c r="N536" s="80"/>
      <c r="O536" s="80"/>
      <c r="P536" s="6"/>
      <c r="Q536" s="6"/>
      <c r="R536" s="6"/>
      <c r="S536" s="6"/>
      <c r="T536" s="6"/>
      <c r="U536" s="6"/>
      <c r="V536" s="6"/>
      <c r="W536" s="7"/>
      <c r="X536" s="7"/>
      <c r="Y536" s="7"/>
      <c r="Z536" s="7"/>
    </row>
    <row r="537">
      <c r="A537" s="6"/>
      <c r="B537" s="6"/>
      <c r="C537" s="6"/>
      <c r="D537" s="6"/>
      <c r="E537" s="6"/>
      <c r="F537" s="6"/>
      <c r="G537" s="6"/>
      <c r="H537" s="6"/>
      <c r="I537" s="6"/>
      <c r="J537" s="6"/>
      <c r="K537" s="6"/>
      <c r="L537" s="80"/>
      <c r="M537" s="80"/>
      <c r="N537" s="80"/>
      <c r="O537" s="80"/>
      <c r="P537" s="6"/>
      <c r="Q537" s="6"/>
      <c r="R537" s="6"/>
      <c r="S537" s="6"/>
      <c r="T537" s="6"/>
      <c r="U537" s="6"/>
      <c r="V537" s="6"/>
      <c r="W537" s="7"/>
      <c r="X537" s="7"/>
      <c r="Y537" s="7"/>
      <c r="Z537" s="7"/>
    </row>
    <row r="538">
      <c r="A538" s="6"/>
      <c r="B538" s="6"/>
      <c r="C538" s="6"/>
      <c r="D538" s="6"/>
      <c r="E538" s="6"/>
      <c r="F538" s="6"/>
      <c r="G538" s="6"/>
      <c r="H538" s="6"/>
      <c r="I538" s="6"/>
      <c r="J538" s="6"/>
      <c r="K538" s="6"/>
      <c r="L538" s="80"/>
      <c r="M538" s="80"/>
      <c r="N538" s="80"/>
      <c r="O538" s="80"/>
      <c r="P538" s="6"/>
      <c r="Q538" s="6"/>
      <c r="R538" s="6"/>
      <c r="S538" s="6"/>
      <c r="T538" s="6"/>
      <c r="U538" s="6"/>
      <c r="V538" s="6"/>
      <c r="W538" s="7"/>
      <c r="X538" s="7"/>
      <c r="Y538" s="7"/>
      <c r="Z538" s="7"/>
    </row>
    <row r="539">
      <c r="A539" s="6"/>
      <c r="B539" s="6"/>
      <c r="C539" s="6"/>
      <c r="D539" s="6"/>
      <c r="E539" s="6"/>
      <c r="F539" s="6"/>
      <c r="G539" s="6"/>
      <c r="H539" s="6"/>
      <c r="I539" s="6"/>
      <c r="J539" s="6"/>
      <c r="K539" s="6"/>
      <c r="L539" s="80"/>
      <c r="M539" s="80"/>
      <c r="N539" s="80"/>
      <c r="O539" s="80"/>
      <c r="P539" s="6"/>
      <c r="Q539" s="6"/>
      <c r="R539" s="6"/>
      <c r="S539" s="6"/>
      <c r="T539" s="6"/>
      <c r="U539" s="6"/>
      <c r="V539" s="6"/>
      <c r="W539" s="7"/>
      <c r="X539" s="7"/>
      <c r="Y539" s="7"/>
      <c r="Z539" s="7"/>
    </row>
    <row r="540">
      <c r="A540" s="6"/>
      <c r="B540" s="6"/>
      <c r="C540" s="6"/>
      <c r="D540" s="6"/>
      <c r="E540" s="6"/>
      <c r="F540" s="6"/>
      <c r="G540" s="6"/>
      <c r="H540" s="6"/>
      <c r="I540" s="6"/>
      <c r="J540" s="6"/>
      <c r="K540" s="6"/>
      <c r="L540" s="80"/>
      <c r="M540" s="80"/>
      <c r="N540" s="80"/>
      <c r="O540" s="80"/>
      <c r="P540" s="6"/>
      <c r="Q540" s="6"/>
      <c r="R540" s="6"/>
      <c r="S540" s="6"/>
      <c r="T540" s="6"/>
      <c r="U540" s="6"/>
      <c r="V540" s="6"/>
      <c r="W540" s="7"/>
      <c r="X540" s="7"/>
      <c r="Y540" s="7"/>
      <c r="Z540" s="7"/>
    </row>
    <row r="541">
      <c r="A541" s="6"/>
      <c r="B541" s="6"/>
      <c r="C541" s="6"/>
      <c r="D541" s="6"/>
      <c r="E541" s="6"/>
      <c r="F541" s="6"/>
      <c r="G541" s="6"/>
      <c r="H541" s="6"/>
      <c r="I541" s="6"/>
      <c r="J541" s="6"/>
      <c r="K541" s="6"/>
      <c r="L541" s="80"/>
      <c r="M541" s="80"/>
      <c r="N541" s="80"/>
      <c r="O541" s="80"/>
      <c r="P541" s="6"/>
      <c r="Q541" s="6"/>
      <c r="R541" s="6"/>
      <c r="S541" s="6"/>
      <c r="T541" s="6"/>
      <c r="U541" s="6"/>
      <c r="V541" s="6"/>
      <c r="W541" s="7"/>
      <c r="X541" s="7"/>
      <c r="Y541" s="7"/>
      <c r="Z541" s="7"/>
    </row>
    <row r="542">
      <c r="A542" s="6"/>
      <c r="B542" s="6"/>
      <c r="C542" s="6"/>
      <c r="D542" s="6"/>
      <c r="E542" s="6"/>
      <c r="F542" s="6"/>
      <c r="G542" s="6"/>
      <c r="H542" s="6"/>
      <c r="I542" s="6"/>
      <c r="J542" s="6"/>
      <c r="K542" s="6"/>
      <c r="L542" s="80"/>
      <c r="M542" s="80"/>
      <c r="N542" s="80"/>
      <c r="O542" s="80"/>
      <c r="P542" s="6"/>
      <c r="Q542" s="6"/>
      <c r="R542" s="6"/>
      <c r="S542" s="6"/>
      <c r="T542" s="6"/>
      <c r="U542" s="6"/>
      <c r="V542" s="6"/>
      <c r="W542" s="7"/>
      <c r="X542" s="7"/>
      <c r="Y542" s="7"/>
      <c r="Z542" s="7"/>
    </row>
    <row r="543">
      <c r="A543" s="6"/>
      <c r="B543" s="6"/>
      <c r="C543" s="6"/>
      <c r="D543" s="6"/>
      <c r="E543" s="6"/>
      <c r="F543" s="6"/>
      <c r="G543" s="6"/>
      <c r="H543" s="6"/>
      <c r="I543" s="6"/>
      <c r="J543" s="6"/>
      <c r="K543" s="6"/>
      <c r="L543" s="80"/>
      <c r="M543" s="80"/>
      <c r="N543" s="80"/>
      <c r="O543" s="80"/>
      <c r="P543" s="6"/>
      <c r="Q543" s="6"/>
      <c r="R543" s="6"/>
      <c r="S543" s="6"/>
      <c r="T543" s="6"/>
      <c r="U543" s="6"/>
      <c r="V543" s="6"/>
      <c r="W543" s="7"/>
      <c r="X543" s="7"/>
      <c r="Y543" s="7"/>
      <c r="Z543" s="7"/>
    </row>
    <row r="544">
      <c r="A544" s="6"/>
      <c r="B544" s="6"/>
      <c r="C544" s="6"/>
      <c r="D544" s="6"/>
      <c r="E544" s="6"/>
      <c r="F544" s="6"/>
      <c r="G544" s="6"/>
      <c r="H544" s="6"/>
      <c r="I544" s="6"/>
      <c r="J544" s="6"/>
      <c r="K544" s="6"/>
      <c r="L544" s="80"/>
      <c r="M544" s="80"/>
      <c r="N544" s="80"/>
      <c r="O544" s="80"/>
      <c r="P544" s="6"/>
      <c r="Q544" s="6"/>
      <c r="R544" s="6"/>
      <c r="S544" s="6"/>
      <c r="T544" s="6"/>
      <c r="U544" s="6"/>
      <c r="V544" s="6"/>
      <c r="W544" s="7"/>
      <c r="X544" s="7"/>
      <c r="Y544" s="7"/>
      <c r="Z544" s="7"/>
    </row>
    <row r="545">
      <c r="A545" s="6"/>
      <c r="B545" s="6"/>
      <c r="C545" s="6"/>
      <c r="D545" s="6"/>
      <c r="E545" s="6"/>
      <c r="F545" s="6"/>
      <c r="G545" s="6"/>
      <c r="H545" s="6"/>
      <c r="I545" s="6"/>
      <c r="J545" s="6"/>
      <c r="K545" s="6"/>
      <c r="L545" s="80"/>
      <c r="M545" s="80"/>
      <c r="N545" s="80"/>
      <c r="O545" s="80"/>
      <c r="P545" s="6"/>
      <c r="Q545" s="6"/>
      <c r="R545" s="6"/>
      <c r="S545" s="6"/>
      <c r="T545" s="6"/>
      <c r="U545" s="6"/>
      <c r="V545" s="6"/>
      <c r="W545" s="7"/>
      <c r="X545" s="7"/>
      <c r="Y545" s="7"/>
      <c r="Z545" s="7"/>
    </row>
    <row r="546">
      <c r="A546" s="6"/>
      <c r="B546" s="6"/>
      <c r="C546" s="6"/>
      <c r="D546" s="6"/>
      <c r="E546" s="6"/>
      <c r="F546" s="6"/>
      <c r="G546" s="6"/>
      <c r="H546" s="6"/>
      <c r="I546" s="6"/>
      <c r="J546" s="6"/>
      <c r="K546" s="6"/>
      <c r="L546" s="80"/>
      <c r="M546" s="80"/>
      <c r="N546" s="80"/>
      <c r="O546" s="80"/>
      <c r="P546" s="6"/>
      <c r="Q546" s="6"/>
      <c r="R546" s="6"/>
      <c r="S546" s="6"/>
      <c r="T546" s="6"/>
      <c r="U546" s="6"/>
      <c r="V546" s="6"/>
      <c r="W546" s="7"/>
      <c r="X546" s="7"/>
      <c r="Y546" s="7"/>
      <c r="Z546" s="7"/>
    </row>
    <row r="547">
      <c r="A547" s="6"/>
      <c r="B547" s="6"/>
      <c r="C547" s="6"/>
      <c r="D547" s="6"/>
      <c r="E547" s="6"/>
      <c r="F547" s="6"/>
      <c r="G547" s="6"/>
      <c r="H547" s="6"/>
      <c r="I547" s="6"/>
      <c r="J547" s="6"/>
      <c r="K547" s="6"/>
      <c r="L547" s="80"/>
      <c r="M547" s="80"/>
      <c r="N547" s="80"/>
      <c r="O547" s="80"/>
      <c r="P547" s="6"/>
      <c r="Q547" s="6"/>
      <c r="R547" s="6"/>
      <c r="S547" s="6"/>
      <c r="T547" s="6"/>
      <c r="U547" s="6"/>
      <c r="V547" s="6"/>
      <c r="W547" s="7"/>
      <c r="X547" s="7"/>
      <c r="Y547" s="7"/>
      <c r="Z547" s="7"/>
    </row>
    <row r="548">
      <c r="A548" s="6"/>
      <c r="B548" s="6"/>
      <c r="C548" s="6"/>
      <c r="D548" s="6"/>
      <c r="E548" s="6"/>
      <c r="F548" s="6"/>
      <c r="G548" s="6"/>
      <c r="H548" s="6"/>
      <c r="I548" s="6"/>
      <c r="J548" s="6"/>
      <c r="K548" s="6"/>
      <c r="L548" s="80"/>
      <c r="M548" s="80"/>
      <c r="N548" s="80"/>
      <c r="O548" s="80"/>
      <c r="P548" s="6"/>
      <c r="Q548" s="6"/>
      <c r="R548" s="6"/>
      <c r="S548" s="6"/>
      <c r="T548" s="6"/>
      <c r="U548" s="6"/>
      <c r="V548" s="6"/>
      <c r="W548" s="7"/>
      <c r="X548" s="7"/>
      <c r="Y548" s="7"/>
      <c r="Z548" s="7"/>
    </row>
    <row r="549">
      <c r="A549" s="6"/>
      <c r="B549" s="6"/>
      <c r="C549" s="6"/>
      <c r="D549" s="6"/>
      <c r="E549" s="6"/>
      <c r="F549" s="6"/>
      <c r="G549" s="6"/>
      <c r="H549" s="6"/>
      <c r="I549" s="6"/>
      <c r="J549" s="6"/>
      <c r="K549" s="6"/>
      <c r="L549" s="80"/>
      <c r="M549" s="80"/>
      <c r="N549" s="80"/>
      <c r="O549" s="80"/>
      <c r="P549" s="6"/>
      <c r="Q549" s="6"/>
      <c r="R549" s="6"/>
      <c r="S549" s="6"/>
      <c r="T549" s="6"/>
      <c r="U549" s="6"/>
      <c r="V549" s="6"/>
      <c r="W549" s="7"/>
      <c r="X549" s="7"/>
      <c r="Y549" s="7"/>
      <c r="Z549" s="7"/>
    </row>
    <row r="550">
      <c r="A550" s="6"/>
      <c r="B550" s="6"/>
      <c r="C550" s="6"/>
      <c r="D550" s="6"/>
      <c r="E550" s="6"/>
      <c r="F550" s="6"/>
      <c r="G550" s="6"/>
      <c r="H550" s="6"/>
      <c r="I550" s="6"/>
      <c r="J550" s="6"/>
      <c r="K550" s="6"/>
      <c r="L550" s="80"/>
      <c r="M550" s="80"/>
      <c r="N550" s="80"/>
      <c r="O550" s="80"/>
      <c r="P550" s="6"/>
      <c r="Q550" s="6"/>
      <c r="R550" s="6"/>
      <c r="S550" s="6"/>
      <c r="T550" s="6"/>
      <c r="U550" s="6"/>
      <c r="V550" s="6"/>
      <c r="W550" s="7"/>
      <c r="X550" s="7"/>
      <c r="Y550" s="7"/>
      <c r="Z550" s="7"/>
    </row>
    <row r="551">
      <c r="A551" s="6"/>
      <c r="B551" s="6"/>
      <c r="C551" s="6"/>
      <c r="D551" s="6"/>
      <c r="E551" s="6"/>
      <c r="F551" s="6"/>
      <c r="G551" s="6"/>
      <c r="H551" s="6"/>
      <c r="I551" s="6"/>
      <c r="J551" s="6"/>
      <c r="K551" s="6"/>
      <c r="L551" s="80"/>
      <c r="M551" s="80"/>
      <c r="N551" s="80"/>
      <c r="O551" s="80"/>
      <c r="P551" s="6"/>
      <c r="Q551" s="6"/>
      <c r="R551" s="6"/>
      <c r="S551" s="6"/>
      <c r="T551" s="6"/>
      <c r="U551" s="6"/>
      <c r="V551" s="6"/>
      <c r="W551" s="7"/>
      <c r="X551" s="7"/>
      <c r="Y551" s="7"/>
      <c r="Z551" s="7"/>
    </row>
    <row r="552">
      <c r="A552" s="6"/>
      <c r="B552" s="6"/>
      <c r="C552" s="6"/>
      <c r="D552" s="6"/>
      <c r="E552" s="6"/>
      <c r="F552" s="6"/>
      <c r="G552" s="6"/>
      <c r="H552" s="6"/>
      <c r="I552" s="6"/>
      <c r="J552" s="6"/>
      <c r="K552" s="6"/>
      <c r="L552" s="80"/>
      <c r="M552" s="80"/>
      <c r="N552" s="80"/>
      <c r="O552" s="80"/>
      <c r="P552" s="6"/>
      <c r="Q552" s="6"/>
      <c r="R552" s="6"/>
      <c r="S552" s="6"/>
      <c r="T552" s="6"/>
      <c r="U552" s="6"/>
      <c r="V552" s="6"/>
      <c r="W552" s="7"/>
      <c r="X552" s="7"/>
      <c r="Y552" s="7"/>
      <c r="Z552" s="7"/>
    </row>
    <row r="553">
      <c r="A553" s="6"/>
      <c r="B553" s="6"/>
      <c r="C553" s="6"/>
      <c r="D553" s="6"/>
      <c r="E553" s="6"/>
      <c r="F553" s="6"/>
      <c r="G553" s="6"/>
      <c r="H553" s="6"/>
      <c r="I553" s="6"/>
      <c r="J553" s="6"/>
      <c r="K553" s="6"/>
      <c r="L553" s="80"/>
      <c r="M553" s="80"/>
      <c r="N553" s="80"/>
      <c r="O553" s="80"/>
      <c r="P553" s="6"/>
      <c r="Q553" s="6"/>
      <c r="R553" s="6"/>
      <c r="S553" s="6"/>
      <c r="T553" s="6"/>
      <c r="U553" s="6"/>
      <c r="V553" s="6"/>
      <c r="W553" s="7"/>
      <c r="X553" s="7"/>
      <c r="Y553" s="7"/>
      <c r="Z553" s="7"/>
    </row>
    <row r="554">
      <c r="A554" s="6"/>
      <c r="B554" s="6"/>
      <c r="C554" s="6"/>
      <c r="D554" s="6"/>
      <c r="E554" s="6"/>
      <c r="F554" s="6"/>
      <c r="G554" s="6"/>
      <c r="H554" s="6"/>
      <c r="I554" s="6"/>
      <c r="J554" s="6"/>
      <c r="K554" s="6"/>
      <c r="L554" s="80"/>
      <c r="M554" s="80"/>
      <c r="N554" s="80"/>
      <c r="O554" s="80"/>
      <c r="P554" s="6"/>
      <c r="Q554" s="6"/>
      <c r="R554" s="6"/>
      <c r="S554" s="6"/>
      <c r="T554" s="6"/>
      <c r="U554" s="6"/>
      <c r="V554" s="6"/>
      <c r="W554" s="7"/>
      <c r="X554" s="7"/>
      <c r="Y554" s="7"/>
      <c r="Z554" s="7"/>
    </row>
    <row r="555">
      <c r="A555" s="6"/>
      <c r="B555" s="6"/>
      <c r="C555" s="6"/>
      <c r="D555" s="6"/>
      <c r="E555" s="6"/>
      <c r="F555" s="6"/>
      <c r="G555" s="6"/>
      <c r="H555" s="6"/>
      <c r="I555" s="6"/>
      <c r="J555" s="6"/>
      <c r="K555" s="6"/>
      <c r="L555" s="80"/>
      <c r="M555" s="80"/>
      <c r="N555" s="80"/>
      <c r="O555" s="80"/>
      <c r="P555" s="6"/>
      <c r="Q555" s="6"/>
      <c r="R555" s="6"/>
      <c r="S555" s="6"/>
      <c r="T555" s="6"/>
      <c r="U555" s="6"/>
      <c r="V555" s="6"/>
      <c r="W555" s="7"/>
      <c r="X555" s="7"/>
      <c r="Y555" s="7"/>
      <c r="Z555" s="7"/>
    </row>
    <row r="556">
      <c r="A556" s="6"/>
      <c r="B556" s="6"/>
      <c r="C556" s="6"/>
      <c r="D556" s="6"/>
      <c r="E556" s="6"/>
      <c r="F556" s="6"/>
      <c r="G556" s="6"/>
      <c r="H556" s="6"/>
      <c r="I556" s="6"/>
      <c r="J556" s="6"/>
      <c r="K556" s="6"/>
      <c r="L556" s="80"/>
      <c r="M556" s="80"/>
      <c r="N556" s="80"/>
      <c r="O556" s="80"/>
      <c r="P556" s="6"/>
      <c r="Q556" s="6"/>
      <c r="R556" s="6"/>
      <c r="S556" s="6"/>
      <c r="T556" s="6"/>
      <c r="U556" s="6"/>
      <c r="V556" s="6"/>
      <c r="W556" s="7"/>
      <c r="X556" s="7"/>
      <c r="Y556" s="7"/>
      <c r="Z556" s="7"/>
    </row>
    <row r="557">
      <c r="A557" s="6"/>
      <c r="B557" s="6"/>
      <c r="C557" s="6"/>
      <c r="D557" s="6"/>
      <c r="E557" s="6"/>
      <c r="F557" s="6"/>
      <c r="G557" s="6"/>
      <c r="H557" s="6"/>
      <c r="I557" s="6"/>
      <c r="J557" s="6"/>
      <c r="K557" s="6"/>
      <c r="L557" s="80"/>
      <c r="M557" s="80"/>
      <c r="N557" s="80"/>
      <c r="O557" s="80"/>
      <c r="P557" s="6"/>
      <c r="Q557" s="6"/>
      <c r="R557" s="6"/>
      <c r="S557" s="6"/>
      <c r="T557" s="6"/>
      <c r="U557" s="6"/>
      <c r="V557" s="6"/>
      <c r="W557" s="7"/>
      <c r="X557" s="7"/>
      <c r="Y557" s="7"/>
      <c r="Z557" s="7"/>
    </row>
    <row r="558">
      <c r="A558" s="6"/>
      <c r="B558" s="6"/>
      <c r="C558" s="6"/>
      <c r="D558" s="6"/>
      <c r="E558" s="6"/>
      <c r="F558" s="6"/>
      <c r="G558" s="6"/>
      <c r="H558" s="6"/>
      <c r="I558" s="6"/>
      <c r="J558" s="6"/>
      <c r="K558" s="6"/>
      <c r="L558" s="80"/>
      <c r="M558" s="80"/>
      <c r="N558" s="80"/>
      <c r="O558" s="80"/>
      <c r="P558" s="6"/>
      <c r="Q558" s="6"/>
      <c r="R558" s="6"/>
      <c r="S558" s="6"/>
      <c r="T558" s="6"/>
      <c r="U558" s="6"/>
      <c r="V558" s="6"/>
      <c r="W558" s="7"/>
      <c r="X558" s="7"/>
      <c r="Y558" s="7"/>
      <c r="Z558" s="7"/>
    </row>
    <row r="559">
      <c r="A559" s="6"/>
      <c r="B559" s="6"/>
      <c r="C559" s="6"/>
      <c r="D559" s="6"/>
      <c r="E559" s="6"/>
      <c r="F559" s="6"/>
      <c r="G559" s="6"/>
      <c r="H559" s="6"/>
      <c r="I559" s="6"/>
      <c r="J559" s="6"/>
      <c r="K559" s="6"/>
      <c r="L559" s="80"/>
      <c r="M559" s="80"/>
      <c r="N559" s="80"/>
      <c r="O559" s="80"/>
      <c r="P559" s="6"/>
      <c r="Q559" s="6"/>
      <c r="R559" s="6"/>
      <c r="S559" s="6"/>
      <c r="T559" s="6"/>
      <c r="U559" s="6"/>
      <c r="V559" s="6"/>
      <c r="W559" s="7"/>
      <c r="X559" s="7"/>
      <c r="Y559" s="7"/>
      <c r="Z559" s="7"/>
    </row>
    <row r="560">
      <c r="A560" s="6"/>
      <c r="B560" s="6"/>
      <c r="C560" s="6"/>
      <c r="D560" s="6"/>
      <c r="E560" s="6"/>
      <c r="F560" s="6"/>
      <c r="G560" s="6"/>
      <c r="H560" s="6"/>
      <c r="I560" s="6"/>
      <c r="J560" s="6"/>
      <c r="K560" s="6"/>
      <c r="L560" s="80"/>
      <c r="M560" s="80"/>
      <c r="N560" s="80"/>
      <c r="O560" s="80"/>
      <c r="P560" s="6"/>
      <c r="Q560" s="6"/>
      <c r="R560" s="6"/>
      <c r="S560" s="6"/>
      <c r="T560" s="6"/>
      <c r="U560" s="6"/>
      <c r="V560" s="6"/>
      <c r="W560" s="7"/>
      <c r="X560" s="7"/>
      <c r="Y560" s="7"/>
      <c r="Z560" s="7"/>
    </row>
    <row r="561">
      <c r="A561" s="6"/>
      <c r="B561" s="6"/>
      <c r="C561" s="6"/>
      <c r="D561" s="6"/>
      <c r="E561" s="6"/>
      <c r="F561" s="6"/>
      <c r="G561" s="6"/>
      <c r="H561" s="6"/>
      <c r="I561" s="6"/>
      <c r="J561" s="6"/>
      <c r="K561" s="6"/>
      <c r="L561" s="80"/>
      <c r="M561" s="80"/>
      <c r="N561" s="80"/>
      <c r="O561" s="80"/>
      <c r="P561" s="6"/>
      <c r="Q561" s="6"/>
      <c r="R561" s="6"/>
      <c r="S561" s="6"/>
      <c r="T561" s="6"/>
      <c r="U561" s="6"/>
      <c r="V561" s="6"/>
      <c r="W561" s="7"/>
      <c r="X561" s="7"/>
      <c r="Y561" s="7"/>
      <c r="Z561" s="7"/>
    </row>
    <row r="562">
      <c r="A562" s="6"/>
      <c r="B562" s="6"/>
      <c r="C562" s="6"/>
      <c r="D562" s="6"/>
      <c r="E562" s="6"/>
      <c r="F562" s="6"/>
      <c r="G562" s="6"/>
      <c r="H562" s="6"/>
      <c r="I562" s="6"/>
      <c r="J562" s="6"/>
      <c r="K562" s="6"/>
      <c r="L562" s="80"/>
      <c r="M562" s="80"/>
      <c r="N562" s="80"/>
      <c r="O562" s="80"/>
      <c r="P562" s="6"/>
      <c r="Q562" s="6"/>
      <c r="R562" s="6"/>
      <c r="S562" s="6"/>
      <c r="T562" s="6"/>
      <c r="U562" s="6"/>
      <c r="V562" s="6"/>
      <c r="W562" s="7"/>
      <c r="X562" s="7"/>
      <c r="Y562" s="7"/>
      <c r="Z562" s="7"/>
    </row>
    <row r="563">
      <c r="A563" s="6"/>
      <c r="B563" s="6"/>
      <c r="C563" s="6"/>
      <c r="D563" s="6"/>
      <c r="E563" s="6"/>
      <c r="F563" s="6"/>
      <c r="G563" s="6"/>
      <c r="H563" s="6"/>
      <c r="I563" s="6"/>
      <c r="J563" s="6"/>
      <c r="K563" s="6"/>
      <c r="L563" s="80"/>
      <c r="M563" s="80"/>
      <c r="N563" s="80"/>
      <c r="O563" s="80"/>
      <c r="P563" s="6"/>
      <c r="Q563" s="6"/>
      <c r="R563" s="6"/>
      <c r="S563" s="6"/>
      <c r="T563" s="6"/>
      <c r="U563" s="6"/>
      <c r="V563" s="6"/>
      <c r="W563" s="7"/>
      <c r="X563" s="7"/>
      <c r="Y563" s="7"/>
      <c r="Z563" s="7"/>
    </row>
    <row r="564">
      <c r="A564" s="6"/>
      <c r="B564" s="6"/>
      <c r="C564" s="6"/>
      <c r="D564" s="6"/>
      <c r="E564" s="6"/>
      <c r="F564" s="6"/>
      <c r="G564" s="6"/>
      <c r="H564" s="6"/>
      <c r="I564" s="6"/>
      <c r="J564" s="6"/>
      <c r="K564" s="6"/>
      <c r="L564" s="80"/>
      <c r="M564" s="80"/>
      <c r="N564" s="80"/>
      <c r="O564" s="80"/>
      <c r="P564" s="6"/>
      <c r="Q564" s="6"/>
      <c r="R564" s="6"/>
      <c r="S564" s="6"/>
      <c r="T564" s="6"/>
      <c r="U564" s="6"/>
      <c r="V564" s="6"/>
      <c r="W564" s="7"/>
      <c r="X564" s="7"/>
      <c r="Y564" s="7"/>
      <c r="Z564" s="7"/>
    </row>
    <row r="565">
      <c r="A565" s="6"/>
      <c r="B565" s="6"/>
      <c r="C565" s="6"/>
      <c r="D565" s="6"/>
      <c r="E565" s="6"/>
      <c r="F565" s="6"/>
      <c r="G565" s="6"/>
      <c r="H565" s="6"/>
      <c r="I565" s="6"/>
      <c r="J565" s="6"/>
      <c r="K565" s="6"/>
      <c r="L565" s="80"/>
      <c r="M565" s="80"/>
      <c r="N565" s="80"/>
      <c r="O565" s="80"/>
      <c r="P565" s="6"/>
      <c r="Q565" s="6"/>
      <c r="R565" s="6"/>
      <c r="S565" s="6"/>
      <c r="T565" s="6"/>
      <c r="U565" s="6"/>
      <c r="V565" s="6"/>
      <c r="W565" s="7"/>
      <c r="X565" s="7"/>
      <c r="Y565" s="7"/>
      <c r="Z565" s="7"/>
    </row>
    <row r="566">
      <c r="A566" s="6"/>
      <c r="B566" s="6"/>
      <c r="C566" s="6"/>
      <c r="D566" s="6"/>
      <c r="E566" s="6"/>
      <c r="F566" s="6"/>
      <c r="G566" s="6"/>
      <c r="H566" s="6"/>
      <c r="I566" s="6"/>
      <c r="J566" s="6"/>
      <c r="K566" s="6"/>
      <c r="L566" s="80"/>
      <c r="M566" s="80"/>
      <c r="N566" s="80"/>
      <c r="O566" s="80"/>
      <c r="P566" s="6"/>
      <c r="Q566" s="6"/>
      <c r="R566" s="6"/>
      <c r="S566" s="6"/>
      <c r="T566" s="6"/>
      <c r="U566" s="6"/>
      <c r="V566" s="6"/>
      <c r="W566" s="7"/>
      <c r="X566" s="7"/>
      <c r="Y566" s="7"/>
      <c r="Z566" s="7"/>
    </row>
    <row r="567">
      <c r="A567" s="6"/>
      <c r="B567" s="6"/>
      <c r="C567" s="6"/>
      <c r="D567" s="6"/>
      <c r="E567" s="6"/>
      <c r="F567" s="6"/>
      <c r="G567" s="6"/>
      <c r="H567" s="6"/>
      <c r="I567" s="6"/>
      <c r="J567" s="6"/>
      <c r="K567" s="6"/>
      <c r="L567" s="80"/>
      <c r="M567" s="80"/>
      <c r="N567" s="80"/>
      <c r="O567" s="80"/>
      <c r="P567" s="6"/>
      <c r="Q567" s="6"/>
      <c r="R567" s="6"/>
      <c r="S567" s="6"/>
      <c r="T567" s="6"/>
      <c r="U567" s="6"/>
      <c r="V567" s="6"/>
      <c r="W567" s="7"/>
      <c r="X567" s="7"/>
      <c r="Y567" s="7"/>
      <c r="Z567" s="7"/>
    </row>
    <row r="568">
      <c r="A568" s="6"/>
      <c r="B568" s="6"/>
      <c r="C568" s="6"/>
      <c r="D568" s="6"/>
      <c r="E568" s="6"/>
      <c r="F568" s="6"/>
      <c r="G568" s="6"/>
      <c r="H568" s="6"/>
      <c r="I568" s="6"/>
      <c r="J568" s="6"/>
      <c r="K568" s="6"/>
      <c r="L568" s="80"/>
      <c r="M568" s="80"/>
      <c r="N568" s="80"/>
      <c r="O568" s="80"/>
      <c r="P568" s="6"/>
      <c r="Q568" s="6"/>
      <c r="R568" s="6"/>
      <c r="S568" s="6"/>
      <c r="T568" s="6"/>
      <c r="U568" s="6"/>
      <c r="V568" s="6"/>
      <c r="W568" s="7"/>
      <c r="X568" s="7"/>
      <c r="Y568" s="7"/>
      <c r="Z568" s="7"/>
    </row>
    <row r="569">
      <c r="A569" s="6"/>
      <c r="B569" s="6"/>
      <c r="C569" s="6"/>
      <c r="D569" s="6"/>
      <c r="E569" s="6"/>
      <c r="F569" s="6"/>
      <c r="G569" s="6"/>
      <c r="H569" s="6"/>
      <c r="I569" s="6"/>
      <c r="J569" s="6"/>
      <c r="K569" s="6"/>
      <c r="L569" s="80"/>
      <c r="M569" s="80"/>
      <c r="N569" s="80"/>
      <c r="O569" s="80"/>
      <c r="P569" s="6"/>
      <c r="Q569" s="6"/>
      <c r="R569" s="6"/>
      <c r="S569" s="6"/>
      <c r="T569" s="6"/>
      <c r="U569" s="6"/>
      <c r="V569" s="6"/>
      <c r="W569" s="7"/>
      <c r="X569" s="7"/>
      <c r="Y569" s="7"/>
      <c r="Z569" s="7"/>
    </row>
    <row r="570">
      <c r="A570" s="6"/>
      <c r="B570" s="6"/>
      <c r="C570" s="6"/>
      <c r="D570" s="6"/>
      <c r="E570" s="6"/>
      <c r="F570" s="6"/>
      <c r="G570" s="6"/>
      <c r="H570" s="6"/>
      <c r="I570" s="6"/>
      <c r="J570" s="6"/>
      <c r="K570" s="6"/>
      <c r="L570" s="80"/>
      <c r="M570" s="80"/>
      <c r="N570" s="80"/>
      <c r="O570" s="80"/>
      <c r="P570" s="6"/>
      <c r="Q570" s="6"/>
      <c r="R570" s="6"/>
      <c r="S570" s="6"/>
      <c r="T570" s="6"/>
      <c r="U570" s="6"/>
      <c r="V570" s="6"/>
      <c r="W570" s="7"/>
      <c r="X570" s="7"/>
      <c r="Y570" s="7"/>
      <c r="Z570" s="7"/>
    </row>
    <row r="571">
      <c r="A571" s="6"/>
      <c r="B571" s="6"/>
      <c r="C571" s="6"/>
      <c r="D571" s="6"/>
      <c r="E571" s="6"/>
      <c r="F571" s="6"/>
      <c r="G571" s="6"/>
      <c r="H571" s="6"/>
      <c r="I571" s="6"/>
      <c r="J571" s="6"/>
      <c r="K571" s="6"/>
      <c r="L571" s="80"/>
      <c r="M571" s="80"/>
      <c r="N571" s="80"/>
      <c r="O571" s="80"/>
      <c r="P571" s="6"/>
      <c r="Q571" s="6"/>
      <c r="R571" s="6"/>
      <c r="S571" s="6"/>
      <c r="T571" s="6"/>
      <c r="U571" s="6"/>
      <c r="V571" s="6"/>
      <c r="W571" s="7"/>
      <c r="X571" s="7"/>
      <c r="Y571" s="7"/>
      <c r="Z571" s="7"/>
    </row>
    <row r="572">
      <c r="A572" s="6"/>
      <c r="B572" s="6"/>
      <c r="C572" s="6"/>
      <c r="D572" s="6"/>
      <c r="E572" s="6"/>
      <c r="F572" s="6"/>
      <c r="G572" s="6"/>
      <c r="H572" s="6"/>
      <c r="I572" s="6"/>
      <c r="J572" s="6"/>
      <c r="K572" s="6"/>
      <c r="L572" s="80"/>
      <c r="M572" s="80"/>
      <c r="N572" s="80"/>
      <c r="O572" s="80"/>
      <c r="P572" s="6"/>
      <c r="Q572" s="6"/>
      <c r="R572" s="6"/>
      <c r="S572" s="6"/>
      <c r="T572" s="6"/>
      <c r="U572" s="6"/>
      <c r="V572" s="6"/>
      <c r="W572" s="7"/>
      <c r="X572" s="7"/>
      <c r="Y572" s="7"/>
      <c r="Z572" s="7"/>
    </row>
    <row r="573">
      <c r="A573" s="6"/>
      <c r="B573" s="6"/>
      <c r="C573" s="6"/>
      <c r="D573" s="6"/>
      <c r="E573" s="6"/>
      <c r="F573" s="6"/>
      <c r="G573" s="6"/>
      <c r="H573" s="6"/>
      <c r="I573" s="6"/>
      <c r="J573" s="6"/>
      <c r="K573" s="6"/>
      <c r="L573" s="80"/>
      <c r="M573" s="80"/>
      <c r="N573" s="80"/>
      <c r="O573" s="80"/>
      <c r="P573" s="6"/>
      <c r="Q573" s="6"/>
      <c r="R573" s="6"/>
      <c r="S573" s="6"/>
      <c r="T573" s="6"/>
      <c r="U573" s="6"/>
      <c r="V573" s="6"/>
      <c r="W573" s="7"/>
      <c r="X573" s="7"/>
      <c r="Y573" s="7"/>
      <c r="Z573" s="7"/>
    </row>
    <row r="574">
      <c r="A574" s="6"/>
      <c r="B574" s="6"/>
      <c r="C574" s="6"/>
      <c r="D574" s="6"/>
      <c r="E574" s="6"/>
      <c r="F574" s="6"/>
      <c r="G574" s="6"/>
      <c r="H574" s="6"/>
      <c r="I574" s="6"/>
      <c r="J574" s="6"/>
      <c r="K574" s="6"/>
      <c r="L574" s="80"/>
      <c r="M574" s="80"/>
      <c r="N574" s="80"/>
      <c r="O574" s="80"/>
      <c r="P574" s="6"/>
      <c r="Q574" s="6"/>
      <c r="R574" s="6"/>
      <c r="S574" s="6"/>
      <c r="T574" s="6"/>
      <c r="U574" s="6"/>
      <c r="V574" s="6"/>
      <c r="W574" s="7"/>
      <c r="X574" s="7"/>
      <c r="Y574" s="7"/>
      <c r="Z574" s="7"/>
    </row>
    <row r="575">
      <c r="A575" s="6"/>
      <c r="B575" s="6"/>
      <c r="C575" s="6"/>
      <c r="D575" s="6"/>
      <c r="E575" s="6"/>
      <c r="F575" s="6"/>
      <c r="G575" s="6"/>
      <c r="H575" s="6"/>
      <c r="I575" s="6"/>
      <c r="J575" s="6"/>
      <c r="K575" s="6"/>
      <c r="L575" s="80"/>
      <c r="M575" s="80"/>
      <c r="N575" s="80"/>
      <c r="O575" s="80"/>
      <c r="P575" s="6"/>
      <c r="Q575" s="6"/>
      <c r="R575" s="6"/>
      <c r="S575" s="6"/>
      <c r="T575" s="6"/>
      <c r="U575" s="6"/>
      <c r="V575" s="6"/>
      <c r="W575" s="7"/>
      <c r="X575" s="7"/>
      <c r="Y575" s="7"/>
      <c r="Z575" s="7"/>
    </row>
    <row r="576">
      <c r="A576" s="6"/>
      <c r="B576" s="6"/>
      <c r="C576" s="6"/>
      <c r="D576" s="6"/>
      <c r="E576" s="6"/>
      <c r="F576" s="6"/>
      <c r="G576" s="6"/>
      <c r="H576" s="6"/>
      <c r="I576" s="6"/>
      <c r="J576" s="6"/>
      <c r="K576" s="6"/>
      <c r="L576" s="80"/>
      <c r="M576" s="80"/>
      <c r="N576" s="80"/>
      <c r="O576" s="80"/>
      <c r="P576" s="6"/>
      <c r="Q576" s="6"/>
      <c r="R576" s="6"/>
      <c r="S576" s="6"/>
      <c r="T576" s="6"/>
      <c r="U576" s="6"/>
      <c r="V576" s="6"/>
      <c r="W576" s="7"/>
      <c r="X576" s="7"/>
      <c r="Y576" s="7"/>
      <c r="Z576" s="7"/>
    </row>
    <row r="577">
      <c r="A577" s="6"/>
      <c r="B577" s="6"/>
      <c r="C577" s="6"/>
      <c r="D577" s="6"/>
      <c r="E577" s="6"/>
      <c r="F577" s="6"/>
      <c r="G577" s="6"/>
      <c r="H577" s="6"/>
      <c r="I577" s="6"/>
      <c r="J577" s="6"/>
      <c r="K577" s="6"/>
      <c r="L577" s="80"/>
      <c r="M577" s="80"/>
      <c r="N577" s="80"/>
      <c r="O577" s="80"/>
      <c r="P577" s="6"/>
      <c r="Q577" s="6"/>
      <c r="R577" s="6"/>
      <c r="S577" s="6"/>
      <c r="T577" s="6"/>
      <c r="U577" s="6"/>
      <c r="V577" s="6"/>
      <c r="W577" s="7"/>
      <c r="X577" s="7"/>
      <c r="Y577" s="7"/>
      <c r="Z577" s="7"/>
    </row>
    <row r="578">
      <c r="A578" s="6"/>
      <c r="B578" s="6"/>
      <c r="C578" s="6"/>
      <c r="D578" s="6"/>
      <c r="E578" s="6"/>
      <c r="F578" s="6"/>
      <c r="G578" s="6"/>
      <c r="H578" s="6"/>
      <c r="I578" s="6"/>
      <c r="J578" s="6"/>
      <c r="K578" s="6"/>
      <c r="L578" s="80"/>
      <c r="M578" s="80"/>
      <c r="N578" s="80"/>
      <c r="O578" s="80"/>
      <c r="P578" s="6"/>
      <c r="Q578" s="6"/>
      <c r="R578" s="6"/>
      <c r="S578" s="6"/>
      <c r="T578" s="6"/>
      <c r="U578" s="6"/>
      <c r="V578" s="6"/>
      <c r="W578" s="7"/>
      <c r="X578" s="7"/>
      <c r="Y578" s="7"/>
      <c r="Z578" s="7"/>
    </row>
    <row r="579">
      <c r="A579" s="6"/>
      <c r="B579" s="6"/>
      <c r="C579" s="6"/>
      <c r="D579" s="6"/>
      <c r="E579" s="6"/>
      <c r="F579" s="6"/>
      <c r="G579" s="6"/>
      <c r="H579" s="6"/>
      <c r="I579" s="6"/>
      <c r="J579" s="6"/>
      <c r="K579" s="6"/>
      <c r="L579" s="80"/>
      <c r="M579" s="80"/>
      <c r="N579" s="80"/>
      <c r="O579" s="80"/>
      <c r="P579" s="6"/>
      <c r="Q579" s="6"/>
      <c r="R579" s="6"/>
      <c r="S579" s="6"/>
      <c r="T579" s="6"/>
      <c r="U579" s="6"/>
      <c r="V579" s="6"/>
      <c r="W579" s="7"/>
      <c r="X579" s="7"/>
      <c r="Y579" s="7"/>
      <c r="Z579" s="7"/>
    </row>
    <row r="580">
      <c r="A580" s="6"/>
      <c r="B580" s="6"/>
      <c r="C580" s="6"/>
      <c r="D580" s="6"/>
      <c r="E580" s="6"/>
      <c r="F580" s="6"/>
      <c r="G580" s="6"/>
      <c r="H580" s="6"/>
      <c r="I580" s="6"/>
      <c r="J580" s="6"/>
      <c r="K580" s="6"/>
      <c r="L580" s="80"/>
      <c r="M580" s="80"/>
      <c r="N580" s="80"/>
      <c r="O580" s="80"/>
      <c r="P580" s="6"/>
      <c r="Q580" s="6"/>
      <c r="R580" s="6"/>
      <c r="S580" s="6"/>
      <c r="T580" s="6"/>
      <c r="U580" s="6"/>
      <c r="V580" s="6"/>
      <c r="W580" s="7"/>
      <c r="X580" s="7"/>
      <c r="Y580" s="7"/>
      <c r="Z580" s="7"/>
    </row>
    <row r="581">
      <c r="A581" s="6"/>
      <c r="B581" s="6"/>
      <c r="C581" s="6"/>
      <c r="D581" s="6"/>
      <c r="E581" s="6"/>
      <c r="F581" s="6"/>
      <c r="G581" s="6"/>
      <c r="H581" s="6"/>
      <c r="I581" s="6"/>
      <c r="J581" s="6"/>
      <c r="K581" s="6"/>
      <c r="L581" s="80"/>
      <c r="M581" s="80"/>
      <c r="N581" s="80"/>
      <c r="O581" s="80"/>
      <c r="P581" s="6"/>
      <c r="Q581" s="6"/>
      <c r="R581" s="6"/>
      <c r="S581" s="6"/>
      <c r="T581" s="6"/>
      <c r="U581" s="6"/>
      <c r="V581" s="6"/>
      <c r="W581" s="7"/>
      <c r="X581" s="7"/>
      <c r="Y581" s="7"/>
      <c r="Z581" s="7"/>
    </row>
    <row r="582">
      <c r="A582" s="6"/>
      <c r="B582" s="6"/>
      <c r="C582" s="6"/>
      <c r="D582" s="6"/>
      <c r="E582" s="6"/>
      <c r="F582" s="6"/>
      <c r="G582" s="6"/>
      <c r="H582" s="6"/>
      <c r="I582" s="6"/>
      <c r="J582" s="6"/>
      <c r="K582" s="6"/>
      <c r="L582" s="80"/>
      <c r="M582" s="80"/>
      <c r="N582" s="80"/>
      <c r="O582" s="80"/>
      <c r="P582" s="6"/>
      <c r="Q582" s="6"/>
      <c r="R582" s="6"/>
      <c r="S582" s="6"/>
      <c r="T582" s="6"/>
      <c r="U582" s="6"/>
      <c r="V582" s="6"/>
      <c r="W582" s="7"/>
      <c r="X582" s="7"/>
      <c r="Y582" s="7"/>
      <c r="Z582" s="7"/>
    </row>
    <row r="583">
      <c r="A583" s="6"/>
      <c r="B583" s="6"/>
      <c r="C583" s="6"/>
      <c r="D583" s="6"/>
      <c r="E583" s="6"/>
      <c r="F583" s="6"/>
      <c r="G583" s="6"/>
      <c r="H583" s="6"/>
      <c r="I583" s="6"/>
      <c r="J583" s="6"/>
      <c r="K583" s="6"/>
      <c r="L583" s="80"/>
      <c r="M583" s="80"/>
      <c r="N583" s="80"/>
      <c r="O583" s="80"/>
      <c r="P583" s="6"/>
      <c r="Q583" s="6"/>
      <c r="R583" s="6"/>
      <c r="S583" s="6"/>
      <c r="T583" s="6"/>
      <c r="U583" s="6"/>
      <c r="V583" s="6"/>
      <c r="W583" s="7"/>
      <c r="X583" s="7"/>
      <c r="Y583" s="7"/>
      <c r="Z583" s="7"/>
    </row>
    <row r="584">
      <c r="A584" s="6"/>
      <c r="B584" s="6"/>
      <c r="C584" s="6"/>
      <c r="D584" s="6"/>
      <c r="E584" s="6"/>
      <c r="F584" s="6"/>
      <c r="G584" s="6"/>
      <c r="H584" s="6"/>
      <c r="I584" s="6"/>
      <c r="J584" s="6"/>
      <c r="K584" s="6"/>
      <c r="L584" s="80"/>
      <c r="M584" s="80"/>
      <c r="N584" s="80"/>
      <c r="O584" s="80"/>
      <c r="P584" s="6"/>
      <c r="Q584" s="6"/>
      <c r="R584" s="6"/>
      <c r="S584" s="6"/>
      <c r="T584" s="6"/>
      <c r="U584" s="6"/>
      <c r="V584" s="6"/>
      <c r="W584" s="7"/>
      <c r="X584" s="7"/>
      <c r="Y584" s="7"/>
      <c r="Z584" s="7"/>
    </row>
    <row r="585">
      <c r="A585" s="6"/>
      <c r="B585" s="6"/>
      <c r="C585" s="6"/>
      <c r="D585" s="6"/>
      <c r="E585" s="6"/>
      <c r="F585" s="6"/>
      <c r="G585" s="6"/>
      <c r="H585" s="6"/>
      <c r="I585" s="6"/>
      <c r="J585" s="6"/>
      <c r="K585" s="6"/>
      <c r="L585" s="80"/>
      <c r="M585" s="80"/>
      <c r="N585" s="80"/>
      <c r="O585" s="80"/>
      <c r="P585" s="6"/>
      <c r="Q585" s="6"/>
      <c r="R585" s="6"/>
      <c r="S585" s="6"/>
      <c r="T585" s="6"/>
      <c r="U585" s="6"/>
      <c r="V585" s="6"/>
      <c r="W585" s="7"/>
      <c r="X585" s="7"/>
      <c r="Y585" s="7"/>
      <c r="Z585" s="7"/>
    </row>
    <row r="586">
      <c r="A586" s="6"/>
      <c r="B586" s="6"/>
      <c r="C586" s="6"/>
      <c r="D586" s="6"/>
      <c r="E586" s="6"/>
      <c r="F586" s="6"/>
      <c r="G586" s="6"/>
      <c r="H586" s="6"/>
      <c r="I586" s="6"/>
      <c r="J586" s="6"/>
      <c r="K586" s="6"/>
      <c r="L586" s="80"/>
      <c r="M586" s="80"/>
      <c r="N586" s="80"/>
      <c r="O586" s="80"/>
      <c r="P586" s="6"/>
      <c r="Q586" s="6"/>
      <c r="R586" s="6"/>
      <c r="S586" s="6"/>
      <c r="T586" s="6"/>
      <c r="U586" s="6"/>
      <c r="V586" s="6"/>
      <c r="W586" s="7"/>
      <c r="X586" s="7"/>
      <c r="Y586" s="7"/>
      <c r="Z586" s="7"/>
    </row>
    <row r="587">
      <c r="A587" s="6"/>
      <c r="B587" s="6"/>
      <c r="C587" s="6"/>
      <c r="D587" s="6"/>
      <c r="E587" s="6"/>
      <c r="F587" s="6"/>
      <c r="G587" s="6"/>
      <c r="H587" s="6"/>
      <c r="I587" s="6"/>
      <c r="J587" s="6"/>
      <c r="K587" s="6"/>
      <c r="L587" s="80"/>
      <c r="M587" s="80"/>
      <c r="N587" s="80"/>
      <c r="O587" s="80"/>
      <c r="P587" s="6"/>
      <c r="Q587" s="6"/>
      <c r="R587" s="6"/>
      <c r="S587" s="6"/>
      <c r="T587" s="6"/>
      <c r="U587" s="6"/>
      <c r="V587" s="6"/>
      <c r="W587" s="7"/>
      <c r="X587" s="7"/>
      <c r="Y587" s="7"/>
      <c r="Z587" s="7"/>
    </row>
    <row r="588">
      <c r="A588" s="6"/>
      <c r="B588" s="6"/>
      <c r="C588" s="6"/>
      <c r="D588" s="6"/>
      <c r="E588" s="6"/>
      <c r="F588" s="6"/>
      <c r="G588" s="6"/>
      <c r="H588" s="6"/>
      <c r="I588" s="6"/>
      <c r="J588" s="6"/>
      <c r="K588" s="6"/>
      <c r="L588" s="80"/>
      <c r="M588" s="80"/>
      <c r="N588" s="80"/>
      <c r="O588" s="80"/>
      <c r="P588" s="6"/>
      <c r="Q588" s="6"/>
      <c r="R588" s="6"/>
      <c r="S588" s="6"/>
      <c r="T588" s="6"/>
      <c r="U588" s="6"/>
      <c r="V588" s="6"/>
      <c r="W588" s="7"/>
      <c r="X588" s="7"/>
      <c r="Y588" s="7"/>
      <c r="Z588" s="7"/>
    </row>
    <row r="589">
      <c r="A589" s="6"/>
      <c r="B589" s="6"/>
      <c r="C589" s="6"/>
      <c r="D589" s="6"/>
      <c r="E589" s="6"/>
      <c r="F589" s="6"/>
      <c r="G589" s="6"/>
      <c r="H589" s="6"/>
      <c r="I589" s="6"/>
      <c r="J589" s="6"/>
      <c r="K589" s="6"/>
      <c r="L589" s="80"/>
      <c r="M589" s="80"/>
      <c r="N589" s="80"/>
      <c r="O589" s="80"/>
      <c r="P589" s="6"/>
      <c r="Q589" s="6"/>
      <c r="R589" s="6"/>
      <c r="S589" s="6"/>
      <c r="T589" s="6"/>
      <c r="U589" s="6"/>
      <c r="V589" s="6"/>
      <c r="W589" s="7"/>
      <c r="X589" s="7"/>
      <c r="Y589" s="7"/>
      <c r="Z589" s="7"/>
    </row>
    <row r="590">
      <c r="A590" s="6"/>
      <c r="B590" s="6"/>
      <c r="C590" s="6"/>
      <c r="D590" s="6"/>
      <c r="E590" s="6"/>
      <c r="F590" s="6"/>
      <c r="G590" s="6"/>
      <c r="H590" s="6"/>
      <c r="I590" s="6"/>
      <c r="J590" s="6"/>
      <c r="K590" s="6"/>
      <c r="L590" s="80"/>
      <c r="M590" s="80"/>
      <c r="N590" s="80"/>
      <c r="O590" s="80"/>
      <c r="P590" s="6"/>
      <c r="Q590" s="6"/>
      <c r="R590" s="6"/>
      <c r="S590" s="6"/>
      <c r="T590" s="6"/>
      <c r="U590" s="6"/>
      <c r="V590" s="6"/>
      <c r="W590" s="7"/>
      <c r="X590" s="7"/>
      <c r="Y590" s="7"/>
      <c r="Z590" s="7"/>
    </row>
    <row r="591">
      <c r="A591" s="6"/>
      <c r="B591" s="6"/>
      <c r="C591" s="6"/>
      <c r="D591" s="6"/>
      <c r="E591" s="6"/>
      <c r="F591" s="6"/>
      <c r="G591" s="6"/>
      <c r="H591" s="6"/>
      <c r="I591" s="6"/>
      <c r="J591" s="6"/>
      <c r="K591" s="6"/>
      <c r="L591" s="80"/>
      <c r="M591" s="80"/>
      <c r="N591" s="80"/>
      <c r="O591" s="80"/>
      <c r="P591" s="6"/>
      <c r="Q591" s="6"/>
      <c r="R591" s="6"/>
      <c r="S591" s="6"/>
      <c r="T591" s="6"/>
      <c r="U591" s="6"/>
      <c r="V591" s="6"/>
      <c r="W591" s="7"/>
      <c r="X591" s="7"/>
      <c r="Y591" s="7"/>
      <c r="Z591" s="7"/>
    </row>
    <row r="592">
      <c r="A592" s="6"/>
      <c r="B592" s="6"/>
      <c r="C592" s="6"/>
      <c r="D592" s="6"/>
      <c r="E592" s="6"/>
      <c r="F592" s="6"/>
      <c r="G592" s="6"/>
      <c r="H592" s="6"/>
      <c r="I592" s="6"/>
      <c r="J592" s="6"/>
      <c r="K592" s="6"/>
      <c r="L592" s="80"/>
      <c r="M592" s="80"/>
      <c r="N592" s="80"/>
      <c r="O592" s="80"/>
      <c r="P592" s="6"/>
      <c r="Q592" s="6"/>
      <c r="R592" s="6"/>
      <c r="S592" s="6"/>
      <c r="T592" s="6"/>
      <c r="U592" s="6"/>
      <c r="V592" s="6"/>
      <c r="W592" s="7"/>
      <c r="X592" s="7"/>
      <c r="Y592" s="7"/>
      <c r="Z592" s="7"/>
    </row>
    <row r="593">
      <c r="A593" s="6"/>
      <c r="B593" s="6"/>
      <c r="C593" s="6"/>
      <c r="D593" s="6"/>
      <c r="E593" s="6"/>
      <c r="F593" s="6"/>
      <c r="G593" s="6"/>
      <c r="H593" s="6"/>
      <c r="I593" s="6"/>
      <c r="J593" s="6"/>
      <c r="K593" s="6"/>
      <c r="L593" s="80"/>
      <c r="M593" s="80"/>
      <c r="N593" s="80"/>
      <c r="O593" s="80"/>
      <c r="P593" s="6"/>
      <c r="Q593" s="6"/>
      <c r="R593" s="6"/>
      <c r="S593" s="6"/>
      <c r="T593" s="6"/>
      <c r="U593" s="6"/>
      <c r="V593" s="6"/>
      <c r="W593" s="7"/>
      <c r="X593" s="7"/>
      <c r="Y593" s="7"/>
      <c r="Z593" s="7"/>
    </row>
    <row r="594">
      <c r="A594" s="6"/>
      <c r="B594" s="6"/>
      <c r="C594" s="6"/>
      <c r="D594" s="6"/>
      <c r="E594" s="6"/>
      <c r="F594" s="6"/>
      <c r="G594" s="6"/>
      <c r="H594" s="6"/>
      <c r="I594" s="6"/>
      <c r="J594" s="6"/>
      <c r="K594" s="6"/>
      <c r="L594" s="80"/>
      <c r="M594" s="80"/>
      <c r="N594" s="80"/>
      <c r="O594" s="80"/>
      <c r="P594" s="6"/>
      <c r="Q594" s="6"/>
      <c r="R594" s="6"/>
      <c r="S594" s="6"/>
      <c r="T594" s="6"/>
      <c r="U594" s="6"/>
      <c r="V594" s="6"/>
      <c r="W594" s="7"/>
      <c r="X594" s="7"/>
      <c r="Y594" s="7"/>
      <c r="Z594" s="7"/>
    </row>
    <row r="595">
      <c r="A595" s="6"/>
      <c r="B595" s="6"/>
      <c r="C595" s="6"/>
      <c r="D595" s="6"/>
      <c r="E595" s="6"/>
      <c r="F595" s="6"/>
      <c r="G595" s="6"/>
      <c r="H595" s="6"/>
      <c r="I595" s="6"/>
      <c r="J595" s="6"/>
      <c r="K595" s="6"/>
      <c r="L595" s="80"/>
      <c r="M595" s="80"/>
      <c r="N595" s="80"/>
      <c r="O595" s="80"/>
      <c r="P595" s="6"/>
      <c r="Q595" s="6"/>
      <c r="R595" s="6"/>
      <c r="S595" s="6"/>
      <c r="T595" s="6"/>
      <c r="U595" s="6"/>
      <c r="V595" s="6"/>
      <c r="W595" s="7"/>
      <c r="X595" s="7"/>
      <c r="Y595" s="7"/>
      <c r="Z595" s="7"/>
    </row>
    <row r="596">
      <c r="A596" s="6"/>
      <c r="B596" s="6"/>
      <c r="C596" s="6"/>
      <c r="D596" s="6"/>
      <c r="E596" s="6"/>
      <c r="F596" s="6"/>
      <c r="G596" s="6"/>
      <c r="H596" s="6"/>
      <c r="I596" s="6"/>
      <c r="J596" s="6"/>
      <c r="K596" s="6"/>
      <c r="L596" s="80"/>
      <c r="M596" s="80"/>
      <c r="N596" s="80"/>
      <c r="O596" s="80"/>
      <c r="P596" s="6"/>
      <c r="Q596" s="6"/>
      <c r="R596" s="6"/>
      <c r="S596" s="6"/>
      <c r="T596" s="6"/>
      <c r="U596" s="6"/>
      <c r="V596" s="6"/>
      <c r="W596" s="7"/>
      <c r="X596" s="7"/>
      <c r="Y596" s="7"/>
      <c r="Z596" s="7"/>
    </row>
    <row r="597">
      <c r="A597" s="6"/>
      <c r="B597" s="6"/>
      <c r="C597" s="6"/>
      <c r="D597" s="6"/>
      <c r="E597" s="6"/>
      <c r="F597" s="6"/>
      <c r="G597" s="6"/>
      <c r="H597" s="6"/>
      <c r="I597" s="6"/>
      <c r="J597" s="6"/>
      <c r="K597" s="6"/>
      <c r="L597" s="80"/>
      <c r="M597" s="80"/>
      <c r="N597" s="80"/>
      <c r="O597" s="80"/>
      <c r="P597" s="6"/>
      <c r="Q597" s="6"/>
      <c r="R597" s="6"/>
      <c r="S597" s="6"/>
      <c r="T597" s="6"/>
      <c r="U597" s="6"/>
      <c r="V597" s="6"/>
      <c r="W597" s="7"/>
      <c r="X597" s="7"/>
      <c r="Y597" s="7"/>
      <c r="Z597" s="7"/>
    </row>
    <row r="598">
      <c r="A598" s="6"/>
      <c r="B598" s="6"/>
      <c r="C598" s="6"/>
      <c r="D598" s="6"/>
      <c r="E598" s="6"/>
      <c r="F598" s="6"/>
      <c r="G598" s="6"/>
      <c r="H598" s="6"/>
      <c r="I598" s="6"/>
      <c r="J598" s="6"/>
      <c r="K598" s="6"/>
      <c r="L598" s="80"/>
      <c r="M598" s="80"/>
      <c r="N598" s="80"/>
      <c r="O598" s="80"/>
      <c r="P598" s="6"/>
      <c r="Q598" s="6"/>
      <c r="R598" s="6"/>
      <c r="S598" s="6"/>
      <c r="T598" s="6"/>
      <c r="U598" s="6"/>
      <c r="V598" s="6"/>
      <c r="W598" s="7"/>
      <c r="X598" s="7"/>
      <c r="Y598" s="7"/>
      <c r="Z598" s="7"/>
    </row>
    <row r="599">
      <c r="A599" s="6"/>
      <c r="B599" s="6"/>
      <c r="C599" s="6"/>
      <c r="D599" s="6"/>
      <c r="E599" s="6"/>
      <c r="F599" s="6"/>
      <c r="G599" s="6"/>
      <c r="H599" s="6"/>
      <c r="I599" s="6"/>
      <c r="J599" s="6"/>
      <c r="K599" s="6"/>
      <c r="L599" s="80"/>
      <c r="M599" s="80"/>
      <c r="N599" s="80"/>
      <c r="O599" s="80"/>
      <c r="P599" s="6"/>
      <c r="Q599" s="6"/>
      <c r="R599" s="6"/>
      <c r="S599" s="6"/>
      <c r="T599" s="6"/>
      <c r="U599" s="6"/>
      <c r="V599" s="6"/>
      <c r="W599" s="7"/>
      <c r="X599" s="7"/>
      <c r="Y599" s="7"/>
      <c r="Z599" s="7"/>
    </row>
    <row r="600">
      <c r="A600" s="6"/>
      <c r="B600" s="6"/>
      <c r="C600" s="6"/>
      <c r="D600" s="6"/>
      <c r="E600" s="6"/>
      <c r="F600" s="6"/>
      <c r="G600" s="6"/>
      <c r="H600" s="6"/>
      <c r="I600" s="6"/>
      <c r="J600" s="6"/>
      <c r="K600" s="6"/>
      <c r="L600" s="80"/>
      <c r="M600" s="80"/>
      <c r="N600" s="80"/>
      <c r="O600" s="80"/>
      <c r="P600" s="6"/>
      <c r="Q600" s="6"/>
      <c r="R600" s="6"/>
      <c r="S600" s="6"/>
      <c r="T600" s="6"/>
      <c r="U600" s="6"/>
      <c r="V600" s="6"/>
      <c r="W600" s="7"/>
      <c r="X600" s="7"/>
      <c r="Y600" s="7"/>
      <c r="Z600" s="7"/>
    </row>
    <row r="601">
      <c r="A601" s="6"/>
      <c r="B601" s="6"/>
      <c r="C601" s="6"/>
      <c r="D601" s="6"/>
      <c r="E601" s="6"/>
      <c r="F601" s="6"/>
      <c r="G601" s="6"/>
      <c r="H601" s="6"/>
      <c r="I601" s="6"/>
      <c r="J601" s="6"/>
      <c r="K601" s="6"/>
      <c r="L601" s="80"/>
      <c r="M601" s="80"/>
      <c r="N601" s="80"/>
      <c r="O601" s="80"/>
      <c r="P601" s="6"/>
      <c r="Q601" s="6"/>
      <c r="R601" s="6"/>
      <c r="S601" s="6"/>
      <c r="T601" s="6"/>
      <c r="U601" s="6"/>
      <c r="V601" s="6"/>
      <c r="W601" s="7"/>
      <c r="X601" s="7"/>
      <c r="Y601" s="7"/>
      <c r="Z601" s="7"/>
    </row>
    <row r="602">
      <c r="A602" s="6"/>
      <c r="B602" s="6"/>
      <c r="C602" s="6"/>
      <c r="D602" s="6"/>
      <c r="E602" s="6"/>
      <c r="F602" s="6"/>
      <c r="G602" s="6"/>
      <c r="H602" s="6"/>
      <c r="I602" s="6"/>
      <c r="J602" s="6"/>
      <c r="K602" s="6"/>
      <c r="L602" s="80"/>
      <c r="M602" s="80"/>
      <c r="N602" s="80"/>
      <c r="O602" s="80"/>
      <c r="P602" s="6"/>
      <c r="Q602" s="6"/>
      <c r="R602" s="6"/>
      <c r="S602" s="6"/>
      <c r="T602" s="6"/>
      <c r="U602" s="6"/>
      <c r="V602" s="6"/>
      <c r="W602" s="7"/>
      <c r="X602" s="7"/>
      <c r="Y602" s="7"/>
      <c r="Z602" s="7"/>
    </row>
    <row r="603">
      <c r="A603" s="6"/>
      <c r="B603" s="6"/>
      <c r="C603" s="6"/>
      <c r="D603" s="6"/>
      <c r="E603" s="6"/>
      <c r="F603" s="6"/>
      <c r="G603" s="6"/>
      <c r="H603" s="6"/>
      <c r="I603" s="6"/>
      <c r="J603" s="6"/>
      <c r="K603" s="6"/>
      <c r="L603" s="80"/>
      <c r="M603" s="80"/>
      <c r="N603" s="80"/>
      <c r="O603" s="80"/>
      <c r="P603" s="6"/>
      <c r="Q603" s="6"/>
      <c r="R603" s="6"/>
      <c r="S603" s="6"/>
      <c r="T603" s="6"/>
      <c r="U603" s="6"/>
      <c r="V603" s="6"/>
      <c r="W603" s="7"/>
      <c r="X603" s="7"/>
      <c r="Y603" s="7"/>
      <c r="Z603" s="7"/>
    </row>
    <row r="604">
      <c r="A604" s="6"/>
      <c r="B604" s="6"/>
      <c r="C604" s="6"/>
      <c r="D604" s="6"/>
      <c r="E604" s="6"/>
      <c r="F604" s="6"/>
      <c r="G604" s="6"/>
      <c r="H604" s="6"/>
      <c r="I604" s="6"/>
      <c r="J604" s="6"/>
      <c r="K604" s="6"/>
      <c r="L604" s="80"/>
      <c r="M604" s="80"/>
      <c r="N604" s="80"/>
      <c r="O604" s="80"/>
      <c r="P604" s="6"/>
      <c r="Q604" s="6"/>
      <c r="R604" s="6"/>
      <c r="S604" s="6"/>
      <c r="T604" s="6"/>
      <c r="U604" s="6"/>
      <c r="V604" s="6"/>
      <c r="W604" s="7"/>
      <c r="X604" s="7"/>
      <c r="Y604" s="7"/>
      <c r="Z604" s="7"/>
    </row>
    <row r="605">
      <c r="A605" s="6"/>
      <c r="B605" s="6"/>
      <c r="C605" s="6"/>
      <c r="D605" s="6"/>
      <c r="E605" s="6"/>
      <c r="F605" s="6"/>
      <c r="G605" s="6"/>
      <c r="H605" s="6"/>
      <c r="I605" s="6"/>
      <c r="J605" s="6"/>
      <c r="K605" s="6"/>
      <c r="L605" s="80"/>
      <c r="M605" s="80"/>
      <c r="N605" s="80"/>
      <c r="O605" s="80"/>
      <c r="P605" s="6"/>
      <c r="Q605" s="6"/>
      <c r="R605" s="6"/>
      <c r="S605" s="6"/>
      <c r="T605" s="6"/>
      <c r="U605" s="6"/>
      <c r="V605" s="6"/>
      <c r="W605" s="7"/>
      <c r="X605" s="7"/>
      <c r="Y605" s="7"/>
      <c r="Z605" s="7"/>
    </row>
    <row r="606">
      <c r="A606" s="6"/>
      <c r="B606" s="6"/>
      <c r="C606" s="6"/>
      <c r="D606" s="6"/>
      <c r="E606" s="6"/>
      <c r="F606" s="6"/>
      <c r="G606" s="6"/>
      <c r="H606" s="6"/>
      <c r="I606" s="6"/>
      <c r="J606" s="6"/>
      <c r="K606" s="6"/>
      <c r="L606" s="80"/>
      <c r="M606" s="80"/>
      <c r="N606" s="80"/>
      <c r="O606" s="80"/>
      <c r="P606" s="6"/>
      <c r="Q606" s="6"/>
      <c r="R606" s="6"/>
      <c r="S606" s="6"/>
      <c r="T606" s="6"/>
      <c r="U606" s="6"/>
      <c r="V606" s="6"/>
      <c r="W606" s="7"/>
      <c r="X606" s="7"/>
      <c r="Y606" s="7"/>
      <c r="Z606" s="7"/>
    </row>
    <row r="607">
      <c r="A607" s="6"/>
      <c r="B607" s="6"/>
      <c r="C607" s="6"/>
      <c r="D607" s="6"/>
      <c r="E607" s="6"/>
      <c r="F607" s="6"/>
      <c r="G607" s="6"/>
      <c r="H607" s="6"/>
      <c r="I607" s="6"/>
      <c r="J607" s="6"/>
      <c r="K607" s="6"/>
      <c r="L607" s="80"/>
      <c r="M607" s="80"/>
      <c r="N607" s="80"/>
      <c r="O607" s="80"/>
      <c r="P607" s="6"/>
      <c r="Q607" s="6"/>
      <c r="R607" s="6"/>
      <c r="S607" s="6"/>
      <c r="T607" s="6"/>
      <c r="U607" s="6"/>
      <c r="V607" s="6"/>
      <c r="W607" s="7"/>
      <c r="X607" s="7"/>
      <c r="Y607" s="7"/>
      <c r="Z607" s="7"/>
    </row>
    <row r="608">
      <c r="A608" s="6"/>
      <c r="B608" s="6"/>
      <c r="C608" s="6"/>
      <c r="D608" s="6"/>
      <c r="E608" s="6"/>
      <c r="F608" s="6"/>
      <c r="G608" s="6"/>
      <c r="H608" s="6"/>
      <c r="I608" s="6"/>
      <c r="J608" s="6"/>
      <c r="K608" s="6"/>
      <c r="L608" s="80"/>
      <c r="M608" s="80"/>
      <c r="N608" s="80"/>
      <c r="O608" s="80"/>
      <c r="P608" s="6"/>
      <c r="Q608" s="6"/>
      <c r="R608" s="6"/>
      <c r="S608" s="6"/>
      <c r="T608" s="6"/>
      <c r="U608" s="6"/>
      <c r="V608" s="6"/>
      <c r="W608" s="7"/>
      <c r="X608" s="7"/>
      <c r="Y608" s="7"/>
      <c r="Z608" s="7"/>
    </row>
    <row r="609">
      <c r="A609" s="6"/>
      <c r="B609" s="6"/>
      <c r="C609" s="6"/>
      <c r="D609" s="6"/>
      <c r="E609" s="6"/>
      <c r="F609" s="6"/>
      <c r="G609" s="6"/>
      <c r="H609" s="6"/>
      <c r="I609" s="6"/>
      <c r="J609" s="6"/>
      <c r="K609" s="6"/>
      <c r="L609" s="80"/>
      <c r="M609" s="80"/>
      <c r="N609" s="80"/>
      <c r="O609" s="80"/>
      <c r="P609" s="6"/>
      <c r="Q609" s="6"/>
      <c r="R609" s="6"/>
      <c r="S609" s="6"/>
      <c r="T609" s="6"/>
      <c r="U609" s="6"/>
      <c r="V609" s="6"/>
      <c r="W609" s="7"/>
      <c r="X609" s="7"/>
      <c r="Y609" s="7"/>
      <c r="Z609" s="7"/>
    </row>
    <row r="610">
      <c r="A610" s="6"/>
      <c r="B610" s="6"/>
      <c r="C610" s="6"/>
      <c r="D610" s="6"/>
      <c r="E610" s="6"/>
      <c r="F610" s="6"/>
      <c r="G610" s="6"/>
      <c r="H610" s="6"/>
      <c r="I610" s="6"/>
      <c r="J610" s="6"/>
      <c r="K610" s="6"/>
      <c r="L610" s="80"/>
      <c r="M610" s="80"/>
      <c r="N610" s="80"/>
      <c r="O610" s="80"/>
      <c r="P610" s="6"/>
      <c r="Q610" s="6"/>
      <c r="R610" s="6"/>
      <c r="S610" s="6"/>
      <c r="T610" s="6"/>
      <c r="U610" s="6"/>
      <c r="V610" s="6"/>
      <c r="W610" s="7"/>
      <c r="X610" s="7"/>
      <c r="Y610" s="7"/>
      <c r="Z610" s="7"/>
    </row>
    <row r="611">
      <c r="A611" s="6"/>
      <c r="B611" s="6"/>
      <c r="C611" s="6"/>
      <c r="D611" s="6"/>
      <c r="E611" s="6"/>
      <c r="F611" s="6"/>
      <c r="G611" s="6"/>
      <c r="H611" s="6"/>
      <c r="I611" s="6"/>
      <c r="J611" s="6"/>
      <c r="K611" s="6"/>
      <c r="L611" s="80"/>
      <c r="M611" s="80"/>
      <c r="N611" s="80"/>
      <c r="O611" s="80"/>
      <c r="P611" s="6"/>
      <c r="Q611" s="6"/>
      <c r="R611" s="6"/>
      <c r="S611" s="6"/>
      <c r="T611" s="6"/>
      <c r="U611" s="6"/>
      <c r="V611" s="6"/>
      <c r="W611" s="7"/>
      <c r="X611" s="7"/>
      <c r="Y611" s="7"/>
      <c r="Z611" s="7"/>
    </row>
    <row r="612">
      <c r="A612" s="6"/>
      <c r="B612" s="6"/>
      <c r="C612" s="6"/>
      <c r="D612" s="6"/>
      <c r="E612" s="6"/>
      <c r="F612" s="6"/>
      <c r="G612" s="6"/>
      <c r="H612" s="6"/>
      <c r="I612" s="6"/>
      <c r="J612" s="6"/>
      <c r="K612" s="6"/>
      <c r="L612" s="80"/>
      <c r="M612" s="80"/>
      <c r="N612" s="80"/>
      <c r="O612" s="80"/>
      <c r="P612" s="6"/>
      <c r="Q612" s="6"/>
      <c r="R612" s="6"/>
      <c r="S612" s="6"/>
      <c r="T612" s="6"/>
      <c r="U612" s="6"/>
      <c r="V612" s="6"/>
      <c r="W612" s="7"/>
      <c r="X612" s="7"/>
      <c r="Y612" s="7"/>
      <c r="Z612" s="7"/>
    </row>
    <row r="613">
      <c r="A613" s="6"/>
      <c r="B613" s="6"/>
      <c r="C613" s="6"/>
      <c r="D613" s="6"/>
      <c r="E613" s="6"/>
      <c r="F613" s="6"/>
      <c r="G613" s="6"/>
      <c r="H613" s="6"/>
      <c r="I613" s="6"/>
      <c r="J613" s="6"/>
      <c r="K613" s="6"/>
      <c r="L613" s="80"/>
      <c r="M613" s="80"/>
      <c r="N613" s="80"/>
      <c r="O613" s="80"/>
      <c r="P613" s="6"/>
      <c r="Q613" s="6"/>
      <c r="R613" s="6"/>
      <c r="S613" s="6"/>
      <c r="T613" s="6"/>
      <c r="U613" s="6"/>
      <c r="V613" s="6"/>
      <c r="W613" s="7"/>
      <c r="X613" s="7"/>
      <c r="Y613" s="7"/>
      <c r="Z613" s="7"/>
    </row>
    <row r="614">
      <c r="A614" s="6"/>
      <c r="B614" s="6"/>
      <c r="C614" s="6"/>
      <c r="D614" s="6"/>
      <c r="E614" s="6"/>
      <c r="F614" s="6"/>
      <c r="G614" s="6"/>
      <c r="H614" s="6"/>
      <c r="I614" s="6"/>
      <c r="J614" s="6"/>
      <c r="K614" s="6"/>
      <c r="L614" s="80"/>
      <c r="M614" s="80"/>
      <c r="N614" s="80"/>
      <c r="O614" s="80"/>
      <c r="P614" s="6"/>
      <c r="Q614" s="6"/>
      <c r="R614" s="6"/>
      <c r="S614" s="6"/>
      <c r="T614" s="6"/>
      <c r="U614" s="6"/>
      <c r="V614" s="6"/>
      <c r="W614" s="7"/>
      <c r="X614" s="7"/>
      <c r="Y614" s="7"/>
      <c r="Z614" s="7"/>
    </row>
    <row r="615">
      <c r="A615" s="6"/>
      <c r="B615" s="6"/>
      <c r="C615" s="6"/>
      <c r="D615" s="6"/>
      <c r="E615" s="6"/>
      <c r="F615" s="6"/>
      <c r="G615" s="6"/>
      <c r="H615" s="6"/>
      <c r="I615" s="6"/>
      <c r="J615" s="6"/>
      <c r="K615" s="6"/>
      <c r="L615" s="80"/>
      <c r="M615" s="80"/>
      <c r="N615" s="80"/>
      <c r="O615" s="80"/>
      <c r="P615" s="6"/>
      <c r="Q615" s="6"/>
      <c r="R615" s="6"/>
      <c r="S615" s="6"/>
      <c r="T615" s="6"/>
      <c r="U615" s="6"/>
      <c r="V615" s="6"/>
      <c r="W615" s="7"/>
      <c r="X615" s="7"/>
      <c r="Y615" s="7"/>
      <c r="Z615" s="7"/>
    </row>
    <row r="616">
      <c r="A616" s="6"/>
      <c r="B616" s="6"/>
      <c r="C616" s="6"/>
      <c r="D616" s="6"/>
      <c r="E616" s="6"/>
      <c r="F616" s="6"/>
      <c r="G616" s="6"/>
      <c r="H616" s="6"/>
      <c r="I616" s="6"/>
      <c r="J616" s="6"/>
      <c r="K616" s="6"/>
      <c r="L616" s="80"/>
      <c r="M616" s="80"/>
      <c r="N616" s="80"/>
      <c r="O616" s="80"/>
      <c r="P616" s="6"/>
      <c r="Q616" s="6"/>
      <c r="R616" s="6"/>
      <c r="S616" s="6"/>
      <c r="T616" s="6"/>
      <c r="U616" s="6"/>
      <c r="V616" s="6"/>
      <c r="W616" s="7"/>
      <c r="X616" s="7"/>
      <c r="Y616" s="7"/>
      <c r="Z616" s="7"/>
    </row>
    <row r="617">
      <c r="A617" s="6"/>
      <c r="B617" s="6"/>
      <c r="C617" s="6"/>
      <c r="D617" s="6"/>
      <c r="E617" s="6"/>
      <c r="F617" s="6"/>
      <c r="G617" s="6"/>
      <c r="H617" s="6"/>
      <c r="I617" s="6"/>
      <c r="J617" s="6"/>
      <c r="K617" s="6"/>
      <c r="L617" s="80"/>
      <c r="M617" s="80"/>
      <c r="N617" s="80"/>
      <c r="O617" s="80"/>
      <c r="P617" s="6"/>
      <c r="Q617" s="6"/>
      <c r="R617" s="6"/>
      <c r="S617" s="6"/>
      <c r="T617" s="6"/>
      <c r="U617" s="6"/>
      <c r="V617" s="6"/>
      <c r="W617" s="7"/>
      <c r="X617" s="7"/>
      <c r="Y617" s="7"/>
      <c r="Z617" s="7"/>
    </row>
    <row r="618">
      <c r="A618" s="6"/>
      <c r="B618" s="6"/>
      <c r="C618" s="6"/>
      <c r="D618" s="6"/>
      <c r="E618" s="6"/>
      <c r="F618" s="6"/>
      <c r="G618" s="6"/>
      <c r="H618" s="6"/>
      <c r="I618" s="6"/>
      <c r="J618" s="6"/>
      <c r="K618" s="6"/>
      <c r="L618" s="80"/>
      <c r="M618" s="80"/>
      <c r="N618" s="80"/>
      <c r="O618" s="80"/>
      <c r="P618" s="6"/>
      <c r="Q618" s="6"/>
      <c r="R618" s="6"/>
      <c r="S618" s="6"/>
      <c r="T618" s="6"/>
      <c r="U618" s="6"/>
      <c r="V618" s="6"/>
      <c r="W618" s="7"/>
      <c r="X618" s="7"/>
      <c r="Y618" s="7"/>
      <c r="Z618" s="7"/>
    </row>
    <row r="619">
      <c r="A619" s="6"/>
      <c r="B619" s="6"/>
      <c r="C619" s="6"/>
      <c r="D619" s="6"/>
      <c r="E619" s="6"/>
      <c r="F619" s="6"/>
      <c r="G619" s="6"/>
      <c r="H619" s="6"/>
      <c r="I619" s="6"/>
      <c r="J619" s="6"/>
      <c r="K619" s="6"/>
      <c r="L619" s="80"/>
      <c r="M619" s="80"/>
      <c r="N619" s="80"/>
      <c r="O619" s="80"/>
      <c r="P619" s="6"/>
      <c r="Q619" s="6"/>
      <c r="R619" s="6"/>
      <c r="S619" s="6"/>
      <c r="T619" s="6"/>
      <c r="U619" s="6"/>
      <c r="V619" s="6"/>
      <c r="W619" s="7"/>
      <c r="X619" s="7"/>
      <c r="Y619" s="7"/>
      <c r="Z619" s="7"/>
    </row>
    <row r="620">
      <c r="A620" s="6"/>
      <c r="B620" s="6"/>
      <c r="C620" s="6"/>
      <c r="D620" s="6"/>
      <c r="E620" s="6"/>
      <c r="F620" s="6"/>
      <c r="G620" s="6"/>
      <c r="H620" s="6"/>
      <c r="I620" s="6"/>
      <c r="J620" s="6"/>
      <c r="K620" s="6"/>
      <c r="L620" s="80"/>
      <c r="M620" s="80"/>
      <c r="N620" s="80"/>
      <c r="O620" s="80"/>
      <c r="P620" s="6"/>
      <c r="Q620" s="6"/>
      <c r="R620" s="6"/>
      <c r="S620" s="6"/>
      <c r="T620" s="6"/>
      <c r="U620" s="6"/>
      <c r="V620" s="6"/>
      <c r="W620" s="7"/>
      <c r="X620" s="7"/>
      <c r="Y620" s="7"/>
      <c r="Z620" s="7"/>
    </row>
    <row r="621">
      <c r="A621" s="6"/>
      <c r="B621" s="6"/>
      <c r="C621" s="6"/>
      <c r="D621" s="6"/>
      <c r="E621" s="6"/>
      <c r="F621" s="6"/>
      <c r="G621" s="6"/>
      <c r="H621" s="6"/>
      <c r="I621" s="6"/>
      <c r="J621" s="6"/>
      <c r="K621" s="6"/>
      <c r="L621" s="80"/>
      <c r="M621" s="80"/>
      <c r="N621" s="80"/>
      <c r="O621" s="80"/>
      <c r="P621" s="6"/>
      <c r="Q621" s="6"/>
      <c r="R621" s="6"/>
      <c r="S621" s="6"/>
      <c r="T621" s="6"/>
      <c r="U621" s="6"/>
      <c r="V621" s="6"/>
      <c r="W621" s="7"/>
      <c r="X621" s="7"/>
      <c r="Y621" s="7"/>
      <c r="Z621" s="7"/>
    </row>
    <row r="622">
      <c r="A622" s="6"/>
      <c r="B622" s="6"/>
      <c r="C622" s="6"/>
      <c r="D622" s="6"/>
      <c r="E622" s="6"/>
      <c r="F622" s="6"/>
      <c r="G622" s="6"/>
      <c r="H622" s="6"/>
      <c r="I622" s="6"/>
      <c r="J622" s="6"/>
      <c r="K622" s="6"/>
      <c r="L622" s="80"/>
      <c r="M622" s="80"/>
      <c r="N622" s="80"/>
      <c r="O622" s="80"/>
      <c r="P622" s="6"/>
      <c r="Q622" s="6"/>
      <c r="R622" s="6"/>
      <c r="S622" s="6"/>
      <c r="T622" s="6"/>
      <c r="U622" s="6"/>
      <c r="V622" s="6"/>
      <c r="W622" s="7"/>
      <c r="X622" s="7"/>
      <c r="Y622" s="7"/>
      <c r="Z622" s="7"/>
    </row>
    <row r="623">
      <c r="A623" s="6"/>
      <c r="B623" s="6"/>
      <c r="C623" s="6"/>
      <c r="D623" s="6"/>
      <c r="E623" s="6"/>
      <c r="F623" s="6"/>
      <c r="G623" s="6"/>
      <c r="H623" s="6"/>
      <c r="I623" s="6"/>
      <c r="J623" s="6"/>
      <c r="K623" s="6"/>
      <c r="L623" s="80"/>
      <c r="M623" s="80"/>
      <c r="N623" s="80"/>
      <c r="O623" s="80"/>
      <c r="P623" s="6"/>
      <c r="Q623" s="6"/>
      <c r="R623" s="6"/>
      <c r="S623" s="6"/>
      <c r="T623" s="6"/>
      <c r="U623" s="6"/>
      <c r="V623" s="6"/>
      <c r="W623" s="7"/>
      <c r="X623" s="7"/>
      <c r="Y623" s="7"/>
      <c r="Z623" s="7"/>
    </row>
    <row r="624">
      <c r="A624" s="6"/>
      <c r="B624" s="6"/>
      <c r="C624" s="6"/>
      <c r="D624" s="6"/>
      <c r="E624" s="6"/>
      <c r="F624" s="6"/>
      <c r="G624" s="6"/>
      <c r="H624" s="6"/>
      <c r="I624" s="6"/>
      <c r="J624" s="6"/>
      <c r="K624" s="6"/>
      <c r="L624" s="80"/>
      <c r="M624" s="80"/>
      <c r="N624" s="80"/>
      <c r="O624" s="80"/>
      <c r="P624" s="6"/>
      <c r="Q624" s="6"/>
      <c r="R624" s="6"/>
      <c r="S624" s="6"/>
      <c r="T624" s="6"/>
      <c r="U624" s="6"/>
      <c r="V624" s="6"/>
      <c r="W624" s="7"/>
      <c r="X624" s="7"/>
      <c r="Y624" s="7"/>
      <c r="Z624" s="7"/>
    </row>
    <row r="625">
      <c r="A625" s="6"/>
      <c r="B625" s="6"/>
      <c r="C625" s="6"/>
      <c r="D625" s="6"/>
      <c r="E625" s="6"/>
      <c r="F625" s="6"/>
      <c r="G625" s="6"/>
      <c r="H625" s="6"/>
      <c r="I625" s="6"/>
      <c r="J625" s="6"/>
      <c r="K625" s="6"/>
      <c r="L625" s="80"/>
      <c r="M625" s="80"/>
      <c r="N625" s="80"/>
      <c r="O625" s="80"/>
      <c r="P625" s="6"/>
      <c r="Q625" s="6"/>
      <c r="R625" s="6"/>
      <c r="S625" s="6"/>
      <c r="T625" s="6"/>
      <c r="U625" s="6"/>
      <c r="V625" s="6"/>
      <c r="W625" s="7"/>
      <c r="X625" s="7"/>
      <c r="Y625" s="7"/>
      <c r="Z625" s="7"/>
    </row>
    <row r="626">
      <c r="A626" s="6"/>
      <c r="B626" s="6"/>
      <c r="C626" s="6"/>
      <c r="D626" s="6"/>
      <c r="E626" s="6"/>
      <c r="F626" s="6"/>
      <c r="G626" s="6"/>
      <c r="H626" s="6"/>
      <c r="I626" s="6"/>
      <c r="J626" s="6"/>
      <c r="K626" s="6"/>
      <c r="L626" s="80"/>
      <c r="M626" s="80"/>
      <c r="N626" s="80"/>
      <c r="O626" s="80"/>
      <c r="P626" s="6"/>
      <c r="Q626" s="6"/>
      <c r="R626" s="6"/>
      <c r="S626" s="6"/>
      <c r="T626" s="6"/>
      <c r="U626" s="6"/>
      <c r="V626" s="6"/>
      <c r="W626" s="7"/>
      <c r="X626" s="7"/>
      <c r="Y626" s="7"/>
      <c r="Z626" s="7"/>
    </row>
    <row r="627">
      <c r="A627" s="6"/>
      <c r="B627" s="6"/>
      <c r="C627" s="6"/>
      <c r="D627" s="6"/>
      <c r="E627" s="6"/>
      <c r="F627" s="6"/>
      <c r="G627" s="6"/>
      <c r="H627" s="6"/>
      <c r="I627" s="6"/>
      <c r="J627" s="6"/>
      <c r="K627" s="6"/>
      <c r="L627" s="80"/>
      <c r="M627" s="80"/>
      <c r="N627" s="80"/>
      <c r="O627" s="80"/>
      <c r="P627" s="6"/>
      <c r="Q627" s="6"/>
      <c r="R627" s="6"/>
      <c r="S627" s="6"/>
      <c r="T627" s="6"/>
      <c r="U627" s="6"/>
      <c r="V627" s="6"/>
      <c r="W627" s="7"/>
      <c r="X627" s="7"/>
      <c r="Y627" s="7"/>
      <c r="Z627" s="7"/>
    </row>
    <row r="628">
      <c r="A628" s="6"/>
      <c r="B628" s="6"/>
      <c r="C628" s="6"/>
      <c r="D628" s="6"/>
      <c r="E628" s="6"/>
      <c r="F628" s="6"/>
      <c r="G628" s="6"/>
      <c r="H628" s="6"/>
      <c r="I628" s="6"/>
      <c r="J628" s="6"/>
      <c r="K628" s="6"/>
      <c r="L628" s="80"/>
      <c r="M628" s="80"/>
      <c r="N628" s="80"/>
      <c r="O628" s="80"/>
      <c r="P628" s="6"/>
      <c r="Q628" s="6"/>
      <c r="R628" s="6"/>
      <c r="S628" s="6"/>
      <c r="T628" s="6"/>
      <c r="U628" s="6"/>
      <c r="V628" s="6"/>
      <c r="W628" s="7"/>
      <c r="X628" s="7"/>
      <c r="Y628" s="7"/>
      <c r="Z628" s="7"/>
    </row>
    <row r="629">
      <c r="A629" s="6"/>
      <c r="B629" s="6"/>
      <c r="C629" s="6"/>
      <c r="D629" s="6"/>
      <c r="E629" s="6"/>
      <c r="F629" s="6"/>
      <c r="G629" s="6"/>
      <c r="H629" s="6"/>
      <c r="I629" s="6"/>
      <c r="J629" s="6"/>
      <c r="K629" s="6"/>
      <c r="L629" s="80"/>
      <c r="M629" s="80"/>
      <c r="N629" s="80"/>
      <c r="O629" s="80"/>
      <c r="P629" s="6"/>
      <c r="Q629" s="6"/>
      <c r="R629" s="6"/>
      <c r="S629" s="6"/>
      <c r="T629" s="6"/>
      <c r="U629" s="6"/>
      <c r="V629" s="6"/>
      <c r="W629" s="7"/>
      <c r="X629" s="7"/>
      <c r="Y629" s="7"/>
      <c r="Z629" s="7"/>
    </row>
    <row r="630">
      <c r="A630" s="6"/>
      <c r="B630" s="6"/>
      <c r="C630" s="6"/>
      <c r="D630" s="6"/>
      <c r="E630" s="6"/>
      <c r="F630" s="6"/>
      <c r="G630" s="6"/>
      <c r="H630" s="6"/>
      <c r="I630" s="6"/>
      <c r="J630" s="6"/>
      <c r="K630" s="6"/>
      <c r="L630" s="80"/>
      <c r="M630" s="80"/>
      <c r="N630" s="80"/>
      <c r="O630" s="80"/>
      <c r="P630" s="6"/>
      <c r="Q630" s="6"/>
      <c r="R630" s="6"/>
      <c r="S630" s="6"/>
      <c r="T630" s="6"/>
      <c r="U630" s="6"/>
      <c r="V630" s="6"/>
      <c r="W630" s="7"/>
      <c r="X630" s="7"/>
      <c r="Y630" s="7"/>
      <c r="Z630" s="7"/>
    </row>
    <row r="631">
      <c r="A631" s="6"/>
      <c r="B631" s="6"/>
      <c r="C631" s="6"/>
      <c r="D631" s="6"/>
      <c r="E631" s="6"/>
      <c r="F631" s="6"/>
      <c r="G631" s="6"/>
      <c r="H631" s="6"/>
      <c r="I631" s="6"/>
      <c r="J631" s="6"/>
      <c r="K631" s="6"/>
      <c r="L631" s="80"/>
      <c r="M631" s="80"/>
      <c r="N631" s="80"/>
      <c r="O631" s="80"/>
      <c r="P631" s="6"/>
      <c r="Q631" s="6"/>
      <c r="R631" s="6"/>
      <c r="S631" s="6"/>
      <c r="T631" s="6"/>
      <c r="U631" s="6"/>
      <c r="V631" s="6"/>
      <c r="W631" s="7"/>
      <c r="X631" s="7"/>
      <c r="Y631" s="7"/>
      <c r="Z631" s="7"/>
    </row>
    <row r="632">
      <c r="A632" s="6"/>
      <c r="B632" s="6"/>
      <c r="C632" s="6"/>
      <c r="D632" s="6"/>
      <c r="E632" s="6"/>
      <c r="F632" s="6"/>
      <c r="G632" s="6"/>
      <c r="H632" s="6"/>
      <c r="I632" s="6"/>
      <c r="J632" s="6"/>
      <c r="K632" s="6"/>
      <c r="L632" s="80"/>
      <c r="M632" s="80"/>
      <c r="N632" s="80"/>
      <c r="O632" s="80"/>
      <c r="P632" s="6"/>
      <c r="Q632" s="6"/>
      <c r="R632" s="6"/>
      <c r="S632" s="6"/>
      <c r="T632" s="6"/>
      <c r="U632" s="6"/>
      <c r="V632" s="6"/>
      <c r="W632" s="7"/>
      <c r="X632" s="7"/>
      <c r="Y632" s="7"/>
      <c r="Z632" s="7"/>
    </row>
    <row r="633">
      <c r="A633" s="6"/>
      <c r="B633" s="6"/>
      <c r="C633" s="6"/>
      <c r="D633" s="6"/>
      <c r="E633" s="6"/>
      <c r="F633" s="6"/>
      <c r="G633" s="6"/>
      <c r="H633" s="6"/>
      <c r="I633" s="6"/>
      <c r="J633" s="6"/>
      <c r="K633" s="6"/>
      <c r="L633" s="80"/>
      <c r="M633" s="80"/>
      <c r="N633" s="80"/>
      <c r="O633" s="80"/>
      <c r="P633" s="6"/>
      <c r="Q633" s="6"/>
      <c r="R633" s="6"/>
      <c r="S633" s="6"/>
      <c r="T633" s="6"/>
      <c r="U633" s="6"/>
      <c r="V633" s="6"/>
      <c r="W633" s="7"/>
      <c r="X633" s="7"/>
      <c r="Y633" s="7"/>
      <c r="Z633" s="7"/>
    </row>
    <row r="634">
      <c r="A634" s="6"/>
      <c r="B634" s="6"/>
      <c r="C634" s="6"/>
      <c r="D634" s="6"/>
      <c r="E634" s="6"/>
      <c r="F634" s="6"/>
      <c r="G634" s="6"/>
      <c r="H634" s="6"/>
      <c r="I634" s="6"/>
      <c r="J634" s="6"/>
      <c r="K634" s="6"/>
      <c r="L634" s="80"/>
      <c r="M634" s="80"/>
      <c r="N634" s="80"/>
      <c r="O634" s="80"/>
      <c r="P634" s="6"/>
      <c r="Q634" s="6"/>
      <c r="R634" s="6"/>
      <c r="S634" s="6"/>
      <c r="T634" s="6"/>
      <c r="U634" s="6"/>
      <c r="V634" s="6"/>
      <c r="W634" s="7"/>
      <c r="X634" s="7"/>
      <c r="Y634" s="7"/>
      <c r="Z634" s="7"/>
    </row>
    <row r="635">
      <c r="A635" s="6"/>
      <c r="B635" s="6"/>
      <c r="C635" s="6"/>
      <c r="D635" s="6"/>
      <c r="E635" s="6"/>
      <c r="F635" s="6"/>
      <c r="G635" s="6"/>
      <c r="H635" s="6"/>
      <c r="I635" s="6"/>
      <c r="J635" s="6"/>
      <c r="K635" s="6"/>
      <c r="L635" s="80"/>
      <c r="M635" s="80"/>
      <c r="N635" s="80"/>
      <c r="O635" s="80"/>
      <c r="P635" s="6"/>
      <c r="Q635" s="6"/>
      <c r="R635" s="6"/>
      <c r="S635" s="6"/>
      <c r="T635" s="6"/>
      <c r="U635" s="6"/>
      <c r="V635" s="6"/>
      <c r="W635" s="7"/>
      <c r="X635" s="7"/>
      <c r="Y635" s="7"/>
      <c r="Z635" s="7"/>
    </row>
    <row r="636">
      <c r="A636" s="6"/>
      <c r="B636" s="6"/>
      <c r="C636" s="6"/>
      <c r="D636" s="6"/>
      <c r="E636" s="6"/>
      <c r="F636" s="6"/>
      <c r="G636" s="6"/>
      <c r="H636" s="6"/>
      <c r="I636" s="6"/>
      <c r="J636" s="6"/>
      <c r="K636" s="6"/>
      <c r="L636" s="80"/>
      <c r="M636" s="80"/>
      <c r="N636" s="80"/>
      <c r="O636" s="80"/>
      <c r="P636" s="6"/>
      <c r="Q636" s="6"/>
      <c r="R636" s="6"/>
      <c r="S636" s="6"/>
      <c r="T636" s="6"/>
      <c r="U636" s="6"/>
      <c r="V636" s="6"/>
      <c r="W636" s="7"/>
      <c r="X636" s="7"/>
      <c r="Y636" s="7"/>
      <c r="Z636" s="7"/>
    </row>
    <row r="637">
      <c r="A637" s="6"/>
      <c r="B637" s="6"/>
      <c r="C637" s="6"/>
      <c r="D637" s="6"/>
      <c r="E637" s="6"/>
      <c r="F637" s="6"/>
      <c r="G637" s="6"/>
      <c r="H637" s="6"/>
      <c r="I637" s="6"/>
      <c r="J637" s="6"/>
      <c r="K637" s="6"/>
      <c r="L637" s="80"/>
      <c r="M637" s="80"/>
      <c r="N637" s="80"/>
      <c r="O637" s="80"/>
      <c r="P637" s="6"/>
      <c r="Q637" s="6"/>
      <c r="R637" s="6"/>
      <c r="S637" s="6"/>
      <c r="T637" s="6"/>
      <c r="U637" s="6"/>
      <c r="V637" s="6"/>
      <c r="W637" s="7"/>
      <c r="X637" s="7"/>
      <c r="Y637" s="7"/>
      <c r="Z637" s="7"/>
    </row>
    <row r="638">
      <c r="A638" s="6"/>
      <c r="B638" s="6"/>
      <c r="C638" s="6"/>
      <c r="D638" s="6"/>
      <c r="E638" s="6"/>
      <c r="F638" s="6"/>
      <c r="G638" s="6"/>
      <c r="H638" s="6"/>
      <c r="I638" s="6"/>
      <c r="J638" s="6"/>
      <c r="K638" s="6"/>
      <c r="L638" s="80"/>
      <c r="M638" s="80"/>
      <c r="N638" s="80"/>
      <c r="O638" s="80"/>
      <c r="P638" s="6"/>
      <c r="Q638" s="6"/>
      <c r="R638" s="6"/>
      <c r="S638" s="6"/>
      <c r="T638" s="6"/>
      <c r="U638" s="6"/>
      <c r="V638" s="6"/>
      <c r="W638" s="7"/>
      <c r="X638" s="7"/>
      <c r="Y638" s="7"/>
      <c r="Z638" s="7"/>
    </row>
    <row r="639">
      <c r="A639" s="6"/>
      <c r="B639" s="6"/>
      <c r="C639" s="6"/>
      <c r="D639" s="6"/>
      <c r="E639" s="6"/>
      <c r="F639" s="6"/>
      <c r="G639" s="6"/>
      <c r="H639" s="6"/>
      <c r="I639" s="6"/>
      <c r="J639" s="6"/>
      <c r="K639" s="6"/>
      <c r="L639" s="80"/>
      <c r="M639" s="80"/>
      <c r="N639" s="80"/>
      <c r="O639" s="80"/>
      <c r="P639" s="6"/>
      <c r="Q639" s="6"/>
      <c r="R639" s="6"/>
      <c r="S639" s="6"/>
      <c r="T639" s="6"/>
      <c r="U639" s="6"/>
      <c r="V639" s="6"/>
      <c r="W639" s="7"/>
      <c r="X639" s="7"/>
      <c r="Y639" s="7"/>
      <c r="Z639" s="7"/>
    </row>
    <row r="640">
      <c r="A640" s="6"/>
      <c r="B640" s="6"/>
      <c r="C640" s="6"/>
      <c r="D640" s="6"/>
      <c r="E640" s="6"/>
      <c r="F640" s="6"/>
      <c r="G640" s="6"/>
      <c r="H640" s="6"/>
      <c r="I640" s="6"/>
      <c r="J640" s="6"/>
      <c r="K640" s="6"/>
      <c r="L640" s="80"/>
      <c r="M640" s="80"/>
      <c r="N640" s="80"/>
      <c r="O640" s="80"/>
      <c r="P640" s="6"/>
      <c r="Q640" s="6"/>
      <c r="R640" s="6"/>
      <c r="S640" s="6"/>
      <c r="T640" s="6"/>
      <c r="U640" s="6"/>
      <c r="V640" s="6"/>
      <c r="W640" s="7"/>
      <c r="X640" s="7"/>
      <c r="Y640" s="7"/>
      <c r="Z640" s="7"/>
    </row>
    <row r="641">
      <c r="A641" s="6"/>
      <c r="B641" s="6"/>
      <c r="C641" s="6"/>
      <c r="D641" s="6"/>
      <c r="E641" s="6"/>
      <c r="F641" s="6"/>
      <c r="G641" s="6"/>
      <c r="H641" s="6"/>
      <c r="I641" s="6"/>
      <c r="J641" s="6"/>
      <c r="K641" s="6"/>
      <c r="L641" s="80"/>
      <c r="M641" s="80"/>
      <c r="N641" s="80"/>
      <c r="O641" s="80"/>
      <c r="P641" s="6"/>
      <c r="Q641" s="6"/>
      <c r="R641" s="6"/>
      <c r="S641" s="6"/>
      <c r="T641" s="6"/>
      <c r="U641" s="6"/>
      <c r="V641" s="6"/>
      <c r="W641" s="7"/>
      <c r="X641" s="7"/>
      <c r="Y641" s="7"/>
      <c r="Z641" s="7"/>
    </row>
    <row r="642">
      <c r="A642" s="6"/>
      <c r="B642" s="6"/>
      <c r="C642" s="6"/>
      <c r="D642" s="6"/>
      <c r="E642" s="6"/>
      <c r="F642" s="6"/>
      <c r="G642" s="6"/>
      <c r="H642" s="6"/>
      <c r="I642" s="6"/>
      <c r="J642" s="6"/>
      <c r="K642" s="6"/>
      <c r="L642" s="80"/>
      <c r="M642" s="80"/>
      <c r="N642" s="80"/>
      <c r="O642" s="80"/>
      <c r="P642" s="6"/>
      <c r="Q642" s="6"/>
      <c r="R642" s="6"/>
      <c r="S642" s="6"/>
      <c r="T642" s="6"/>
      <c r="U642" s="6"/>
      <c r="V642" s="6"/>
      <c r="W642" s="7"/>
      <c r="X642" s="7"/>
      <c r="Y642" s="7"/>
      <c r="Z642" s="7"/>
    </row>
    <row r="643">
      <c r="A643" s="6"/>
      <c r="B643" s="6"/>
      <c r="C643" s="6"/>
      <c r="D643" s="6"/>
      <c r="E643" s="6"/>
      <c r="F643" s="6"/>
      <c r="G643" s="6"/>
      <c r="H643" s="6"/>
      <c r="I643" s="6"/>
      <c r="J643" s="6"/>
      <c r="K643" s="6"/>
      <c r="L643" s="80"/>
      <c r="M643" s="80"/>
      <c r="N643" s="80"/>
      <c r="O643" s="80"/>
      <c r="P643" s="6"/>
      <c r="Q643" s="6"/>
      <c r="R643" s="6"/>
      <c r="S643" s="6"/>
      <c r="T643" s="6"/>
      <c r="U643" s="6"/>
      <c r="V643" s="6"/>
      <c r="W643" s="7"/>
      <c r="X643" s="7"/>
      <c r="Y643" s="7"/>
      <c r="Z643" s="7"/>
    </row>
    <row r="644">
      <c r="A644" s="6"/>
      <c r="B644" s="6"/>
      <c r="C644" s="6"/>
      <c r="D644" s="6"/>
      <c r="E644" s="6"/>
      <c r="F644" s="6"/>
      <c r="G644" s="6"/>
      <c r="H644" s="6"/>
      <c r="I644" s="6"/>
      <c r="J644" s="6"/>
      <c r="K644" s="6"/>
      <c r="L644" s="80"/>
      <c r="M644" s="80"/>
      <c r="N644" s="80"/>
      <c r="O644" s="80"/>
      <c r="P644" s="6"/>
      <c r="Q644" s="6"/>
      <c r="R644" s="6"/>
      <c r="S644" s="6"/>
      <c r="T644" s="6"/>
      <c r="U644" s="6"/>
      <c r="V644" s="6"/>
      <c r="W644" s="7"/>
      <c r="X644" s="7"/>
      <c r="Y644" s="7"/>
      <c r="Z644" s="7"/>
    </row>
    <row r="645">
      <c r="A645" s="6"/>
      <c r="B645" s="6"/>
      <c r="C645" s="6"/>
      <c r="D645" s="6"/>
      <c r="E645" s="6"/>
      <c r="F645" s="6"/>
      <c r="G645" s="6"/>
      <c r="H645" s="6"/>
      <c r="I645" s="6"/>
      <c r="J645" s="6"/>
      <c r="K645" s="6"/>
      <c r="L645" s="80"/>
      <c r="M645" s="80"/>
      <c r="N645" s="80"/>
      <c r="O645" s="80"/>
      <c r="P645" s="6"/>
      <c r="Q645" s="6"/>
      <c r="R645" s="6"/>
      <c r="S645" s="6"/>
      <c r="T645" s="6"/>
      <c r="U645" s="6"/>
      <c r="V645" s="6"/>
      <c r="W645" s="7"/>
      <c r="X645" s="7"/>
      <c r="Y645" s="7"/>
      <c r="Z645" s="7"/>
    </row>
    <row r="646">
      <c r="A646" s="6"/>
      <c r="B646" s="6"/>
      <c r="C646" s="6"/>
      <c r="D646" s="6"/>
      <c r="E646" s="6"/>
      <c r="F646" s="6"/>
      <c r="G646" s="6"/>
      <c r="H646" s="6"/>
      <c r="I646" s="6"/>
      <c r="J646" s="6"/>
      <c r="K646" s="6"/>
      <c r="L646" s="80"/>
      <c r="M646" s="80"/>
      <c r="N646" s="80"/>
      <c r="O646" s="80"/>
      <c r="P646" s="6"/>
      <c r="Q646" s="6"/>
      <c r="R646" s="6"/>
      <c r="S646" s="6"/>
      <c r="T646" s="6"/>
      <c r="U646" s="6"/>
      <c r="V646" s="6"/>
      <c r="W646" s="7"/>
      <c r="X646" s="7"/>
      <c r="Y646" s="7"/>
      <c r="Z646" s="7"/>
    </row>
    <row r="647">
      <c r="A647" s="6"/>
      <c r="B647" s="6"/>
      <c r="C647" s="6"/>
      <c r="D647" s="6"/>
      <c r="E647" s="6"/>
      <c r="F647" s="6"/>
      <c r="G647" s="6"/>
      <c r="H647" s="6"/>
      <c r="I647" s="6"/>
      <c r="J647" s="6"/>
      <c r="K647" s="6"/>
      <c r="L647" s="80"/>
      <c r="M647" s="80"/>
      <c r="N647" s="80"/>
      <c r="O647" s="80"/>
      <c r="P647" s="6"/>
      <c r="Q647" s="6"/>
      <c r="R647" s="6"/>
      <c r="S647" s="6"/>
      <c r="T647" s="6"/>
      <c r="U647" s="6"/>
      <c r="V647" s="6"/>
      <c r="W647" s="7"/>
      <c r="X647" s="7"/>
      <c r="Y647" s="7"/>
      <c r="Z647" s="7"/>
    </row>
    <row r="648">
      <c r="A648" s="6"/>
      <c r="B648" s="6"/>
      <c r="C648" s="6"/>
      <c r="D648" s="6"/>
      <c r="E648" s="6"/>
      <c r="F648" s="6"/>
      <c r="G648" s="6"/>
      <c r="H648" s="6"/>
      <c r="I648" s="6"/>
      <c r="J648" s="6"/>
      <c r="K648" s="6"/>
      <c r="L648" s="80"/>
      <c r="M648" s="80"/>
      <c r="N648" s="80"/>
      <c r="O648" s="80"/>
      <c r="P648" s="6"/>
      <c r="Q648" s="6"/>
      <c r="R648" s="6"/>
      <c r="S648" s="6"/>
      <c r="T648" s="6"/>
      <c r="U648" s="6"/>
      <c r="V648" s="6"/>
      <c r="W648" s="7"/>
      <c r="X648" s="7"/>
      <c r="Y648" s="7"/>
      <c r="Z648" s="7"/>
    </row>
    <row r="649">
      <c r="A649" s="6"/>
      <c r="B649" s="6"/>
      <c r="C649" s="6"/>
      <c r="D649" s="6"/>
      <c r="E649" s="6"/>
      <c r="F649" s="6"/>
      <c r="G649" s="6"/>
      <c r="H649" s="6"/>
      <c r="I649" s="6"/>
      <c r="J649" s="6"/>
      <c r="K649" s="6"/>
      <c r="L649" s="80"/>
      <c r="M649" s="80"/>
      <c r="N649" s="80"/>
      <c r="O649" s="80"/>
      <c r="P649" s="6"/>
      <c r="Q649" s="6"/>
      <c r="R649" s="6"/>
      <c r="S649" s="6"/>
      <c r="T649" s="6"/>
      <c r="U649" s="6"/>
      <c r="V649" s="6"/>
      <c r="W649" s="7"/>
      <c r="X649" s="7"/>
      <c r="Y649" s="7"/>
      <c r="Z649" s="7"/>
    </row>
    <row r="650">
      <c r="A650" s="6"/>
      <c r="B650" s="6"/>
      <c r="C650" s="6"/>
      <c r="D650" s="6"/>
      <c r="E650" s="6"/>
      <c r="F650" s="6"/>
      <c r="G650" s="6"/>
      <c r="H650" s="6"/>
      <c r="I650" s="6"/>
      <c r="J650" s="6"/>
      <c r="K650" s="6"/>
      <c r="L650" s="80"/>
      <c r="M650" s="80"/>
      <c r="N650" s="80"/>
      <c r="O650" s="80"/>
      <c r="P650" s="6"/>
      <c r="Q650" s="6"/>
      <c r="R650" s="6"/>
      <c r="S650" s="6"/>
      <c r="T650" s="6"/>
      <c r="U650" s="6"/>
      <c r="V650" s="6"/>
      <c r="W650" s="7"/>
      <c r="X650" s="7"/>
      <c r="Y650" s="7"/>
      <c r="Z650" s="7"/>
    </row>
    <row r="651">
      <c r="A651" s="6"/>
      <c r="B651" s="6"/>
      <c r="C651" s="6"/>
      <c r="D651" s="6"/>
      <c r="E651" s="6"/>
      <c r="F651" s="6"/>
      <c r="G651" s="6"/>
      <c r="H651" s="6"/>
      <c r="I651" s="6"/>
      <c r="J651" s="6"/>
      <c r="K651" s="6"/>
      <c r="L651" s="80"/>
      <c r="M651" s="80"/>
      <c r="N651" s="80"/>
      <c r="O651" s="80"/>
      <c r="P651" s="6"/>
      <c r="Q651" s="6"/>
      <c r="R651" s="6"/>
      <c r="S651" s="6"/>
      <c r="T651" s="6"/>
      <c r="U651" s="6"/>
      <c r="V651" s="6"/>
      <c r="W651" s="7"/>
      <c r="X651" s="7"/>
      <c r="Y651" s="7"/>
      <c r="Z651" s="7"/>
    </row>
    <row r="652">
      <c r="A652" s="6"/>
      <c r="B652" s="6"/>
      <c r="C652" s="6"/>
      <c r="D652" s="6"/>
      <c r="E652" s="6"/>
      <c r="F652" s="6"/>
      <c r="G652" s="6"/>
      <c r="H652" s="6"/>
      <c r="I652" s="6"/>
      <c r="J652" s="6"/>
      <c r="K652" s="6"/>
      <c r="L652" s="80"/>
      <c r="M652" s="80"/>
      <c r="N652" s="80"/>
      <c r="O652" s="80"/>
      <c r="P652" s="6"/>
      <c r="Q652" s="6"/>
      <c r="R652" s="6"/>
      <c r="S652" s="6"/>
      <c r="T652" s="6"/>
      <c r="U652" s="6"/>
      <c r="V652" s="6"/>
      <c r="W652" s="7"/>
      <c r="X652" s="7"/>
      <c r="Y652" s="7"/>
      <c r="Z652" s="7"/>
    </row>
    <row r="653">
      <c r="A653" s="6"/>
      <c r="B653" s="6"/>
      <c r="C653" s="6"/>
      <c r="D653" s="6"/>
      <c r="E653" s="6"/>
      <c r="F653" s="6"/>
      <c r="G653" s="6"/>
      <c r="H653" s="6"/>
      <c r="I653" s="6"/>
      <c r="J653" s="6"/>
      <c r="K653" s="6"/>
      <c r="L653" s="80"/>
      <c r="M653" s="80"/>
      <c r="N653" s="80"/>
      <c r="O653" s="80"/>
      <c r="P653" s="6"/>
      <c r="Q653" s="6"/>
      <c r="R653" s="6"/>
      <c r="S653" s="6"/>
      <c r="T653" s="6"/>
      <c r="U653" s="6"/>
      <c r="V653" s="6"/>
      <c r="W653" s="7"/>
      <c r="X653" s="7"/>
      <c r="Y653" s="7"/>
      <c r="Z653" s="7"/>
    </row>
    <row r="654">
      <c r="A654" s="6"/>
      <c r="B654" s="6"/>
      <c r="C654" s="6"/>
      <c r="D654" s="6"/>
      <c r="E654" s="6"/>
      <c r="F654" s="6"/>
      <c r="G654" s="6"/>
      <c r="H654" s="6"/>
      <c r="I654" s="6"/>
      <c r="J654" s="6"/>
      <c r="K654" s="6"/>
      <c r="L654" s="80"/>
      <c r="M654" s="80"/>
      <c r="N654" s="80"/>
      <c r="O654" s="80"/>
      <c r="P654" s="6"/>
      <c r="Q654" s="6"/>
      <c r="R654" s="6"/>
      <c r="S654" s="6"/>
      <c r="T654" s="6"/>
      <c r="U654" s="6"/>
      <c r="V654" s="6"/>
      <c r="W654" s="7"/>
      <c r="X654" s="7"/>
      <c r="Y654" s="7"/>
      <c r="Z654" s="7"/>
    </row>
    <row r="655">
      <c r="A655" s="6"/>
      <c r="B655" s="6"/>
      <c r="C655" s="6"/>
      <c r="D655" s="6"/>
      <c r="E655" s="6"/>
      <c r="F655" s="6"/>
      <c r="G655" s="6"/>
      <c r="H655" s="6"/>
      <c r="I655" s="6"/>
      <c r="J655" s="6"/>
      <c r="K655" s="6"/>
      <c r="L655" s="80"/>
      <c r="M655" s="80"/>
      <c r="N655" s="80"/>
      <c r="O655" s="80"/>
      <c r="P655" s="6"/>
      <c r="Q655" s="6"/>
      <c r="R655" s="6"/>
      <c r="S655" s="6"/>
      <c r="T655" s="6"/>
      <c r="U655" s="6"/>
      <c r="V655" s="6"/>
      <c r="W655" s="7"/>
      <c r="X655" s="7"/>
      <c r="Y655" s="7"/>
      <c r="Z655" s="7"/>
    </row>
    <row r="656">
      <c r="A656" s="6"/>
      <c r="B656" s="6"/>
      <c r="C656" s="6"/>
      <c r="D656" s="6"/>
      <c r="E656" s="6"/>
      <c r="F656" s="6"/>
      <c r="G656" s="6"/>
      <c r="H656" s="6"/>
      <c r="I656" s="6"/>
      <c r="J656" s="6"/>
      <c r="K656" s="6"/>
      <c r="L656" s="80"/>
      <c r="M656" s="80"/>
      <c r="N656" s="80"/>
      <c r="O656" s="80"/>
      <c r="P656" s="6"/>
      <c r="Q656" s="6"/>
      <c r="R656" s="6"/>
      <c r="S656" s="6"/>
      <c r="T656" s="6"/>
      <c r="U656" s="6"/>
      <c r="V656" s="6"/>
      <c r="W656" s="7"/>
      <c r="X656" s="7"/>
      <c r="Y656" s="7"/>
      <c r="Z656" s="7"/>
    </row>
    <row r="657">
      <c r="A657" s="6"/>
      <c r="B657" s="6"/>
      <c r="C657" s="6"/>
      <c r="D657" s="6"/>
      <c r="E657" s="6"/>
      <c r="F657" s="6"/>
      <c r="G657" s="6"/>
      <c r="H657" s="6"/>
      <c r="I657" s="6"/>
      <c r="J657" s="6"/>
      <c r="K657" s="6"/>
      <c r="L657" s="80"/>
      <c r="M657" s="80"/>
      <c r="N657" s="80"/>
      <c r="O657" s="80"/>
      <c r="P657" s="6"/>
      <c r="Q657" s="6"/>
      <c r="R657" s="6"/>
      <c r="S657" s="6"/>
      <c r="T657" s="6"/>
      <c r="U657" s="6"/>
      <c r="V657" s="6"/>
      <c r="W657" s="7"/>
      <c r="X657" s="7"/>
      <c r="Y657" s="7"/>
      <c r="Z657" s="7"/>
    </row>
    <row r="658">
      <c r="A658" s="6"/>
      <c r="B658" s="6"/>
      <c r="C658" s="6"/>
      <c r="D658" s="6"/>
      <c r="E658" s="6"/>
      <c r="F658" s="6"/>
      <c r="G658" s="6"/>
      <c r="H658" s="6"/>
      <c r="I658" s="6"/>
      <c r="J658" s="6"/>
      <c r="K658" s="6"/>
      <c r="L658" s="80"/>
      <c r="M658" s="80"/>
      <c r="N658" s="80"/>
      <c r="O658" s="80"/>
      <c r="P658" s="6"/>
      <c r="Q658" s="6"/>
      <c r="R658" s="6"/>
      <c r="S658" s="6"/>
      <c r="T658" s="6"/>
      <c r="U658" s="6"/>
      <c r="V658" s="6"/>
      <c r="W658" s="7"/>
      <c r="X658" s="7"/>
      <c r="Y658" s="7"/>
      <c r="Z658" s="7"/>
    </row>
    <row r="659">
      <c r="A659" s="6"/>
      <c r="B659" s="6"/>
      <c r="C659" s="6"/>
      <c r="D659" s="6"/>
      <c r="E659" s="6"/>
      <c r="F659" s="6"/>
      <c r="G659" s="6"/>
      <c r="H659" s="6"/>
      <c r="I659" s="6"/>
      <c r="J659" s="6"/>
      <c r="K659" s="6"/>
      <c r="L659" s="80"/>
      <c r="M659" s="80"/>
      <c r="N659" s="80"/>
      <c r="O659" s="80"/>
      <c r="P659" s="6"/>
      <c r="Q659" s="6"/>
      <c r="R659" s="6"/>
      <c r="S659" s="6"/>
      <c r="T659" s="6"/>
      <c r="U659" s="6"/>
      <c r="V659" s="6"/>
      <c r="W659" s="7"/>
      <c r="X659" s="7"/>
      <c r="Y659" s="7"/>
      <c r="Z659" s="7"/>
    </row>
    <row r="660">
      <c r="A660" s="6"/>
      <c r="B660" s="6"/>
      <c r="C660" s="6"/>
      <c r="D660" s="6"/>
      <c r="E660" s="6"/>
      <c r="F660" s="6"/>
      <c r="G660" s="6"/>
      <c r="H660" s="6"/>
      <c r="I660" s="6"/>
      <c r="J660" s="6"/>
      <c r="K660" s="6"/>
      <c r="L660" s="80"/>
      <c r="M660" s="80"/>
      <c r="N660" s="80"/>
      <c r="O660" s="80"/>
      <c r="P660" s="6"/>
      <c r="Q660" s="6"/>
      <c r="R660" s="6"/>
      <c r="S660" s="6"/>
      <c r="T660" s="6"/>
      <c r="U660" s="6"/>
      <c r="V660" s="6"/>
      <c r="W660" s="7"/>
      <c r="X660" s="7"/>
      <c r="Y660" s="7"/>
      <c r="Z660" s="7"/>
    </row>
    <row r="661">
      <c r="A661" s="6"/>
      <c r="B661" s="6"/>
      <c r="C661" s="6"/>
      <c r="D661" s="6"/>
      <c r="E661" s="6"/>
      <c r="F661" s="6"/>
      <c r="G661" s="6"/>
      <c r="H661" s="6"/>
      <c r="I661" s="6"/>
      <c r="J661" s="6"/>
      <c r="K661" s="6"/>
      <c r="L661" s="80"/>
      <c r="M661" s="80"/>
      <c r="N661" s="80"/>
      <c r="O661" s="80"/>
      <c r="P661" s="6"/>
      <c r="Q661" s="6"/>
      <c r="R661" s="6"/>
      <c r="S661" s="6"/>
      <c r="T661" s="6"/>
      <c r="U661" s="6"/>
      <c r="V661" s="6"/>
      <c r="W661" s="7"/>
      <c r="X661" s="7"/>
      <c r="Y661" s="7"/>
      <c r="Z661" s="7"/>
    </row>
    <row r="662">
      <c r="A662" s="6"/>
      <c r="B662" s="6"/>
      <c r="C662" s="6"/>
      <c r="D662" s="6"/>
      <c r="E662" s="6"/>
      <c r="F662" s="6"/>
      <c r="G662" s="6"/>
      <c r="H662" s="6"/>
      <c r="I662" s="6"/>
      <c r="J662" s="6"/>
      <c r="K662" s="6"/>
      <c r="L662" s="80"/>
      <c r="M662" s="80"/>
      <c r="N662" s="80"/>
      <c r="O662" s="80"/>
      <c r="P662" s="6"/>
      <c r="Q662" s="6"/>
      <c r="R662" s="6"/>
      <c r="S662" s="6"/>
      <c r="T662" s="6"/>
      <c r="U662" s="6"/>
      <c r="V662" s="6"/>
      <c r="W662" s="7"/>
      <c r="X662" s="7"/>
      <c r="Y662" s="7"/>
      <c r="Z662" s="7"/>
    </row>
    <row r="663">
      <c r="A663" s="6"/>
      <c r="B663" s="6"/>
      <c r="C663" s="6"/>
      <c r="D663" s="6"/>
      <c r="E663" s="6"/>
      <c r="F663" s="6"/>
      <c r="G663" s="6"/>
      <c r="H663" s="6"/>
      <c r="I663" s="6"/>
      <c r="J663" s="6"/>
      <c r="K663" s="6"/>
      <c r="L663" s="80"/>
      <c r="M663" s="80"/>
      <c r="N663" s="80"/>
      <c r="O663" s="80"/>
      <c r="P663" s="6"/>
      <c r="Q663" s="6"/>
      <c r="R663" s="6"/>
      <c r="S663" s="6"/>
      <c r="T663" s="6"/>
      <c r="U663" s="6"/>
      <c r="V663" s="6"/>
      <c r="W663" s="7"/>
      <c r="X663" s="7"/>
      <c r="Y663" s="7"/>
      <c r="Z663" s="7"/>
    </row>
    <row r="664">
      <c r="A664" s="6"/>
      <c r="B664" s="6"/>
      <c r="C664" s="6"/>
      <c r="D664" s="6"/>
      <c r="E664" s="6"/>
      <c r="F664" s="6"/>
      <c r="G664" s="6"/>
      <c r="H664" s="6"/>
      <c r="I664" s="6"/>
      <c r="J664" s="6"/>
      <c r="K664" s="6"/>
      <c r="L664" s="80"/>
      <c r="M664" s="80"/>
      <c r="N664" s="80"/>
      <c r="O664" s="80"/>
      <c r="P664" s="6"/>
      <c r="Q664" s="6"/>
      <c r="R664" s="6"/>
      <c r="S664" s="6"/>
      <c r="T664" s="6"/>
      <c r="U664" s="6"/>
      <c r="V664" s="6"/>
      <c r="W664" s="7"/>
      <c r="X664" s="7"/>
      <c r="Y664" s="7"/>
      <c r="Z664" s="7"/>
    </row>
    <row r="665">
      <c r="A665" s="6"/>
      <c r="B665" s="6"/>
      <c r="C665" s="6"/>
      <c r="D665" s="6"/>
      <c r="E665" s="6"/>
      <c r="F665" s="6"/>
      <c r="G665" s="6"/>
      <c r="H665" s="6"/>
      <c r="I665" s="6"/>
      <c r="J665" s="6"/>
      <c r="K665" s="6"/>
      <c r="L665" s="80"/>
      <c r="M665" s="80"/>
      <c r="N665" s="80"/>
      <c r="O665" s="80"/>
      <c r="P665" s="6"/>
      <c r="Q665" s="6"/>
      <c r="R665" s="6"/>
      <c r="S665" s="6"/>
      <c r="T665" s="6"/>
      <c r="U665" s="6"/>
      <c r="V665" s="6"/>
      <c r="W665" s="7"/>
      <c r="X665" s="7"/>
      <c r="Y665" s="7"/>
      <c r="Z665" s="7"/>
    </row>
    <row r="666">
      <c r="A666" s="6"/>
      <c r="B666" s="6"/>
      <c r="C666" s="6"/>
      <c r="D666" s="6"/>
      <c r="E666" s="6"/>
      <c r="F666" s="6"/>
      <c r="G666" s="6"/>
      <c r="H666" s="6"/>
      <c r="I666" s="6"/>
      <c r="J666" s="6"/>
      <c r="K666" s="6"/>
      <c r="L666" s="80"/>
      <c r="M666" s="80"/>
      <c r="N666" s="80"/>
      <c r="O666" s="80"/>
      <c r="P666" s="6"/>
      <c r="Q666" s="6"/>
      <c r="R666" s="6"/>
      <c r="S666" s="6"/>
      <c r="T666" s="6"/>
      <c r="U666" s="6"/>
      <c r="V666" s="6"/>
      <c r="W666" s="7"/>
      <c r="X666" s="7"/>
      <c r="Y666" s="7"/>
      <c r="Z666" s="7"/>
    </row>
    <row r="667">
      <c r="A667" s="6"/>
      <c r="B667" s="6"/>
      <c r="C667" s="6"/>
      <c r="D667" s="6"/>
      <c r="E667" s="6"/>
      <c r="F667" s="6"/>
      <c r="G667" s="6"/>
      <c r="H667" s="6"/>
      <c r="I667" s="6"/>
      <c r="J667" s="6"/>
      <c r="K667" s="6"/>
      <c r="L667" s="80"/>
      <c r="M667" s="80"/>
      <c r="N667" s="80"/>
      <c r="O667" s="80"/>
      <c r="P667" s="6"/>
      <c r="Q667" s="6"/>
      <c r="R667" s="6"/>
      <c r="S667" s="6"/>
      <c r="T667" s="6"/>
      <c r="U667" s="6"/>
      <c r="V667" s="6"/>
      <c r="W667" s="7"/>
      <c r="X667" s="7"/>
      <c r="Y667" s="7"/>
      <c r="Z667" s="7"/>
    </row>
    <row r="668">
      <c r="A668" s="6"/>
      <c r="B668" s="6"/>
      <c r="C668" s="6"/>
      <c r="D668" s="6"/>
      <c r="E668" s="6"/>
      <c r="F668" s="6"/>
      <c r="G668" s="6"/>
      <c r="H668" s="6"/>
      <c r="I668" s="6"/>
      <c r="J668" s="6"/>
      <c r="K668" s="6"/>
      <c r="L668" s="80"/>
      <c r="M668" s="80"/>
      <c r="N668" s="80"/>
      <c r="O668" s="80"/>
      <c r="P668" s="6"/>
      <c r="Q668" s="6"/>
      <c r="R668" s="6"/>
      <c r="S668" s="6"/>
      <c r="T668" s="6"/>
      <c r="U668" s="6"/>
      <c r="V668" s="6"/>
      <c r="W668" s="7"/>
      <c r="X668" s="7"/>
      <c r="Y668" s="7"/>
      <c r="Z668" s="7"/>
    </row>
    <row r="669">
      <c r="A669" s="6"/>
      <c r="B669" s="6"/>
      <c r="C669" s="6"/>
      <c r="D669" s="6"/>
      <c r="E669" s="6"/>
      <c r="F669" s="6"/>
      <c r="G669" s="6"/>
      <c r="H669" s="6"/>
      <c r="I669" s="6"/>
      <c r="J669" s="6"/>
      <c r="K669" s="6"/>
      <c r="L669" s="80"/>
      <c r="M669" s="80"/>
      <c r="N669" s="80"/>
      <c r="O669" s="80"/>
      <c r="P669" s="6"/>
      <c r="Q669" s="6"/>
      <c r="R669" s="6"/>
      <c r="S669" s="6"/>
      <c r="T669" s="6"/>
      <c r="U669" s="6"/>
      <c r="V669" s="6"/>
      <c r="W669" s="7"/>
      <c r="X669" s="7"/>
      <c r="Y669" s="7"/>
      <c r="Z669" s="7"/>
    </row>
    <row r="670">
      <c r="A670" s="6"/>
      <c r="B670" s="6"/>
      <c r="C670" s="6"/>
      <c r="D670" s="6"/>
      <c r="E670" s="6"/>
      <c r="F670" s="6"/>
      <c r="G670" s="6"/>
      <c r="H670" s="6"/>
      <c r="I670" s="6"/>
      <c r="J670" s="6"/>
      <c r="K670" s="6"/>
      <c r="L670" s="80"/>
      <c r="M670" s="80"/>
      <c r="N670" s="80"/>
      <c r="O670" s="80"/>
      <c r="P670" s="6"/>
      <c r="Q670" s="6"/>
      <c r="R670" s="6"/>
      <c r="S670" s="6"/>
      <c r="T670" s="6"/>
      <c r="U670" s="6"/>
      <c r="V670" s="6"/>
      <c r="W670" s="7"/>
      <c r="X670" s="7"/>
      <c r="Y670" s="7"/>
      <c r="Z670" s="7"/>
    </row>
    <row r="671">
      <c r="A671" s="6"/>
      <c r="B671" s="6"/>
      <c r="C671" s="6"/>
      <c r="D671" s="6"/>
      <c r="E671" s="6"/>
      <c r="F671" s="6"/>
      <c r="G671" s="6"/>
      <c r="H671" s="6"/>
      <c r="I671" s="6"/>
      <c r="J671" s="6"/>
      <c r="K671" s="6"/>
      <c r="L671" s="80"/>
      <c r="M671" s="80"/>
      <c r="N671" s="80"/>
      <c r="O671" s="80"/>
      <c r="P671" s="6"/>
      <c r="Q671" s="6"/>
      <c r="R671" s="6"/>
      <c r="S671" s="6"/>
      <c r="T671" s="6"/>
      <c r="U671" s="6"/>
      <c r="V671" s="6"/>
      <c r="W671" s="7"/>
      <c r="X671" s="7"/>
      <c r="Y671" s="7"/>
      <c r="Z671" s="7"/>
    </row>
    <row r="672">
      <c r="A672" s="6"/>
      <c r="B672" s="6"/>
      <c r="C672" s="6"/>
      <c r="D672" s="6"/>
      <c r="E672" s="6"/>
      <c r="F672" s="6"/>
      <c r="G672" s="6"/>
      <c r="H672" s="6"/>
      <c r="I672" s="6"/>
      <c r="J672" s="6"/>
      <c r="K672" s="6"/>
      <c r="L672" s="80"/>
      <c r="M672" s="80"/>
      <c r="N672" s="80"/>
      <c r="O672" s="80"/>
      <c r="P672" s="6"/>
      <c r="Q672" s="6"/>
      <c r="R672" s="6"/>
      <c r="S672" s="6"/>
      <c r="T672" s="6"/>
      <c r="U672" s="6"/>
      <c r="V672" s="6"/>
      <c r="W672" s="7"/>
      <c r="X672" s="7"/>
      <c r="Y672" s="7"/>
      <c r="Z672" s="7"/>
    </row>
    <row r="673">
      <c r="A673" s="6"/>
      <c r="B673" s="6"/>
      <c r="C673" s="6"/>
      <c r="D673" s="6"/>
      <c r="E673" s="6"/>
      <c r="F673" s="6"/>
      <c r="G673" s="6"/>
      <c r="H673" s="6"/>
      <c r="I673" s="6"/>
      <c r="J673" s="6"/>
      <c r="K673" s="6"/>
      <c r="L673" s="80"/>
      <c r="M673" s="80"/>
      <c r="N673" s="80"/>
      <c r="O673" s="80"/>
      <c r="P673" s="6"/>
      <c r="Q673" s="6"/>
      <c r="R673" s="6"/>
      <c r="S673" s="6"/>
      <c r="T673" s="6"/>
      <c r="U673" s="6"/>
      <c r="V673" s="6"/>
      <c r="W673" s="7"/>
      <c r="X673" s="7"/>
      <c r="Y673" s="7"/>
      <c r="Z673" s="7"/>
    </row>
    <row r="674">
      <c r="A674" s="6"/>
      <c r="B674" s="6"/>
      <c r="C674" s="6"/>
      <c r="D674" s="6"/>
      <c r="E674" s="6"/>
      <c r="F674" s="6"/>
      <c r="G674" s="6"/>
      <c r="H674" s="6"/>
      <c r="I674" s="6"/>
      <c r="J674" s="6"/>
      <c r="K674" s="6"/>
      <c r="L674" s="80"/>
      <c r="M674" s="80"/>
      <c r="N674" s="80"/>
      <c r="O674" s="80"/>
      <c r="P674" s="6"/>
      <c r="Q674" s="6"/>
      <c r="R674" s="6"/>
      <c r="S674" s="6"/>
      <c r="T674" s="6"/>
      <c r="U674" s="6"/>
      <c r="V674" s="6"/>
      <c r="W674" s="7"/>
      <c r="X674" s="7"/>
      <c r="Y674" s="7"/>
      <c r="Z674" s="7"/>
    </row>
    <row r="675">
      <c r="A675" s="6"/>
      <c r="B675" s="6"/>
      <c r="C675" s="6"/>
      <c r="D675" s="6"/>
      <c r="E675" s="6"/>
      <c r="F675" s="6"/>
      <c r="G675" s="6"/>
      <c r="H675" s="6"/>
      <c r="I675" s="6"/>
      <c r="J675" s="6"/>
      <c r="K675" s="6"/>
      <c r="L675" s="80"/>
      <c r="M675" s="80"/>
      <c r="N675" s="80"/>
      <c r="O675" s="80"/>
      <c r="P675" s="6"/>
      <c r="Q675" s="6"/>
      <c r="R675" s="6"/>
      <c r="S675" s="6"/>
      <c r="T675" s="6"/>
      <c r="U675" s="6"/>
      <c r="V675" s="6"/>
      <c r="W675" s="7"/>
      <c r="X675" s="7"/>
      <c r="Y675" s="7"/>
      <c r="Z675" s="7"/>
    </row>
    <row r="676">
      <c r="A676" s="6"/>
      <c r="B676" s="6"/>
      <c r="C676" s="6"/>
      <c r="D676" s="6"/>
      <c r="E676" s="6"/>
      <c r="F676" s="6"/>
      <c r="G676" s="6"/>
      <c r="H676" s="6"/>
      <c r="I676" s="6"/>
      <c r="J676" s="6"/>
      <c r="K676" s="6"/>
      <c r="L676" s="80"/>
      <c r="M676" s="80"/>
      <c r="N676" s="80"/>
      <c r="O676" s="80"/>
      <c r="P676" s="6"/>
      <c r="Q676" s="6"/>
      <c r="R676" s="6"/>
      <c r="S676" s="6"/>
      <c r="T676" s="6"/>
      <c r="U676" s="6"/>
      <c r="V676" s="6"/>
      <c r="W676" s="7"/>
      <c r="X676" s="7"/>
      <c r="Y676" s="7"/>
      <c r="Z676" s="7"/>
    </row>
    <row r="677">
      <c r="A677" s="6"/>
      <c r="B677" s="6"/>
      <c r="C677" s="6"/>
      <c r="D677" s="6"/>
      <c r="E677" s="6"/>
      <c r="F677" s="6"/>
      <c r="G677" s="6"/>
      <c r="H677" s="6"/>
      <c r="I677" s="6"/>
      <c r="J677" s="6"/>
      <c r="K677" s="6"/>
      <c r="L677" s="80"/>
      <c r="M677" s="80"/>
      <c r="N677" s="80"/>
      <c r="O677" s="80"/>
      <c r="P677" s="6"/>
      <c r="Q677" s="6"/>
      <c r="R677" s="6"/>
      <c r="S677" s="6"/>
      <c r="T677" s="6"/>
      <c r="U677" s="6"/>
      <c r="V677" s="6"/>
      <c r="W677" s="7"/>
      <c r="X677" s="7"/>
      <c r="Y677" s="7"/>
      <c r="Z677" s="7"/>
    </row>
    <row r="678">
      <c r="A678" s="6"/>
      <c r="B678" s="6"/>
      <c r="C678" s="6"/>
      <c r="D678" s="6"/>
      <c r="E678" s="6"/>
      <c r="F678" s="6"/>
      <c r="G678" s="6"/>
      <c r="H678" s="6"/>
      <c r="I678" s="6"/>
      <c r="J678" s="6"/>
      <c r="K678" s="6"/>
      <c r="L678" s="80"/>
      <c r="M678" s="80"/>
      <c r="N678" s="80"/>
      <c r="O678" s="80"/>
      <c r="P678" s="6"/>
      <c r="Q678" s="6"/>
      <c r="R678" s="6"/>
      <c r="S678" s="6"/>
      <c r="T678" s="6"/>
      <c r="U678" s="6"/>
      <c r="V678" s="6"/>
      <c r="W678" s="7"/>
      <c r="X678" s="7"/>
      <c r="Y678" s="7"/>
      <c r="Z678" s="7"/>
    </row>
    <row r="679">
      <c r="A679" s="6"/>
      <c r="B679" s="6"/>
      <c r="C679" s="6"/>
      <c r="D679" s="6"/>
      <c r="E679" s="6"/>
      <c r="F679" s="6"/>
      <c r="G679" s="6"/>
      <c r="H679" s="6"/>
      <c r="I679" s="6"/>
      <c r="J679" s="6"/>
      <c r="K679" s="6"/>
      <c r="L679" s="80"/>
      <c r="M679" s="80"/>
      <c r="N679" s="80"/>
      <c r="O679" s="80"/>
      <c r="P679" s="6"/>
      <c r="Q679" s="6"/>
      <c r="R679" s="6"/>
      <c r="S679" s="6"/>
      <c r="T679" s="6"/>
      <c r="U679" s="6"/>
      <c r="V679" s="6"/>
      <c r="W679" s="7"/>
      <c r="X679" s="7"/>
      <c r="Y679" s="7"/>
      <c r="Z679" s="7"/>
    </row>
    <row r="680">
      <c r="A680" s="6"/>
      <c r="B680" s="6"/>
      <c r="C680" s="6"/>
      <c r="D680" s="6"/>
      <c r="E680" s="6"/>
      <c r="F680" s="6"/>
      <c r="G680" s="6"/>
      <c r="H680" s="6"/>
      <c r="I680" s="6"/>
      <c r="J680" s="6"/>
      <c r="K680" s="6"/>
      <c r="L680" s="80"/>
      <c r="M680" s="80"/>
      <c r="N680" s="80"/>
      <c r="O680" s="80"/>
      <c r="P680" s="6"/>
      <c r="Q680" s="6"/>
      <c r="R680" s="6"/>
      <c r="S680" s="6"/>
      <c r="T680" s="6"/>
      <c r="U680" s="6"/>
      <c r="V680" s="6"/>
      <c r="W680" s="7"/>
      <c r="X680" s="7"/>
      <c r="Y680" s="7"/>
      <c r="Z680" s="7"/>
    </row>
    <row r="681">
      <c r="A681" s="6"/>
      <c r="B681" s="6"/>
      <c r="C681" s="6"/>
      <c r="D681" s="6"/>
      <c r="E681" s="6"/>
      <c r="F681" s="6"/>
      <c r="G681" s="6"/>
      <c r="H681" s="6"/>
      <c r="I681" s="6"/>
      <c r="J681" s="6"/>
      <c r="K681" s="6"/>
      <c r="L681" s="80"/>
      <c r="M681" s="80"/>
      <c r="N681" s="80"/>
      <c r="O681" s="80"/>
      <c r="P681" s="6"/>
      <c r="Q681" s="6"/>
      <c r="R681" s="6"/>
      <c r="S681" s="6"/>
      <c r="T681" s="6"/>
      <c r="U681" s="6"/>
      <c r="V681" s="6"/>
      <c r="W681" s="7"/>
      <c r="X681" s="7"/>
      <c r="Y681" s="7"/>
      <c r="Z681" s="7"/>
    </row>
    <row r="682">
      <c r="A682" s="6"/>
      <c r="B682" s="6"/>
      <c r="C682" s="6"/>
      <c r="D682" s="6"/>
      <c r="E682" s="6"/>
      <c r="F682" s="6"/>
      <c r="G682" s="6"/>
      <c r="H682" s="6"/>
      <c r="I682" s="6"/>
      <c r="J682" s="6"/>
      <c r="K682" s="6"/>
      <c r="L682" s="80"/>
      <c r="M682" s="80"/>
      <c r="N682" s="80"/>
      <c r="O682" s="80"/>
      <c r="P682" s="6"/>
      <c r="Q682" s="6"/>
      <c r="R682" s="6"/>
      <c r="S682" s="6"/>
      <c r="T682" s="6"/>
      <c r="U682" s="6"/>
      <c r="V682" s="6"/>
      <c r="W682" s="7"/>
      <c r="X682" s="7"/>
      <c r="Y682" s="7"/>
      <c r="Z682" s="7"/>
    </row>
    <row r="683">
      <c r="A683" s="6"/>
      <c r="B683" s="6"/>
      <c r="C683" s="6"/>
      <c r="D683" s="6"/>
      <c r="E683" s="6"/>
      <c r="F683" s="6"/>
      <c r="G683" s="6"/>
      <c r="H683" s="6"/>
      <c r="I683" s="6"/>
      <c r="J683" s="6"/>
      <c r="K683" s="6"/>
      <c r="L683" s="80"/>
      <c r="M683" s="80"/>
      <c r="N683" s="80"/>
      <c r="O683" s="80"/>
      <c r="P683" s="6"/>
      <c r="Q683" s="6"/>
      <c r="R683" s="6"/>
      <c r="S683" s="6"/>
      <c r="T683" s="6"/>
      <c r="U683" s="6"/>
      <c r="V683" s="6"/>
      <c r="W683" s="7"/>
      <c r="X683" s="7"/>
      <c r="Y683" s="7"/>
      <c r="Z683" s="7"/>
    </row>
    <row r="684">
      <c r="A684" s="6"/>
      <c r="B684" s="6"/>
      <c r="C684" s="6"/>
      <c r="D684" s="6"/>
      <c r="E684" s="6"/>
      <c r="F684" s="6"/>
      <c r="G684" s="6"/>
      <c r="H684" s="6"/>
      <c r="I684" s="6"/>
      <c r="J684" s="6"/>
      <c r="K684" s="6"/>
      <c r="L684" s="80"/>
      <c r="M684" s="80"/>
      <c r="N684" s="80"/>
      <c r="O684" s="80"/>
      <c r="P684" s="6"/>
      <c r="Q684" s="6"/>
      <c r="R684" s="6"/>
      <c r="S684" s="6"/>
      <c r="T684" s="6"/>
      <c r="U684" s="6"/>
      <c r="V684" s="6"/>
      <c r="W684" s="7"/>
      <c r="X684" s="7"/>
      <c r="Y684" s="7"/>
      <c r="Z684" s="7"/>
    </row>
    <row r="685">
      <c r="A685" s="6"/>
      <c r="B685" s="6"/>
      <c r="C685" s="6"/>
      <c r="D685" s="6"/>
      <c r="E685" s="6"/>
      <c r="F685" s="6"/>
      <c r="G685" s="6"/>
      <c r="H685" s="6"/>
      <c r="I685" s="6"/>
      <c r="J685" s="6"/>
      <c r="K685" s="6"/>
      <c r="L685" s="80"/>
      <c r="M685" s="80"/>
      <c r="N685" s="80"/>
      <c r="O685" s="80"/>
      <c r="P685" s="6"/>
      <c r="Q685" s="6"/>
      <c r="R685" s="6"/>
      <c r="S685" s="6"/>
      <c r="T685" s="6"/>
      <c r="U685" s="6"/>
      <c r="V685" s="6"/>
      <c r="W685" s="7"/>
      <c r="X685" s="7"/>
      <c r="Y685" s="7"/>
      <c r="Z685" s="7"/>
    </row>
    <row r="686">
      <c r="A686" s="6"/>
      <c r="B686" s="6"/>
      <c r="C686" s="6"/>
      <c r="D686" s="6"/>
      <c r="E686" s="6"/>
      <c r="F686" s="6"/>
      <c r="G686" s="6"/>
      <c r="H686" s="6"/>
      <c r="I686" s="6"/>
      <c r="J686" s="6"/>
      <c r="K686" s="6"/>
      <c r="L686" s="80"/>
      <c r="M686" s="80"/>
      <c r="N686" s="80"/>
      <c r="O686" s="80"/>
      <c r="P686" s="6"/>
      <c r="Q686" s="6"/>
      <c r="R686" s="6"/>
      <c r="S686" s="6"/>
      <c r="T686" s="6"/>
      <c r="U686" s="6"/>
      <c r="V686" s="6"/>
      <c r="W686" s="7"/>
      <c r="X686" s="7"/>
      <c r="Y686" s="7"/>
      <c r="Z686" s="7"/>
    </row>
    <row r="687">
      <c r="A687" s="6"/>
      <c r="B687" s="6"/>
      <c r="C687" s="6"/>
      <c r="D687" s="6"/>
      <c r="E687" s="6"/>
      <c r="F687" s="6"/>
      <c r="G687" s="6"/>
      <c r="H687" s="6"/>
      <c r="I687" s="6"/>
      <c r="J687" s="6"/>
      <c r="K687" s="6"/>
      <c r="L687" s="80"/>
      <c r="M687" s="80"/>
      <c r="N687" s="80"/>
      <c r="O687" s="80"/>
      <c r="P687" s="6"/>
      <c r="Q687" s="6"/>
      <c r="R687" s="6"/>
      <c r="S687" s="6"/>
      <c r="T687" s="6"/>
      <c r="U687" s="6"/>
      <c r="V687" s="6"/>
      <c r="W687" s="7"/>
      <c r="X687" s="7"/>
      <c r="Y687" s="7"/>
      <c r="Z687" s="7"/>
    </row>
    <row r="688">
      <c r="A688" s="6"/>
      <c r="B688" s="6"/>
      <c r="C688" s="6"/>
      <c r="D688" s="6"/>
      <c r="E688" s="6"/>
      <c r="F688" s="6"/>
      <c r="G688" s="6"/>
      <c r="H688" s="6"/>
      <c r="I688" s="6"/>
      <c r="J688" s="6"/>
      <c r="K688" s="6"/>
      <c r="L688" s="80"/>
      <c r="M688" s="80"/>
      <c r="N688" s="80"/>
      <c r="O688" s="80"/>
      <c r="P688" s="6"/>
      <c r="Q688" s="6"/>
      <c r="R688" s="6"/>
      <c r="S688" s="6"/>
      <c r="T688" s="6"/>
      <c r="U688" s="6"/>
      <c r="V688" s="6"/>
      <c r="W688" s="7"/>
      <c r="X688" s="7"/>
      <c r="Y688" s="7"/>
      <c r="Z688" s="7"/>
    </row>
    <row r="689">
      <c r="A689" s="6"/>
      <c r="B689" s="6"/>
      <c r="C689" s="6"/>
      <c r="D689" s="6"/>
      <c r="E689" s="6"/>
      <c r="F689" s="6"/>
      <c r="G689" s="6"/>
      <c r="H689" s="6"/>
      <c r="I689" s="6"/>
      <c r="J689" s="6"/>
      <c r="K689" s="6"/>
      <c r="L689" s="80"/>
      <c r="M689" s="80"/>
      <c r="N689" s="80"/>
      <c r="O689" s="80"/>
      <c r="P689" s="6"/>
      <c r="Q689" s="6"/>
      <c r="R689" s="6"/>
      <c r="S689" s="6"/>
      <c r="T689" s="6"/>
      <c r="U689" s="6"/>
      <c r="V689" s="6"/>
      <c r="W689" s="7"/>
      <c r="X689" s="7"/>
      <c r="Y689" s="7"/>
      <c r="Z689" s="7"/>
    </row>
    <row r="690">
      <c r="A690" s="6"/>
      <c r="B690" s="6"/>
      <c r="C690" s="6"/>
      <c r="D690" s="6"/>
      <c r="E690" s="6"/>
      <c r="F690" s="6"/>
      <c r="G690" s="6"/>
      <c r="H690" s="6"/>
      <c r="I690" s="6"/>
      <c r="J690" s="6"/>
      <c r="K690" s="6"/>
      <c r="L690" s="80"/>
      <c r="M690" s="80"/>
      <c r="N690" s="80"/>
      <c r="O690" s="80"/>
      <c r="P690" s="6"/>
      <c r="Q690" s="6"/>
      <c r="R690" s="6"/>
      <c r="S690" s="6"/>
      <c r="T690" s="6"/>
      <c r="U690" s="6"/>
      <c r="V690" s="6"/>
      <c r="W690" s="7"/>
      <c r="X690" s="7"/>
      <c r="Y690" s="7"/>
      <c r="Z690" s="7"/>
    </row>
    <row r="691">
      <c r="A691" s="6"/>
      <c r="B691" s="6"/>
      <c r="C691" s="6"/>
      <c r="D691" s="6"/>
      <c r="E691" s="6"/>
      <c r="F691" s="6"/>
      <c r="G691" s="6"/>
      <c r="H691" s="6"/>
      <c r="I691" s="6"/>
      <c r="J691" s="6"/>
      <c r="K691" s="6"/>
      <c r="L691" s="80"/>
      <c r="M691" s="80"/>
      <c r="N691" s="80"/>
      <c r="O691" s="80"/>
      <c r="P691" s="6"/>
      <c r="Q691" s="6"/>
      <c r="R691" s="6"/>
      <c r="S691" s="6"/>
      <c r="T691" s="6"/>
      <c r="U691" s="6"/>
      <c r="V691" s="6"/>
      <c r="W691" s="7"/>
      <c r="X691" s="7"/>
      <c r="Y691" s="7"/>
      <c r="Z691" s="7"/>
    </row>
    <row r="692">
      <c r="A692" s="6"/>
      <c r="B692" s="6"/>
      <c r="C692" s="6"/>
      <c r="D692" s="6"/>
      <c r="E692" s="6"/>
      <c r="F692" s="6"/>
      <c r="G692" s="6"/>
      <c r="H692" s="6"/>
      <c r="I692" s="6"/>
      <c r="J692" s="6"/>
      <c r="K692" s="6"/>
      <c r="L692" s="80"/>
      <c r="M692" s="80"/>
      <c r="N692" s="80"/>
      <c r="O692" s="80"/>
      <c r="P692" s="6"/>
      <c r="Q692" s="6"/>
      <c r="R692" s="6"/>
      <c r="S692" s="6"/>
      <c r="T692" s="6"/>
      <c r="U692" s="6"/>
      <c r="V692" s="6"/>
      <c r="W692" s="7"/>
      <c r="X692" s="7"/>
      <c r="Y692" s="7"/>
      <c r="Z692" s="7"/>
    </row>
    <row r="693">
      <c r="A693" s="6"/>
      <c r="B693" s="6"/>
      <c r="C693" s="6"/>
      <c r="D693" s="6"/>
      <c r="E693" s="6"/>
      <c r="F693" s="6"/>
      <c r="G693" s="6"/>
      <c r="H693" s="6"/>
      <c r="I693" s="6"/>
      <c r="J693" s="6"/>
      <c r="K693" s="6"/>
      <c r="L693" s="80"/>
      <c r="M693" s="80"/>
      <c r="N693" s="80"/>
      <c r="O693" s="80"/>
      <c r="P693" s="6"/>
      <c r="Q693" s="6"/>
      <c r="R693" s="6"/>
      <c r="S693" s="6"/>
      <c r="T693" s="6"/>
      <c r="U693" s="6"/>
      <c r="V693" s="6"/>
      <c r="W693" s="7"/>
      <c r="X693" s="7"/>
      <c r="Y693" s="7"/>
      <c r="Z693" s="7"/>
    </row>
    <row r="694">
      <c r="A694" s="6"/>
      <c r="B694" s="6"/>
      <c r="C694" s="6"/>
      <c r="D694" s="6"/>
      <c r="E694" s="6"/>
      <c r="F694" s="6"/>
      <c r="G694" s="6"/>
      <c r="H694" s="6"/>
      <c r="I694" s="6"/>
      <c r="J694" s="6"/>
      <c r="K694" s="6"/>
      <c r="L694" s="80"/>
      <c r="M694" s="80"/>
      <c r="N694" s="80"/>
      <c r="O694" s="80"/>
      <c r="P694" s="6"/>
      <c r="Q694" s="6"/>
      <c r="R694" s="6"/>
      <c r="S694" s="6"/>
      <c r="T694" s="6"/>
      <c r="U694" s="6"/>
      <c r="V694" s="6"/>
      <c r="W694" s="7"/>
      <c r="X694" s="7"/>
      <c r="Y694" s="7"/>
      <c r="Z694" s="7"/>
    </row>
    <row r="695">
      <c r="A695" s="6"/>
      <c r="B695" s="6"/>
      <c r="C695" s="6"/>
      <c r="D695" s="6"/>
      <c r="E695" s="6"/>
      <c r="F695" s="6"/>
      <c r="G695" s="6"/>
      <c r="H695" s="6"/>
      <c r="I695" s="6"/>
      <c r="J695" s="6"/>
      <c r="K695" s="6"/>
      <c r="L695" s="80"/>
      <c r="M695" s="80"/>
      <c r="N695" s="80"/>
      <c r="O695" s="80"/>
      <c r="P695" s="6"/>
      <c r="Q695" s="6"/>
      <c r="R695" s="6"/>
      <c r="S695" s="6"/>
      <c r="T695" s="6"/>
      <c r="U695" s="6"/>
      <c r="V695" s="6"/>
      <c r="W695" s="7"/>
      <c r="X695" s="7"/>
      <c r="Y695" s="7"/>
      <c r="Z695" s="7"/>
    </row>
    <row r="696">
      <c r="A696" s="6"/>
      <c r="B696" s="6"/>
      <c r="C696" s="6"/>
      <c r="D696" s="6"/>
      <c r="E696" s="6"/>
      <c r="F696" s="6"/>
      <c r="G696" s="6"/>
      <c r="H696" s="6"/>
      <c r="I696" s="6"/>
      <c r="J696" s="6"/>
      <c r="K696" s="6"/>
      <c r="L696" s="80"/>
      <c r="M696" s="80"/>
      <c r="N696" s="80"/>
      <c r="O696" s="80"/>
      <c r="P696" s="6"/>
      <c r="Q696" s="6"/>
      <c r="R696" s="6"/>
      <c r="S696" s="6"/>
      <c r="T696" s="6"/>
      <c r="U696" s="6"/>
      <c r="V696" s="6"/>
      <c r="W696" s="7"/>
      <c r="X696" s="7"/>
      <c r="Y696" s="7"/>
      <c r="Z696" s="7"/>
    </row>
    <row r="697">
      <c r="A697" s="6"/>
      <c r="B697" s="6"/>
      <c r="C697" s="6"/>
      <c r="D697" s="6"/>
      <c r="E697" s="6"/>
      <c r="F697" s="6"/>
      <c r="G697" s="6"/>
      <c r="H697" s="6"/>
      <c r="I697" s="6"/>
      <c r="J697" s="6"/>
      <c r="K697" s="6"/>
      <c r="L697" s="80"/>
      <c r="M697" s="80"/>
      <c r="N697" s="80"/>
      <c r="O697" s="80"/>
      <c r="P697" s="6"/>
      <c r="Q697" s="6"/>
      <c r="R697" s="6"/>
      <c r="S697" s="6"/>
      <c r="T697" s="6"/>
      <c r="U697" s="6"/>
      <c r="V697" s="6"/>
      <c r="W697" s="7"/>
      <c r="X697" s="7"/>
      <c r="Y697" s="7"/>
      <c r="Z697" s="7"/>
    </row>
    <row r="698">
      <c r="A698" s="6"/>
      <c r="B698" s="6"/>
      <c r="C698" s="6"/>
      <c r="D698" s="6"/>
      <c r="E698" s="6"/>
      <c r="F698" s="6"/>
      <c r="G698" s="6"/>
      <c r="H698" s="6"/>
      <c r="I698" s="6"/>
      <c r="J698" s="6"/>
      <c r="K698" s="6"/>
      <c r="L698" s="80"/>
      <c r="M698" s="80"/>
      <c r="N698" s="80"/>
      <c r="O698" s="80"/>
      <c r="P698" s="6"/>
      <c r="Q698" s="6"/>
      <c r="R698" s="6"/>
      <c r="S698" s="6"/>
      <c r="T698" s="6"/>
      <c r="U698" s="6"/>
      <c r="V698" s="6"/>
      <c r="W698" s="7"/>
      <c r="X698" s="7"/>
      <c r="Y698" s="7"/>
      <c r="Z698" s="7"/>
    </row>
    <row r="699">
      <c r="A699" s="6"/>
      <c r="B699" s="6"/>
      <c r="C699" s="6"/>
      <c r="D699" s="6"/>
      <c r="E699" s="6"/>
      <c r="F699" s="6"/>
      <c r="G699" s="6"/>
      <c r="H699" s="6"/>
      <c r="I699" s="6"/>
      <c r="J699" s="6"/>
      <c r="K699" s="6"/>
      <c r="L699" s="80"/>
      <c r="M699" s="80"/>
      <c r="N699" s="80"/>
      <c r="O699" s="80"/>
      <c r="P699" s="6"/>
      <c r="Q699" s="6"/>
      <c r="R699" s="6"/>
      <c r="S699" s="6"/>
      <c r="T699" s="6"/>
      <c r="U699" s="6"/>
      <c r="V699" s="6"/>
      <c r="W699" s="7"/>
      <c r="X699" s="7"/>
      <c r="Y699" s="7"/>
      <c r="Z699" s="7"/>
    </row>
    <row r="700">
      <c r="A700" s="6"/>
      <c r="B700" s="6"/>
      <c r="C700" s="6"/>
      <c r="D700" s="6"/>
      <c r="E700" s="6"/>
      <c r="F700" s="6"/>
      <c r="G700" s="6"/>
      <c r="H700" s="6"/>
      <c r="I700" s="6"/>
      <c r="J700" s="6"/>
      <c r="K700" s="6"/>
      <c r="L700" s="80"/>
      <c r="M700" s="80"/>
      <c r="N700" s="80"/>
      <c r="O700" s="80"/>
      <c r="P700" s="6"/>
      <c r="Q700" s="6"/>
      <c r="R700" s="6"/>
      <c r="S700" s="6"/>
      <c r="T700" s="6"/>
      <c r="U700" s="6"/>
      <c r="V700" s="6"/>
      <c r="W700" s="7"/>
      <c r="X700" s="7"/>
      <c r="Y700" s="7"/>
      <c r="Z700" s="7"/>
    </row>
    <row r="701">
      <c r="A701" s="6"/>
      <c r="B701" s="6"/>
      <c r="C701" s="6"/>
      <c r="D701" s="6"/>
      <c r="E701" s="6"/>
      <c r="F701" s="6"/>
      <c r="G701" s="6"/>
      <c r="H701" s="6"/>
      <c r="I701" s="6"/>
      <c r="J701" s="6"/>
      <c r="K701" s="6"/>
      <c r="L701" s="80"/>
      <c r="M701" s="80"/>
      <c r="N701" s="80"/>
      <c r="O701" s="80"/>
      <c r="P701" s="6"/>
      <c r="Q701" s="6"/>
      <c r="R701" s="6"/>
      <c r="S701" s="6"/>
      <c r="T701" s="6"/>
      <c r="U701" s="6"/>
      <c r="V701" s="6"/>
      <c r="W701" s="7"/>
      <c r="X701" s="7"/>
      <c r="Y701" s="7"/>
      <c r="Z701" s="7"/>
    </row>
    <row r="702">
      <c r="A702" s="6"/>
      <c r="B702" s="6"/>
      <c r="C702" s="6"/>
      <c r="D702" s="6"/>
      <c r="E702" s="6"/>
      <c r="F702" s="6"/>
      <c r="G702" s="6"/>
      <c r="H702" s="6"/>
      <c r="I702" s="6"/>
      <c r="J702" s="6"/>
      <c r="K702" s="6"/>
      <c r="L702" s="80"/>
      <c r="M702" s="80"/>
      <c r="N702" s="80"/>
      <c r="O702" s="80"/>
      <c r="P702" s="6"/>
      <c r="Q702" s="6"/>
      <c r="R702" s="6"/>
      <c r="S702" s="6"/>
      <c r="T702" s="6"/>
      <c r="U702" s="6"/>
      <c r="V702" s="6"/>
      <c r="W702" s="7"/>
      <c r="X702" s="7"/>
      <c r="Y702" s="7"/>
      <c r="Z702" s="7"/>
    </row>
    <row r="703">
      <c r="A703" s="6"/>
      <c r="B703" s="6"/>
      <c r="C703" s="6"/>
      <c r="D703" s="6"/>
      <c r="E703" s="6"/>
      <c r="F703" s="6"/>
      <c r="G703" s="6"/>
      <c r="H703" s="6"/>
      <c r="I703" s="6"/>
      <c r="J703" s="6"/>
      <c r="K703" s="6"/>
      <c r="L703" s="80"/>
      <c r="M703" s="80"/>
      <c r="N703" s="80"/>
      <c r="O703" s="80"/>
      <c r="P703" s="6"/>
      <c r="Q703" s="6"/>
      <c r="R703" s="6"/>
      <c r="S703" s="6"/>
      <c r="T703" s="6"/>
      <c r="U703" s="6"/>
      <c r="V703" s="6"/>
      <c r="W703" s="7"/>
      <c r="X703" s="7"/>
      <c r="Y703" s="7"/>
      <c r="Z703" s="7"/>
    </row>
    <row r="704">
      <c r="A704" s="6"/>
      <c r="B704" s="6"/>
      <c r="C704" s="6"/>
      <c r="D704" s="6"/>
      <c r="E704" s="6"/>
      <c r="F704" s="6"/>
      <c r="G704" s="6"/>
      <c r="H704" s="6"/>
      <c r="I704" s="6"/>
      <c r="J704" s="6"/>
      <c r="K704" s="6"/>
      <c r="L704" s="80"/>
      <c r="M704" s="80"/>
      <c r="N704" s="80"/>
      <c r="O704" s="80"/>
      <c r="P704" s="6"/>
      <c r="Q704" s="6"/>
      <c r="R704" s="6"/>
      <c r="S704" s="6"/>
      <c r="T704" s="6"/>
      <c r="U704" s="6"/>
      <c r="V704" s="6"/>
      <c r="W704" s="7"/>
      <c r="X704" s="7"/>
      <c r="Y704" s="7"/>
      <c r="Z704" s="7"/>
    </row>
    <row r="705">
      <c r="A705" s="6"/>
      <c r="B705" s="6"/>
      <c r="C705" s="6"/>
      <c r="D705" s="6"/>
      <c r="E705" s="6"/>
      <c r="F705" s="6"/>
      <c r="G705" s="6"/>
      <c r="H705" s="6"/>
      <c r="I705" s="6"/>
      <c r="J705" s="6"/>
      <c r="K705" s="6"/>
      <c r="L705" s="80"/>
      <c r="M705" s="80"/>
      <c r="N705" s="80"/>
      <c r="O705" s="80"/>
      <c r="P705" s="6"/>
      <c r="Q705" s="6"/>
      <c r="R705" s="6"/>
      <c r="S705" s="6"/>
      <c r="T705" s="6"/>
      <c r="U705" s="6"/>
      <c r="V705" s="6"/>
      <c r="W705" s="7"/>
      <c r="X705" s="7"/>
      <c r="Y705" s="7"/>
      <c r="Z705" s="7"/>
    </row>
    <row r="706">
      <c r="A706" s="6"/>
      <c r="B706" s="6"/>
      <c r="C706" s="6"/>
      <c r="D706" s="6"/>
      <c r="E706" s="6"/>
      <c r="F706" s="6"/>
      <c r="G706" s="6"/>
      <c r="H706" s="6"/>
      <c r="I706" s="6"/>
      <c r="J706" s="6"/>
      <c r="K706" s="6"/>
      <c r="L706" s="80"/>
      <c r="M706" s="80"/>
      <c r="N706" s="80"/>
      <c r="O706" s="80"/>
      <c r="P706" s="6"/>
      <c r="Q706" s="6"/>
      <c r="R706" s="6"/>
      <c r="S706" s="6"/>
      <c r="T706" s="6"/>
      <c r="U706" s="6"/>
      <c r="V706" s="6"/>
      <c r="W706" s="7"/>
      <c r="X706" s="7"/>
      <c r="Y706" s="7"/>
      <c r="Z706" s="7"/>
    </row>
    <row r="707">
      <c r="A707" s="6"/>
      <c r="B707" s="6"/>
      <c r="C707" s="6"/>
      <c r="D707" s="6"/>
      <c r="E707" s="6"/>
      <c r="F707" s="6"/>
      <c r="G707" s="6"/>
      <c r="H707" s="6"/>
      <c r="I707" s="6"/>
      <c r="J707" s="6"/>
      <c r="K707" s="6"/>
      <c r="L707" s="80"/>
      <c r="M707" s="80"/>
      <c r="N707" s="80"/>
      <c r="O707" s="80"/>
      <c r="P707" s="6"/>
      <c r="Q707" s="6"/>
      <c r="R707" s="6"/>
      <c r="S707" s="6"/>
      <c r="T707" s="6"/>
      <c r="U707" s="6"/>
      <c r="V707" s="6"/>
      <c r="W707" s="7"/>
      <c r="X707" s="7"/>
      <c r="Y707" s="7"/>
      <c r="Z707" s="7"/>
    </row>
    <row r="708">
      <c r="A708" s="6"/>
      <c r="B708" s="6"/>
      <c r="C708" s="6"/>
      <c r="D708" s="6"/>
      <c r="E708" s="6"/>
      <c r="F708" s="6"/>
      <c r="G708" s="6"/>
      <c r="H708" s="6"/>
      <c r="I708" s="6"/>
      <c r="J708" s="6"/>
      <c r="K708" s="6"/>
      <c r="L708" s="80"/>
      <c r="M708" s="80"/>
      <c r="N708" s="80"/>
      <c r="O708" s="80"/>
      <c r="P708" s="6"/>
      <c r="Q708" s="6"/>
      <c r="R708" s="6"/>
      <c r="S708" s="6"/>
      <c r="T708" s="6"/>
      <c r="U708" s="6"/>
      <c r="V708" s="6"/>
      <c r="W708" s="7"/>
      <c r="X708" s="7"/>
      <c r="Y708" s="7"/>
      <c r="Z708" s="7"/>
    </row>
    <row r="709">
      <c r="A709" s="6"/>
      <c r="B709" s="6"/>
      <c r="C709" s="6"/>
      <c r="D709" s="6"/>
      <c r="E709" s="6"/>
      <c r="F709" s="6"/>
      <c r="G709" s="6"/>
      <c r="H709" s="6"/>
      <c r="I709" s="6"/>
      <c r="J709" s="6"/>
      <c r="K709" s="6"/>
      <c r="L709" s="80"/>
      <c r="M709" s="80"/>
      <c r="N709" s="80"/>
      <c r="O709" s="80"/>
      <c r="P709" s="6"/>
      <c r="Q709" s="6"/>
      <c r="R709" s="6"/>
      <c r="S709" s="6"/>
      <c r="T709" s="6"/>
      <c r="U709" s="6"/>
      <c r="V709" s="6"/>
      <c r="W709" s="7"/>
      <c r="X709" s="7"/>
      <c r="Y709" s="7"/>
      <c r="Z709" s="7"/>
    </row>
    <row r="710">
      <c r="A710" s="6"/>
      <c r="B710" s="6"/>
      <c r="C710" s="6"/>
      <c r="D710" s="6"/>
      <c r="E710" s="6"/>
      <c r="F710" s="6"/>
      <c r="G710" s="6"/>
      <c r="H710" s="6"/>
      <c r="I710" s="6"/>
      <c r="J710" s="6"/>
      <c r="K710" s="6"/>
      <c r="L710" s="80"/>
      <c r="M710" s="80"/>
      <c r="N710" s="80"/>
      <c r="O710" s="80"/>
      <c r="P710" s="6"/>
      <c r="Q710" s="6"/>
      <c r="R710" s="6"/>
      <c r="S710" s="6"/>
      <c r="T710" s="6"/>
      <c r="U710" s="6"/>
      <c r="V710" s="6"/>
      <c r="W710" s="7"/>
      <c r="X710" s="7"/>
      <c r="Y710" s="7"/>
      <c r="Z710" s="7"/>
    </row>
    <row r="711">
      <c r="A711" s="6"/>
      <c r="B711" s="6"/>
      <c r="C711" s="6"/>
      <c r="D711" s="6"/>
      <c r="E711" s="6"/>
      <c r="F711" s="6"/>
      <c r="G711" s="6"/>
      <c r="H711" s="6"/>
      <c r="I711" s="6"/>
      <c r="J711" s="6"/>
      <c r="K711" s="6"/>
      <c r="L711" s="80"/>
      <c r="M711" s="80"/>
      <c r="N711" s="80"/>
      <c r="O711" s="80"/>
      <c r="P711" s="6"/>
      <c r="Q711" s="6"/>
      <c r="R711" s="6"/>
      <c r="S711" s="6"/>
      <c r="T711" s="6"/>
      <c r="U711" s="6"/>
      <c r="V711" s="6"/>
      <c r="W711" s="7"/>
      <c r="X711" s="7"/>
      <c r="Y711" s="7"/>
      <c r="Z711" s="7"/>
    </row>
    <row r="712">
      <c r="A712" s="6"/>
      <c r="B712" s="6"/>
      <c r="C712" s="6"/>
      <c r="D712" s="6"/>
      <c r="E712" s="6"/>
      <c r="F712" s="6"/>
      <c r="G712" s="6"/>
      <c r="H712" s="6"/>
      <c r="I712" s="6"/>
      <c r="J712" s="6"/>
      <c r="K712" s="6"/>
      <c r="L712" s="80"/>
      <c r="M712" s="80"/>
      <c r="N712" s="80"/>
      <c r="O712" s="80"/>
      <c r="P712" s="6"/>
      <c r="Q712" s="6"/>
      <c r="R712" s="6"/>
      <c r="S712" s="6"/>
      <c r="T712" s="6"/>
      <c r="U712" s="6"/>
      <c r="V712" s="6"/>
      <c r="W712" s="7"/>
      <c r="X712" s="7"/>
      <c r="Y712" s="7"/>
      <c r="Z712" s="7"/>
    </row>
    <row r="713">
      <c r="A713" s="6"/>
      <c r="B713" s="6"/>
      <c r="C713" s="6"/>
      <c r="D713" s="6"/>
      <c r="E713" s="6"/>
      <c r="F713" s="6"/>
      <c r="G713" s="6"/>
      <c r="H713" s="6"/>
      <c r="I713" s="6"/>
      <c r="J713" s="6"/>
      <c r="K713" s="6"/>
      <c r="L713" s="80"/>
      <c r="M713" s="80"/>
      <c r="N713" s="80"/>
      <c r="O713" s="80"/>
      <c r="P713" s="6"/>
      <c r="Q713" s="6"/>
      <c r="R713" s="6"/>
      <c r="S713" s="6"/>
      <c r="T713" s="6"/>
      <c r="U713" s="6"/>
      <c r="V713" s="6"/>
      <c r="W713" s="7"/>
      <c r="X713" s="7"/>
      <c r="Y713" s="7"/>
      <c r="Z713" s="7"/>
    </row>
    <row r="714">
      <c r="A714" s="6"/>
      <c r="B714" s="6"/>
      <c r="C714" s="6"/>
      <c r="D714" s="6"/>
      <c r="E714" s="6"/>
      <c r="F714" s="6"/>
      <c r="G714" s="6"/>
      <c r="H714" s="6"/>
      <c r="I714" s="6"/>
      <c r="J714" s="6"/>
      <c r="K714" s="6"/>
      <c r="L714" s="80"/>
      <c r="M714" s="80"/>
      <c r="N714" s="80"/>
      <c r="O714" s="80"/>
      <c r="P714" s="6"/>
      <c r="Q714" s="6"/>
      <c r="R714" s="6"/>
      <c r="S714" s="6"/>
      <c r="T714" s="6"/>
      <c r="U714" s="6"/>
      <c r="V714" s="6"/>
      <c r="W714" s="7"/>
      <c r="X714" s="7"/>
      <c r="Y714" s="7"/>
      <c r="Z714" s="7"/>
    </row>
    <row r="715">
      <c r="A715" s="6"/>
      <c r="B715" s="6"/>
      <c r="C715" s="6"/>
      <c r="D715" s="6"/>
      <c r="E715" s="6"/>
      <c r="F715" s="6"/>
      <c r="G715" s="6"/>
      <c r="H715" s="6"/>
      <c r="I715" s="6"/>
      <c r="J715" s="6"/>
      <c r="K715" s="6"/>
      <c r="L715" s="80"/>
      <c r="M715" s="80"/>
      <c r="N715" s="80"/>
      <c r="O715" s="80"/>
      <c r="P715" s="6"/>
      <c r="Q715" s="6"/>
      <c r="R715" s="6"/>
      <c r="S715" s="6"/>
      <c r="T715" s="6"/>
      <c r="U715" s="6"/>
      <c r="V715" s="6"/>
      <c r="W715" s="7"/>
      <c r="X715" s="7"/>
      <c r="Y715" s="7"/>
      <c r="Z715" s="7"/>
    </row>
    <row r="716">
      <c r="A716" s="6"/>
      <c r="B716" s="6"/>
      <c r="C716" s="6"/>
      <c r="D716" s="6"/>
      <c r="E716" s="6"/>
      <c r="F716" s="6"/>
      <c r="G716" s="6"/>
      <c r="H716" s="6"/>
      <c r="I716" s="6"/>
      <c r="J716" s="6"/>
      <c r="K716" s="6"/>
      <c r="L716" s="80"/>
      <c r="M716" s="80"/>
      <c r="N716" s="80"/>
      <c r="O716" s="80"/>
      <c r="P716" s="6"/>
      <c r="Q716" s="6"/>
      <c r="R716" s="6"/>
      <c r="S716" s="6"/>
      <c r="T716" s="6"/>
      <c r="U716" s="6"/>
      <c r="V716" s="6"/>
      <c r="W716" s="7"/>
      <c r="X716" s="7"/>
      <c r="Y716" s="7"/>
      <c r="Z716" s="7"/>
    </row>
    <row r="717">
      <c r="A717" s="6"/>
      <c r="B717" s="6"/>
      <c r="C717" s="6"/>
      <c r="D717" s="6"/>
      <c r="E717" s="6"/>
      <c r="F717" s="6"/>
      <c r="G717" s="6"/>
      <c r="H717" s="6"/>
      <c r="I717" s="6"/>
      <c r="J717" s="6"/>
      <c r="K717" s="6"/>
      <c r="L717" s="80"/>
      <c r="M717" s="80"/>
      <c r="N717" s="80"/>
      <c r="O717" s="80"/>
      <c r="P717" s="6"/>
      <c r="Q717" s="6"/>
      <c r="R717" s="6"/>
      <c r="S717" s="6"/>
      <c r="T717" s="6"/>
      <c r="U717" s="6"/>
      <c r="V717" s="6"/>
      <c r="W717" s="7"/>
      <c r="X717" s="7"/>
      <c r="Y717" s="7"/>
      <c r="Z717" s="7"/>
    </row>
    <row r="718">
      <c r="A718" s="6"/>
      <c r="B718" s="6"/>
      <c r="C718" s="6"/>
      <c r="D718" s="6"/>
      <c r="E718" s="6"/>
      <c r="F718" s="6"/>
      <c r="G718" s="6"/>
      <c r="H718" s="6"/>
      <c r="I718" s="6"/>
      <c r="J718" s="6"/>
      <c r="K718" s="6"/>
      <c r="L718" s="80"/>
      <c r="M718" s="80"/>
      <c r="N718" s="80"/>
      <c r="O718" s="80"/>
      <c r="P718" s="6"/>
      <c r="Q718" s="6"/>
      <c r="R718" s="6"/>
      <c r="S718" s="6"/>
      <c r="T718" s="6"/>
      <c r="U718" s="6"/>
      <c r="V718" s="6"/>
      <c r="W718" s="7"/>
      <c r="X718" s="7"/>
      <c r="Y718" s="7"/>
      <c r="Z718" s="7"/>
    </row>
    <row r="719">
      <c r="A719" s="6"/>
      <c r="B719" s="6"/>
      <c r="C719" s="6"/>
      <c r="D719" s="6"/>
      <c r="E719" s="6"/>
      <c r="F719" s="6"/>
      <c r="G719" s="6"/>
      <c r="H719" s="6"/>
      <c r="I719" s="6"/>
      <c r="J719" s="6"/>
      <c r="K719" s="6"/>
      <c r="L719" s="80"/>
      <c r="M719" s="80"/>
      <c r="N719" s="80"/>
      <c r="O719" s="80"/>
      <c r="P719" s="6"/>
      <c r="Q719" s="6"/>
      <c r="R719" s="6"/>
      <c r="S719" s="6"/>
      <c r="T719" s="6"/>
      <c r="U719" s="6"/>
      <c r="V719" s="6"/>
      <c r="W719" s="7"/>
      <c r="X719" s="7"/>
      <c r="Y719" s="7"/>
      <c r="Z719" s="7"/>
    </row>
    <row r="720">
      <c r="A720" s="6"/>
      <c r="B720" s="6"/>
      <c r="C720" s="6"/>
      <c r="D720" s="6"/>
      <c r="E720" s="6"/>
      <c r="F720" s="6"/>
      <c r="G720" s="6"/>
      <c r="H720" s="6"/>
      <c r="I720" s="6"/>
      <c r="J720" s="6"/>
      <c r="K720" s="6"/>
      <c r="L720" s="80"/>
      <c r="M720" s="80"/>
      <c r="N720" s="80"/>
      <c r="O720" s="80"/>
      <c r="P720" s="6"/>
      <c r="Q720" s="6"/>
      <c r="R720" s="6"/>
      <c r="S720" s="6"/>
      <c r="T720" s="6"/>
      <c r="U720" s="6"/>
      <c r="V720" s="6"/>
      <c r="W720" s="7"/>
      <c r="X720" s="7"/>
      <c r="Y720" s="7"/>
      <c r="Z720" s="7"/>
    </row>
    <row r="721">
      <c r="A721" s="6"/>
      <c r="B721" s="6"/>
      <c r="C721" s="6"/>
      <c r="D721" s="6"/>
      <c r="E721" s="6"/>
      <c r="F721" s="6"/>
      <c r="G721" s="6"/>
      <c r="H721" s="6"/>
      <c r="I721" s="6"/>
      <c r="J721" s="6"/>
      <c r="K721" s="6"/>
      <c r="L721" s="80"/>
      <c r="M721" s="80"/>
      <c r="N721" s="80"/>
      <c r="O721" s="80"/>
      <c r="P721" s="6"/>
      <c r="Q721" s="6"/>
      <c r="R721" s="6"/>
      <c r="S721" s="6"/>
      <c r="T721" s="6"/>
      <c r="U721" s="6"/>
      <c r="V721" s="6"/>
      <c r="W721" s="7"/>
      <c r="X721" s="7"/>
      <c r="Y721" s="7"/>
      <c r="Z721" s="7"/>
    </row>
    <row r="722">
      <c r="A722" s="6"/>
      <c r="B722" s="6"/>
      <c r="C722" s="6"/>
      <c r="D722" s="6"/>
      <c r="E722" s="6"/>
      <c r="F722" s="6"/>
      <c r="G722" s="6"/>
      <c r="H722" s="6"/>
      <c r="I722" s="6"/>
      <c r="J722" s="6"/>
      <c r="K722" s="6"/>
      <c r="L722" s="80"/>
      <c r="M722" s="80"/>
      <c r="N722" s="80"/>
      <c r="O722" s="80"/>
      <c r="P722" s="6"/>
      <c r="Q722" s="6"/>
      <c r="R722" s="6"/>
      <c r="S722" s="6"/>
      <c r="T722" s="6"/>
      <c r="U722" s="6"/>
      <c r="V722" s="6"/>
      <c r="W722" s="7"/>
      <c r="X722" s="7"/>
      <c r="Y722" s="7"/>
      <c r="Z722" s="7"/>
    </row>
    <row r="723">
      <c r="A723" s="6"/>
      <c r="B723" s="6"/>
      <c r="C723" s="6"/>
      <c r="D723" s="6"/>
      <c r="E723" s="6"/>
      <c r="F723" s="6"/>
      <c r="G723" s="6"/>
      <c r="H723" s="6"/>
      <c r="I723" s="6"/>
      <c r="J723" s="6"/>
      <c r="K723" s="6"/>
      <c r="L723" s="80"/>
      <c r="M723" s="80"/>
      <c r="N723" s="80"/>
      <c r="O723" s="80"/>
      <c r="P723" s="6"/>
      <c r="Q723" s="6"/>
      <c r="R723" s="6"/>
      <c r="S723" s="6"/>
      <c r="T723" s="6"/>
      <c r="U723" s="6"/>
      <c r="V723" s="6"/>
      <c r="W723" s="7"/>
      <c r="X723" s="7"/>
      <c r="Y723" s="7"/>
      <c r="Z723" s="7"/>
    </row>
    <row r="724">
      <c r="A724" s="6"/>
      <c r="B724" s="6"/>
      <c r="C724" s="6"/>
      <c r="D724" s="6"/>
      <c r="E724" s="6"/>
      <c r="F724" s="6"/>
      <c r="G724" s="6"/>
      <c r="H724" s="6"/>
      <c r="I724" s="6"/>
      <c r="J724" s="6"/>
      <c r="K724" s="6"/>
      <c r="L724" s="80"/>
      <c r="M724" s="80"/>
      <c r="N724" s="80"/>
      <c r="O724" s="80"/>
      <c r="P724" s="6"/>
      <c r="Q724" s="6"/>
      <c r="R724" s="6"/>
      <c r="S724" s="6"/>
      <c r="T724" s="6"/>
      <c r="U724" s="6"/>
      <c r="V724" s="6"/>
      <c r="W724" s="7"/>
      <c r="X724" s="7"/>
      <c r="Y724" s="7"/>
      <c r="Z724" s="7"/>
    </row>
    <row r="725">
      <c r="A725" s="6"/>
      <c r="B725" s="6"/>
      <c r="C725" s="6"/>
      <c r="D725" s="6"/>
      <c r="E725" s="6"/>
      <c r="F725" s="6"/>
      <c r="G725" s="6"/>
      <c r="H725" s="6"/>
      <c r="I725" s="6"/>
      <c r="J725" s="6"/>
      <c r="K725" s="6"/>
      <c r="L725" s="80"/>
      <c r="M725" s="80"/>
      <c r="N725" s="80"/>
      <c r="O725" s="80"/>
      <c r="P725" s="6"/>
      <c r="Q725" s="6"/>
      <c r="R725" s="6"/>
      <c r="S725" s="6"/>
      <c r="T725" s="6"/>
      <c r="U725" s="6"/>
      <c r="V725" s="6"/>
      <c r="W725" s="7"/>
      <c r="X725" s="7"/>
      <c r="Y725" s="7"/>
      <c r="Z725" s="7"/>
    </row>
    <row r="726">
      <c r="A726" s="6"/>
      <c r="B726" s="6"/>
      <c r="C726" s="6"/>
      <c r="D726" s="6"/>
      <c r="E726" s="6"/>
      <c r="F726" s="6"/>
      <c r="G726" s="6"/>
      <c r="H726" s="6"/>
      <c r="I726" s="6"/>
      <c r="J726" s="6"/>
      <c r="K726" s="6"/>
      <c r="L726" s="80"/>
      <c r="M726" s="80"/>
      <c r="N726" s="80"/>
      <c r="O726" s="80"/>
      <c r="P726" s="6"/>
      <c r="Q726" s="6"/>
      <c r="R726" s="6"/>
      <c r="S726" s="6"/>
      <c r="T726" s="6"/>
      <c r="U726" s="6"/>
      <c r="V726" s="6"/>
      <c r="W726" s="7"/>
      <c r="X726" s="7"/>
      <c r="Y726" s="7"/>
      <c r="Z726" s="7"/>
    </row>
    <row r="727">
      <c r="A727" s="6"/>
      <c r="B727" s="6"/>
      <c r="C727" s="6"/>
      <c r="D727" s="6"/>
      <c r="E727" s="6"/>
      <c r="F727" s="6"/>
      <c r="G727" s="6"/>
      <c r="H727" s="6"/>
      <c r="I727" s="6"/>
      <c r="J727" s="6"/>
      <c r="K727" s="6"/>
      <c r="L727" s="80"/>
      <c r="M727" s="80"/>
      <c r="N727" s="80"/>
      <c r="O727" s="80"/>
      <c r="P727" s="6"/>
      <c r="Q727" s="6"/>
      <c r="R727" s="6"/>
      <c r="S727" s="6"/>
      <c r="T727" s="6"/>
      <c r="U727" s="6"/>
      <c r="V727" s="6"/>
      <c r="W727" s="7"/>
      <c r="X727" s="7"/>
      <c r="Y727" s="7"/>
      <c r="Z727" s="7"/>
    </row>
    <row r="728">
      <c r="A728" s="6"/>
      <c r="B728" s="6"/>
      <c r="C728" s="6"/>
      <c r="D728" s="6"/>
      <c r="E728" s="6"/>
      <c r="F728" s="6"/>
      <c r="G728" s="6"/>
      <c r="H728" s="6"/>
      <c r="I728" s="6"/>
      <c r="J728" s="6"/>
      <c r="K728" s="6"/>
      <c r="L728" s="80"/>
      <c r="M728" s="80"/>
      <c r="N728" s="80"/>
      <c r="O728" s="80"/>
      <c r="P728" s="6"/>
      <c r="Q728" s="6"/>
      <c r="R728" s="6"/>
      <c r="S728" s="6"/>
      <c r="T728" s="6"/>
      <c r="U728" s="6"/>
      <c r="V728" s="6"/>
      <c r="W728" s="7"/>
      <c r="X728" s="7"/>
      <c r="Y728" s="7"/>
      <c r="Z728" s="7"/>
    </row>
    <row r="729">
      <c r="A729" s="6"/>
      <c r="B729" s="6"/>
      <c r="C729" s="6"/>
      <c r="D729" s="6"/>
      <c r="E729" s="6"/>
      <c r="F729" s="6"/>
      <c r="G729" s="6"/>
      <c r="H729" s="6"/>
      <c r="I729" s="6"/>
      <c r="J729" s="6"/>
      <c r="K729" s="6"/>
      <c r="L729" s="80"/>
      <c r="M729" s="80"/>
      <c r="N729" s="80"/>
      <c r="O729" s="80"/>
      <c r="P729" s="6"/>
      <c r="Q729" s="6"/>
      <c r="R729" s="6"/>
      <c r="S729" s="6"/>
      <c r="T729" s="6"/>
      <c r="U729" s="6"/>
      <c r="V729" s="6"/>
      <c r="W729" s="7"/>
      <c r="X729" s="7"/>
      <c r="Y729" s="7"/>
      <c r="Z729" s="7"/>
    </row>
    <row r="730">
      <c r="A730" s="6"/>
      <c r="B730" s="6"/>
      <c r="C730" s="6"/>
      <c r="D730" s="6"/>
      <c r="E730" s="6"/>
      <c r="F730" s="6"/>
      <c r="G730" s="6"/>
      <c r="H730" s="6"/>
      <c r="I730" s="6"/>
      <c r="J730" s="6"/>
      <c r="K730" s="6"/>
      <c r="L730" s="80"/>
      <c r="M730" s="80"/>
      <c r="N730" s="80"/>
      <c r="O730" s="80"/>
      <c r="P730" s="6"/>
      <c r="Q730" s="6"/>
      <c r="R730" s="6"/>
      <c r="S730" s="6"/>
      <c r="T730" s="6"/>
      <c r="U730" s="6"/>
      <c r="V730" s="6"/>
      <c r="W730" s="7"/>
      <c r="X730" s="7"/>
      <c r="Y730" s="7"/>
      <c r="Z730" s="7"/>
    </row>
    <row r="731">
      <c r="A731" s="6"/>
      <c r="B731" s="6"/>
      <c r="C731" s="6"/>
      <c r="D731" s="6"/>
      <c r="E731" s="6"/>
      <c r="F731" s="6"/>
      <c r="G731" s="6"/>
      <c r="H731" s="6"/>
      <c r="I731" s="6"/>
      <c r="J731" s="6"/>
      <c r="K731" s="6"/>
      <c r="L731" s="80"/>
      <c r="M731" s="80"/>
      <c r="N731" s="80"/>
      <c r="O731" s="80"/>
      <c r="P731" s="6"/>
      <c r="Q731" s="6"/>
      <c r="R731" s="6"/>
      <c r="S731" s="6"/>
      <c r="T731" s="6"/>
      <c r="U731" s="6"/>
      <c r="V731" s="6"/>
      <c r="W731" s="7"/>
      <c r="X731" s="7"/>
      <c r="Y731" s="7"/>
      <c r="Z731" s="7"/>
    </row>
    <row r="732">
      <c r="A732" s="6"/>
      <c r="B732" s="6"/>
      <c r="C732" s="6"/>
      <c r="D732" s="6"/>
      <c r="E732" s="6"/>
      <c r="F732" s="6"/>
      <c r="G732" s="6"/>
      <c r="H732" s="6"/>
      <c r="I732" s="6"/>
      <c r="J732" s="6"/>
      <c r="K732" s="6"/>
      <c r="L732" s="80"/>
      <c r="M732" s="80"/>
      <c r="N732" s="80"/>
      <c r="O732" s="80"/>
      <c r="P732" s="6"/>
      <c r="Q732" s="6"/>
      <c r="R732" s="6"/>
      <c r="S732" s="6"/>
      <c r="T732" s="6"/>
      <c r="U732" s="6"/>
      <c r="V732" s="6"/>
      <c r="W732" s="7"/>
      <c r="X732" s="7"/>
      <c r="Y732" s="7"/>
      <c r="Z732" s="7"/>
    </row>
    <row r="733">
      <c r="A733" s="6"/>
      <c r="B733" s="6"/>
      <c r="C733" s="6"/>
      <c r="D733" s="6"/>
      <c r="E733" s="6"/>
      <c r="F733" s="6"/>
      <c r="G733" s="6"/>
      <c r="H733" s="6"/>
      <c r="I733" s="6"/>
      <c r="J733" s="6"/>
      <c r="K733" s="6"/>
      <c r="L733" s="80"/>
      <c r="M733" s="80"/>
      <c r="N733" s="80"/>
      <c r="O733" s="80"/>
      <c r="P733" s="6"/>
      <c r="Q733" s="6"/>
      <c r="R733" s="6"/>
      <c r="S733" s="6"/>
      <c r="T733" s="6"/>
      <c r="U733" s="6"/>
      <c r="V733" s="6"/>
      <c r="W733" s="7"/>
      <c r="X733" s="7"/>
      <c r="Y733" s="7"/>
      <c r="Z733" s="7"/>
    </row>
    <row r="734">
      <c r="A734" s="6"/>
      <c r="B734" s="6"/>
      <c r="C734" s="6"/>
      <c r="D734" s="6"/>
      <c r="E734" s="6"/>
      <c r="F734" s="6"/>
      <c r="G734" s="6"/>
      <c r="H734" s="6"/>
      <c r="I734" s="6"/>
      <c r="J734" s="6"/>
      <c r="K734" s="6"/>
      <c r="L734" s="80"/>
      <c r="M734" s="80"/>
      <c r="N734" s="80"/>
      <c r="O734" s="80"/>
      <c r="P734" s="6"/>
      <c r="Q734" s="6"/>
      <c r="R734" s="6"/>
      <c r="S734" s="6"/>
      <c r="T734" s="6"/>
      <c r="U734" s="6"/>
      <c r="V734" s="6"/>
      <c r="W734" s="7"/>
      <c r="X734" s="7"/>
      <c r="Y734" s="7"/>
      <c r="Z734" s="7"/>
    </row>
    <row r="735">
      <c r="A735" s="6"/>
      <c r="B735" s="6"/>
      <c r="C735" s="6"/>
      <c r="D735" s="6"/>
      <c r="E735" s="6"/>
      <c r="F735" s="6"/>
      <c r="G735" s="6"/>
      <c r="H735" s="6"/>
      <c r="I735" s="6"/>
      <c r="J735" s="6"/>
      <c r="K735" s="6"/>
      <c r="L735" s="80"/>
      <c r="M735" s="80"/>
      <c r="N735" s="80"/>
      <c r="O735" s="80"/>
      <c r="P735" s="6"/>
      <c r="Q735" s="6"/>
      <c r="R735" s="6"/>
      <c r="S735" s="6"/>
      <c r="T735" s="6"/>
      <c r="U735" s="6"/>
      <c r="V735" s="6"/>
      <c r="W735" s="7"/>
      <c r="X735" s="7"/>
      <c r="Y735" s="7"/>
      <c r="Z735" s="7"/>
    </row>
    <row r="736">
      <c r="A736" s="6"/>
      <c r="B736" s="6"/>
      <c r="C736" s="6"/>
      <c r="D736" s="6"/>
      <c r="E736" s="6"/>
      <c r="F736" s="6"/>
      <c r="G736" s="6"/>
      <c r="H736" s="6"/>
      <c r="I736" s="6"/>
      <c r="J736" s="6"/>
      <c r="K736" s="6"/>
      <c r="L736" s="80"/>
      <c r="M736" s="80"/>
      <c r="N736" s="80"/>
      <c r="O736" s="80"/>
      <c r="P736" s="6"/>
      <c r="Q736" s="6"/>
      <c r="R736" s="6"/>
      <c r="S736" s="6"/>
      <c r="T736" s="6"/>
      <c r="U736" s="6"/>
      <c r="V736" s="6"/>
      <c r="W736" s="7"/>
      <c r="X736" s="7"/>
      <c r="Y736" s="7"/>
      <c r="Z736" s="7"/>
    </row>
    <row r="737">
      <c r="A737" s="6"/>
      <c r="B737" s="6"/>
      <c r="C737" s="6"/>
      <c r="D737" s="6"/>
      <c r="E737" s="6"/>
      <c r="F737" s="6"/>
      <c r="G737" s="6"/>
      <c r="H737" s="6"/>
      <c r="I737" s="6"/>
      <c r="J737" s="6"/>
      <c r="K737" s="6"/>
      <c r="L737" s="80"/>
      <c r="M737" s="80"/>
      <c r="N737" s="80"/>
      <c r="O737" s="80"/>
      <c r="P737" s="6"/>
      <c r="Q737" s="6"/>
      <c r="R737" s="6"/>
      <c r="S737" s="6"/>
      <c r="T737" s="6"/>
      <c r="U737" s="6"/>
      <c r="V737" s="6"/>
      <c r="W737" s="7"/>
      <c r="X737" s="7"/>
      <c r="Y737" s="7"/>
      <c r="Z737" s="7"/>
    </row>
    <row r="738">
      <c r="A738" s="6"/>
      <c r="B738" s="6"/>
      <c r="C738" s="6"/>
      <c r="D738" s="6"/>
      <c r="E738" s="6"/>
      <c r="F738" s="6"/>
      <c r="G738" s="6"/>
      <c r="H738" s="6"/>
      <c r="I738" s="6"/>
      <c r="J738" s="6"/>
      <c r="K738" s="6"/>
      <c r="L738" s="80"/>
      <c r="M738" s="80"/>
      <c r="N738" s="80"/>
      <c r="O738" s="80"/>
      <c r="P738" s="6"/>
      <c r="Q738" s="6"/>
      <c r="R738" s="6"/>
      <c r="S738" s="6"/>
      <c r="T738" s="6"/>
      <c r="U738" s="6"/>
      <c r="V738" s="6"/>
      <c r="W738" s="7"/>
      <c r="X738" s="7"/>
      <c r="Y738" s="7"/>
      <c r="Z738" s="7"/>
    </row>
    <row r="739">
      <c r="A739" s="6"/>
      <c r="B739" s="6"/>
      <c r="C739" s="6"/>
      <c r="D739" s="6"/>
      <c r="E739" s="6"/>
      <c r="F739" s="6"/>
      <c r="G739" s="6"/>
      <c r="H739" s="6"/>
      <c r="I739" s="6"/>
      <c r="J739" s="6"/>
      <c r="K739" s="6"/>
      <c r="L739" s="80"/>
      <c r="M739" s="80"/>
      <c r="N739" s="80"/>
      <c r="O739" s="80"/>
      <c r="P739" s="6"/>
      <c r="Q739" s="6"/>
      <c r="R739" s="6"/>
      <c r="S739" s="6"/>
      <c r="T739" s="6"/>
      <c r="U739" s="6"/>
      <c r="V739" s="6"/>
      <c r="W739" s="7"/>
      <c r="X739" s="7"/>
      <c r="Y739" s="7"/>
      <c r="Z739" s="7"/>
    </row>
    <row r="740">
      <c r="A740" s="6"/>
      <c r="B740" s="6"/>
      <c r="C740" s="6"/>
      <c r="D740" s="6"/>
      <c r="E740" s="6"/>
      <c r="F740" s="6"/>
      <c r="G740" s="6"/>
      <c r="H740" s="6"/>
      <c r="I740" s="6"/>
      <c r="J740" s="6"/>
      <c r="K740" s="6"/>
      <c r="L740" s="80"/>
      <c r="M740" s="80"/>
      <c r="N740" s="80"/>
      <c r="O740" s="80"/>
      <c r="P740" s="6"/>
      <c r="Q740" s="6"/>
      <c r="R740" s="6"/>
      <c r="S740" s="6"/>
      <c r="T740" s="6"/>
      <c r="U740" s="6"/>
      <c r="V740" s="6"/>
      <c r="W740" s="7"/>
      <c r="X740" s="7"/>
      <c r="Y740" s="7"/>
      <c r="Z740" s="7"/>
    </row>
    <row r="741">
      <c r="A741" s="6"/>
      <c r="B741" s="6"/>
      <c r="C741" s="6"/>
      <c r="D741" s="6"/>
      <c r="E741" s="6"/>
      <c r="F741" s="6"/>
      <c r="G741" s="6"/>
      <c r="H741" s="6"/>
      <c r="I741" s="6"/>
      <c r="J741" s="6"/>
      <c r="K741" s="6"/>
      <c r="L741" s="80"/>
      <c r="M741" s="80"/>
      <c r="N741" s="80"/>
      <c r="O741" s="80"/>
      <c r="P741" s="6"/>
      <c r="Q741" s="6"/>
      <c r="R741" s="6"/>
      <c r="S741" s="6"/>
      <c r="T741" s="6"/>
      <c r="U741" s="6"/>
      <c r="V741" s="6"/>
      <c r="W741" s="7"/>
      <c r="X741" s="7"/>
      <c r="Y741" s="7"/>
      <c r="Z741" s="7"/>
    </row>
    <row r="742">
      <c r="A742" s="6"/>
      <c r="B742" s="6"/>
      <c r="C742" s="6"/>
      <c r="D742" s="6"/>
      <c r="E742" s="6"/>
      <c r="F742" s="6"/>
      <c r="G742" s="6"/>
      <c r="H742" s="6"/>
      <c r="I742" s="6"/>
      <c r="J742" s="6"/>
      <c r="K742" s="6"/>
      <c r="L742" s="80"/>
      <c r="M742" s="80"/>
      <c r="N742" s="80"/>
      <c r="O742" s="80"/>
      <c r="P742" s="6"/>
      <c r="Q742" s="6"/>
      <c r="R742" s="6"/>
      <c r="S742" s="6"/>
      <c r="T742" s="6"/>
      <c r="U742" s="6"/>
      <c r="V742" s="6"/>
      <c r="W742" s="7"/>
      <c r="X742" s="7"/>
      <c r="Y742" s="7"/>
      <c r="Z742" s="7"/>
    </row>
    <row r="743">
      <c r="A743" s="6"/>
      <c r="B743" s="6"/>
      <c r="C743" s="6"/>
      <c r="D743" s="6"/>
      <c r="E743" s="6"/>
      <c r="F743" s="6"/>
      <c r="G743" s="6"/>
      <c r="H743" s="6"/>
      <c r="I743" s="6"/>
      <c r="J743" s="6"/>
      <c r="K743" s="6"/>
      <c r="L743" s="80"/>
      <c r="M743" s="80"/>
      <c r="N743" s="80"/>
      <c r="O743" s="80"/>
      <c r="P743" s="6"/>
      <c r="Q743" s="6"/>
      <c r="R743" s="6"/>
      <c r="S743" s="6"/>
      <c r="T743" s="6"/>
      <c r="U743" s="6"/>
      <c r="V743" s="6"/>
      <c r="W743" s="7"/>
      <c r="X743" s="7"/>
      <c r="Y743" s="7"/>
      <c r="Z743" s="7"/>
    </row>
    <row r="744">
      <c r="A744" s="6"/>
      <c r="B744" s="6"/>
      <c r="C744" s="6"/>
      <c r="D744" s="6"/>
      <c r="E744" s="6"/>
      <c r="F744" s="6"/>
      <c r="G744" s="6"/>
      <c r="H744" s="6"/>
      <c r="I744" s="6"/>
      <c r="J744" s="6"/>
      <c r="K744" s="6"/>
      <c r="L744" s="80"/>
      <c r="M744" s="80"/>
      <c r="N744" s="80"/>
      <c r="O744" s="80"/>
      <c r="P744" s="6"/>
      <c r="Q744" s="6"/>
      <c r="R744" s="6"/>
      <c r="S744" s="6"/>
      <c r="T744" s="6"/>
      <c r="U744" s="6"/>
      <c r="V744" s="6"/>
      <c r="W744" s="7"/>
      <c r="X744" s="7"/>
      <c r="Y744" s="7"/>
      <c r="Z744" s="7"/>
    </row>
    <row r="745">
      <c r="A745" s="6"/>
      <c r="B745" s="6"/>
      <c r="C745" s="6"/>
      <c r="D745" s="6"/>
      <c r="E745" s="6"/>
      <c r="F745" s="6"/>
      <c r="G745" s="6"/>
      <c r="H745" s="6"/>
      <c r="I745" s="6"/>
      <c r="J745" s="6"/>
      <c r="K745" s="6"/>
      <c r="L745" s="80"/>
      <c r="M745" s="80"/>
      <c r="N745" s="80"/>
      <c r="O745" s="80"/>
      <c r="P745" s="6"/>
      <c r="Q745" s="6"/>
      <c r="R745" s="6"/>
      <c r="S745" s="6"/>
      <c r="T745" s="6"/>
      <c r="U745" s="6"/>
      <c r="V745" s="6"/>
      <c r="W745" s="7"/>
      <c r="X745" s="7"/>
      <c r="Y745" s="7"/>
      <c r="Z745" s="7"/>
    </row>
    <row r="746">
      <c r="A746" s="6"/>
      <c r="B746" s="6"/>
      <c r="C746" s="6"/>
      <c r="D746" s="6"/>
      <c r="E746" s="6"/>
      <c r="F746" s="6"/>
      <c r="G746" s="6"/>
      <c r="H746" s="6"/>
      <c r="I746" s="6"/>
      <c r="J746" s="6"/>
      <c r="K746" s="6"/>
      <c r="L746" s="80"/>
      <c r="M746" s="80"/>
      <c r="N746" s="80"/>
      <c r="O746" s="80"/>
      <c r="P746" s="6"/>
      <c r="Q746" s="6"/>
      <c r="R746" s="6"/>
      <c r="S746" s="6"/>
      <c r="T746" s="6"/>
      <c r="U746" s="6"/>
      <c r="V746" s="6"/>
      <c r="W746" s="7"/>
      <c r="X746" s="7"/>
      <c r="Y746" s="7"/>
      <c r="Z746" s="7"/>
    </row>
    <row r="747">
      <c r="A747" s="6"/>
      <c r="B747" s="6"/>
      <c r="C747" s="6"/>
      <c r="D747" s="6"/>
      <c r="E747" s="6"/>
      <c r="F747" s="6"/>
      <c r="G747" s="6"/>
      <c r="H747" s="6"/>
      <c r="I747" s="6"/>
      <c r="J747" s="6"/>
      <c r="K747" s="6"/>
      <c r="L747" s="80"/>
      <c r="M747" s="80"/>
      <c r="N747" s="80"/>
      <c r="O747" s="80"/>
      <c r="P747" s="6"/>
      <c r="Q747" s="6"/>
      <c r="R747" s="6"/>
      <c r="S747" s="6"/>
      <c r="T747" s="6"/>
      <c r="U747" s="6"/>
      <c r="V747" s="6"/>
      <c r="W747" s="7"/>
      <c r="X747" s="7"/>
      <c r="Y747" s="7"/>
      <c r="Z747" s="7"/>
    </row>
    <row r="748">
      <c r="A748" s="6"/>
      <c r="B748" s="6"/>
      <c r="C748" s="6"/>
      <c r="D748" s="6"/>
      <c r="E748" s="6"/>
      <c r="F748" s="6"/>
      <c r="G748" s="6"/>
      <c r="H748" s="6"/>
      <c r="I748" s="6"/>
      <c r="J748" s="6"/>
      <c r="K748" s="6"/>
      <c r="L748" s="80"/>
      <c r="M748" s="80"/>
      <c r="N748" s="80"/>
      <c r="O748" s="80"/>
      <c r="P748" s="6"/>
      <c r="Q748" s="6"/>
      <c r="R748" s="6"/>
      <c r="S748" s="6"/>
      <c r="T748" s="6"/>
      <c r="U748" s="6"/>
      <c r="V748" s="6"/>
      <c r="W748" s="7"/>
      <c r="X748" s="7"/>
      <c r="Y748" s="7"/>
      <c r="Z748" s="7"/>
    </row>
    <row r="749">
      <c r="A749" s="6"/>
      <c r="B749" s="6"/>
      <c r="C749" s="6"/>
      <c r="D749" s="6"/>
      <c r="E749" s="6"/>
      <c r="F749" s="6"/>
      <c r="G749" s="6"/>
      <c r="H749" s="6"/>
      <c r="I749" s="6"/>
      <c r="J749" s="6"/>
      <c r="K749" s="6"/>
      <c r="L749" s="80"/>
      <c r="M749" s="80"/>
      <c r="N749" s="80"/>
      <c r="O749" s="80"/>
      <c r="P749" s="6"/>
      <c r="Q749" s="6"/>
      <c r="R749" s="6"/>
      <c r="S749" s="6"/>
      <c r="T749" s="6"/>
      <c r="U749" s="6"/>
      <c r="V749" s="6"/>
      <c r="W749" s="7"/>
      <c r="X749" s="7"/>
      <c r="Y749" s="7"/>
      <c r="Z749" s="7"/>
    </row>
    <row r="750">
      <c r="A750" s="6"/>
      <c r="B750" s="6"/>
      <c r="C750" s="6"/>
      <c r="D750" s="6"/>
      <c r="E750" s="6"/>
      <c r="F750" s="6"/>
      <c r="G750" s="6"/>
      <c r="H750" s="6"/>
      <c r="I750" s="6"/>
      <c r="J750" s="6"/>
      <c r="K750" s="6"/>
      <c r="L750" s="80"/>
      <c r="M750" s="80"/>
      <c r="N750" s="80"/>
      <c r="O750" s="80"/>
      <c r="P750" s="6"/>
      <c r="Q750" s="6"/>
      <c r="R750" s="6"/>
      <c r="S750" s="6"/>
      <c r="T750" s="6"/>
      <c r="U750" s="6"/>
      <c r="V750" s="6"/>
      <c r="W750" s="7"/>
      <c r="X750" s="7"/>
      <c r="Y750" s="7"/>
      <c r="Z750" s="7"/>
    </row>
    <row r="751">
      <c r="A751" s="6"/>
      <c r="B751" s="6"/>
      <c r="C751" s="6"/>
      <c r="D751" s="6"/>
      <c r="E751" s="6"/>
      <c r="F751" s="6"/>
      <c r="G751" s="6"/>
      <c r="H751" s="6"/>
      <c r="I751" s="6"/>
      <c r="J751" s="6"/>
      <c r="K751" s="6"/>
      <c r="L751" s="80"/>
      <c r="M751" s="80"/>
      <c r="N751" s="80"/>
      <c r="O751" s="80"/>
      <c r="P751" s="6"/>
      <c r="Q751" s="6"/>
      <c r="R751" s="6"/>
      <c r="S751" s="6"/>
      <c r="T751" s="6"/>
      <c r="U751" s="6"/>
      <c r="V751" s="6"/>
      <c r="W751" s="7"/>
      <c r="X751" s="7"/>
      <c r="Y751" s="7"/>
      <c r="Z751" s="7"/>
    </row>
    <row r="752">
      <c r="A752" s="6"/>
      <c r="B752" s="6"/>
      <c r="C752" s="6"/>
      <c r="D752" s="6"/>
      <c r="E752" s="6"/>
      <c r="F752" s="6"/>
      <c r="G752" s="6"/>
      <c r="H752" s="6"/>
      <c r="I752" s="6"/>
      <c r="J752" s="6"/>
      <c r="K752" s="6"/>
      <c r="L752" s="80"/>
      <c r="M752" s="80"/>
      <c r="N752" s="80"/>
      <c r="O752" s="80"/>
      <c r="P752" s="6"/>
      <c r="Q752" s="6"/>
      <c r="R752" s="6"/>
      <c r="S752" s="6"/>
      <c r="T752" s="6"/>
      <c r="U752" s="6"/>
      <c r="V752" s="6"/>
      <c r="W752" s="7"/>
      <c r="X752" s="7"/>
      <c r="Y752" s="7"/>
      <c r="Z752" s="7"/>
    </row>
    <row r="753">
      <c r="A753" s="6"/>
      <c r="B753" s="6"/>
      <c r="C753" s="6"/>
      <c r="D753" s="6"/>
      <c r="E753" s="6"/>
      <c r="F753" s="6"/>
      <c r="G753" s="6"/>
      <c r="H753" s="6"/>
      <c r="I753" s="6"/>
      <c r="J753" s="6"/>
      <c r="K753" s="6"/>
      <c r="L753" s="80"/>
      <c r="M753" s="80"/>
      <c r="N753" s="80"/>
      <c r="O753" s="80"/>
      <c r="P753" s="6"/>
      <c r="Q753" s="6"/>
      <c r="R753" s="6"/>
      <c r="S753" s="6"/>
      <c r="T753" s="6"/>
      <c r="U753" s="6"/>
      <c r="V753" s="6"/>
      <c r="W753" s="7"/>
      <c r="X753" s="7"/>
      <c r="Y753" s="7"/>
      <c r="Z753" s="7"/>
    </row>
    <row r="754">
      <c r="A754" s="6"/>
      <c r="B754" s="6"/>
      <c r="C754" s="6"/>
      <c r="D754" s="6"/>
      <c r="E754" s="6"/>
      <c r="F754" s="6"/>
      <c r="G754" s="6"/>
      <c r="H754" s="6"/>
      <c r="I754" s="6"/>
      <c r="J754" s="6"/>
      <c r="K754" s="6"/>
      <c r="L754" s="80"/>
      <c r="M754" s="80"/>
      <c r="N754" s="80"/>
      <c r="O754" s="80"/>
      <c r="P754" s="6"/>
      <c r="Q754" s="6"/>
      <c r="R754" s="6"/>
      <c r="S754" s="6"/>
      <c r="T754" s="6"/>
      <c r="U754" s="6"/>
      <c r="V754" s="6"/>
      <c r="W754" s="7"/>
      <c r="X754" s="7"/>
      <c r="Y754" s="7"/>
      <c r="Z754" s="7"/>
    </row>
    <row r="755">
      <c r="A755" s="6"/>
      <c r="B755" s="6"/>
      <c r="C755" s="6"/>
      <c r="D755" s="6"/>
      <c r="E755" s="6"/>
      <c r="F755" s="6"/>
      <c r="G755" s="6"/>
      <c r="H755" s="6"/>
      <c r="I755" s="6"/>
      <c r="J755" s="6"/>
      <c r="K755" s="6"/>
      <c r="L755" s="80"/>
      <c r="M755" s="80"/>
      <c r="N755" s="80"/>
      <c r="O755" s="80"/>
      <c r="P755" s="6"/>
      <c r="Q755" s="6"/>
      <c r="R755" s="6"/>
      <c r="S755" s="6"/>
      <c r="T755" s="6"/>
      <c r="U755" s="6"/>
      <c r="V755" s="6"/>
      <c r="W755" s="7"/>
      <c r="X755" s="7"/>
      <c r="Y755" s="7"/>
      <c r="Z755" s="7"/>
    </row>
    <row r="756">
      <c r="A756" s="6"/>
      <c r="B756" s="6"/>
      <c r="C756" s="6"/>
      <c r="D756" s="6"/>
      <c r="E756" s="6"/>
      <c r="F756" s="6"/>
      <c r="G756" s="6"/>
      <c r="H756" s="6"/>
      <c r="I756" s="6"/>
      <c r="J756" s="6"/>
      <c r="K756" s="6"/>
      <c r="L756" s="80"/>
      <c r="M756" s="80"/>
      <c r="N756" s="80"/>
      <c r="O756" s="80"/>
      <c r="P756" s="6"/>
      <c r="Q756" s="6"/>
      <c r="R756" s="6"/>
      <c r="S756" s="6"/>
      <c r="T756" s="6"/>
      <c r="U756" s="6"/>
      <c r="V756" s="6"/>
      <c r="W756" s="7"/>
      <c r="X756" s="7"/>
      <c r="Y756" s="7"/>
      <c r="Z756" s="7"/>
    </row>
    <row r="757">
      <c r="A757" s="6"/>
      <c r="B757" s="6"/>
      <c r="C757" s="6"/>
      <c r="D757" s="6"/>
      <c r="E757" s="6"/>
      <c r="F757" s="6"/>
      <c r="G757" s="6"/>
      <c r="H757" s="6"/>
      <c r="I757" s="6"/>
      <c r="J757" s="6"/>
      <c r="K757" s="6"/>
      <c r="L757" s="80"/>
      <c r="M757" s="80"/>
      <c r="N757" s="80"/>
      <c r="O757" s="80"/>
      <c r="P757" s="6"/>
      <c r="Q757" s="6"/>
      <c r="R757" s="6"/>
      <c r="S757" s="6"/>
      <c r="T757" s="6"/>
      <c r="U757" s="6"/>
      <c r="V757" s="6"/>
      <c r="W757" s="7"/>
      <c r="X757" s="7"/>
      <c r="Y757" s="7"/>
      <c r="Z757" s="7"/>
    </row>
    <row r="758">
      <c r="A758" s="6"/>
      <c r="B758" s="6"/>
      <c r="C758" s="6"/>
      <c r="D758" s="6"/>
      <c r="E758" s="6"/>
      <c r="F758" s="6"/>
      <c r="G758" s="6"/>
      <c r="H758" s="6"/>
      <c r="I758" s="6"/>
      <c r="J758" s="6"/>
      <c r="K758" s="6"/>
      <c r="L758" s="80"/>
      <c r="M758" s="80"/>
      <c r="N758" s="80"/>
      <c r="O758" s="80"/>
      <c r="P758" s="6"/>
      <c r="Q758" s="6"/>
      <c r="R758" s="6"/>
      <c r="S758" s="6"/>
      <c r="T758" s="6"/>
      <c r="U758" s="6"/>
      <c r="V758" s="6"/>
      <c r="W758" s="7"/>
      <c r="X758" s="7"/>
      <c r="Y758" s="7"/>
      <c r="Z758" s="7"/>
    </row>
    <row r="759">
      <c r="A759" s="6"/>
      <c r="B759" s="6"/>
      <c r="C759" s="6"/>
      <c r="D759" s="6"/>
      <c r="E759" s="6"/>
      <c r="F759" s="6"/>
      <c r="G759" s="6"/>
      <c r="H759" s="6"/>
      <c r="I759" s="6"/>
      <c r="J759" s="6"/>
      <c r="K759" s="6"/>
      <c r="L759" s="80"/>
      <c r="M759" s="80"/>
      <c r="N759" s="80"/>
      <c r="O759" s="80"/>
      <c r="P759" s="6"/>
      <c r="Q759" s="6"/>
      <c r="R759" s="6"/>
      <c r="S759" s="6"/>
      <c r="T759" s="6"/>
      <c r="U759" s="6"/>
      <c r="V759" s="6"/>
      <c r="W759" s="7"/>
      <c r="X759" s="7"/>
      <c r="Y759" s="7"/>
      <c r="Z759" s="7"/>
    </row>
    <row r="760">
      <c r="A760" s="6"/>
      <c r="B760" s="6"/>
      <c r="C760" s="6"/>
      <c r="D760" s="6"/>
      <c r="E760" s="6"/>
      <c r="F760" s="6"/>
      <c r="G760" s="6"/>
      <c r="H760" s="6"/>
      <c r="I760" s="6"/>
      <c r="J760" s="6"/>
      <c r="K760" s="6"/>
      <c r="L760" s="80"/>
      <c r="M760" s="80"/>
      <c r="N760" s="80"/>
      <c r="O760" s="80"/>
      <c r="P760" s="6"/>
      <c r="Q760" s="6"/>
      <c r="R760" s="6"/>
      <c r="S760" s="6"/>
      <c r="T760" s="6"/>
      <c r="U760" s="6"/>
      <c r="V760" s="6"/>
      <c r="W760" s="7"/>
      <c r="X760" s="7"/>
      <c r="Y760" s="7"/>
      <c r="Z760" s="7"/>
    </row>
    <row r="761">
      <c r="A761" s="6"/>
      <c r="B761" s="6"/>
      <c r="C761" s="6"/>
      <c r="D761" s="6"/>
      <c r="E761" s="6"/>
      <c r="F761" s="6"/>
      <c r="G761" s="6"/>
      <c r="H761" s="6"/>
      <c r="I761" s="6"/>
      <c r="J761" s="6"/>
      <c r="K761" s="6"/>
      <c r="L761" s="80"/>
      <c r="M761" s="80"/>
      <c r="N761" s="80"/>
      <c r="O761" s="80"/>
      <c r="P761" s="6"/>
      <c r="Q761" s="6"/>
      <c r="R761" s="6"/>
      <c r="S761" s="6"/>
      <c r="T761" s="6"/>
      <c r="U761" s="6"/>
      <c r="V761" s="6"/>
      <c r="W761" s="7"/>
      <c r="X761" s="7"/>
      <c r="Y761" s="7"/>
      <c r="Z761" s="7"/>
    </row>
    <row r="762">
      <c r="A762" s="6"/>
      <c r="B762" s="6"/>
      <c r="C762" s="6"/>
      <c r="D762" s="6"/>
      <c r="E762" s="6"/>
      <c r="F762" s="6"/>
      <c r="G762" s="6"/>
      <c r="H762" s="6"/>
      <c r="I762" s="6"/>
      <c r="J762" s="6"/>
      <c r="K762" s="6"/>
      <c r="L762" s="80"/>
      <c r="M762" s="80"/>
      <c r="N762" s="80"/>
      <c r="O762" s="80"/>
      <c r="P762" s="6"/>
      <c r="Q762" s="6"/>
      <c r="R762" s="6"/>
      <c r="S762" s="6"/>
      <c r="T762" s="6"/>
      <c r="U762" s="6"/>
      <c r="V762" s="6"/>
      <c r="W762" s="7"/>
      <c r="X762" s="7"/>
      <c r="Y762" s="7"/>
      <c r="Z762" s="7"/>
    </row>
    <row r="763">
      <c r="A763" s="6"/>
      <c r="B763" s="6"/>
      <c r="C763" s="6"/>
      <c r="D763" s="6"/>
      <c r="E763" s="6"/>
      <c r="F763" s="6"/>
      <c r="G763" s="6"/>
      <c r="H763" s="6"/>
      <c r="I763" s="6"/>
      <c r="J763" s="6"/>
      <c r="K763" s="6"/>
      <c r="L763" s="80"/>
      <c r="M763" s="80"/>
      <c r="N763" s="80"/>
      <c r="O763" s="80"/>
      <c r="P763" s="6"/>
      <c r="Q763" s="6"/>
      <c r="R763" s="6"/>
      <c r="S763" s="6"/>
      <c r="T763" s="6"/>
      <c r="U763" s="6"/>
      <c r="V763" s="6"/>
      <c r="W763" s="7"/>
      <c r="X763" s="7"/>
      <c r="Y763" s="7"/>
      <c r="Z763" s="7"/>
    </row>
    <row r="764">
      <c r="A764" s="6"/>
      <c r="B764" s="6"/>
      <c r="C764" s="6"/>
      <c r="D764" s="6"/>
      <c r="E764" s="6"/>
      <c r="F764" s="6"/>
      <c r="G764" s="6"/>
      <c r="H764" s="6"/>
      <c r="I764" s="6"/>
      <c r="J764" s="6"/>
      <c r="K764" s="6"/>
      <c r="L764" s="80"/>
      <c r="M764" s="80"/>
      <c r="N764" s="80"/>
      <c r="O764" s="80"/>
      <c r="P764" s="6"/>
      <c r="Q764" s="6"/>
      <c r="R764" s="6"/>
      <c r="S764" s="6"/>
      <c r="T764" s="6"/>
      <c r="U764" s="6"/>
      <c r="V764" s="6"/>
      <c r="W764" s="7"/>
      <c r="X764" s="7"/>
      <c r="Y764" s="7"/>
      <c r="Z764" s="7"/>
    </row>
    <row r="765">
      <c r="A765" s="6"/>
      <c r="B765" s="6"/>
      <c r="C765" s="6"/>
      <c r="D765" s="6"/>
      <c r="E765" s="6"/>
      <c r="F765" s="6"/>
      <c r="G765" s="6"/>
      <c r="H765" s="6"/>
      <c r="I765" s="6"/>
      <c r="J765" s="6"/>
      <c r="K765" s="6"/>
      <c r="L765" s="80"/>
      <c r="M765" s="80"/>
      <c r="N765" s="80"/>
      <c r="O765" s="80"/>
      <c r="P765" s="6"/>
      <c r="Q765" s="6"/>
      <c r="R765" s="6"/>
      <c r="S765" s="6"/>
      <c r="T765" s="6"/>
      <c r="U765" s="6"/>
      <c r="V765" s="6"/>
      <c r="W765" s="7"/>
      <c r="X765" s="7"/>
      <c r="Y765" s="7"/>
      <c r="Z765" s="7"/>
    </row>
    <row r="766">
      <c r="A766" s="6"/>
      <c r="B766" s="6"/>
      <c r="C766" s="6"/>
      <c r="D766" s="6"/>
      <c r="E766" s="6"/>
      <c r="F766" s="6"/>
      <c r="G766" s="6"/>
      <c r="H766" s="6"/>
      <c r="I766" s="6"/>
      <c r="J766" s="6"/>
      <c r="K766" s="6"/>
      <c r="L766" s="80"/>
      <c r="M766" s="80"/>
      <c r="N766" s="80"/>
      <c r="O766" s="80"/>
      <c r="P766" s="6"/>
      <c r="Q766" s="6"/>
      <c r="R766" s="6"/>
      <c r="S766" s="6"/>
      <c r="T766" s="6"/>
      <c r="U766" s="6"/>
      <c r="V766" s="6"/>
      <c r="W766" s="7"/>
      <c r="X766" s="7"/>
      <c r="Y766" s="7"/>
      <c r="Z766" s="7"/>
    </row>
    <row r="767">
      <c r="A767" s="6"/>
      <c r="B767" s="6"/>
      <c r="C767" s="6"/>
      <c r="D767" s="6"/>
      <c r="E767" s="6"/>
      <c r="F767" s="6"/>
      <c r="G767" s="6"/>
      <c r="H767" s="6"/>
      <c r="I767" s="6"/>
      <c r="J767" s="6"/>
      <c r="K767" s="6"/>
      <c r="L767" s="80"/>
      <c r="M767" s="80"/>
      <c r="N767" s="80"/>
      <c r="O767" s="80"/>
      <c r="P767" s="6"/>
      <c r="Q767" s="6"/>
      <c r="R767" s="6"/>
      <c r="S767" s="6"/>
      <c r="T767" s="6"/>
      <c r="U767" s="6"/>
      <c r="V767" s="6"/>
      <c r="W767" s="7"/>
      <c r="X767" s="7"/>
      <c r="Y767" s="7"/>
      <c r="Z767" s="7"/>
    </row>
    <row r="768">
      <c r="A768" s="6"/>
      <c r="B768" s="6"/>
      <c r="C768" s="6"/>
      <c r="D768" s="6"/>
      <c r="E768" s="6"/>
      <c r="F768" s="6"/>
      <c r="G768" s="6"/>
      <c r="H768" s="6"/>
      <c r="I768" s="6"/>
      <c r="J768" s="6"/>
      <c r="K768" s="6"/>
      <c r="L768" s="80"/>
      <c r="M768" s="80"/>
      <c r="N768" s="80"/>
      <c r="O768" s="80"/>
      <c r="P768" s="6"/>
      <c r="Q768" s="6"/>
      <c r="R768" s="6"/>
      <c r="S768" s="6"/>
      <c r="T768" s="6"/>
      <c r="U768" s="6"/>
      <c r="V768" s="6"/>
      <c r="W768" s="7"/>
      <c r="X768" s="7"/>
      <c r="Y768" s="7"/>
      <c r="Z768" s="7"/>
    </row>
    <row r="769">
      <c r="A769" s="6"/>
      <c r="B769" s="6"/>
      <c r="C769" s="6"/>
      <c r="D769" s="6"/>
      <c r="E769" s="6"/>
      <c r="F769" s="6"/>
      <c r="G769" s="6"/>
      <c r="H769" s="6"/>
      <c r="I769" s="6"/>
      <c r="J769" s="6"/>
      <c r="K769" s="6"/>
      <c r="L769" s="80"/>
      <c r="M769" s="80"/>
      <c r="N769" s="80"/>
      <c r="O769" s="80"/>
      <c r="P769" s="6"/>
      <c r="Q769" s="6"/>
      <c r="R769" s="6"/>
      <c r="S769" s="6"/>
      <c r="T769" s="6"/>
      <c r="U769" s="6"/>
      <c r="V769" s="6"/>
      <c r="W769" s="7"/>
      <c r="X769" s="7"/>
      <c r="Y769" s="7"/>
      <c r="Z769" s="7"/>
    </row>
    <row r="770">
      <c r="A770" s="6"/>
      <c r="B770" s="6"/>
      <c r="C770" s="6"/>
      <c r="D770" s="6"/>
      <c r="E770" s="6"/>
      <c r="F770" s="6"/>
      <c r="G770" s="6"/>
      <c r="H770" s="6"/>
      <c r="I770" s="6"/>
      <c r="J770" s="6"/>
      <c r="K770" s="6"/>
      <c r="L770" s="80"/>
      <c r="M770" s="80"/>
      <c r="N770" s="80"/>
      <c r="O770" s="80"/>
      <c r="P770" s="6"/>
      <c r="Q770" s="6"/>
      <c r="R770" s="6"/>
      <c r="S770" s="6"/>
      <c r="T770" s="6"/>
      <c r="U770" s="6"/>
      <c r="V770" s="6"/>
      <c r="W770" s="7"/>
      <c r="X770" s="7"/>
      <c r="Y770" s="7"/>
      <c r="Z770" s="7"/>
    </row>
    <row r="771">
      <c r="A771" s="6"/>
      <c r="B771" s="6"/>
      <c r="C771" s="6"/>
      <c r="D771" s="6"/>
      <c r="E771" s="6"/>
      <c r="F771" s="6"/>
      <c r="G771" s="6"/>
      <c r="H771" s="6"/>
      <c r="I771" s="6"/>
      <c r="J771" s="6"/>
      <c r="K771" s="6"/>
      <c r="L771" s="80"/>
      <c r="M771" s="80"/>
      <c r="N771" s="80"/>
      <c r="O771" s="80"/>
      <c r="P771" s="6"/>
      <c r="Q771" s="6"/>
      <c r="R771" s="6"/>
      <c r="S771" s="6"/>
      <c r="T771" s="6"/>
      <c r="U771" s="6"/>
      <c r="V771" s="6"/>
      <c r="W771" s="7"/>
      <c r="X771" s="7"/>
      <c r="Y771" s="7"/>
      <c r="Z771" s="7"/>
    </row>
    <row r="772">
      <c r="A772" s="6"/>
      <c r="B772" s="6"/>
      <c r="C772" s="6"/>
      <c r="D772" s="6"/>
      <c r="E772" s="6"/>
      <c r="F772" s="6"/>
      <c r="G772" s="6"/>
      <c r="H772" s="6"/>
      <c r="I772" s="6"/>
      <c r="J772" s="6"/>
      <c r="K772" s="6"/>
      <c r="L772" s="80"/>
      <c r="M772" s="80"/>
      <c r="N772" s="80"/>
      <c r="O772" s="80"/>
      <c r="P772" s="6"/>
      <c r="Q772" s="6"/>
      <c r="R772" s="6"/>
      <c r="S772" s="6"/>
      <c r="T772" s="6"/>
      <c r="U772" s="6"/>
      <c r="V772" s="6"/>
      <c r="W772" s="7"/>
      <c r="X772" s="7"/>
      <c r="Y772" s="7"/>
      <c r="Z772" s="7"/>
    </row>
    <row r="773">
      <c r="A773" s="6"/>
      <c r="B773" s="6"/>
      <c r="C773" s="6"/>
      <c r="D773" s="6"/>
      <c r="E773" s="6"/>
      <c r="F773" s="6"/>
      <c r="G773" s="6"/>
      <c r="H773" s="6"/>
      <c r="I773" s="6"/>
      <c r="J773" s="6"/>
      <c r="K773" s="6"/>
      <c r="L773" s="80"/>
      <c r="M773" s="80"/>
      <c r="N773" s="80"/>
      <c r="O773" s="80"/>
      <c r="P773" s="6"/>
      <c r="Q773" s="6"/>
      <c r="R773" s="6"/>
      <c r="S773" s="6"/>
      <c r="T773" s="6"/>
      <c r="U773" s="6"/>
      <c r="V773" s="6"/>
      <c r="W773" s="7"/>
      <c r="X773" s="7"/>
      <c r="Y773" s="7"/>
      <c r="Z773" s="7"/>
    </row>
    <row r="774">
      <c r="A774" s="6"/>
      <c r="B774" s="6"/>
      <c r="C774" s="6"/>
      <c r="D774" s="6"/>
      <c r="E774" s="6"/>
      <c r="F774" s="6"/>
      <c r="G774" s="6"/>
      <c r="H774" s="6"/>
      <c r="I774" s="6"/>
      <c r="J774" s="6"/>
      <c r="K774" s="6"/>
      <c r="L774" s="80"/>
      <c r="M774" s="80"/>
      <c r="N774" s="80"/>
      <c r="O774" s="80"/>
      <c r="P774" s="6"/>
      <c r="Q774" s="6"/>
      <c r="R774" s="6"/>
      <c r="S774" s="6"/>
      <c r="T774" s="6"/>
      <c r="U774" s="6"/>
      <c r="V774" s="6"/>
      <c r="W774" s="7"/>
      <c r="X774" s="7"/>
      <c r="Y774" s="7"/>
      <c r="Z774" s="7"/>
    </row>
    <row r="775">
      <c r="A775" s="6"/>
      <c r="B775" s="6"/>
      <c r="C775" s="6"/>
      <c r="D775" s="6"/>
      <c r="E775" s="6"/>
      <c r="F775" s="6"/>
      <c r="G775" s="6"/>
      <c r="H775" s="6"/>
      <c r="I775" s="6"/>
      <c r="J775" s="6"/>
      <c r="K775" s="6"/>
      <c r="L775" s="80"/>
      <c r="M775" s="80"/>
      <c r="N775" s="80"/>
      <c r="O775" s="80"/>
      <c r="P775" s="6"/>
      <c r="Q775" s="6"/>
      <c r="R775" s="6"/>
      <c r="S775" s="6"/>
      <c r="T775" s="6"/>
      <c r="U775" s="6"/>
      <c r="V775" s="6"/>
      <c r="W775" s="7"/>
      <c r="X775" s="7"/>
      <c r="Y775" s="7"/>
      <c r="Z775" s="7"/>
    </row>
    <row r="776">
      <c r="A776" s="6"/>
      <c r="B776" s="6"/>
      <c r="C776" s="6"/>
      <c r="D776" s="6"/>
      <c r="E776" s="6"/>
      <c r="F776" s="6"/>
      <c r="G776" s="6"/>
      <c r="H776" s="6"/>
      <c r="I776" s="6"/>
      <c r="J776" s="6"/>
      <c r="K776" s="6"/>
      <c r="L776" s="80"/>
      <c r="M776" s="80"/>
      <c r="N776" s="80"/>
      <c r="O776" s="80"/>
      <c r="P776" s="6"/>
      <c r="Q776" s="6"/>
      <c r="R776" s="6"/>
      <c r="S776" s="6"/>
      <c r="T776" s="6"/>
      <c r="U776" s="6"/>
      <c r="V776" s="6"/>
      <c r="W776" s="7"/>
      <c r="X776" s="7"/>
      <c r="Y776" s="7"/>
      <c r="Z776" s="7"/>
    </row>
    <row r="777">
      <c r="A777" s="6"/>
      <c r="B777" s="6"/>
      <c r="C777" s="6"/>
      <c r="D777" s="6"/>
      <c r="E777" s="6"/>
      <c r="F777" s="6"/>
      <c r="G777" s="6"/>
      <c r="H777" s="6"/>
      <c r="I777" s="6"/>
      <c r="J777" s="6"/>
      <c r="K777" s="6"/>
      <c r="L777" s="80"/>
      <c r="M777" s="80"/>
      <c r="N777" s="80"/>
      <c r="O777" s="80"/>
      <c r="P777" s="6"/>
      <c r="Q777" s="6"/>
      <c r="R777" s="6"/>
      <c r="S777" s="6"/>
      <c r="T777" s="6"/>
      <c r="U777" s="6"/>
      <c r="V777" s="6"/>
      <c r="W777" s="7"/>
      <c r="X777" s="7"/>
      <c r="Y777" s="7"/>
      <c r="Z777" s="7"/>
    </row>
    <row r="778">
      <c r="A778" s="6"/>
      <c r="B778" s="6"/>
      <c r="C778" s="6"/>
      <c r="D778" s="6"/>
      <c r="E778" s="6"/>
      <c r="F778" s="6"/>
      <c r="G778" s="6"/>
      <c r="H778" s="6"/>
      <c r="I778" s="6"/>
      <c r="J778" s="6"/>
      <c r="K778" s="6"/>
      <c r="L778" s="80"/>
      <c r="M778" s="80"/>
      <c r="N778" s="80"/>
      <c r="O778" s="80"/>
      <c r="P778" s="6"/>
      <c r="Q778" s="6"/>
      <c r="R778" s="6"/>
      <c r="S778" s="6"/>
      <c r="T778" s="6"/>
      <c r="U778" s="6"/>
      <c r="V778" s="6"/>
      <c r="W778" s="7"/>
      <c r="X778" s="7"/>
      <c r="Y778" s="7"/>
      <c r="Z778" s="7"/>
    </row>
    <row r="779">
      <c r="A779" s="6"/>
      <c r="B779" s="6"/>
      <c r="C779" s="6"/>
      <c r="D779" s="6"/>
      <c r="E779" s="6"/>
      <c r="F779" s="6"/>
      <c r="G779" s="6"/>
      <c r="H779" s="6"/>
      <c r="I779" s="6"/>
      <c r="J779" s="6"/>
      <c r="K779" s="6"/>
      <c r="L779" s="80"/>
      <c r="M779" s="80"/>
      <c r="N779" s="80"/>
      <c r="O779" s="80"/>
      <c r="P779" s="6"/>
      <c r="Q779" s="6"/>
      <c r="R779" s="6"/>
      <c r="S779" s="6"/>
      <c r="T779" s="6"/>
      <c r="U779" s="6"/>
      <c r="V779" s="6"/>
      <c r="W779" s="7"/>
      <c r="X779" s="7"/>
      <c r="Y779" s="7"/>
      <c r="Z779" s="7"/>
    </row>
    <row r="780">
      <c r="A780" s="6"/>
      <c r="B780" s="6"/>
      <c r="C780" s="6"/>
      <c r="D780" s="6"/>
      <c r="E780" s="6"/>
      <c r="F780" s="6"/>
      <c r="G780" s="6"/>
      <c r="H780" s="6"/>
      <c r="I780" s="6"/>
      <c r="J780" s="6"/>
      <c r="K780" s="6"/>
      <c r="L780" s="80"/>
      <c r="M780" s="80"/>
      <c r="N780" s="80"/>
      <c r="O780" s="80"/>
      <c r="P780" s="6"/>
      <c r="Q780" s="6"/>
      <c r="R780" s="6"/>
      <c r="S780" s="6"/>
      <c r="T780" s="6"/>
      <c r="U780" s="6"/>
      <c r="V780" s="6"/>
      <c r="W780" s="7"/>
      <c r="X780" s="7"/>
      <c r="Y780" s="7"/>
      <c r="Z780" s="7"/>
    </row>
    <row r="781">
      <c r="A781" s="6"/>
      <c r="B781" s="6"/>
      <c r="C781" s="6"/>
      <c r="D781" s="6"/>
      <c r="E781" s="6"/>
      <c r="F781" s="6"/>
      <c r="G781" s="6"/>
      <c r="H781" s="6"/>
      <c r="I781" s="6"/>
      <c r="J781" s="6"/>
      <c r="K781" s="6"/>
      <c r="L781" s="80"/>
      <c r="M781" s="80"/>
      <c r="N781" s="80"/>
      <c r="O781" s="80"/>
      <c r="P781" s="6"/>
      <c r="Q781" s="6"/>
      <c r="R781" s="6"/>
      <c r="S781" s="6"/>
      <c r="T781" s="6"/>
      <c r="U781" s="6"/>
      <c r="V781" s="6"/>
      <c r="W781" s="7"/>
      <c r="X781" s="7"/>
      <c r="Y781" s="7"/>
      <c r="Z781" s="7"/>
    </row>
    <row r="782">
      <c r="A782" s="6"/>
      <c r="B782" s="6"/>
      <c r="C782" s="6"/>
      <c r="D782" s="6"/>
      <c r="E782" s="6"/>
      <c r="F782" s="6"/>
      <c r="G782" s="6"/>
      <c r="H782" s="6"/>
      <c r="I782" s="6"/>
      <c r="J782" s="6"/>
      <c r="K782" s="6"/>
      <c r="L782" s="80"/>
      <c r="M782" s="80"/>
      <c r="N782" s="80"/>
      <c r="O782" s="80"/>
      <c r="P782" s="6"/>
      <c r="Q782" s="6"/>
      <c r="R782" s="6"/>
      <c r="S782" s="6"/>
      <c r="T782" s="6"/>
      <c r="U782" s="6"/>
      <c r="V782" s="6"/>
      <c r="W782" s="7"/>
      <c r="X782" s="7"/>
      <c r="Y782" s="7"/>
      <c r="Z782" s="7"/>
    </row>
    <row r="783">
      <c r="A783" s="6"/>
      <c r="B783" s="6"/>
      <c r="C783" s="6"/>
      <c r="D783" s="6"/>
      <c r="E783" s="6"/>
      <c r="F783" s="6"/>
      <c r="G783" s="6"/>
      <c r="H783" s="6"/>
      <c r="I783" s="6"/>
      <c r="J783" s="6"/>
      <c r="K783" s="6"/>
      <c r="L783" s="80"/>
      <c r="M783" s="80"/>
      <c r="N783" s="80"/>
      <c r="O783" s="80"/>
      <c r="P783" s="6"/>
      <c r="Q783" s="6"/>
      <c r="R783" s="6"/>
      <c r="S783" s="6"/>
      <c r="T783" s="6"/>
      <c r="U783" s="6"/>
      <c r="V783" s="6"/>
      <c r="W783" s="7"/>
      <c r="X783" s="7"/>
      <c r="Y783" s="7"/>
      <c r="Z783" s="7"/>
    </row>
    <row r="784">
      <c r="A784" s="6"/>
      <c r="B784" s="6"/>
      <c r="C784" s="6"/>
      <c r="D784" s="6"/>
      <c r="E784" s="6"/>
      <c r="F784" s="6"/>
      <c r="G784" s="6"/>
      <c r="H784" s="6"/>
      <c r="I784" s="6"/>
      <c r="J784" s="6"/>
      <c r="K784" s="6"/>
      <c r="L784" s="80"/>
      <c r="M784" s="80"/>
      <c r="N784" s="80"/>
      <c r="O784" s="80"/>
      <c r="P784" s="6"/>
      <c r="Q784" s="6"/>
      <c r="R784" s="6"/>
      <c r="S784" s="6"/>
      <c r="T784" s="6"/>
      <c r="U784" s="6"/>
      <c r="V784" s="6"/>
      <c r="W784" s="7"/>
      <c r="X784" s="7"/>
      <c r="Y784" s="7"/>
      <c r="Z784" s="7"/>
    </row>
    <row r="785">
      <c r="A785" s="6"/>
      <c r="B785" s="6"/>
      <c r="C785" s="6"/>
      <c r="D785" s="6"/>
      <c r="E785" s="6"/>
      <c r="F785" s="6"/>
      <c r="G785" s="6"/>
      <c r="H785" s="6"/>
      <c r="I785" s="6"/>
      <c r="J785" s="6"/>
      <c r="K785" s="6"/>
      <c r="L785" s="80"/>
      <c r="M785" s="80"/>
      <c r="N785" s="80"/>
      <c r="O785" s="80"/>
      <c r="P785" s="6"/>
      <c r="Q785" s="6"/>
      <c r="R785" s="6"/>
      <c r="S785" s="6"/>
      <c r="T785" s="6"/>
      <c r="U785" s="6"/>
      <c r="V785" s="6"/>
      <c r="W785" s="7"/>
      <c r="X785" s="7"/>
      <c r="Y785" s="7"/>
      <c r="Z785" s="7"/>
    </row>
    <row r="786">
      <c r="A786" s="6"/>
      <c r="B786" s="6"/>
      <c r="C786" s="6"/>
      <c r="D786" s="6"/>
      <c r="E786" s="6"/>
      <c r="F786" s="6"/>
      <c r="G786" s="6"/>
      <c r="H786" s="6"/>
      <c r="I786" s="6"/>
      <c r="J786" s="6"/>
      <c r="K786" s="6"/>
      <c r="L786" s="80"/>
      <c r="M786" s="80"/>
      <c r="N786" s="80"/>
      <c r="O786" s="80"/>
      <c r="P786" s="6"/>
      <c r="Q786" s="6"/>
      <c r="R786" s="6"/>
      <c r="S786" s="6"/>
      <c r="T786" s="6"/>
      <c r="U786" s="6"/>
      <c r="V786" s="6"/>
      <c r="W786" s="7"/>
      <c r="X786" s="7"/>
      <c r="Y786" s="7"/>
      <c r="Z786" s="7"/>
    </row>
    <row r="787">
      <c r="A787" s="6"/>
      <c r="B787" s="6"/>
      <c r="C787" s="6"/>
      <c r="D787" s="6"/>
      <c r="E787" s="6"/>
      <c r="F787" s="6"/>
      <c r="G787" s="6"/>
      <c r="H787" s="6"/>
      <c r="I787" s="6"/>
      <c r="J787" s="6"/>
      <c r="K787" s="6"/>
      <c r="L787" s="80"/>
      <c r="M787" s="80"/>
      <c r="N787" s="80"/>
      <c r="O787" s="80"/>
      <c r="P787" s="6"/>
      <c r="Q787" s="6"/>
      <c r="R787" s="6"/>
      <c r="S787" s="6"/>
      <c r="T787" s="6"/>
      <c r="U787" s="6"/>
      <c r="V787" s="6"/>
      <c r="W787" s="7"/>
      <c r="X787" s="7"/>
      <c r="Y787" s="7"/>
      <c r="Z787" s="7"/>
    </row>
    <row r="788">
      <c r="A788" s="6"/>
      <c r="B788" s="6"/>
      <c r="C788" s="6"/>
      <c r="D788" s="6"/>
      <c r="E788" s="6"/>
      <c r="F788" s="6"/>
      <c r="G788" s="6"/>
      <c r="H788" s="6"/>
      <c r="I788" s="6"/>
      <c r="J788" s="6"/>
      <c r="K788" s="6"/>
      <c r="L788" s="80"/>
      <c r="M788" s="80"/>
      <c r="N788" s="80"/>
      <c r="O788" s="80"/>
      <c r="P788" s="6"/>
      <c r="Q788" s="6"/>
      <c r="R788" s="6"/>
      <c r="S788" s="6"/>
      <c r="T788" s="6"/>
      <c r="U788" s="6"/>
      <c r="V788" s="6"/>
      <c r="W788" s="7"/>
      <c r="X788" s="7"/>
      <c r="Y788" s="7"/>
      <c r="Z788" s="7"/>
    </row>
    <row r="789">
      <c r="A789" s="6"/>
      <c r="B789" s="6"/>
      <c r="C789" s="6"/>
      <c r="D789" s="6"/>
      <c r="E789" s="6"/>
      <c r="F789" s="6"/>
      <c r="G789" s="6"/>
      <c r="H789" s="6"/>
      <c r="I789" s="6"/>
      <c r="J789" s="6"/>
      <c r="K789" s="6"/>
      <c r="L789" s="80"/>
      <c r="M789" s="80"/>
      <c r="N789" s="80"/>
      <c r="O789" s="80"/>
      <c r="P789" s="6"/>
      <c r="Q789" s="6"/>
      <c r="R789" s="6"/>
      <c r="S789" s="6"/>
      <c r="T789" s="6"/>
      <c r="U789" s="6"/>
      <c r="V789" s="6"/>
      <c r="W789" s="7"/>
      <c r="X789" s="7"/>
      <c r="Y789" s="7"/>
      <c r="Z789" s="7"/>
    </row>
    <row r="790">
      <c r="A790" s="6"/>
      <c r="B790" s="6"/>
      <c r="C790" s="6"/>
      <c r="D790" s="6"/>
      <c r="E790" s="6"/>
      <c r="F790" s="6"/>
      <c r="G790" s="6"/>
      <c r="H790" s="6"/>
      <c r="I790" s="6"/>
      <c r="J790" s="6"/>
      <c r="K790" s="6"/>
      <c r="L790" s="80"/>
      <c r="M790" s="80"/>
      <c r="N790" s="80"/>
      <c r="O790" s="80"/>
      <c r="P790" s="6"/>
      <c r="Q790" s="6"/>
      <c r="R790" s="6"/>
      <c r="S790" s="6"/>
      <c r="T790" s="6"/>
      <c r="U790" s="6"/>
      <c r="V790" s="6"/>
      <c r="W790" s="7"/>
      <c r="X790" s="7"/>
      <c r="Y790" s="7"/>
      <c r="Z790" s="7"/>
    </row>
    <row r="791">
      <c r="A791" s="6"/>
      <c r="B791" s="6"/>
      <c r="C791" s="6"/>
      <c r="D791" s="6"/>
      <c r="E791" s="6"/>
      <c r="F791" s="6"/>
      <c r="G791" s="6"/>
      <c r="H791" s="6"/>
      <c r="I791" s="6"/>
      <c r="J791" s="6"/>
      <c r="K791" s="6"/>
      <c r="L791" s="80"/>
      <c r="M791" s="80"/>
      <c r="N791" s="80"/>
      <c r="O791" s="80"/>
      <c r="P791" s="6"/>
      <c r="Q791" s="6"/>
      <c r="R791" s="6"/>
      <c r="S791" s="6"/>
      <c r="T791" s="6"/>
      <c r="U791" s="6"/>
      <c r="V791" s="6"/>
      <c r="W791" s="7"/>
      <c r="X791" s="7"/>
      <c r="Y791" s="7"/>
      <c r="Z791" s="7"/>
    </row>
    <row r="792">
      <c r="A792" s="6"/>
      <c r="B792" s="6"/>
      <c r="C792" s="6"/>
      <c r="D792" s="6"/>
      <c r="E792" s="6"/>
      <c r="F792" s="6"/>
      <c r="G792" s="6"/>
      <c r="H792" s="6"/>
      <c r="I792" s="6"/>
      <c r="J792" s="6"/>
      <c r="K792" s="6"/>
      <c r="L792" s="80"/>
      <c r="M792" s="80"/>
      <c r="N792" s="80"/>
      <c r="O792" s="80"/>
      <c r="P792" s="6"/>
      <c r="Q792" s="6"/>
      <c r="R792" s="6"/>
      <c r="S792" s="6"/>
      <c r="T792" s="6"/>
      <c r="U792" s="6"/>
      <c r="V792" s="6"/>
      <c r="W792" s="7"/>
      <c r="X792" s="7"/>
      <c r="Y792" s="7"/>
      <c r="Z792" s="7"/>
    </row>
    <row r="793">
      <c r="A793" s="6"/>
      <c r="B793" s="6"/>
      <c r="C793" s="6"/>
      <c r="D793" s="6"/>
      <c r="E793" s="6"/>
      <c r="F793" s="6"/>
      <c r="G793" s="6"/>
      <c r="H793" s="6"/>
      <c r="I793" s="6"/>
      <c r="J793" s="6"/>
      <c r="K793" s="6"/>
      <c r="L793" s="80"/>
      <c r="M793" s="80"/>
      <c r="N793" s="80"/>
      <c r="O793" s="80"/>
      <c r="P793" s="6"/>
      <c r="Q793" s="6"/>
      <c r="R793" s="6"/>
      <c r="S793" s="6"/>
      <c r="T793" s="6"/>
      <c r="U793" s="6"/>
      <c r="V793" s="6"/>
      <c r="W793" s="7"/>
      <c r="X793" s="7"/>
      <c r="Y793" s="7"/>
      <c r="Z793" s="7"/>
    </row>
    <row r="794">
      <c r="A794" s="6"/>
      <c r="B794" s="6"/>
      <c r="C794" s="6"/>
      <c r="D794" s="6"/>
      <c r="E794" s="6"/>
      <c r="F794" s="6"/>
      <c r="G794" s="6"/>
      <c r="H794" s="6"/>
      <c r="I794" s="6"/>
      <c r="J794" s="6"/>
      <c r="K794" s="6"/>
      <c r="L794" s="80"/>
      <c r="M794" s="80"/>
      <c r="N794" s="80"/>
      <c r="O794" s="80"/>
      <c r="P794" s="6"/>
      <c r="Q794" s="6"/>
      <c r="R794" s="6"/>
      <c r="S794" s="6"/>
      <c r="T794" s="6"/>
      <c r="U794" s="6"/>
      <c r="V794" s="6"/>
      <c r="W794" s="7"/>
      <c r="X794" s="7"/>
      <c r="Y794" s="7"/>
      <c r="Z794" s="7"/>
    </row>
    <row r="795">
      <c r="A795" s="6"/>
      <c r="B795" s="6"/>
      <c r="C795" s="6"/>
      <c r="D795" s="6"/>
      <c r="E795" s="6"/>
      <c r="F795" s="6"/>
      <c r="G795" s="6"/>
      <c r="H795" s="6"/>
      <c r="I795" s="6"/>
      <c r="J795" s="6"/>
      <c r="K795" s="6"/>
      <c r="L795" s="80"/>
      <c r="M795" s="80"/>
      <c r="N795" s="80"/>
      <c r="O795" s="80"/>
      <c r="P795" s="6"/>
      <c r="Q795" s="6"/>
      <c r="R795" s="6"/>
      <c r="S795" s="6"/>
      <c r="T795" s="6"/>
      <c r="U795" s="6"/>
      <c r="V795" s="6"/>
      <c r="W795" s="7"/>
      <c r="X795" s="7"/>
      <c r="Y795" s="7"/>
      <c r="Z795" s="7"/>
    </row>
    <row r="796">
      <c r="A796" s="6"/>
      <c r="B796" s="6"/>
      <c r="C796" s="6"/>
      <c r="D796" s="6"/>
      <c r="E796" s="6"/>
      <c r="F796" s="6"/>
      <c r="G796" s="6"/>
      <c r="H796" s="6"/>
      <c r="I796" s="6"/>
      <c r="J796" s="6"/>
      <c r="K796" s="6"/>
      <c r="L796" s="80"/>
      <c r="M796" s="80"/>
      <c r="N796" s="80"/>
      <c r="O796" s="80"/>
      <c r="P796" s="6"/>
      <c r="Q796" s="6"/>
      <c r="R796" s="6"/>
      <c r="S796" s="6"/>
      <c r="T796" s="6"/>
      <c r="U796" s="6"/>
      <c r="V796" s="6"/>
      <c r="W796" s="7"/>
      <c r="X796" s="7"/>
      <c r="Y796" s="7"/>
      <c r="Z796" s="7"/>
    </row>
    <row r="797">
      <c r="A797" s="6"/>
      <c r="B797" s="6"/>
      <c r="C797" s="6"/>
      <c r="D797" s="6"/>
      <c r="E797" s="6"/>
      <c r="F797" s="6"/>
      <c r="G797" s="6"/>
      <c r="H797" s="6"/>
      <c r="I797" s="6"/>
      <c r="J797" s="6"/>
      <c r="K797" s="6"/>
      <c r="L797" s="80"/>
      <c r="M797" s="80"/>
      <c r="N797" s="80"/>
      <c r="O797" s="80"/>
      <c r="P797" s="6"/>
      <c r="Q797" s="6"/>
      <c r="R797" s="6"/>
      <c r="S797" s="6"/>
      <c r="T797" s="6"/>
      <c r="U797" s="6"/>
      <c r="V797" s="6"/>
      <c r="W797" s="7"/>
      <c r="X797" s="7"/>
      <c r="Y797" s="7"/>
      <c r="Z797" s="7"/>
    </row>
    <row r="798">
      <c r="A798" s="6"/>
      <c r="B798" s="6"/>
      <c r="C798" s="6"/>
      <c r="D798" s="6"/>
      <c r="E798" s="6"/>
      <c r="F798" s="6"/>
      <c r="G798" s="6"/>
      <c r="H798" s="6"/>
      <c r="I798" s="6"/>
      <c r="J798" s="6"/>
      <c r="K798" s="6"/>
      <c r="L798" s="80"/>
      <c r="M798" s="80"/>
      <c r="N798" s="80"/>
      <c r="O798" s="80"/>
      <c r="P798" s="6"/>
      <c r="Q798" s="6"/>
      <c r="R798" s="6"/>
      <c r="S798" s="6"/>
      <c r="T798" s="6"/>
      <c r="U798" s="6"/>
      <c r="V798" s="6"/>
      <c r="W798" s="7"/>
      <c r="X798" s="7"/>
      <c r="Y798" s="7"/>
      <c r="Z798" s="7"/>
    </row>
    <row r="799">
      <c r="A799" s="6"/>
      <c r="B799" s="6"/>
      <c r="C799" s="6"/>
      <c r="D799" s="6"/>
      <c r="E799" s="6"/>
      <c r="F799" s="6"/>
      <c r="G799" s="6"/>
      <c r="H799" s="6"/>
      <c r="I799" s="6"/>
      <c r="J799" s="6"/>
      <c r="K799" s="6"/>
      <c r="L799" s="80"/>
      <c r="M799" s="80"/>
      <c r="N799" s="80"/>
      <c r="O799" s="80"/>
      <c r="P799" s="6"/>
      <c r="Q799" s="6"/>
      <c r="R799" s="6"/>
      <c r="S799" s="6"/>
      <c r="T799" s="6"/>
      <c r="U799" s="6"/>
      <c r="V799" s="6"/>
      <c r="W799" s="7"/>
      <c r="X799" s="7"/>
      <c r="Y799" s="7"/>
      <c r="Z799" s="7"/>
    </row>
    <row r="800">
      <c r="A800" s="6"/>
      <c r="B800" s="6"/>
      <c r="C800" s="6"/>
      <c r="D800" s="6"/>
      <c r="E800" s="6"/>
      <c r="F800" s="6"/>
      <c r="G800" s="6"/>
      <c r="H800" s="6"/>
      <c r="I800" s="6"/>
      <c r="J800" s="6"/>
      <c r="K800" s="6"/>
      <c r="L800" s="80"/>
      <c r="M800" s="80"/>
      <c r="N800" s="80"/>
      <c r="O800" s="80"/>
      <c r="P800" s="6"/>
      <c r="Q800" s="6"/>
      <c r="R800" s="6"/>
      <c r="S800" s="6"/>
      <c r="T800" s="6"/>
      <c r="U800" s="6"/>
      <c r="V800" s="6"/>
      <c r="W800" s="7"/>
      <c r="X800" s="7"/>
      <c r="Y800" s="7"/>
      <c r="Z800" s="7"/>
    </row>
    <row r="801">
      <c r="A801" s="6"/>
      <c r="B801" s="6"/>
      <c r="C801" s="6"/>
      <c r="D801" s="6"/>
      <c r="E801" s="6"/>
      <c r="F801" s="6"/>
      <c r="G801" s="6"/>
      <c r="H801" s="6"/>
      <c r="I801" s="6"/>
      <c r="J801" s="6"/>
      <c r="K801" s="6"/>
      <c r="L801" s="80"/>
      <c r="M801" s="80"/>
      <c r="N801" s="80"/>
      <c r="O801" s="80"/>
      <c r="P801" s="6"/>
      <c r="Q801" s="6"/>
      <c r="R801" s="6"/>
      <c r="S801" s="6"/>
      <c r="T801" s="6"/>
      <c r="U801" s="6"/>
      <c r="V801" s="6"/>
      <c r="W801" s="7"/>
      <c r="X801" s="7"/>
      <c r="Y801" s="7"/>
      <c r="Z801" s="7"/>
    </row>
    <row r="802">
      <c r="A802" s="6"/>
      <c r="B802" s="6"/>
      <c r="C802" s="6"/>
      <c r="D802" s="6"/>
      <c r="E802" s="6"/>
      <c r="F802" s="6"/>
      <c r="G802" s="6"/>
      <c r="H802" s="6"/>
      <c r="I802" s="6"/>
      <c r="J802" s="6"/>
      <c r="K802" s="6"/>
      <c r="L802" s="80"/>
      <c r="M802" s="80"/>
      <c r="N802" s="80"/>
      <c r="O802" s="80"/>
      <c r="P802" s="6"/>
      <c r="Q802" s="6"/>
      <c r="R802" s="6"/>
      <c r="S802" s="6"/>
      <c r="T802" s="6"/>
      <c r="U802" s="6"/>
      <c r="V802" s="6"/>
      <c r="W802" s="7"/>
      <c r="X802" s="7"/>
      <c r="Y802" s="7"/>
      <c r="Z802" s="7"/>
    </row>
    <row r="803">
      <c r="A803" s="6"/>
      <c r="B803" s="6"/>
      <c r="C803" s="6"/>
      <c r="D803" s="6"/>
      <c r="E803" s="6"/>
      <c r="F803" s="6"/>
      <c r="G803" s="6"/>
      <c r="H803" s="6"/>
      <c r="I803" s="6"/>
      <c r="J803" s="6"/>
      <c r="K803" s="6"/>
      <c r="L803" s="80"/>
      <c r="M803" s="80"/>
      <c r="N803" s="80"/>
      <c r="O803" s="80"/>
      <c r="P803" s="6"/>
      <c r="Q803" s="6"/>
      <c r="R803" s="6"/>
      <c r="S803" s="6"/>
      <c r="T803" s="6"/>
      <c r="U803" s="6"/>
      <c r="V803" s="6"/>
      <c r="W803" s="7"/>
      <c r="X803" s="7"/>
      <c r="Y803" s="7"/>
      <c r="Z803" s="7"/>
    </row>
    <row r="804">
      <c r="A804" s="6"/>
      <c r="B804" s="6"/>
      <c r="C804" s="6"/>
      <c r="D804" s="6"/>
      <c r="E804" s="6"/>
      <c r="F804" s="6"/>
      <c r="G804" s="6"/>
      <c r="H804" s="6"/>
      <c r="I804" s="6"/>
      <c r="J804" s="6"/>
      <c r="K804" s="6"/>
      <c r="L804" s="80"/>
      <c r="M804" s="80"/>
      <c r="N804" s="80"/>
      <c r="O804" s="80"/>
      <c r="P804" s="6"/>
      <c r="Q804" s="6"/>
      <c r="R804" s="6"/>
      <c r="S804" s="6"/>
      <c r="T804" s="6"/>
      <c r="U804" s="6"/>
      <c r="V804" s="6"/>
      <c r="W804" s="7"/>
      <c r="X804" s="7"/>
      <c r="Y804" s="7"/>
      <c r="Z804" s="7"/>
    </row>
    <row r="805">
      <c r="A805" s="6"/>
      <c r="B805" s="6"/>
      <c r="C805" s="6"/>
      <c r="D805" s="6"/>
      <c r="E805" s="6"/>
      <c r="F805" s="6"/>
      <c r="G805" s="6"/>
      <c r="H805" s="6"/>
      <c r="I805" s="6"/>
      <c r="J805" s="6"/>
      <c r="K805" s="6"/>
      <c r="L805" s="80"/>
      <c r="M805" s="80"/>
      <c r="N805" s="80"/>
      <c r="O805" s="80"/>
      <c r="P805" s="6"/>
      <c r="Q805" s="6"/>
      <c r="R805" s="6"/>
      <c r="S805" s="6"/>
      <c r="T805" s="6"/>
      <c r="U805" s="6"/>
      <c r="V805" s="6"/>
      <c r="W805" s="7"/>
      <c r="X805" s="7"/>
      <c r="Y805" s="7"/>
      <c r="Z805" s="7"/>
    </row>
    <row r="806">
      <c r="A806" s="6"/>
      <c r="B806" s="6"/>
      <c r="C806" s="6"/>
      <c r="D806" s="6"/>
      <c r="E806" s="6"/>
      <c r="F806" s="6"/>
      <c r="G806" s="6"/>
      <c r="H806" s="6"/>
      <c r="I806" s="6"/>
      <c r="J806" s="6"/>
      <c r="K806" s="6"/>
      <c r="L806" s="80"/>
      <c r="M806" s="80"/>
      <c r="N806" s="80"/>
      <c r="O806" s="80"/>
      <c r="P806" s="6"/>
      <c r="Q806" s="6"/>
      <c r="R806" s="6"/>
      <c r="S806" s="6"/>
      <c r="T806" s="6"/>
      <c r="U806" s="6"/>
      <c r="V806" s="6"/>
      <c r="W806" s="7"/>
      <c r="X806" s="7"/>
      <c r="Y806" s="7"/>
      <c r="Z806" s="7"/>
    </row>
    <row r="807">
      <c r="A807" s="6"/>
      <c r="B807" s="6"/>
      <c r="C807" s="6"/>
      <c r="D807" s="6"/>
      <c r="E807" s="6"/>
      <c r="F807" s="6"/>
      <c r="G807" s="6"/>
      <c r="H807" s="6"/>
      <c r="I807" s="6"/>
      <c r="J807" s="6"/>
      <c r="K807" s="6"/>
      <c r="L807" s="80"/>
      <c r="M807" s="80"/>
      <c r="N807" s="80"/>
      <c r="O807" s="80"/>
      <c r="P807" s="6"/>
      <c r="Q807" s="6"/>
      <c r="R807" s="6"/>
      <c r="S807" s="6"/>
      <c r="T807" s="6"/>
      <c r="U807" s="6"/>
      <c r="V807" s="6"/>
      <c r="W807" s="7"/>
      <c r="X807" s="7"/>
      <c r="Y807" s="7"/>
      <c r="Z807" s="7"/>
    </row>
    <row r="808">
      <c r="A808" s="6"/>
      <c r="B808" s="6"/>
      <c r="C808" s="6"/>
      <c r="D808" s="6"/>
      <c r="E808" s="6"/>
      <c r="F808" s="6"/>
      <c r="G808" s="6"/>
      <c r="H808" s="6"/>
      <c r="I808" s="6"/>
      <c r="J808" s="6"/>
      <c r="K808" s="6"/>
      <c r="L808" s="80"/>
      <c r="M808" s="80"/>
      <c r="N808" s="80"/>
      <c r="O808" s="80"/>
      <c r="P808" s="6"/>
      <c r="Q808" s="6"/>
      <c r="R808" s="6"/>
      <c r="S808" s="6"/>
      <c r="T808" s="6"/>
      <c r="U808" s="6"/>
      <c r="V808" s="6"/>
      <c r="W808" s="7"/>
      <c r="X808" s="7"/>
      <c r="Y808" s="7"/>
      <c r="Z808" s="7"/>
    </row>
    <row r="809">
      <c r="A809" s="6"/>
      <c r="B809" s="6"/>
      <c r="C809" s="6"/>
      <c r="D809" s="6"/>
      <c r="E809" s="6"/>
      <c r="F809" s="6"/>
      <c r="G809" s="6"/>
      <c r="H809" s="6"/>
      <c r="I809" s="6"/>
      <c r="J809" s="6"/>
      <c r="K809" s="6"/>
      <c r="L809" s="80"/>
      <c r="M809" s="80"/>
      <c r="N809" s="80"/>
      <c r="O809" s="80"/>
      <c r="P809" s="6"/>
      <c r="Q809" s="6"/>
      <c r="R809" s="6"/>
      <c r="S809" s="6"/>
      <c r="T809" s="6"/>
      <c r="U809" s="6"/>
      <c r="V809" s="6"/>
      <c r="W809" s="7"/>
      <c r="X809" s="7"/>
      <c r="Y809" s="7"/>
      <c r="Z809" s="7"/>
    </row>
    <row r="810">
      <c r="A810" s="6"/>
      <c r="B810" s="6"/>
      <c r="C810" s="6"/>
      <c r="D810" s="6"/>
      <c r="E810" s="6"/>
      <c r="F810" s="6"/>
      <c r="G810" s="6"/>
      <c r="H810" s="6"/>
      <c r="I810" s="6"/>
      <c r="J810" s="6"/>
      <c r="K810" s="6"/>
      <c r="L810" s="80"/>
      <c r="M810" s="80"/>
      <c r="N810" s="80"/>
      <c r="O810" s="80"/>
      <c r="P810" s="6"/>
      <c r="Q810" s="6"/>
      <c r="R810" s="6"/>
      <c r="S810" s="6"/>
      <c r="T810" s="6"/>
      <c r="U810" s="6"/>
      <c r="V810" s="6"/>
      <c r="W810" s="7"/>
      <c r="X810" s="7"/>
      <c r="Y810" s="7"/>
      <c r="Z810" s="7"/>
    </row>
    <row r="811">
      <c r="A811" s="6"/>
      <c r="B811" s="6"/>
      <c r="C811" s="6"/>
      <c r="D811" s="6"/>
      <c r="E811" s="6"/>
      <c r="F811" s="6"/>
      <c r="G811" s="6"/>
      <c r="H811" s="6"/>
      <c r="I811" s="6"/>
      <c r="J811" s="6"/>
      <c r="K811" s="6"/>
      <c r="L811" s="80"/>
      <c r="M811" s="80"/>
      <c r="N811" s="80"/>
      <c r="O811" s="80"/>
      <c r="P811" s="6"/>
      <c r="Q811" s="6"/>
      <c r="R811" s="6"/>
      <c r="S811" s="6"/>
      <c r="T811" s="6"/>
      <c r="U811" s="6"/>
      <c r="V811" s="6"/>
      <c r="W811" s="7"/>
      <c r="X811" s="7"/>
      <c r="Y811" s="7"/>
      <c r="Z811" s="7"/>
    </row>
    <row r="812">
      <c r="A812" s="6"/>
      <c r="B812" s="6"/>
      <c r="C812" s="6"/>
      <c r="D812" s="6"/>
      <c r="E812" s="6"/>
      <c r="F812" s="6"/>
      <c r="G812" s="6"/>
      <c r="H812" s="6"/>
      <c r="I812" s="6"/>
      <c r="J812" s="6"/>
      <c r="K812" s="6"/>
      <c r="L812" s="80"/>
      <c r="M812" s="80"/>
      <c r="N812" s="80"/>
      <c r="O812" s="80"/>
      <c r="P812" s="6"/>
      <c r="Q812" s="6"/>
      <c r="R812" s="6"/>
      <c r="S812" s="6"/>
      <c r="T812" s="6"/>
      <c r="U812" s="6"/>
      <c r="V812" s="6"/>
      <c r="W812" s="7"/>
      <c r="X812" s="7"/>
      <c r="Y812" s="7"/>
      <c r="Z812" s="7"/>
    </row>
    <row r="813">
      <c r="A813" s="6"/>
      <c r="B813" s="6"/>
      <c r="C813" s="6"/>
      <c r="D813" s="6"/>
      <c r="E813" s="6"/>
      <c r="F813" s="6"/>
      <c r="G813" s="6"/>
      <c r="H813" s="6"/>
      <c r="I813" s="6"/>
      <c r="J813" s="6"/>
      <c r="K813" s="6"/>
      <c r="L813" s="80"/>
      <c r="M813" s="80"/>
      <c r="N813" s="80"/>
      <c r="O813" s="80"/>
      <c r="P813" s="6"/>
      <c r="Q813" s="6"/>
      <c r="R813" s="6"/>
      <c r="S813" s="6"/>
      <c r="T813" s="6"/>
      <c r="U813" s="6"/>
      <c r="V813" s="6"/>
      <c r="W813" s="7"/>
      <c r="X813" s="7"/>
      <c r="Y813" s="7"/>
      <c r="Z813" s="7"/>
    </row>
    <row r="814">
      <c r="A814" s="6"/>
      <c r="B814" s="6"/>
      <c r="C814" s="6"/>
      <c r="D814" s="6"/>
      <c r="E814" s="6"/>
      <c r="F814" s="6"/>
      <c r="G814" s="6"/>
      <c r="H814" s="6"/>
      <c r="I814" s="6"/>
      <c r="J814" s="6"/>
      <c r="K814" s="6"/>
      <c r="L814" s="80"/>
      <c r="M814" s="80"/>
      <c r="N814" s="80"/>
      <c r="O814" s="80"/>
      <c r="P814" s="6"/>
      <c r="Q814" s="6"/>
      <c r="R814" s="6"/>
      <c r="S814" s="6"/>
      <c r="T814" s="6"/>
      <c r="U814" s="6"/>
      <c r="V814" s="6"/>
      <c r="W814" s="7"/>
      <c r="X814" s="7"/>
      <c r="Y814" s="7"/>
      <c r="Z814" s="7"/>
    </row>
    <row r="815">
      <c r="A815" s="6"/>
      <c r="B815" s="6"/>
      <c r="C815" s="6"/>
      <c r="D815" s="6"/>
      <c r="E815" s="6"/>
      <c r="F815" s="6"/>
      <c r="G815" s="6"/>
      <c r="H815" s="6"/>
      <c r="I815" s="6"/>
      <c r="J815" s="6"/>
      <c r="K815" s="6"/>
      <c r="L815" s="80"/>
      <c r="M815" s="80"/>
      <c r="N815" s="80"/>
      <c r="O815" s="80"/>
      <c r="P815" s="6"/>
      <c r="Q815" s="6"/>
      <c r="R815" s="6"/>
      <c r="S815" s="6"/>
      <c r="T815" s="6"/>
      <c r="U815" s="6"/>
      <c r="V815" s="6"/>
      <c r="W815" s="7"/>
      <c r="X815" s="7"/>
      <c r="Y815" s="7"/>
      <c r="Z815" s="7"/>
    </row>
    <row r="816">
      <c r="A816" s="6"/>
      <c r="B816" s="6"/>
      <c r="C816" s="6"/>
      <c r="D816" s="6"/>
      <c r="E816" s="6"/>
      <c r="F816" s="6"/>
      <c r="G816" s="6"/>
      <c r="H816" s="6"/>
      <c r="I816" s="6"/>
      <c r="J816" s="6"/>
      <c r="K816" s="6"/>
      <c r="L816" s="80"/>
      <c r="M816" s="80"/>
      <c r="N816" s="80"/>
      <c r="O816" s="80"/>
      <c r="P816" s="6"/>
      <c r="Q816" s="6"/>
      <c r="R816" s="6"/>
      <c r="S816" s="6"/>
      <c r="T816" s="6"/>
      <c r="U816" s="6"/>
      <c r="V816" s="6"/>
      <c r="W816" s="7"/>
      <c r="X816" s="7"/>
      <c r="Y816" s="7"/>
      <c r="Z816" s="7"/>
    </row>
    <row r="817">
      <c r="A817" s="6"/>
      <c r="B817" s="6"/>
      <c r="C817" s="6"/>
      <c r="D817" s="6"/>
      <c r="E817" s="6"/>
      <c r="F817" s="6"/>
      <c r="G817" s="6"/>
      <c r="H817" s="6"/>
      <c r="I817" s="6"/>
      <c r="J817" s="6"/>
      <c r="K817" s="6"/>
      <c r="L817" s="80"/>
      <c r="M817" s="80"/>
      <c r="N817" s="80"/>
      <c r="O817" s="80"/>
      <c r="P817" s="6"/>
      <c r="Q817" s="6"/>
      <c r="R817" s="6"/>
      <c r="S817" s="6"/>
      <c r="T817" s="6"/>
      <c r="U817" s="6"/>
      <c r="V817" s="6"/>
      <c r="W817" s="7"/>
      <c r="X817" s="7"/>
      <c r="Y817" s="7"/>
      <c r="Z817" s="7"/>
    </row>
    <row r="818">
      <c r="A818" s="6"/>
      <c r="B818" s="6"/>
      <c r="C818" s="6"/>
      <c r="D818" s="6"/>
      <c r="E818" s="6"/>
      <c r="F818" s="6"/>
      <c r="G818" s="6"/>
      <c r="H818" s="6"/>
      <c r="I818" s="6"/>
      <c r="J818" s="6"/>
      <c r="K818" s="6"/>
      <c r="L818" s="80"/>
      <c r="M818" s="80"/>
      <c r="N818" s="80"/>
      <c r="O818" s="80"/>
      <c r="P818" s="6"/>
      <c r="Q818" s="6"/>
      <c r="R818" s="6"/>
      <c r="S818" s="6"/>
      <c r="T818" s="6"/>
      <c r="U818" s="6"/>
      <c r="V818" s="6"/>
      <c r="W818" s="7"/>
      <c r="X818" s="7"/>
      <c r="Y818" s="7"/>
      <c r="Z818" s="7"/>
    </row>
    <row r="819">
      <c r="A819" s="6"/>
      <c r="B819" s="6"/>
      <c r="C819" s="6"/>
      <c r="D819" s="6"/>
      <c r="E819" s="6"/>
      <c r="F819" s="6"/>
      <c r="G819" s="6"/>
      <c r="H819" s="6"/>
      <c r="I819" s="6"/>
      <c r="J819" s="6"/>
      <c r="K819" s="6"/>
      <c r="L819" s="80"/>
      <c r="M819" s="80"/>
      <c r="N819" s="80"/>
      <c r="O819" s="80"/>
      <c r="P819" s="6"/>
      <c r="Q819" s="6"/>
      <c r="R819" s="6"/>
      <c r="S819" s="6"/>
      <c r="T819" s="6"/>
      <c r="U819" s="6"/>
      <c r="V819" s="6"/>
      <c r="W819" s="7"/>
      <c r="X819" s="7"/>
      <c r="Y819" s="7"/>
      <c r="Z819" s="7"/>
    </row>
    <row r="820">
      <c r="A820" s="6"/>
      <c r="B820" s="6"/>
      <c r="C820" s="6"/>
      <c r="D820" s="6"/>
      <c r="E820" s="6"/>
      <c r="F820" s="6"/>
      <c r="G820" s="6"/>
      <c r="H820" s="6"/>
      <c r="I820" s="6"/>
      <c r="J820" s="6"/>
      <c r="K820" s="6"/>
      <c r="L820" s="80"/>
      <c r="M820" s="80"/>
      <c r="N820" s="80"/>
      <c r="O820" s="80"/>
      <c r="P820" s="6"/>
      <c r="Q820" s="6"/>
      <c r="R820" s="6"/>
      <c r="S820" s="6"/>
      <c r="T820" s="6"/>
      <c r="U820" s="6"/>
      <c r="V820" s="6"/>
      <c r="W820" s="7"/>
      <c r="X820" s="7"/>
      <c r="Y820" s="7"/>
      <c r="Z820" s="7"/>
    </row>
    <row r="821">
      <c r="A821" s="6"/>
      <c r="B821" s="6"/>
      <c r="C821" s="6"/>
      <c r="D821" s="6"/>
      <c r="E821" s="6"/>
      <c r="F821" s="6"/>
      <c r="G821" s="6"/>
      <c r="H821" s="6"/>
      <c r="I821" s="6"/>
      <c r="J821" s="6"/>
      <c r="K821" s="6"/>
      <c r="L821" s="80"/>
      <c r="M821" s="80"/>
      <c r="N821" s="80"/>
      <c r="O821" s="80"/>
      <c r="P821" s="6"/>
      <c r="Q821" s="6"/>
      <c r="R821" s="6"/>
      <c r="S821" s="6"/>
      <c r="T821" s="6"/>
      <c r="U821" s="6"/>
      <c r="V821" s="6"/>
      <c r="W821" s="7"/>
      <c r="X821" s="7"/>
      <c r="Y821" s="7"/>
      <c r="Z821" s="7"/>
    </row>
    <row r="822">
      <c r="A822" s="6"/>
      <c r="B822" s="6"/>
      <c r="C822" s="6"/>
      <c r="D822" s="6"/>
      <c r="E822" s="6"/>
      <c r="F822" s="6"/>
      <c r="G822" s="6"/>
      <c r="H822" s="6"/>
      <c r="I822" s="6"/>
      <c r="J822" s="6"/>
      <c r="K822" s="6"/>
      <c r="L822" s="80"/>
      <c r="M822" s="80"/>
      <c r="N822" s="80"/>
      <c r="O822" s="80"/>
      <c r="P822" s="6"/>
      <c r="Q822" s="6"/>
      <c r="R822" s="6"/>
      <c r="S822" s="6"/>
      <c r="T822" s="6"/>
      <c r="U822" s="6"/>
      <c r="V822" s="6"/>
      <c r="W822" s="7"/>
      <c r="X822" s="7"/>
      <c r="Y822" s="7"/>
      <c r="Z822" s="7"/>
    </row>
    <row r="823">
      <c r="A823" s="6"/>
      <c r="B823" s="6"/>
      <c r="C823" s="6"/>
      <c r="D823" s="6"/>
      <c r="E823" s="6"/>
      <c r="F823" s="6"/>
      <c r="G823" s="6"/>
      <c r="H823" s="6"/>
      <c r="I823" s="6"/>
      <c r="J823" s="6"/>
      <c r="K823" s="6"/>
      <c r="L823" s="80"/>
      <c r="M823" s="80"/>
      <c r="N823" s="80"/>
      <c r="O823" s="80"/>
      <c r="P823" s="6"/>
      <c r="Q823" s="6"/>
      <c r="R823" s="6"/>
      <c r="S823" s="6"/>
      <c r="T823" s="6"/>
      <c r="U823" s="6"/>
      <c r="V823" s="6"/>
      <c r="W823" s="7"/>
      <c r="X823" s="7"/>
      <c r="Y823" s="7"/>
      <c r="Z823" s="7"/>
    </row>
    <row r="824">
      <c r="A824" s="6"/>
      <c r="B824" s="6"/>
      <c r="C824" s="6"/>
      <c r="D824" s="6"/>
      <c r="E824" s="6"/>
      <c r="F824" s="6"/>
      <c r="G824" s="6"/>
      <c r="H824" s="6"/>
      <c r="I824" s="6"/>
      <c r="J824" s="6"/>
      <c r="K824" s="6"/>
      <c r="L824" s="80"/>
      <c r="M824" s="80"/>
      <c r="N824" s="80"/>
      <c r="O824" s="80"/>
      <c r="P824" s="6"/>
      <c r="Q824" s="6"/>
      <c r="R824" s="6"/>
      <c r="S824" s="6"/>
      <c r="T824" s="6"/>
      <c r="U824" s="6"/>
      <c r="V824" s="6"/>
      <c r="W824" s="7"/>
      <c r="X824" s="7"/>
      <c r="Y824" s="7"/>
      <c r="Z824" s="7"/>
    </row>
    <row r="825">
      <c r="A825" s="6"/>
      <c r="B825" s="6"/>
      <c r="C825" s="6"/>
      <c r="D825" s="6"/>
      <c r="E825" s="6"/>
      <c r="F825" s="6"/>
      <c r="G825" s="6"/>
      <c r="H825" s="6"/>
      <c r="I825" s="6"/>
      <c r="J825" s="6"/>
      <c r="K825" s="6"/>
      <c r="L825" s="80"/>
      <c r="M825" s="80"/>
      <c r="N825" s="80"/>
      <c r="O825" s="80"/>
      <c r="P825" s="6"/>
      <c r="Q825" s="6"/>
      <c r="R825" s="6"/>
      <c r="S825" s="6"/>
      <c r="T825" s="6"/>
      <c r="U825" s="6"/>
      <c r="V825" s="6"/>
      <c r="W825" s="7"/>
      <c r="X825" s="7"/>
      <c r="Y825" s="7"/>
      <c r="Z825" s="7"/>
    </row>
    <row r="826">
      <c r="A826" s="6"/>
      <c r="B826" s="6"/>
      <c r="C826" s="6"/>
      <c r="D826" s="6"/>
      <c r="E826" s="6"/>
      <c r="F826" s="6"/>
      <c r="G826" s="6"/>
      <c r="H826" s="6"/>
      <c r="I826" s="6"/>
      <c r="J826" s="6"/>
      <c r="K826" s="6"/>
      <c r="L826" s="80"/>
      <c r="M826" s="80"/>
      <c r="N826" s="80"/>
      <c r="O826" s="80"/>
      <c r="P826" s="6"/>
      <c r="Q826" s="6"/>
      <c r="R826" s="6"/>
      <c r="S826" s="6"/>
      <c r="T826" s="6"/>
      <c r="U826" s="6"/>
      <c r="V826" s="6"/>
      <c r="W826" s="7"/>
      <c r="X826" s="7"/>
      <c r="Y826" s="7"/>
      <c r="Z826" s="7"/>
    </row>
    <row r="827">
      <c r="A827" s="6"/>
      <c r="B827" s="6"/>
      <c r="C827" s="6"/>
      <c r="D827" s="6"/>
      <c r="E827" s="6"/>
      <c r="F827" s="6"/>
      <c r="G827" s="6"/>
      <c r="H827" s="6"/>
      <c r="I827" s="6"/>
      <c r="J827" s="6"/>
      <c r="K827" s="6"/>
      <c r="L827" s="80"/>
      <c r="M827" s="80"/>
      <c r="N827" s="80"/>
      <c r="O827" s="80"/>
      <c r="P827" s="6"/>
      <c r="Q827" s="6"/>
      <c r="R827" s="6"/>
      <c r="S827" s="6"/>
      <c r="T827" s="6"/>
      <c r="U827" s="6"/>
      <c r="V827" s="6"/>
      <c r="W827" s="7"/>
      <c r="X827" s="7"/>
      <c r="Y827" s="7"/>
      <c r="Z827" s="7"/>
    </row>
    <row r="828">
      <c r="A828" s="6"/>
      <c r="B828" s="6"/>
      <c r="C828" s="6"/>
      <c r="D828" s="6"/>
      <c r="E828" s="6"/>
      <c r="F828" s="6"/>
      <c r="G828" s="6"/>
      <c r="H828" s="6"/>
      <c r="I828" s="6"/>
      <c r="J828" s="6"/>
      <c r="K828" s="6"/>
      <c r="L828" s="80"/>
      <c r="M828" s="80"/>
      <c r="N828" s="80"/>
      <c r="O828" s="80"/>
      <c r="P828" s="6"/>
      <c r="Q828" s="6"/>
      <c r="R828" s="6"/>
      <c r="S828" s="6"/>
      <c r="T828" s="6"/>
      <c r="U828" s="6"/>
      <c r="V828" s="6"/>
      <c r="W828" s="7"/>
      <c r="X828" s="7"/>
      <c r="Y828" s="7"/>
      <c r="Z828" s="7"/>
    </row>
    <row r="829">
      <c r="A829" s="6"/>
      <c r="B829" s="6"/>
      <c r="C829" s="6"/>
      <c r="D829" s="6"/>
      <c r="E829" s="6"/>
      <c r="F829" s="6"/>
      <c r="G829" s="6"/>
      <c r="H829" s="6"/>
      <c r="I829" s="6"/>
      <c r="J829" s="6"/>
      <c r="K829" s="6"/>
      <c r="L829" s="80"/>
      <c r="M829" s="80"/>
      <c r="N829" s="80"/>
      <c r="O829" s="80"/>
      <c r="P829" s="6"/>
      <c r="Q829" s="6"/>
      <c r="R829" s="6"/>
      <c r="S829" s="6"/>
      <c r="T829" s="6"/>
      <c r="U829" s="6"/>
      <c r="V829" s="6"/>
      <c r="W829" s="7"/>
      <c r="X829" s="7"/>
      <c r="Y829" s="7"/>
      <c r="Z829" s="7"/>
    </row>
    <row r="830">
      <c r="A830" s="6"/>
      <c r="B830" s="6"/>
      <c r="C830" s="6"/>
      <c r="D830" s="6"/>
      <c r="E830" s="6"/>
      <c r="F830" s="6"/>
      <c r="G830" s="6"/>
      <c r="H830" s="6"/>
      <c r="I830" s="6"/>
      <c r="J830" s="6"/>
      <c r="K830" s="6"/>
      <c r="L830" s="80"/>
      <c r="M830" s="80"/>
      <c r="N830" s="80"/>
      <c r="O830" s="80"/>
      <c r="P830" s="6"/>
      <c r="Q830" s="6"/>
      <c r="R830" s="6"/>
      <c r="S830" s="6"/>
      <c r="T830" s="6"/>
      <c r="U830" s="6"/>
      <c r="V830" s="6"/>
      <c r="W830" s="7"/>
      <c r="X830" s="7"/>
      <c r="Y830" s="7"/>
      <c r="Z830" s="7"/>
    </row>
    <row r="831">
      <c r="A831" s="6"/>
      <c r="B831" s="6"/>
      <c r="C831" s="6"/>
      <c r="D831" s="6"/>
      <c r="E831" s="6"/>
      <c r="F831" s="6"/>
      <c r="G831" s="6"/>
      <c r="H831" s="6"/>
      <c r="I831" s="6"/>
      <c r="J831" s="6"/>
      <c r="K831" s="6"/>
      <c r="L831" s="80"/>
      <c r="M831" s="80"/>
      <c r="N831" s="80"/>
      <c r="O831" s="80"/>
      <c r="P831" s="6"/>
      <c r="Q831" s="6"/>
      <c r="R831" s="6"/>
      <c r="S831" s="6"/>
      <c r="T831" s="6"/>
      <c r="U831" s="6"/>
      <c r="V831" s="6"/>
      <c r="W831" s="7"/>
      <c r="X831" s="7"/>
      <c r="Y831" s="7"/>
      <c r="Z831" s="7"/>
    </row>
    <row r="832">
      <c r="A832" s="6"/>
      <c r="B832" s="6"/>
      <c r="C832" s="6"/>
      <c r="D832" s="6"/>
      <c r="E832" s="6"/>
      <c r="F832" s="6"/>
      <c r="G832" s="6"/>
      <c r="H832" s="6"/>
      <c r="I832" s="6"/>
      <c r="J832" s="6"/>
      <c r="K832" s="6"/>
      <c r="L832" s="80"/>
      <c r="M832" s="80"/>
      <c r="N832" s="80"/>
      <c r="O832" s="80"/>
      <c r="P832" s="6"/>
      <c r="Q832" s="6"/>
      <c r="R832" s="6"/>
      <c r="S832" s="6"/>
      <c r="T832" s="6"/>
      <c r="U832" s="6"/>
      <c r="V832" s="6"/>
      <c r="W832" s="7"/>
      <c r="X832" s="7"/>
      <c r="Y832" s="7"/>
      <c r="Z832" s="7"/>
    </row>
    <row r="833">
      <c r="A833" s="6"/>
      <c r="B833" s="6"/>
      <c r="C833" s="6"/>
      <c r="D833" s="6"/>
      <c r="E833" s="6"/>
      <c r="F833" s="6"/>
      <c r="G833" s="6"/>
      <c r="H833" s="6"/>
      <c r="I833" s="6"/>
      <c r="J833" s="6"/>
      <c r="K833" s="6"/>
      <c r="L833" s="80"/>
      <c r="M833" s="80"/>
      <c r="N833" s="80"/>
      <c r="O833" s="80"/>
      <c r="P833" s="6"/>
      <c r="Q833" s="6"/>
      <c r="R833" s="6"/>
      <c r="S833" s="6"/>
      <c r="T833" s="6"/>
      <c r="U833" s="6"/>
      <c r="V833" s="6"/>
      <c r="W833" s="7"/>
      <c r="X833" s="7"/>
      <c r="Y833" s="7"/>
      <c r="Z833" s="7"/>
    </row>
    <row r="834">
      <c r="A834" s="6"/>
      <c r="B834" s="6"/>
      <c r="C834" s="6"/>
      <c r="D834" s="6"/>
      <c r="E834" s="6"/>
      <c r="F834" s="6"/>
      <c r="G834" s="6"/>
      <c r="H834" s="6"/>
      <c r="I834" s="6"/>
      <c r="J834" s="6"/>
      <c r="K834" s="6"/>
      <c r="L834" s="80"/>
      <c r="M834" s="80"/>
      <c r="N834" s="80"/>
      <c r="O834" s="80"/>
      <c r="P834" s="6"/>
      <c r="Q834" s="6"/>
      <c r="R834" s="6"/>
      <c r="S834" s="6"/>
      <c r="T834" s="6"/>
      <c r="U834" s="6"/>
      <c r="V834" s="6"/>
      <c r="W834" s="7"/>
      <c r="X834" s="7"/>
      <c r="Y834" s="7"/>
      <c r="Z834" s="7"/>
    </row>
    <row r="835">
      <c r="A835" s="6"/>
      <c r="B835" s="6"/>
      <c r="C835" s="6"/>
      <c r="D835" s="6"/>
      <c r="E835" s="6"/>
      <c r="F835" s="6"/>
      <c r="G835" s="6"/>
      <c r="H835" s="6"/>
      <c r="I835" s="6"/>
      <c r="J835" s="6"/>
      <c r="K835" s="6"/>
      <c r="L835" s="80"/>
      <c r="M835" s="80"/>
      <c r="N835" s="80"/>
      <c r="O835" s="80"/>
      <c r="P835" s="6"/>
      <c r="Q835" s="6"/>
      <c r="R835" s="6"/>
      <c r="S835" s="6"/>
      <c r="T835" s="6"/>
      <c r="U835" s="6"/>
      <c r="V835" s="6"/>
      <c r="W835" s="7"/>
      <c r="X835" s="7"/>
      <c r="Y835" s="7"/>
      <c r="Z835" s="7"/>
    </row>
    <row r="836">
      <c r="A836" s="6"/>
      <c r="B836" s="6"/>
      <c r="C836" s="6"/>
      <c r="D836" s="6"/>
      <c r="E836" s="6"/>
      <c r="F836" s="6"/>
      <c r="G836" s="6"/>
      <c r="H836" s="6"/>
      <c r="I836" s="6"/>
      <c r="J836" s="6"/>
      <c r="K836" s="6"/>
      <c r="L836" s="80"/>
      <c r="M836" s="80"/>
      <c r="N836" s="80"/>
      <c r="O836" s="80"/>
      <c r="P836" s="6"/>
      <c r="Q836" s="6"/>
      <c r="R836" s="6"/>
      <c r="S836" s="6"/>
      <c r="T836" s="6"/>
      <c r="U836" s="6"/>
      <c r="V836" s="6"/>
      <c r="W836" s="7"/>
      <c r="X836" s="7"/>
      <c r="Y836" s="7"/>
      <c r="Z836" s="7"/>
    </row>
    <row r="837">
      <c r="A837" s="6"/>
      <c r="B837" s="6"/>
      <c r="C837" s="6"/>
      <c r="D837" s="6"/>
      <c r="E837" s="6"/>
      <c r="F837" s="6"/>
      <c r="G837" s="6"/>
      <c r="H837" s="6"/>
      <c r="I837" s="6"/>
      <c r="J837" s="6"/>
      <c r="K837" s="6"/>
      <c r="L837" s="80"/>
      <c r="M837" s="80"/>
      <c r="N837" s="80"/>
      <c r="O837" s="80"/>
      <c r="P837" s="6"/>
      <c r="Q837" s="6"/>
      <c r="R837" s="6"/>
      <c r="S837" s="6"/>
      <c r="T837" s="6"/>
      <c r="U837" s="6"/>
      <c r="V837" s="6"/>
      <c r="W837" s="7"/>
      <c r="X837" s="7"/>
      <c r="Y837" s="7"/>
      <c r="Z837" s="7"/>
    </row>
    <row r="838">
      <c r="A838" s="6"/>
      <c r="B838" s="6"/>
      <c r="C838" s="6"/>
      <c r="D838" s="6"/>
      <c r="E838" s="6"/>
      <c r="F838" s="6"/>
      <c r="G838" s="6"/>
      <c r="H838" s="6"/>
      <c r="I838" s="6"/>
      <c r="J838" s="6"/>
      <c r="K838" s="6"/>
      <c r="L838" s="80"/>
      <c r="M838" s="80"/>
      <c r="N838" s="80"/>
      <c r="O838" s="80"/>
      <c r="P838" s="6"/>
      <c r="Q838" s="6"/>
      <c r="R838" s="6"/>
      <c r="S838" s="6"/>
      <c r="T838" s="6"/>
      <c r="U838" s="6"/>
      <c r="V838" s="6"/>
      <c r="W838" s="7"/>
      <c r="X838" s="7"/>
      <c r="Y838" s="7"/>
      <c r="Z838" s="7"/>
    </row>
    <row r="839">
      <c r="A839" s="6"/>
      <c r="B839" s="6"/>
      <c r="C839" s="6"/>
      <c r="D839" s="6"/>
      <c r="E839" s="6"/>
      <c r="F839" s="6"/>
      <c r="G839" s="6"/>
      <c r="H839" s="6"/>
      <c r="I839" s="6"/>
      <c r="J839" s="6"/>
      <c r="K839" s="6"/>
      <c r="L839" s="80"/>
      <c r="M839" s="80"/>
      <c r="N839" s="80"/>
      <c r="O839" s="80"/>
      <c r="P839" s="6"/>
      <c r="Q839" s="6"/>
      <c r="R839" s="6"/>
      <c r="S839" s="6"/>
      <c r="T839" s="6"/>
      <c r="U839" s="6"/>
      <c r="V839" s="6"/>
      <c r="W839" s="7"/>
      <c r="X839" s="7"/>
      <c r="Y839" s="7"/>
      <c r="Z839" s="7"/>
    </row>
    <row r="840">
      <c r="A840" s="6"/>
      <c r="B840" s="6"/>
      <c r="C840" s="6"/>
      <c r="D840" s="6"/>
      <c r="E840" s="6"/>
      <c r="F840" s="6"/>
      <c r="G840" s="6"/>
      <c r="H840" s="6"/>
      <c r="I840" s="6"/>
      <c r="J840" s="6"/>
      <c r="K840" s="6"/>
      <c r="L840" s="80"/>
      <c r="M840" s="80"/>
      <c r="N840" s="80"/>
      <c r="O840" s="80"/>
      <c r="P840" s="6"/>
      <c r="Q840" s="6"/>
      <c r="R840" s="6"/>
      <c r="S840" s="6"/>
      <c r="T840" s="6"/>
      <c r="U840" s="6"/>
      <c r="V840" s="6"/>
      <c r="W840" s="7"/>
      <c r="X840" s="7"/>
      <c r="Y840" s="7"/>
      <c r="Z840" s="7"/>
    </row>
    <row r="841">
      <c r="A841" s="6"/>
      <c r="B841" s="6"/>
      <c r="C841" s="6"/>
      <c r="D841" s="6"/>
      <c r="E841" s="6"/>
      <c r="F841" s="6"/>
      <c r="G841" s="6"/>
      <c r="H841" s="6"/>
      <c r="I841" s="6"/>
      <c r="J841" s="6"/>
      <c r="K841" s="6"/>
      <c r="L841" s="80"/>
      <c r="M841" s="80"/>
      <c r="N841" s="80"/>
      <c r="O841" s="80"/>
      <c r="P841" s="6"/>
      <c r="Q841" s="6"/>
      <c r="R841" s="6"/>
      <c r="S841" s="6"/>
      <c r="T841" s="6"/>
      <c r="U841" s="6"/>
      <c r="V841" s="6"/>
      <c r="W841" s="7"/>
      <c r="X841" s="7"/>
      <c r="Y841" s="7"/>
      <c r="Z841" s="7"/>
    </row>
    <row r="842">
      <c r="A842" s="6"/>
      <c r="B842" s="6"/>
      <c r="C842" s="6"/>
      <c r="D842" s="6"/>
      <c r="E842" s="6"/>
      <c r="F842" s="6"/>
      <c r="G842" s="6"/>
      <c r="H842" s="6"/>
      <c r="I842" s="6"/>
      <c r="J842" s="6"/>
      <c r="K842" s="6"/>
      <c r="L842" s="80"/>
      <c r="M842" s="80"/>
      <c r="N842" s="80"/>
      <c r="O842" s="80"/>
      <c r="P842" s="6"/>
      <c r="Q842" s="6"/>
      <c r="R842" s="6"/>
      <c r="S842" s="6"/>
      <c r="T842" s="6"/>
      <c r="U842" s="6"/>
      <c r="V842" s="6"/>
      <c r="W842" s="7"/>
      <c r="X842" s="7"/>
      <c r="Y842" s="7"/>
      <c r="Z842" s="7"/>
    </row>
    <row r="843">
      <c r="A843" s="6"/>
      <c r="B843" s="6"/>
      <c r="C843" s="6"/>
      <c r="D843" s="6"/>
      <c r="E843" s="6"/>
      <c r="F843" s="6"/>
      <c r="G843" s="6"/>
      <c r="H843" s="6"/>
      <c r="I843" s="6"/>
      <c r="J843" s="6"/>
      <c r="K843" s="6"/>
      <c r="L843" s="80"/>
      <c r="M843" s="80"/>
      <c r="N843" s="80"/>
      <c r="O843" s="80"/>
      <c r="P843" s="6"/>
      <c r="Q843" s="6"/>
      <c r="R843" s="6"/>
      <c r="S843" s="6"/>
      <c r="T843" s="6"/>
      <c r="U843" s="6"/>
      <c r="V843" s="6"/>
      <c r="W843" s="7"/>
      <c r="X843" s="7"/>
      <c r="Y843" s="7"/>
      <c r="Z843" s="7"/>
    </row>
    <row r="844">
      <c r="A844" s="6"/>
      <c r="B844" s="6"/>
      <c r="C844" s="6"/>
      <c r="D844" s="6"/>
      <c r="E844" s="6"/>
      <c r="F844" s="6"/>
      <c r="G844" s="6"/>
      <c r="H844" s="6"/>
      <c r="I844" s="6"/>
      <c r="J844" s="6"/>
      <c r="K844" s="6"/>
      <c r="L844" s="80"/>
      <c r="M844" s="80"/>
      <c r="N844" s="80"/>
      <c r="O844" s="80"/>
      <c r="P844" s="6"/>
      <c r="Q844" s="6"/>
      <c r="R844" s="6"/>
      <c r="S844" s="6"/>
      <c r="T844" s="6"/>
      <c r="U844" s="6"/>
      <c r="V844" s="6"/>
      <c r="W844" s="7"/>
      <c r="X844" s="7"/>
      <c r="Y844" s="7"/>
      <c r="Z844" s="7"/>
    </row>
    <row r="845">
      <c r="A845" s="6"/>
      <c r="B845" s="6"/>
      <c r="C845" s="6"/>
      <c r="D845" s="6"/>
      <c r="E845" s="6"/>
      <c r="F845" s="6"/>
      <c r="G845" s="6"/>
      <c r="H845" s="6"/>
      <c r="I845" s="6"/>
      <c r="J845" s="6"/>
      <c r="K845" s="6"/>
      <c r="L845" s="80"/>
      <c r="M845" s="80"/>
      <c r="N845" s="80"/>
      <c r="O845" s="80"/>
      <c r="P845" s="6"/>
      <c r="Q845" s="6"/>
      <c r="R845" s="6"/>
      <c r="S845" s="6"/>
      <c r="T845" s="6"/>
      <c r="U845" s="6"/>
      <c r="V845" s="6"/>
      <c r="W845" s="7"/>
      <c r="X845" s="7"/>
      <c r="Y845" s="7"/>
      <c r="Z845" s="7"/>
    </row>
    <row r="846">
      <c r="A846" s="6"/>
      <c r="B846" s="6"/>
      <c r="C846" s="6"/>
      <c r="D846" s="6"/>
      <c r="E846" s="6"/>
      <c r="F846" s="6"/>
      <c r="G846" s="6"/>
      <c r="H846" s="6"/>
      <c r="I846" s="6"/>
      <c r="J846" s="6"/>
      <c r="K846" s="6"/>
      <c r="L846" s="80"/>
      <c r="M846" s="80"/>
      <c r="N846" s="80"/>
      <c r="O846" s="80"/>
      <c r="P846" s="6"/>
      <c r="Q846" s="6"/>
      <c r="R846" s="6"/>
      <c r="S846" s="6"/>
      <c r="T846" s="6"/>
      <c r="U846" s="6"/>
      <c r="V846" s="6"/>
      <c r="W846" s="7"/>
      <c r="X846" s="7"/>
      <c r="Y846" s="7"/>
      <c r="Z846" s="7"/>
    </row>
    <row r="847">
      <c r="A847" s="6"/>
      <c r="B847" s="6"/>
      <c r="C847" s="6"/>
      <c r="D847" s="6"/>
      <c r="E847" s="6"/>
      <c r="F847" s="6"/>
      <c r="G847" s="6"/>
      <c r="H847" s="6"/>
      <c r="I847" s="6"/>
      <c r="J847" s="6"/>
      <c r="K847" s="6"/>
      <c r="L847" s="80"/>
      <c r="M847" s="80"/>
      <c r="N847" s="80"/>
      <c r="O847" s="80"/>
      <c r="P847" s="6"/>
      <c r="Q847" s="6"/>
      <c r="R847" s="6"/>
      <c r="S847" s="6"/>
      <c r="T847" s="6"/>
      <c r="U847" s="6"/>
      <c r="V847" s="6"/>
      <c r="W847" s="7"/>
      <c r="X847" s="7"/>
      <c r="Y847" s="7"/>
      <c r="Z847" s="7"/>
    </row>
    <row r="848">
      <c r="A848" s="6"/>
      <c r="B848" s="6"/>
      <c r="C848" s="6"/>
      <c r="D848" s="6"/>
      <c r="E848" s="6"/>
      <c r="F848" s="6"/>
      <c r="G848" s="6"/>
      <c r="H848" s="6"/>
      <c r="I848" s="6"/>
      <c r="J848" s="6"/>
      <c r="K848" s="6"/>
      <c r="L848" s="80"/>
      <c r="M848" s="80"/>
      <c r="N848" s="80"/>
      <c r="O848" s="80"/>
      <c r="P848" s="6"/>
      <c r="Q848" s="6"/>
      <c r="R848" s="6"/>
      <c r="S848" s="6"/>
      <c r="T848" s="6"/>
      <c r="U848" s="6"/>
      <c r="V848" s="6"/>
      <c r="W848" s="7"/>
      <c r="X848" s="7"/>
      <c r="Y848" s="7"/>
      <c r="Z848" s="7"/>
    </row>
    <row r="849">
      <c r="A849" s="6"/>
      <c r="B849" s="6"/>
      <c r="C849" s="6"/>
      <c r="D849" s="6"/>
      <c r="E849" s="6"/>
      <c r="F849" s="6"/>
      <c r="G849" s="6"/>
      <c r="H849" s="6"/>
      <c r="I849" s="6"/>
      <c r="J849" s="6"/>
      <c r="K849" s="6"/>
      <c r="L849" s="80"/>
      <c r="M849" s="80"/>
      <c r="N849" s="80"/>
      <c r="O849" s="80"/>
      <c r="P849" s="6"/>
      <c r="Q849" s="6"/>
      <c r="R849" s="6"/>
      <c r="S849" s="6"/>
      <c r="T849" s="6"/>
      <c r="U849" s="6"/>
      <c r="V849" s="6"/>
      <c r="W849" s="7"/>
      <c r="X849" s="7"/>
      <c r="Y849" s="7"/>
      <c r="Z849" s="7"/>
    </row>
    <row r="850">
      <c r="A850" s="6"/>
      <c r="B850" s="6"/>
      <c r="C850" s="6"/>
      <c r="D850" s="6"/>
      <c r="E850" s="6"/>
      <c r="F850" s="6"/>
      <c r="G850" s="6"/>
      <c r="H850" s="6"/>
      <c r="I850" s="6"/>
      <c r="J850" s="6"/>
      <c r="K850" s="6"/>
      <c r="L850" s="80"/>
      <c r="M850" s="80"/>
      <c r="N850" s="80"/>
      <c r="O850" s="80"/>
      <c r="P850" s="6"/>
      <c r="Q850" s="6"/>
      <c r="R850" s="6"/>
      <c r="S850" s="6"/>
      <c r="T850" s="6"/>
      <c r="U850" s="6"/>
      <c r="V850" s="6"/>
      <c r="W850" s="7"/>
      <c r="X850" s="7"/>
      <c r="Y850" s="7"/>
      <c r="Z850" s="7"/>
    </row>
    <row r="851">
      <c r="A851" s="6"/>
      <c r="B851" s="6"/>
      <c r="C851" s="6"/>
      <c r="D851" s="6"/>
      <c r="E851" s="6"/>
      <c r="F851" s="6"/>
      <c r="G851" s="6"/>
      <c r="H851" s="6"/>
      <c r="I851" s="6"/>
      <c r="J851" s="6"/>
      <c r="K851" s="6"/>
      <c r="L851" s="80"/>
      <c r="M851" s="80"/>
      <c r="N851" s="80"/>
      <c r="O851" s="80"/>
      <c r="P851" s="6"/>
      <c r="Q851" s="6"/>
      <c r="R851" s="6"/>
      <c r="S851" s="6"/>
      <c r="T851" s="6"/>
      <c r="U851" s="6"/>
      <c r="V851" s="6"/>
      <c r="W851" s="7"/>
      <c r="X851" s="7"/>
      <c r="Y851" s="7"/>
      <c r="Z851" s="7"/>
    </row>
    <row r="852">
      <c r="A852" s="6"/>
      <c r="B852" s="6"/>
      <c r="C852" s="6"/>
      <c r="D852" s="6"/>
      <c r="E852" s="6"/>
      <c r="F852" s="6"/>
      <c r="G852" s="6"/>
      <c r="H852" s="6"/>
      <c r="I852" s="6"/>
      <c r="J852" s="6"/>
      <c r="K852" s="6"/>
      <c r="L852" s="80"/>
      <c r="M852" s="80"/>
      <c r="N852" s="80"/>
      <c r="O852" s="80"/>
      <c r="P852" s="6"/>
      <c r="Q852" s="6"/>
      <c r="R852" s="6"/>
      <c r="S852" s="6"/>
      <c r="T852" s="6"/>
      <c r="U852" s="6"/>
      <c r="V852" s="6"/>
      <c r="W852" s="7"/>
      <c r="X852" s="7"/>
      <c r="Y852" s="7"/>
      <c r="Z852" s="7"/>
    </row>
    <row r="853">
      <c r="A853" s="6"/>
      <c r="B853" s="6"/>
      <c r="C853" s="6"/>
      <c r="D853" s="6"/>
      <c r="E853" s="6"/>
      <c r="F853" s="6"/>
      <c r="G853" s="6"/>
      <c r="H853" s="6"/>
      <c r="I853" s="6"/>
      <c r="J853" s="6"/>
      <c r="K853" s="6"/>
      <c r="L853" s="80"/>
      <c r="M853" s="80"/>
      <c r="N853" s="80"/>
      <c r="O853" s="80"/>
      <c r="P853" s="6"/>
      <c r="Q853" s="6"/>
      <c r="R853" s="6"/>
      <c r="S853" s="6"/>
      <c r="T853" s="6"/>
      <c r="U853" s="6"/>
      <c r="V853" s="6"/>
      <c r="W853" s="7"/>
      <c r="X853" s="7"/>
      <c r="Y853" s="7"/>
      <c r="Z853" s="7"/>
    </row>
    <row r="854">
      <c r="A854" s="6"/>
      <c r="B854" s="6"/>
      <c r="C854" s="6"/>
      <c r="D854" s="6"/>
      <c r="E854" s="6"/>
      <c r="F854" s="6"/>
      <c r="G854" s="6"/>
      <c r="H854" s="6"/>
      <c r="I854" s="6"/>
      <c r="J854" s="6"/>
      <c r="K854" s="6"/>
      <c r="L854" s="80"/>
      <c r="M854" s="80"/>
      <c r="N854" s="80"/>
      <c r="O854" s="80"/>
      <c r="P854" s="6"/>
      <c r="Q854" s="6"/>
      <c r="R854" s="6"/>
      <c r="S854" s="6"/>
      <c r="T854" s="6"/>
      <c r="U854" s="6"/>
      <c r="V854" s="6"/>
      <c r="W854" s="7"/>
      <c r="X854" s="7"/>
      <c r="Y854" s="7"/>
      <c r="Z854" s="7"/>
    </row>
    <row r="855">
      <c r="A855" s="6"/>
      <c r="B855" s="6"/>
      <c r="C855" s="6"/>
      <c r="D855" s="6"/>
      <c r="E855" s="6"/>
      <c r="F855" s="6"/>
      <c r="G855" s="6"/>
      <c r="H855" s="6"/>
      <c r="I855" s="6"/>
      <c r="J855" s="6"/>
      <c r="K855" s="6"/>
      <c r="L855" s="80"/>
      <c r="M855" s="80"/>
      <c r="N855" s="80"/>
      <c r="O855" s="80"/>
      <c r="P855" s="6"/>
      <c r="Q855" s="6"/>
      <c r="R855" s="6"/>
      <c r="S855" s="6"/>
      <c r="T855" s="6"/>
      <c r="U855" s="6"/>
      <c r="V855" s="6"/>
      <c r="W855" s="7"/>
      <c r="X855" s="7"/>
      <c r="Y855" s="7"/>
      <c r="Z855" s="7"/>
    </row>
    <row r="856">
      <c r="A856" s="6"/>
      <c r="B856" s="6"/>
      <c r="C856" s="6"/>
      <c r="D856" s="6"/>
      <c r="E856" s="6"/>
      <c r="F856" s="6"/>
      <c r="G856" s="6"/>
      <c r="H856" s="6"/>
      <c r="I856" s="6"/>
      <c r="J856" s="6"/>
      <c r="K856" s="6"/>
      <c r="L856" s="80"/>
      <c r="M856" s="80"/>
      <c r="N856" s="80"/>
      <c r="O856" s="80"/>
      <c r="P856" s="6"/>
      <c r="Q856" s="6"/>
      <c r="R856" s="6"/>
      <c r="S856" s="6"/>
      <c r="T856" s="6"/>
      <c r="U856" s="6"/>
      <c r="V856" s="6"/>
      <c r="W856" s="7"/>
      <c r="X856" s="7"/>
      <c r="Y856" s="7"/>
      <c r="Z856" s="7"/>
    </row>
    <row r="857">
      <c r="A857" s="6"/>
      <c r="B857" s="6"/>
      <c r="C857" s="6"/>
      <c r="D857" s="6"/>
      <c r="E857" s="6"/>
      <c r="F857" s="6"/>
      <c r="G857" s="6"/>
      <c r="H857" s="6"/>
      <c r="I857" s="6"/>
      <c r="J857" s="6"/>
      <c r="K857" s="6"/>
      <c r="L857" s="80"/>
      <c r="M857" s="80"/>
      <c r="N857" s="80"/>
      <c r="O857" s="80"/>
      <c r="P857" s="6"/>
      <c r="Q857" s="6"/>
      <c r="R857" s="6"/>
      <c r="S857" s="6"/>
      <c r="T857" s="6"/>
      <c r="U857" s="6"/>
      <c r="V857" s="6"/>
      <c r="W857" s="7"/>
      <c r="X857" s="7"/>
      <c r="Y857" s="7"/>
      <c r="Z857" s="7"/>
    </row>
    <row r="858">
      <c r="A858" s="6"/>
      <c r="B858" s="6"/>
      <c r="C858" s="6"/>
      <c r="D858" s="6"/>
      <c r="E858" s="6"/>
      <c r="F858" s="6"/>
      <c r="G858" s="6"/>
      <c r="H858" s="6"/>
      <c r="I858" s="6"/>
      <c r="J858" s="6"/>
      <c r="K858" s="6"/>
      <c r="L858" s="80"/>
      <c r="M858" s="80"/>
      <c r="N858" s="80"/>
      <c r="O858" s="80"/>
      <c r="P858" s="6"/>
      <c r="Q858" s="6"/>
      <c r="R858" s="6"/>
      <c r="S858" s="6"/>
      <c r="T858" s="6"/>
      <c r="U858" s="6"/>
      <c r="V858" s="6"/>
      <c r="W858" s="7"/>
      <c r="X858" s="7"/>
      <c r="Y858" s="7"/>
      <c r="Z858" s="7"/>
    </row>
    <row r="859">
      <c r="A859" s="6"/>
      <c r="B859" s="6"/>
      <c r="C859" s="6"/>
      <c r="D859" s="6"/>
      <c r="E859" s="6"/>
      <c r="F859" s="6"/>
      <c r="G859" s="6"/>
      <c r="H859" s="6"/>
      <c r="I859" s="6"/>
      <c r="J859" s="6"/>
      <c r="K859" s="6"/>
      <c r="L859" s="80"/>
      <c r="M859" s="80"/>
      <c r="N859" s="80"/>
      <c r="O859" s="80"/>
      <c r="P859" s="6"/>
      <c r="Q859" s="6"/>
      <c r="R859" s="6"/>
      <c r="S859" s="6"/>
      <c r="T859" s="6"/>
      <c r="U859" s="6"/>
      <c r="V859" s="6"/>
      <c r="W859" s="7"/>
      <c r="X859" s="7"/>
      <c r="Y859" s="7"/>
      <c r="Z859" s="7"/>
    </row>
    <row r="860">
      <c r="A860" s="6"/>
      <c r="B860" s="6"/>
      <c r="C860" s="6"/>
      <c r="D860" s="6"/>
      <c r="E860" s="6"/>
      <c r="F860" s="6"/>
      <c r="G860" s="6"/>
      <c r="H860" s="6"/>
      <c r="I860" s="6"/>
      <c r="J860" s="6"/>
      <c r="K860" s="6"/>
      <c r="L860" s="80"/>
      <c r="M860" s="80"/>
      <c r="N860" s="80"/>
      <c r="O860" s="80"/>
      <c r="P860" s="6"/>
      <c r="Q860" s="6"/>
      <c r="R860" s="6"/>
      <c r="S860" s="6"/>
      <c r="T860" s="6"/>
      <c r="U860" s="6"/>
      <c r="V860" s="6"/>
      <c r="W860" s="7"/>
      <c r="X860" s="7"/>
      <c r="Y860" s="7"/>
      <c r="Z860" s="7"/>
    </row>
    <row r="861">
      <c r="A861" s="6"/>
      <c r="B861" s="6"/>
      <c r="C861" s="6"/>
      <c r="D861" s="6"/>
      <c r="E861" s="6"/>
      <c r="F861" s="6"/>
      <c r="G861" s="6"/>
      <c r="H861" s="6"/>
      <c r="I861" s="6"/>
      <c r="J861" s="6"/>
      <c r="K861" s="6"/>
      <c r="L861" s="80"/>
      <c r="M861" s="80"/>
      <c r="N861" s="80"/>
      <c r="O861" s="80"/>
      <c r="P861" s="6"/>
      <c r="Q861" s="6"/>
      <c r="R861" s="6"/>
      <c r="S861" s="6"/>
      <c r="T861" s="6"/>
      <c r="U861" s="6"/>
      <c r="V861" s="6"/>
      <c r="W861" s="7"/>
      <c r="X861" s="7"/>
      <c r="Y861" s="7"/>
      <c r="Z861" s="7"/>
    </row>
    <row r="862">
      <c r="A862" s="6"/>
      <c r="B862" s="6"/>
      <c r="C862" s="6"/>
      <c r="D862" s="6"/>
      <c r="E862" s="6"/>
      <c r="F862" s="6"/>
      <c r="G862" s="6"/>
      <c r="H862" s="6"/>
      <c r="I862" s="6"/>
      <c r="J862" s="6"/>
      <c r="K862" s="6"/>
      <c r="L862" s="80"/>
      <c r="M862" s="80"/>
      <c r="N862" s="80"/>
      <c r="O862" s="80"/>
      <c r="P862" s="6"/>
      <c r="Q862" s="6"/>
      <c r="R862" s="6"/>
      <c r="S862" s="6"/>
      <c r="T862" s="6"/>
      <c r="U862" s="6"/>
      <c r="V862" s="6"/>
      <c r="W862" s="7"/>
      <c r="X862" s="7"/>
      <c r="Y862" s="7"/>
      <c r="Z862" s="7"/>
    </row>
    <row r="863">
      <c r="A863" s="6"/>
      <c r="B863" s="6"/>
      <c r="C863" s="6"/>
      <c r="D863" s="6"/>
      <c r="E863" s="6"/>
      <c r="F863" s="6"/>
      <c r="G863" s="6"/>
      <c r="H863" s="6"/>
      <c r="I863" s="6"/>
      <c r="J863" s="6"/>
      <c r="K863" s="6"/>
      <c r="L863" s="80"/>
      <c r="M863" s="80"/>
      <c r="N863" s="80"/>
      <c r="O863" s="80"/>
      <c r="P863" s="6"/>
      <c r="Q863" s="6"/>
      <c r="R863" s="6"/>
      <c r="S863" s="6"/>
      <c r="T863" s="6"/>
      <c r="U863" s="6"/>
      <c r="V863" s="6"/>
      <c r="W863" s="7"/>
      <c r="X863" s="7"/>
      <c r="Y863" s="7"/>
      <c r="Z863" s="7"/>
    </row>
    <row r="864">
      <c r="A864" s="6"/>
      <c r="B864" s="6"/>
      <c r="C864" s="6"/>
      <c r="D864" s="6"/>
      <c r="E864" s="6"/>
      <c r="F864" s="6"/>
      <c r="G864" s="6"/>
      <c r="H864" s="6"/>
      <c r="I864" s="6"/>
      <c r="J864" s="6"/>
      <c r="K864" s="6"/>
      <c r="L864" s="80"/>
      <c r="M864" s="80"/>
      <c r="N864" s="80"/>
      <c r="O864" s="80"/>
      <c r="P864" s="6"/>
      <c r="Q864" s="6"/>
      <c r="R864" s="6"/>
      <c r="S864" s="6"/>
      <c r="T864" s="6"/>
      <c r="U864" s="6"/>
      <c r="V864" s="6"/>
      <c r="W864" s="7"/>
      <c r="X864" s="7"/>
      <c r="Y864" s="7"/>
      <c r="Z864" s="7"/>
    </row>
    <row r="865">
      <c r="A865" s="6"/>
      <c r="B865" s="6"/>
      <c r="C865" s="6"/>
      <c r="D865" s="6"/>
      <c r="E865" s="6"/>
      <c r="F865" s="6"/>
      <c r="G865" s="6"/>
      <c r="H865" s="6"/>
      <c r="I865" s="6"/>
      <c r="J865" s="6"/>
      <c r="K865" s="6"/>
      <c r="L865" s="80"/>
      <c r="M865" s="80"/>
      <c r="N865" s="80"/>
      <c r="O865" s="80"/>
      <c r="P865" s="6"/>
      <c r="Q865" s="6"/>
      <c r="R865" s="6"/>
      <c r="S865" s="6"/>
      <c r="T865" s="6"/>
      <c r="U865" s="6"/>
      <c r="V865" s="6"/>
      <c r="W865" s="7"/>
      <c r="X865" s="7"/>
      <c r="Y865" s="7"/>
      <c r="Z865" s="7"/>
    </row>
    <row r="866">
      <c r="A866" s="6"/>
      <c r="B866" s="6"/>
      <c r="C866" s="6"/>
      <c r="D866" s="6"/>
      <c r="E866" s="6"/>
      <c r="F866" s="6"/>
      <c r="G866" s="6"/>
      <c r="H866" s="6"/>
      <c r="I866" s="6"/>
      <c r="J866" s="6"/>
      <c r="K866" s="6"/>
      <c r="L866" s="80"/>
      <c r="M866" s="80"/>
      <c r="N866" s="80"/>
      <c r="O866" s="80"/>
      <c r="P866" s="6"/>
      <c r="Q866" s="6"/>
      <c r="R866" s="6"/>
      <c r="S866" s="6"/>
      <c r="T866" s="6"/>
      <c r="U866" s="6"/>
      <c r="V866" s="6"/>
      <c r="W866" s="7"/>
      <c r="X866" s="7"/>
      <c r="Y866" s="7"/>
      <c r="Z866" s="7"/>
    </row>
    <row r="867">
      <c r="A867" s="6"/>
      <c r="B867" s="6"/>
      <c r="C867" s="6"/>
      <c r="D867" s="6"/>
      <c r="E867" s="6"/>
      <c r="F867" s="6"/>
      <c r="G867" s="6"/>
      <c r="H867" s="6"/>
      <c r="I867" s="6"/>
      <c r="J867" s="6"/>
      <c r="K867" s="6"/>
      <c r="L867" s="80"/>
      <c r="M867" s="80"/>
      <c r="N867" s="80"/>
      <c r="O867" s="80"/>
      <c r="P867" s="6"/>
      <c r="Q867" s="6"/>
      <c r="R867" s="6"/>
      <c r="S867" s="6"/>
      <c r="T867" s="6"/>
      <c r="U867" s="6"/>
      <c r="V867" s="6"/>
      <c r="W867" s="7"/>
      <c r="X867" s="7"/>
      <c r="Y867" s="7"/>
      <c r="Z867" s="7"/>
    </row>
    <row r="868">
      <c r="A868" s="6"/>
      <c r="B868" s="6"/>
      <c r="C868" s="6"/>
      <c r="D868" s="6"/>
      <c r="E868" s="6"/>
      <c r="F868" s="6"/>
      <c r="G868" s="6"/>
      <c r="H868" s="6"/>
      <c r="I868" s="6"/>
      <c r="J868" s="6"/>
      <c r="K868" s="6"/>
      <c r="L868" s="80"/>
      <c r="M868" s="80"/>
      <c r="N868" s="80"/>
      <c r="O868" s="80"/>
      <c r="P868" s="6"/>
      <c r="Q868" s="6"/>
      <c r="R868" s="6"/>
      <c r="S868" s="6"/>
      <c r="T868" s="6"/>
      <c r="U868" s="6"/>
      <c r="V868" s="6"/>
      <c r="W868" s="7"/>
      <c r="X868" s="7"/>
      <c r="Y868" s="7"/>
      <c r="Z868" s="7"/>
    </row>
    <row r="869">
      <c r="A869" s="6"/>
      <c r="B869" s="6"/>
      <c r="C869" s="6"/>
      <c r="D869" s="6"/>
      <c r="E869" s="6"/>
      <c r="F869" s="6"/>
      <c r="G869" s="6"/>
      <c r="H869" s="6"/>
      <c r="I869" s="6"/>
      <c r="J869" s="6"/>
      <c r="K869" s="6"/>
      <c r="L869" s="80"/>
      <c r="M869" s="80"/>
      <c r="N869" s="80"/>
      <c r="O869" s="80"/>
      <c r="P869" s="6"/>
      <c r="Q869" s="6"/>
      <c r="R869" s="6"/>
      <c r="S869" s="6"/>
      <c r="T869" s="6"/>
      <c r="U869" s="6"/>
      <c r="V869" s="6"/>
      <c r="W869" s="7"/>
      <c r="X869" s="7"/>
      <c r="Y869" s="7"/>
      <c r="Z869" s="7"/>
    </row>
    <row r="870">
      <c r="A870" s="6"/>
      <c r="B870" s="6"/>
      <c r="C870" s="6"/>
      <c r="D870" s="6"/>
      <c r="E870" s="6"/>
      <c r="F870" s="6"/>
      <c r="G870" s="6"/>
      <c r="H870" s="6"/>
      <c r="I870" s="6"/>
      <c r="J870" s="6"/>
      <c r="K870" s="6"/>
      <c r="L870" s="80"/>
      <c r="M870" s="80"/>
      <c r="N870" s="80"/>
      <c r="O870" s="80"/>
      <c r="P870" s="6"/>
      <c r="Q870" s="6"/>
      <c r="R870" s="6"/>
      <c r="S870" s="6"/>
      <c r="T870" s="6"/>
      <c r="U870" s="6"/>
      <c r="V870" s="6"/>
      <c r="W870" s="7"/>
      <c r="X870" s="7"/>
      <c r="Y870" s="7"/>
      <c r="Z870" s="7"/>
    </row>
    <row r="871">
      <c r="A871" s="6"/>
      <c r="B871" s="6"/>
      <c r="C871" s="6"/>
      <c r="D871" s="6"/>
      <c r="E871" s="6"/>
      <c r="F871" s="6"/>
      <c r="G871" s="6"/>
      <c r="H871" s="6"/>
      <c r="I871" s="6"/>
      <c r="J871" s="6"/>
      <c r="K871" s="6"/>
      <c r="L871" s="80"/>
      <c r="M871" s="80"/>
      <c r="N871" s="80"/>
      <c r="O871" s="80"/>
      <c r="P871" s="6"/>
      <c r="Q871" s="6"/>
      <c r="R871" s="6"/>
      <c r="S871" s="6"/>
      <c r="T871" s="6"/>
      <c r="U871" s="6"/>
      <c r="V871" s="6"/>
      <c r="W871" s="7"/>
      <c r="X871" s="7"/>
      <c r="Y871" s="7"/>
      <c r="Z871" s="7"/>
    </row>
    <row r="872">
      <c r="A872" s="6"/>
      <c r="B872" s="6"/>
      <c r="C872" s="6"/>
      <c r="D872" s="6"/>
      <c r="E872" s="6"/>
      <c r="F872" s="6"/>
      <c r="G872" s="6"/>
      <c r="H872" s="6"/>
      <c r="I872" s="6"/>
      <c r="J872" s="6"/>
      <c r="K872" s="6"/>
      <c r="L872" s="80"/>
      <c r="M872" s="80"/>
      <c r="N872" s="80"/>
      <c r="O872" s="80"/>
      <c r="P872" s="6"/>
      <c r="Q872" s="6"/>
      <c r="R872" s="6"/>
      <c r="S872" s="6"/>
      <c r="T872" s="6"/>
      <c r="U872" s="6"/>
      <c r="V872" s="6"/>
      <c r="W872" s="7"/>
      <c r="X872" s="7"/>
      <c r="Y872" s="7"/>
      <c r="Z872" s="7"/>
    </row>
    <row r="873">
      <c r="A873" s="6"/>
      <c r="B873" s="6"/>
      <c r="C873" s="6"/>
      <c r="D873" s="6"/>
      <c r="E873" s="6"/>
      <c r="F873" s="6"/>
      <c r="G873" s="6"/>
      <c r="H873" s="6"/>
      <c r="I873" s="6"/>
      <c r="J873" s="6"/>
      <c r="K873" s="6"/>
      <c r="L873" s="80"/>
      <c r="M873" s="80"/>
      <c r="N873" s="80"/>
      <c r="O873" s="80"/>
      <c r="P873" s="6"/>
      <c r="Q873" s="6"/>
      <c r="R873" s="6"/>
      <c r="S873" s="6"/>
      <c r="T873" s="6"/>
      <c r="U873" s="6"/>
      <c r="V873" s="6"/>
      <c r="W873" s="7"/>
      <c r="X873" s="7"/>
      <c r="Y873" s="7"/>
      <c r="Z873" s="7"/>
    </row>
    <row r="874">
      <c r="A874" s="6"/>
      <c r="B874" s="6"/>
      <c r="C874" s="6"/>
      <c r="D874" s="6"/>
      <c r="E874" s="6"/>
      <c r="F874" s="6"/>
      <c r="G874" s="6"/>
      <c r="H874" s="6"/>
      <c r="I874" s="6"/>
      <c r="J874" s="6"/>
      <c r="K874" s="6"/>
      <c r="L874" s="80"/>
      <c r="M874" s="80"/>
      <c r="N874" s="80"/>
      <c r="O874" s="80"/>
      <c r="P874" s="6"/>
      <c r="Q874" s="6"/>
      <c r="R874" s="6"/>
      <c r="S874" s="6"/>
      <c r="T874" s="6"/>
      <c r="U874" s="6"/>
      <c r="V874" s="6"/>
      <c r="W874" s="7"/>
      <c r="X874" s="7"/>
      <c r="Y874" s="7"/>
      <c r="Z874" s="7"/>
    </row>
    <row r="875">
      <c r="A875" s="6"/>
      <c r="B875" s="6"/>
      <c r="C875" s="6"/>
      <c r="D875" s="6"/>
      <c r="E875" s="6"/>
      <c r="F875" s="6"/>
      <c r="G875" s="6"/>
      <c r="H875" s="6"/>
      <c r="I875" s="6"/>
      <c r="J875" s="6"/>
      <c r="K875" s="6"/>
      <c r="L875" s="80"/>
      <c r="M875" s="80"/>
      <c r="N875" s="80"/>
      <c r="O875" s="80"/>
      <c r="P875" s="6"/>
      <c r="Q875" s="6"/>
      <c r="R875" s="6"/>
      <c r="S875" s="6"/>
      <c r="T875" s="6"/>
      <c r="U875" s="6"/>
      <c r="V875" s="6"/>
      <c r="W875" s="7"/>
      <c r="X875" s="7"/>
      <c r="Y875" s="7"/>
      <c r="Z875" s="7"/>
    </row>
    <row r="876">
      <c r="A876" s="6"/>
      <c r="B876" s="6"/>
      <c r="C876" s="6"/>
      <c r="D876" s="6"/>
      <c r="E876" s="6"/>
      <c r="F876" s="6"/>
      <c r="G876" s="6"/>
      <c r="H876" s="6"/>
      <c r="I876" s="6"/>
      <c r="J876" s="6"/>
      <c r="K876" s="6"/>
      <c r="L876" s="80"/>
      <c r="M876" s="80"/>
      <c r="N876" s="80"/>
      <c r="O876" s="80"/>
      <c r="P876" s="6"/>
      <c r="Q876" s="6"/>
      <c r="R876" s="6"/>
      <c r="S876" s="6"/>
      <c r="T876" s="6"/>
      <c r="U876" s="6"/>
      <c r="V876" s="6"/>
      <c r="W876" s="7"/>
      <c r="X876" s="7"/>
      <c r="Y876" s="7"/>
      <c r="Z876" s="7"/>
    </row>
    <row r="877">
      <c r="A877" s="6"/>
      <c r="B877" s="6"/>
      <c r="C877" s="6"/>
      <c r="D877" s="6"/>
      <c r="E877" s="6"/>
      <c r="F877" s="6"/>
      <c r="G877" s="6"/>
      <c r="H877" s="6"/>
      <c r="I877" s="6"/>
      <c r="J877" s="6"/>
      <c r="K877" s="6"/>
      <c r="L877" s="80"/>
      <c r="M877" s="80"/>
      <c r="N877" s="80"/>
      <c r="O877" s="80"/>
      <c r="P877" s="6"/>
      <c r="Q877" s="6"/>
      <c r="R877" s="6"/>
      <c r="S877" s="6"/>
      <c r="T877" s="6"/>
      <c r="U877" s="6"/>
      <c r="V877" s="6"/>
      <c r="W877" s="7"/>
      <c r="X877" s="7"/>
      <c r="Y877" s="7"/>
      <c r="Z877" s="7"/>
    </row>
    <row r="878">
      <c r="A878" s="6"/>
      <c r="B878" s="6"/>
      <c r="C878" s="6"/>
      <c r="D878" s="6"/>
      <c r="E878" s="6"/>
      <c r="F878" s="6"/>
      <c r="G878" s="6"/>
      <c r="H878" s="6"/>
      <c r="I878" s="6"/>
      <c r="J878" s="6"/>
      <c r="K878" s="6"/>
      <c r="L878" s="80"/>
      <c r="M878" s="80"/>
      <c r="N878" s="80"/>
      <c r="O878" s="80"/>
      <c r="P878" s="6"/>
      <c r="Q878" s="6"/>
      <c r="R878" s="6"/>
      <c r="S878" s="6"/>
      <c r="T878" s="6"/>
      <c r="U878" s="6"/>
      <c r="V878" s="6"/>
      <c r="W878" s="7"/>
      <c r="X878" s="7"/>
      <c r="Y878" s="7"/>
      <c r="Z878" s="7"/>
    </row>
    <row r="879">
      <c r="A879" s="6"/>
      <c r="B879" s="6"/>
      <c r="C879" s="6"/>
      <c r="D879" s="6"/>
      <c r="E879" s="6"/>
      <c r="F879" s="6"/>
      <c r="G879" s="6"/>
      <c r="H879" s="6"/>
      <c r="I879" s="6"/>
      <c r="J879" s="6"/>
      <c r="K879" s="6"/>
      <c r="L879" s="80"/>
      <c r="M879" s="80"/>
      <c r="N879" s="80"/>
      <c r="O879" s="80"/>
      <c r="P879" s="6"/>
      <c r="Q879" s="6"/>
      <c r="R879" s="6"/>
      <c r="S879" s="6"/>
      <c r="T879" s="6"/>
      <c r="U879" s="6"/>
      <c r="V879" s="6"/>
      <c r="W879" s="7"/>
      <c r="X879" s="7"/>
      <c r="Y879" s="7"/>
      <c r="Z879" s="7"/>
    </row>
    <row r="880">
      <c r="A880" s="6"/>
      <c r="B880" s="6"/>
      <c r="C880" s="6"/>
      <c r="D880" s="6"/>
      <c r="E880" s="6"/>
      <c r="F880" s="6"/>
      <c r="G880" s="6"/>
      <c r="H880" s="6"/>
      <c r="I880" s="6"/>
      <c r="J880" s="6"/>
      <c r="K880" s="6"/>
      <c r="L880" s="80"/>
      <c r="M880" s="80"/>
      <c r="N880" s="80"/>
      <c r="O880" s="80"/>
      <c r="P880" s="6"/>
      <c r="Q880" s="6"/>
      <c r="R880" s="6"/>
      <c r="S880" s="6"/>
      <c r="T880" s="6"/>
      <c r="U880" s="6"/>
      <c r="V880" s="6"/>
      <c r="W880" s="7"/>
      <c r="X880" s="7"/>
      <c r="Y880" s="7"/>
      <c r="Z880" s="7"/>
    </row>
    <row r="881">
      <c r="A881" s="6"/>
      <c r="B881" s="6"/>
      <c r="C881" s="6"/>
      <c r="D881" s="6"/>
      <c r="E881" s="6"/>
      <c r="F881" s="6"/>
      <c r="G881" s="6"/>
      <c r="H881" s="6"/>
      <c r="I881" s="6"/>
      <c r="J881" s="6"/>
      <c r="K881" s="6"/>
      <c r="L881" s="80"/>
      <c r="M881" s="80"/>
      <c r="N881" s="80"/>
      <c r="O881" s="80"/>
      <c r="P881" s="6"/>
      <c r="Q881" s="6"/>
      <c r="R881" s="6"/>
      <c r="S881" s="6"/>
      <c r="T881" s="6"/>
      <c r="U881" s="6"/>
      <c r="V881" s="6"/>
      <c r="W881" s="7"/>
      <c r="X881" s="7"/>
      <c r="Y881" s="7"/>
      <c r="Z881" s="7"/>
    </row>
    <row r="882">
      <c r="A882" s="6"/>
      <c r="B882" s="6"/>
      <c r="C882" s="6"/>
      <c r="D882" s="6"/>
      <c r="E882" s="6"/>
      <c r="F882" s="6"/>
      <c r="G882" s="6"/>
      <c r="H882" s="6"/>
      <c r="I882" s="6"/>
      <c r="J882" s="6"/>
      <c r="K882" s="6"/>
      <c r="L882" s="80"/>
      <c r="M882" s="80"/>
      <c r="N882" s="80"/>
      <c r="O882" s="80"/>
      <c r="P882" s="6"/>
      <c r="Q882" s="6"/>
      <c r="R882" s="6"/>
      <c r="S882" s="6"/>
      <c r="T882" s="6"/>
      <c r="U882" s="6"/>
      <c r="V882" s="6"/>
      <c r="W882" s="7"/>
      <c r="X882" s="7"/>
      <c r="Y882" s="7"/>
      <c r="Z882" s="7"/>
    </row>
    <row r="883">
      <c r="A883" s="6"/>
      <c r="B883" s="6"/>
      <c r="C883" s="6"/>
      <c r="D883" s="6"/>
      <c r="E883" s="6"/>
      <c r="F883" s="6"/>
      <c r="G883" s="6"/>
      <c r="H883" s="6"/>
      <c r="I883" s="6"/>
      <c r="J883" s="6"/>
      <c r="K883" s="6"/>
      <c r="L883" s="80"/>
      <c r="M883" s="80"/>
      <c r="N883" s="80"/>
      <c r="O883" s="80"/>
      <c r="P883" s="6"/>
      <c r="Q883" s="6"/>
      <c r="R883" s="6"/>
      <c r="S883" s="6"/>
      <c r="T883" s="6"/>
      <c r="U883" s="6"/>
      <c r="V883" s="6"/>
      <c r="W883" s="7"/>
      <c r="X883" s="7"/>
      <c r="Y883" s="7"/>
      <c r="Z883" s="7"/>
    </row>
    <row r="884">
      <c r="A884" s="6"/>
      <c r="B884" s="6"/>
      <c r="C884" s="6"/>
      <c r="D884" s="6"/>
      <c r="E884" s="6"/>
      <c r="F884" s="6"/>
      <c r="G884" s="6"/>
      <c r="H884" s="6"/>
      <c r="I884" s="6"/>
      <c r="J884" s="6"/>
      <c r="K884" s="6"/>
      <c r="L884" s="80"/>
      <c r="M884" s="80"/>
      <c r="N884" s="80"/>
      <c r="O884" s="80"/>
      <c r="P884" s="6"/>
      <c r="Q884" s="6"/>
      <c r="R884" s="6"/>
      <c r="S884" s="6"/>
      <c r="T884" s="6"/>
      <c r="U884" s="6"/>
      <c r="V884" s="6"/>
      <c r="W884" s="7"/>
      <c r="X884" s="7"/>
      <c r="Y884" s="7"/>
      <c r="Z884" s="7"/>
    </row>
    <row r="885">
      <c r="A885" s="6"/>
      <c r="B885" s="6"/>
      <c r="C885" s="6"/>
      <c r="D885" s="6"/>
      <c r="E885" s="6"/>
      <c r="F885" s="6"/>
      <c r="G885" s="6"/>
      <c r="H885" s="6"/>
      <c r="I885" s="6"/>
      <c r="J885" s="6"/>
      <c r="K885" s="6"/>
      <c r="L885" s="80"/>
      <c r="M885" s="80"/>
      <c r="N885" s="80"/>
      <c r="O885" s="80"/>
      <c r="P885" s="6"/>
      <c r="Q885" s="6"/>
      <c r="R885" s="6"/>
      <c r="S885" s="6"/>
      <c r="T885" s="6"/>
      <c r="U885" s="6"/>
      <c r="V885" s="6"/>
      <c r="W885" s="7"/>
      <c r="X885" s="7"/>
      <c r="Y885" s="7"/>
      <c r="Z885" s="7"/>
    </row>
    <row r="886">
      <c r="A886" s="6"/>
      <c r="B886" s="6"/>
      <c r="C886" s="6"/>
      <c r="D886" s="6"/>
      <c r="E886" s="6"/>
      <c r="F886" s="6"/>
      <c r="G886" s="6"/>
      <c r="H886" s="6"/>
      <c r="I886" s="6"/>
      <c r="J886" s="6"/>
      <c r="K886" s="6"/>
      <c r="L886" s="80"/>
      <c r="M886" s="80"/>
      <c r="N886" s="80"/>
      <c r="O886" s="80"/>
      <c r="P886" s="6"/>
      <c r="Q886" s="6"/>
      <c r="R886" s="6"/>
      <c r="S886" s="6"/>
      <c r="T886" s="6"/>
      <c r="U886" s="6"/>
      <c r="V886" s="6"/>
      <c r="W886" s="7"/>
      <c r="X886" s="7"/>
      <c r="Y886" s="7"/>
      <c r="Z886" s="7"/>
    </row>
    <row r="887">
      <c r="A887" s="6"/>
      <c r="B887" s="6"/>
      <c r="C887" s="6"/>
      <c r="D887" s="6"/>
      <c r="E887" s="6"/>
      <c r="F887" s="6"/>
      <c r="G887" s="6"/>
      <c r="H887" s="6"/>
      <c r="I887" s="6"/>
      <c r="J887" s="6"/>
      <c r="K887" s="6"/>
      <c r="L887" s="80"/>
      <c r="M887" s="80"/>
      <c r="N887" s="80"/>
      <c r="O887" s="80"/>
      <c r="P887" s="6"/>
      <c r="Q887" s="6"/>
      <c r="R887" s="6"/>
      <c r="S887" s="6"/>
      <c r="T887" s="6"/>
      <c r="U887" s="6"/>
      <c r="V887" s="6"/>
      <c r="W887" s="7"/>
      <c r="X887" s="7"/>
      <c r="Y887" s="7"/>
      <c r="Z887" s="7"/>
    </row>
    <row r="888">
      <c r="A888" s="6"/>
      <c r="B888" s="6"/>
      <c r="C888" s="6"/>
      <c r="D888" s="6"/>
      <c r="E888" s="6"/>
      <c r="F888" s="6"/>
      <c r="G888" s="6"/>
      <c r="H888" s="6"/>
      <c r="I888" s="6"/>
      <c r="J888" s="6"/>
      <c r="K888" s="6"/>
      <c r="L888" s="80"/>
      <c r="M888" s="80"/>
      <c r="N888" s="80"/>
      <c r="O888" s="80"/>
      <c r="P888" s="6"/>
      <c r="Q888" s="6"/>
      <c r="R888" s="6"/>
      <c r="S888" s="6"/>
      <c r="T888" s="6"/>
      <c r="U888" s="6"/>
      <c r="V888" s="6"/>
      <c r="W888" s="7"/>
      <c r="X888" s="7"/>
      <c r="Y888" s="7"/>
      <c r="Z888" s="7"/>
    </row>
    <row r="889">
      <c r="A889" s="6"/>
      <c r="B889" s="6"/>
      <c r="C889" s="6"/>
      <c r="D889" s="6"/>
      <c r="E889" s="6"/>
      <c r="F889" s="6"/>
      <c r="G889" s="6"/>
      <c r="H889" s="6"/>
      <c r="I889" s="6"/>
      <c r="J889" s="6"/>
      <c r="K889" s="6"/>
      <c r="L889" s="80"/>
      <c r="M889" s="80"/>
      <c r="N889" s="80"/>
      <c r="O889" s="80"/>
      <c r="P889" s="6"/>
      <c r="Q889" s="6"/>
      <c r="R889" s="6"/>
      <c r="S889" s="6"/>
      <c r="T889" s="6"/>
      <c r="U889" s="6"/>
      <c r="V889" s="6"/>
      <c r="W889" s="7"/>
      <c r="X889" s="7"/>
      <c r="Y889" s="7"/>
      <c r="Z889" s="7"/>
    </row>
    <row r="890">
      <c r="A890" s="6"/>
      <c r="B890" s="6"/>
      <c r="C890" s="6"/>
      <c r="D890" s="6"/>
      <c r="E890" s="6"/>
      <c r="F890" s="6"/>
      <c r="G890" s="6"/>
      <c r="H890" s="6"/>
      <c r="I890" s="6"/>
      <c r="J890" s="6"/>
      <c r="K890" s="6"/>
      <c r="L890" s="80"/>
      <c r="M890" s="80"/>
      <c r="N890" s="80"/>
      <c r="O890" s="80"/>
      <c r="P890" s="6"/>
      <c r="Q890" s="6"/>
      <c r="R890" s="6"/>
      <c r="S890" s="6"/>
      <c r="T890" s="6"/>
      <c r="U890" s="6"/>
      <c r="V890" s="6"/>
      <c r="W890" s="7"/>
      <c r="X890" s="7"/>
      <c r="Y890" s="7"/>
      <c r="Z890" s="7"/>
    </row>
    <row r="891">
      <c r="A891" s="6"/>
      <c r="B891" s="6"/>
      <c r="C891" s="6"/>
      <c r="D891" s="6"/>
      <c r="E891" s="6"/>
      <c r="F891" s="6"/>
      <c r="G891" s="6"/>
      <c r="H891" s="6"/>
      <c r="I891" s="6"/>
      <c r="J891" s="6"/>
      <c r="K891" s="6"/>
      <c r="L891" s="80"/>
      <c r="M891" s="80"/>
      <c r="N891" s="80"/>
      <c r="O891" s="80"/>
      <c r="P891" s="6"/>
      <c r="Q891" s="6"/>
      <c r="R891" s="6"/>
      <c r="S891" s="6"/>
      <c r="T891" s="6"/>
      <c r="U891" s="6"/>
      <c r="V891" s="6"/>
      <c r="W891" s="7"/>
      <c r="X891" s="7"/>
      <c r="Y891" s="7"/>
      <c r="Z891" s="7"/>
    </row>
    <row r="892">
      <c r="A892" s="6"/>
      <c r="B892" s="6"/>
      <c r="C892" s="6"/>
      <c r="D892" s="6"/>
      <c r="E892" s="6"/>
      <c r="F892" s="6"/>
      <c r="G892" s="6"/>
      <c r="H892" s="6"/>
      <c r="I892" s="6"/>
      <c r="J892" s="6"/>
      <c r="K892" s="6"/>
      <c r="L892" s="80"/>
      <c r="M892" s="80"/>
      <c r="N892" s="80"/>
      <c r="O892" s="80"/>
      <c r="P892" s="6"/>
      <c r="Q892" s="6"/>
      <c r="R892" s="6"/>
      <c r="S892" s="6"/>
      <c r="T892" s="6"/>
      <c r="U892" s="6"/>
      <c r="V892" s="6"/>
      <c r="W892" s="7"/>
      <c r="X892" s="7"/>
      <c r="Y892" s="7"/>
      <c r="Z892" s="7"/>
    </row>
    <row r="893">
      <c r="A893" s="6"/>
      <c r="B893" s="6"/>
      <c r="C893" s="6"/>
      <c r="D893" s="6"/>
      <c r="E893" s="6"/>
      <c r="F893" s="6"/>
      <c r="G893" s="6"/>
      <c r="H893" s="6"/>
      <c r="I893" s="6"/>
      <c r="J893" s="6"/>
      <c r="K893" s="6"/>
      <c r="L893" s="80"/>
      <c r="M893" s="80"/>
      <c r="N893" s="80"/>
      <c r="O893" s="80"/>
      <c r="P893" s="6"/>
      <c r="Q893" s="6"/>
      <c r="R893" s="6"/>
      <c r="S893" s="6"/>
      <c r="T893" s="6"/>
      <c r="U893" s="6"/>
      <c r="V893" s="6"/>
      <c r="W893" s="7"/>
      <c r="X893" s="7"/>
      <c r="Y893" s="7"/>
      <c r="Z893" s="7"/>
    </row>
    <row r="894">
      <c r="A894" s="6"/>
      <c r="B894" s="6"/>
      <c r="C894" s="6"/>
      <c r="D894" s="6"/>
      <c r="E894" s="6"/>
      <c r="F894" s="6"/>
      <c r="G894" s="6"/>
      <c r="H894" s="6"/>
      <c r="I894" s="6"/>
      <c r="J894" s="6"/>
      <c r="K894" s="6"/>
      <c r="L894" s="80"/>
      <c r="M894" s="80"/>
      <c r="N894" s="80"/>
      <c r="O894" s="80"/>
      <c r="P894" s="6"/>
      <c r="Q894" s="6"/>
      <c r="R894" s="6"/>
      <c r="S894" s="6"/>
      <c r="T894" s="6"/>
      <c r="U894" s="6"/>
      <c r="V894" s="6"/>
      <c r="W894" s="7"/>
      <c r="X894" s="7"/>
      <c r="Y894" s="7"/>
      <c r="Z894" s="7"/>
    </row>
    <row r="895">
      <c r="A895" s="6"/>
      <c r="B895" s="6"/>
      <c r="C895" s="6"/>
      <c r="D895" s="6"/>
      <c r="E895" s="6"/>
      <c r="F895" s="6"/>
      <c r="G895" s="6"/>
      <c r="H895" s="6"/>
      <c r="I895" s="6"/>
      <c r="J895" s="6"/>
      <c r="K895" s="6"/>
      <c r="L895" s="80"/>
      <c r="M895" s="80"/>
      <c r="N895" s="80"/>
      <c r="O895" s="80"/>
      <c r="P895" s="6"/>
      <c r="Q895" s="6"/>
      <c r="R895" s="6"/>
      <c r="S895" s="6"/>
      <c r="T895" s="6"/>
      <c r="U895" s="6"/>
      <c r="V895" s="6"/>
      <c r="W895" s="7"/>
      <c r="X895" s="7"/>
      <c r="Y895" s="7"/>
      <c r="Z895" s="7"/>
    </row>
    <row r="896">
      <c r="A896" s="6"/>
      <c r="B896" s="6"/>
      <c r="C896" s="6"/>
      <c r="D896" s="6"/>
      <c r="E896" s="6"/>
      <c r="F896" s="6"/>
      <c r="G896" s="6"/>
      <c r="H896" s="6"/>
      <c r="I896" s="6"/>
      <c r="J896" s="6"/>
      <c r="K896" s="6"/>
      <c r="L896" s="80"/>
      <c r="M896" s="80"/>
      <c r="N896" s="80"/>
      <c r="O896" s="80"/>
      <c r="P896" s="6"/>
      <c r="Q896" s="6"/>
      <c r="R896" s="6"/>
      <c r="S896" s="6"/>
      <c r="T896" s="6"/>
      <c r="U896" s="6"/>
      <c r="V896" s="6"/>
      <c r="W896" s="7"/>
      <c r="X896" s="7"/>
      <c r="Y896" s="7"/>
      <c r="Z896" s="7"/>
    </row>
    <row r="897">
      <c r="A897" s="6"/>
      <c r="B897" s="6"/>
      <c r="C897" s="6"/>
      <c r="D897" s="6"/>
      <c r="E897" s="6"/>
      <c r="F897" s="6"/>
      <c r="G897" s="6"/>
      <c r="H897" s="6"/>
      <c r="I897" s="6"/>
      <c r="J897" s="6"/>
      <c r="K897" s="6"/>
      <c r="L897" s="80"/>
      <c r="M897" s="80"/>
      <c r="N897" s="80"/>
      <c r="O897" s="80"/>
      <c r="P897" s="6"/>
      <c r="Q897" s="6"/>
      <c r="R897" s="6"/>
      <c r="S897" s="6"/>
      <c r="T897" s="6"/>
      <c r="U897" s="6"/>
      <c r="V897" s="6"/>
      <c r="W897" s="7"/>
      <c r="X897" s="7"/>
      <c r="Y897" s="7"/>
      <c r="Z897" s="7"/>
    </row>
    <row r="898">
      <c r="A898" s="6"/>
      <c r="B898" s="6"/>
      <c r="C898" s="6"/>
      <c r="D898" s="6"/>
      <c r="E898" s="6"/>
      <c r="F898" s="6"/>
      <c r="G898" s="6"/>
      <c r="H898" s="6"/>
      <c r="I898" s="6"/>
      <c r="J898" s="6"/>
      <c r="K898" s="6"/>
      <c r="L898" s="80"/>
      <c r="M898" s="80"/>
      <c r="N898" s="80"/>
      <c r="O898" s="80"/>
      <c r="P898" s="6"/>
      <c r="Q898" s="6"/>
      <c r="R898" s="6"/>
      <c r="S898" s="6"/>
      <c r="T898" s="6"/>
      <c r="U898" s="6"/>
      <c r="V898" s="6"/>
      <c r="W898" s="7"/>
      <c r="X898" s="7"/>
      <c r="Y898" s="7"/>
      <c r="Z898" s="7"/>
    </row>
    <row r="899">
      <c r="A899" s="6"/>
      <c r="B899" s="6"/>
      <c r="C899" s="6"/>
      <c r="D899" s="6"/>
      <c r="E899" s="6"/>
      <c r="F899" s="6"/>
      <c r="G899" s="6"/>
      <c r="H899" s="6"/>
      <c r="I899" s="6"/>
      <c r="J899" s="6"/>
      <c r="K899" s="6"/>
      <c r="L899" s="80"/>
      <c r="M899" s="80"/>
      <c r="N899" s="80"/>
      <c r="O899" s="80"/>
      <c r="P899" s="6"/>
      <c r="Q899" s="6"/>
      <c r="R899" s="6"/>
      <c r="S899" s="6"/>
      <c r="T899" s="6"/>
      <c r="U899" s="6"/>
      <c r="V899" s="6"/>
      <c r="W899" s="7"/>
      <c r="X899" s="7"/>
      <c r="Y899" s="7"/>
      <c r="Z899" s="7"/>
    </row>
    <row r="900">
      <c r="A900" s="6"/>
      <c r="B900" s="6"/>
      <c r="C900" s="6"/>
      <c r="D900" s="6"/>
      <c r="E900" s="6"/>
      <c r="F900" s="6"/>
      <c r="G900" s="6"/>
      <c r="H900" s="6"/>
      <c r="I900" s="6"/>
      <c r="J900" s="6"/>
      <c r="K900" s="6"/>
      <c r="L900" s="80"/>
      <c r="M900" s="80"/>
      <c r="N900" s="80"/>
      <c r="O900" s="80"/>
      <c r="P900" s="6"/>
      <c r="Q900" s="6"/>
      <c r="R900" s="6"/>
      <c r="S900" s="6"/>
      <c r="T900" s="6"/>
      <c r="U900" s="6"/>
      <c r="V900" s="6"/>
      <c r="W900" s="7"/>
      <c r="X900" s="7"/>
      <c r="Y900" s="7"/>
      <c r="Z900" s="7"/>
    </row>
    <row r="901">
      <c r="A901" s="6"/>
      <c r="B901" s="6"/>
      <c r="C901" s="6"/>
      <c r="D901" s="6"/>
      <c r="E901" s="6"/>
      <c r="F901" s="6"/>
      <c r="G901" s="6"/>
      <c r="H901" s="6"/>
      <c r="I901" s="6"/>
      <c r="J901" s="6"/>
      <c r="K901" s="6"/>
      <c r="L901" s="80"/>
      <c r="M901" s="80"/>
      <c r="N901" s="80"/>
      <c r="O901" s="80"/>
      <c r="P901" s="6"/>
      <c r="Q901" s="6"/>
      <c r="R901" s="6"/>
      <c r="S901" s="6"/>
      <c r="T901" s="6"/>
      <c r="U901" s="6"/>
      <c r="V901" s="6"/>
      <c r="W901" s="7"/>
      <c r="X901" s="7"/>
      <c r="Y901" s="7"/>
      <c r="Z901" s="7"/>
    </row>
    <row r="902">
      <c r="A902" s="6"/>
      <c r="B902" s="6"/>
      <c r="C902" s="6"/>
      <c r="D902" s="6"/>
      <c r="E902" s="6"/>
      <c r="F902" s="6"/>
      <c r="G902" s="6"/>
      <c r="H902" s="6"/>
      <c r="I902" s="6"/>
      <c r="J902" s="6"/>
      <c r="K902" s="6"/>
      <c r="L902" s="80"/>
      <c r="M902" s="80"/>
      <c r="N902" s="80"/>
      <c r="O902" s="80"/>
      <c r="P902" s="6"/>
      <c r="Q902" s="6"/>
      <c r="R902" s="6"/>
      <c r="S902" s="6"/>
      <c r="T902" s="6"/>
      <c r="U902" s="6"/>
      <c r="V902" s="6"/>
      <c r="W902" s="7"/>
      <c r="X902" s="7"/>
      <c r="Y902" s="7"/>
      <c r="Z902" s="7"/>
    </row>
    <row r="903">
      <c r="A903" s="6"/>
      <c r="B903" s="6"/>
      <c r="C903" s="6"/>
      <c r="D903" s="6"/>
      <c r="E903" s="6"/>
      <c r="F903" s="6"/>
      <c r="G903" s="6"/>
      <c r="H903" s="6"/>
      <c r="I903" s="6"/>
      <c r="J903" s="6"/>
      <c r="K903" s="6"/>
      <c r="L903" s="80"/>
      <c r="M903" s="80"/>
      <c r="N903" s="80"/>
      <c r="O903" s="80"/>
      <c r="P903" s="6"/>
      <c r="Q903" s="6"/>
      <c r="R903" s="6"/>
      <c r="S903" s="6"/>
      <c r="T903" s="6"/>
      <c r="U903" s="6"/>
      <c r="V903" s="6"/>
      <c r="W903" s="7"/>
      <c r="X903" s="7"/>
      <c r="Y903" s="7"/>
      <c r="Z903" s="7"/>
    </row>
    <row r="904">
      <c r="A904" s="6"/>
      <c r="B904" s="6"/>
      <c r="C904" s="6"/>
      <c r="D904" s="6"/>
      <c r="E904" s="6"/>
      <c r="F904" s="6"/>
      <c r="G904" s="6"/>
      <c r="H904" s="6"/>
      <c r="I904" s="6"/>
      <c r="J904" s="6"/>
      <c r="K904" s="6"/>
      <c r="L904" s="80"/>
      <c r="M904" s="80"/>
      <c r="N904" s="80"/>
      <c r="O904" s="80"/>
      <c r="P904" s="6"/>
      <c r="Q904" s="6"/>
      <c r="R904" s="6"/>
      <c r="S904" s="6"/>
      <c r="T904" s="6"/>
      <c r="U904" s="6"/>
      <c r="V904" s="6"/>
      <c r="W904" s="7"/>
      <c r="X904" s="7"/>
      <c r="Y904" s="7"/>
      <c r="Z904" s="7"/>
    </row>
    <row r="905">
      <c r="A905" s="6"/>
      <c r="B905" s="6"/>
      <c r="C905" s="6"/>
      <c r="D905" s="6"/>
      <c r="E905" s="6"/>
      <c r="F905" s="6"/>
      <c r="G905" s="6"/>
      <c r="H905" s="6"/>
      <c r="I905" s="6"/>
      <c r="J905" s="6"/>
      <c r="K905" s="6"/>
      <c r="L905" s="80"/>
      <c r="M905" s="80"/>
      <c r="N905" s="80"/>
      <c r="O905" s="80"/>
      <c r="P905" s="6"/>
      <c r="Q905" s="6"/>
      <c r="R905" s="6"/>
      <c r="S905" s="6"/>
      <c r="T905" s="6"/>
      <c r="U905" s="6"/>
      <c r="V905" s="6"/>
      <c r="W905" s="7"/>
      <c r="X905" s="7"/>
      <c r="Y905" s="7"/>
      <c r="Z905" s="7"/>
    </row>
    <row r="906">
      <c r="A906" s="6"/>
      <c r="B906" s="6"/>
      <c r="C906" s="6"/>
      <c r="D906" s="6"/>
      <c r="E906" s="6"/>
      <c r="F906" s="6"/>
      <c r="G906" s="6"/>
      <c r="H906" s="6"/>
      <c r="I906" s="6"/>
      <c r="J906" s="6"/>
      <c r="K906" s="6"/>
      <c r="L906" s="80"/>
      <c r="M906" s="80"/>
      <c r="N906" s="80"/>
      <c r="O906" s="80"/>
      <c r="P906" s="6"/>
      <c r="Q906" s="6"/>
      <c r="R906" s="6"/>
      <c r="S906" s="6"/>
      <c r="T906" s="6"/>
      <c r="U906" s="6"/>
      <c r="V906" s="6"/>
      <c r="W906" s="7"/>
      <c r="X906" s="7"/>
      <c r="Y906" s="7"/>
      <c r="Z906" s="7"/>
    </row>
    <row r="907">
      <c r="A907" s="6"/>
      <c r="B907" s="6"/>
      <c r="C907" s="6"/>
      <c r="D907" s="6"/>
      <c r="E907" s="6"/>
      <c r="F907" s="6"/>
      <c r="G907" s="6"/>
      <c r="H907" s="6"/>
      <c r="I907" s="6"/>
      <c r="J907" s="6"/>
      <c r="K907" s="6"/>
      <c r="L907" s="80"/>
      <c r="M907" s="80"/>
      <c r="N907" s="80"/>
      <c r="O907" s="80"/>
      <c r="P907" s="6"/>
      <c r="Q907" s="6"/>
      <c r="R907" s="6"/>
      <c r="S907" s="6"/>
      <c r="T907" s="6"/>
      <c r="U907" s="6"/>
      <c r="V907" s="6"/>
      <c r="W907" s="7"/>
      <c r="X907" s="7"/>
      <c r="Y907" s="7"/>
      <c r="Z907" s="7"/>
    </row>
    <row r="908">
      <c r="A908" s="6"/>
      <c r="B908" s="6"/>
      <c r="C908" s="6"/>
      <c r="D908" s="6"/>
      <c r="E908" s="6"/>
      <c r="F908" s="6"/>
      <c r="G908" s="6"/>
      <c r="H908" s="6"/>
      <c r="I908" s="6"/>
      <c r="J908" s="6"/>
      <c r="K908" s="6"/>
      <c r="L908" s="80"/>
      <c r="M908" s="80"/>
      <c r="N908" s="80"/>
      <c r="O908" s="80"/>
      <c r="P908" s="6"/>
      <c r="Q908" s="6"/>
      <c r="R908" s="6"/>
      <c r="S908" s="6"/>
      <c r="T908" s="6"/>
      <c r="U908" s="6"/>
      <c r="V908" s="6"/>
      <c r="W908" s="7"/>
      <c r="X908" s="7"/>
      <c r="Y908" s="7"/>
      <c r="Z908" s="7"/>
    </row>
    <row r="909">
      <c r="A909" s="6"/>
      <c r="B909" s="6"/>
      <c r="C909" s="6"/>
      <c r="D909" s="6"/>
      <c r="E909" s="6"/>
      <c r="F909" s="6"/>
      <c r="G909" s="6"/>
      <c r="H909" s="6"/>
      <c r="I909" s="6"/>
      <c r="J909" s="6"/>
      <c r="K909" s="6"/>
      <c r="L909" s="80"/>
      <c r="M909" s="80"/>
      <c r="N909" s="80"/>
      <c r="O909" s="80"/>
      <c r="P909" s="6"/>
      <c r="Q909" s="6"/>
      <c r="R909" s="6"/>
      <c r="S909" s="6"/>
      <c r="T909" s="6"/>
      <c r="U909" s="6"/>
      <c r="V909" s="6"/>
      <c r="W909" s="7"/>
      <c r="X909" s="7"/>
      <c r="Y909" s="7"/>
      <c r="Z909" s="7"/>
    </row>
    <row r="910">
      <c r="A910" s="6"/>
      <c r="B910" s="6"/>
      <c r="C910" s="6"/>
      <c r="D910" s="6"/>
      <c r="E910" s="6"/>
      <c r="F910" s="6"/>
      <c r="G910" s="6"/>
      <c r="H910" s="6"/>
      <c r="I910" s="6"/>
      <c r="J910" s="6"/>
      <c r="K910" s="6"/>
      <c r="L910" s="80"/>
      <c r="M910" s="80"/>
      <c r="N910" s="80"/>
      <c r="O910" s="80"/>
      <c r="P910" s="6"/>
      <c r="Q910" s="6"/>
      <c r="R910" s="6"/>
      <c r="S910" s="6"/>
      <c r="T910" s="6"/>
      <c r="U910" s="6"/>
      <c r="V910" s="6"/>
      <c r="W910" s="7"/>
      <c r="X910" s="7"/>
      <c r="Y910" s="7"/>
      <c r="Z910" s="7"/>
    </row>
    <row r="911">
      <c r="A911" s="6"/>
      <c r="B911" s="6"/>
      <c r="C911" s="6"/>
      <c r="D911" s="6"/>
      <c r="E911" s="6"/>
      <c r="F911" s="6"/>
      <c r="G911" s="6"/>
      <c r="H911" s="6"/>
      <c r="I911" s="6"/>
      <c r="J911" s="6"/>
      <c r="K911" s="6"/>
      <c r="L911" s="80"/>
      <c r="M911" s="80"/>
      <c r="N911" s="80"/>
      <c r="O911" s="80"/>
      <c r="P911" s="6"/>
      <c r="Q911" s="6"/>
      <c r="R911" s="6"/>
      <c r="S911" s="6"/>
      <c r="T911" s="6"/>
      <c r="U911" s="6"/>
      <c r="V911" s="6"/>
      <c r="W911" s="7"/>
      <c r="X911" s="7"/>
      <c r="Y911" s="7"/>
      <c r="Z911" s="7"/>
    </row>
    <row r="912">
      <c r="A912" s="6"/>
      <c r="B912" s="6"/>
      <c r="C912" s="6"/>
      <c r="D912" s="6"/>
      <c r="E912" s="6"/>
      <c r="F912" s="6"/>
      <c r="G912" s="6"/>
      <c r="H912" s="6"/>
      <c r="I912" s="6"/>
      <c r="J912" s="6"/>
      <c r="K912" s="6"/>
      <c r="L912" s="80"/>
      <c r="M912" s="80"/>
      <c r="N912" s="80"/>
      <c r="O912" s="80"/>
      <c r="P912" s="6"/>
      <c r="Q912" s="6"/>
      <c r="R912" s="6"/>
      <c r="S912" s="6"/>
      <c r="T912" s="6"/>
      <c r="U912" s="6"/>
      <c r="V912" s="6"/>
      <c r="W912" s="7"/>
      <c r="X912" s="7"/>
      <c r="Y912" s="7"/>
      <c r="Z912" s="7"/>
    </row>
    <row r="913">
      <c r="A913" s="6"/>
      <c r="B913" s="6"/>
      <c r="C913" s="6"/>
      <c r="D913" s="6"/>
      <c r="E913" s="6"/>
      <c r="F913" s="6"/>
      <c r="G913" s="6"/>
      <c r="H913" s="6"/>
      <c r="I913" s="6"/>
      <c r="J913" s="6"/>
      <c r="K913" s="6"/>
      <c r="L913" s="80"/>
      <c r="M913" s="80"/>
      <c r="N913" s="80"/>
      <c r="O913" s="80"/>
      <c r="P913" s="6"/>
      <c r="Q913" s="6"/>
      <c r="R913" s="6"/>
      <c r="S913" s="6"/>
      <c r="T913" s="6"/>
      <c r="U913" s="6"/>
      <c r="V913" s="6"/>
      <c r="W913" s="7"/>
      <c r="X913" s="7"/>
      <c r="Y913" s="7"/>
      <c r="Z913" s="7"/>
    </row>
    <row r="914">
      <c r="A914" s="6"/>
      <c r="B914" s="6"/>
      <c r="C914" s="6"/>
      <c r="D914" s="6"/>
      <c r="E914" s="6"/>
      <c r="F914" s="6"/>
      <c r="G914" s="6"/>
      <c r="H914" s="6"/>
      <c r="I914" s="6"/>
      <c r="J914" s="6"/>
      <c r="K914" s="6"/>
      <c r="L914" s="80"/>
      <c r="M914" s="80"/>
      <c r="N914" s="80"/>
      <c r="O914" s="80"/>
      <c r="P914" s="6"/>
      <c r="Q914" s="6"/>
      <c r="R914" s="6"/>
      <c r="S914" s="6"/>
      <c r="T914" s="6"/>
      <c r="U914" s="6"/>
      <c r="V914" s="6"/>
      <c r="W914" s="7"/>
      <c r="X914" s="7"/>
      <c r="Y914" s="7"/>
      <c r="Z914" s="7"/>
    </row>
    <row r="915">
      <c r="A915" s="6"/>
      <c r="B915" s="6"/>
      <c r="C915" s="6"/>
      <c r="D915" s="6"/>
      <c r="E915" s="6"/>
      <c r="F915" s="6"/>
      <c r="G915" s="6"/>
      <c r="H915" s="6"/>
      <c r="I915" s="6"/>
      <c r="J915" s="6"/>
      <c r="K915" s="6"/>
      <c r="L915" s="80"/>
      <c r="M915" s="80"/>
      <c r="N915" s="80"/>
      <c r="O915" s="80"/>
      <c r="P915" s="6"/>
      <c r="Q915" s="6"/>
      <c r="R915" s="6"/>
      <c r="S915" s="6"/>
      <c r="T915" s="6"/>
      <c r="U915" s="6"/>
      <c r="V915" s="6"/>
      <c r="W915" s="7"/>
      <c r="X915" s="7"/>
      <c r="Y915" s="7"/>
      <c r="Z915" s="7"/>
    </row>
    <row r="916">
      <c r="A916" s="6"/>
      <c r="B916" s="6"/>
      <c r="C916" s="6"/>
      <c r="D916" s="6"/>
      <c r="E916" s="6"/>
      <c r="F916" s="6"/>
      <c r="G916" s="6"/>
      <c r="H916" s="6"/>
      <c r="I916" s="6"/>
      <c r="J916" s="6"/>
      <c r="K916" s="6"/>
      <c r="L916" s="80"/>
      <c r="M916" s="80"/>
      <c r="N916" s="80"/>
      <c r="O916" s="80"/>
      <c r="P916" s="6"/>
      <c r="Q916" s="6"/>
      <c r="R916" s="6"/>
      <c r="S916" s="6"/>
      <c r="T916" s="6"/>
      <c r="U916" s="6"/>
      <c r="V916" s="6"/>
      <c r="W916" s="7"/>
      <c r="X916" s="7"/>
      <c r="Y916" s="7"/>
      <c r="Z916" s="7"/>
    </row>
    <row r="917">
      <c r="A917" s="6"/>
      <c r="B917" s="6"/>
      <c r="C917" s="6"/>
      <c r="D917" s="6"/>
      <c r="E917" s="6"/>
      <c r="F917" s="6"/>
      <c r="G917" s="6"/>
      <c r="H917" s="6"/>
      <c r="I917" s="6"/>
      <c r="J917" s="6"/>
      <c r="K917" s="6"/>
      <c r="L917" s="80"/>
      <c r="M917" s="80"/>
      <c r="N917" s="80"/>
      <c r="O917" s="80"/>
      <c r="P917" s="6"/>
      <c r="Q917" s="6"/>
      <c r="R917" s="6"/>
      <c r="S917" s="6"/>
      <c r="T917" s="6"/>
      <c r="U917" s="6"/>
      <c r="V917" s="6"/>
      <c r="W917" s="7"/>
      <c r="X917" s="7"/>
      <c r="Y917" s="7"/>
      <c r="Z917" s="7"/>
    </row>
    <row r="918">
      <c r="A918" s="6"/>
      <c r="B918" s="6"/>
      <c r="C918" s="6"/>
      <c r="D918" s="6"/>
      <c r="E918" s="6"/>
      <c r="F918" s="6"/>
      <c r="G918" s="6"/>
      <c r="H918" s="6"/>
      <c r="I918" s="6"/>
      <c r="J918" s="6"/>
      <c r="K918" s="6"/>
      <c r="L918" s="80"/>
      <c r="M918" s="80"/>
      <c r="N918" s="80"/>
      <c r="O918" s="80"/>
      <c r="P918" s="6"/>
      <c r="Q918" s="6"/>
      <c r="R918" s="6"/>
      <c r="S918" s="6"/>
      <c r="T918" s="6"/>
      <c r="U918" s="6"/>
      <c r="V918" s="6"/>
      <c r="W918" s="7"/>
      <c r="X918" s="7"/>
      <c r="Y918" s="7"/>
      <c r="Z918" s="7"/>
    </row>
    <row r="919">
      <c r="A919" s="6"/>
      <c r="B919" s="6"/>
      <c r="C919" s="6"/>
      <c r="D919" s="6"/>
      <c r="E919" s="6"/>
      <c r="F919" s="6"/>
      <c r="G919" s="6"/>
      <c r="H919" s="6"/>
      <c r="I919" s="6"/>
      <c r="J919" s="6"/>
      <c r="K919" s="6"/>
      <c r="L919" s="80"/>
      <c r="M919" s="80"/>
      <c r="N919" s="80"/>
      <c r="O919" s="80"/>
      <c r="P919" s="6"/>
      <c r="Q919" s="6"/>
      <c r="R919" s="6"/>
      <c r="S919" s="6"/>
      <c r="T919" s="6"/>
      <c r="U919" s="6"/>
      <c r="V919" s="6"/>
      <c r="W919" s="7"/>
      <c r="X919" s="7"/>
      <c r="Y919" s="7"/>
      <c r="Z919" s="7"/>
    </row>
    <row r="920">
      <c r="A920" s="6"/>
      <c r="B920" s="6"/>
      <c r="C920" s="6"/>
      <c r="D920" s="6"/>
      <c r="E920" s="6"/>
      <c r="F920" s="6"/>
      <c r="G920" s="6"/>
      <c r="H920" s="6"/>
      <c r="I920" s="6"/>
      <c r="J920" s="6"/>
      <c r="K920" s="6"/>
      <c r="L920" s="80"/>
      <c r="M920" s="80"/>
      <c r="N920" s="80"/>
      <c r="O920" s="80"/>
      <c r="P920" s="6"/>
      <c r="Q920" s="6"/>
      <c r="R920" s="6"/>
      <c r="S920" s="6"/>
      <c r="T920" s="6"/>
      <c r="U920" s="6"/>
      <c r="V920" s="6"/>
      <c r="W920" s="7"/>
      <c r="X920" s="7"/>
      <c r="Y920" s="7"/>
      <c r="Z920" s="7"/>
    </row>
    <row r="921">
      <c r="A921" s="6"/>
      <c r="B921" s="6"/>
      <c r="C921" s="6"/>
      <c r="D921" s="6"/>
      <c r="E921" s="6"/>
      <c r="F921" s="6"/>
      <c r="G921" s="6"/>
      <c r="H921" s="6"/>
      <c r="I921" s="6"/>
      <c r="J921" s="6"/>
      <c r="K921" s="6"/>
      <c r="L921" s="80"/>
      <c r="M921" s="80"/>
      <c r="N921" s="80"/>
      <c r="O921" s="80"/>
      <c r="P921" s="6"/>
      <c r="Q921" s="6"/>
      <c r="R921" s="6"/>
      <c r="S921" s="6"/>
      <c r="T921" s="6"/>
      <c r="U921" s="6"/>
      <c r="V921" s="6"/>
      <c r="W921" s="7"/>
      <c r="X921" s="7"/>
      <c r="Y921" s="7"/>
      <c r="Z921" s="7"/>
    </row>
    <row r="922">
      <c r="A922" s="6"/>
      <c r="B922" s="6"/>
      <c r="C922" s="6"/>
      <c r="D922" s="6"/>
      <c r="E922" s="6"/>
      <c r="F922" s="6"/>
      <c r="G922" s="6"/>
      <c r="H922" s="6"/>
      <c r="I922" s="6"/>
      <c r="J922" s="6"/>
      <c r="K922" s="6"/>
      <c r="L922" s="80"/>
      <c r="M922" s="80"/>
      <c r="N922" s="80"/>
      <c r="O922" s="80"/>
      <c r="P922" s="6"/>
      <c r="Q922" s="6"/>
      <c r="R922" s="6"/>
      <c r="S922" s="6"/>
      <c r="T922" s="6"/>
      <c r="U922" s="6"/>
      <c r="V922" s="6"/>
      <c r="W922" s="7"/>
      <c r="X922" s="7"/>
      <c r="Y922" s="7"/>
      <c r="Z922" s="7"/>
    </row>
    <row r="923">
      <c r="A923" s="6"/>
      <c r="B923" s="6"/>
      <c r="C923" s="6"/>
      <c r="D923" s="6"/>
      <c r="E923" s="6"/>
      <c r="F923" s="6"/>
      <c r="G923" s="6"/>
      <c r="H923" s="6"/>
      <c r="I923" s="6"/>
      <c r="J923" s="6"/>
      <c r="K923" s="6"/>
      <c r="L923" s="80"/>
      <c r="M923" s="80"/>
      <c r="N923" s="80"/>
      <c r="O923" s="80"/>
      <c r="P923" s="6"/>
      <c r="Q923" s="6"/>
      <c r="R923" s="6"/>
      <c r="S923" s="6"/>
      <c r="T923" s="6"/>
      <c r="U923" s="6"/>
      <c r="V923" s="6"/>
      <c r="W923" s="7"/>
      <c r="X923" s="7"/>
      <c r="Y923" s="7"/>
      <c r="Z923" s="7"/>
    </row>
    <row r="924">
      <c r="A924" s="6"/>
      <c r="B924" s="6"/>
      <c r="C924" s="6"/>
      <c r="D924" s="6"/>
      <c r="E924" s="6"/>
      <c r="F924" s="6"/>
      <c r="G924" s="6"/>
      <c r="H924" s="6"/>
      <c r="I924" s="6"/>
      <c r="J924" s="6"/>
      <c r="K924" s="6"/>
      <c r="L924" s="80"/>
      <c r="M924" s="80"/>
      <c r="N924" s="80"/>
      <c r="O924" s="80"/>
      <c r="P924" s="6"/>
      <c r="Q924" s="6"/>
      <c r="R924" s="6"/>
      <c r="S924" s="6"/>
      <c r="T924" s="6"/>
      <c r="U924" s="6"/>
      <c r="V924" s="6"/>
      <c r="W924" s="7"/>
      <c r="X924" s="7"/>
      <c r="Y924" s="7"/>
      <c r="Z924" s="7"/>
    </row>
    <row r="925">
      <c r="A925" s="6"/>
      <c r="B925" s="6"/>
      <c r="C925" s="6"/>
      <c r="D925" s="6"/>
      <c r="E925" s="6"/>
      <c r="F925" s="6"/>
      <c r="G925" s="6"/>
      <c r="H925" s="6"/>
      <c r="I925" s="6"/>
      <c r="J925" s="6"/>
      <c r="K925" s="6"/>
      <c r="L925" s="80"/>
      <c r="M925" s="80"/>
      <c r="N925" s="80"/>
      <c r="O925" s="80"/>
      <c r="P925" s="6"/>
      <c r="Q925" s="6"/>
      <c r="R925" s="6"/>
      <c r="S925" s="6"/>
      <c r="T925" s="6"/>
      <c r="U925" s="6"/>
      <c r="V925" s="6"/>
      <c r="W925" s="7"/>
      <c r="X925" s="7"/>
      <c r="Y925" s="7"/>
      <c r="Z925" s="7"/>
    </row>
    <row r="926">
      <c r="A926" s="6"/>
      <c r="B926" s="6"/>
      <c r="C926" s="6"/>
      <c r="D926" s="6"/>
      <c r="E926" s="6"/>
      <c r="F926" s="6"/>
      <c r="G926" s="6"/>
      <c r="H926" s="6"/>
      <c r="I926" s="6"/>
      <c r="J926" s="6"/>
      <c r="K926" s="6"/>
      <c r="L926" s="80"/>
      <c r="M926" s="80"/>
      <c r="N926" s="80"/>
      <c r="O926" s="80"/>
      <c r="P926" s="6"/>
      <c r="Q926" s="6"/>
      <c r="R926" s="6"/>
      <c r="S926" s="6"/>
      <c r="T926" s="6"/>
      <c r="U926" s="6"/>
      <c r="V926" s="6"/>
      <c r="W926" s="7"/>
      <c r="X926" s="7"/>
      <c r="Y926" s="7"/>
      <c r="Z926" s="7"/>
    </row>
    <row r="927">
      <c r="A927" s="6"/>
      <c r="B927" s="6"/>
      <c r="C927" s="6"/>
      <c r="D927" s="6"/>
      <c r="E927" s="6"/>
      <c r="F927" s="6"/>
      <c r="G927" s="6"/>
      <c r="H927" s="6"/>
      <c r="I927" s="6"/>
      <c r="J927" s="6"/>
      <c r="K927" s="6"/>
      <c r="L927" s="80"/>
      <c r="M927" s="80"/>
      <c r="N927" s="80"/>
      <c r="O927" s="80"/>
      <c r="P927" s="6"/>
      <c r="Q927" s="6"/>
      <c r="R927" s="6"/>
      <c r="S927" s="6"/>
      <c r="T927" s="6"/>
      <c r="U927" s="6"/>
      <c r="V927" s="6"/>
      <c r="W927" s="7"/>
      <c r="X927" s="7"/>
      <c r="Y927" s="7"/>
      <c r="Z927" s="7"/>
    </row>
    <row r="928">
      <c r="A928" s="6"/>
      <c r="B928" s="6"/>
      <c r="C928" s="6"/>
      <c r="D928" s="6"/>
      <c r="E928" s="6"/>
      <c r="F928" s="6"/>
      <c r="G928" s="6"/>
      <c r="H928" s="6"/>
      <c r="I928" s="6"/>
      <c r="J928" s="6"/>
      <c r="K928" s="6"/>
      <c r="L928" s="80"/>
      <c r="M928" s="80"/>
      <c r="N928" s="80"/>
      <c r="O928" s="80"/>
      <c r="P928" s="6"/>
      <c r="Q928" s="6"/>
      <c r="R928" s="6"/>
      <c r="S928" s="6"/>
      <c r="T928" s="6"/>
      <c r="U928" s="6"/>
      <c r="V928" s="6"/>
      <c r="W928" s="7"/>
      <c r="X928" s="7"/>
      <c r="Y928" s="7"/>
      <c r="Z928" s="7"/>
    </row>
    <row r="929">
      <c r="A929" s="6"/>
      <c r="B929" s="6"/>
      <c r="C929" s="6"/>
      <c r="D929" s="6"/>
      <c r="E929" s="6"/>
      <c r="F929" s="6"/>
      <c r="G929" s="6"/>
      <c r="H929" s="6"/>
      <c r="I929" s="6"/>
      <c r="J929" s="6"/>
      <c r="K929" s="6"/>
      <c r="L929" s="80"/>
      <c r="M929" s="80"/>
      <c r="N929" s="80"/>
      <c r="O929" s="80"/>
      <c r="P929" s="6"/>
      <c r="Q929" s="6"/>
      <c r="R929" s="6"/>
      <c r="S929" s="6"/>
      <c r="T929" s="6"/>
      <c r="U929" s="6"/>
      <c r="V929" s="6"/>
      <c r="W929" s="7"/>
      <c r="X929" s="7"/>
      <c r="Y929" s="7"/>
      <c r="Z929" s="7"/>
    </row>
    <row r="930">
      <c r="A930" s="6"/>
      <c r="B930" s="6"/>
      <c r="C930" s="6"/>
      <c r="D930" s="6"/>
      <c r="E930" s="6"/>
      <c r="F930" s="6"/>
      <c r="G930" s="6"/>
      <c r="H930" s="6"/>
      <c r="I930" s="6"/>
      <c r="J930" s="6"/>
      <c r="K930" s="6"/>
      <c r="L930" s="80"/>
      <c r="M930" s="80"/>
      <c r="N930" s="80"/>
      <c r="O930" s="80"/>
      <c r="P930" s="6"/>
      <c r="Q930" s="6"/>
      <c r="R930" s="6"/>
      <c r="S930" s="6"/>
      <c r="T930" s="6"/>
      <c r="U930" s="6"/>
      <c r="V930" s="6"/>
      <c r="W930" s="7"/>
      <c r="X930" s="7"/>
      <c r="Y930" s="7"/>
      <c r="Z930" s="7"/>
    </row>
    <row r="931">
      <c r="A931" s="6"/>
      <c r="B931" s="6"/>
      <c r="C931" s="6"/>
      <c r="D931" s="6"/>
      <c r="E931" s="6"/>
      <c r="F931" s="6"/>
      <c r="G931" s="6"/>
      <c r="H931" s="6"/>
      <c r="I931" s="6"/>
      <c r="J931" s="6"/>
      <c r="K931" s="6"/>
      <c r="L931" s="80"/>
      <c r="M931" s="80"/>
      <c r="N931" s="80"/>
      <c r="O931" s="80"/>
      <c r="P931" s="6"/>
      <c r="Q931" s="6"/>
      <c r="R931" s="6"/>
      <c r="S931" s="6"/>
      <c r="T931" s="6"/>
      <c r="U931" s="6"/>
      <c r="V931" s="6"/>
      <c r="W931" s="7"/>
      <c r="X931" s="7"/>
      <c r="Y931" s="7"/>
      <c r="Z931" s="7"/>
    </row>
    <row r="932">
      <c r="A932" s="6"/>
      <c r="B932" s="6"/>
      <c r="C932" s="6"/>
      <c r="D932" s="6"/>
      <c r="E932" s="6"/>
      <c r="F932" s="6"/>
      <c r="G932" s="6"/>
      <c r="H932" s="6"/>
      <c r="I932" s="6"/>
      <c r="J932" s="6"/>
      <c r="K932" s="6"/>
      <c r="L932" s="80"/>
      <c r="M932" s="80"/>
      <c r="N932" s="80"/>
      <c r="O932" s="80"/>
      <c r="P932" s="6"/>
      <c r="Q932" s="6"/>
      <c r="R932" s="6"/>
      <c r="S932" s="6"/>
      <c r="T932" s="6"/>
      <c r="U932" s="6"/>
      <c r="V932" s="6"/>
      <c r="W932" s="7"/>
      <c r="X932" s="7"/>
      <c r="Y932" s="7"/>
      <c r="Z932" s="7"/>
    </row>
    <row r="933">
      <c r="A933" s="6"/>
      <c r="B933" s="6"/>
      <c r="C933" s="6"/>
      <c r="D933" s="6"/>
      <c r="E933" s="6"/>
      <c r="F933" s="6"/>
      <c r="G933" s="6"/>
      <c r="H933" s="6"/>
      <c r="I933" s="6"/>
      <c r="J933" s="6"/>
      <c r="K933" s="6"/>
      <c r="L933" s="80"/>
      <c r="M933" s="80"/>
      <c r="N933" s="80"/>
      <c r="O933" s="80"/>
      <c r="P933" s="6"/>
      <c r="Q933" s="6"/>
      <c r="R933" s="6"/>
      <c r="S933" s="6"/>
      <c r="T933" s="6"/>
      <c r="U933" s="6"/>
      <c r="V933" s="6"/>
      <c r="W933" s="7"/>
      <c r="X933" s="7"/>
      <c r="Y933" s="7"/>
      <c r="Z933" s="7"/>
    </row>
    <row r="934">
      <c r="A934" s="6"/>
      <c r="B934" s="6"/>
      <c r="C934" s="6"/>
      <c r="D934" s="6"/>
      <c r="E934" s="6"/>
      <c r="F934" s="6"/>
      <c r="G934" s="6"/>
      <c r="H934" s="6"/>
      <c r="I934" s="6"/>
      <c r="J934" s="6"/>
      <c r="K934" s="6"/>
      <c r="L934" s="80"/>
      <c r="M934" s="80"/>
      <c r="N934" s="80"/>
      <c r="O934" s="80"/>
      <c r="P934" s="6"/>
      <c r="Q934" s="6"/>
      <c r="R934" s="6"/>
      <c r="S934" s="6"/>
      <c r="T934" s="6"/>
      <c r="U934" s="6"/>
      <c r="V934" s="6"/>
      <c r="W934" s="7"/>
      <c r="X934" s="7"/>
      <c r="Y934" s="7"/>
      <c r="Z934" s="7"/>
    </row>
    <row r="935">
      <c r="A935" s="6"/>
      <c r="B935" s="6"/>
      <c r="C935" s="6"/>
      <c r="D935" s="6"/>
      <c r="E935" s="6"/>
      <c r="F935" s="6"/>
      <c r="G935" s="6"/>
      <c r="H935" s="6"/>
      <c r="I935" s="6"/>
      <c r="J935" s="6"/>
      <c r="K935" s="6"/>
      <c r="L935" s="80"/>
      <c r="M935" s="80"/>
      <c r="N935" s="80"/>
      <c r="O935" s="80"/>
      <c r="P935" s="6"/>
      <c r="Q935" s="6"/>
      <c r="R935" s="6"/>
      <c r="S935" s="6"/>
      <c r="T935" s="6"/>
      <c r="U935" s="6"/>
      <c r="V935" s="6"/>
      <c r="W935" s="7"/>
      <c r="X935" s="7"/>
      <c r="Y935" s="7"/>
      <c r="Z935" s="7"/>
    </row>
    <row r="936">
      <c r="A936" s="6"/>
      <c r="B936" s="6"/>
      <c r="C936" s="6"/>
      <c r="D936" s="6"/>
      <c r="E936" s="6"/>
      <c r="F936" s="6"/>
      <c r="G936" s="6"/>
      <c r="H936" s="6"/>
      <c r="I936" s="6"/>
      <c r="J936" s="6"/>
      <c r="K936" s="6"/>
      <c r="L936" s="80"/>
      <c r="M936" s="80"/>
      <c r="N936" s="80"/>
      <c r="O936" s="80"/>
      <c r="P936" s="6"/>
      <c r="Q936" s="6"/>
      <c r="R936" s="6"/>
      <c r="S936" s="6"/>
      <c r="T936" s="6"/>
      <c r="U936" s="6"/>
      <c r="V936" s="6"/>
      <c r="W936" s="7"/>
      <c r="X936" s="7"/>
      <c r="Y936" s="7"/>
      <c r="Z936" s="7"/>
    </row>
    <row r="937">
      <c r="A937" s="6"/>
      <c r="B937" s="6"/>
      <c r="C937" s="6"/>
      <c r="D937" s="6"/>
      <c r="E937" s="6"/>
      <c r="F937" s="6"/>
      <c r="G937" s="6"/>
      <c r="H937" s="6"/>
      <c r="I937" s="6"/>
      <c r="J937" s="6"/>
      <c r="K937" s="6"/>
      <c r="L937" s="80"/>
      <c r="M937" s="80"/>
      <c r="N937" s="80"/>
      <c r="O937" s="80"/>
      <c r="P937" s="6"/>
      <c r="Q937" s="6"/>
      <c r="R937" s="6"/>
      <c r="S937" s="6"/>
      <c r="T937" s="6"/>
      <c r="U937" s="6"/>
      <c r="V937" s="6"/>
      <c r="W937" s="7"/>
      <c r="X937" s="7"/>
      <c r="Y937" s="7"/>
      <c r="Z937" s="7"/>
    </row>
    <row r="938">
      <c r="A938" s="6"/>
      <c r="B938" s="6"/>
      <c r="C938" s="6"/>
      <c r="D938" s="6"/>
      <c r="E938" s="6"/>
      <c r="F938" s="6"/>
      <c r="G938" s="6"/>
      <c r="H938" s="6"/>
      <c r="I938" s="6"/>
      <c r="J938" s="6"/>
      <c r="K938" s="6"/>
      <c r="L938" s="80"/>
      <c r="M938" s="80"/>
      <c r="N938" s="80"/>
      <c r="O938" s="80"/>
      <c r="P938" s="6"/>
      <c r="Q938" s="6"/>
      <c r="R938" s="6"/>
      <c r="S938" s="6"/>
      <c r="T938" s="6"/>
      <c r="U938" s="6"/>
      <c r="V938" s="6"/>
      <c r="W938" s="7"/>
      <c r="X938" s="7"/>
      <c r="Y938" s="7"/>
      <c r="Z938" s="7"/>
    </row>
    <row r="939">
      <c r="A939" s="6"/>
      <c r="B939" s="6"/>
      <c r="C939" s="6"/>
      <c r="D939" s="6"/>
      <c r="E939" s="6"/>
      <c r="F939" s="6"/>
      <c r="G939" s="6"/>
      <c r="H939" s="6"/>
      <c r="I939" s="6"/>
      <c r="J939" s="6"/>
      <c r="K939" s="6"/>
      <c r="L939" s="80"/>
      <c r="M939" s="80"/>
      <c r="N939" s="80"/>
      <c r="O939" s="80"/>
      <c r="P939" s="6"/>
      <c r="Q939" s="6"/>
      <c r="R939" s="6"/>
      <c r="S939" s="6"/>
      <c r="T939" s="6"/>
      <c r="U939" s="6"/>
      <c r="V939" s="6"/>
      <c r="W939" s="7"/>
      <c r="X939" s="7"/>
      <c r="Y939" s="7"/>
      <c r="Z939" s="7"/>
    </row>
    <row r="940">
      <c r="A940" s="6"/>
      <c r="B940" s="6"/>
      <c r="C940" s="6"/>
      <c r="D940" s="6"/>
      <c r="E940" s="6"/>
      <c r="F940" s="6"/>
      <c r="G940" s="6"/>
      <c r="H940" s="6"/>
      <c r="I940" s="6"/>
      <c r="J940" s="6"/>
      <c r="K940" s="6"/>
      <c r="L940" s="80"/>
      <c r="M940" s="80"/>
      <c r="N940" s="80"/>
      <c r="O940" s="80"/>
      <c r="P940" s="6"/>
      <c r="Q940" s="6"/>
      <c r="R940" s="6"/>
      <c r="S940" s="6"/>
      <c r="T940" s="6"/>
      <c r="U940" s="6"/>
      <c r="V940" s="6"/>
      <c r="W940" s="7"/>
      <c r="X940" s="7"/>
      <c r="Y940" s="7"/>
      <c r="Z940" s="7"/>
    </row>
    <row r="941">
      <c r="A941" s="6"/>
      <c r="B941" s="6"/>
      <c r="C941" s="6"/>
      <c r="D941" s="6"/>
      <c r="E941" s="6"/>
      <c r="F941" s="6"/>
      <c r="G941" s="6"/>
      <c r="H941" s="6"/>
      <c r="I941" s="6"/>
      <c r="J941" s="6"/>
      <c r="K941" s="6"/>
      <c r="L941" s="80"/>
      <c r="M941" s="80"/>
      <c r="N941" s="80"/>
      <c r="O941" s="80"/>
      <c r="P941" s="6"/>
      <c r="Q941" s="6"/>
      <c r="R941" s="6"/>
      <c r="S941" s="6"/>
      <c r="T941" s="6"/>
      <c r="U941" s="6"/>
      <c r="V941" s="6"/>
      <c r="W941" s="7"/>
      <c r="X941" s="7"/>
      <c r="Y941" s="7"/>
      <c r="Z941" s="7"/>
    </row>
    <row r="942">
      <c r="A942" s="6"/>
      <c r="B942" s="6"/>
      <c r="C942" s="6"/>
      <c r="D942" s="6"/>
      <c r="E942" s="6"/>
      <c r="F942" s="6"/>
      <c r="G942" s="6"/>
      <c r="H942" s="6"/>
      <c r="I942" s="6"/>
      <c r="J942" s="6"/>
      <c r="K942" s="6"/>
      <c r="L942" s="80"/>
      <c r="M942" s="80"/>
      <c r="N942" s="80"/>
      <c r="O942" s="80"/>
      <c r="P942" s="6"/>
      <c r="Q942" s="6"/>
      <c r="R942" s="6"/>
      <c r="S942" s="6"/>
      <c r="T942" s="6"/>
      <c r="U942" s="6"/>
      <c r="V942" s="6"/>
      <c r="W942" s="7"/>
      <c r="X942" s="7"/>
      <c r="Y942" s="7"/>
      <c r="Z942" s="7"/>
    </row>
    <row r="943">
      <c r="A943" s="6"/>
      <c r="B943" s="6"/>
      <c r="C943" s="6"/>
      <c r="D943" s="6"/>
      <c r="E943" s="6"/>
      <c r="F943" s="6"/>
      <c r="G943" s="6"/>
      <c r="H943" s="6"/>
      <c r="I943" s="6"/>
      <c r="J943" s="6"/>
      <c r="K943" s="6"/>
      <c r="L943" s="80"/>
      <c r="M943" s="80"/>
      <c r="N943" s="80"/>
      <c r="O943" s="80"/>
      <c r="P943" s="6"/>
      <c r="Q943" s="6"/>
      <c r="R943" s="6"/>
      <c r="S943" s="6"/>
      <c r="T943" s="6"/>
      <c r="U943" s="6"/>
      <c r="V943" s="6"/>
      <c r="W943" s="7"/>
      <c r="X943" s="7"/>
      <c r="Y943" s="7"/>
      <c r="Z943" s="7"/>
    </row>
    <row r="944">
      <c r="A944" s="6"/>
      <c r="B944" s="6"/>
      <c r="C944" s="6"/>
      <c r="D944" s="6"/>
      <c r="E944" s="6"/>
      <c r="F944" s="6"/>
      <c r="G944" s="6"/>
      <c r="H944" s="6"/>
      <c r="I944" s="6"/>
      <c r="J944" s="6"/>
      <c r="K944" s="6"/>
      <c r="L944" s="80"/>
      <c r="M944" s="80"/>
      <c r="N944" s="80"/>
      <c r="O944" s="80"/>
      <c r="P944" s="6"/>
      <c r="Q944" s="6"/>
      <c r="R944" s="6"/>
      <c r="S944" s="6"/>
      <c r="T944" s="6"/>
      <c r="U944" s="6"/>
      <c r="V944" s="6"/>
      <c r="W944" s="7"/>
      <c r="X944" s="7"/>
      <c r="Y944" s="7"/>
      <c r="Z944" s="7"/>
    </row>
    <row r="945">
      <c r="A945" s="6"/>
      <c r="B945" s="6"/>
      <c r="C945" s="6"/>
      <c r="D945" s="6"/>
      <c r="E945" s="6"/>
      <c r="F945" s="6"/>
      <c r="G945" s="6"/>
      <c r="H945" s="6"/>
      <c r="I945" s="6"/>
      <c r="J945" s="6"/>
      <c r="K945" s="6"/>
      <c r="L945" s="80"/>
      <c r="M945" s="80"/>
      <c r="N945" s="80"/>
      <c r="O945" s="80"/>
      <c r="P945" s="6"/>
      <c r="Q945" s="6"/>
      <c r="R945" s="6"/>
      <c r="S945" s="6"/>
      <c r="T945" s="6"/>
      <c r="U945" s="6"/>
      <c r="V945" s="6"/>
      <c r="W945" s="7"/>
      <c r="X945" s="7"/>
      <c r="Y945" s="7"/>
      <c r="Z945" s="7"/>
    </row>
    <row r="946">
      <c r="A946" s="6"/>
      <c r="B946" s="6"/>
      <c r="C946" s="6"/>
      <c r="D946" s="6"/>
      <c r="E946" s="6"/>
      <c r="F946" s="6"/>
      <c r="G946" s="6"/>
      <c r="H946" s="6"/>
      <c r="I946" s="6"/>
      <c r="J946" s="6"/>
      <c r="K946" s="6"/>
      <c r="L946" s="80"/>
      <c r="M946" s="80"/>
      <c r="N946" s="80"/>
      <c r="O946" s="80"/>
      <c r="P946" s="6"/>
      <c r="Q946" s="6"/>
      <c r="R946" s="6"/>
      <c r="S946" s="6"/>
      <c r="T946" s="6"/>
      <c r="U946" s="6"/>
      <c r="V946" s="6"/>
      <c r="W946" s="7"/>
      <c r="X946" s="7"/>
      <c r="Y946" s="7"/>
      <c r="Z946" s="7"/>
    </row>
    <row r="947">
      <c r="A947" s="6"/>
      <c r="B947" s="6"/>
      <c r="C947" s="6"/>
      <c r="D947" s="6"/>
      <c r="E947" s="6"/>
      <c r="F947" s="6"/>
      <c r="G947" s="6"/>
      <c r="H947" s="6"/>
      <c r="I947" s="6"/>
      <c r="J947" s="6"/>
      <c r="K947" s="6"/>
      <c r="L947" s="80"/>
      <c r="M947" s="80"/>
      <c r="N947" s="80"/>
      <c r="O947" s="80"/>
      <c r="P947" s="6"/>
      <c r="Q947" s="6"/>
      <c r="R947" s="6"/>
      <c r="S947" s="6"/>
      <c r="T947" s="6"/>
      <c r="U947" s="6"/>
      <c r="V947" s="6"/>
      <c r="W947" s="7"/>
      <c r="X947" s="7"/>
      <c r="Y947" s="7"/>
      <c r="Z947" s="7"/>
    </row>
    <row r="948">
      <c r="A948" s="6"/>
      <c r="B948" s="6"/>
      <c r="C948" s="6"/>
      <c r="D948" s="6"/>
      <c r="E948" s="6"/>
      <c r="F948" s="6"/>
      <c r="G948" s="6"/>
      <c r="H948" s="6"/>
      <c r="I948" s="6"/>
      <c r="J948" s="6"/>
      <c r="K948" s="6"/>
      <c r="L948" s="80"/>
      <c r="M948" s="80"/>
      <c r="N948" s="80"/>
      <c r="O948" s="80"/>
      <c r="P948" s="6"/>
      <c r="Q948" s="6"/>
      <c r="R948" s="6"/>
      <c r="S948" s="6"/>
      <c r="T948" s="6"/>
      <c r="U948" s="6"/>
      <c r="V948" s="6"/>
      <c r="W948" s="7"/>
      <c r="X948" s="7"/>
      <c r="Y948" s="7"/>
      <c r="Z948" s="7"/>
    </row>
    <row r="949">
      <c r="A949" s="6"/>
      <c r="B949" s="6"/>
      <c r="C949" s="6"/>
      <c r="D949" s="6"/>
      <c r="E949" s="6"/>
      <c r="F949" s="6"/>
      <c r="G949" s="6"/>
      <c r="H949" s="6"/>
      <c r="I949" s="6"/>
      <c r="J949" s="6"/>
      <c r="K949" s="6"/>
      <c r="L949" s="80"/>
      <c r="M949" s="80"/>
      <c r="N949" s="80"/>
      <c r="O949" s="80"/>
      <c r="P949" s="6"/>
      <c r="Q949" s="6"/>
      <c r="R949" s="6"/>
      <c r="S949" s="6"/>
      <c r="T949" s="6"/>
      <c r="U949" s="6"/>
      <c r="V949" s="6"/>
      <c r="W949" s="7"/>
      <c r="X949" s="7"/>
      <c r="Y949" s="7"/>
      <c r="Z949" s="7"/>
    </row>
    <row r="950">
      <c r="A950" s="6"/>
      <c r="B950" s="6"/>
      <c r="C950" s="6"/>
      <c r="D950" s="6"/>
      <c r="E950" s="6"/>
      <c r="F950" s="6"/>
      <c r="G950" s="6"/>
      <c r="H950" s="6"/>
      <c r="I950" s="6"/>
      <c r="J950" s="6"/>
      <c r="K950" s="6"/>
      <c r="L950" s="80"/>
      <c r="M950" s="80"/>
      <c r="N950" s="80"/>
      <c r="O950" s="80"/>
      <c r="P950" s="6"/>
      <c r="Q950" s="6"/>
      <c r="R950" s="6"/>
      <c r="S950" s="6"/>
      <c r="T950" s="6"/>
      <c r="U950" s="6"/>
      <c r="V950" s="6"/>
      <c r="W950" s="7"/>
      <c r="X950" s="7"/>
      <c r="Y950" s="7"/>
      <c r="Z950" s="7"/>
    </row>
    <row r="951">
      <c r="A951" s="6"/>
      <c r="B951" s="6"/>
      <c r="C951" s="6"/>
      <c r="D951" s="6"/>
      <c r="E951" s="6"/>
      <c r="F951" s="6"/>
      <c r="G951" s="6"/>
      <c r="H951" s="6"/>
      <c r="I951" s="6"/>
      <c r="J951" s="6"/>
      <c r="K951" s="6"/>
      <c r="L951" s="80"/>
      <c r="M951" s="80"/>
      <c r="N951" s="80"/>
      <c r="O951" s="80"/>
      <c r="P951" s="6"/>
      <c r="Q951" s="6"/>
      <c r="R951" s="6"/>
      <c r="S951" s="6"/>
      <c r="T951" s="6"/>
      <c r="U951" s="6"/>
      <c r="V951" s="6"/>
      <c r="W951" s="7"/>
      <c r="X951" s="7"/>
      <c r="Y951" s="7"/>
      <c r="Z951" s="7"/>
    </row>
    <row r="952">
      <c r="A952" s="6"/>
      <c r="B952" s="6"/>
      <c r="C952" s="6"/>
      <c r="D952" s="6"/>
      <c r="E952" s="6"/>
      <c r="F952" s="6"/>
      <c r="G952" s="6"/>
      <c r="H952" s="6"/>
      <c r="I952" s="6"/>
      <c r="J952" s="6"/>
      <c r="K952" s="6"/>
      <c r="L952" s="80"/>
      <c r="M952" s="80"/>
      <c r="N952" s="80"/>
      <c r="O952" s="80"/>
      <c r="P952" s="6"/>
      <c r="Q952" s="6"/>
      <c r="R952" s="6"/>
      <c r="S952" s="6"/>
      <c r="T952" s="6"/>
      <c r="U952" s="6"/>
      <c r="V952" s="6"/>
      <c r="W952" s="7"/>
      <c r="X952" s="7"/>
      <c r="Y952" s="7"/>
      <c r="Z952" s="7"/>
    </row>
    <row r="953">
      <c r="A953" s="6"/>
      <c r="B953" s="6"/>
      <c r="C953" s="6"/>
      <c r="D953" s="6"/>
      <c r="E953" s="6"/>
      <c r="F953" s="6"/>
      <c r="G953" s="6"/>
      <c r="H953" s="6"/>
      <c r="I953" s="6"/>
      <c r="J953" s="6"/>
      <c r="K953" s="6"/>
      <c r="L953" s="80"/>
      <c r="M953" s="80"/>
      <c r="N953" s="80"/>
      <c r="O953" s="80"/>
      <c r="P953" s="6"/>
      <c r="Q953" s="6"/>
      <c r="R953" s="6"/>
      <c r="S953" s="6"/>
      <c r="T953" s="6"/>
      <c r="U953" s="6"/>
      <c r="V953" s="6"/>
      <c r="W953" s="7"/>
      <c r="X953" s="7"/>
      <c r="Y953" s="7"/>
      <c r="Z953" s="7"/>
    </row>
    <row r="954">
      <c r="A954" s="6"/>
      <c r="B954" s="6"/>
      <c r="C954" s="6"/>
      <c r="D954" s="6"/>
      <c r="E954" s="6"/>
      <c r="F954" s="6"/>
      <c r="G954" s="6"/>
      <c r="H954" s="6"/>
      <c r="I954" s="6"/>
      <c r="J954" s="6"/>
      <c r="K954" s="6"/>
      <c r="L954" s="80"/>
      <c r="M954" s="80"/>
      <c r="N954" s="80"/>
      <c r="O954" s="80"/>
      <c r="P954" s="6"/>
      <c r="Q954" s="6"/>
      <c r="R954" s="6"/>
      <c r="S954" s="6"/>
      <c r="T954" s="6"/>
      <c r="U954" s="6"/>
      <c r="V954" s="6"/>
      <c r="W954" s="7"/>
      <c r="X954" s="7"/>
      <c r="Y954" s="7"/>
      <c r="Z954" s="7"/>
    </row>
    <row r="955">
      <c r="A955" s="6"/>
      <c r="B955" s="6"/>
      <c r="C955" s="6"/>
      <c r="D955" s="6"/>
      <c r="E955" s="6"/>
      <c r="F955" s="6"/>
      <c r="G955" s="6"/>
      <c r="H955" s="6"/>
      <c r="I955" s="6"/>
      <c r="J955" s="6"/>
      <c r="K955" s="6"/>
      <c r="L955" s="80"/>
      <c r="M955" s="80"/>
      <c r="N955" s="80"/>
      <c r="O955" s="80"/>
      <c r="P955" s="6"/>
      <c r="Q955" s="6"/>
      <c r="R955" s="6"/>
      <c r="S955" s="6"/>
      <c r="T955" s="6"/>
      <c r="U955" s="6"/>
      <c r="V955" s="6"/>
      <c r="W955" s="7"/>
      <c r="X955" s="7"/>
      <c r="Y955" s="7"/>
      <c r="Z955" s="7"/>
    </row>
    <row r="956">
      <c r="A956" s="6"/>
      <c r="B956" s="6"/>
      <c r="C956" s="6"/>
      <c r="D956" s="6"/>
      <c r="E956" s="6"/>
      <c r="F956" s="6"/>
      <c r="G956" s="6"/>
      <c r="H956" s="6"/>
      <c r="I956" s="6"/>
      <c r="J956" s="6"/>
      <c r="K956" s="6"/>
      <c r="L956" s="80"/>
      <c r="M956" s="80"/>
      <c r="N956" s="80"/>
      <c r="O956" s="80"/>
      <c r="P956" s="6"/>
      <c r="Q956" s="6"/>
      <c r="R956" s="6"/>
      <c r="S956" s="6"/>
      <c r="T956" s="6"/>
      <c r="U956" s="6"/>
      <c r="V956" s="6"/>
      <c r="W956" s="7"/>
      <c r="X956" s="7"/>
      <c r="Y956" s="7"/>
      <c r="Z956" s="7"/>
    </row>
    <row r="957">
      <c r="A957" s="6"/>
      <c r="B957" s="6"/>
      <c r="C957" s="6"/>
      <c r="D957" s="6"/>
      <c r="E957" s="6"/>
      <c r="F957" s="6"/>
      <c r="G957" s="6"/>
      <c r="H957" s="6"/>
      <c r="I957" s="6"/>
      <c r="J957" s="6"/>
      <c r="K957" s="6"/>
      <c r="L957" s="80"/>
      <c r="M957" s="80"/>
      <c r="N957" s="80"/>
      <c r="O957" s="80"/>
      <c r="P957" s="6"/>
      <c r="Q957" s="6"/>
      <c r="R957" s="6"/>
      <c r="S957" s="6"/>
      <c r="T957" s="6"/>
      <c r="U957" s="6"/>
      <c r="V957" s="6"/>
      <c r="W957" s="7"/>
      <c r="X957" s="7"/>
      <c r="Y957" s="7"/>
      <c r="Z957" s="7"/>
    </row>
    <row r="958">
      <c r="A958" s="6"/>
      <c r="B958" s="6"/>
      <c r="C958" s="6"/>
      <c r="D958" s="6"/>
      <c r="E958" s="6"/>
      <c r="F958" s="6"/>
      <c r="G958" s="6"/>
      <c r="H958" s="6"/>
      <c r="I958" s="6"/>
      <c r="J958" s="6"/>
      <c r="K958" s="6"/>
      <c r="L958" s="80"/>
      <c r="M958" s="80"/>
      <c r="N958" s="80"/>
      <c r="O958" s="80"/>
      <c r="P958" s="6"/>
      <c r="Q958" s="6"/>
      <c r="R958" s="6"/>
      <c r="S958" s="6"/>
      <c r="T958" s="6"/>
      <c r="U958" s="6"/>
      <c r="V958" s="6"/>
      <c r="W958" s="7"/>
      <c r="X958" s="7"/>
      <c r="Y958" s="7"/>
      <c r="Z958" s="7"/>
    </row>
    <row r="959">
      <c r="A959" s="6"/>
      <c r="B959" s="6"/>
      <c r="C959" s="6"/>
      <c r="D959" s="6"/>
      <c r="E959" s="6"/>
      <c r="F959" s="6"/>
      <c r="G959" s="6"/>
      <c r="H959" s="6"/>
      <c r="I959" s="6"/>
      <c r="J959" s="6"/>
      <c r="K959" s="6"/>
      <c r="L959" s="80"/>
      <c r="M959" s="80"/>
      <c r="N959" s="80"/>
      <c r="O959" s="80"/>
      <c r="P959" s="6"/>
      <c r="Q959" s="6"/>
      <c r="R959" s="6"/>
      <c r="S959" s="6"/>
      <c r="T959" s="6"/>
      <c r="U959" s="6"/>
      <c r="V959" s="6"/>
      <c r="W959" s="7"/>
      <c r="X959" s="7"/>
      <c r="Y959" s="7"/>
      <c r="Z959" s="7"/>
    </row>
    <row r="960">
      <c r="A960" s="6"/>
      <c r="B960" s="6"/>
      <c r="C960" s="6"/>
      <c r="D960" s="6"/>
      <c r="E960" s="6"/>
      <c r="F960" s="6"/>
      <c r="G960" s="6"/>
      <c r="H960" s="6"/>
      <c r="I960" s="6"/>
      <c r="J960" s="6"/>
      <c r="K960" s="6"/>
      <c r="L960" s="80"/>
      <c r="M960" s="80"/>
      <c r="N960" s="80"/>
      <c r="O960" s="80"/>
      <c r="P960" s="6"/>
      <c r="Q960" s="6"/>
      <c r="R960" s="6"/>
      <c r="S960" s="6"/>
      <c r="T960" s="6"/>
      <c r="U960" s="6"/>
      <c r="V960" s="6"/>
      <c r="W960" s="7"/>
      <c r="X960" s="7"/>
      <c r="Y960" s="7"/>
      <c r="Z960" s="7"/>
    </row>
    <row r="961">
      <c r="A961" s="6"/>
      <c r="B961" s="6"/>
      <c r="C961" s="6"/>
      <c r="D961" s="6"/>
      <c r="E961" s="6"/>
      <c r="F961" s="6"/>
      <c r="G961" s="6"/>
      <c r="H961" s="6"/>
      <c r="I961" s="6"/>
      <c r="J961" s="6"/>
      <c r="K961" s="6"/>
      <c r="L961" s="80"/>
      <c r="M961" s="80"/>
      <c r="N961" s="80"/>
      <c r="O961" s="80"/>
      <c r="P961" s="6"/>
      <c r="Q961" s="6"/>
      <c r="R961" s="6"/>
      <c r="S961" s="6"/>
      <c r="T961" s="6"/>
      <c r="U961" s="6"/>
      <c r="V961" s="6"/>
      <c r="W961" s="7"/>
      <c r="X961" s="7"/>
      <c r="Y961" s="7"/>
      <c r="Z961" s="7"/>
    </row>
    <row r="962">
      <c r="A962" s="6"/>
      <c r="B962" s="6"/>
      <c r="C962" s="6"/>
      <c r="D962" s="6"/>
      <c r="E962" s="6"/>
      <c r="F962" s="6"/>
      <c r="G962" s="6"/>
      <c r="H962" s="6"/>
      <c r="I962" s="6"/>
      <c r="J962" s="6"/>
      <c r="K962" s="6"/>
      <c r="L962" s="80"/>
      <c r="M962" s="80"/>
      <c r="N962" s="80"/>
      <c r="O962" s="80"/>
      <c r="P962" s="6"/>
      <c r="Q962" s="6"/>
      <c r="R962" s="6"/>
      <c r="S962" s="6"/>
      <c r="T962" s="6"/>
      <c r="U962" s="6"/>
      <c r="V962" s="6"/>
      <c r="W962" s="7"/>
      <c r="X962" s="7"/>
      <c r="Y962" s="7"/>
      <c r="Z962" s="7"/>
    </row>
    <row r="963">
      <c r="A963" s="6"/>
      <c r="B963" s="6"/>
      <c r="C963" s="6"/>
      <c r="D963" s="6"/>
      <c r="E963" s="6"/>
      <c r="F963" s="6"/>
      <c r="G963" s="6"/>
      <c r="H963" s="6"/>
      <c r="I963" s="6"/>
      <c r="J963" s="6"/>
      <c r="K963" s="6"/>
      <c r="L963" s="80"/>
      <c r="M963" s="80"/>
      <c r="N963" s="80"/>
      <c r="O963" s="80"/>
      <c r="P963" s="6"/>
      <c r="Q963" s="6"/>
      <c r="R963" s="6"/>
      <c r="S963" s="6"/>
      <c r="T963" s="6"/>
      <c r="U963" s="6"/>
      <c r="V963" s="6"/>
      <c r="W963" s="7"/>
      <c r="X963" s="7"/>
      <c r="Y963" s="7"/>
      <c r="Z963" s="7"/>
    </row>
    <row r="964">
      <c r="A964" s="6"/>
      <c r="B964" s="6"/>
      <c r="C964" s="6"/>
      <c r="D964" s="6"/>
      <c r="E964" s="6"/>
      <c r="F964" s="6"/>
      <c r="G964" s="6"/>
      <c r="H964" s="6"/>
      <c r="I964" s="6"/>
      <c r="J964" s="6"/>
      <c r="K964" s="6"/>
      <c r="L964" s="80"/>
      <c r="M964" s="80"/>
      <c r="N964" s="80"/>
      <c r="O964" s="80"/>
      <c r="P964" s="6"/>
      <c r="Q964" s="6"/>
      <c r="R964" s="6"/>
      <c r="S964" s="6"/>
      <c r="T964" s="6"/>
      <c r="U964" s="6"/>
      <c r="V964" s="6"/>
      <c r="W964" s="7"/>
      <c r="X964" s="7"/>
      <c r="Y964" s="7"/>
      <c r="Z964" s="7"/>
    </row>
    <row r="965">
      <c r="A965" s="6"/>
      <c r="B965" s="6"/>
      <c r="C965" s="6"/>
      <c r="D965" s="6"/>
      <c r="E965" s="6"/>
      <c r="F965" s="6"/>
      <c r="G965" s="6"/>
      <c r="H965" s="6"/>
      <c r="I965" s="6"/>
      <c r="J965" s="6"/>
      <c r="K965" s="6"/>
      <c r="L965" s="80"/>
      <c r="M965" s="80"/>
      <c r="N965" s="80"/>
      <c r="O965" s="80"/>
      <c r="P965" s="6"/>
      <c r="Q965" s="6"/>
      <c r="R965" s="6"/>
      <c r="S965" s="6"/>
      <c r="T965" s="6"/>
      <c r="U965" s="6"/>
      <c r="V965" s="6"/>
      <c r="W965" s="7"/>
      <c r="X965" s="7"/>
      <c r="Y965" s="7"/>
      <c r="Z965" s="7"/>
    </row>
    <row r="966">
      <c r="A966" s="6"/>
      <c r="B966" s="6"/>
      <c r="C966" s="6"/>
      <c r="D966" s="6"/>
      <c r="E966" s="6"/>
      <c r="F966" s="6"/>
      <c r="G966" s="6"/>
      <c r="H966" s="6"/>
      <c r="I966" s="6"/>
      <c r="J966" s="6"/>
      <c r="K966" s="6"/>
      <c r="L966" s="80"/>
      <c r="M966" s="80"/>
      <c r="N966" s="80"/>
      <c r="O966" s="80"/>
      <c r="P966" s="6"/>
      <c r="Q966" s="6"/>
      <c r="R966" s="6"/>
      <c r="S966" s="6"/>
      <c r="T966" s="6"/>
      <c r="U966" s="6"/>
      <c r="V966" s="6"/>
      <c r="W966" s="7"/>
      <c r="X966" s="7"/>
      <c r="Y966" s="7"/>
      <c r="Z966" s="7"/>
    </row>
    <row r="967">
      <c r="A967" s="6"/>
      <c r="B967" s="6"/>
      <c r="C967" s="6"/>
      <c r="D967" s="6"/>
      <c r="E967" s="6"/>
      <c r="F967" s="6"/>
      <c r="G967" s="6"/>
      <c r="H967" s="6"/>
      <c r="I967" s="6"/>
      <c r="J967" s="6"/>
      <c r="K967" s="6"/>
      <c r="L967" s="80"/>
      <c r="M967" s="80"/>
      <c r="N967" s="80"/>
      <c r="O967" s="80"/>
      <c r="P967" s="6"/>
      <c r="Q967" s="6"/>
      <c r="R967" s="6"/>
      <c r="S967" s="6"/>
      <c r="T967" s="6"/>
      <c r="U967" s="6"/>
      <c r="V967" s="6"/>
      <c r="W967" s="7"/>
      <c r="X967" s="7"/>
      <c r="Y967" s="7"/>
      <c r="Z967" s="7"/>
    </row>
    <row r="968">
      <c r="A968" s="6"/>
      <c r="B968" s="6"/>
      <c r="C968" s="6"/>
      <c r="D968" s="6"/>
      <c r="E968" s="6"/>
      <c r="F968" s="6"/>
      <c r="G968" s="6"/>
      <c r="H968" s="6"/>
      <c r="I968" s="6"/>
      <c r="J968" s="6"/>
      <c r="K968" s="6"/>
      <c r="L968" s="80"/>
      <c r="M968" s="80"/>
      <c r="N968" s="80"/>
      <c r="O968" s="80"/>
      <c r="P968" s="6"/>
      <c r="Q968" s="6"/>
      <c r="R968" s="6"/>
      <c r="S968" s="6"/>
      <c r="T968" s="6"/>
      <c r="U968" s="6"/>
      <c r="V968" s="6"/>
      <c r="W968" s="7"/>
      <c r="X968" s="7"/>
      <c r="Y968" s="7"/>
      <c r="Z968" s="7"/>
    </row>
    <row r="969">
      <c r="A969" s="6"/>
      <c r="B969" s="6"/>
      <c r="C969" s="6"/>
      <c r="D969" s="6"/>
      <c r="E969" s="6"/>
      <c r="F969" s="6"/>
      <c r="G969" s="6"/>
      <c r="H969" s="6"/>
      <c r="I969" s="6"/>
      <c r="J969" s="6"/>
      <c r="K969" s="6"/>
      <c r="L969" s="80"/>
      <c r="M969" s="80"/>
      <c r="N969" s="80"/>
      <c r="O969" s="80"/>
      <c r="P969" s="6"/>
      <c r="Q969" s="6"/>
      <c r="R969" s="6"/>
      <c r="S969" s="6"/>
      <c r="T969" s="6"/>
      <c r="U969" s="6"/>
      <c r="V969" s="6"/>
      <c r="W969" s="7"/>
      <c r="X969" s="7"/>
      <c r="Y969" s="7"/>
      <c r="Z969" s="7"/>
    </row>
    <row r="970">
      <c r="A970" s="6"/>
      <c r="B970" s="6"/>
      <c r="C970" s="6"/>
      <c r="D970" s="6"/>
      <c r="E970" s="6"/>
      <c r="F970" s="6"/>
      <c r="G970" s="6"/>
      <c r="H970" s="6"/>
      <c r="I970" s="6"/>
      <c r="J970" s="6"/>
      <c r="K970" s="6"/>
      <c r="L970" s="80"/>
      <c r="M970" s="80"/>
      <c r="N970" s="80"/>
      <c r="O970" s="80"/>
      <c r="P970" s="6"/>
      <c r="Q970" s="6"/>
      <c r="R970" s="6"/>
      <c r="S970" s="6"/>
      <c r="T970" s="6"/>
      <c r="U970" s="6"/>
      <c r="V970" s="6"/>
      <c r="W970" s="7"/>
      <c r="X970" s="7"/>
      <c r="Y970" s="7"/>
      <c r="Z970" s="7"/>
    </row>
    <row r="971">
      <c r="A971" s="6"/>
      <c r="B971" s="6"/>
      <c r="C971" s="6"/>
      <c r="D971" s="6"/>
      <c r="E971" s="6"/>
      <c r="F971" s="6"/>
      <c r="G971" s="6"/>
      <c r="H971" s="6"/>
      <c r="I971" s="6"/>
      <c r="J971" s="6"/>
      <c r="K971" s="6"/>
      <c r="L971" s="80"/>
      <c r="M971" s="80"/>
      <c r="N971" s="80"/>
      <c r="O971" s="80"/>
      <c r="P971" s="6"/>
      <c r="Q971" s="6"/>
      <c r="R971" s="6"/>
      <c r="S971" s="6"/>
      <c r="T971" s="6"/>
      <c r="U971" s="6"/>
      <c r="V971" s="6"/>
      <c r="W971" s="7"/>
      <c r="X971" s="7"/>
      <c r="Y971" s="7"/>
      <c r="Z971" s="7"/>
    </row>
    <row r="972">
      <c r="A972" s="6"/>
      <c r="B972" s="6"/>
      <c r="C972" s="6"/>
      <c r="D972" s="6"/>
      <c r="E972" s="6"/>
      <c r="F972" s="6"/>
      <c r="G972" s="6"/>
      <c r="H972" s="6"/>
      <c r="I972" s="6"/>
      <c r="J972" s="6"/>
      <c r="K972" s="6"/>
      <c r="L972" s="80"/>
      <c r="M972" s="80"/>
      <c r="N972" s="80"/>
      <c r="O972" s="80"/>
      <c r="P972" s="6"/>
      <c r="Q972" s="6"/>
      <c r="R972" s="6"/>
      <c r="S972" s="6"/>
      <c r="T972" s="6"/>
      <c r="U972" s="6"/>
      <c r="V972" s="6"/>
      <c r="W972" s="7"/>
      <c r="X972" s="7"/>
      <c r="Y972" s="7"/>
      <c r="Z972" s="7"/>
    </row>
    <row r="973">
      <c r="A973" s="6"/>
      <c r="B973" s="6"/>
      <c r="C973" s="6"/>
      <c r="D973" s="6"/>
      <c r="E973" s="6"/>
      <c r="F973" s="6"/>
      <c r="G973" s="6"/>
      <c r="H973" s="6"/>
      <c r="I973" s="6"/>
      <c r="J973" s="6"/>
      <c r="K973" s="6"/>
      <c r="L973" s="80"/>
      <c r="M973" s="80"/>
      <c r="N973" s="80"/>
      <c r="O973" s="80"/>
      <c r="P973" s="6"/>
      <c r="Q973" s="6"/>
      <c r="R973" s="6"/>
      <c r="S973" s="6"/>
      <c r="T973" s="6"/>
      <c r="U973" s="6"/>
      <c r="V973" s="6"/>
      <c r="W973" s="7"/>
      <c r="X973" s="7"/>
      <c r="Y973" s="7"/>
      <c r="Z973" s="7"/>
    </row>
    <row r="974">
      <c r="A974" s="6"/>
      <c r="B974" s="6"/>
      <c r="C974" s="6"/>
      <c r="D974" s="6"/>
      <c r="E974" s="6"/>
      <c r="F974" s="6"/>
      <c r="G974" s="6"/>
      <c r="H974" s="6"/>
      <c r="I974" s="6"/>
      <c r="J974" s="6"/>
      <c r="K974" s="6"/>
      <c r="L974" s="80"/>
      <c r="M974" s="80"/>
      <c r="N974" s="80"/>
      <c r="O974" s="80"/>
      <c r="P974" s="6"/>
      <c r="Q974" s="6"/>
      <c r="R974" s="6"/>
      <c r="S974" s="6"/>
      <c r="T974" s="6"/>
      <c r="U974" s="6"/>
      <c r="V974" s="6"/>
      <c r="W974" s="7"/>
      <c r="X974" s="7"/>
      <c r="Y974" s="7"/>
      <c r="Z974" s="7"/>
    </row>
    <row r="975">
      <c r="A975" s="6"/>
      <c r="B975" s="6"/>
      <c r="C975" s="6"/>
      <c r="D975" s="6"/>
      <c r="E975" s="6"/>
      <c r="F975" s="6"/>
      <c r="G975" s="6"/>
      <c r="H975" s="6"/>
      <c r="I975" s="6"/>
      <c r="J975" s="6"/>
      <c r="K975" s="6"/>
      <c r="L975" s="80"/>
      <c r="M975" s="80"/>
      <c r="N975" s="80"/>
      <c r="O975" s="80"/>
      <c r="P975" s="6"/>
      <c r="Q975" s="6"/>
      <c r="R975" s="6"/>
      <c r="S975" s="6"/>
      <c r="T975" s="6"/>
      <c r="U975" s="6"/>
      <c r="V975" s="6"/>
      <c r="W975" s="7"/>
      <c r="X975" s="7"/>
      <c r="Y975" s="7"/>
      <c r="Z975" s="7"/>
    </row>
    <row r="976">
      <c r="A976" s="6"/>
      <c r="B976" s="6"/>
      <c r="C976" s="6"/>
      <c r="D976" s="6"/>
      <c r="E976" s="6"/>
      <c r="F976" s="6"/>
      <c r="G976" s="6"/>
      <c r="H976" s="6"/>
      <c r="I976" s="6"/>
      <c r="J976" s="6"/>
      <c r="K976" s="6"/>
      <c r="L976" s="80"/>
      <c r="M976" s="80"/>
      <c r="N976" s="80"/>
      <c r="O976" s="80"/>
      <c r="P976" s="6"/>
      <c r="Q976" s="6"/>
      <c r="R976" s="6"/>
      <c r="S976" s="6"/>
      <c r="T976" s="6"/>
      <c r="U976" s="6"/>
      <c r="V976" s="6"/>
      <c r="W976" s="7"/>
      <c r="X976" s="7"/>
      <c r="Y976" s="7"/>
      <c r="Z976" s="7"/>
    </row>
    <row r="977">
      <c r="A977" s="6"/>
      <c r="B977" s="6"/>
      <c r="C977" s="6"/>
      <c r="D977" s="6"/>
      <c r="E977" s="6"/>
      <c r="F977" s="6"/>
      <c r="G977" s="6"/>
      <c r="H977" s="6"/>
      <c r="I977" s="6"/>
      <c r="J977" s="6"/>
      <c r="K977" s="6"/>
      <c r="L977" s="80"/>
      <c r="M977" s="80"/>
      <c r="N977" s="80"/>
      <c r="O977" s="80"/>
      <c r="P977" s="6"/>
      <c r="Q977" s="6"/>
      <c r="R977" s="6"/>
      <c r="S977" s="6"/>
      <c r="T977" s="6"/>
      <c r="U977" s="6"/>
      <c r="V977" s="6"/>
      <c r="W977" s="7"/>
      <c r="X977" s="7"/>
      <c r="Y977" s="7"/>
      <c r="Z977" s="7"/>
    </row>
    <row r="978">
      <c r="A978" s="6"/>
      <c r="B978" s="6"/>
      <c r="C978" s="6"/>
      <c r="D978" s="6"/>
      <c r="E978" s="6"/>
      <c r="F978" s="6"/>
      <c r="G978" s="6"/>
      <c r="H978" s="6"/>
      <c r="I978" s="6"/>
      <c r="J978" s="6"/>
      <c r="K978" s="6"/>
      <c r="L978" s="80"/>
      <c r="M978" s="80"/>
      <c r="N978" s="80"/>
      <c r="O978" s="80"/>
      <c r="P978" s="6"/>
      <c r="Q978" s="6"/>
      <c r="R978" s="6"/>
      <c r="S978" s="6"/>
      <c r="T978" s="6"/>
      <c r="U978" s="6"/>
      <c r="V978" s="6"/>
      <c r="W978" s="7"/>
      <c r="X978" s="7"/>
      <c r="Y978" s="7"/>
      <c r="Z978" s="7"/>
    </row>
    <row r="979">
      <c r="A979" s="6"/>
      <c r="B979" s="6"/>
      <c r="C979" s="6"/>
      <c r="D979" s="6"/>
      <c r="E979" s="6"/>
      <c r="F979" s="6"/>
      <c r="G979" s="6"/>
      <c r="H979" s="6"/>
      <c r="I979" s="6"/>
      <c r="J979" s="6"/>
      <c r="K979" s="6"/>
      <c r="L979" s="80"/>
      <c r="M979" s="80"/>
      <c r="N979" s="80"/>
      <c r="O979" s="80"/>
      <c r="P979" s="6"/>
      <c r="Q979" s="6"/>
      <c r="R979" s="6"/>
      <c r="S979" s="6"/>
      <c r="T979" s="6"/>
      <c r="U979" s="6"/>
      <c r="V979" s="6"/>
      <c r="W979" s="7"/>
      <c r="X979" s="7"/>
      <c r="Y979" s="7"/>
      <c r="Z979" s="7"/>
    </row>
    <row r="980">
      <c r="A980" s="6"/>
      <c r="B980" s="6"/>
      <c r="C980" s="6"/>
      <c r="D980" s="6"/>
      <c r="E980" s="6"/>
      <c r="F980" s="6"/>
      <c r="G980" s="6"/>
      <c r="H980" s="6"/>
      <c r="I980" s="6"/>
      <c r="J980" s="6"/>
      <c r="K980" s="6"/>
      <c r="L980" s="80"/>
      <c r="M980" s="80"/>
      <c r="N980" s="80"/>
      <c r="O980" s="80"/>
      <c r="P980" s="6"/>
      <c r="Q980" s="6"/>
      <c r="R980" s="6"/>
      <c r="S980" s="6"/>
      <c r="T980" s="6"/>
      <c r="U980" s="6"/>
      <c r="V980" s="6"/>
      <c r="W980" s="7"/>
      <c r="X980" s="7"/>
      <c r="Y980" s="7"/>
      <c r="Z980" s="7"/>
    </row>
    <row r="981">
      <c r="A981" s="6"/>
      <c r="B981" s="6"/>
      <c r="C981" s="6"/>
      <c r="D981" s="6"/>
      <c r="E981" s="6"/>
      <c r="F981" s="6"/>
      <c r="G981" s="6"/>
      <c r="H981" s="6"/>
      <c r="I981" s="6"/>
      <c r="J981" s="6"/>
      <c r="K981" s="6"/>
      <c r="L981" s="80"/>
      <c r="M981" s="80"/>
      <c r="N981" s="80"/>
      <c r="O981" s="80"/>
      <c r="P981" s="6"/>
      <c r="Q981" s="6"/>
      <c r="R981" s="6"/>
      <c r="S981" s="6"/>
      <c r="T981" s="6"/>
      <c r="U981" s="6"/>
      <c r="V981" s="6"/>
      <c r="W981" s="7"/>
      <c r="X981" s="7"/>
      <c r="Y981" s="7"/>
      <c r="Z981" s="7"/>
    </row>
    <row r="982">
      <c r="A982" s="6"/>
      <c r="B982" s="6"/>
      <c r="C982" s="6"/>
      <c r="D982" s="6"/>
      <c r="E982" s="6"/>
      <c r="F982" s="6"/>
      <c r="G982" s="6"/>
      <c r="H982" s="6"/>
      <c r="I982" s="6"/>
      <c r="J982" s="6"/>
      <c r="K982" s="6"/>
      <c r="L982" s="80"/>
      <c r="M982" s="80"/>
      <c r="N982" s="80"/>
      <c r="O982" s="80"/>
      <c r="P982" s="6"/>
      <c r="Q982" s="6"/>
      <c r="R982" s="6"/>
      <c r="S982" s="6"/>
      <c r="T982" s="6"/>
      <c r="U982" s="6"/>
      <c r="V982" s="6"/>
      <c r="W982" s="7"/>
      <c r="X982" s="7"/>
      <c r="Y982" s="7"/>
      <c r="Z982" s="7"/>
    </row>
    <row r="983">
      <c r="A983" s="6"/>
      <c r="B983" s="6"/>
      <c r="C983" s="6"/>
      <c r="D983" s="6"/>
      <c r="E983" s="6"/>
      <c r="F983" s="6"/>
      <c r="G983" s="6"/>
      <c r="H983" s="6"/>
      <c r="I983" s="6"/>
      <c r="J983" s="6"/>
      <c r="K983" s="6"/>
      <c r="L983" s="80"/>
      <c r="M983" s="80"/>
      <c r="N983" s="80"/>
      <c r="O983" s="80"/>
      <c r="P983" s="6"/>
      <c r="Q983" s="6"/>
      <c r="R983" s="6"/>
      <c r="S983" s="6"/>
      <c r="T983" s="6"/>
      <c r="U983" s="6"/>
      <c r="V983" s="6"/>
      <c r="W983" s="7"/>
      <c r="X983" s="7"/>
      <c r="Y983" s="7"/>
      <c r="Z983" s="7"/>
    </row>
    <row r="984">
      <c r="A984" s="6"/>
      <c r="B984" s="6"/>
      <c r="C984" s="6"/>
      <c r="D984" s="6"/>
      <c r="E984" s="6"/>
      <c r="F984" s="6"/>
      <c r="G984" s="6"/>
      <c r="H984" s="6"/>
      <c r="I984" s="6"/>
      <c r="J984" s="6"/>
      <c r="K984" s="6"/>
      <c r="L984" s="80"/>
      <c r="M984" s="80"/>
      <c r="N984" s="80"/>
      <c r="O984" s="80"/>
      <c r="P984" s="6"/>
      <c r="Q984" s="6"/>
      <c r="R984" s="6"/>
      <c r="S984" s="6"/>
      <c r="T984" s="6"/>
      <c r="U984" s="6"/>
      <c r="V984" s="6"/>
      <c r="W984" s="7"/>
      <c r="X984" s="7"/>
      <c r="Y984" s="7"/>
      <c r="Z984" s="7"/>
    </row>
    <row r="985">
      <c r="A985" s="6"/>
      <c r="B985" s="6"/>
      <c r="C985" s="6"/>
      <c r="D985" s="6"/>
      <c r="E985" s="6"/>
      <c r="F985" s="6"/>
      <c r="G985" s="6"/>
      <c r="H985" s="6"/>
      <c r="I985" s="6"/>
      <c r="J985" s="6"/>
      <c r="K985" s="6"/>
      <c r="L985" s="80"/>
      <c r="M985" s="80"/>
      <c r="N985" s="80"/>
      <c r="O985" s="80"/>
      <c r="P985" s="6"/>
      <c r="Q985" s="6"/>
      <c r="R985" s="6"/>
      <c r="S985" s="6"/>
      <c r="T985" s="6"/>
      <c r="U985" s="6"/>
      <c r="V985" s="6"/>
      <c r="W985" s="7"/>
      <c r="X985" s="7"/>
      <c r="Y985" s="7"/>
      <c r="Z985" s="7"/>
    </row>
    <row r="986">
      <c r="A986" s="6"/>
      <c r="B986" s="6"/>
      <c r="C986" s="6"/>
      <c r="D986" s="6"/>
      <c r="E986" s="6"/>
      <c r="F986" s="6"/>
      <c r="G986" s="6"/>
      <c r="H986" s="6"/>
      <c r="I986" s="6"/>
      <c r="J986" s="6"/>
      <c r="K986" s="6"/>
      <c r="L986" s="80"/>
      <c r="M986" s="80"/>
      <c r="N986" s="80"/>
      <c r="O986" s="80"/>
      <c r="P986" s="6"/>
      <c r="Q986" s="6"/>
      <c r="R986" s="6"/>
      <c r="S986" s="6"/>
      <c r="T986" s="6"/>
      <c r="U986" s="6"/>
      <c r="V986" s="6"/>
      <c r="W986" s="7"/>
      <c r="X986" s="7"/>
      <c r="Y986" s="7"/>
      <c r="Z986" s="7"/>
    </row>
    <row r="987">
      <c r="A987" s="6"/>
      <c r="B987" s="6"/>
      <c r="C987" s="6"/>
      <c r="D987" s="6"/>
      <c r="E987" s="6"/>
      <c r="F987" s="6"/>
      <c r="G987" s="6"/>
      <c r="H987" s="6"/>
      <c r="I987" s="6"/>
      <c r="J987" s="6"/>
      <c r="K987" s="6"/>
      <c r="L987" s="80"/>
      <c r="M987" s="80"/>
      <c r="N987" s="80"/>
      <c r="O987" s="80"/>
      <c r="P987" s="6"/>
      <c r="Q987" s="6"/>
      <c r="R987" s="6"/>
      <c r="S987" s="6"/>
      <c r="T987" s="6"/>
      <c r="U987" s="6"/>
      <c r="V987" s="6"/>
      <c r="W987" s="7"/>
      <c r="X987" s="7"/>
      <c r="Y987" s="7"/>
      <c r="Z987" s="7"/>
    </row>
    <row r="988">
      <c r="A988" s="6"/>
      <c r="B988" s="6"/>
      <c r="C988" s="6"/>
      <c r="D988" s="6"/>
      <c r="E988" s="6"/>
      <c r="F988" s="6"/>
      <c r="G988" s="6"/>
      <c r="H988" s="6"/>
      <c r="I988" s="6"/>
      <c r="J988" s="6"/>
      <c r="K988" s="6"/>
      <c r="L988" s="80"/>
      <c r="M988" s="80"/>
      <c r="N988" s="80"/>
      <c r="O988" s="80"/>
      <c r="P988" s="6"/>
      <c r="Q988" s="6"/>
      <c r="R988" s="6"/>
      <c r="S988" s="6"/>
      <c r="T988" s="6"/>
      <c r="U988" s="6"/>
      <c r="V988" s="6"/>
      <c r="W988" s="7"/>
      <c r="X988" s="7"/>
      <c r="Y988" s="7"/>
      <c r="Z988" s="7"/>
    </row>
    <row r="989">
      <c r="A989" s="6"/>
      <c r="B989" s="6"/>
      <c r="C989" s="6"/>
      <c r="D989" s="6"/>
      <c r="E989" s="6"/>
      <c r="F989" s="6"/>
      <c r="G989" s="6"/>
      <c r="H989" s="6"/>
      <c r="I989" s="6"/>
      <c r="J989" s="6"/>
      <c r="K989" s="6"/>
      <c r="L989" s="80"/>
      <c r="M989" s="80"/>
      <c r="N989" s="80"/>
      <c r="O989" s="80"/>
      <c r="P989" s="6"/>
      <c r="Q989" s="6"/>
      <c r="R989" s="6"/>
      <c r="S989" s="6"/>
      <c r="T989" s="6"/>
      <c r="U989" s="6"/>
      <c r="V989" s="6"/>
      <c r="W989" s="7"/>
      <c r="X989" s="7"/>
      <c r="Y989" s="7"/>
      <c r="Z989" s="7"/>
    </row>
    <row r="990">
      <c r="A990" s="6"/>
      <c r="B990" s="6"/>
      <c r="C990" s="6"/>
      <c r="D990" s="6"/>
      <c r="E990" s="6"/>
      <c r="F990" s="6"/>
      <c r="G990" s="6"/>
      <c r="H990" s="6"/>
      <c r="I990" s="6"/>
      <c r="J990" s="6"/>
      <c r="K990" s="6"/>
      <c r="L990" s="80"/>
      <c r="M990" s="80"/>
      <c r="N990" s="80"/>
      <c r="O990" s="80"/>
      <c r="P990" s="6"/>
      <c r="Q990" s="6"/>
      <c r="R990" s="6"/>
      <c r="S990" s="6"/>
      <c r="T990" s="6"/>
      <c r="U990" s="6"/>
      <c r="V990" s="6"/>
      <c r="W990" s="7"/>
      <c r="X990" s="7"/>
      <c r="Y990" s="7"/>
      <c r="Z990" s="7"/>
    </row>
    <row r="991">
      <c r="A991" s="6"/>
      <c r="B991" s="6"/>
      <c r="C991" s="6"/>
      <c r="D991" s="6"/>
      <c r="E991" s="6"/>
      <c r="F991" s="6"/>
      <c r="G991" s="6"/>
      <c r="H991" s="6"/>
      <c r="I991" s="6"/>
      <c r="J991" s="6"/>
      <c r="K991" s="6"/>
      <c r="L991" s="80"/>
      <c r="M991" s="80"/>
      <c r="N991" s="80"/>
      <c r="O991" s="80"/>
      <c r="P991" s="6"/>
      <c r="Q991" s="6"/>
      <c r="R991" s="6"/>
      <c r="S991" s="6"/>
      <c r="T991" s="6"/>
      <c r="U991" s="6"/>
      <c r="V991" s="6"/>
      <c r="W991" s="7"/>
      <c r="X991" s="7"/>
      <c r="Y991" s="7"/>
      <c r="Z991" s="7"/>
    </row>
    <row r="992">
      <c r="A992" s="6"/>
      <c r="B992" s="6"/>
      <c r="C992" s="6"/>
      <c r="D992" s="6"/>
      <c r="E992" s="6"/>
      <c r="F992" s="6"/>
      <c r="G992" s="6"/>
      <c r="H992" s="6"/>
      <c r="I992" s="6"/>
      <c r="J992" s="6"/>
      <c r="K992" s="6"/>
      <c r="L992" s="80"/>
      <c r="M992" s="80"/>
      <c r="N992" s="80"/>
      <c r="O992" s="80"/>
      <c r="P992" s="6"/>
      <c r="Q992" s="6"/>
      <c r="R992" s="6"/>
      <c r="S992" s="6"/>
      <c r="T992" s="6"/>
      <c r="U992" s="6"/>
      <c r="V992" s="6"/>
      <c r="W992" s="7"/>
      <c r="X992" s="7"/>
      <c r="Y992" s="7"/>
      <c r="Z992" s="7"/>
    </row>
    <row r="993">
      <c r="A993" s="6"/>
      <c r="B993" s="6"/>
      <c r="C993" s="6"/>
      <c r="D993" s="6"/>
      <c r="E993" s="6"/>
      <c r="F993" s="6"/>
      <c r="G993" s="6"/>
      <c r="H993" s="6"/>
      <c r="I993" s="6"/>
      <c r="J993" s="6"/>
      <c r="K993" s="6"/>
      <c r="L993" s="80"/>
      <c r="M993" s="80"/>
      <c r="N993" s="80"/>
      <c r="O993" s="80"/>
      <c r="P993" s="6"/>
      <c r="Q993" s="6"/>
      <c r="R993" s="6"/>
      <c r="S993" s="6"/>
      <c r="T993" s="6"/>
      <c r="U993" s="6"/>
      <c r="V993" s="6"/>
      <c r="W993" s="7"/>
      <c r="X993" s="7"/>
      <c r="Y993" s="7"/>
      <c r="Z993" s="7"/>
    </row>
    <row r="994">
      <c r="A994" s="6"/>
      <c r="B994" s="6"/>
      <c r="C994" s="6"/>
      <c r="D994" s="6"/>
      <c r="E994" s="6"/>
      <c r="F994" s="6"/>
      <c r="G994" s="6"/>
      <c r="H994" s="6"/>
      <c r="I994" s="6"/>
      <c r="J994" s="6"/>
      <c r="K994" s="6"/>
      <c r="L994" s="80"/>
      <c r="M994" s="80"/>
      <c r="N994" s="80"/>
      <c r="O994" s="80"/>
      <c r="P994" s="6"/>
      <c r="Q994" s="6"/>
      <c r="R994" s="6"/>
      <c r="S994" s="6"/>
      <c r="T994" s="6"/>
      <c r="U994" s="6"/>
      <c r="V994" s="6"/>
      <c r="W994" s="7"/>
      <c r="X994" s="7"/>
      <c r="Y994" s="7"/>
      <c r="Z994" s="7"/>
    </row>
    <row r="995">
      <c r="A995" s="6"/>
      <c r="B995" s="6"/>
      <c r="C995" s="6"/>
      <c r="D995" s="6"/>
      <c r="E995" s="6"/>
      <c r="F995" s="6"/>
      <c r="G995" s="6"/>
      <c r="H995" s="6"/>
      <c r="I995" s="6"/>
      <c r="J995" s="6"/>
      <c r="K995" s="6"/>
      <c r="L995" s="80"/>
      <c r="M995" s="80"/>
      <c r="N995" s="80"/>
      <c r="O995" s="80"/>
      <c r="P995" s="6"/>
      <c r="Q995" s="6"/>
      <c r="R995" s="6"/>
      <c r="S995" s="6"/>
      <c r="T995" s="6"/>
      <c r="U995" s="6"/>
      <c r="V995" s="6"/>
      <c r="W995" s="7"/>
      <c r="X995" s="7"/>
      <c r="Y995" s="7"/>
      <c r="Z995" s="7"/>
    </row>
    <row r="996">
      <c r="A996" s="6"/>
      <c r="B996" s="6"/>
      <c r="C996" s="6"/>
      <c r="D996" s="6"/>
      <c r="E996" s="6"/>
      <c r="F996" s="6"/>
      <c r="G996" s="6"/>
      <c r="H996" s="6"/>
      <c r="I996" s="6"/>
      <c r="J996" s="6"/>
      <c r="K996" s="6"/>
      <c r="L996" s="80"/>
      <c r="M996" s="80"/>
      <c r="N996" s="80"/>
      <c r="O996" s="80"/>
      <c r="P996" s="6"/>
      <c r="Q996" s="6"/>
      <c r="R996" s="6"/>
      <c r="S996" s="6"/>
      <c r="T996" s="6"/>
      <c r="U996" s="6"/>
      <c r="V996" s="6"/>
      <c r="W996" s="7"/>
      <c r="X996" s="7"/>
      <c r="Y996" s="7"/>
      <c r="Z996" s="7"/>
    </row>
    <row r="997">
      <c r="A997" s="6"/>
      <c r="B997" s="6"/>
      <c r="C997" s="6"/>
      <c r="D997" s="6"/>
      <c r="E997" s="6"/>
      <c r="F997" s="6"/>
      <c r="G997" s="6"/>
      <c r="H997" s="6"/>
      <c r="I997" s="6"/>
      <c r="J997" s="6"/>
      <c r="K997" s="6"/>
      <c r="L997" s="80"/>
      <c r="M997" s="80"/>
      <c r="N997" s="80"/>
      <c r="O997" s="80"/>
      <c r="P997" s="6"/>
      <c r="Q997" s="6"/>
      <c r="R997" s="6"/>
      <c r="S997" s="6"/>
      <c r="T997" s="6"/>
      <c r="U997" s="6"/>
      <c r="V997" s="6"/>
      <c r="W997" s="7"/>
      <c r="X997" s="7"/>
      <c r="Y997" s="7"/>
      <c r="Z997" s="7"/>
    </row>
    <row r="998">
      <c r="A998" s="6"/>
      <c r="B998" s="6"/>
      <c r="C998" s="6"/>
      <c r="D998" s="6"/>
      <c r="E998" s="6"/>
      <c r="F998" s="6"/>
      <c r="G998" s="6"/>
      <c r="H998" s="6"/>
      <c r="I998" s="6"/>
      <c r="J998" s="6"/>
      <c r="K998" s="6"/>
      <c r="L998" s="80"/>
      <c r="M998" s="80"/>
      <c r="N998" s="80"/>
      <c r="O998" s="80"/>
      <c r="P998" s="6"/>
      <c r="Q998" s="6"/>
      <c r="R998" s="6"/>
      <c r="S998" s="6"/>
      <c r="T998" s="6"/>
      <c r="U998" s="6"/>
      <c r="V998" s="6"/>
      <c r="W998" s="7"/>
      <c r="X998" s="7"/>
      <c r="Y998" s="7"/>
      <c r="Z998" s="7"/>
    </row>
    <row r="999">
      <c r="A999" s="6"/>
      <c r="B999" s="6"/>
      <c r="C999" s="6"/>
      <c r="D999" s="6"/>
      <c r="E999" s="6"/>
      <c r="F999" s="6"/>
      <c r="G999" s="6"/>
      <c r="H999" s="6"/>
      <c r="I999" s="6"/>
      <c r="J999" s="6"/>
      <c r="K999" s="6"/>
      <c r="L999" s="80"/>
      <c r="M999" s="80"/>
      <c r="N999" s="80"/>
      <c r="O999" s="80"/>
      <c r="P999" s="6"/>
      <c r="Q999" s="6"/>
      <c r="R999" s="6"/>
      <c r="S999" s="6"/>
      <c r="T999" s="6"/>
      <c r="U999" s="6"/>
      <c r="V999" s="6"/>
      <c r="W999" s="7"/>
      <c r="X999" s="7"/>
      <c r="Y999" s="7"/>
      <c r="Z999" s="7"/>
    </row>
    <row r="1000">
      <c r="A1000" s="6"/>
      <c r="B1000" s="6"/>
      <c r="C1000" s="6"/>
      <c r="D1000" s="6"/>
      <c r="E1000" s="6"/>
      <c r="F1000" s="6"/>
      <c r="G1000" s="6"/>
      <c r="H1000" s="6"/>
      <c r="I1000" s="6"/>
      <c r="J1000" s="6"/>
      <c r="K1000" s="6"/>
      <c r="L1000" s="80"/>
      <c r="M1000" s="80"/>
      <c r="N1000" s="80"/>
      <c r="O1000" s="80"/>
      <c r="P1000" s="6"/>
      <c r="Q1000" s="6"/>
      <c r="R1000" s="6"/>
      <c r="S1000" s="6"/>
      <c r="T1000" s="6"/>
      <c r="U1000" s="6"/>
      <c r="V1000" s="6"/>
      <c r="W1000" s="7"/>
      <c r="X1000" s="7"/>
      <c r="Y1000" s="7"/>
      <c r="Z1000" s="7"/>
    </row>
    <row r="1001">
      <c r="A1001" s="6"/>
      <c r="B1001" s="6"/>
      <c r="C1001" s="6"/>
      <c r="D1001" s="6"/>
      <c r="E1001" s="6"/>
      <c r="F1001" s="6"/>
      <c r="G1001" s="6"/>
      <c r="H1001" s="6"/>
      <c r="I1001" s="6"/>
      <c r="J1001" s="6"/>
      <c r="K1001" s="6"/>
      <c r="L1001" s="80"/>
      <c r="M1001" s="80"/>
      <c r="N1001" s="80"/>
      <c r="O1001" s="80"/>
      <c r="P1001" s="6"/>
      <c r="Q1001" s="6"/>
      <c r="R1001" s="6"/>
      <c r="S1001" s="6"/>
      <c r="T1001" s="6"/>
      <c r="U1001" s="6"/>
      <c r="V1001" s="6"/>
      <c r="W1001" s="7"/>
      <c r="X1001" s="7"/>
      <c r="Y1001" s="7"/>
      <c r="Z1001" s="7"/>
    </row>
    <row r="1002">
      <c r="A1002" s="6"/>
      <c r="B1002" s="6"/>
      <c r="C1002" s="6"/>
      <c r="D1002" s="6"/>
      <c r="E1002" s="6"/>
      <c r="F1002" s="6"/>
      <c r="G1002" s="6"/>
      <c r="H1002" s="6"/>
      <c r="I1002" s="6"/>
      <c r="J1002" s="6"/>
      <c r="K1002" s="6"/>
      <c r="L1002" s="80"/>
      <c r="M1002" s="80"/>
      <c r="N1002" s="80"/>
      <c r="O1002" s="80"/>
      <c r="P1002" s="6"/>
      <c r="Q1002" s="6"/>
      <c r="R1002" s="6"/>
      <c r="S1002" s="6"/>
      <c r="T1002" s="6"/>
      <c r="U1002" s="6"/>
      <c r="V1002" s="6"/>
      <c r="W1002" s="7"/>
      <c r="X1002" s="7"/>
      <c r="Y1002" s="7"/>
      <c r="Z1002" s="7"/>
    </row>
    <row r="1003">
      <c r="A1003" s="6"/>
      <c r="B1003" s="6"/>
      <c r="C1003" s="6"/>
      <c r="D1003" s="6"/>
      <c r="E1003" s="6"/>
      <c r="F1003" s="6"/>
      <c r="G1003" s="6"/>
      <c r="H1003" s="6"/>
      <c r="I1003" s="6"/>
      <c r="J1003" s="6"/>
      <c r="K1003" s="6"/>
      <c r="L1003" s="80"/>
      <c r="M1003" s="80"/>
      <c r="N1003" s="80"/>
      <c r="O1003" s="80"/>
      <c r="P1003" s="6"/>
      <c r="Q1003" s="6"/>
      <c r="R1003" s="6"/>
      <c r="S1003" s="6"/>
      <c r="T1003" s="6"/>
      <c r="U1003" s="6"/>
      <c r="V1003" s="6"/>
      <c r="W1003" s="7"/>
      <c r="X1003" s="7"/>
      <c r="Y1003" s="7"/>
      <c r="Z1003" s="7"/>
    </row>
    <row r="1004">
      <c r="A1004" s="6"/>
      <c r="B1004" s="6"/>
      <c r="C1004" s="6"/>
      <c r="D1004" s="6"/>
      <c r="E1004" s="6"/>
      <c r="F1004" s="6"/>
      <c r="G1004" s="6"/>
      <c r="H1004" s="6"/>
      <c r="I1004" s="6"/>
      <c r="J1004" s="6"/>
      <c r="K1004" s="6"/>
      <c r="L1004" s="80"/>
      <c r="M1004" s="80"/>
      <c r="N1004" s="80"/>
      <c r="O1004" s="80"/>
      <c r="P1004" s="6"/>
      <c r="Q1004" s="6"/>
      <c r="R1004" s="6"/>
      <c r="S1004" s="6"/>
      <c r="T1004" s="6"/>
      <c r="U1004" s="6"/>
      <c r="V1004" s="6"/>
      <c r="W1004" s="7"/>
      <c r="X1004" s="7"/>
      <c r="Y1004" s="7"/>
      <c r="Z1004" s="7"/>
    </row>
    <row r="1005">
      <c r="A1005" s="6"/>
      <c r="B1005" s="6"/>
      <c r="C1005" s="6"/>
      <c r="D1005" s="6"/>
      <c r="E1005" s="6"/>
      <c r="F1005" s="6"/>
      <c r="G1005" s="6"/>
      <c r="H1005" s="6"/>
      <c r="I1005" s="6"/>
      <c r="J1005" s="6"/>
      <c r="K1005" s="6"/>
      <c r="L1005" s="80"/>
      <c r="M1005" s="80"/>
      <c r="N1005" s="80"/>
      <c r="O1005" s="80"/>
      <c r="P1005" s="6"/>
      <c r="Q1005" s="6"/>
      <c r="R1005" s="6"/>
      <c r="S1005" s="6"/>
      <c r="T1005" s="6"/>
      <c r="U1005" s="6"/>
      <c r="V1005" s="6"/>
      <c r="W1005" s="7"/>
      <c r="X1005" s="7"/>
      <c r="Y1005" s="7"/>
      <c r="Z1005" s="7"/>
    </row>
    <row r="1006">
      <c r="A1006" s="6"/>
      <c r="B1006" s="6"/>
      <c r="C1006" s="6"/>
      <c r="D1006" s="6"/>
      <c r="E1006" s="6"/>
      <c r="F1006" s="6"/>
      <c r="G1006" s="6"/>
      <c r="H1006" s="6"/>
      <c r="I1006" s="6"/>
      <c r="J1006" s="6"/>
      <c r="K1006" s="6"/>
      <c r="L1006" s="80"/>
      <c r="M1006" s="80"/>
      <c r="N1006" s="80"/>
      <c r="O1006" s="80"/>
      <c r="P1006" s="6"/>
      <c r="Q1006" s="6"/>
      <c r="R1006" s="6"/>
      <c r="S1006" s="6"/>
      <c r="T1006" s="6"/>
      <c r="U1006" s="6"/>
      <c r="V1006" s="6"/>
      <c r="W1006" s="7"/>
      <c r="X1006" s="7"/>
      <c r="Y1006" s="7"/>
      <c r="Z1006" s="7"/>
    </row>
    <row r="1007">
      <c r="A1007" s="6"/>
      <c r="B1007" s="6"/>
      <c r="C1007" s="6"/>
      <c r="D1007" s="6"/>
      <c r="E1007" s="6"/>
      <c r="F1007" s="6"/>
      <c r="G1007" s="6"/>
      <c r="H1007" s="6"/>
      <c r="I1007" s="6"/>
      <c r="J1007" s="6"/>
      <c r="K1007" s="6"/>
      <c r="L1007" s="80"/>
      <c r="M1007" s="80"/>
      <c r="N1007" s="80"/>
      <c r="O1007" s="80"/>
      <c r="P1007" s="6"/>
      <c r="Q1007" s="6"/>
      <c r="R1007" s="6"/>
      <c r="S1007" s="6"/>
      <c r="T1007" s="6"/>
      <c r="U1007" s="6"/>
      <c r="V1007" s="6"/>
      <c r="W1007" s="7"/>
      <c r="X1007" s="7"/>
      <c r="Y1007" s="7"/>
      <c r="Z1007" s="7"/>
    </row>
    <row r="1008">
      <c r="A1008" s="6"/>
      <c r="B1008" s="6"/>
      <c r="C1008" s="6"/>
      <c r="D1008" s="6"/>
      <c r="E1008" s="6"/>
      <c r="F1008" s="6"/>
      <c r="G1008" s="6"/>
      <c r="H1008" s="6"/>
      <c r="I1008" s="6"/>
      <c r="J1008" s="6"/>
      <c r="K1008" s="6"/>
      <c r="L1008" s="80"/>
      <c r="M1008" s="80"/>
      <c r="N1008" s="80"/>
      <c r="O1008" s="80"/>
      <c r="P1008" s="6"/>
      <c r="Q1008" s="6"/>
      <c r="R1008" s="6"/>
      <c r="S1008" s="6"/>
      <c r="T1008" s="6"/>
      <c r="U1008" s="6"/>
      <c r="V1008" s="6"/>
      <c r="W1008" s="7"/>
      <c r="X1008" s="7"/>
      <c r="Y1008" s="7"/>
      <c r="Z1008" s="7"/>
    </row>
    <row r="1009">
      <c r="A1009" s="6"/>
      <c r="B1009" s="6"/>
      <c r="C1009" s="6"/>
      <c r="D1009" s="6"/>
      <c r="E1009" s="6"/>
      <c r="F1009" s="6"/>
      <c r="G1009" s="6"/>
      <c r="H1009" s="6"/>
      <c r="I1009" s="6"/>
      <c r="J1009" s="6"/>
      <c r="K1009" s="6"/>
      <c r="L1009" s="80"/>
      <c r="M1009" s="80"/>
      <c r="N1009" s="80"/>
      <c r="O1009" s="80"/>
      <c r="P1009" s="6"/>
      <c r="Q1009" s="6"/>
      <c r="R1009" s="6"/>
      <c r="S1009" s="6"/>
      <c r="T1009" s="6"/>
      <c r="U1009" s="6"/>
      <c r="V1009" s="6"/>
      <c r="W1009" s="7"/>
      <c r="X1009" s="7"/>
      <c r="Y1009" s="7"/>
      <c r="Z1009" s="7"/>
    </row>
    <row r="1010">
      <c r="A1010" s="6"/>
      <c r="B1010" s="6"/>
      <c r="C1010" s="6"/>
      <c r="D1010" s="6"/>
      <c r="E1010" s="6"/>
      <c r="F1010" s="6"/>
      <c r="G1010" s="6"/>
      <c r="H1010" s="6"/>
      <c r="I1010" s="6"/>
      <c r="J1010" s="6"/>
      <c r="K1010" s="6"/>
      <c r="L1010" s="80"/>
      <c r="M1010" s="80"/>
      <c r="N1010" s="80"/>
      <c r="O1010" s="80"/>
      <c r="P1010" s="6"/>
      <c r="Q1010" s="6"/>
      <c r="R1010" s="6"/>
      <c r="S1010" s="6"/>
      <c r="T1010" s="6"/>
      <c r="U1010" s="6"/>
      <c r="V1010" s="6"/>
      <c r="W1010" s="7"/>
      <c r="X1010" s="7"/>
      <c r="Y1010" s="7"/>
      <c r="Z1010" s="7"/>
    </row>
    <row r="1011">
      <c r="A1011" s="6"/>
      <c r="B1011" s="6"/>
      <c r="C1011" s="6"/>
      <c r="D1011" s="6"/>
      <c r="E1011" s="6"/>
      <c r="F1011" s="6"/>
      <c r="G1011" s="6"/>
      <c r="H1011" s="6"/>
      <c r="I1011" s="6"/>
      <c r="J1011" s="6"/>
      <c r="K1011" s="6"/>
      <c r="L1011" s="80"/>
      <c r="M1011" s="80"/>
      <c r="N1011" s="80"/>
      <c r="O1011" s="80"/>
      <c r="P1011" s="6"/>
      <c r="Q1011" s="6"/>
      <c r="R1011" s="6"/>
      <c r="S1011" s="6"/>
      <c r="T1011" s="6"/>
      <c r="U1011" s="6"/>
      <c r="V1011" s="6"/>
      <c r="W1011" s="7"/>
      <c r="X1011" s="7"/>
      <c r="Y1011" s="7"/>
      <c r="Z1011" s="7"/>
    </row>
    <row r="1012">
      <c r="A1012" s="6"/>
      <c r="B1012" s="6"/>
      <c r="C1012" s="6"/>
      <c r="D1012" s="6"/>
      <c r="E1012" s="6"/>
      <c r="F1012" s="6"/>
      <c r="G1012" s="6"/>
      <c r="H1012" s="6"/>
      <c r="I1012" s="6"/>
      <c r="J1012" s="6"/>
      <c r="K1012" s="6"/>
      <c r="L1012" s="80"/>
      <c r="M1012" s="80"/>
      <c r="N1012" s="80"/>
      <c r="O1012" s="80"/>
      <c r="P1012" s="6"/>
      <c r="Q1012" s="6"/>
      <c r="R1012" s="6"/>
      <c r="S1012" s="6"/>
      <c r="T1012" s="6"/>
      <c r="U1012" s="6"/>
      <c r="V1012" s="6"/>
      <c r="W1012" s="7"/>
      <c r="X1012" s="7"/>
      <c r="Y1012" s="7"/>
      <c r="Z1012" s="7"/>
    </row>
    <row r="1013">
      <c r="A1013" s="6"/>
      <c r="B1013" s="6"/>
      <c r="C1013" s="6"/>
      <c r="D1013" s="6"/>
      <c r="E1013" s="6"/>
      <c r="F1013" s="6"/>
      <c r="G1013" s="6"/>
      <c r="H1013" s="6"/>
      <c r="I1013" s="6"/>
      <c r="J1013" s="6"/>
      <c r="K1013" s="6"/>
      <c r="L1013" s="80"/>
      <c r="M1013" s="80"/>
      <c r="N1013" s="80"/>
      <c r="O1013" s="80"/>
      <c r="P1013" s="6"/>
      <c r="Q1013" s="6"/>
      <c r="R1013" s="6"/>
      <c r="S1013" s="6"/>
      <c r="T1013" s="6"/>
      <c r="U1013" s="6"/>
      <c r="V1013" s="6"/>
      <c r="W1013" s="7"/>
      <c r="X1013" s="7"/>
      <c r="Y1013" s="7"/>
      <c r="Z1013" s="7"/>
    </row>
    <row r="1014">
      <c r="A1014" s="6"/>
      <c r="B1014" s="6"/>
      <c r="C1014" s="6"/>
      <c r="D1014" s="6"/>
      <c r="E1014" s="6"/>
      <c r="F1014" s="6"/>
      <c r="G1014" s="6"/>
      <c r="H1014" s="6"/>
      <c r="I1014" s="6"/>
      <c r="J1014" s="6"/>
      <c r="K1014" s="6"/>
      <c r="L1014" s="80"/>
      <c r="M1014" s="80"/>
      <c r="N1014" s="80"/>
      <c r="O1014" s="80"/>
      <c r="P1014" s="6"/>
      <c r="Q1014" s="6"/>
      <c r="R1014" s="6"/>
      <c r="S1014" s="6"/>
      <c r="T1014" s="6"/>
      <c r="U1014" s="6"/>
      <c r="V1014" s="6"/>
      <c r="W1014" s="7"/>
      <c r="X1014" s="7"/>
      <c r="Y1014" s="7"/>
      <c r="Z1014" s="7"/>
    </row>
    <row r="1015">
      <c r="A1015" s="6"/>
      <c r="B1015" s="6"/>
      <c r="C1015" s="6"/>
      <c r="D1015" s="6"/>
      <c r="E1015" s="6"/>
      <c r="F1015" s="6"/>
      <c r="G1015" s="6"/>
      <c r="H1015" s="6"/>
      <c r="I1015" s="6"/>
      <c r="J1015" s="6"/>
      <c r="K1015" s="6"/>
      <c r="L1015" s="80"/>
      <c r="M1015" s="80"/>
      <c r="N1015" s="80"/>
      <c r="O1015" s="80"/>
      <c r="P1015" s="6"/>
      <c r="Q1015" s="6"/>
      <c r="R1015" s="6"/>
      <c r="S1015" s="6"/>
      <c r="T1015" s="6"/>
      <c r="U1015" s="6"/>
      <c r="V1015" s="6"/>
      <c r="W1015" s="7"/>
      <c r="X1015" s="7"/>
      <c r="Y1015" s="7"/>
      <c r="Z1015" s="7"/>
    </row>
    <row r="1016">
      <c r="A1016" s="6"/>
      <c r="B1016" s="6"/>
      <c r="C1016" s="6"/>
      <c r="D1016" s="6"/>
      <c r="E1016" s="6"/>
      <c r="F1016" s="6"/>
      <c r="G1016" s="6"/>
      <c r="H1016" s="6"/>
      <c r="I1016" s="6"/>
      <c r="J1016" s="6"/>
      <c r="K1016" s="6"/>
      <c r="L1016" s="80"/>
      <c r="M1016" s="80"/>
      <c r="N1016" s="80"/>
      <c r="O1016" s="80"/>
      <c r="P1016" s="6"/>
      <c r="Q1016" s="6"/>
      <c r="R1016" s="6"/>
      <c r="S1016" s="6"/>
      <c r="T1016" s="6"/>
      <c r="U1016" s="6"/>
      <c r="V1016" s="6"/>
      <c r="W1016" s="7"/>
      <c r="X1016" s="7"/>
      <c r="Y1016" s="7"/>
      <c r="Z1016" s="7"/>
    </row>
    <row r="1017">
      <c r="A1017" s="6"/>
      <c r="B1017" s="6"/>
      <c r="C1017" s="6"/>
      <c r="D1017" s="6"/>
      <c r="E1017" s="6"/>
      <c r="F1017" s="6"/>
      <c r="G1017" s="6"/>
      <c r="H1017" s="6"/>
      <c r="I1017" s="6"/>
      <c r="J1017" s="6"/>
      <c r="K1017" s="6"/>
      <c r="L1017" s="80"/>
      <c r="M1017" s="80"/>
      <c r="N1017" s="80"/>
      <c r="O1017" s="80"/>
      <c r="P1017" s="6"/>
      <c r="Q1017" s="6"/>
      <c r="R1017" s="6"/>
      <c r="S1017" s="6"/>
      <c r="T1017" s="6"/>
      <c r="U1017" s="6"/>
      <c r="V1017" s="6"/>
      <c r="W1017" s="7"/>
      <c r="X1017" s="7"/>
      <c r="Y1017" s="7"/>
      <c r="Z1017" s="7"/>
    </row>
    <row r="1018">
      <c r="A1018" s="6"/>
      <c r="B1018" s="6"/>
      <c r="C1018" s="6"/>
      <c r="D1018" s="6"/>
      <c r="E1018" s="6"/>
      <c r="F1018" s="6"/>
      <c r="G1018" s="6"/>
      <c r="H1018" s="6"/>
      <c r="I1018" s="6"/>
      <c r="J1018" s="6"/>
      <c r="K1018" s="6"/>
      <c r="L1018" s="80"/>
      <c r="M1018" s="80"/>
      <c r="N1018" s="80"/>
      <c r="O1018" s="80"/>
      <c r="P1018" s="6"/>
      <c r="Q1018" s="6"/>
      <c r="R1018" s="6"/>
      <c r="S1018" s="6"/>
      <c r="T1018" s="6"/>
      <c r="U1018" s="6"/>
      <c r="V1018" s="6"/>
      <c r="W1018" s="7"/>
      <c r="X1018" s="7"/>
      <c r="Y1018" s="7"/>
      <c r="Z1018" s="7"/>
    </row>
    <row r="1019">
      <c r="A1019" s="6"/>
      <c r="B1019" s="6"/>
      <c r="C1019" s="6"/>
      <c r="D1019" s="6"/>
      <c r="E1019" s="6"/>
      <c r="F1019" s="6"/>
      <c r="G1019" s="6"/>
      <c r="H1019" s="6"/>
      <c r="I1019" s="6"/>
      <c r="J1019" s="6"/>
      <c r="K1019" s="6"/>
      <c r="L1019" s="80"/>
      <c r="M1019" s="80"/>
      <c r="N1019" s="80"/>
      <c r="O1019" s="80"/>
      <c r="P1019" s="6"/>
      <c r="Q1019" s="6"/>
      <c r="R1019" s="6"/>
      <c r="S1019" s="6"/>
      <c r="T1019" s="6"/>
      <c r="U1019" s="6"/>
      <c r="V1019" s="6"/>
      <c r="W1019" s="7"/>
      <c r="X1019" s="7"/>
      <c r="Y1019" s="7"/>
      <c r="Z1019" s="7"/>
    </row>
    <row r="1020">
      <c r="A1020" s="6"/>
      <c r="B1020" s="6"/>
      <c r="C1020" s="6"/>
      <c r="D1020" s="6"/>
      <c r="E1020" s="6"/>
      <c r="F1020" s="6"/>
      <c r="G1020" s="6"/>
      <c r="H1020" s="6"/>
      <c r="I1020" s="6"/>
      <c r="J1020" s="6"/>
      <c r="K1020" s="6"/>
      <c r="L1020" s="80"/>
      <c r="M1020" s="80"/>
      <c r="N1020" s="80"/>
      <c r="O1020" s="80"/>
      <c r="P1020" s="6"/>
      <c r="Q1020" s="6"/>
      <c r="R1020" s="6"/>
      <c r="S1020" s="6"/>
      <c r="T1020" s="6"/>
      <c r="U1020" s="6"/>
      <c r="V1020" s="6"/>
      <c r="W1020" s="7"/>
      <c r="X1020" s="7"/>
      <c r="Y1020" s="7"/>
      <c r="Z1020" s="7"/>
    </row>
    <row r="1021">
      <c r="A1021" s="6"/>
      <c r="B1021" s="6"/>
      <c r="C1021" s="6"/>
      <c r="D1021" s="6"/>
      <c r="E1021" s="6"/>
      <c r="F1021" s="6"/>
      <c r="G1021" s="6"/>
      <c r="H1021" s="6"/>
      <c r="I1021" s="6"/>
      <c r="J1021" s="6"/>
      <c r="K1021" s="6"/>
      <c r="L1021" s="80"/>
      <c r="M1021" s="80"/>
      <c r="N1021" s="80"/>
      <c r="O1021" s="80"/>
      <c r="P1021" s="6"/>
      <c r="Q1021" s="6"/>
      <c r="R1021" s="6"/>
      <c r="S1021" s="6"/>
      <c r="T1021" s="6"/>
      <c r="U1021" s="6"/>
      <c r="V1021" s="6"/>
      <c r="W1021" s="7"/>
      <c r="X1021" s="7"/>
      <c r="Y1021" s="7"/>
      <c r="Z1021" s="7"/>
    </row>
    <row r="1022">
      <c r="A1022" s="6"/>
      <c r="B1022" s="6"/>
      <c r="C1022" s="6"/>
      <c r="D1022" s="6"/>
      <c r="E1022" s="6"/>
      <c r="F1022" s="6"/>
      <c r="G1022" s="6"/>
      <c r="H1022" s="6"/>
      <c r="I1022" s="6"/>
      <c r="J1022" s="6"/>
      <c r="K1022" s="6"/>
      <c r="L1022" s="80"/>
      <c r="M1022" s="80"/>
      <c r="N1022" s="80"/>
      <c r="O1022" s="80"/>
      <c r="P1022" s="6"/>
      <c r="Q1022" s="6"/>
      <c r="R1022" s="6"/>
      <c r="S1022" s="6"/>
      <c r="T1022" s="6"/>
      <c r="U1022" s="6"/>
      <c r="V1022" s="6"/>
      <c r="W1022" s="7"/>
      <c r="X1022" s="7"/>
      <c r="Y1022" s="7"/>
      <c r="Z1022" s="7"/>
    </row>
    <row r="1023">
      <c r="A1023" s="6"/>
      <c r="B1023" s="6"/>
      <c r="C1023" s="6"/>
      <c r="D1023" s="6"/>
      <c r="E1023" s="6"/>
      <c r="F1023" s="6"/>
      <c r="G1023" s="6"/>
      <c r="H1023" s="6"/>
      <c r="I1023" s="6"/>
      <c r="J1023" s="6"/>
      <c r="K1023" s="6"/>
      <c r="L1023" s="80"/>
      <c r="M1023" s="80"/>
      <c r="N1023" s="80"/>
      <c r="O1023" s="80"/>
      <c r="P1023" s="6"/>
      <c r="Q1023" s="6"/>
      <c r="R1023" s="6"/>
      <c r="S1023" s="6"/>
      <c r="T1023" s="6"/>
      <c r="U1023" s="6"/>
      <c r="V1023" s="6"/>
      <c r="W1023" s="7"/>
      <c r="X1023" s="7"/>
      <c r="Y1023" s="7"/>
      <c r="Z1023" s="7"/>
    </row>
    <row r="1024">
      <c r="A1024" s="6"/>
      <c r="B1024" s="6"/>
      <c r="C1024" s="6"/>
      <c r="D1024" s="6"/>
      <c r="E1024" s="6"/>
      <c r="F1024" s="6"/>
      <c r="G1024" s="6"/>
      <c r="H1024" s="6"/>
      <c r="I1024" s="6"/>
      <c r="J1024" s="6"/>
      <c r="K1024" s="6"/>
      <c r="L1024" s="80"/>
      <c r="M1024" s="80"/>
      <c r="N1024" s="80"/>
      <c r="O1024" s="80"/>
      <c r="P1024" s="6"/>
      <c r="Q1024" s="6"/>
      <c r="R1024" s="6"/>
      <c r="S1024" s="6"/>
      <c r="T1024" s="6"/>
      <c r="U1024" s="6"/>
      <c r="V1024" s="6"/>
      <c r="W1024" s="7"/>
      <c r="X1024" s="7"/>
      <c r="Y1024" s="7"/>
      <c r="Z1024" s="7"/>
    </row>
    <row r="1025">
      <c r="A1025" s="6"/>
      <c r="B1025" s="6"/>
      <c r="C1025" s="6"/>
      <c r="D1025" s="6"/>
      <c r="E1025" s="6"/>
      <c r="F1025" s="6"/>
      <c r="G1025" s="6"/>
      <c r="H1025" s="6"/>
      <c r="I1025" s="6"/>
      <c r="J1025" s="6"/>
      <c r="K1025" s="6"/>
      <c r="L1025" s="80"/>
      <c r="M1025" s="80"/>
      <c r="N1025" s="80"/>
      <c r="O1025" s="80"/>
      <c r="P1025" s="6"/>
      <c r="Q1025" s="6"/>
      <c r="R1025" s="6"/>
      <c r="S1025" s="6"/>
      <c r="T1025" s="6"/>
      <c r="U1025" s="6"/>
      <c r="V1025" s="6"/>
      <c r="W1025" s="7"/>
      <c r="X1025" s="7"/>
      <c r="Y1025" s="7"/>
      <c r="Z1025" s="7"/>
    </row>
    <row r="1026">
      <c r="A1026" s="6"/>
      <c r="B1026" s="6"/>
      <c r="C1026" s="6"/>
      <c r="D1026" s="6"/>
      <c r="E1026" s="6"/>
      <c r="F1026" s="6"/>
      <c r="G1026" s="6"/>
      <c r="H1026" s="6"/>
      <c r="I1026" s="6"/>
      <c r="J1026" s="6"/>
      <c r="K1026" s="6"/>
      <c r="L1026" s="80"/>
      <c r="M1026" s="80"/>
      <c r="N1026" s="80"/>
      <c r="O1026" s="80"/>
      <c r="P1026" s="6"/>
      <c r="Q1026" s="6"/>
      <c r="R1026" s="6"/>
      <c r="S1026" s="6"/>
      <c r="T1026" s="6"/>
      <c r="U1026" s="6"/>
      <c r="V1026" s="6"/>
      <c r="W1026" s="7"/>
      <c r="X1026" s="7"/>
      <c r="Y1026" s="7"/>
      <c r="Z1026" s="7"/>
    </row>
    <row r="1027">
      <c r="A1027" s="6"/>
      <c r="B1027" s="6"/>
      <c r="C1027" s="6"/>
      <c r="D1027" s="6"/>
      <c r="E1027" s="6"/>
      <c r="F1027" s="6"/>
      <c r="G1027" s="6"/>
      <c r="H1027" s="6"/>
      <c r="I1027" s="6"/>
      <c r="J1027" s="6"/>
      <c r="K1027" s="6"/>
      <c r="L1027" s="80"/>
      <c r="M1027" s="80"/>
      <c r="N1027" s="80"/>
      <c r="O1027" s="80"/>
      <c r="P1027" s="6"/>
      <c r="Q1027" s="6"/>
      <c r="R1027" s="6"/>
      <c r="S1027" s="6"/>
      <c r="T1027" s="6"/>
      <c r="U1027" s="6"/>
      <c r="V1027" s="6"/>
      <c r="W1027" s="7"/>
      <c r="X1027" s="7"/>
      <c r="Y1027" s="7"/>
      <c r="Z1027" s="7"/>
    </row>
    <row r="1028">
      <c r="A1028" s="6"/>
      <c r="B1028" s="6"/>
      <c r="C1028" s="6"/>
      <c r="D1028" s="6"/>
      <c r="E1028" s="6"/>
      <c r="F1028" s="6"/>
      <c r="G1028" s="6"/>
      <c r="H1028" s="6"/>
      <c r="I1028" s="6"/>
      <c r="J1028" s="6"/>
      <c r="K1028" s="6"/>
      <c r="L1028" s="80"/>
      <c r="M1028" s="80"/>
      <c r="N1028" s="80"/>
      <c r="O1028" s="80"/>
      <c r="P1028" s="6"/>
      <c r="Q1028" s="6"/>
      <c r="R1028" s="6"/>
      <c r="S1028" s="6"/>
      <c r="T1028" s="6"/>
      <c r="U1028" s="6"/>
      <c r="V1028" s="6"/>
      <c r="W1028" s="7"/>
      <c r="X1028" s="7"/>
      <c r="Y1028" s="7"/>
      <c r="Z1028" s="7"/>
    </row>
    <row r="1029">
      <c r="A1029" s="6"/>
      <c r="B1029" s="6"/>
      <c r="C1029" s="6"/>
      <c r="D1029" s="6"/>
      <c r="E1029" s="6"/>
      <c r="F1029" s="6"/>
      <c r="G1029" s="6"/>
      <c r="H1029" s="6"/>
      <c r="I1029" s="6"/>
      <c r="J1029" s="6"/>
      <c r="K1029" s="6"/>
      <c r="L1029" s="80"/>
      <c r="M1029" s="80"/>
      <c r="N1029" s="80"/>
      <c r="O1029" s="80"/>
      <c r="P1029" s="6"/>
      <c r="Q1029" s="6"/>
      <c r="R1029" s="6"/>
      <c r="S1029" s="6"/>
      <c r="T1029" s="6"/>
      <c r="U1029" s="6"/>
      <c r="V1029" s="6"/>
      <c r="W1029" s="7"/>
      <c r="X1029" s="7"/>
      <c r="Y1029" s="7"/>
      <c r="Z1029" s="7"/>
    </row>
    <row r="1030">
      <c r="A1030" s="6"/>
      <c r="B1030" s="6"/>
      <c r="C1030" s="6"/>
      <c r="D1030" s="6"/>
      <c r="E1030" s="6"/>
      <c r="F1030" s="6"/>
      <c r="G1030" s="6"/>
      <c r="H1030" s="6"/>
      <c r="I1030" s="6"/>
      <c r="J1030" s="6"/>
      <c r="K1030" s="6"/>
      <c r="L1030" s="80"/>
      <c r="M1030" s="80"/>
      <c r="N1030" s="80"/>
      <c r="O1030" s="80"/>
      <c r="P1030" s="6"/>
      <c r="Q1030" s="6"/>
      <c r="R1030" s="6"/>
      <c r="S1030" s="6"/>
      <c r="T1030" s="6"/>
      <c r="U1030" s="6"/>
      <c r="V1030" s="6"/>
      <c r="W1030" s="7"/>
      <c r="X1030" s="7"/>
      <c r="Y1030" s="7"/>
      <c r="Z1030" s="7"/>
    </row>
    <row r="1031">
      <c r="A1031" s="6"/>
      <c r="B1031" s="6"/>
      <c r="C1031" s="6"/>
      <c r="D1031" s="6"/>
      <c r="E1031" s="6"/>
      <c r="F1031" s="6"/>
      <c r="G1031" s="6"/>
      <c r="H1031" s="6"/>
      <c r="I1031" s="6"/>
      <c r="J1031" s="6"/>
      <c r="K1031" s="6"/>
      <c r="L1031" s="80"/>
      <c r="M1031" s="80"/>
      <c r="N1031" s="80"/>
      <c r="O1031" s="80"/>
      <c r="P1031" s="6"/>
      <c r="Q1031" s="6"/>
      <c r="R1031" s="6"/>
      <c r="S1031" s="6"/>
      <c r="T1031" s="6"/>
      <c r="U1031" s="6"/>
      <c r="V1031" s="6"/>
      <c r="W1031" s="7"/>
      <c r="X1031" s="7"/>
      <c r="Y1031" s="7"/>
      <c r="Z1031" s="7"/>
    </row>
    <row r="1032">
      <c r="A1032" s="6"/>
      <c r="B1032" s="6"/>
      <c r="C1032" s="6"/>
      <c r="D1032" s="6"/>
      <c r="E1032" s="6"/>
      <c r="F1032" s="6"/>
      <c r="G1032" s="6"/>
      <c r="H1032" s="6"/>
      <c r="I1032" s="6"/>
      <c r="J1032" s="6"/>
      <c r="K1032" s="6"/>
      <c r="L1032" s="80"/>
      <c r="M1032" s="80"/>
      <c r="N1032" s="80"/>
      <c r="O1032" s="80"/>
      <c r="P1032" s="6"/>
      <c r="Q1032" s="6"/>
      <c r="R1032" s="6"/>
      <c r="S1032" s="6"/>
      <c r="T1032" s="6"/>
      <c r="U1032" s="6"/>
      <c r="V1032" s="6"/>
      <c r="W1032" s="7"/>
      <c r="X1032" s="7"/>
      <c r="Y1032" s="7"/>
      <c r="Z1032" s="7"/>
    </row>
    <row r="1033">
      <c r="A1033" s="6"/>
      <c r="B1033" s="6"/>
      <c r="C1033" s="6"/>
      <c r="D1033" s="6"/>
      <c r="E1033" s="6"/>
      <c r="F1033" s="6"/>
      <c r="G1033" s="6"/>
      <c r="H1033" s="6"/>
      <c r="I1033" s="6"/>
      <c r="J1033" s="6"/>
      <c r="K1033" s="6"/>
      <c r="L1033" s="80"/>
      <c r="M1033" s="80"/>
      <c r="N1033" s="80"/>
      <c r="O1033" s="80"/>
      <c r="P1033" s="6"/>
      <c r="Q1033" s="6"/>
      <c r="R1033" s="6"/>
      <c r="S1033" s="6"/>
      <c r="T1033" s="6"/>
      <c r="U1033" s="6"/>
      <c r="V1033" s="6"/>
      <c r="W1033" s="7"/>
      <c r="X1033" s="7"/>
      <c r="Y1033" s="7"/>
      <c r="Z1033" s="7"/>
    </row>
    <row r="1034">
      <c r="A1034" s="6"/>
      <c r="B1034" s="6"/>
      <c r="C1034" s="6"/>
      <c r="D1034" s="6"/>
      <c r="E1034" s="6"/>
      <c r="F1034" s="6"/>
      <c r="G1034" s="6"/>
      <c r="H1034" s="6"/>
      <c r="I1034" s="6"/>
      <c r="J1034" s="6"/>
      <c r="K1034" s="6"/>
      <c r="L1034" s="80"/>
      <c r="M1034" s="80"/>
      <c r="N1034" s="80"/>
      <c r="O1034" s="80"/>
      <c r="P1034" s="6"/>
      <c r="Q1034" s="6"/>
      <c r="R1034" s="6"/>
      <c r="S1034" s="6"/>
      <c r="T1034" s="6"/>
      <c r="U1034" s="6"/>
      <c r="V1034" s="6"/>
      <c r="W1034" s="7"/>
      <c r="X1034" s="7"/>
      <c r="Y1034" s="7"/>
      <c r="Z1034" s="7"/>
    </row>
    <row r="1035">
      <c r="A1035" s="6"/>
      <c r="B1035" s="6"/>
      <c r="C1035" s="6"/>
      <c r="D1035" s="6"/>
      <c r="E1035" s="6"/>
      <c r="F1035" s="6"/>
      <c r="G1035" s="6"/>
      <c r="H1035" s="6"/>
      <c r="I1035" s="6"/>
      <c r="J1035" s="6"/>
      <c r="K1035" s="6"/>
      <c r="L1035" s="80"/>
      <c r="M1035" s="80"/>
      <c r="N1035" s="80"/>
      <c r="O1035" s="80"/>
      <c r="P1035" s="6"/>
      <c r="Q1035" s="6"/>
      <c r="R1035" s="6"/>
      <c r="S1035" s="6"/>
      <c r="T1035" s="6"/>
      <c r="U1035" s="6"/>
      <c r="V1035" s="6"/>
      <c r="W1035" s="7"/>
      <c r="X1035" s="7"/>
      <c r="Y1035" s="7"/>
      <c r="Z1035" s="7"/>
    </row>
    <row r="1036">
      <c r="A1036" s="6"/>
      <c r="B1036" s="6"/>
      <c r="C1036" s="6"/>
      <c r="D1036" s="6"/>
      <c r="E1036" s="6"/>
      <c r="F1036" s="6"/>
      <c r="G1036" s="6"/>
      <c r="H1036" s="6"/>
      <c r="I1036" s="6"/>
      <c r="J1036" s="6"/>
      <c r="K1036" s="6"/>
      <c r="L1036" s="80"/>
      <c r="M1036" s="80"/>
      <c r="N1036" s="80"/>
      <c r="O1036" s="80"/>
      <c r="P1036" s="6"/>
      <c r="Q1036" s="6"/>
      <c r="R1036" s="6"/>
      <c r="S1036" s="6"/>
      <c r="T1036" s="6"/>
      <c r="U1036" s="6"/>
      <c r="V1036" s="6"/>
      <c r="W1036" s="7"/>
      <c r="X1036" s="7"/>
      <c r="Y1036" s="7"/>
      <c r="Z1036" s="7"/>
    </row>
    <row r="1037">
      <c r="A1037" s="6"/>
      <c r="B1037" s="6"/>
      <c r="C1037" s="6"/>
      <c r="D1037" s="6"/>
      <c r="E1037" s="6"/>
      <c r="F1037" s="6"/>
      <c r="G1037" s="6"/>
      <c r="H1037" s="6"/>
      <c r="I1037" s="6"/>
      <c r="J1037" s="6"/>
      <c r="K1037" s="6"/>
      <c r="L1037" s="80"/>
      <c r="M1037" s="80"/>
      <c r="N1037" s="80"/>
      <c r="O1037" s="80"/>
      <c r="P1037" s="6"/>
      <c r="Q1037" s="6"/>
      <c r="R1037" s="6"/>
      <c r="S1037" s="6"/>
      <c r="T1037" s="6"/>
      <c r="U1037" s="6"/>
      <c r="V1037" s="6"/>
      <c r="W1037" s="7"/>
      <c r="X1037" s="7"/>
      <c r="Y1037" s="7"/>
      <c r="Z1037" s="7"/>
    </row>
    <row r="1038">
      <c r="A1038" s="6"/>
      <c r="B1038" s="6"/>
      <c r="C1038" s="6"/>
      <c r="D1038" s="6"/>
      <c r="E1038" s="6"/>
      <c r="F1038" s="6"/>
      <c r="G1038" s="6"/>
      <c r="H1038" s="6"/>
      <c r="I1038" s="6"/>
      <c r="J1038" s="6"/>
      <c r="K1038" s="6"/>
      <c r="L1038" s="80"/>
      <c r="M1038" s="80"/>
      <c r="N1038" s="80"/>
      <c r="O1038" s="80"/>
      <c r="P1038" s="6"/>
      <c r="Q1038" s="6"/>
      <c r="R1038" s="6"/>
      <c r="S1038" s="6"/>
      <c r="T1038" s="6"/>
      <c r="U1038" s="6"/>
      <c r="V1038" s="6"/>
      <c r="W1038" s="7"/>
      <c r="X1038" s="7"/>
      <c r="Y1038" s="7"/>
      <c r="Z1038" s="7"/>
    </row>
    <row r="1039">
      <c r="A1039" s="6"/>
      <c r="B1039" s="6"/>
      <c r="C1039" s="6"/>
      <c r="D1039" s="6"/>
      <c r="E1039" s="6"/>
      <c r="F1039" s="6"/>
      <c r="G1039" s="6"/>
      <c r="H1039" s="6"/>
      <c r="I1039" s="6"/>
      <c r="J1039" s="6"/>
      <c r="K1039" s="6"/>
      <c r="L1039" s="80"/>
      <c r="M1039" s="80"/>
      <c r="N1039" s="80"/>
      <c r="O1039" s="80"/>
      <c r="P1039" s="6"/>
      <c r="Q1039" s="6"/>
      <c r="R1039" s="6"/>
      <c r="S1039" s="6"/>
      <c r="T1039" s="6"/>
      <c r="U1039" s="6"/>
      <c r="V1039" s="6"/>
      <c r="W1039" s="7"/>
      <c r="X1039" s="7"/>
      <c r="Y1039" s="7"/>
      <c r="Z1039" s="7"/>
    </row>
    <row r="1040">
      <c r="A1040" s="6"/>
      <c r="B1040" s="6"/>
      <c r="C1040" s="6"/>
      <c r="D1040" s="6"/>
      <c r="E1040" s="6"/>
      <c r="F1040" s="6"/>
      <c r="G1040" s="6"/>
      <c r="H1040" s="6"/>
      <c r="I1040" s="6"/>
      <c r="J1040" s="6"/>
      <c r="K1040" s="6"/>
      <c r="L1040" s="80"/>
      <c r="M1040" s="80"/>
      <c r="N1040" s="80"/>
      <c r="O1040" s="80"/>
      <c r="P1040" s="6"/>
      <c r="Q1040" s="6"/>
      <c r="R1040" s="6"/>
      <c r="S1040" s="6"/>
      <c r="T1040" s="6"/>
      <c r="U1040" s="6"/>
      <c r="V1040" s="6"/>
      <c r="W1040" s="7"/>
      <c r="X1040" s="7"/>
      <c r="Y1040" s="7"/>
      <c r="Z1040" s="7"/>
    </row>
    <row r="1041">
      <c r="A1041" s="6"/>
      <c r="B1041" s="6"/>
      <c r="C1041" s="6"/>
      <c r="D1041" s="6"/>
      <c r="E1041" s="6"/>
      <c r="F1041" s="6"/>
      <c r="G1041" s="6"/>
      <c r="H1041" s="6"/>
      <c r="I1041" s="6"/>
      <c r="J1041" s="6"/>
      <c r="K1041" s="6"/>
      <c r="L1041" s="80"/>
      <c r="M1041" s="80"/>
      <c r="N1041" s="80"/>
      <c r="O1041" s="80"/>
      <c r="P1041" s="6"/>
      <c r="Q1041" s="6"/>
      <c r="R1041" s="6"/>
      <c r="S1041" s="6"/>
      <c r="T1041" s="6"/>
      <c r="U1041" s="6"/>
      <c r="V1041" s="6"/>
      <c r="W1041" s="7"/>
      <c r="X1041" s="7"/>
      <c r="Y1041" s="7"/>
      <c r="Z1041" s="7"/>
    </row>
    <row r="1042">
      <c r="A1042" s="6"/>
      <c r="B1042" s="6"/>
      <c r="C1042" s="6"/>
      <c r="D1042" s="6"/>
      <c r="E1042" s="6"/>
      <c r="F1042" s="6"/>
      <c r="G1042" s="6"/>
      <c r="H1042" s="6"/>
      <c r="I1042" s="6"/>
      <c r="J1042" s="6"/>
      <c r="K1042" s="6"/>
      <c r="L1042" s="80"/>
      <c r="M1042" s="80"/>
      <c r="N1042" s="80"/>
      <c r="O1042" s="80"/>
      <c r="P1042" s="6"/>
      <c r="Q1042" s="6"/>
      <c r="R1042" s="6"/>
      <c r="S1042" s="6"/>
      <c r="T1042" s="6"/>
      <c r="U1042" s="6"/>
      <c r="V1042" s="6"/>
      <c r="W1042" s="7"/>
      <c r="X1042" s="7"/>
      <c r="Y1042" s="7"/>
      <c r="Z1042" s="7"/>
    </row>
    <row r="1043">
      <c r="A1043" s="6"/>
      <c r="B1043" s="6"/>
      <c r="C1043" s="6"/>
      <c r="D1043" s="6"/>
      <c r="E1043" s="6"/>
      <c r="F1043" s="6"/>
      <c r="G1043" s="6"/>
      <c r="H1043" s="6"/>
      <c r="I1043" s="6"/>
      <c r="J1043" s="6"/>
      <c r="K1043" s="6"/>
      <c r="L1043" s="80"/>
      <c r="M1043" s="80"/>
      <c r="N1043" s="80"/>
      <c r="O1043" s="80"/>
      <c r="P1043" s="6"/>
      <c r="Q1043" s="6"/>
      <c r="R1043" s="6"/>
      <c r="S1043" s="6"/>
      <c r="T1043" s="6"/>
      <c r="U1043" s="6"/>
      <c r="V1043" s="6"/>
      <c r="W1043" s="7"/>
      <c r="X1043" s="7"/>
      <c r="Y1043" s="7"/>
      <c r="Z1043" s="7"/>
    </row>
    <row r="1044">
      <c r="A1044" s="6"/>
      <c r="B1044" s="6"/>
      <c r="C1044" s="6"/>
      <c r="D1044" s="6"/>
      <c r="E1044" s="6"/>
      <c r="F1044" s="6"/>
      <c r="G1044" s="6"/>
      <c r="H1044" s="6"/>
      <c r="I1044" s="6"/>
      <c r="J1044" s="6"/>
      <c r="K1044" s="6"/>
      <c r="L1044" s="80"/>
      <c r="M1044" s="80"/>
      <c r="N1044" s="80"/>
      <c r="O1044" s="80"/>
      <c r="P1044" s="6"/>
      <c r="Q1044" s="6"/>
      <c r="R1044" s="6"/>
      <c r="S1044" s="6"/>
      <c r="T1044" s="6"/>
      <c r="U1044" s="6"/>
      <c r="V1044" s="6"/>
      <c r="W1044" s="7"/>
      <c r="X1044" s="7"/>
      <c r="Y1044" s="7"/>
      <c r="Z1044" s="7"/>
    </row>
    <row r="1045">
      <c r="A1045" s="6"/>
      <c r="B1045" s="6"/>
      <c r="C1045" s="6"/>
      <c r="D1045" s="6"/>
      <c r="E1045" s="6"/>
      <c r="F1045" s="6"/>
      <c r="G1045" s="6"/>
      <c r="H1045" s="6"/>
      <c r="I1045" s="6"/>
      <c r="J1045" s="6"/>
      <c r="K1045" s="6"/>
      <c r="L1045" s="80"/>
      <c r="M1045" s="80"/>
      <c r="N1045" s="80"/>
      <c r="O1045" s="80"/>
      <c r="P1045" s="6"/>
      <c r="Q1045" s="6"/>
      <c r="R1045" s="6"/>
      <c r="S1045" s="6"/>
      <c r="T1045" s="6"/>
      <c r="U1045" s="6"/>
      <c r="V1045" s="6"/>
      <c r="W1045" s="7"/>
      <c r="X1045" s="7"/>
      <c r="Y1045" s="7"/>
      <c r="Z1045" s="7"/>
    </row>
    <row r="1046">
      <c r="A1046" s="6"/>
      <c r="B1046" s="6"/>
      <c r="C1046" s="6"/>
      <c r="D1046" s="6"/>
      <c r="E1046" s="6"/>
      <c r="F1046" s="6"/>
      <c r="G1046" s="6"/>
      <c r="H1046" s="6"/>
      <c r="I1046" s="6"/>
      <c r="J1046" s="6"/>
      <c r="K1046" s="6"/>
      <c r="L1046" s="80"/>
      <c r="M1046" s="80"/>
      <c r="N1046" s="80"/>
      <c r="O1046" s="80"/>
      <c r="P1046" s="6"/>
      <c r="Q1046" s="6"/>
      <c r="R1046" s="6"/>
      <c r="S1046" s="6"/>
      <c r="T1046" s="6"/>
      <c r="U1046" s="6"/>
      <c r="V1046" s="6"/>
      <c r="W1046" s="7"/>
      <c r="X1046" s="7"/>
      <c r="Y1046" s="7"/>
      <c r="Z1046" s="7"/>
    </row>
    <row r="1047">
      <c r="A1047" s="6"/>
      <c r="B1047" s="6"/>
      <c r="C1047" s="6"/>
      <c r="D1047" s="6"/>
      <c r="E1047" s="6"/>
      <c r="F1047" s="6"/>
      <c r="G1047" s="6"/>
      <c r="H1047" s="6"/>
      <c r="I1047" s="6"/>
      <c r="J1047" s="6"/>
      <c r="K1047" s="6"/>
      <c r="L1047" s="80"/>
      <c r="M1047" s="80"/>
      <c r="N1047" s="80"/>
      <c r="O1047" s="80"/>
      <c r="P1047" s="6"/>
      <c r="Q1047" s="6"/>
      <c r="R1047" s="6"/>
      <c r="S1047" s="6"/>
      <c r="T1047" s="6"/>
      <c r="U1047" s="6"/>
      <c r="V1047" s="6"/>
      <c r="W1047" s="7"/>
      <c r="X1047" s="7"/>
      <c r="Y1047" s="7"/>
      <c r="Z1047" s="7"/>
    </row>
    <row r="1048">
      <c r="A1048" s="6"/>
      <c r="B1048" s="6"/>
      <c r="C1048" s="6"/>
      <c r="D1048" s="6"/>
      <c r="E1048" s="6"/>
      <c r="F1048" s="6"/>
      <c r="G1048" s="6"/>
      <c r="H1048" s="6"/>
      <c r="I1048" s="6"/>
      <c r="J1048" s="6"/>
      <c r="K1048" s="6"/>
      <c r="L1048" s="80"/>
      <c r="M1048" s="80"/>
      <c r="N1048" s="80"/>
      <c r="O1048" s="80"/>
      <c r="P1048" s="6"/>
      <c r="Q1048" s="6"/>
      <c r="R1048" s="6"/>
      <c r="S1048" s="6"/>
      <c r="T1048" s="6"/>
      <c r="U1048" s="6"/>
      <c r="V1048" s="6"/>
      <c r="W1048" s="7"/>
      <c r="X1048" s="7"/>
      <c r="Y1048" s="7"/>
      <c r="Z1048" s="7"/>
    </row>
    <row r="1049">
      <c r="A1049" s="6"/>
      <c r="B1049" s="6"/>
      <c r="C1049" s="6"/>
      <c r="D1049" s="6"/>
      <c r="E1049" s="6"/>
      <c r="F1049" s="6"/>
      <c r="G1049" s="6"/>
      <c r="H1049" s="6"/>
      <c r="I1049" s="6"/>
      <c r="J1049" s="6"/>
      <c r="K1049" s="6"/>
      <c r="L1049" s="80"/>
      <c r="M1049" s="80"/>
      <c r="N1049" s="80"/>
      <c r="O1049" s="80"/>
      <c r="P1049" s="6"/>
      <c r="Q1049" s="6"/>
      <c r="R1049" s="6"/>
      <c r="S1049" s="6"/>
      <c r="T1049" s="6"/>
      <c r="U1049" s="6"/>
      <c r="V1049" s="6"/>
      <c r="W1049" s="7"/>
      <c r="X1049" s="7"/>
      <c r="Y1049" s="7"/>
      <c r="Z1049" s="7"/>
    </row>
    <row r="1050">
      <c r="A1050" s="6"/>
      <c r="B1050" s="6"/>
      <c r="C1050" s="6"/>
      <c r="D1050" s="6"/>
      <c r="E1050" s="6"/>
      <c r="F1050" s="6"/>
      <c r="G1050" s="6"/>
      <c r="H1050" s="6"/>
      <c r="I1050" s="6"/>
      <c r="J1050" s="6"/>
      <c r="K1050" s="6"/>
      <c r="L1050" s="80"/>
      <c r="M1050" s="80"/>
      <c r="N1050" s="80"/>
      <c r="O1050" s="80"/>
      <c r="P1050" s="6"/>
      <c r="Q1050" s="6"/>
      <c r="R1050" s="6"/>
      <c r="S1050" s="6"/>
      <c r="T1050" s="6"/>
      <c r="U1050" s="6"/>
      <c r="V1050" s="6"/>
      <c r="W1050" s="7"/>
      <c r="X1050" s="7"/>
      <c r="Y1050" s="7"/>
      <c r="Z1050" s="7"/>
    </row>
    <row r="1051">
      <c r="A1051" s="6"/>
      <c r="B1051" s="6"/>
      <c r="C1051" s="6"/>
      <c r="D1051" s="6"/>
      <c r="E1051" s="6"/>
      <c r="F1051" s="6"/>
      <c r="G1051" s="6"/>
      <c r="H1051" s="6"/>
      <c r="I1051" s="6"/>
      <c r="J1051" s="6"/>
      <c r="K1051" s="6"/>
      <c r="L1051" s="80"/>
      <c r="M1051" s="80"/>
      <c r="N1051" s="80"/>
      <c r="O1051" s="80"/>
      <c r="P1051" s="6"/>
      <c r="Q1051" s="6"/>
      <c r="R1051" s="6"/>
      <c r="S1051" s="6"/>
      <c r="T1051" s="6"/>
      <c r="U1051" s="6"/>
      <c r="V1051" s="6"/>
      <c r="W1051" s="7"/>
      <c r="X1051" s="7"/>
      <c r="Y1051" s="7"/>
      <c r="Z1051" s="7"/>
    </row>
    <row r="1052">
      <c r="A1052" s="6"/>
      <c r="B1052" s="6"/>
      <c r="C1052" s="6"/>
      <c r="D1052" s="6"/>
      <c r="E1052" s="6"/>
      <c r="F1052" s="6"/>
      <c r="G1052" s="6"/>
      <c r="H1052" s="6"/>
      <c r="I1052" s="6"/>
      <c r="J1052" s="6"/>
      <c r="K1052" s="6"/>
      <c r="L1052" s="80"/>
      <c r="M1052" s="80"/>
      <c r="N1052" s="80"/>
      <c r="O1052" s="80"/>
      <c r="P1052" s="6"/>
      <c r="Q1052" s="6"/>
      <c r="R1052" s="6"/>
      <c r="S1052" s="6"/>
      <c r="T1052" s="6"/>
      <c r="U1052" s="6"/>
      <c r="V1052" s="6"/>
      <c r="W1052" s="7"/>
      <c r="X1052" s="7"/>
      <c r="Y1052" s="7"/>
      <c r="Z1052" s="7"/>
    </row>
    <row r="1053">
      <c r="A1053" s="6"/>
      <c r="B1053" s="6"/>
      <c r="C1053" s="6"/>
      <c r="D1053" s="6"/>
      <c r="E1053" s="6"/>
      <c r="F1053" s="6"/>
      <c r="G1053" s="6"/>
      <c r="H1053" s="6"/>
      <c r="I1053" s="6"/>
      <c r="J1053" s="6"/>
      <c r="K1053" s="6"/>
      <c r="L1053" s="80"/>
      <c r="M1053" s="80"/>
      <c r="N1053" s="80"/>
      <c r="O1053" s="80"/>
      <c r="P1053" s="6"/>
      <c r="Q1053" s="6"/>
      <c r="R1053" s="6"/>
      <c r="S1053" s="6"/>
      <c r="T1053" s="6"/>
      <c r="U1053" s="6"/>
      <c r="V1053" s="6"/>
      <c r="W1053" s="7"/>
      <c r="X1053" s="7"/>
      <c r="Y1053" s="7"/>
      <c r="Z1053" s="7"/>
    </row>
    <row r="1054">
      <c r="A1054" s="6"/>
      <c r="B1054" s="6"/>
      <c r="C1054" s="6"/>
      <c r="D1054" s="6"/>
      <c r="E1054" s="6"/>
      <c r="F1054" s="6"/>
      <c r="G1054" s="6"/>
      <c r="H1054" s="6"/>
      <c r="I1054" s="6"/>
      <c r="J1054" s="6"/>
      <c r="K1054" s="6"/>
      <c r="L1054" s="80"/>
      <c r="M1054" s="80"/>
      <c r="N1054" s="80"/>
      <c r="O1054" s="80"/>
      <c r="P1054" s="6"/>
      <c r="Q1054" s="6"/>
      <c r="R1054" s="6"/>
      <c r="S1054" s="6"/>
      <c r="T1054" s="6"/>
      <c r="U1054" s="6"/>
      <c r="V1054" s="6"/>
      <c r="W1054" s="7"/>
      <c r="X1054" s="7"/>
      <c r="Y1054" s="7"/>
      <c r="Z1054" s="7"/>
    </row>
    <row r="1055">
      <c r="A1055" s="6"/>
      <c r="B1055" s="6"/>
      <c r="C1055" s="6"/>
      <c r="D1055" s="6"/>
      <c r="E1055" s="6"/>
      <c r="F1055" s="6"/>
      <c r="G1055" s="6"/>
      <c r="H1055" s="6"/>
      <c r="I1055" s="6"/>
      <c r="J1055" s="6"/>
      <c r="K1055" s="6"/>
      <c r="L1055" s="80"/>
      <c r="M1055" s="80"/>
      <c r="N1055" s="80"/>
      <c r="O1055" s="80"/>
      <c r="P1055" s="6"/>
      <c r="Q1055" s="6"/>
      <c r="R1055" s="6"/>
      <c r="S1055" s="6"/>
      <c r="T1055" s="6"/>
      <c r="U1055" s="6"/>
      <c r="V1055" s="6"/>
      <c r="W1055" s="7"/>
      <c r="X1055" s="7"/>
      <c r="Y1055" s="7"/>
      <c r="Z1055" s="7"/>
    </row>
    <row r="1056">
      <c r="A1056" s="6"/>
      <c r="B1056" s="6"/>
      <c r="C1056" s="6"/>
      <c r="D1056" s="6"/>
      <c r="E1056" s="6"/>
      <c r="F1056" s="6"/>
      <c r="G1056" s="6"/>
      <c r="H1056" s="6"/>
      <c r="I1056" s="6"/>
      <c r="J1056" s="6"/>
      <c r="K1056" s="6"/>
      <c r="L1056" s="80"/>
      <c r="M1056" s="80"/>
      <c r="N1056" s="80"/>
      <c r="O1056" s="80"/>
      <c r="P1056" s="6"/>
      <c r="Q1056" s="6"/>
      <c r="R1056" s="6"/>
      <c r="S1056" s="6"/>
      <c r="T1056" s="6"/>
      <c r="U1056" s="6"/>
      <c r="V1056" s="6"/>
      <c r="W1056" s="7"/>
      <c r="X1056" s="7"/>
      <c r="Y1056" s="7"/>
      <c r="Z1056" s="7"/>
    </row>
    <row r="1057">
      <c r="A1057" s="6"/>
      <c r="B1057" s="6"/>
      <c r="C1057" s="6"/>
      <c r="D1057" s="6"/>
      <c r="E1057" s="6"/>
      <c r="F1057" s="6"/>
      <c r="G1057" s="6"/>
      <c r="H1057" s="6"/>
      <c r="I1057" s="6"/>
      <c r="J1057" s="6"/>
      <c r="K1057" s="6"/>
      <c r="L1057" s="80"/>
      <c r="M1057" s="80"/>
      <c r="N1057" s="80"/>
      <c r="O1057" s="80"/>
      <c r="P1057" s="6"/>
      <c r="Q1057" s="6"/>
      <c r="R1057" s="6"/>
      <c r="S1057" s="6"/>
      <c r="T1057" s="6"/>
      <c r="U1057" s="6"/>
      <c r="V1057" s="6"/>
      <c r="W1057" s="7"/>
      <c r="X1057" s="7"/>
      <c r="Y1057" s="7"/>
      <c r="Z1057" s="7"/>
    </row>
    <row r="1058">
      <c r="A1058" s="6"/>
      <c r="B1058" s="6"/>
      <c r="C1058" s="6"/>
      <c r="D1058" s="6"/>
      <c r="E1058" s="6"/>
      <c r="F1058" s="6"/>
      <c r="G1058" s="6"/>
      <c r="H1058" s="6"/>
      <c r="I1058" s="6"/>
      <c r="J1058" s="6"/>
      <c r="K1058" s="6"/>
      <c r="L1058" s="80"/>
      <c r="M1058" s="80"/>
      <c r="N1058" s="80"/>
      <c r="O1058" s="80"/>
      <c r="P1058" s="6"/>
      <c r="Q1058" s="6"/>
      <c r="R1058" s="6"/>
      <c r="S1058" s="6"/>
      <c r="T1058" s="6"/>
      <c r="U1058" s="6"/>
      <c r="V1058" s="6"/>
      <c r="W1058" s="7"/>
      <c r="X1058" s="7"/>
      <c r="Y1058" s="7"/>
      <c r="Z1058" s="7"/>
    </row>
    <row r="1059">
      <c r="A1059" s="6"/>
      <c r="B1059" s="6"/>
      <c r="C1059" s="6"/>
      <c r="D1059" s="6"/>
      <c r="E1059" s="6"/>
      <c r="F1059" s="6"/>
      <c r="G1059" s="6"/>
      <c r="H1059" s="6"/>
      <c r="I1059" s="6"/>
      <c r="J1059" s="6"/>
      <c r="K1059" s="6"/>
      <c r="L1059" s="80"/>
      <c r="M1059" s="80"/>
      <c r="N1059" s="80"/>
      <c r="O1059" s="80"/>
      <c r="P1059" s="6"/>
      <c r="Q1059" s="6"/>
      <c r="R1059" s="6"/>
      <c r="S1059" s="6"/>
      <c r="T1059" s="6"/>
      <c r="U1059" s="6"/>
      <c r="V1059" s="6"/>
      <c r="W1059" s="7"/>
      <c r="X1059" s="7"/>
      <c r="Y1059" s="7"/>
      <c r="Z1059" s="7"/>
    </row>
    <row r="1060">
      <c r="A1060" s="6"/>
      <c r="B1060" s="6"/>
      <c r="C1060" s="6"/>
      <c r="D1060" s="6"/>
      <c r="E1060" s="6"/>
      <c r="F1060" s="6"/>
      <c r="G1060" s="6"/>
      <c r="H1060" s="6"/>
      <c r="I1060" s="6"/>
      <c r="J1060" s="6"/>
      <c r="K1060" s="6"/>
      <c r="L1060" s="80"/>
      <c r="M1060" s="80"/>
      <c r="N1060" s="80"/>
      <c r="O1060" s="80"/>
      <c r="P1060" s="6"/>
      <c r="Q1060" s="6"/>
      <c r="R1060" s="6"/>
      <c r="S1060" s="6"/>
      <c r="T1060" s="6"/>
      <c r="U1060" s="6"/>
      <c r="V1060" s="6"/>
      <c r="W1060" s="7"/>
      <c r="X1060" s="7"/>
      <c r="Y1060" s="7"/>
      <c r="Z1060" s="7"/>
    </row>
    <row r="1061">
      <c r="A1061" s="6"/>
      <c r="B1061" s="6"/>
      <c r="C1061" s="6"/>
      <c r="D1061" s="6"/>
      <c r="E1061" s="6"/>
      <c r="F1061" s="6"/>
      <c r="G1061" s="6"/>
      <c r="H1061" s="6"/>
      <c r="I1061" s="6"/>
      <c r="J1061" s="6"/>
      <c r="K1061" s="6"/>
      <c r="L1061" s="80"/>
      <c r="M1061" s="80"/>
      <c r="N1061" s="80"/>
      <c r="O1061" s="80"/>
      <c r="P1061" s="6"/>
      <c r="Q1061" s="6"/>
      <c r="R1061" s="6"/>
      <c r="S1061" s="6"/>
      <c r="T1061" s="6"/>
      <c r="U1061" s="6"/>
      <c r="V1061" s="6"/>
      <c r="W1061" s="7"/>
      <c r="X1061" s="7"/>
      <c r="Y1061" s="7"/>
      <c r="Z1061" s="7"/>
    </row>
    <row r="1062">
      <c r="A1062" s="6"/>
      <c r="B1062" s="6"/>
      <c r="C1062" s="6"/>
      <c r="D1062" s="6"/>
      <c r="E1062" s="6"/>
      <c r="F1062" s="6"/>
      <c r="G1062" s="6"/>
      <c r="H1062" s="6"/>
      <c r="I1062" s="6"/>
      <c r="J1062" s="6"/>
      <c r="K1062" s="6"/>
      <c r="L1062" s="80"/>
      <c r="M1062" s="80"/>
      <c r="N1062" s="80"/>
      <c r="O1062" s="80"/>
      <c r="P1062" s="6"/>
      <c r="Q1062" s="6"/>
      <c r="R1062" s="6"/>
      <c r="S1062" s="6"/>
      <c r="T1062" s="6"/>
      <c r="U1062" s="6"/>
      <c r="V1062" s="6"/>
      <c r="W1062" s="7"/>
      <c r="X1062" s="7"/>
      <c r="Y1062" s="7"/>
      <c r="Z1062" s="7"/>
    </row>
    <row r="1063">
      <c r="A1063" s="6"/>
      <c r="B1063" s="6"/>
      <c r="C1063" s="6"/>
      <c r="D1063" s="6"/>
      <c r="E1063" s="6"/>
      <c r="F1063" s="6"/>
      <c r="G1063" s="6"/>
      <c r="H1063" s="6"/>
      <c r="I1063" s="6"/>
      <c r="J1063" s="6"/>
      <c r="K1063" s="6"/>
      <c r="L1063" s="80"/>
      <c r="M1063" s="80"/>
      <c r="N1063" s="80"/>
      <c r="O1063" s="80"/>
      <c r="P1063" s="6"/>
      <c r="Q1063" s="6"/>
      <c r="R1063" s="6"/>
      <c r="S1063" s="6"/>
      <c r="T1063" s="6"/>
      <c r="U1063" s="6"/>
      <c r="V1063" s="6"/>
      <c r="W1063" s="7"/>
      <c r="X1063" s="7"/>
      <c r="Y1063" s="7"/>
      <c r="Z1063" s="7"/>
    </row>
    <row r="1064">
      <c r="A1064" s="6"/>
      <c r="B1064" s="6"/>
      <c r="C1064" s="6"/>
      <c r="D1064" s="6"/>
      <c r="E1064" s="6"/>
      <c r="F1064" s="6"/>
      <c r="G1064" s="6"/>
      <c r="H1064" s="6"/>
      <c r="I1064" s="6"/>
      <c r="J1064" s="6"/>
      <c r="K1064" s="6"/>
      <c r="L1064" s="80"/>
      <c r="M1064" s="80"/>
      <c r="N1064" s="80"/>
      <c r="O1064" s="80"/>
      <c r="P1064" s="6"/>
      <c r="Q1064" s="6"/>
      <c r="R1064" s="6"/>
      <c r="S1064" s="6"/>
      <c r="T1064" s="6"/>
      <c r="U1064" s="6"/>
      <c r="V1064" s="6"/>
      <c r="W1064" s="7"/>
      <c r="X1064" s="7"/>
      <c r="Y1064" s="7"/>
      <c r="Z1064" s="7"/>
    </row>
    <row r="1065">
      <c r="A1065" s="6"/>
      <c r="B1065" s="6"/>
      <c r="C1065" s="6"/>
      <c r="D1065" s="6"/>
      <c r="E1065" s="6"/>
      <c r="F1065" s="6"/>
      <c r="G1065" s="6"/>
      <c r="H1065" s="6"/>
      <c r="I1065" s="6"/>
      <c r="J1065" s="6"/>
      <c r="K1065" s="6"/>
      <c r="L1065" s="80"/>
      <c r="M1065" s="80"/>
      <c r="N1065" s="80"/>
      <c r="O1065" s="80"/>
      <c r="P1065" s="6"/>
      <c r="Q1065" s="6"/>
      <c r="R1065" s="6"/>
      <c r="S1065" s="6"/>
      <c r="T1065" s="6"/>
      <c r="U1065" s="6"/>
      <c r="V1065" s="6"/>
      <c r="W1065" s="7"/>
      <c r="X1065" s="7"/>
      <c r="Y1065" s="7"/>
      <c r="Z1065" s="7"/>
    </row>
    <row r="1066">
      <c r="A1066" s="6"/>
      <c r="B1066" s="6"/>
      <c r="C1066" s="6"/>
      <c r="D1066" s="6"/>
      <c r="E1066" s="6"/>
      <c r="F1066" s="6"/>
      <c r="G1066" s="6"/>
      <c r="H1066" s="6"/>
      <c r="I1066" s="6"/>
      <c r="J1066" s="6"/>
      <c r="K1066" s="6"/>
      <c r="L1066" s="80"/>
      <c r="M1066" s="80"/>
      <c r="N1066" s="80"/>
      <c r="O1066" s="80"/>
      <c r="P1066" s="6"/>
      <c r="Q1066" s="6"/>
      <c r="R1066" s="6"/>
      <c r="S1066" s="6"/>
      <c r="T1066" s="6"/>
      <c r="U1066" s="6"/>
      <c r="V1066" s="6"/>
      <c r="W1066" s="7"/>
      <c r="X1066" s="7"/>
      <c r="Y1066" s="7"/>
      <c r="Z1066" s="7"/>
    </row>
    <row r="1067">
      <c r="A1067" s="6"/>
      <c r="B1067" s="6"/>
      <c r="C1067" s="6"/>
      <c r="D1067" s="6"/>
      <c r="E1067" s="6"/>
      <c r="F1067" s="6"/>
      <c r="G1067" s="6"/>
      <c r="H1067" s="6"/>
      <c r="I1067" s="6"/>
      <c r="J1067" s="6"/>
      <c r="K1067" s="6"/>
      <c r="L1067" s="80"/>
      <c r="M1067" s="80"/>
      <c r="N1067" s="80"/>
      <c r="O1067" s="80"/>
      <c r="P1067" s="6"/>
      <c r="Q1067" s="6"/>
      <c r="R1067" s="6"/>
      <c r="S1067" s="6"/>
      <c r="T1067" s="6"/>
      <c r="U1067" s="6"/>
      <c r="V1067" s="6"/>
      <c r="W1067" s="7"/>
      <c r="X1067" s="7"/>
      <c r="Y1067" s="7"/>
      <c r="Z1067" s="7"/>
    </row>
    <row r="1068">
      <c r="A1068" s="6"/>
      <c r="B1068" s="6"/>
      <c r="C1068" s="6"/>
      <c r="D1068" s="6"/>
      <c r="E1068" s="6"/>
      <c r="F1068" s="6"/>
      <c r="G1068" s="6"/>
      <c r="H1068" s="6"/>
      <c r="I1068" s="6"/>
      <c r="J1068" s="6"/>
      <c r="K1068" s="6"/>
      <c r="L1068" s="80"/>
      <c r="M1068" s="80"/>
      <c r="N1068" s="80"/>
      <c r="O1068" s="80"/>
      <c r="P1068" s="6"/>
      <c r="Q1068" s="6"/>
      <c r="R1068" s="6"/>
      <c r="S1068" s="6"/>
      <c r="T1068" s="6"/>
      <c r="U1068" s="6"/>
      <c r="V1068" s="6"/>
      <c r="W1068" s="7"/>
      <c r="X1068" s="7"/>
      <c r="Y1068" s="7"/>
      <c r="Z1068" s="7"/>
    </row>
    <row r="1069">
      <c r="A1069" s="6"/>
      <c r="B1069" s="6"/>
      <c r="C1069" s="6"/>
      <c r="D1069" s="6"/>
      <c r="E1069" s="6"/>
      <c r="F1069" s="6"/>
      <c r="G1069" s="6"/>
      <c r="H1069" s="6"/>
      <c r="I1069" s="6"/>
      <c r="J1069" s="6"/>
      <c r="K1069" s="6"/>
      <c r="L1069" s="80"/>
      <c r="M1069" s="80"/>
      <c r="N1069" s="80"/>
      <c r="O1069" s="80"/>
      <c r="P1069" s="6"/>
      <c r="Q1069" s="6"/>
      <c r="R1069" s="6"/>
      <c r="S1069" s="6"/>
      <c r="T1069" s="6"/>
      <c r="U1069" s="6"/>
      <c r="V1069" s="6"/>
      <c r="W1069" s="7"/>
      <c r="X1069" s="7"/>
      <c r="Y1069" s="7"/>
      <c r="Z1069" s="7"/>
    </row>
    <row r="1070">
      <c r="A1070" s="6"/>
      <c r="B1070" s="6"/>
      <c r="C1070" s="6"/>
      <c r="D1070" s="6"/>
      <c r="E1070" s="6"/>
      <c r="F1070" s="6"/>
      <c r="G1070" s="6"/>
      <c r="H1070" s="6"/>
      <c r="I1070" s="6"/>
      <c r="J1070" s="6"/>
      <c r="K1070" s="6"/>
      <c r="L1070" s="80"/>
      <c r="M1070" s="80"/>
      <c r="N1070" s="80"/>
      <c r="O1070" s="80"/>
      <c r="P1070" s="6"/>
      <c r="Q1070" s="6"/>
      <c r="R1070" s="6"/>
      <c r="S1070" s="6"/>
      <c r="T1070" s="6"/>
      <c r="U1070" s="6"/>
      <c r="V1070" s="6"/>
      <c r="W1070" s="7"/>
      <c r="X1070" s="7"/>
      <c r="Y1070" s="7"/>
      <c r="Z1070" s="7"/>
    </row>
    <row r="1071">
      <c r="A1071" s="6"/>
      <c r="B1071" s="6"/>
      <c r="C1071" s="6"/>
      <c r="D1071" s="6"/>
      <c r="E1071" s="6"/>
      <c r="F1071" s="6"/>
      <c r="G1071" s="6"/>
      <c r="H1071" s="6"/>
      <c r="I1071" s="6"/>
      <c r="J1071" s="6"/>
      <c r="K1071" s="6"/>
      <c r="L1071" s="80"/>
      <c r="M1071" s="80"/>
      <c r="N1071" s="80"/>
      <c r="O1071" s="80"/>
      <c r="P1071" s="6"/>
      <c r="Q1071" s="6"/>
      <c r="R1071" s="6"/>
      <c r="S1071" s="6"/>
      <c r="T1071" s="6"/>
      <c r="U1071" s="6"/>
      <c r="V1071" s="6"/>
      <c r="W1071" s="7"/>
      <c r="X1071" s="7"/>
      <c r="Y1071" s="7"/>
      <c r="Z1071" s="7"/>
    </row>
  </sheetData>
  <mergeCells count="26">
    <mergeCell ref="G3:I3"/>
    <mergeCell ref="G4:I4"/>
    <mergeCell ref="C4:E4"/>
    <mergeCell ref="C5:F5"/>
    <mergeCell ref="G5:I5"/>
    <mergeCell ref="J5:L5"/>
    <mergeCell ref="C3:F3"/>
    <mergeCell ref="C7:F7"/>
    <mergeCell ref="G7:I7"/>
    <mergeCell ref="J7:L7"/>
    <mergeCell ref="C8:E8"/>
    <mergeCell ref="G8:I8"/>
    <mergeCell ref="J8:L8"/>
    <mergeCell ref="C9:F9"/>
    <mergeCell ref="G9:I9"/>
    <mergeCell ref="J9:L9"/>
    <mergeCell ref="D10:K10"/>
    <mergeCell ref="L10:R10"/>
    <mergeCell ref="S10:T10"/>
    <mergeCell ref="A1:B1"/>
    <mergeCell ref="A2:T2"/>
    <mergeCell ref="A3:B9"/>
    <mergeCell ref="J3:L3"/>
    <mergeCell ref="M3:M9"/>
    <mergeCell ref="J4:L4"/>
    <mergeCell ref="J6:L6"/>
  </mergeCells>
  <dataValidations>
    <dataValidation type="list" allowBlank="1" sqref="A2 A26 A34 A42 A50 A58 A66 A74 A82 A90 A98 A106 A114 A122">
      <formula1>"Previous Week,Current Week"</formula1>
    </dataValidation>
  </dataValidations>
  <hyperlinks>
    <hyperlink r:id="rId1" location="/report?id=102%3ADetailSalesTrafficByTime&amp;chartCols=17&amp;columns=0%2F1%2F2%2F3%2F4%2F5%2F6%2F17%2F18%2F23%2F24%2F25%2F26%2F29%2F30%2F31%2F32&amp;fromDate=2025-06-29&amp;toDate=2025-07-05"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1" max="1" width="19.0"/>
  </cols>
  <sheetData>
    <row r="1">
      <c r="A1" s="3" t="s">
        <v>5</v>
      </c>
      <c r="B1" s="4"/>
      <c r="C1" s="5"/>
      <c r="D1" s="5"/>
      <c r="E1" s="5"/>
      <c r="F1" s="5"/>
      <c r="G1" s="5"/>
      <c r="H1" s="5"/>
      <c r="I1" s="5"/>
      <c r="J1" s="5"/>
      <c r="K1" s="5"/>
      <c r="L1" s="5"/>
      <c r="M1" s="5"/>
      <c r="N1" s="5"/>
      <c r="O1" s="5"/>
      <c r="P1" s="5"/>
      <c r="Q1" s="5"/>
      <c r="R1" s="5"/>
      <c r="S1" s="5"/>
      <c r="T1" s="5"/>
      <c r="U1" s="6"/>
      <c r="V1" s="6"/>
      <c r="W1" s="7"/>
      <c r="X1" s="7"/>
      <c r="Y1" s="7"/>
      <c r="Z1" s="7"/>
    </row>
    <row r="2">
      <c r="A2" s="8" t="s">
        <v>6</v>
      </c>
      <c r="B2" s="9"/>
      <c r="C2" s="9"/>
      <c r="D2" s="9"/>
      <c r="E2" s="9"/>
      <c r="F2" s="9"/>
      <c r="G2" s="9"/>
      <c r="H2" s="9"/>
      <c r="I2" s="9"/>
      <c r="J2" s="9"/>
      <c r="K2" s="9"/>
      <c r="L2" s="9"/>
      <c r="M2" s="9"/>
      <c r="N2" s="9"/>
      <c r="O2" s="9"/>
      <c r="P2" s="9"/>
      <c r="Q2" s="9"/>
      <c r="R2" s="9"/>
      <c r="S2" s="9"/>
      <c r="T2" s="10"/>
      <c r="U2" s="6"/>
      <c r="V2" s="6"/>
      <c r="W2" s="7"/>
      <c r="X2" s="7"/>
      <c r="Y2" s="7"/>
      <c r="Z2" s="7"/>
    </row>
    <row r="3">
      <c r="A3" s="6"/>
      <c r="C3" s="11" t="s">
        <v>7</v>
      </c>
      <c r="D3" s="9"/>
      <c r="E3" s="9"/>
      <c r="F3" s="10"/>
      <c r="G3" s="11" t="s">
        <v>8</v>
      </c>
      <c r="H3" s="9"/>
      <c r="I3" s="10"/>
      <c r="J3" s="11" t="s">
        <v>9</v>
      </c>
      <c r="K3" s="9"/>
      <c r="L3" s="9"/>
      <c r="M3" s="6"/>
      <c r="N3" s="12"/>
      <c r="O3" s="12"/>
      <c r="P3" s="12"/>
      <c r="Q3" s="12"/>
      <c r="R3" s="12"/>
      <c r="S3" s="12"/>
      <c r="T3" s="12"/>
      <c r="U3" s="6"/>
      <c r="V3" s="6"/>
      <c r="W3" s="7"/>
      <c r="X3" s="7"/>
      <c r="Y3" s="7"/>
      <c r="Z3" s="7"/>
    </row>
    <row r="4">
      <c r="C4" s="13">
        <f>VLOOKUP("Current Week",$A$11:$T$730,match("SALES",$A$11:$T$11,0),FALSE)</f>
        <v>5006</v>
      </c>
      <c r="D4" s="9"/>
      <c r="E4" s="10"/>
      <c r="F4" s="12"/>
      <c r="G4" s="14">
        <f>VLOOKUP("Current Week",$A$11:$T$730,match("ORDERS",$A$11:$T$11,0),FALSE)</f>
        <v>137</v>
      </c>
      <c r="H4" s="9"/>
      <c r="I4" s="10"/>
      <c r="J4" s="14">
        <f>VLOOKUP("Current Week",$A$11:$T$730,match("UNITS SOLD",$A$11:$T$11,0),FALSE)</f>
        <v>137</v>
      </c>
      <c r="K4" s="9"/>
      <c r="L4" s="9"/>
      <c r="N4" s="12"/>
      <c r="O4" s="12"/>
      <c r="P4" s="12"/>
      <c r="Q4" s="12"/>
      <c r="R4" s="12"/>
      <c r="S4" s="12"/>
      <c r="T4" s="12"/>
      <c r="U4" s="6"/>
      <c r="V4" s="6"/>
      <c r="W4" s="7"/>
      <c r="X4" s="7"/>
      <c r="Y4" s="7"/>
      <c r="Z4" s="7"/>
    </row>
    <row r="5">
      <c r="C5" s="15">
        <f>(C4-(VLOOKUP("Previous Week",$A$11:$T730,match("SALES",$A$11:$T$11,0),FALSE)))/C4</f>
        <v>-0.05303635637</v>
      </c>
      <c r="D5" s="9"/>
      <c r="E5" s="9"/>
      <c r="F5" s="10"/>
      <c r="G5" s="15">
        <f>(G4-(VLOOKUP("Previous Week",$A$11:$T730,match("ORDERS",$A$11:$T$11,0),FALSE)))/G4</f>
        <v>-0.05109489051</v>
      </c>
      <c r="H5" s="9"/>
      <c r="I5" s="10"/>
      <c r="J5" s="15">
        <f>(J4-(VLOOKUP("Previous Week",$A$11:$T730,match("UNITS SOLD",$A$11:$T$11,0),FALSE)))/J4</f>
        <v>-0.05109489051</v>
      </c>
      <c r="K5" s="9"/>
      <c r="L5" s="9"/>
      <c r="N5" s="12"/>
      <c r="O5" s="12"/>
      <c r="P5" s="12"/>
      <c r="Q5" s="12"/>
      <c r="R5" s="12"/>
      <c r="S5" s="12"/>
      <c r="T5" s="12"/>
      <c r="U5" s="6"/>
      <c r="V5" s="6"/>
      <c r="W5" s="7"/>
      <c r="X5" s="7"/>
      <c r="Y5" s="7"/>
      <c r="Z5" s="7"/>
    </row>
    <row r="6">
      <c r="C6" s="12"/>
      <c r="D6" s="12"/>
      <c r="E6" s="12"/>
      <c r="F6" s="12"/>
      <c r="G6" s="12"/>
      <c r="H6" s="12"/>
      <c r="I6" s="12"/>
      <c r="J6" s="16"/>
      <c r="K6" s="9"/>
      <c r="L6" s="10"/>
      <c r="N6" s="12"/>
      <c r="O6" s="12"/>
      <c r="P6" s="12"/>
      <c r="Q6" s="12"/>
      <c r="R6" s="12"/>
      <c r="S6" s="12"/>
      <c r="T6" s="12"/>
      <c r="U6" s="6"/>
      <c r="V6" s="6"/>
      <c r="W6" s="7"/>
      <c r="X6" s="7"/>
      <c r="Y6" s="7"/>
      <c r="Z6" s="7"/>
    </row>
    <row r="7">
      <c r="C7" s="11" t="s">
        <v>10</v>
      </c>
      <c r="D7" s="9"/>
      <c r="E7" s="9"/>
      <c r="F7" s="10"/>
      <c r="G7" s="11" t="s">
        <v>11</v>
      </c>
      <c r="H7" s="9"/>
      <c r="I7" s="10"/>
      <c r="J7" s="11" t="s">
        <v>12</v>
      </c>
      <c r="K7" s="9"/>
      <c r="L7" s="9"/>
      <c r="N7" s="12"/>
      <c r="O7" s="12"/>
      <c r="P7" s="12"/>
      <c r="Q7" s="12"/>
      <c r="R7" s="12"/>
      <c r="S7" s="12"/>
      <c r="T7" s="12"/>
      <c r="U7" s="6"/>
      <c r="V7" s="6"/>
      <c r="W7" s="7"/>
      <c r="X7" s="7"/>
      <c r="Y7" s="7"/>
      <c r="Z7" s="7"/>
    </row>
    <row r="8">
      <c r="C8" s="13">
        <f>VLOOKUP("Current Week",$A$11:$T$730,match("AD SALES",$A$11:$T$11,0),FALSE)</f>
        <v>2591</v>
      </c>
      <c r="D8" s="9"/>
      <c r="E8" s="10"/>
      <c r="F8" s="12"/>
      <c r="G8" s="13">
        <f>VLOOKUP("Current Week",$A$11:$T$730,match("SP AD SPEND",$A$11:$T$11,0),FALSE)</f>
        <v>420.91</v>
      </c>
      <c r="H8" s="9"/>
      <c r="I8" s="10"/>
      <c r="J8" s="17" t="str">
        <f>I8/E8</f>
        <v>#DIV/0!</v>
      </c>
      <c r="K8" s="9"/>
      <c r="L8" s="9"/>
      <c r="N8" s="12"/>
      <c r="O8" s="12"/>
      <c r="P8" s="12"/>
      <c r="Q8" s="12"/>
      <c r="R8" s="12"/>
      <c r="S8" s="12"/>
      <c r="T8" s="12"/>
      <c r="U8" s="6"/>
      <c r="V8" s="6"/>
      <c r="W8" s="7"/>
      <c r="X8" s="7"/>
      <c r="Y8" s="7"/>
      <c r="Z8" s="7"/>
    </row>
    <row r="9">
      <c r="A9" s="18"/>
      <c r="B9" s="18"/>
      <c r="C9" s="19">
        <f>(C8-(VLOOKUP("Previous Week",$A$11:$T730,match("AD SALES",$A$11:$T$11,0),FALSE)))/C8</f>
        <v>-0.2550366654</v>
      </c>
      <c r="D9" s="18"/>
      <c r="E9" s="18"/>
      <c r="F9" s="20"/>
      <c r="G9" s="21">
        <f>(G8-(VLOOKUP("Previous Week",$A$11:$T730,match("SP AD SPEND",$A$11:$T$11,0),FALSE)))/G8</f>
        <v>0.1069349742</v>
      </c>
      <c r="H9" s="18"/>
      <c r="I9" s="20"/>
      <c r="J9" s="22" t="str">
        <f>(J8-(VLOOKUP("Previous Week",$A$11:$T730,match("ACoS",$A$11:$T$11,0),FALSE)))/J8</f>
        <v>#DIV/0!</v>
      </c>
      <c r="K9" s="18"/>
      <c r="L9" s="18"/>
      <c r="M9" s="18"/>
      <c r="N9" s="23"/>
      <c r="O9" s="23"/>
      <c r="P9" s="23"/>
      <c r="Q9" s="23"/>
      <c r="R9" s="23"/>
      <c r="S9" s="23"/>
      <c r="T9" s="23"/>
      <c r="U9" s="6"/>
      <c r="V9" s="6"/>
      <c r="W9" s="7"/>
      <c r="X9" s="7"/>
      <c r="Y9" s="7"/>
      <c r="Z9" s="7"/>
    </row>
    <row r="10">
      <c r="A10" s="24"/>
      <c r="B10" s="25"/>
      <c r="C10" s="25"/>
      <c r="D10" s="14" t="s">
        <v>13</v>
      </c>
      <c r="E10" s="9"/>
      <c r="F10" s="9"/>
      <c r="G10" s="9"/>
      <c r="H10" s="9"/>
      <c r="I10" s="9"/>
      <c r="J10" s="9"/>
      <c r="K10" s="26"/>
      <c r="L10" s="27" t="s">
        <v>14</v>
      </c>
      <c r="M10" s="9"/>
      <c r="N10" s="9"/>
      <c r="O10" s="9"/>
      <c r="P10" s="9"/>
      <c r="Q10" s="9"/>
      <c r="R10" s="26"/>
      <c r="S10" s="14" t="s">
        <v>15</v>
      </c>
      <c r="T10" s="26"/>
      <c r="U10" s="6"/>
      <c r="V10" s="6"/>
      <c r="W10" s="7"/>
      <c r="X10" s="7"/>
      <c r="Y10" s="7"/>
      <c r="Z10" s="7"/>
    </row>
    <row r="11">
      <c r="A11" s="28" t="s">
        <v>16</v>
      </c>
      <c r="B11" s="29" t="s">
        <v>17</v>
      </c>
      <c r="C11" s="30"/>
      <c r="D11" s="31" t="s">
        <v>18</v>
      </c>
      <c r="E11" s="31" t="s">
        <v>19</v>
      </c>
      <c r="F11" s="31" t="s">
        <v>20</v>
      </c>
      <c r="G11" s="31" t="s">
        <v>21</v>
      </c>
      <c r="H11" s="31" t="s">
        <v>22</v>
      </c>
      <c r="I11" s="31" t="s">
        <v>23</v>
      </c>
      <c r="J11" s="31" t="s">
        <v>24</v>
      </c>
      <c r="K11" s="29" t="s">
        <v>25</v>
      </c>
      <c r="L11" s="31" t="s">
        <v>26</v>
      </c>
      <c r="M11" s="31" t="s">
        <v>27</v>
      </c>
      <c r="N11" s="31" t="s">
        <v>28</v>
      </c>
      <c r="O11" s="31" t="s">
        <v>29</v>
      </c>
      <c r="P11" s="31" t="s">
        <v>12</v>
      </c>
      <c r="Q11" s="31" t="s">
        <v>30</v>
      </c>
      <c r="R11" s="29" t="s">
        <v>31</v>
      </c>
      <c r="S11" s="32" t="s">
        <v>18</v>
      </c>
      <c r="T11" s="29" t="s">
        <v>32</v>
      </c>
      <c r="U11" s="6"/>
      <c r="V11" s="6"/>
      <c r="W11" s="7"/>
      <c r="X11" s="7"/>
      <c r="Y11" s="7"/>
      <c r="Z11" s="7"/>
    </row>
    <row r="12" hidden="1" outlineLevel="1">
      <c r="A12" s="33" t="str">
        <f t="shared" ref="A12:A18" si="1">iferror(if(B12&gt;0,month(B12)&amp;"-"&amp;year(B12),B12),)</f>
        <v>12-2024</v>
      </c>
      <c r="B12" s="34">
        <v>45648.0</v>
      </c>
      <c r="C12" s="35"/>
      <c r="D12" s="36">
        <v>2385.0</v>
      </c>
      <c r="E12" s="37">
        <v>68.0</v>
      </c>
      <c r="F12" s="37">
        <v>68.0</v>
      </c>
      <c r="G12" s="38">
        <f t="shared" ref="G12:G451" si="2">E12/F12</f>
        <v>1</v>
      </c>
      <c r="H12" s="36">
        <f t="shared" ref="H12:H18" si="3">D12/F12</f>
        <v>35.07352941</v>
      </c>
      <c r="I12" s="36">
        <f t="shared" ref="I12:I18" si="4">D12/E12</f>
        <v>35.07352941</v>
      </c>
      <c r="J12" s="39">
        <v>4564.0</v>
      </c>
      <c r="K12" s="40">
        <f t="shared" ref="K12:K451" si="5">E12/J12</f>
        <v>0.01489921122</v>
      </c>
      <c r="L12" s="36">
        <v>317.87</v>
      </c>
      <c r="M12" s="36">
        <v>1560.0</v>
      </c>
      <c r="N12" s="37">
        <v>48.0</v>
      </c>
      <c r="O12" s="39">
        <v>223827.0</v>
      </c>
      <c r="P12" s="40">
        <f t="shared" ref="P12:P451" si="6">L12/M12</f>
        <v>0.2037628205</v>
      </c>
      <c r="Q12" s="41">
        <f t="shared" ref="Q12:Q451" si="7">M12/L12</f>
        <v>4.907666656</v>
      </c>
      <c r="R12" s="40">
        <f t="shared" ref="R12:R451" si="8">M12/D12</f>
        <v>0.6540880503</v>
      </c>
      <c r="S12" s="42"/>
      <c r="T12" s="43"/>
      <c r="U12" s="6"/>
      <c r="V12" s="6"/>
      <c r="W12" s="6"/>
      <c r="X12" s="6"/>
      <c r="Y12" s="6"/>
      <c r="Z12" s="6"/>
    </row>
    <row r="13" hidden="1" outlineLevel="1">
      <c r="A13" s="44" t="str">
        <f t="shared" si="1"/>
        <v>12-2024</v>
      </c>
      <c r="B13" s="34">
        <v>45649.0</v>
      </c>
      <c r="C13" s="45"/>
      <c r="D13" s="46">
        <v>1186.0</v>
      </c>
      <c r="E13" s="47">
        <v>31.0</v>
      </c>
      <c r="F13" s="47">
        <v>31.0</v>
      </c>
      <c r="G13" s="48">
        <f t="shared" si="2"/>
        <v>1</v>
      </c>
      <c r="H13" s="46">
        <f t="shared" si="3"/>
        <v>38.25806452</v>
      </c>
      <c r="I13" s="46">
        <f t="shared" si="4"/>
        <v>38.25806452</v>
      </c>
      <c r="J13" s="49">
        <v>2767.0</v>
      </c>
      <c r="K13" s="50">
        <f t="shared" si="5"/>
        <v>0.01120346946</v>
      </c>
      <c r="L13" s="46">
        <v>178.83</v>
      </c>
      <c r="M13" s="46">
        <v>746.0</v>
      </c>
      <c r="N13" s="47">
        <v>22.0</v>
      </c>
      <c r="O13" s="49">
        <v>139288.0</v>
      </c>
      <c r="P13" s="50">
        <f t="shared" si="6"/>
        <v>0.2397184987</v>
      </c>
      <c r="Q13" s="51">
        <f t="shared" si="7"/>
        <v>4.171559582</v>
      </c>
      <c r="R13" s="50">
        <f t="shared" si="8"/>
        <v>0.629005059</v>
      </c>
      <c r="S13" s="16"/>
      <c r="T13" s="25"/>
      <c r="U13" s="6"/>
      <c r="V13" s="6"/>
      <c r="W13" s="6"/>
      <c r="X13" s="6"/>
      <c r="Y13" s="6"/>
      <c r="Z13" s="6"/>
    </row>
    <row r="14" hidden="1" outlineLevel="1">
      <c r="A14" s="44" t="str">
        <f t="shared" si="1"/>
        <v>12-2024</v>
      </c>
      <c r="B14" s="34">
        <v>45650.0</v>
      </c>
      <c r="C14" s="45"/>
      <c r="D14" s="46">
        <v>857.0</v>
      </c>
      <c r="E14" s="47">
        <v>26.0</v>
      </c>
      <c r="F14" s="47">
        <v>26.0</v>
      </c>
      <c r="G14" s="48">
        <f t="shared" si="2"/>
        <v>1</v>
      </c>
      <c r="H14" s="46">
        <f t="shared" si="3"/>
        <v>32.96153846</v>
      </c>
      <c r="I14" s="46">
        <f t="shared" si="4"/>
        <v>32.96153846</v>
      </c>
      <c r="J14" s="49">
        <v>2373.0</v>
      </c>
      <c r="K14" s="50">
        <f t="shared" si="5"/>
        <v>0.01095659503</v>
      </c>
      <c r="L14" s="46">
        <v>153.17</v>
      </c>
      <c r="M14" s="46">
        <v>666.97</v>
      </c>
      <c r="N14" s="47">
        <v>17.0</v>
      </c>
      <c r="O14" s="49">
        <v>107188.0</v>
      </c>
      <c r="P14" s="50">
        <f t="shared" si="6"/>
        <v>0.229650509</v>
      </c>
      <c r="Q14" s="51">
        <f t="shared" si="7"/>
        <v>4.354442776</v>
      </c>
      <c r="R14" s="50">
        <f t="shared" si="8"/>
        <v>0.7782613769</v>
      </c>
      <c r="S14" s="16"/>
      <c r="T14" s="25"/>
      <c r="U14" s="6"/>
      <c r="V14" s="6"/>
      <c r="W14" s="6"/>
      <c r="X14" s="6"/>
      <c r="Y14" s="6"/>
      <c r="Z14" s="6"/>
    </row>
    <row r="15" hidden="1" outlineLevel="1">
      <c r="A15" s="44" t="str">
        <f t="shared" si="1"/>
        <v>12-2024</v>
      </c>
      <c r="B15" s="34">
        <v>45651.0</v>
      </c>
      <c r="C15" s="45"/>
      <c r="D15" s="46">
        <v>2394.0</v>
      </c>
      <c r="E15" s="47">
        <v>63.0</v>
      </c>
      <c r="F15" s="47">
        <v>63.0</v>
      </c>
      <c r="G15" s="48">
        <f t="shared" si="2"/>
        <v>1</v>
      </c>
      <c r="H15" s="46">
        <f t="shared" si="3"/>
        <v>38</v>
      </c>
      <c r="I15" s="46">
        <f t="shared" si="4"/>
        <v>38</v>
      </c>
      <c r="J15" s="49">
        <v>3848.0</v>
      </c>
      <c r="K15" s="50">
        <f t="shared" si="5"/>
        <v>0.01637214137</v>
      </c>
      <c r="L15" s="46">
        <v>225.01</v>
      </c>
      <c r="M15" s="46">
        <v>1548.0</v>
      </c>
      <c r="N15" s="47">
        <v>39.0</v>
      </c>
      <c r="O15" s="49">
        <v>176023.0</v>
      </c>
      <c r="P15" s="50">
        <f t="shared" si="6"/>
        <v>0.1453552972</v>
      </c>
      <c r="Q15" s="51">
        <f t="shared" si="7"/>
        <v>6.879694236</v>
      </c>
      <c r="R15" s="50">
        <f t="shared" si="8"/>
        <v>0.6466165414</v>
      </c>
      <c r="S15" s="16"/>
      <c r="T15" s="25"/>
      <c r="U15" s="6"/>
      <c r="V15" s="6"/>
      <c r="W15" s="6"/>
      <c r="X15" s="6"/>
      <c r="Y15" s="6"/>
      <c r="Z15" s="6"/>
    </row>
    <row r="16" hidden="1" outlineLevel="1">
      <c r="A16" s="44" t="str">
        <f t="shared" si="1"/>
        <v>12-2024</v>
      </c>
      <c r="B16" s="34">
        <v>45652.0</v>
      </c>
      <c r="C16" s="45"/>
      <c r="D16" s="46">
        <v>2869.0</v>
      </c>
      <c r="E16" s="47">
        <v>75.0</v>
      </c>
      <c r="F16" s="47">
        <v>75.0</v>
      </c>
      <c r="G16" s="48">
        <f t="shared" si="2"/>
        <v>1</v>
      </c>
      <c r="H16" s="46">
        <f t="shared" si="3"/>
        <v>38.25333333</v>
      </c>
      <c r="I16" s="46">
        <f t="shared" si="4"/>
        <v>38.25333333</v>
      </c>
      <c r="J16" s="49">
        <v>4781.0</v>
      </c>
      <c r="K16" s="50">
        <f t="shared" si="5"/>
        <v>0.01568709475</v>
      </c>
      <c r="L16" s="46">
        <v>286.19</v>
      </c>
      <c r="M16" s="46">
        <v>1609.0</v>
      </c>
      <c r="N16" s="47">
        <v>41.0</v>
      </c>
      <c r="O16" s="49">
        <v>202033.0</v>
      </c>
      <c r="P16" s="50">
        <f t="shared" si="6"/>
        <v>0.1778682411</v>
      </c>
      <c r="Q16" s="51">
        <f t="shared" si="7"/>
        <v>5.622139138</v>
      </c>
      <c r="R16" s="50">
        <f t="shared" si="8"/>
        <v>0.5608225863</v>
      </c>
      <c r="S16" s="16"/>
      <c r="T16" s="25"/>
      <c r="U16" s="6"/>
      <c r="V16" s="6"/>
      <c r="W16" s="6"/>
      <c r="X16" s="6"/>
      <c r="Y16" s="6"/>
      <c r="Z16" s="6"/>
    </row>
    <row r="17" hidden="1" outlineLevel="1">
      <c r="A17" s="44" t="str">
        <f t="shared" si="1"/>
        <v>12-2024</v>
      </c>
      <c r="B17" s="34">
        <v>45653.0</v>
      </c>
      <c r="C17" s="45"/>
      <c r="D17" s="46">
        <v>1675.0</v>
      </c>
      <c r="E17" s="47">
        <v>45.0</v>
      </c>
      <c r="F17" s="47">
        <v>44.0</v>
      </c>
      <c r="G17" s="48">
        <f t="shared" si="2"/>
        <v>1.022727273</v>
      </c>
      <c r="H17" s="46">
        <f t="shared" si="3"/>
        <v>38.06818182</v>
      </c>
      <c r="I17" s="46">
        <f t="shared" si="4"/>
        <v>37.22222222</v>
      </c>
      <c r="J17" s="49">
        <v>3964.0</v>
      </c>
      <c r="K17" s="50">
        <f t="shared" si="5"/>
        <v>0.01135216953</v>
      </c>
      <c r="L17" s="46">
        <v>217.07</v>
      </c>
      <c r="M17" s="46">
        <v>965.0</v>
      </c>
      <c r="N17" s="47">
        <v>24.0</v>
      </c>
      <c r="O17" s="49">
        <v>166991.0</v>
      </c>
      <c r="P17" s="50">
        <f t="shared" si="6"/>
        <v>0.2249430052</v>
      </c>
      <c r="Q17" s="51">
        <f t="shared" si="7"/>
        <v>4.445570553</v>
      </c>
      <c r="R17" s="50">
        <f t="shared" si="8"/>
        <v>0.576119403</v>
      </c>
      <c r="S17" s="16"/>
      <c r="T17" s="25"/>
      <c r="U17" s="6"/>
      <c r="V17" s="6"/>
      <c r="W17" s="6"/>
      <c r="X17" s="6"/>
      <c r="Y17" s="6"/>
      <c r="Z17" s="6"/>
    </row>
    <row r="18" hidden="1" outlineLevel="1">
      <c r="A18" s="44" t="str">
        <f t="shared" si="1"/>
        <v>12-2024</v>
      </c>
      <c r="B18" s="34">
        <v>45654.0</v>
      </c>
      <c r="C18" s="45"/>
      <c r="D18" s="46">
        <v>1905.0</v>
      </c>
      <c r="E18" s="47">
        <v>53.0</v>
      </c>
      <c r="F18" s="47">
        <v>53.0</v>
      </c>
      <c r="G18" s="48">
        <f t="shared" si="2"/>
        <v>1</v>
      </c>
      <c r="H18" s="46">
        <f t="shared" si="3"/>
        <v>35.94339623</v>
      </c>
      <c r="I18" s="46">
        <f t="shared" si="4"/>
        <v>35.94339623</v>
      </c>
      <c r="J18" s="49">
        <v>4594.0</v>
      </c>
      <c r="K18" s="50">
        <f t="shared" si="5"/>
        <v>0.01153678711</v>
      </c>
      <c r="L18" s="46">
        <v>252.36</v>
      </c>
      <c r="M18" s="46">
        <v>1266.97</v>
      </c>
      <c r="N18" s="47">
        <v>39.0</v>
      </c>
      <c r="O18" s="49">
        <v>184919.0</v>
      </c>
      <c r="P18" s="50">
        <f t="shared" si="6"/>
        <v>0.1991838796</v>
      </c>
      <c r="Q18" s="51">
        <f t="shared" si="7"/>
        <v>5.020486606</v>
      </c>
      <c r="R18" s="50">
        <f t="shared" si="8"/>
        <v>0.6650761155</v>
      </c>
      <c r="S18" s="16"/>
      <c r="T18" s="25"/>
      <c r="U18" s="6"/>
      <c r="V18" s="6"/>
      <c r="W18" s="6"/>
      <c r="X18" s="6"/>
      <c r="Y18" s="6"/>
      <c r="Z18" s="6"/>
    </row>
    <row r="19" collapsed="1">
      <c r="A19" s="52" t="s">
        <v>46</v>
      </c>
      <c r="B19" s="53"/>
      <c r="C19" s="54"/>
      <c r="D19" s="55">
        <f t="shared" ref="D19:F19" si="9">SUM(D12:D18)</f>
        <v>13271</v>
      </c>
      <c r="E19" s="81">
        <f t="shared" si="9"/>
        <v>361</v>
      </c>
      <c r="F19" s="81">
        <f t="shared" si="9"/>
        <v>360</v>
      </c>
      <c r="G19" s="57">
        <f t="shared" si="2"/>
        <v>1.002777778</v>
      </c>
      <c r="H19" s="55">
        <f>AVERAGE(H12:H18)</f>
        <v>36.65114911</v>
      </c>
      <c r="I19" s="58">
        <f>H19/G19</f>
        <v>36.54962238</v>
      </c>
      <c r="J19" s="59">
        <f>SUM(J12:J18)</f>
        <v>26891</v>
      </c>
      <c r="K19" s="60">
        <f t="shared" si="5"/>
        <v>0.01342456584</v>
      </c>
      <c r="L19" s="55">
        <f t="shared" ref="L19:N19" si="10">SUM(L12:L18)</f>
        <v>1630.5</v>
      </c>
      <c r="M19" s="55">
        <f t="shared" si="10"/>
        <v>8361.94</v>
      </c>
      <c r="N19" s="56">
        <f t="shared" si="10"/>
        <v>230</v>
      </c>
      <c r="O19" s="59">
        <f>sum(O12:O18)</f>
        <v>1200269</v>
      </c>
      <c r="P19" s="60">
        <f t="shared" si="6"/>
        <v>0.1949906361</v>
      </c>
      <c r="Q19" s="61">
        <f t="shared" si="7"/>
        <v>5.128451395</v>
      </c>
      <c r="R19" s="62">
        <f t="shared" si="8"/>
        <v>0.6300911762</v>
      </c>
      <c r="S19" s="54" t="str">
        <f>iferror((D19-#REF!)/D19,)</f>
        <v/>
      </c>
      <c r="T19" s="63" t="str">
        <f>iferror((F19-#REF!)/F19,)</f>
        <v/>
      </c>
      <c r="U19" s="64">
        <f t="shared" ref="U19:V19" si="11">L19</f>
        <v>1630.5</v>
      </c>
      <c r="V19" s="64">
        <f t="shared" si="11"/>
        <v>8361.94</v>
      </c>
      <c r="W19" s="6"/>
      <c r="X19" s="6"/>
      <c r="Y19" s="6"/>
      <c r="Z19" s="6"/>
    </row>
    <row r="20" hidden="1" outlineLevel="1">
      <c r="A20" s="33" t="str">
        <f t="shared" ref="A20:A26" si="12">iferror(if(B20&gt;0,month(B20)&amp;"-"&amp;year(B20),B20),)</f>
        <v>12-2024</v>
      </c>
      <c r="B20" s="34">
        <v>45655.0</v>
      </c>
      <c r="C20" s="35"/>
      <c r="D20" s="36">
        <v>1649.0</v>
      </c>
      <c r="E20" s="37">
        <v>47.0</v>
      </c>
      <c r="F20" s="37">
        <v>47.0</v>
      </c>
      <c r="G20" s="38">
        <f t="shared" si="2"/>
        <v>1</v>
      </c>
      <c r="H20" s="36">
        <f t="shared" ref="H20:H26" si="13">D20/F20</f>
        <v>35.08510638</v>
      </c>
      <c r="I20" s="36">
        <f t="shared" ref="I20:I26" si="14">D20/E20</f>
        <v>35.08510638</v>
      </c>
      <c r="J20" s="39">
        <v>4463.0</v>
      </c>
      <c r="K20" s="40">
        <f t="shared" si="5"/>
        <v>0.01053103294</v>
      </c>
      <c r="L20" s="36">
        <v>241.31</v>
      </c>
      <c r="M20" s="36">
        <v>1529.0</v>
      </c>
      <c r="N20" s="37">
        <v>38.0</v>
      </c>
      <c r="O20" s="39">
        <v>195626.0</v>
      </c>
      <c r="P20" s="40">
        <f t="shared" si="6"/>
        <v>0.157822106</v>
      </c>
      <c r="Q20" s="41">
        <f t="shared" si="7"/>
        <v>6.33624798</v>
      </c>
      <c r="R20" s="40">
        <f t="shared" si="8"/>
        <v>0.9272286234</v>
      </c>
      <c r="S20" s="42"/>
      <c r="T20" s="43"/>
      <c r="U20" s="6"/>
      <c r="V20" s="6"/>
      <c r="W20" s="6"/>
      <c r="X20" s="6"/>
      <c r="Y20" s="6"/>
      <c r="Z20" s="6"/>
    </row>
    <row r="21" hidden="1" outlineLevel="1">
      <c r="A21" s="44" t="str">
        <f t="shared" si="12"/>
        <v>12-2024</v>
      </c>
      <c r="B21" s="34">
        <v>45656.0</v>
      </c>
      <c r="C21" s="45"/>
      <c r="D21" s="46">
        <v>1374.0</v>
      </c>
      <c r="E21" s="47">
        <v>32.0</v>
      </c>
      <c r="F21" s="47">
        <v>31.0</v>
      </c>
      <c r="G21" s="48">
        <f t="shared" si="2"/>
        <v>1.032258065</v>
      </c>
      <c r="H21" s="46">
        <f t="shared" si="13"/>
        <v>44.32258065</v>
      </c>
      <c r="I21" s="46">
        <f t="shared" si="14"/>
        <v>42.9375</v>
      </c>
      <c r="J21" s="49">
        <v>3581.0</v>
      </c>
      <c r="K21" s="50">
        <f t="shared" si="5"/>
        <v>0.008936051382</v>
      </c>
      <c r="L21" s="46">
        <v>158.62</v>
      </c>
      <c r="M21" s="46">
        <v>990.94</v>
      </c>
      <c r="N21" s="47">
        <v>24.0</v>
      </c>
      <c r="O21" s="49">
        <v>150233.0</v>
      </c>
      <c r="P21" s="50">
        <f t="shared" si="6"/>
        <v>0.1600702363</v>
      </c>
      <c r="Q21" s="51">
        <f t="shared" si="7"/>
        <v>6.247257597</v>
      </c>
      <c r="R21" s="50">
        <f t="shared" si="8"/>
        <v>0.7212081514</v>
      </c>
      <c r="S21" s="16"/>
      <c r="T21" s="25"/>
      <c r="U21" s="6"/>
      <c r="V21" s="6"/>
      <c r="W21" s="6"/>
      <c r="X21" s="6"/>
      <c r="Y21" s="6"/>
      <c r="Z21" s="6"/>
    </row>
    <row r="22" hidden="1" outlineLevel="1">
      <c r="A22" s="44" t="str">
        <f t="shared" si="12"/>
        <v>12-2024</v>
      </c>
      <c r="B22" s="34">
        <v>45657.0</v>
      </c>
      <c r="C22" s="45"/>
      <c r="D22" s="46">
        <v>952.0</v>
      </c>
      <c r="E22" s="47">
        <v>27.0</v>
      </c>
      <c r="F22" s="47">
        <v>27.0</v>
      </c>
      <c r="G22" s="48">
        <f t="shared" si="2"/>
        <v>1</v>
      </c>
      <c r="H22" s="46">
        <f t="shared" si="13"/>
        <v>35.25925926</v>
      </c>
      <c r="I22" s="46">
        <f t="shared" si="14"/>
        <v>35.25925926</v>
      </c>
      <c r="J22" s="49">
        <v>2503.0</v>
      </c>
      <c r="K22" s="50">
        <f t="shared" si="5"/>
        <v>0.01078705553</v>
      </c>
      <c r="L22" s="46">
        <v>112.77</v>
      </c>
      <c r="M22" s="46">
        <v>675.0</v>
      </c>
      <c r="N22" s="47">
        <v>19.0</v>
      </c>
      <c r="O22" s="49">
        <v>106987.0</v>
      </c>
      <c r="P22" s="50">
        <f t="shared" si="6"/>
        <v>0.1670666667</v>
      </c>
      <c r="Q22" s="51">
        <f t="shared" si="7"/>
        <v>5.985634477</v>
      </c>
      <c r="R22" s="50">
        <f t="shared" si="8"/>
        <v>0.7090336134</v>
      </c>
      <c r="S22" s="16"/>
      <c r="T22" s="25"/>
      <c r="U22" s="6"/>
      <c r="V22" s="6"/>
      <c r="W22" s="6"/>
      <c r="X22" s="6"/>
      <c r="Y22" s="6"/>
      <c r="Z22" s="6"/>
    </row>
    <row r="23" hidden="1" outlineLevel="1">
      <c r="A23" s="44" t="str">
        <f t="shared" si="12"/>
        <v>1-2025</v>
      </c>
      <c r="B23" s="34">
        <v>45658.0</v>
      </c>
      <c r="C23" s="45"/>
      <c r="D23" s="46">
        <v>1445.0</v>
      </c>
      <c r="E23" s="47">
        <v>43.0</v>
      </c>
      <c r="F23" s="47">
        <v>43.0</v>
      </c>
      <c r="G23" s="48">
        <f t="shared" si="2"/>
        <v>1</v>
      </c>
      <c r="H23" s="46">
        <f t="shared" si="13"/>
        <v>33.60465116</v>
      </c>
      <c r="I23" s="46">
        <f t="shared" si="14"/>
        <v>33.60465116</v>
      </c>
      <c r="J23" s="49">
        <v>3403.0</v>
      </c>
      <c r="K23" s="50">
        <f t="shared" si="5"/>
        <v>0.01263590949</v>
      </c>
      <c r="L23" s="46">
        <v>193.84</v>
      </c>
      <c r="M23" s="46">
        <v>925.0</v>
      </c>
      <c r="N23" s="47">
        <v>29.0</v>
      </c>
      <c r="O23" s="49">
        <v>159822.0</v>
      </c>
      <c r="P23" s="50">
        <f t="shared" si="6"/>
        <v>0.2095567568</v>
      </c>
      <c r="Q23" s="51">
        <f t="shared" si="7"/>
        <v>4.771976888</v>
      </c>
      <c r="R23" s="50">
        <f t="shared" si="8"/>
        <v>0.6401384083</v>
      </c>
      <c r="S23" s="16"/>
      <c r="T23" s="25"/>
      <c r="U23" s="6"/>
      <c r="V23" s="6"/>
      <c r="W23" s="6"/>
      <c r="X23" s="6"/>
      <c r="Y23" s="6"/>
      <c r="Z23" s="6"/>
    </row>
    <row r="24" hidden="1" outlineLevel="1">
      <c r="A24" s="44" t="str">
        <f t="shared" si="12"/>
        <v>1-2025</v>
      </c>
      <c r="B24" s="34">
        <v>45659.0</v>
      </c>
      <c r="C24" s="45"/>
      <c r="D24" s="46">
        <v>1159.0</v>
      </c>
      <c r="E24" s="47">
        <v>32.0</v>
      </c>
      <c r="F24" s="47">
        <v>32.0</v>
      </c>
      <c r="G24" s="48">
        <f t="shared" si="2"/>
        <v>1</v>
      </c>
      <c r="H24" s="46">
        <f t="shared" si="13"/>
        <v>36.21875</v>
      </c>
      <c r="I24" s="46">
        <f t="shared" si="14"/>
        <v>36.21875</v>
      </c>
      <c r="J24" s="49">
        <v>3160.0</v>
      </c>
      <c r="K24" s="50">
        <f t="shared" si="5"/>
        <v>0.01012658228</v>
      </c>
      <c r="L24" s="46">
        <v>153.45</v>
      </c>
      <c r="M24" s="46">
        <v>569.0</v>
      </c>
      <c r="N24" s="47">
        <v>15.0</v>
      </c>
      <c r="O24" s="49">
        <v>145092.0</v>
      </c>
      <c r="P24" s="50">
        <f t="shared" si="6"/>
        <v>0.2696836555</v>
      </c>
      <c r="Q24" s="51">
        <f t="shared" si="7"/>
        <v>3.708048224</v>
      </c>
      <c r="R24" s="50">
        <f t="shared" si="8"/>
        <v>0.4909404659</v>
      </c>
      <c r="S24" s="16"/>
      <c r="T24" s="25"/>
      <c r="U24" s="6"/>
      <c r="V24" s="6"/>
      <c r="W24" s="6"/>
      <c r="X24" s="6"/>
      <c r="Y24" s="6"/>
      <c r="Z24" s="6"/>
    </row>
    <row r="25" hidden="1" outlineLevel="1">
      <c r="A25" s="44" t="str">
        <f t="shared" si="12"/>
        <v>1-2025</v>
      </c>
      <c r="B25" s="34">
        <v>45660.0</v>
      </c>
      <c r="C25" s="45"/>
      <c r="D25" s="46">
        <v>1699.0</v>
      </c>
      <c r="E25" s="47">
        <v>51.0</v>
      </c>
      <c r="F25" s="47">
        <v>51.0</v>
      </c>
      <c r="G25" s="48">
        <f t="shared" si="2"/>
        <v>1</v>
      </c>
      <c r="H25" s="46">
        <f t="shared" si="13"/>
        <v>33.31372549</v>
      </c>
      <c r="I25" s="46">
        <f t="shared" si="14"/>
        <v>33.31372549</v>
      </c>
      <c r="J25" s="49">
        <v>2932.0</v>
      </c>
      <c r="K25" s="50">
        <f t="shared" si="5"/>
        <v>0.01739427012</v>
      </c>
      <c r="L25" s="46">
        <v>157.79</v>
      </c>
      <c r="M25" s="46">
        <v>1179.0</v>
      </c>
      <c r="N25" s="47">
        <v>37.0</v>
      </c>
      <c r="O25" s="49">
        <v>137010.0</v>
      </c>
      <c r="P25" s="50">
        <f t="shared" si="6"/>
        <v>0.1338337574</v>
      </c>
      <c r="Q25" s="51">
        <f t="shared" si="7"/>
        <v>7.471956398</v>
      </c>
      <c r="R25" s="50">
        <f t="shared" si="8"/>
        <v>0.6939376104</v>
      </c>
      <c r="S25" s="16"/>
      <c r="T25" s="25"/>
      <c r="U25" s="6"/>
      <c r="V25" s="6"/>
      <c r="W25" s="6"/>
      <c r="X25" s="6"/>
      <c r="Y25" s="6"/>
      <c r="Z25" s="6"/>
    </row>
    <row r="26" hidden="1" outlineLevel="1">
      <c r="A26" s="44" t="str">
        <f t="shared" si="12"/>
        <v>1-2025</v>
      </c>
      <c r="B26" s="34">
        <v>45661.0</v>
      </c>
      <c r="C26" s="45"/>
      <c r="D26" s="46">
        <v>1274.0</v>
      </c>
      <c r="E26" s="47">
        <v>35.0</v>
      </c>
      <c r="F26" s="47">
        <v>35.0</v>
      </c>
      <c r="G26" s="48">
        <f t="shared" si="2"/>
        <v>1</v>
      </c>
      <c r="H26" s="46">
        <f t="shared" si="13"/>
        <v>36.4</v>
      </c>
      <c r="I26" s="46">
        <f t="shared" si="14"/>
        <v>36.4</v>
      </c>
      <c r="J26" s="49">
        <v>3414.0</v>
      </c>
      <c r="K26" s="50">
        <f t="shared" si="5"/>
        <v>0.01025190393</v>
      </c>
      <c r="L26" s="46">
        <v>200.8</v>
      </c>
      <c r="M26" s="46">
        <v>1146.0</v>
      </c>
      <c r="N26" s="47">
        <v>34.0</v>
      </c>
      <c r="O26" s="49">
        <v>164979.0</v>
      </c>
      <c r="P26" s="50">
        <f t="shared" si="6"/>
        <v>0.1752181501</v>
      </c>
      <c r="Q26" s="51">
        <f t="shared" si="7"/>
        <v>5.707171315</v>
      </c>
      <c r="R26" s="50">
        <f t="shared" si="8"/>
        <v>0.8995290424</v>
      </c>
      <c r="S26" s="16"/>
      <c r="T26" s="25"/>
      <c r="U26" s="6"/>
      <c r="V26" s="6"/>
      <c r="W26" s="6"/>
      <c r="X26" s="6"/>
      <c r="Y26" s="6"/>
      <c r="Z26" s="6"/>
    </row>
    <row r="27" collapsed="1">
      <c r="A27" s="52" t="s">
        <v>47</v>
      </c>
      <c r="B27" s="53"/>
      <c r="C27" s="54"/>
      <c r="D27" s="55">
        <f t="shared" ref="D27:F27" si="15">SUM(D20:D26)</f>
        <v>9552</v>
      </c>
      <c r="E27" s="81">
        <f t="shared" si="15"/>
        <v>267</v>
      </c>
      <c r="F27" s="81">
        <f t="shared" si="15"/>
        <v>266</v>
      </c>
      <c r="G27" s="57">
        <f t="shared" si="2"/>
        <v>1.003759398</v>
      </c>
      <c r="H27" s="55">
        <f>AVERAGE(H20:H26)</f>
        <v>36.31486756</v>
      </c>
      <c r="I27" s="58">
        <f>H27/G27</f>
        <v>36.17885682</v>
      </c>
      <c r="J27" s="59">
        <f>SUM(J20:J26)</f>
        <v>23456</v>
      </c>
      <c r="K27" s="60">
        <f t="shared" si="5"/>
        <v>0.01138301501</v>
      </c>
      <c r="L27" s="55">
        <f t="shared" ref="L27:N27" si="16">SUM(L20:L26)</f>
        <v>1218.58</v>
      </c>
      <c r="M27" s="55">
        <f t="shared" si="16"/>
        <v>7013.94</v>
      </c>
      <c r="N27" s="56">
        <f t="shared" si="16"/>
        <v>196</v>
      </c>
      <c r="O27" s="59">
        <f>sum(O20:O26)</f>
        <v>1059749</v>
      </c>
      <c r="P27" s="60">
        <f t="shared" si="6"/>
        <v>0.1737368726</v>
      </c>
      <c r="Q27" s="61">
        <f t="shared" si="7"/>
        <v>5.755830557</v>
      </c>
      <c r="R27" s="62">
        <f t="shared" si="8"/>
        <v>0.734290201</v>
      </c>
      <c r="S27" s="54" t="str">
        <f>iferror((D27-#REF!)/D27,)</f>
        <v/>
      </c>
      <c r="T27" s="63" t="str">
        <f>iferror((F27-#REF!)/F27,)</f>
        <v/>
      </c>
      <c r="U27" s="64">
        <f t="shared" ref="U27:V27" si="17">L27</f>
        <v>1218.58</v>
      </c>
      <c r="V27" s="64">
        <f t="shared" si="17"/>
        <v>7013.94</v>
      </c>
      <c r="W27" s="6"/>
      <c r="X27" s="6"/>
      <c r="Y27" s="6"/>
      <c r="Z27" s="6"/>
    </row>
    <row r="28" hidden="1" outlineLevel="1">
      <c r="A28" s="33" t="str">
        <f t="shared" ref="A28:A34" si="18">iferror(if(B28&gt;0,month(B28)&amp;"-"&amp;year(B28),B28),)</f>
        <v>1-2025</v>
      </c>
      <c r="B28" s="34">
        <v>45662.0</v>
      </c>
      <c r="C28" s="35"/>
      <c r="D28" s="36">
        <v>1802.0</v>
      </c>
      <c r="E28" s="37">
        <v>50.0</v>
      </c>
      <c r="F28" s="37">
        <v>50.0</v>
      </c>
      <c r="G28" s="38">
        <f t="shared" si="2"/>
        <v>1</v>
      </c>
      <c r="H28" s="36">
        <f t="shared" ref="H28:H34" si="19">D28/F28</f>
        <v>36.04</v>
      </c>
      <c r="I28" s="36">
        <f t="shared" ref="I28:I34" si="20">D28/E28</f>
        <v>36.04</v>
      </c>
      <c r="J28" s="39">
        <v>3620.0</v>
      </c>
      <c r="K28" s="40">
        <f t="shared" si="5"/>
        <v>0.0138121547</v>
      </c>
      <c r="L28" s="36">
        <v>216.16</v>
      </c>
      <c r="M28" s="36">
        <v>1306.97</v>
      </c>
      <c r="N28" s="37">
        <v>35.0</v>
      </c>
      <c r="O28" s="39">
        <v>177916.0</v>
      </c>
      <c r="P28" s="40">
        <f t="shared" si="6"/>
        <v>0.1653901773</v>
      </c>
      <c r="Q28" s="41">
        <f t="shared" si="7"/>
        <v>6.04630829</v>
      </c>
      <c r="R28" s="40">
        <f t="shared" si="8"/>
        <v>0.7252885683</v>
      </c>
      <c r="S28" s="42"/>
      <c r="T28" s="43"/>
      <c r="U28" s="6"/>
      <c r="V28" s="6"/>
      <c r="W28" s="6"/>
      <c r="X28" s="6"/>
      <c r="Y28" s="6"/>
      <c r="Z28" s="6"/>
    </row>
    <row r="29" hidden="1" outlineLevel="1">
      <c r="A29" s="44" t="str">
        <f t="shared" si="18"/>
        <v>1-2025</v>
      </c>
      <c r="B29" s="34">
        <v>45663.0</v>
      </c>
      <c r="C29" s="45"/>
      <c r="D29" s="46">
        <v>1472.0</v>
      </c>
      <c r="E29" s="47">
        <v>41.0</v>
      </c>
      <c r="F29" s="47">
        <v>41.0</v>
      </c>
      <c r="G29" s="48">
        <f t="shared" si="2"/>
        <v>1</v>
      </c>
      <c r="H29" s="46">
        <f t="shared" si="19"/>
        <v>35.90243902</v>
      </c>
      <c r="I29" s="46">
        <f t="shared" si="20"/>
        <v>35.90243902</v>
      </c>
      <c r="J29" s="49">
        <v>2931.0</v>
      </c>
      <c r="K29" s="50">
        <f t="shared" si="5"/>
        <v>0.01398839986</v>
      </c>
      <c r="L29" s="46">
        <v>130.58</v>
      </c>
      <c r="M29" s="46">
        <v>889.0</v>
      </c>
      <c r="N29" s="47">
        <v>28.0</v>
      </c>
      <c r="O29" s="49">
        <v>139960.0</v>
      </c>
      <c r="P29" s="50">
        <f t="shared" si="6"/>
        <v>0.1468841395</v>
      </c>
      <c r="Q29" s="51">
        <f t="shared" si="7"/>
        <v>6.808086996</v>
      </c>
      <c r="R29" s="50">
        <f t="shared" si="8"/>
        <v>0.6039402174</v>
      </c>
      <c r="S29" s="16"/>
      <c r="T29" s="25"/>
      <c r="U29" s="6"/>
      <c r="V29" s="6"/>
      <c r="W29" s="6"/>
      <c r="X29" s="6"/>
      <c r="Y29" s="6"/>
      <c r="Z29" s="6"/>
    </row>
    <row r="30" hidden="1" outlineLevel="1">
      <c r="A30" s="44" t="str">
        <f t="shared" si="18"/>
        <v>1-2025</v>
      </c>
      <c r="B30" s="34">
        <v>45664.0</v>
      </c>
      <c r="C30" s="45"/>
      <c r="D30" s="46">
        <v>1095.0</v>
      </c>
      <c r="E30" s="47">
        <v>35.0</v>
      </c>
      <c r="F30" s="47">
        <v>35.0</v>
      </c>
      <c r="G30" s="48">
        <f t="shared" si="2"/>
        <v>1</v>
      </c>
      <c r="H30" s="46">
        <f t="shared" si="19"/>
        <v>31.28571429</v>
      </c>
      <c r="I30" s="46">
        <f t="shared" si="20"/>
        <v>31.28571429</v>
      </c>
      <c r="J30" s="49">
        <v>2159.0</v>
      </c>
      <c r="K30" s="50">
        <f t="shared" si="5"/>
        <v>0.01621120889</v>
      </c>
      <c r="L30" s="46">
        <v>60.82</v>
      </c>
      <c r="M30" s="46">
        <v>440.0</v>
      </c>
      <c r="N30" s="47">
        <v>14.0</v>
      </c>
      <c r="O30" s="49">
        <v>57078.0</v>
      </c>
      <c r="P30" s="50">
        <f t="shared" si="6"/>
        <v>0.1382272727</v>
      </c>
      <c r="Q30" s="51">
        <f t="shared" si="7"/>
        <v>7.234462348</v>
      </c>
      <c r="R30" s="50">
        <f t="shared" si="8"/>
        <v>0.401826484</v>
      </c>
      <c r="S30" s="16"/>
      <c r="T30" s="25"/>
      <c r="U30" s="6"/>
      <c r="V30" s="6"/>
      <c r="W30" s="6"/>
      <c r="X30" s="6"/>
      <c r="Y30" s="6"/>
      <c r="Z30" s="6"/>
    </row>
    <row r="31" hidden="1" outlineLevel="1">
      <c r="A31" s="44" t="str">
        <f t="shared" si="18"/>
        <v>1-2025</v>
      </c>
      <c r="B31" s="34">
        <v>45665.0</v>
      </c>
      <c r="C31" s="45"/>
      <c r="D31" s="46">
        <v>1018.0</v>
      </c>
      <c r="E31" s="47">
        <v>25.0</v>
      </c>
      <c r="F31" s="47">
        <v>25.0</v>
      </c>
      <c r="G31" s="48">
        <f t="shared" si="2"/>
        <v>1</v>
      </c>
      <c r="H31" s="46">
        <f t="shared" si="19"/>
        <v>40.72</v>
      </c>
      <c r="I31" s="46">
        <f t="shared" si="20"/>
        <v>40.72</v>
      </c>
      <c r="J31" s="49">
        <v>1710.0</v>
      </c>
      <c r="K31" s="50">
        <f t="shared" si="5"/>
        <v>0.01461988304</v>
      </c>
      <c r="L31" s="46">
        <v>0.73</v>
      </c>
      <c r="M31" s="46">
        <v>75.0</v>
      </c>
      <c r="N31" s="47">
        <v>1.0</v>
      </c>
      <c r="O31" s="49">
        <v>1233.0</v>
      </c>
      <c r="P31" s="50">
        <f t="shared" si="6"/>
        <v>0.009733333333</v>
      </c>
      <c r="Q31" s="51">
        <f t="shared" si="7"/>
        <v>102.739726</v>
      </c>
      <c r="R31" s="50">
        <f t="shared" si="8"/>
        <v>0.07367387033</v>
      </c>
      <c r="S31" s="16"/>
      <c r="T31" s="25"/>
      <c r="U31" s="6"/>
      <c r="V31" s="6"/>
      <c r="W31" s="6"/>
      <c r="X31" s="6"/>
      <c r="Y31" s="6"/>
      <c r="Z31" s="6"/>
    </row>
    <row r="32" hidden="1" outlineLevel="1">
      <c r="A32" s="44" t="str">
        <f t="shared" si="18"/>
        <v>1-2025</v>
      </c>
      <c r="B32" s="34">
        <v>45666.0</v>
      </c>
      <c r="C32" s="45"/>
      <c r="D32" s="46">
        <v>644.0</v>
      </c>
      <c r="E32" s="47">
        <v>18.0</v>
      </c>
      <c r="F32" s="47">
        <v>18.0</v>
      </c>
      <c r="G32" s="48">
        <f t="shared" si="2"/>
        <v>1</v>
      </c>
      <c r="H32" s="46">
        <f t="shared" si="19"/>
        <v>35.77777778</v>
      </c>
      <c r="I32" s="46">
        <f t="shared" si="20"/>
        <v>35.77777778</v>
      </c>
      <c r="J32" s="49">
        <v>1436.0</v>
      </c>
      <c r="K32" s="50">
        <f t="shared" si="5"/>
        <v>0.01253481894</v>
      </c>
      <c r="L32" s="46">
        <v>0.42</v>
      </c>
      <c r="M32" s="46">
        <v>21.97</v>
      </c>
      <c r="N32" s="47">
        <v>1.0</v>
      </c>
      <c r="O32" s="49">
        <v>1155.0</v>
      </c>
      <c r="P32" s="50">
        <f t="shared" si="6"/>
        <v>0.0191169777</v>
      </c>
      <c r="Q32" s="51">
        <f t="shared" si="7"/>
        <v>52.30952381</v>
      </c>
      <c r="R32" s="50">
        <f t="shared" si="8"/>
        <v>0.03411490683</v>
      </c>
      <c r="S32" s="16"/>
      <c r="T32" s="25"/>
      <c r="U32" s="6"/>
      <c r="V32" s="6"/>
      <c r="W32" s="6"/>
      <c r="X32" s="6"/>
      <c r="Y32" s="6"/>
      <c r="Z32" s="6"/>
    </row>
    <row r="33" hidden="1" outlineLevel="1">
      <c r="A33" s="44" t="str">
        <f t="shared" si="18"/>
        <v>1-2025</v>
      </c>
      <c r="B33" s="34">
        <v>45667.0</v>
      </c>
      <c r="C33" s="45"/>
      <c r="D33" s="46">
        <v>660.0</v>
      </c>
      <c r="E33" s="47">
        <v>19.0</v>
      </c>
      <c r="F33" s="47">
        <v>19.0</v>
      </c>
      <c r="G33" s="48">
        <f t="shared" si="2"/>
        <v>1</v>
      </c>
      <c r="H33" s="46">
        <f t="shared" si="19"/>
        <v>34.73684211</v>
      </c>
      <c r="I33" s="46">
        <f t="shared" si="20"/>
        <v>34.73684211</v>
      </c>
      <c r="J33" s="49">
        <v>1563.0</v>
      </c>
      <c r="K33" s="50">
        <f t="shared" si="5"/>
        <v>0.01215611004</v>
      </c>
      <c r="L33" s="46">
        <v>0.16</v>
      </c>
      <c r="M33" s="46">
        <v>0.0</v>
      </c>
      <c r="N33" s="47">
        <v>0.0</v>
      </c>
      <c r="O33" s="49">
        <v>1033.0</v>
      </c>
      <c r="P33" s="50" t="str">
        <f t="shared" si="6"/>
        <v>#DIV/0!</v>
      </c>
      <c r="Q33" s="51">
        <f t="shared" si="7"/>
        <v>0</v>
      </c>
      <c r="R33" s="50">
        <f t="shared" si="8"/>
        <v>0</v>
      </c>
      <c r="S33" s="16"/>
      <c r="T33" s="25"/>
      <c r="U33" s="6"/>
      <c r="V33" s="6"/>
      <c r="W33" s="6"/>
      <c r="X33" s="6"/>
      <c r="Y33" s="6"/>
      <c r="Z33" s="6"/>
    </row>
    <row r="34" hidden="1" outlineLevel="1">
      <c r="A34" s="44" t="str">
        <f t="shared" si="18"/>
        <v>1-2025</v>
      </c>
      <c r="B34" s="34">
        <v>45668.0</v>
      </c>
      <c r="C34" s="45"/>
      <c r="D34" s="46">
        <v>1289.0</v>
      </c>
      <c r="E34" s="47">
        <v>33.0</v>
      </c>
      <c r="F34" s="47">
        <v>33.0</v>
      </c>
      <c r="G34" s="48">
        <f t="shared" si="2"/>
        <v>1</v>
      </c>
      <c r="H34" s="46">
        <f t="shared" si="19"/>
        <v>39.06060606</v>
      </c>
      <c r="I34" s="46">
        <f t="shared" si="20"/>
        <v>39.06060606</v>
      </c>
      <c r="J34" s="49">
        <v>1727.0</v>
      </c>
      <c r="K34" s="50">
        <f t="shared" si="5"/>
        <v>0.01910828025</v>
      </c>
      <c r="L34" s="46">
        <v>0.28</v>
      </c>
      <c r="M34" s="46">
        <v>0.0</v>
      </c>
      <c r="N34" s="47">
        <v>0.0</v>
      </c>
      <c r="O34" s="49">
        <v>1224.0</v>
      </c>
      <c r="P34" s="50" t="str">
        <f t="shared" si="6"/>
        <v>#DIV/0!</v>
      </c>
      <c r="Q34" s="51">
        <f t="shared" si="7"/>
        <v>0</v>
      </c>
      <c r="R34" s="50">
        <f t="shared" si="8"/>
        <v>0</v>
      </c>
      <c r="S34" s="16"/>
      <c r="T34" s="25"/>
      <c r="U34" s="6"/>
      <c r="V34" s="6"/>
      <c r="W34" s="6"/>
      <c r="X34" s="6"/>
      <c r="Y34" s="6"/>
      <c r="Z34" s="6"/>
    </row>
    <row r="35" collapsed="1">
      <c r="A35" s="52" t="s">
        <v>48</v>
      </c>
      <c r="B35" s="53"/>
      <c r="C35" s="54"/>
      <c r="D35" s="55">
        <f t="shared" ref="D35:F35" si="21">SUM(D28:D34)</f>
        <v>7980</v>
      </c>
      <c r="E35" s="81">
        <f t="shared" si="21"/>
        <v>221</v>
      </c>
      <c r="F35" s="81">
        <f t="shared" si="21"/>
        <v>221</v>
      </c>
      <c r="G35" s="57">
        <f t="shared" si="2"/>
        <v>1</v>
      </c>
      <c r="H35" s="55">
        <f>AVERAGE(H28:H34)</f>
        <v>36.21762561</v>
      </c>
      <c r="I35" s="58">
        <f>H35/G35</f>
        <v>36.21762561</v>
      </c>
      <c r="J35" s="59">
        <f>SUM(J28:J34)</f>
        <v>15146</v>
      </c>
      <c r="K35" s="60">
        <f t="shared" si="5"/>
        <v>0.01459131124</v>
      </c>
      <c r="L35" s="55">
        <f t="shared" ref="L35:N35" si="22">SUM(L28:L34)</f>
        <v>409.15</v>
      </c>
      <c r="M35" s="55">
        <f t="shared" si="22"/>
        <v>2732.94</v>
      </c>
      <c r="N35" s="56">
        <f t="shared" si="22"/>
        <v>79</v>
      </c>
      <c r="O35" s="59">
        <f>sum(O28:O34)</f>
        <v>379599</v>
      </c>
      <c r="P35" s="60">
        <f t="shared" si="6"/>
        <v>0.1497105681</v>
      </c>
      <c r="Q35" s="61">
        <f t="shared" si="7"/>
        <v>6.679555175</v>
      </c>
      <c r="R35" s="62">
        <f t="shared" si="8"/>
        <v>0.3424736842</v>
      </c>
      <c r="S35" s="54" t="str">
        <f>iferror((D35-#REF!)/D35,)</f>
        <v/>
      </c>
      <c r="T35" s="63" t="str">
        <f>iferror((F35-#REF!)/F35,)</f>
        <v/>
      </c>
      <c r="U35" s="64">
        <f t="shared" ref="U35:V35" si="23">L35</f>
        <v>409.15</v>
      </c>
      <c r="V35" s="64">
        <f t="shared" si="23"/>
        <v>2732.94</v>
      </c>
      <c r="W35" s="6"/>
      <c r="X35" s="6"/>
      <c r="Y35" s="6"/>
      <c r="Z35" s="6"/>
    </row>
    <row r="36" hidden="1" outlineLevel="1">
      <c r="A36" s="65" t="str">
        <f t="shared" ref="A36:A42" si="24">iferror(if(B36&gt;0,month(B36)&amp;"-"&amp;year(B36),B36),)</f>
        <v>1-2025</v>
      </c>
      <c r="B36" s="82">
        <v>45669.0</v>
      </c>
      <c r="C36" s="83"/>
      <c r="D36" s="84">
        <v>1537.0</v>
      </c>
      <c r="E36" s="85">
        <v>41.0</v>
      </c>
      <c r="F36" s="85">
        <v>39.0</v>
      </c>
      <c r="G36" s="86">
        <f t="shared" si="2"/>
        <v>1.051282051</v>
      </c>
      <c r="H36" s="84">
        <f t="shared" ref="H36:H42" si="25">D36/F36</f>
        <v>39.41025641</v>
      </c>
      <c r="I36" s="84">
        <f t="shared" ref="I36:I42" si="26">D36/E36</f>
        <v>37.48780488</v>
      </c>
      <c r="J36" s="87">
        <v>1897.0</v>
      </c>
      <c r="K36" s="88">
        <f t="shared" si="5"/>
        <v>0.02161307327</v>
      </c>
      <c r="L36" s="84">
        <v>0.36</v>
      </c>
      <c r="M36" s="84">
        <v>0.0</v>
      </c>
      <c r="N36" s="85">
        <v>0.0</v>
      </c>
      <c r="O36" s="87">
        <v>1461.0</v>
      </c>
      <c r="P36" s="88" t="str">
        <f t="shared" si="6"/>
        <v>#DIV/0!</v>
      </c>
      <c r="Q36" s="89">
        <f t="shared" si="7"/>
        <v>0</v>
      </c>
      <c r="R36" s="88">
        <f t="shared" si="8"/>
        <v>0</v>
      </c>
      <c r="S36" s="90"/>
      <c r="T36" s="91"/>
      <c r="U36" s="2"/>
      <c r="V36" s="2"/>
      <c r="W36" s="2"/>
      <c r="X36" s="2"/>
      <c r="Y36" s="2"/>
      <c r="Z36" s="2"/>
    </row>
    <row r="37" hidden="1" outlineLevel="1">
      <c r="A37" s="70" t="str">
        <f t="shared" si="24"/>
        <v>1-2025</v>
      </c>
      <c r="B37" s="82">
        <v>45670.0</v>
      </c>
      <c r="C37" s="92"/>
      <c r="D37" s="93">
        <v>839.0</v>
      </c>
      <c r="E37" s="94">
        <v>23.0</v>
      </c>
      <c r="F37" s="94">
        <v>23.0</v>
      </c>
      <c r="G37" s="95">
        <f t="shared" si="2"/>
        <v>1</v>
      </c>
      <c r="H37" s="93">
        <f t="shared" si="25"/>
        <v>36.47826087</v>
      </c>
      <c r="I37" s="93">
        <f t="shared" si="26"/>
        <v>36.47826087</v>
      </c>
      <c r="J37" s="96">
        <v>1321.0</v>
      </c>
      <c r="K37" s="97">
        <f t="shared" si="5"/>
        <v>0.01741105223</v>
      </c>
      <c r="L37" s="93">
        <v>0.59</v>
      </c>
      <c r="M37" s="93">
        <v>35.0</v>
      </c>
      <c r="N37" s="94">
        <v>1.0</v>
      </c>
      <c r="O37" s="96">
        <v>1070.0</v>
      </c>
      <c r="P37" s="97">
        <f t="shared" si="6"/>
        <v>0.01685714286</v>
      </c>
      <c r="Q37" s="98">
        <f t="shared" si="7"/>
        <v>59.3220339</v>
      </c>
      <c r="R37" s="97">
        <f t="shared" si="8"/>
        <v>0.04171632896</v>
      </c>
      <c r="S37" s="99"/>
      <c r="T37" s="100"/>
      <c r="U37" s="2"/>
      <c r="V37" s="2"/>
      <c r="W37" s="2"/>
      <c r="X37" s="2"/>
      <c r="Y37" s="2"/>
      <c r="Z37" s="2"/>
    </row>
    <row r="38" hidden="1" outlineLevel="1">
      <c r="A38" s="70" t="str">
        <f t="shared" si="24"/>
        <v>1-2025</v>
      </c>
      <c r="B38" s="82">
        <v>45671.0</v>
      </c>
      <c r="C38" s="92"/>
      <c r="D38" s="93">
        <v>976.0</v>
      </c>
      <c r="E38" s="94">
        <v>26.0</v>
      </c>
      <c r="F38" s="94">
        <v>25.0</v>
      </c>
      <c r="G38" s="95">
        <f t="shared" si="2"/>
        <v>1.04</v>
      </c>
      <c r="H38" s="93">
        <f t="shared" si="25"/>
        <v>39.04</v>
      </c>
      <c r="I38" s="93">
        <f t="shared" si="26"/>
        <v>37.53846154</v>
      </c>
      <c r="J38" s="96">
        <v>1327.0</v>
      </c>
      <c r="K38" s="97">
        <f t="shared" si="5"/>
        <v>0.01959306707</v>
      </c>
      <c r="L38" s="93">
        <v>0.84</v>
      </c>
      <c r="M38" s="93">
        <v>0.0</v>
      </c>
      <c r="N38" s="94">
        <v>0.0</v>
      </c>
      <c r="O38" s="96">
        <v>958.0</v>
      </c>
      <c r="P38" s="97" t="str">
        <f t="shared" si="6"/>
        <v>#DIV/0!</v>
      </c>
      <c r="Q38" s="98">
        <f t="shared" si="7"/>
        <v>0</v>
      </c>
      <c r="R38" s="97">
        <f t="shared" si="8"/>
        <v>0</v>
      </c>
      <c r="S38" s="99"/>
      <c r="T38" s="100"/>
      <c r="U38" s="2"/>
      <c r="V38" s="2"/>
      <c r="W38" s="2"/>
      <c r="X38" s="2"/>
      <c r="Y38" s="2"/>
      <c r="Z38" s="2"/>
    </row>
    <row r="39" hidden="1" outlineLevel="1">
      <c r="A39" s="70" t="str">
        <f t="shared" si="24"/>
        <v>1-2025</v>
      </c>
      <c r="B39" s="82">
        <v>45672.0</v>
      </c>
      <c r="C39" s="92"/>
      <c r="D39" s="93">
        <v>1381.0</v>
      </c>
      <c r="E39" s="94">
        <v>37.0</v>
      </c>
      <c r="F39" s="94">
        <v>37.0</v>
      </c>
      <c r="G39" s="95">
        <f t="shared" si="2"/>
        <v>1</v>
      </c>
      <c r="H39" s="93">
        <f t="shared" si="25"/>
        <v>37.32432432</v>
      </c>
      <c r="I39" s="93">
        <f t="shared" si="26"/>
        <v>37.32432432</v>
      </c>
      <c r="J39" s="96">
        <v>1344.0</v>
      </c>
      <c r="K39" s="97">
        <f t="shared" si="5"/>
        <v>0.0275297619</v>
      </c>
      <c r="L39" s="93">
        <v>0.34</v>
      </c>
      <c r="M39" s="93">
        <v>0.0</v>
      </c>
      <c r="N39" s="94">
        <v>0.0</v>
      </c>
      <c r="O39" s="96">
        <v>4166.0</v>
      </c>
      <c r="P39" s="97" t="str">
        <f t="shared" si="6"/>
        <v>#DIV/0!</v>
      </c>
      <c r="Q39" s="98">
        <f t="shared" si="7"/>
        <v>0</v>
      </c>
      <c r="R39" s="97">
        <f t="shared" si="8"/>
        <v>0</v>
      </c>
      <c r="S39" s="99"/>
      <c r="T39" s="100"/>
      <c r="U39" s="2"/>
      <c r="V39" s="2"/>
      <c r="W39" s="2"/>
      <c r="X39" s="2"/>
      <c r="Y39" s="2"/>
      <c r="Z39" s="2"/>
    </row>
    <row r="40" hidden="1" outlineLevel="1">
      <c r="A40" s="70" t="str">
        <f t="shared" si="24"/>
        <v>1-2025</v>
      </c>
      <c r="B40" s="82">
        <v>45673.0</v>
      </c>
      <c r="C40" s="92"/>
      <c r="D40" s="93">
        <v>1184.0</v>
      </c>
      <c r="E40" s="94">
        <v>33.0</v>
      </c>
      <c r="F40" s="94">
        <v>33.0</v>
      </c>
      <c r="G40" s="95">
        <f t="shared" si="2"/>
        <v>1</v>
      </c>
      <c r="H40" s="93">
        <f t="shared" si="25"/>
        <v>35.87878788</v>
      </c>
      <c r="I40" s="93">
        <f t="shared" si="26"/>
        <v>35.87878788</v>
      </c>
      <c r="J40" s="96">
        <v>1086.0</v>
      </c>
      <c r="K40" s="97">
        <f t="shared" si="5"/>
        <v>0.03038674033</v>
      </c>
      <c r="L40" s="93">
        <v>0.69</v>
      </c>
      <c r="M40" s="93">
        <v>135.0</v>
      </c>
      <c r="N40" s="94">
        <v>4.0</v>
      </c>
      <c r="O40" s="96">
        <v>6609.0</v>
      </c>
      <c r="P40" s="97">
        <f t="shared" si="6"/>
        <v>0.005111111111</v>
      </c>
      <c r="Q40" s="98">
        <f t="shared" si="7"/>
        <v>195.6521739</v>
      </c>
      <c r="R40" s="97">
        <f t="shared" si="8"/>
        <v>0.1140202703</v>
      </c>
      <c r="S40" s="99"/>
      <c r="T40" s="100"/>
      <c r="U40" s="2"/>
      <c r="V40" s="2"/>
      <c r="W40" s="2"/>
      <c r="X40" s="2"/>
      <c r="Y40" s="2"/>
      <c r="Z40" s="2"/>
    </row>
    <row r="41" hidden="1" outlineLevel="1">
      <c r="A41" s="70" t="str">
        <f t="shared" si="24"/>
        <v>1-2025</v>
      </c>
      <c r="B41" s="82">
        <v>45674.0</v>
      </c>
      <c r="C41" s="92"/>
      <c r="D41" s="93">
        <v>1211.0</v>
      </c>
      <c r="E41" s="94">
        <v>36.0</v>
      </c>
      <c r="F41" s="94">
        <v>36.0</v>
      </c>
      <c r="G41" s="95">
        <f t="shared" si="2"/>
        <v>1</v>
      </c>
      <c r="H41" s="93">
        <f t="shared" si="25"/>
        <v>33.63888889</v>
      </c>
      <c r="I41" s="93">
        <f t="shared" si="26"/>
        <v>33.63888889</v>
      </c>
      <c r="J41" s="96">
        <v>1291.0</v>
      </c>
      <c r="K41" s="97">
        <f t="shared" si="5"/>
        <v>0.02788536019</v>
      </c>
      <c r="L41" s="93">
        <v>0.83</v>
      </c>
      <c r="M41" s="93">
        <v>105.0</v>
      </c>
      <c r="N41" s="94">
        <v>4.0</v>
      </c>
      <c r="O41" s="96">
        <v>9982.0</v>
      </c>
      <c r="P41" s="97">
        <f t="shared" si="6"/>
        <v>0.007904761905</v>
      </c>
      <c r="Q41" s="98">
        <f t="shared" si="7"/>
        <v>126.5060241</v>
      </c>
      <c r="R41" s="97">
        <f t="shared" si="8"/>
        <v>0.08670520231</v>
      </c>
      <c r="S41" s="99"/>
      <c r="T41" s="100"/>
      <c r="U41" s="2"/>
      <c r="V41" s="2"/>
      <c r="W41" s="2"/>
      <c r="X41" s="2"/>
      <c r="Y41" s="2"/>
      <c r="Z41" s="2"/>
    </row>
    <row r="42" hidden="1" outlineLevel="1">
      <c r="A42" s="70" t="str">
        <f t="shared" si="24"/>
        <v>1-2025</v>
      </c>
      <c r="B42" s="82">
        <v>45675.0</v>
      </c>
      <c r="C42" s="92"/>
      <c r="D42" s="93">
        <v>750.0</v>
      </c>
      <c r="E42" s="94">
        <v>22.0</v>
      </c>
      <c r="F42" s="94">
        <v>22.0</v>
      </c>
      <c r="G42" s="95">
        <f t="shared" si="2"/>
        <v>1</v>
      </c>
      <c r="H42" s="93">
        <f t="shared" si="25"/>
        <v>34.09090909</v>
      </c>
      <c r="I42" s="93">
        <f t="shared" si="26"/>
        <v>34.09090909</v>
      </c>
      <c r="J42" s="96">
        <v>1236.0</v>
      </c>
      <c r="K42" s="97">
        <f t="shared" si="5"/>
        <v>0.01779935275</v>
      </c>
      <c r="L42" s="93">
        <v>2.37</v>
      </c>
      <c r="M42" s="93">
        <v>196.91</v>
      </c>
      <c r="N42" s="94">
        <v>5.0</v>
      </c>
      <c r="O42" s="96">
        <v>13284.0</v>
      </c>
      <c r="P42" s="97">
        <f t="shared" si="6"/>
        <v>0.01203595551</v>
      </c>
      <c r="Q42" s="98">
        <f t="shared" si="7"/>
        <v>83.08438819</v>
      </c>
      <c r="R42" s="97">
        <f t="shared" si="8"/>
        <v>0.2625466667</v>
      </c>
      <c r="S42" s="99"/>
      <c r="T42" s="100"/>
      <c r="U42" s="2"/>
      <c r="V42" s="2"/>
      <c r="W42" s="2"/>
      <c r="X42" s="2"/>
      <c r="Y42" s="2"/>
      <c r="Z42" s="2"/>
    </row>
    <row r="43" collapsed="1">
      <c r="A43" s="52" t="s">
        <v>49</v>
      </c>
      <c r="B43" s="53"/>
      <c r="C43" s="54"/>
      <c r="D43" s="55">
        <f t="shared" ref="D43:F43" si="27">SUM(D36:D42)</f>
        <v>7878</v>
      </c>
      <c r="E43" s="81">
        <f t="shared" si="27"/>
        <v>218</v>
      </c>
      <c r="F43" s="81">
        <f t="shared" si="27"/>
        <v>215</v>
      </c>
      <c r="G43" s="57">
        <f t="shared" si="2"/>
        <v>1.013953488</v>
      </c>
      <c r="H43" s="55">
        <f>AVERAGE(H36:H42)</f>
        <v>36.55163249</v>
      </c>
      <c r="I43" s="58">
        <f>H43/G43</f>
        <v>36.04862838</v>
      </c>
      <c r="J43" s="59">
        <f>SUM(J36:J42)</f>
        <v>9502</v>
      </c>
      <c r="K43" s="60">
        <f t="shared" si="5"/>
        <v>0.02294253841</v>
      </c>
      <c r="L43" s="55">
        <f t="shared" ref="L43:N43" si="28">SUM(L36:L42)</f>
        <v>6.02</v>
      </c>
      <c r="M43" s="55">
        <f t="shared" si="28"/>
        <v>471.91</v>
      </c>
      <c r="N43" s="56">
        <f t="shared" si="28"/>
        <v>14</v>
      </c>
      <c r="O43" s="59">
        <f>sum(O36:O42)</f>
        <v>37530</v>
      </c>
      <c r="P43" s="60">
        <f t="shared" si="6"/>
        <v>0.0127566697</v>
      </c>
      <c r="Q43" s="61">
        <f t="shared" si="7"/>
        <v>78.39036545</v>
      </c>
      <c r="R43" s="62">
        <f t="shared" si="8"/>
        <v>0.05990225946</v>
      </c>
      <c r="S43" s="54" t="str">
        <f>iferror((D43-#REF!)/D43,)</f>
        <v/>
      </c>
      <c r="T43" s="63" t="str">
        <f>iferror((F43-#REF!)/F43,)</f>
        <v/>
      </c>
      <c r="U43" s="64">
        <f t="shared" ref="U43:V43" si="29">L43</f>
        <v>6.02</v>
      </c>
      <c r="V43" s="64">
        <f t="shared" si="29"/>
        <v>471.91</v>
      </c>
      <c r="W43" s="6"/>
      <c r="X43" s="6"/>
      <c r="Y43" s="6"/>
      <c r="Z43" s="6"/>
    </row>
    <row r="44" hidden="1" outlineLevel="1">
      <c r="A44" s="33" t="str">
        <f t="shared" ref="A44:A50" si="30">iferror(if(B44&gt;0,month(B44)&amp;"-"&amp;year(B44),B44),)</f>
        <v>1-2025</v>
      </c>
      <c r="B44" s="34">
        <v>45676.0</v>
      </c>
      <c r="C44" s="35"/>
      <c r="D44" s="36">
        <v>818.0</v>
      </c>
      <c r="E44" s="37">
        <v>23.0</v>
      </c>
      <c r="F44" s="37">
        <v>23.0</v>
      </c>
      <c r="G44" s="38">
        <f t="shared" si="2"/>
        <v>1</v>
      </c>
      <c r="H44" s="36">
        <f t="shared" ref="H44:H50" si="31">D44/F44</f>
        <v>35.56521739</v>
      </c>
      <c r="I44" s="36">
        <f t="shared" ref="I44:I50" si="32">D44/E44</f>
        <v>35.56521739</v>
      </c>
      <c r="J44" s="39">
        <v>1646.0</v>
      </c>
      <c r="K44" s="40">
        <f t="shared" si="5"/>
        <v>0.01397326853</v>
      </c>
      <c r="L44" s="36">
        <v>3.1</v>
      </c>
      <c r="M44" s="36">
        <v>80.0</v>
      </c>
      <c r="N44" s="37">
        <v>2.0</v>
      </c>
      <c r="O44" s="39">
        <v>18330.0</v>
      </c>
      <c r="P44" s="40">
        <f t="shared" si="6"/>
        <v>0.03875</v>
      </c>
      <c r="Q44" s="41">
        <f t="shared" si="7"/>
        <v>25.80645161</v>
      </c>
      <c r="R44" s="40">
        <f t="shared" si="8"/>
        <v>0.097799511</v>
      </c>
      <c r="S44" s="42"/>
      <c r="T44" s="43"/>
      <c r="U44" s="6"/>
      <c r="V44" s="6"/>
      <c r="W44" s="6"/>
      <c r="X44" s="6"/>
      <c r="Y44" s="6"/>
      <c r="Z44" s="6"/>
    </row>
    <row r="45" hidden="1" outlineLevel="1">
      <c r="A45" s="44" t="str">
        <f t="shared" si="30"/>
        <v>1-2025</v>
      </c>
      <c r="B45" s="34">
        <v>45677.0</v>
      </c>
      <c r="C45" s="45"/>
      <c r="D45" s="46">
        <v>697.0</v>
      </c>
      <c r="E45" s="47">
        <v>21.0</v>
      </c>
      <c r="F45" s="47">
        <v>21.0</v>
      </c>
      <c r="G45" s="48">
        <f t="shared" si="2"/>
        <v>1</v>
      </c>
      <c r="H45" s="46">
        <f t="shared" si="31"/>
        <v>33.19047619</v>
      </c>
      <c r="I45" s="46">
        <f t="shared" si="32"/>
        <v>33.19047619</v>
      </c>
      <c r="J45" s="49">
        <v>1292.0</v>
      </c>
      <c r="K45" s="50">
        <f t="shared" si="5"/>
        <v>0.01625386997</v>
      </c>
      <c r="L45" s="46">
        <v>1.46</v>
      </c>
      <c r="M45" s="46">
        <v>93.0</v>
      </c>
      <c r="N45" s="47">
        <v>3.0</v>
      </c>
      <c r="O45" s="49">
        <v>18308.0</v>
      </c>
      <c r="P45" s="50">
        <f t="shared" si="6"/>
        <v>0.01569892473</v>
      </c>
      <c r="Q45" s="51">
        <f t="shared" si="7"/>
        <v>63.69863014</v>
      </c>
      <c r="R45" s="50">
        <f t="shared" si="8"/>
        <v>0.1334289813</v>
      </c>
      <c r="S45" s="16"/>
      <c r="T45" s="25"/>
      <c r="U45" s="6"/>
      <c r="V45" s="6"/>
      <c r="W45" s="6"/>
      <c r="X45" s="6"/>
      <c r="Y45" s="6"/>
      <c r="Z45" s="6"/>
    </row>
    <row r="46" hidden="1" outlineLevel="1">
      <c r="A46" s="44" t="str">
        <f t="shared" si="30"/>
        <v>1-2025</v>
      </c>
      <c r="B46" s="34">
        <v>45678.0</v>
      </c>
      <c r="C46" s="45"/>
      <c r="D46" s="46">
        <v>1052.0</v>
      </c>
      <c r="E46" s="47">
        <v>29.0</v>
      </c>
      <c r="F46" s="47">
        <v>28.0</v>
      </c>
      <c r="G46" s="48">
        <f t="shared" si="2"/>
        <v>1.035714286</v>
      </c>
      <c r="H46" s="46">
        <f t="shared" si="31"/>
        <v>37.57142857</v>
      </c>
      <c r="I46" s="46">
        <f t="shared" si="32"/>
        <v>36.27586207</v>
      </c>
      <c r="J46" s="49">
        <v>1106.0</v>
      </c>
      <c r="K46" s="50">
        <f t="shared" si="5"/>
        <v>0.02622061483</v>
      </c>
      <c r="L46" s="46">
        <v>2.16</v>
      </c>
      <c r="M46" s="46">
        <v>200.0</v>
      </c>
      <c r="N46" s="47">
        <v>4.0</v>
      </c>
      <c r="O46" s="49">
        <v>13232.0</v>
      </c>
      <c r="P46" s="50">
        <f t="shared" si="6"/>
        <v>0.0108</v>
      </c>
      <c r="Q46" s="51">
        <f t="shared" si="7"/>
        <v>92.59259259</v>
      </c>
      <c r="R46" s="50">
        <f t="shared" si="8"/>
        <v>0.1901140684</v>
      </c>
      <c r="S46" s="16"/>
      <c r="T46" s="25"/>
      <c r="U46" s="6"/>
      <c r="V46" s="6"/>
      <c r="W46" s="6"/>
      <c r="X46" s="6"/>
      <c r="Y46" s="6"/>
      <c r="Z46" s="6"/>
    </row>
    <row r="47" hidden="1" outlineLevel="1">
      <c r="A47" s="44" t="str">
        <f t="shared" si="30"/>
        <v>1-2025</v>
      </c>
      <c r="B47" s="34">
        <v>45679.0</v>
      </c>
      <c r="C47" s="45"/>
      <c r="D47" s="46">
        <v>965.0</v>
      </c>
      <c r="E47" s="47">
        <v>28.0</v>
      </c>
      <c r="F47" s="47">
        <v>28.0</v>
      </c>
      <c r="G47" s="48">
        <f t="shared" si="2"/>
        <v>1</v>
      </c>
      <c r="H47" s="46">
        <f t="shared" si="31"/>
        <v>34.46428571</v>
      </c>
      <c r="I47" s="46">
        <f t="shared" si="32"/>
        <v>34.46428571</v>
      </c>
      <c r="J47" s="49">
        <v>1099.0</v>
      </c>
      <c r="K47" s="50">
        <f t="shared" si="5"/>
        <v>0.02547770701</v>
      </c>
      <c r="L47" s="46">
        <v>3.3</v>
      </c>
      <c r="M47" s="46">
        <v>309.0</v>
      </c>
      <c r="N47" s="47">
        <v>6.0</v>
      </c>
      <c r="O47" s="49">
        <v>16771.0</v>
      </c>
      <c r="P47" s="50">
        <f t="shared" si="6"/>
        <v>0.01067961165</v>
      </c>
      <c r="Q47" s="51">
        <f t="shared" si="7"/>
        <v>93.63636364</v>
      </c>
      <c r="R47" s="50">
        <f t="shared" si="8"/>
        <v>0.3202072539</v>
      </c>
      <c r="S47" s="16"/>
      <c r="T47" s="25"/>
      <c r="U47" s="6"/>
      <c r="V47" s="6"/>
      <c r="W47" s="6"/>
      <c r="X47" s="6"/>
      <c r="Y47" s="6"/>
      <c r="Z47" s="6"/>
    </row>
    <row r="48" hidden="1" outlineLevel="1">
      <c r="A48" s="44" t="str">
        <f t="shared" si="30"/>
        <v>1-2025</v>
      </c>
      <c r="B48" s="34">
        <v>45680.0</v>
      </c>
      <c r="C48" s="45"/>
      <c r="D48" s="46">
        <v>812.0</v>
      </c>
      <c r="E48" s="47">
        <v>22.0</v>
      </c>
      <c r="F48" s="47">
        <v>22.0</v>
      </c>
      <c r="G48" s="48">
        <f t="shared" si="2"/>
        <v>1</v>
      </c>
      <c r="H48" s="46">
        <f t="shared" si="31"/>
        <v>36.90909091</v>
      </c>
      <c r="I48" s="46">
        <f t="shared" si="32"/>
        <v>36.90909091</v>
      </c>
      <c r="J48" s="49">
        <v>1274.0</v>
      </c>
      <c r="K48" s="50">
        <f t="shared" si="5"/>
        <v>0.01726844584</v>
      </c>
      <c r="L48" s="46">
        <v>2.49</v>
      </c>
      <c r="M48" s="46">
        <v>115.0</v>
      </c>
      <c r="N48" s="47">
        <v>3.0</v>
      </c>
      <c r="O48" s="49">
        <v>16362.0</v>
      </c>
      <c r="P48" s="50">
        <f t="shared" si="6"/>
        <v>0.02165217391</v>
      </c>
      <c r="Q48" s="51">
        <f t="shared" si="7"/>
        <v>46.18473896</v>
      </c>
      <c r="R48" s="50">
        <f t="shared" si="8"/>
        <v>0.1416256158</v>
      </c>
      <c r="S48" s="16"/>
      <c r="T48" s="25"/>
      <c r="U48" s="6"/>
      <c r="V48" s="6"/>
      <c r="W48" s="6"/>
      <c r="X48" s="6"/>
      <c r="Y48" s="6"/>
      <c r="Z48" s="6"/>
    </row>
    <row r="49" hidden="1" outlineLevel="1">
      <c r="A49" s="44" t="str">
        <f t="shared" si="30"/>
        <v>1-2025</v>
      </c>
      <c r="B49" s="34">
        <v>45681.0</v>
      </c>
      <c r="C49" s="45"/>
      <c r="D49" s="46">
        <v>770.0</v>
      </c>
      <c r="E49" s="47">
        <v>17.0</v>
      </c>
      <c r="F49" s="47">
        <v>17.0</v>
      </c>
      <c r="G49" s="48">
        <f t="shared" si="2"/>
        <v>1</v>
      </c>
      <c r="H49" s="46">
        <f t="shared" si="31"/>
        <v>45.29411765</v>
      </c>
      <c r="I49" s="46">
        <f t="shared" si="32"/>
        <v>45.29411765</v>
      </c>
      <c r="J49" s="49">
        <v>1045.0</v>
      </c>
      <c r="K49" s="50">
        <f t="shared" si="5"/>
        <v>0.01626794258</v>
      </c>
      <c r="L49" s="46">
        <v>1.22</v>
      </c>
      <c r="M49" s="46">
        <v>70.0</v>
      </c>
      <c r="N49" s="47">
        <v>1.0</v>
      </c>
      <c r="O49" s="49">
        <v>15600.0</v>
      </c>
      <c r="P49" s="50">
        <f t="shared" si="6"/>
        <v>0.01742857143</v>
      </c>
      <c r="Q49" s="51">
        <f t="shared" si="7"/>
        <v>57.37704918</v>
      </c>
      <c r="R49" s="50">
        <f t="shared" si="8"/>
        <v>0.09090909091</v>
      </c>
      <c r="S49" s="16"/>
      <c r="T49" s="25"/>
      <c r="U49" s="6"/>
      <c r="V49" s="6"/>
      <c r="W49" s="6"/>
      <c r="X49" s="6"/>
      <c r="Y49" s="6"/>
      <c r="Z49" s="6"/>
    </row>
    <row r="50" hidden="1" outlineLevel="1">
      <c r="A50" s="44" t="str">
        <f t="shared" si="30"/>
        <v>1-2025</v>
      </c>
      <c r="B50" s="34">
        <v>45682.0</v>
      </c>
      <c r="C50" s="45"/>
      <c r="D50" s="46">
        <v>658.0</v>
      </c>
      <c r="E50" s="47">
        <v>20.0</v>
      </c>
      <c r="F50" s="47">
        <v>20.0</v>
      </c>
      <c r="G50" s="48">
        <f t="shared" si="2"/>
        <v>1</v>
      </c>
      <c r="H50" s="46">
        <f t="shared" si="31"/>
        <v>32.9</v>
      </c>
      <c r="I50" s="46">
        <f t="shared" si="32"/>
        <v>32.9</v>
      </c>
      <c r="J50" s="49">
        <v>1163.0</v>
      </c>
      <c r="K50" s="50">
        <f t="shared" si="5"/>
        <v>0.01719690456</v>
      </c>
      <c r="L50" s="46">
        <v>1.85</v>
      </c>
      <c r="M50" s="46">
        <v>273.0</v>
      </c>
      <c r="N50" s="47">
        <v>6.0</v>
      </c>
      <c r="O50" s="49">
        <v>19792.0</v>
      </c>
      <c r="P50" s="50">
        <f t="shared" si="6"/>
        <v>0.006776556777</v>
      </c>
      <c r="Q50" s="51">
        <f t="shared" si="7"/>
        <v>147.5675676</v>
      </c>
      <c r="R50" s="50">
        <f t="shared" si="8"/>
        <v>0.414893617</v>
      </c>
      <c r="S50" s="16"/>
      <c r="T50" s="25"/>
      <c r="U50" s="6"/>
      <c r="V50" s="6"/>
      <c r="W50" s="6"/>
      <c r="X50" s="6"/>
      <c r="Y50" s="6"/>
      <c r="Z50" s="6"/>
    </row>
    <row r="51" collapsed="1">
      <c r="A51" s="52" t="s">
        <v>50</v>
      </c>
      <c r="B51" s="53"/>
      <c r="C51" s="54"/>
      <c r="D51" s="55">
        <f t="shared" ref="D51:F51" si="33">SUM(D44:D50)</f>
        <v>5772</v>
      </c>
      <c r="E51" s="81">
        <f t="shared" si="33"/>
        <v>160</v>
      </c>
      <c r="F51" s="81">
        <f t="shared" si="33"/>
        <v>159</v>
      </c>
      <c r="G51" s="57">
        <f t="shared" si="2"/>
        <v>1.006289308</v>
      </c>
      <c r="H51" s="55">
        <f>AVERAGE(H44:H50)</f>
        <v>36.55637377</v>
      </c>
      <c r="I51" s="58">
        <f>H51/G51</f>
        <v>36.32789644</v>
      </c>
      <c r="J51" s="59">
        <f>SUM(J44:J50)</f>
        <v>8625</v>
      </c>
      <c r="K51" s="60">
        <f t="shared" si="5"/>
        <v>0.01855072464</v>
      </c>
      <c r="L51" s="55">
        <f t="shared" ref="L51:N51" si="34">SUM(L44:L50)</f>
        <v>15.58</v>
      </c>
      <c r="M51" s="55">
        <f t="shared" si="34"/>
        <v>1140</v>
      </c>
      <c r="N51" s="56">
        <f t="shared" si="34"/>
        <v>25</v>
      </c>
      <c r="O51" s="59">
        <f>sum(O44:O50)</f>
        <v>118395</v>
      </c>
      <c r="P51" s="60">
        <f t="shared" si="6"/>
        <v>0.01366666667</v>
      </c>
      <c r="Q51" s="61">
        <f t="shared" si="7"/>
        <v>73.17073171</v>
      </c>
      <c r="R51" s="62">
        <f t="shared" si="8"/>
        <v>0.1975051975</v>
      </c>
      <c r="S51" s="54" t="str">
        <f>iferror((D51-#REF!)/D51,)</f>
        <v/>
      </c>
      <c r="T51" s="63" t="str">
        <f>iferror((F51-#REF!)/F51,)</f>
        <v/>
      </c>
      <c r="U51" s="64">
        <f t="shared" ref="U51:V51" si="35">L51</f>
        <v>15.58</v>
      </c>
      <c r="V51" s="64">
        <f t="shared" si="35"/>
        <v>1140</v>
      </c>
      <c r="W51" s="6"/>
      <c r="X51" s="6"/>
      <c r="Y51" s="6"/>
      <c r="Z51" s="6"/>
    </row>
    <row r="52" hidden="1" outlineLevel="1">
      <c r="A52" s="33" t="str">
        <f t="shared" ref="A52:A58" si="36">iferror(if(B52&gt;0,month(B52)&amp;"-"&amp;year(B52),B52),)</f>
        <v>1-2025</v>
      </c>
      <c r="B52" s="34">
        <v>45683.0</v>
      </c>
      <c r="C52" s="35"/>
      <c r="D52" s="36">
        <v>848.0</v>
      </c>
      <c r="E52" s="37">
        <v>24.0</v>
      </c>
      <c r="F52" s="37">
        <v>24.0</v>
      </c>
      <c r="G52" s="38">
        <f t="shared" si="2"/>
        <v>1</v>
      </c>
      <c r="H52" s="36">
        <f t="shared" ref="H52:H58" si="37">D52/F52</f>
        <v>35.33333333</v>
      </c>
      <c r="I52" s="36">
        <f t="shared" ref="I52:I58" si="38">D52/E52</f>
        <v>35.33333333</v>
      </c>
      <c r="J52" s="39">
        <v>2057.0</v>
      </c>
      <c r="K52" s="40">
        <f t="shared" si="5"/>
        <v>0.01166747691</v>
      </c>
      <c r="L52" s="36">
        <v>3.88</v>
      </c>
      <c r="M52" s="36">
        <v>430.0</v>
      </c>
      <c r="N52" s="37">
        <v>8.0</v>
      </c>
      <c r="O52" s="39">
        <v>31349.0</v>
      </c>
      <c r="P52" s="40">
        <f t="shared" si="6"/>
        <v>0.009023255814</v>
      </c>
      <c r="Q52" s="41">
        <f t="shared" si="7"/>
        <v>110.8247423</v>
      </c>
      <c r="R52" s="40">
        <f t="shared" si="8"/>
        <v>0.5070754717</v>
      </c>
      <c r="S52" s="42"/>
      <c r="T52" s="43"/>
      <c r="U52" s="6"/>
      <c r="V52" s="6"/>
      <c r="W52" s="6"/>
      <c r="X52" s="6"/>
      <c r="Y52" s="6"/>
      <c r="Z52" s="6"/>
    </row>
    <row r="53" hidden="1" outlineLevel="1">
      <c r="A53" s="44" t="str">
        <f t="shared" si="36"/>
        <v>1-2025</v>
      </c>
      <c r="B53" s="34">
        <v>45684.0</v>
      </c>
      <c r="C53" s="45"/>
      <c r="D53" s="46">
        <v>1150.0</v>
      </c>
      <c r="E53" s="47">
        <v>24.0</v>
      </c>
      <c r="F53" s="47">
        <v>24.0</v>
      </c>
      <c r="G53" s="48">
        <f t="shared" si="2"/>
        <v>1</v>
      </c>
      <c r="H53" s="46">
        <f t="shared" si="37"/>
        <v>47.91666667</v>
      </c>
      <c r="I53" s="46">
        <f t="shared" si="38"/>
        <v>47.91666667</v>
      </c>
      <c r="J53" s="49">
        <v>1362.0</v>
      </c>
      <c r="K53" s="50">
        <f t="shared" si="5"/>
        <v>0.01762114537</v>
      </c>
      <c r="L53" s="46">
        <v>2.4</v>
      </c>
      <c r="M53" s="46">
        <v>225.0</v>
      </c>
      <c r="N53" s="47">
        <v>5.0</v>
      </c>
      <c r="O53" s="49">
        <v>19661.0</v>
      </c>
      <c r="P53" s="50">
        <f t="shared" si="6"/>
        <v>0.01066666667</v>
      </c>
      <c r="Q53" s="51">
        <f t="shared" si="7"/>
        <v>93.75</v>
      </c>
      <c r="R53" s="50">
        <f t="shared" si="8"/>
        <v>0.1956521739</v>
      </c>
      <c r="S53" s="16"/>
      <c r="T53" s="25"/>
      <c r="U53" s="6"/>
      <c r="V53" s="6"/>
      <c r="W53" s="6"/>
      <c r="X53" s="6"/>
      <c r="Y53" s="6"/>
      <c r="Z53" s="6"/>
    </row>
    <row r="54" hidden="1" outlineLevel="1">
      <c r="A54" s="44" t="str">
        <f t="shared" si="36"/>
        <v>1-2025</v>
      </c>
      <c r="B54" s="34">
        <v>45685.0</v>
      </c>
      <c r="C54" s="45"/>
      <c r="D54" s="46">
        <v>775.0</v>
      </c>
      <c r="E54" s="47">
        <v>21.0</v>
      </c>
      <c r="F54" s="47">
        <v>21.0</v>
      </c>
      <c r="G54" s="48">
        <f t="shared" si="2"/>
        <v>1</v>
      </c>
      <c r="H54" s="46">
        <f t="shared" si="37"/>
        <v>36.9047619</v>
      </c>
      <c r="I54" s="46">
        <f t="shared" si="38"/>
        <v>36.9047619</v>
      </c>
      <c r="J54" s="49">
        <v>1363.0</v>
      </c>
      <c r="K54" s="50">
        <f t="shared" si="5"/>
        <v>0.01540719002</v>
      </c>
      <c r="L54" s="46">
        <v>6.69</v>
      </c>
      <c r="M54" s="46">
        <v>95.0</v>
      </c>
      <c r="N54" s="47">
        <v>3.0</v>
      </c>
      <c r="O54" s="49">
        <v>20116.0</v>
      </c>
      <c r="P54" s="50">
        <f t="shared" si="6"/>
        <v>0.07042105263</v>
      </c>
      <c r="Q54" s="51">
        <f t="shared" si="7"/>
        <v>14.20029895</v>
      </c>
      <c r="R54" s="50">
        <f t="shared" si="8"/>
        <v>0.1225806452</v>
      </c>
      <c r="S54" s="16"/>
      <c r="T54" s="25"/>
      <c r="U54" s="6"/>
      <c r="V54" s="6"/>
      <c r="W54" s="6"/>
      <c r="X54" s="6"/>
      <c r="Y54" s="6"/>
      <c r="Z54" s="6"/>
    </row>
    <row r="55" hidden="1" outlineLevel="1">
      <c r="A55" s="44" t="str">
        <f t="shared" si="36"/>
        <v>1-2025</v>
      </c>
      <c r="B55" s="34">
        <v>45686.0</v>
      </c>
      <c r="C55" s="45"/>
      <c r="D55" s="46">
        <v>594.0</v>
      </c>
      <c r="E55" s="47">
        <v>19.0</v>
      </c>
      <c r="F55" s="47">
        <v>19.0</v>
      </c>
      <c r="G55" s="48">
        <f t="shared" si="2"/>
        <v>1</v>
      </c>
      <c r="H55" s="46">
        <f t="shared" si="37"/>
        <v>31.26315789</v>
      </c>
      <c r="I55" s="46">
        <f t="shared" si="38"/>
        <v>31.26315789</v>
      </c>
      <c r="J55" s="49">
        <v>1499.0</v>
      </c>
      <c r="K55" s="50">
        <f t="shared" si="5"/>
        <v>0.01267511674</v>
      </c>
      <c r="L55" s="46">
        <v>6.24</v>
      </c>
      <c r="M55" s="46">
        <v>215.0</v>
      </c>
      <c r="N55" s="47">
        <v>7.0</v>
      </c>
      <c r="O55" s="49">
        <v>27674.0</v>
      </c>
      <c r="P55" s="50">
        <f t="shared" si="6"/>
        <v>0.02902325581</v>
      </c>
      <c r="Q55" s="51">
        <f t="shared" si="7"/>
        <v>34.45512821</v>
      </c>
      <c r="R55" s="50">
        <f t="shared" si="8"/>
        <v>0.361952862</v>
      </c>
      <c r="S55" s="16"/>
      <c r="T55" s="25"/>
      <c r="U55" s="6"/>
      <c r="V55" s="6"/>
      <c r="W55" s="6"/>
      <c r="X55" s="6"/>
      <c r="Y55" s="6"/>
      <c r="Z55" s="6"/>
    </row>
    <row r="56" hidden="1" outlineLevel="1">
      <c r="A56" s="44" t="str">
        <f t="shared" si="36"/>
        <v>1-2025</v>
      </c>
      <c r="B56" s="34">
        <v>45687.0</v>
      </c>
      <c r="C56" s="45"/>
      <c r="D56" s="46">
        <v>937.0</v>
      </c>
      <c r="E56" s="47">
        <v>20.0</v>
      </c>
      <c r="F56" s="47">
        <v>20.0</v>
      </c>
      <c r="G56" s="48">
        <f t="shared" si="2"/>
        <v>1</v>
      </c>
      <c r="H56" s="46">
        <f t="shared" si="37"/>
        <v>46.85</v>
      </c>
      <c r="I56" s="46">
        <f t="shared" si="38"/>
        <v>46.85</v>
      </c>
      <c r="J56" s="49">
        <v>1416.0</v>
      </c>
      <c r="K56" s="50">
        <f t="shared" si="5"/>
        <v>0.01412429379</v>
      </c>
      <c r="L56" s="46">
        <v>5.73</v>
      </c>
      <c r="M56" s="46">
        <v>260.0</v>
      </c>
      <c r="N56" s="47">
        <v>5.0</v>
      </c>
      <c r="O56" s="49">
        <v>31474.0</v>
      </c>
      <c r="P56" s="50">
        <f t="shared" si="6"/>
        <v>0.02203846154</v>
      </c>
      <c r="Q56" s="51">
        <f t="shared" si="7"/>
        <v>45.37521815</v>
      </c>
      <c r="R56" s="50">
        <f t="shared" si="8"/>
        <v>0.2774813234</v>
      </c>
      <c r="S56" s="16"/>
      <c r="T56" s="25"/>
      <c r="U56" s="6"/>
      <c r="V56" s="6"/>
      <c r="W56" s="6"/>
      <c r="X56" s="6"/>
      <c r="Y56" s="6"/>
      <c r="Z56" s="6"/>
    </row>
    <row r="57" hidden="1" outlineLevel="1">
      <c r="A57" s="44" t="str">
        <f t="shared" si="36"/>
        <v>1-2025</v>
      </c>
      <c r="B57" s="34">
        <v>45688.0</v>
      </c>
      <c r="C57" s="45"/>
      <c r="D57" s="46">
        <v>1064.0</v>
      </c>
      <c r="E57" s="47">
        <v>34.0</v>
      </c>
      <c r="F57" s="47">
        <v>34.0</v>
      </c>
      <c r="G57" s="48">
        <f t="shared" si="2"/>
        <v>1</v>
      </c>
      <c r="H57" s="46">
        <f t="shared" si="37"/>
        <v>31.29411765</v>
      </c>
      <c r="I57" s="46">
        <f t="shared" si="38"/>
        <v>31.29411765</v>
      </c>
      <c r="J57" s="49">
        <v>1164.0</v>
      </c>
      <c r="K57" s="50">
        <f t="shared" si="5"/>
        <v>0.02920962199</v>
      </c>
      <c r="L57" s="46">
        <v>5.67</v>
      </c>
      <c r="M57" s="46">
        <v>439.0</v>
      </c>
      <c r="N57" s="47">
        <v>13.0</v>
      </c>
      <c r="O57" s="49">
        <v>27613.0</v>
      </c>
      <c r="P57" s="50">
        <f t="shared" si="6"/>
        <v>0.01291571754</v>
      </c>
      <c r="Q57" s="51">
        <f t="shared" si="7"/>
        <v>77.42504409</v>
      </c>
      <c r="R57" s="50">
        <f t="shared" si="8"/>
        <v>0.412593985</v>
      </c>
      <c r="S57" s="16"/>
      <c r="T57" s="25"/>
      <c r="U57" s="6"/>
      <c r="V57" s="6"/>
      <c r="W57" s="6"/>
      <c r="X57" s="6"/>
      <c r="Y57" s="6"/>
      <c r="Z57" s="6"/>
    </row>
    <row r="58" hidden="1" outlineLevel="1">
      <c r="A58" s="44" t="str">
        <f t="shared" si="36"/>
        <v>2-2025</v>
      </c>
      <c r="B58" s="34">
        <v>45689.0</v>
      </c>
      <c r="C58" s="45"/>
      <c r="D58" s="46">
        <v>859.0</v>
      </c>
      <c r="E58" s="47">
        <v>17.0</v>
      </c>
      <c r="F58" s="47">
        <v>17.0</v>
      </c>
      <c r="G58" s="48">
        <f t="shared" si="2"/>
        <v>1</v>
      </c>
      <c r="H58" s="46">
        <f t="shared" si="37"/>
        <v>50.52941176</v>
      </c>
      <c r="I58" s="46">
        <f t="shared" si="38"/>
        <v>50.52941176</v>
      </c>
      <c r="J58" s="49">
        <v>1624.0</v>
      </c>
      <c r="K58" s="50">
        <f t="shared" si="5"/>
        <v>0.0104679803</v>
      </c>
      <c r="L58" s="46">
        <v>8.99</v>
      </c>
      <c r="M58" s="46">
        <v>380.0</v>
      </c>
      <c r="N58" s="47">
        <v>7.0</v>
      </c>
      <c r="O58" s="49">
        <v>35694.0</v>
      </c>
      <c r="P58" s="50">
        <f t="shared" si="6"/>
        <v>0.02365789474</v>
      </c>
      <c r="Q58" s="51">
        <f t="shared" si="7"/>
        <v>42.26918799</v>
      </c>
      <c r="R58" s="50">
        <f t="shared" si="8"/>
        <v>0.4423748545</v>
      </c>
      <c r="S58" s="16"/>
      <c r="T58" s="25"/>
      <c r="U58" s="6"/>
      <c r="V58" s="6"/>
      <c r="W58" s="6"/>
      <c r="X58" s="6"/>
      <c r="Y58" s="6"/>
      <c r="Z58" s="6"/>
    </row>
    <row r="59" collapsed="1">
      <c r="A59" s="52" t="s">
        <v>51</v>
      </c>
      <c r="B59" s="53"/>
      <c r="C59" s="54"/>
      <c r="D59" s="55">
        <f t="shared" ref="D59:F59" si="39">SUM(D52:D58)</f>
        <v>6227</v>
      </c>
      <c r="E59" s="81">
        <f t="shared" si="39"/>
        <v>159</v>
      </c>
      <c r="F59" s="81">
        <f t="shared" si="39"/>
        <v>159</v>
      </c>
      <c r="G59" s="57">
        <f t="shared" si="2"/>
        <v>1</v>
      </c>
      <c r="H59" s="55">
        <f>AVERAGE(H52:H58)</f>
        <v>40.01306417</v>
      </c>
      <c r="I59" s="58">
        <f>H59/G59</f>
        <v>40.01306417</v>
      </c>
      <c r="J59" s="59">
        <f>SUM(J52:J58)</f>
        <v>10485</v>
      </c>
      <c r="K59" s="60">
        <f t="shared" si="5"/>
        <v>0.01516452074</v>
      </c>
      <c r="L59" s="55">
        <f t="shared" ref="L59:N59" si="40">SUM(L52:L58)</f>
        <v>39.6</v>
      </c>
      <c r="M59" s="55">
        <f t="shared" si="40"/>
        <v>2044</v>
      </c>
      <c r="N59" s="56">
        <f t="shared" si="40"/>
        <v>48</v>
      </c>
      <c r="O59" s="59">
        <f>sum(O52:O58)</f>
        <v>193581</v>
      </c>
      <c r="P59" s="60">
        <f t="shared" si="6"/>
        <v>0.01937377691</v>
      </c>
      <c r="Q59" s="61">
        <f t="shared" si="7"/>
        <v>51.61616162</v>
      </c>
      <c r="R59" s="62">
        <f t="shared" si="8"/>
        <v>0.3282479525</v>
      </c>
      <c r="S59" s="54" t="str">
        <f>iferror((D59-#REF!)/D59,)</f>
        <v/>
      </c>
      <c r="T59" s="63" t="str">
        <f>iferror((F59-#REF!)/F59,)</f>
        <v/>
      </c>
      <c r="U59" s="64">
        <f t="shared" ref="U59:V59" si="41">L59</f>
        <v>39.6</v>
      </c>
      <c r="V59" s="64">
        <f t="shared" si="41"/>
        <v>2044</v>
      </c>
      <c r="W59" s="6"/>
      <c r="X59" s="6"/>
      <c r="Y59" s="6"/>
      <c r="Z59" s="6"/>
    </row>
    <row r="60" hidden="1" outlineLevel="1">
      <c r="A60" s="33" t="str">
        <f t="shared" ref="A60:A66" si="42">iferror(if(B60&gt;0,month(B60)&amp;"-"&amp;year(B60),B60),)</f>
        <v>2-2025</v>
      </c>
      <c r="B60" s="34">
        <v>45690.0</v>
      </c>
      <c r="C60" s="35"/>
      <c r="D60" s="36">
        <v>1761.0</v>
      </c>
      <c r="E60" s="37">
        <v>58.0</v>
      </c>
      <c r="F60" s="37">
        <v>58.0</v>
      </c>
      <c r="G60" s="38">
        <f t="shared" si="2"/>
        <v>1</v>
      </c>
      <c r="H60" s="36">
        <f t="shared" ref="H60:H66" si="43">D60/F60</f>
        <v>30.36206897</v>
      </c>
      <c r="I60" s="36">
        <f t="shared" ref="I60:I66" si="44">D60/E60</f>
        <v>30.36206897</v>
      </c>
      <c r="J60" s="39">
        <v>2313.0</v>
      </c>
      <c r="K60" s="40">
        <f t="shared" si="5"/>
        <v>0.02507565932</v>
      </c>
      <c r="L60" s="36">
        <v>16.34</v>
      </c>
      <c r="M60" s="36">
        <v>784.0</v>
      </c>
      <c r="N60" s="37">
        <v>22.0</v>
      </c>
      <c r="O60" s="39">
        <v>57409.0</v>
      </c>
      <c r="P60" s="40">
        <f t="shared" si="6"/>
        <v>0.02084183673</v>
      </c>
      <c r="Q60" s="41">
        <f t="shared" si="7"/>
        <v>47.98041616</v>
      </c>
      <c r="R60" s="40">
        <f t="shared" si="8"/>
        <v>0.44520159</v>
      </c>
      <c r="S60" s="42"/>
      <c r="T60" s="43"/>
      <c r="U60" s="6"/>
      <c r="V60" s="6"/>
      <c r="W60" s="6"/>
      <c r="X60" s="6"/>
      <c r="Y60" s="6"/>
      <c r="Z60" s="6"/>
    </row>
    <row r="61" hidden="1" outlineLevel="1">
      <c r="A61" s="44" t="str">
        <f t="shared" si="42"/>
        <v>2-2025</v>
      </c>
      <c r="B61" s="34">
        <v>45691.0</v>
      </c>
      <c r="C61" s="45"/>
      <c r="D61" s="46">
        <v>2068.0</v>
      </c>
      <c r="E61" s="47">
        <v>55.0</v>
      </c>
      <c r="F61" s="47">
        <v>54.0</v>
      </c>
      <c r="G61" s="48">
        <f t="shared" si="2"/>
        <v>1.018518519</v>
      </c>
      <c r="H61" s="46">
        <f t="shared" si="43"/>
        <v>38.2962963</v>
      </c>
      <c r="I61" s="46">
        <f t="shared" si="44"/>
        <v>37.6</v>
      </c>
      <c r="J61" s="49">
        <v>1737.0</v>
      </c>
      <c r="K61" s="50">
        <f t="shared" si="5"/>
        <v>0.03166378814</v>
      </c>
      <c r="L61" s="46">
        <v>15.37</v>
      </c>
      <c r="M61" s="46">
        <v>1051.0</v>
      </c>
      <c r="N61" s="47">
        <v>26.0</v>
      </c>
      <c r="O61" s="49">
        <v>48090.0</v>
      </c>
      <c r="P61" s="50">
        <f t="shared" si="6"/>
        <v>0.01462416746</v>
      </c>
      <c r="Q61" s="51">
        <f t="shared" si="7"/>
        <v>68.37996096</v>
      </c>
      <c r="R61" s="50">
        <f t="shared" si="8"/>
        <v>0.5082205029</v>
      </c>
      <c r="S61" s="16"/>
      <c r="T61" s="25"/>
      <c r="U61" s="6"/>
      <c r="V61" s="6"/>
      <c r="W61" s="6"/>
      <c r="X61" s="6"/>
      <c r="Y61" s="6"/>
      <c r="Z61" s="6"/>
    </row>
    <row r="62" hidden="1" outlineLevel="1">
      <c r="A62" s="44" t="str">
        <f t="shared" si="42"/>
        <v>2-2025</v>
      </c>
      <c r="B62" s="34">
        <v>45692.0</v>
      </c>
      <c r="C62" s="45"/>
      <c r="D62" s="46">
        <v>906.0</v>
      </c>
      <c r="E62" s="47">
        <v>24.0</v>
      </c>
      <c r="F62" s="47">
        <v>24.0</v>
      </c>
      <c r="G62" s="48">
        <f t="shared" si="2"/>
        <v>1</v>
      </c>
      <c r="H62" s="46">
        <f t="shared" si="43"/>
        <v>37.75</v>
      </c>
      <c r="I62" s="46">
        <f t="shared" si="44"/>
        <v>37.75</v>
      </c>
      <c r="J62" s="49">
        <v>1863.0</v>
      </c>
      <c r="K62" s="50">
        <f t="shared" si="5"/>
        <v>0.01288244767</v>
      </c>
      <c r="L62" s="46">
        <v>25.52</v>
      </c>
      <c r="M62" s="46">
        <v>417.0</v>
      </c>
      <c r="N62" s="47">
        <v>12.0</v>
      </c>
      <c r="O62" s="49">
        <v>52682.0</v>
      </c>
      <c r="P62" s="50">
        <f t="shared" si="6"/>
        <v>0.06119904077</v>
      </c>
      <c r="Q62" s="51">
        <f t="shared" si="7"/>
        <v>16.34012539</v>
      </c>
      <c r="R62" s="50">
        <f t="shared" si="8"/>
        <v>0.4602649007</v>
      </c>
      <c r="S62" s="16"/>
      <c r="T62" s="25"/>
      <c r="U62" s="6"/>
      <c r="V62" s="6"/>
      <c r="W62" s="6"/>
      <c r="X62" s="6"/>
      <c r="Y62" s="6"/>
      <c r="Z62" s="6"/>
    </row>
    <row r="63" hidden="1" outlineLevel="1">
      <c r="A63" s="44" t="str">
        <f t="shared" si="42"/>
        <v>2-2025</v>
      </c>
      <c r="B63" s="34">
        <v>45693.0</v>
      </c>
      <c r="C63" s="45"/>
      <c r="D63" s="46">
        <v>1347.0</v>
      </c>
      <c r="E63" s="47">
        <v>43.0</v>
      </c>
      <c r="F63" s="47">
        <v>43.0</v>
      </c>
      <c r="G63" s="48">
        <f t="shared" si="2"/>
        <v>1</v>
      </c>
      <c r="H63" s="46">
        <f t="shared" si="43"/>
        <v>31.3255814</v>
      </c>
      <c r="I63" s="46">
        <f t="shared" si="44"/>
        <v>31.3255814</v>
      </c>
      <c r="J63" s="49">
        <v>1954.0</v>
      </c>
      <c r="K63" s="50">
        <f t="shared" si="5"/>
        <v>0.02200614125</v>
      </c>
      <c r="L63" s="46">
        <v>31.32</v>
      </c>
      <c r="M63" s="46">
        <v>295.0</v>
      </c>
      <c r="N63" s="47">
        <v>11.0</v>
      </c>
      <c r="O63" s="49">
        <v>61670.0</v>
      </c>
      <c r="P63" s="50">
        <f t="shared" si="6"/>
        <v>0.1061694915</v>
      </c>
      <c r="Q63" s="51">
        <f t="shared" si="7"/>
        <v>9.41890166</v>
      </c>
      <c r="R63" s="50">
        <f t="shared" si="8"/>
        <v>0.2190051967</v>
      </c>
      <c r="S63" s="16"/>
      <c r="T63" s="25"/>
      <c r="U63" s="6"/>
      <c r="V63" s="6"/>
      <c r="W63" s="6"/>
      <c r="X63" s="6"/>
      <c r="Y63" s="6"/>
      <c r="Z63" s="6"/>
    </row>
    <row r="64" hidden="1" outlineLevel="1">
      <c r="A64" s="44" t="str">
        <f t="shared" si="42"/>
        <v>2-2025</v>
      </c>
      <c r="B64" s="34">
        <v>45694.0</v>
      </c>
      <c r="C64" s="45"/>
      <c r="D64" s="46">
        <v>1453.0</v>
      </c>
      <c r="E64" s="47">
        <v>41.0</v>
      </c>
      <c r="F64" s="47">
        <v>41.0</v>
      </c>
      <c r="G64" s="48">
        <f t="shared" si="2"/>
        <v>1</v>
      </c>
      <c r="H64" s="46">
        <f t="shared" si="43"/>
        <v>35.43902439</v>
      </c>
      <c r="I64" s="46">
        <f t="shared" si="44"/>
        <v>35.43902439</v>
      </c>
      <c r="J64" s="49">
        <v>1940.0</v>
      </c>
      <c r="K64" s="50">
        <f t="shared" si="5"/>
        <v>0.02113402062</v>
      </c>
      <c r="L64" s="46">
        <v>29.43</v>
      </c>
      <c r="M64" s="46">
        <v>559.0</v>
      </c>
      <c r="N64" s="47">
        <v>18.0</v>
      </c>
      <c r="O64" s="49">
        <v>56287.0</v>
      </c>
      <c r="P64" s="50">
        <f t="shared" si="6"/>
        <v>0.05264758497</v>
      </c>
      <c r="Q64" s="51">
        <f t="shared" si="7"/>
        <v>18.99422358</v>
      </c>
      <c r="R64" s="50">
        <f t="shared" si="8"/>
        <v>0.3847212663</v>
      </c>
      <c r="S64" s="16"/>
      <c r="T64" s="25"/>
      <c r="U64" s="6"/>
      <c r="V64" s="6"/>
      <c r="W64" s="6"/>
      <c r="X64" s="6"/>
      <c r="Y64" s="6"/>
      <c r="Z64" s="6"/>
    </row>
    <row r="65" hidden="1" outlineLevel="1">
      <c r="A65" s="44" t="str">
        <f t="shared" si="42"/>
        <v>2-2025</v>
      </c>
      <c r="B65" s="34">
        <v>45695.0</v>
      </c>
      <c r="C65" s="45"/>
      <c r="D65" s="46">
        <v>1094.0</v>
      </c>
      <c r="E65" s="47">
        <v>33.0</v>
      </c>
      <c r="F65" s="47">
        <v>33.0</v>
      </c>
      <c r="G65" s="48">
        <f t="shared" si="2"/>
        <v>1</v>
      </c>
      <c r="H65" s="46">
        <f t="shared" si="43"/>
        <v>33.15151515</v>
      </c>
      <c r="I65" s="46">
        <f t="shared" si="44"/>
        <v>33.15151515</v>
      </c>
      <c r="J65" s="49">
        <v>1622.0</v>
      </c>
      <c r="K65" s="50">
        <f t="shared" si="5"/>
        <v>0.02034525277</v>
      </c>
      <c r="L65" s="46">
        <v>28.26</v>
      </c>
      <c r="M65" s="46">
        <v>500.0</v>
      </c>
      <c r="N65" s="47">
        <v>18.0</v>
      </c>
      <c r="O65" s="49">
        <v>47487.0</v>
      </c>
      <c r="P65" s="50">
        <f t="shared" si="6"/>
        <v>0.05652</v>
      </c>
      <c r="Q65" s="51">
        <f t="shared" si="7"/>
        <v>17.69285209</v>
      </c>
      <c r="R65" s="50">
        <f t="shared" si="8"/>
        <v>0.4570383912</v>
      </c>
      <c r="S65" s="16"/>
      <c r="T65" s="25"/>
      <c r="U65" s="6"/>
      <c r="V65" s="6"/>
      <c r="W65" s="6"/>
      <c r="X65" s="6"/>
      <c r="Y65" s="6"/>
      <c r="Z65" s="6"/>
    </row>
    <row r="66" hidden="1" outlineLevel="1">
      <c r="A66" s="44" t="str">
        <f t="shared" si="42"/>
        <v>2-2025</v>
      </c>
      <c r="B66" s="34">
        <v>45696.0</v>
      </c>
      <c r="C66" s="45"/>
      <c r="D66" s="46">
        <v>2244.0</v>
      </c>
      <c r="E66" s="47">
        <v>61.0</v>
      </c>
      <c r="F66" s="47">
        <v>58.0</v>
      </c>
      <c r="G66" s="48">
        <f t="shared" si="2"/>
        <v>1.051724138</v>
      </c>
      <c r="H66" s="46">
        <f t="shared" si="43"/>
        <v>38.68965517</v>
      </c>
      <c r="I66" s="46">
        <f t="shared" si="44"/>
        <v>36.78688525</v>
      </c>
      <c r="J66" s="49">
        <v>2529.0</v>
      </c>
      <c r="K66" s="50">
        <f t="shared" si="5"/>
        <v>0.02412020561</v>
      </c>
      <c r="L66" s="46">
        <v>51.41</v>
      </c>
      <c r="M66" s="46">
        <v>617.0</v>
      </c>
      <c r="N66" s="47">
        <v>20.0</v>
      </c>
      <c r="O66" s="49">
        <v>77102.0</v>
      </c>
      <c r="P66" s="50">
        <f t="shared" si="6"/>
        <v>0.08332252836</v>
      </c>
      <c r="Q66" s="51">
        <f t="shared" si="7"/>
        <v>12.00155612</v>
      </c>
      <c r="R66" s="50">
        <f t="shared" si="8"/>
        <v>0.2749554367</v>
      </c>
      <c r="S66" s="16"/>
      <c r="T66" s="25"/>
      <c r="U66" s="6"/>
      <c r="V66" s="6"/>
      <c r="W66" s="6"/>
      <c r="X66" s="6"/>
      <c r="Y66" s="6"/>
      <c r="Z66" s="6"/>
    </row>
    <row r="67" collapsed="1">
      <c r="A67" s="52" t="s">
        <v>52</v>
      </c>
      <c r="B67" s="53"/>
      <c r="C67" s="54"/>
      <c r="D67" s="55">
        <f t="shared" ref="D67:F67" si="45">SUM(D60:D66)</f>
        <v>10873</v>
      </c>
      <c r="E67" s="81">
        <f t="shared" si="45"/>
        <v>315</v>
      </c>
      <c r="F67" s="81">
        <f t="shared" si="45"/>
        <v>311</v>
      </c>
      <c r="G67" s="57">
        <f t="shared" si="2"/>
        <v>1.012861736</v>
      </c>
      <c r="H67" s="55">
        <f>AVERAGE(H60:H66)</f>
        <v>35.0020202</v>
      </c>
      <c r="I67" s="58">
        <f>H67/G67</f>
        <v>34.5575501</v>
      </c>
      <c r="J67" s="59">
        <f>SUM(J60:J66)</f>
        <v>13958</v>
      </c>
      <c r="K67" s="60">
        <f t="shared" si="5"/>
        <v>0.02256770311</v>
      </c>
      <c r="L67" s="55">
        <f t="shared" ref="L67:N67" si="46">SUM(L60:L66)</f>
        <v>197.65</v>
      </c>
      <c r="M67" s="55">
        <f t="shared" si="46"/>
        <v>4223</v>
      </c>
      <c r="N67" s="56">
        <f t="shared" si="46"/>
        <v>127</v>
      </c>
      <c r="O67" s="59">
        <f>sum(O60:O66)</f>
        <v>400727</v>
      </c>
      <c r="P67" s="60">
        <f t="shared" si="6"/>
        <v>0.04680322046</v>
      </c>
      <c r="Q67" s="61">
        <f t="shared" si="7"/>
        <v>21.3660511</v>
      </c>
      <c r="R67" s="62">
        <f t="shared" si="8"/>
        <v>0.3883932677</v>
      </c>
      <c r="S67" s="54" t="str">
        <f>iferror((D67-#REF!)/D67,)</f>
        <v/>
      </c>
      <c r="T67" s="63" t="str">
        <f>iferror((F67-#REF!)/F67,)</f>
        <v/>
      </c>
      <c r="U67" s="64">
        <f t="shared" ref="U67:V67" si="47">L67</f>
        <v>197.65</v>
      </c>
      <c r="V67" s="64">
        <f t="shared" si="47"/>
        <v>4223</v>
      </c>
      <c r="W67" s="6"/>
      <c r="X67" s="6"/>
      <c r="Y67" s="6"/>
      <c r="Z67" s="6"/>
    </row>
    <row r="68" hidden="1" outlineLevel="1">
      <c r="A68" s="33" t="str">
        <f t="shared" ref="A68:A74" si="48">iferror(if(B68&gt;0,month(B68)&amp;"-"&amp;year(B68),B68),)</f>
        <v>2-2025</v>
      </c>
      <c r="B68" s="34">
        <v>45697.0</v>
      </c>
      <c r="C68" s="35"/>
      <c r="D68" s="36">
        <v>2067.0</v>
      </c>
      <c r="E68" s="37">
        <v>62.0</v>
      </c>
      <c r="F68" s="37">
        <v>62.0</v>
      </c>
      <c r="G68" s="38">
        <f t="shared" si="2"/>
        <v>1</v>
      </c>
      <c r="H68" s="36">
        <f t="shared" ref="H68:H74" si="49">D68/F68</f>
        <v>33.33870968</v>
      </c>
      <c r="I68" s="36">
        <f t="shared" ref="I68:I74" si="50">D68/E68</f>
        <v>33.33870968</v>
      </c>
      <c r="J68" s="39">
        <v>2829.0</v>
      </c>
      <c r="K68" s="40">
        <f t="shared" si="5"/>
        <v>0.02191587133</v>
      </c>
      <c r="L68" s="36">
        <v>45.91</v>
      </c>
      <c r="M68" s="36">
        <v>943.0</v>
      </c>
      <c r="N68" s="37">
        <v>30.0</v>
      </c>
      <c r="O68" s="39">
        <v>77213.0</v>
      </c>
      <c r="P68" s="40">
        <f t="shared" si="6"/>
        <v>0.04868504772</v>
      </c>
      <c r="Q68" s="41">
        <f t="shared" si="7"/>
        <v>20.54018732</v>
      </c>
      <c r="R68" s="40">
        <f t="shared" si="8"/>
        <v>0.4562167392</v>
      </c>
      <c r="S68" s="42"/>
      <c r="T68" s="43"/>
      <c r="U68" s="6"/>
      <c r="V68" s="6"/>
      <c r="W68" s="6"/>
      <c r="X68" s="6"/>
      <c r="Y68" s="6"/>
      <c r="Z68" s="6"/>
    </row>
    <row r="69" hidden="1" outlineLevel="1">
      <c r="A69" s="44" t="str">
        <f t="shared" si="48"/>
        <v>2-2025</v>
      </c>
      <c r="B69" s="34">
        <v>45698.0</v>
      </c>
      <c r="C69" s="45"/>
      <c r="D69" s="46">
        <v>2077.0</v>
      </c>
      <c r="E69" s="47">
        <v>59.0</v>
      </c>
      <c r="F69" s="47">
        <v>57.0</v>
      </c>
      <c r="G69" s="48">
        <f t="shared" si="2"/>
        <v>1.035087719</v>
      </c>
      <c r="H69" s="46">
        <f t="shared" si="49"/>
        <v>36.43859649</v>
      </c>
      <c r="I69" s="46">
        <f t="shared" si="50"/>
        <v>35.20338983</v>
      </c>
      <c r="J69" s="49">
        <v>2585.0</v>
      </c>
      <c r="K69" s="50">
        <f t="shared" si="5"/>
        <v>0.02282398453</v>
      </c>
      <c r="L69" s="46">
        <v>40.71</v>
      </c>
      <c r="M69" s="46">
        <v>789.0</v>
      </c>
      <c r="N69" s="47">
        <v>24.0</v>
      </c>
      <c r="O69" s="49">
        <v>68978.0</v>
      </c>
      <c r="P69" s="50">
        <f t="shared" si="6"/>
        <v>0.05159695817</v>
      </c>
      <c r="Q69" s="51">
        <f t="shared" si="7"/>
        <v>19.38098747</v>
      </c>
      <c r="R69" s="50">
        <f t="shared" si="8"/>
        <v>0.3798748195</v>
      </c>
      <c r="S69" s="16"/>
      <c r="T69" s="25"/>
      <c r="U69" s="6"/>
      <c r="V69" s="6"/>
      <c r="W69" s="6"/>
      <c r="X69" s="6"/>
      <c r="Y69" s="6"/>
      <c r="Z69" s="6"/>
    </row>
    <row r="70" hidden="1" outlineLevel="1">
      <c r="A70" s="44" t="str">
        <f t="shared" si="48"/>
        <v>2-2025</v>
      </c>
      <c r="B70" s="34">
        <v>45699.0</v>
      </c>
      <c r="C70" s="45"/>
      <c r="D70" s="46">
        <v>2013.0</v>
      </c>
      <c r="E70" s="47">
        <v>57.0</v>
      </c>
      <c r="F70" s="47">
        <v>57.0</v>
      </c>
      <c r="G70" s="48">
        <f t="shared" si="2"/>
        <v>1</v>
      </c>
      <c r="H70" s="46">
        <f t="shared" si="49"/>
        <v>35.31578947</v>
      </c>
      <c r="I70" s="46">
        <f t="shared" si="50"/>
        <v>35.31578947</v>
      </c>
      <c r="J70" s="49">
        <v>2699.0</v>
      </c>
      <c r="K70" s="50">
        <f t="shared" si="5"/>
        <v>0.02111893294</v>
      </c>
      <c r="L70" s="46">
        <v>47.29</v>
      </c>
      <c r="M70" s="46">
        <v>695.0</v>
      </c>
      <c r="N70" s="47">
        <v>23.0</v>
      </c>
      <c r="O70" s="49">
        <v>64455.0</v>
      </c>
      <c r="P70" s="50">
        <f t="shared" si="6"/>
        <v>0.06804316547</v>
      </c>
      <c r="Q70" s="51">
        <f t="shared" si="7"/>
        <v>14.69655318</v>
      </c>
      <c r="R70" s="50">
        <f t="shared" si="8"/>
        <v>0.3452558371</v>
      </c>
      <c r="S70" s="16"/>
      <c r="T70" s="25"/>
      <c r="U70" s="6"/>
      <c r="V70" s="6"/>
      <c r="W70" s="6"/>
      <c r="X70" s="6"/>
      <c r="Y70" s="6"/>
      <c r="Z70" s="6"/>
    </row>
    <row r="71" hidden="1" outlineLevel="1">
      <c r="A71" s="44" t="str">
        <f t="shared" si="48"/>
        <v>2-2025</v>
      </c>
      <c r="B71" s="34">
        <v>45700.0</v>
      </c>
      <c r="C71" s="45"/>
      <c r="D71" s="46">
        <v>1676.0</v>
      </c>
      <c r="E71" s="47">
        <v>44.0</v>
      </c>
      <c r="F71" s="47">
        <v>44.0</v>
      </c>
      <c r="G71" s="48">
        <f t="shared" si="2"/>
        <v>1</v>
      </c>
      <c r="H71" s="46">
        <f t="shared" si="49"/>
        <v>38.09090909</v>
      </c>
      <c r="I71" s="46">
        <f t="shared" si="50"/>
        <v>38.09090909</v>
      </c>
      <c r="J71" s="49">
        <v>2265.0</v>
      </c>
      <c r="K71" s="50">
        <f t="shared" si="5"/>
        <v>0.01942604857</v>
      </c>
      <c r="L71" s="46">
        <v>35.15</v>
      </c>
      <c r="M71" s="46">
        <v>782.0</v>
      </c>
      <c r="N71" s="47">
        <v>21.0</v>
      </c>
      <c r="O71" s="49">
        <v>55206.0</v>
      </c>
      <c r="P71" s="50">
        <f t="shared" si="6"/>
        <v>0.0449488491</v>
      </c>
      <c r="Q71" s="51">
        <f t="shared" si="7"/>
        <v>22.24751067</v>
      </c>
      <c r="R71" s="50">
        <f t="shared" si="8"/>
        <v>0.4665871122</v>
      </c>
      <c r="S71" s="16"/>
      <c r="T71" s="25"/>
      <c r="U71" s="6"/>
      <c r="V71" s="6"/>
      <c r="W71" s="6"/>
      <c r="X71" s="6"/>
      <c r="Y71" s="6"/>
      <c r="Z71" s="6"/>
    </row>
    <row r="72" hidden="1" outlineLevel="1">
      <c r="A72" s="44" t="str">
        <f t="shared" si="48"/>
        <v>2-2025</v>
      </c>
      <c r="B72" s="34">
        <v>45701.0</v>
      </c>
      <c r="C72" s="45"/>
      <c r="D72" s="46">
        <v>771.0</v>
      </c>
      <c r="E72" s="47">
        <v>20.0</v>
      </c>
      <c r="F72" s="47">
        <v>20.0</v>
      </c>
      <c r="G72" s="48">
        <f t="shared" si="2"/>
        <v>1</v>
      </c>
      <c r="H72" s="46">
        <f t="shared" si="49"/>
        <v>38.55</v>
      </c>
      <c r="I72" s="46">
        <f t="shared" si="50"/>
        <v>38.55</v>
      </c>
      <c r="J72" s="49">
        <v>1598.0</v>
      </c>
      <c r="K72" s="50">
        <f t="shared" si="5"/>
        <v>0.01251564456</v>
      </c>
      <c r="L72" s="46">
        <v>23.56</v>
      </c>
      <c r="M72" s="46">
        <v>305.0</v>
      </c>
      <c r="N72" s="47">
        <v>7.0</v>
      </c>
      <c r="O72" s="49">
        <v>44524.0</v>
      </c>
      <c r="P72" s="50">
        <f t="shared" si="6"/>
        <v>0.07724590164</v>
      </c>
      <c r="Q72" s="51">
        <f t="shared" si="7"/>
        <v>12.94567063</v>
      </c>
      <c r="R72" s="50">
        <f t="shared" si="8"/>
        <v>0.3955901427</v>
      </c>
      <c r="S72" s="16"/>
      <c r="T72" s="25"/>
      <c r="U72" s="6"/>
      <c r="V72" s="6"/>
      <c r="W72" s="6"/>
      <c r="X72" s="6"/>
      <c r="Y72" s="6"/>
      <c r="Z72" s="6"/>
    </row>
    <row r="73" hidden="1" outlineLevel="1">
      <c r="A73" s="44" t="str">
        <f t="shared" si="48"/>
        <v>2-2025</v>
      </c>
      <c r="B73" s="34">
        <v>45702.0</v>
      </c>
      <c r="C73" s="45"/>
      <c r="D73" s="46">
        <v>1058.0</v>
      </c>
      <c r="E73" s="47">
        <v>28.0</v>
      </c>
      <c r="F73" s="47">
        <v>28.0</v>
      </c>
      <c r="G73" s="48">
        <f t="shared" si="2"/>
        <v>1</v>
      </c>
      <c r="H73" s="46">
        <f t="shared" si="49"/>
        <v>37.78571429</v>
      </c>
      <c r="I73" s="46">
        <f t="shared" si="50"/>
        <v>37.78571429</v>
      </c>
      <c r="J73" s="49">
        <v>1292.0</v>
      </c>
      <c r="K73" s="50">
        <f t="shared" si="5"/>
        <v>0.02167182663</v>
      </c>
      <c r="L73" s="46">
        <v>18.85</v>
      </c>
      <c r="M73" s="46">
        <v>460.0</v>
      </c>
      <c r="N73" s="47">
        <v>11.0</v>
      </c>
      <c r="O73" s="49">
        <v>34637.0</v>
      </c>
      <c r="P73" s="50">
        <f t="shared" si="6"/>
        <v>0.04097826087</v>
      </c>
      <c r="Q73" s="51">
        <f t="shared" si="7"/>
        <v>24.40318302</v>
      </c>
      <c r="R73" s="50">
        <f t="shared" si="8"/>
        <v>0.4347826087</v>
      </c>
      <c r="S73" s="16"/>
      <c r="T73" s="25"/>
      <c r="U73" s="6"/>
      <c r="V73" s="6"/>
      <c r="W73" s="6"/>
      <c r="X73" s="6"/>
      <c r="Y73" s="6"/>
      <c r="Z73" s="6"/>
    </row>
    <row r="74" hidden="1" outlineLevel="1">
      <c r="A74" s="44" t="str">
        <f t="shared" si="48"/>
        <v>2-2025</v>
      </c>
      <c r="B74" s="34">
        <v>45703.0</v>
      </c>
      <c r="C74" s="45"/>
      <c r="D74" s="46">
        <v>1100.0</v>
      </c>
      <c r="E74" s="47">
        <v>32.0</v>
      </c>
      <c r="F74" s="47">
        <v>32.0</v>
      </c>
      <c r="G74" s="48">
        <f t="shared" si="2"/>
        <v>1</v>
      </c>
      <c r="H74" s="46">
        <f t="shared" si="49"/>
        <v>34.375</v>
      </c>
      <c r="I74" s="46">
        <f t="shared" si="50"/>
        <v>34.375</v>
      </c>
      <c r="J74" s="49">
        <v>2113.0</v>
      </c>
      <c r="K74" s="50">
        <f t="shared" si="5"/>
        <v>0.01514434453</v>
      </c>
      <c r="L74" s="46">
        <v>29.82</v>
      </c>
      <c r="M74" s="46">
        <v>690.0</v>
      </c>
      <c r="N74" s="47">
        <v>19.0</v>
      </c>
      <c r="O74" s="49">
        <v>51263.0</v>
      </c>
      <c r="P74" s="50">
        <f t="shared" si="6"/>
        <v>0.0432173913</v>
      </c>
      <c r="Q74" s="51">
        <f t="shared" si="7"/>
        <v>23.138833</v>
      </c>
      <c r="R74" s="50">
        <f t="shared" si="8"/>
        <v>0.6272727273</v>
      </c>
      <c r="S74" s="16"/>
      <c r="T74" s="25"/>
      <c r="U74" s="6"/>
      <c r="V74" s="6"/>
      <c r="W74" s="6"/>
      <c r="X74" s="6"/>
      <c r="Y74" s="6"/>
      <c r="Z74" s="6"/>
    </row>
    <row r="75" collapsed="1">
      <c r="A75" s="52" t="s">
        <v>53</v>
      </c>
      <c r="B75" s="53"/>
      <c r="C75" s="54"/>
      <c r="D75" s="55">
        <f t="shared" ref="D75:F75" si="51">SUM(D68:D74)</f>
        <v>10762</v>
      </c>
      <c r="E75" s="81">
        <f t="shared" si="51"/>
        <v>302</v>
      </c>
      <c r="F75" s="81">
        <f t="shared" si="51"/>
        <v>300</v>
      </c>
      <c r="G75" s="57">
        <f t="shared" si="2"/>
        <v>1.006666667</v>
      </c>
      <c r="H75" s="55">
        <f>AVERAGE(H68:H74)</f>
        <v>36.27067415</v>
      </c>
      <c r="I75" s="58">
        <f>H75/G75</f>
        <v>36.03047101</v>
      </c>
      <c r="J75" s="59">
        <f>SUM(J68:J74)</f>
        <v>15381</v>
      </c>
      <c r="K75" s="60">
        <f t="shared" si="5"/>
        <v>0.01963461413</v>
      </c>
      <c r="L75" s="55">
        <f t="shared" ref="L75:N75" si="52">SUM(L68:L74)</f>
        <v>241.29</v>
      </c>
      <c r="M75" s="55">
        <f t="shared" si="52"/>
        <v>4664</v>
      </c>
      <c r="N75" s="56">
        <f t="shared" si="52"/>
        <v>135</v>
      </c>
      <c r="O75" s="59">
        <f>sum(O68:O74)</f>
        <v>396276</v>
      </c>
      <c r="P75" s="60">
        <f t="shared" si="6"/>
        <v>0.05173456261</v>
      </c>
      <c r="Q75" s="61">
        <f t="shared" si="7"/>
        <v>19.32943761</v>
      </c>
      <c r="R75" s="62">
        <f t="shared" si="8"/>
        <v>0.4333766958</v>
      </c>
      <c r="S75" s="54" t="str">
        <f>iferror((D75-#REF!)/D75,)</f>
        <v/>
      </c>
      <c r="T75" s="63" t="str">
        <f>iferror((F75-#REF!)/F75,)</f>
        <v/>
      </c>
      <c r="U75" s="64">
        <f t="shared" ref="U75:V75" si="53">L75</f>
        <v>241.29</v>
      </c>
      <c r="V75" s="64">
        <f t="shared" si="53"/>
        <v>4664</v>
      </c>
      <c r="W75" s="6"/>
      <c r="X75" s="6"/>
      <c r="Y75" s="6"/>
      <c r="Z75" s="6"/>
    </row>
    <row r="76" hidden="1" outlineLevel="1">
      <c r="A76" s="33" t="str">
        <f t="shared" ref="A76:A82" si="54">iferror(if(B76&gt;0,month(B76)&amp;"-"&amp;year(B76),B76),)</f>
        <v>2-2025</v>
      </c>
      <c r="B76" s="34">
        <v>45704.0</v>
      </c>
      <c r="C76" s="35"/>
      <c r="D76" s="36">
        <v>1265.0</v>
      </c>
      <c r="E76" s="37">
        <v>39.0</v>
      </c>
      <c r="F76" s="37">
        <v>39.0</v>
      </c>
      <c r="G76" s="38">
        <f t="shared" si="2"/>
        <v>1</v>
      </c>
      <c r="H76" s="36">
        <f t="shared" ref="H76:H82" si="55">D76/F76</f>
        <v>32.43589744</v>
      </c>
      <c r="I76" s="36">
        <f t="shared" ref="I76:I82" si="56">D76/E76</f>
        <v>32.43589744</v>
      </c>
      <c r="J76" s="39">
        <v>2693.0</v>
      </c>
      <c r="K76" s="40">
        <f t="shared" si="5"/>
        <v>0.01448199035</v>
      </c>
      <c r="L76" s="36">
        <v>45.85</v>
      </c>
      <c r="M76" s="36">
        <v>550.0</v>
      </c>
      <c r="N76" s="37">
        <v>19.0</v>
      </c>
      <c r="O76" s="39">
        <v>69040.0</v>
      </c>
      <c r="P76" s="40">
        <f t="shared" si="6"/>
        <v>0.08336363636</v>
      </c>
      <c r="Q76" s="41">
        <f t="shared" si="7"/>
        <v>11.99563795</v>
      </c>
      <c r="R76" s="40">
        <f t="shared" si="8"/>
        <v>0.4347826087</v>
      </c>
      <c r="S76" s="42"/>
      <c r="T76" s="43"/>
      <c r="U76" s="6"/>
      <c r="V76" s="6"/>
      <c r="W76" s="6"/>
      <c r="X76" s="6"/>
      <c r="Y76" s="6"/>
      <c r="Z76" s="6"/>
    </row>
    <row r="77" hidden="1" outlineLevel="1">
      <c r="A77" s="44" t="str">
        <f t="shared" si="54"/>
        <v>2-2025</v>
      </c>
      <c r="B77" s="34">
        <v>45705.0</v>
      </c>
      <c r="C77" s="45"/>
      <c r="D77" s="46">
        <v>1371.0</v>
      </c>
      <c r="E77" s="47">
        <v>35.0</v>
      </c>
      <c r="F77" s="47">
        <v>35.0</v>
      </c>
      <c r="G77" s="48">
        <f t="shared" si="2"/>
        <v>1</v>
      </c>
      <c r="H77" s="46">
        <f t="shared" si="55"/>
        <v>39.17142857</v>
      </c>
      <c r="I77" s="46">
        <f t="shared" si="56"/>
        <v>39.17142857</v>
      </c>
      <c r="J77" s="49">
        <v>1883.0</v>
      </c>
      <c r="K77" s="50">
        <f t="shared" si="5"/>
        <v>0.01858736059</v>
      </c>
      <c r="L77" s="46">
        <v>25.9</v>
      </c>
      <c r="M77" s="46">
        <v>980.0</v>
      </c>
      <c r="N77" s="47">
        <v>19.0</v>
      </c>
      <c r="O77" s="49">
        <v>52639.0</v>
      </c>
      <c r="P77" s="50">
        <f t="shared" si="6"/>
        <v>0.02642857143</v>
      </c>
      <c r="Q77" s="51">
        <f t="shared" si="7"/>
        <v>37.83783784</v>
      </c>
      <c r="R77" s="50">
        <f t="shared" si="8"/>
        <v>0.7148067104</v>
      </c>
      <c r="S77" s="16"/>
      <c r="T77" s="25"/>
      <c r="U77" s="6"/>
      <c r="V77" s="6"/>
      <c r="W77" s="6"/>
      <c r="X77" s="6"/>
      <c r="Y77" s="6"/>
      <c r="Z77" s="6"/>
    </row>
    <row r="78" hidden="1" outlineLevel="1">
      <c r="A78" s="44" t="str">
        <f t="shared" si="54"/>
        <v>2-2025</v>
      </c>
      <c r="B78" s="34">
        <v>45706.0</v>
      </c>
      <c r="C78" s="45"/>
      <c r="D78" s="46">
        <v>987.0</v>
      </c>
      <c r="E78" s="47">
        <v>28.0</v>
      </c>
      <c r="F78" s="47">
        <v>26.0</v>
      </c>
      <c r="G78" s="48">
        <f t="shared" si="2"/>
        <v>1.076923077</v>
      </c>
      <c r="H78" s="46">
        <f t="shared" si="55"/>
        <v>37.96153846</v>
      </c>
      <c r="I78" s="46">
        <f t="shared" si="56"/>
        <v>35.25</v>
      </c>
      <c r="J78" s="49">
        <v>1839.0</v>
      </c>
      <c r="K78" s="50">
        <f t="shared" si="5"/>
        <v>0.01522566612</v>
      </c>
      <c r="L78" s="46">
        <v>34.36</v>
      </c>
      <c r="M78" s="46">
        <v>672.0</v>
      </c>
      <c r="N78" s="47">
        <v>15.0</v>
      </c>
      <c r="O78" s="49">
        <v>45639.0</v>
      </c>
      <c r="P78" s="50">
        <f t="shared" si="6"/>
        <v>0.05113095238</v>
      </c>
      <c r="Q78" s="51">
        <f t="shared" si="7"/>
        <v>19.55762515</v>
      </c>
      <c r="R78" s="50">
        <f t="shared" si="8"/>
        <v>0.6808510638</v>
      </c>
      <c r="S78" s="16"/>
      <c r="T78" s="25"/>
      <c r="U78" s="6"/>
      <c r="V78" s="6"/>
      <c r="W78" s="6"/>
      <c r="X78" s="6"/>
      <c r="Y78" s="6"/>
      <c r="Z78" s="6"/>
    </row>
    <row r="79" hidden="1" outlineLevel="1">
      <c r="A79" s="44" t="str">
        <f t="shared" si="54"/>
        <v>2-2025</v>
      </c>
      <c r="B79" s="34">
        <v>45707.0</v>
      </c>
      <c r="C79" s="45"/>
      <c r="D79" s="46">
        <v>1572.0</v>
      </c>
      <c r="E79" s="47">
        <v>44.0</v>
      </c>
      <c r="F79" s="47">
        <v>44.0</v>
      </c>
      <c r="G79" s="48">
        <f t="shared" si="2"/>
        <v>1</v>
      </c>
      <c r="H79" s="46">
        <f t="shared" si="55"/>
        <v>35.72727273</v>
      </c>
      <c r="I79" s="46">
        <f t="shared" si="56"/>
        <v>35.72727273</v>
      </c>
      <c r="J79" s="49">
        <v>2248.0</v>
      </c>
      <c r="K79" s="50">
        <f t="shared" si="5"/>
        <v>0.01957295374</v>
      </c>
      <c r="L79" s="46">
        <v>29.59</v>
      </c>
      <c r="M79" s="46">
        <v>365.0</v>
      </c>
      <c r="N79" s="47">
        <v>14.0</v>
      </c>
      <c r="O79" s="49">
        <v>47240.0</v>
      </c>
      <c r="P79" s="50">
        <f t="shared" si="6"/>
        <v>0.08106849315</v>
      </c>
      <c r="Q79" s="51">
        <f t="shared" si="7"/>
        <v>12.33524839</v>
      </c>
      <c r="R79" s="50">
        <f t="shared" si="8"/>
        <v>0.2321882952</v>
      </c>
      <c r="S79" s="16"/>
      <c r="T79" s="25"/>
      <c r="U79" s="6"/>
      <c r="V79" s="6"/>
      <c r="W79" s="6"/>
      <c r="X79" s="6"/>
      <c r="Y79" s="6"/>
      <c r="Z79" s="6"/>
    </row>
    <row r="80" hidden="1" outlineLevel="1">
      <c r="A80" s="44" t="str">
        <f t="shared" si="54"/>
        <v>2-2025</v>
      </c>
      <c r="B80" s="34">
        <v>45708.0</v>
      </c>
      <c r="C80" s="45"/>
      <c r="D80" s="46">
        <v>1497.0</v>
      </c>
      <c r="E80" s="47">
        <v>44.0</v>
      </c>
      <c r="F80" s="47">
        <v>43.0</v>
      </c>
      <c r="G80" s="48">
        <f t="shared" si="2"/>
        <v>1.023255814</v>
      </c>
      <c r="H80" s="46">
        <f t="shared" si="55"/>
        <v>34.81395349</v>
      </c>
      <c r="I80" s="46">
        <f t="shared" si="56"/>
        <v>34.02272727</v>
      </c>
      <c r="J80" s="49">
        <v>2275.0</v>
      </c>
      <c r="K80" s="50">
        <f t="shared" si="5"/>
        <v>0.01934065934</v>
      </c>
      <c r="L80" s="46">
        <v>34.15</v>
      </c>
      <c r="M80" s="46">
        <v>719.0</v>
      </c>
      <c r="N80" s="47">
        <v>22.0</v>
      </c>
      <c r="O80" s="49">
        <v>49133.0</v>
      </c>
      <c r="P80" s="50">
        <f t="shared" si="6"/>
        <v>0.04749652295</v>
      </c>
      <c r="Q80" s="51">
        <f t="shared" si="7"/>
        <v>21.05417277</v>
      </c>
      <c r="R80" s="50">
        <f t="shared" si="8"/>
        <v>0.4802939212</v>
      </c>
      <c r="S80" s="16"/>
      <c r="T80" s="25"/>
      <c r="U80" s="6"/>
      <c r="V80" s="6"/>
      <c r="W80" s="6"/>
      <c r="X80" s="6"/>
      <c r="Y80" s="6"/>
      <c r="Z80" s="6"/>
    </row>
    <row r="81" hidden="1" outlineLevel="1">
      <c r="A81" s="44" t="str">
        <f t="shared" si="54"/>
        <v>2-2025</v>
      </c>
      <c r="B81" s="34">
        <v>45709.0</v>
      </c>
      <c r="C81" s="45"/>
      <c r="D81" s="46">
        <v>1721.0</v>
      </c>
      <c r="E81" s="47">
        <v>50.0</v>
      </c>
      <c r="F81" s="47">
        <v>50.0</v>
      </c>
      <c r="G81" s="48">
        <f t="shared" si="2"/>
        <v>1</v>
      </c>
      <c r="H81" s="46">
        <f t="shared" si="55"/>
        <v>34.42</v>
      </c>
      <c r="I81" s="46">
        <f t="shared" si="56"/>
        <v>34.42</v>
      </c>
      <c r="J81" s="49">
        <v>1857.0</v>
      </c>
      <c r="K81" s="50">
        <f t="shared" si="5"/>
        <v>0.02692514809</v>
      </c>
      <c r="L81" s="46">
        <v>29.88</v>
      </c>
      <c r="M81" s="46">
        <v>750.0</v>
      </c>
      <c r="N81" s="47">
        <v>20.0</v>
      </c>
      <c r="O81" s="49">
        <v>44266.0</v>
      </c>
      <c r="P81" s="50">
        <f t="shared" si="6"/>
        <v>0.03984</v>
      </c>
      <c r="Q81" s="51">
        <f t="shared" si="7"/>
        <v>25.10040161</v>
      </c>
      <c r="R81" s="50">
        <f t="shared" si="8"/>
        <v>0.4357931435</v>
      </c>
      <c r="S81" s="16"/>
      <c r="T81" s="25"/>
      <c r="U81" s="6"/>
      <c r="V81" s="6"/>
      <c r="W81" s="6"/>
      <c r="X81" s="6"/>
      <c r="Y81" s="6"/>
      <c r="Z81" s="6"/>
    </row>
    <row r="82" hidden="1" outlineLevel="1">
      <c r="A82" s="44" t="str">
        <f t="shared" si="54"/>
        <v>2-2025</v>
      </c>
      <c r="B82" s="34">
        <v>45710.0</v>
      </c>
      <c r="C82" s="45"/>
      <c r="D82" s="46">
        <v>1640.0</v>
      </c>
      <c r="E82" s="47">
        <v>45.0</v>
      </c>
      <c r="F82" s="47">
        <v>45.0</v>
      </c>
      <c r="G82" s="48">
        <f t="shared" si="2"/>
        <v>1</v>
      </c>
      <c r="H82" s="46">
        <f t="shared" si="55"/>
        <v>36.44444444</v>
      </c>
      <c r="I82" s="46">
        <f t="shared" si="56"/>
        <v>36.44444444</v>
      </c>
      <c r="J82" s="49">
        <v>2246.0</v>
      </c>
      <c r="K82" s="50">
        <f t="shared" si="5"/>
        <v>0.02003561888</v>
      </c>
      <c r="L82" s="46">
        <v>38.17</v>
      </c>
      <c r="M82" s="46">
        <v>523.0</v>
      </c>
      <c r="N82" s="47">
        <v>13.0</v>
      </c>
      <c r="O82" s="49">
        <v>60167.0</v>
      </c>
      <c r="P82" s="50">
        <f t="shared" si="6"/>
        <v>0.07298279159</v>
      </c>
      <c r="Q82" s="51">
        <f t="shared" si="7"/>
        <v>13.7018601</v>
      </c>
      <c r="R82" s="50">
        <f t="shared" si="8"/>
        <v>0.318902439</v>
      </c>
      <c r="S82" s="16"/>
      <c r="T82" s="25"/>
      <c r="U82" s="6"/>
      <c r="V82" s="6"/>
      <c r="W82" s="6"/>
      <c r="X82" s="6"/>
      <c r="Y82" s="6"/>
      <c r="Z82" s="6"/>
    </row>
    <row r="83" collapsed="1">
      <c r="A83" s="52" t="s">
        <v>54</v>
      </c>
      <c r="B83" s="53"/>
      <c r="C83" s="54"/>
      <c r="D83" s="55">
        <f t="shared" ref="D83:F83" si="57">SUM(D76:D82)</f>
        <v>10053</v>
      </c>
      <c r="E83" s="81">
        <f t="shared" si="57"/>
        <v>285</v>
      </c>
      <c r="F83" s="81">
        <f t="shared" si="57"/>
        <v>282</v>
      </c>
      <c r="G83" s="57">
        <f t="shared" si="2"/>
        <v>1.010638298</v>
      </c>
      <c r="H83" s="55">
        <f>AVERAGE(H76:H82)</f>
        <v>35.85350502</v>
      </c>
      <c r="I83" s="58">
        <f>H83/G83</f>
        <v>35.4760997</v>
      </c>
      <c r="J83" s="59">
        <f>SUM(J76:J82)</f>
        <v>15041</v>
      </c>
      <c r="K83" s="60">
        <f t="shared" si="5"/>
        <v>0.01894820823</v>
      </c>
      <c r="L83" s="55">
        <f t="shared" ref="L83:N83" si="58">SUM(L76:L82)</f>
        <v>237.9</v>
      </c>
      <c r="M83" s="55">
        <f t="shared" si="58"/>
        <v>4559</v>
      </c>
      <c r="N83" s="56">
        <f t="shared" si="58"/>
        <v>122</v>
      </c>
      <c r="O83" s="59">
        <f>sum(O76:O82)</f>
        <v>368124</v>
      </c>
      <c r="P83" s="60">
        <f t="shared" si="6"/>
        <v>0.05218249616</v>
      </c>
      <c r="Q83" s="61">
        <f t="shared" si="7"/>
        <v>19.16351408</v>
      </c>
      <c r="R83" s="62">
        <f t="shared" si="8"/>
        <v>0.4534964687</v>
      </c>
      <c r="S83" s="54" t="str">
        <f>iferror((D83-#REF!)/D83,)</f>
        <v/>
      </c>
      <c r="T83" s="63" t="str">
        <f>iferror((F83-#REF!)/F83,)</f>
        <v/>
      </c>
      <c r="U83" s="64">
        <f t="shared" ref="U83:V83" si="59">L83</f>
        <v>237.9</v>
      </c>
      <c r="V83" s="64">
        <f t="shared" si="59"/>
        <v>4559</v>
      </c>
      <c r="W83" s="6"/>
      <c r="X83" s="6"/>
      <c r="Y83" s="6"/>
      <c r="Z83" s="6"/>
    </row>
    <row r="84" hidden="1" outlineLevel="1">
      <c r="A84" s="33" t="str">
        <f t="shared" ref="A84:A90" si="60">iferror(if(B84&gt;0,month(B84)&amp;"-"&amp;year(B84),B84),)</f>
        <v>2-2025</v>
      </c>
      <c r="B84" s="34">
        <v>45711.0</v>
      </c>
      <c r="C84" s="35"/>
      <c r="D84" s="36">
        <v>1526.0</v>
      </c>
      <c r="E84" s="37">
        <v>44.0</v>
      </c>
      <c r="F84" s="37">
        <v>44.0</v>
      </c>
      <c r="G84" s="38">
        <f t="shared" si="2"/>
        <v>1</v>
      </c>
      <c r="H84" s="36">
        <f t="shared" ref="H84:H90" si="61">D84/F84</f>
        <v>34.68181818</v>
      </c>
      <c r="I84" s="36">
        <f t="shared" ref="I84:I90" si="62">D84/E84</f>
        <v>34.68181818</v>
      </c>
      <c r="J84" s="39">
        <v>2661.0</v>
      </c>
      <c r="K84" s="40">
        <f t="shared" si="5"/>
        <v>0.01653513717</v>
      </c>
      <c r="L84" s="36">
        <v>54.98</v>
      </c>
      <c r="M84" s="36">
        <v>967.97</v>
      </c>
      <c r="N84" s="37">
        <v>30.0</v>
      </c>
      <c r="O84" s="39">
        <v>102739.0</v>
      </c>
      <c r="P84" s="40">
        <f t="shared" si="6"/>
        <v>0.05679928097</v>
      </c>
      <c r="Q84" s="41">
        <f t="shared" si="7"/>
        <v>17.60585668</v>
      </c>
      <c r="R84" s="40">
        <f t="shared" si="8"/>
        <v>0.6343184797</v>
      </c>
      <c r="S84" s="42"/>
      <c r="T84" s="43"/>
      <c r="U84" s="6"/>
      <c r="V84" s="6"/>
      <c r="W84" s="6"/>
      <c r="X84" s="6"/>
      <c r="Y84" s="6"/>
      <c r="Z84" s="6"/>
    </row>
    <row r="85" hidden="1" outlineLevel="1">
      <c r="A85" s="44" t="str">
        <f t="shared" si="60"/>
        <v>2-2025</v>
      </c>
      <c r="B85" s="34">
        <v>45712.0</v>
      </c>
      <c r="C85" s="45"/>
      <c r="D85" s="46">
        <v>1318.0</v>
      </c>
      <c r="E85" s="47">
        <v>38.0</v>
      </c>
      <c r="F85" s="47">
        <v>38.0</v>
      </c>
      <c r="G85" s="48">
        <f t="shared" si="2"/>
        <v>1</v>
      </c>
      <c r="H85" s="46">
        <f t="shared" si="61"/>
        <v>34.68421053</v>
      </c>
      <c r="I85" s="46">
        <f t="shared" si="62"/>
        <v>34.68421053</v>
      </c>
      <c r="J85" s="49">
        <v>2231.0</v>
      </c>
      <c r="K85" s="50">
        <f t="shared" si="5"/>
        <v>0.01703272075</v>
      </c>
      <c r="L85" s="46">
        <v>39.74</v>
      </c>
      <c r="M85" s="46">
        <v>774.97</v>
      </c>
      <c r="N85" s="47">
        <v>20.0</v>
      </c>
      <c r="O85" s="49">
        <v>68664.0</v>
      </c>
      <c r="P85" s="50">
        <f t="shared" si="6"/>
        <v>0.05127940436</v>
      </c>
      <c r="Q85" s="51">
        <f t="shared" si="7"/>
        <v>19.50100654</v>
      </c>
      <c r="R85" s="50">
        <f t="shared" si="8"/>
        <v>0.5879893778</v>
      </c>
      <c r="S85" s="16"/>
      <c r="T85" s="25"/>
      <c r="U85" s="6"/>
      <c r="V85" s="6"/>
      <c r="W85" s="6"/>
      <c r="X85" s="6"/>
      <c r="Y85" s="6"/>
      <c r="Z85" s="6"/>
    </row>
    <row r="86" hidden="1" outlineLevel="1">
      <c r="A86" s="44" t="str">
        <f t="shared" si="60"/>
        <v>2-2025</v>
      </c>
      <c r="B86" s="34">
        <v>45713.0</v>
      </c>
      <c r="C86" s="45"/>
      <c r="D86" s="46">
        <v>1779.0</v>
      </c>
      <c r="E86" s="47">
        <v>47.0</v>
      </c>
      <c r="F86" s="47">
        <v>47.0</v>
      </c>
      <c r="G86" s="48">
        <f t="shared" si="2"/>
        <v>1</v>
      </c>
      <c r="H86" s="46">
        <f t="shared" si="61"/>
        <v>37.85106383</v>
      </c>
      <c r="I86" s="46">
        <f t="shared" si="62"/>
        <v>37.85106383</v>
      </c>
      <c r="J86" s="49">
        <v>2494.0</v>
      </c>
      <c r="K86" s="50">
        <f t="shared" si="5"/>
        <v>0.01884522855</v>
      </c>
      <c r="L86" s="46">
        <v>49.23</v>
      </c>
      <c r="M86" s="46">
        <v>806.0</v>
      </c>
      <c r="N86" s="47">
        <v>23.0</v>
      </c>
      <c r="O86" s="49">
        <v>74631.0</v>
      </c>
      <c r="P86" s="50">
        <f t="shared" si="6"/>
        <v>0.06107940447</v>
      </c>
      <c r="Q86" s="51">
        <f t="shared" si="7"/>
        <v>16.37213081</v>
      </c>
      <c r="R86" s="50">
        <f t="shared" si="8"/>
        <v>0.4530635188</v>
      </c>
      <c r="S86" s="16"/>
      <c r="T86" s="25"/>
      <c r="U86" s="6"/>
      <c r="V86" s="6"/>
      <c r="W86" s="6"/>
      <c r="X86" s="6"/>
      <c r="Y86" s="6"/>
      <c r="Z86" s="6"/>
    </row>
    <row r="87" hidden="1" outlineLevel="1">
      <c r="A87" s="44" t="str">
        <f t="shared" si="60"/>
        <v>2-2025</v>
      </c>
      <c r="B87" s="34">
        <v>45714.0</v>
      </c>
      <c r="C87" s="45"/>
      <c r="D87" s="46">
        <v>1888.0</v>
      </c>
      <c r="E87" s="47">
        <v>50.0</v>
      </c>
      <c r="F87" s="47">
        <v>50.0</v>
      </c>
      <c r="G87" s="48">
        <f t="shared" si="2"/>
        <v>1</v>
      </c>
      <c r="H87" s="46">
        <f t="shared" si="61"/>
        <v>37.76</v>
      </c>
      <c r="I87" s="46">
        <f t="shared" si="62"/>
        <v>37.76</v>
      </c>
      <c r="J87" s="49">
        <v>2757.0</v>
      </c>
      <c r="K87" s="50">
        <f t="shared" si="5"/>
        <v>0.0181356547</v>
      </c>
      <c r="L87" s="46">
        <v>63.5</v>
      </c>
      <c r="M87" s="46">
        <v>830.0</v>
      </c>
      <c r="N87" s="47">
        <v>23.0</v>
      </c>
      <c r="O87" s="49">
        <v>80855.0</v>
      </c>
      <c r="P87" s="50">
        <f t="shared" si="6"/>
        <v>0.0765060241</v>
      </c>
      <c r="Q87" s="51">
        <f t="shared" si="7"/>
        <v>13.07086614</v>
      </c>
      <c r="R87" s="50">
        <f t="shared" si="8"/>
        <v>0.4396186441</v>
      </c>
      <c r="S87" s="16"/>
      <c r="T87" s="25"/>
      <c r="U87" s="6"/>
      <c r="V87" s="6"/>
      <c r="W87" s="6"/>
      <c r="X87" s="6"/>
      <c r="Y87" s="6"/>
      <c r="Z87" s="6"/>
    </row>
    <row r="88" hidden="1" outlineLevel="1">
      <c r="A88" s="44" t="str">
        <f t="shared" si="60"/>
        <v>2-2025</v>
      </c>
      <c r="B88" s="34">
        <v>45715.0</v>
      </c>
      <c r="C88" s="45"/>
      <c r="D88" s="46">
        <v>2057.0</v>
      </c>
      <c r="E88" s="47">
        <v>60.0</v>
      </c>
      <c r="F88" s="47">
        <v>60.0</v>
      </c>
      <c r="G88" s="48">
        <f t="shared" si="2"/>
        <v>1</v>
      </c>
      <c r="H88" s="46">
        <f t="shared" si="61"/>
        <v>34.28333333</v>
      </c>
      <c r="I88" s="46">
        <f t="shared" si="62"/>
        <v>34.28333333</v>
      </c>
      <c r="J88" s="49">
        <v>2389.0</v>
      </c>
      <c r="K88" s="50">
        <f t="shared" si="5"/>
        <v>0.02511511093</v>
      </c>
      <c r="L88" s="46">
        <v>58.29</v>
      </c>
      <c r="M88" s="46">
        <v>1342.0</v>
      </c>
      <c r="N88" s="47">
        <v>41.0</v>
      </c>
      <c r="O88" s="49">
        <v>70388.0</v>
      </c>
      <c r="P88" s="50">
        <f t="shared" si="6"/>
        <v>0.04343517139</v>
      </c>
      <c r="Q88" s="51">
        <f t="shared" si="7"/>
        <v>23.02281695</v>
      </c>
      <c r="R88" s="50">
        <f t="shared" si="8"/>
        <v>0.6524064171</v>
      </c>
      <c r="S88" s="16"/>
      <c r="T88" s="25"/>
      <c r="U88" s="6"/>
      <c r="V88" s="6"/>
      <c r="W88" s="6"/>
      <c r="X88" s="6"/>
      <c r="Y88" s="6"/>
      <c r="Z88" s="6"/>
    </row>
    <row r="89" hidden="1" outlineLevel="1">
      <c r="A89" s="44" t="str">
        <f t="shared" si="60"/>
        <v>2-2025</v>
      </c>
      <c r="B89" s="34">
        <v>45716.0</v>
      </c>
      <c r="C89" s="45"/>
      <c r="D89" s="46">
        <v>1361.0</v>
      </c>
      <c r="E89" s="47">
        <v>45.0</v>
      </c>
      <c r="F89" s="47">
        <v>45.0</v>
      </c>
      <c r="G89" s="48">
        <f t="shared" si="2"/>
        <v>1</v>
      </c>
      <c r="H89" s="46">
        <f t="shared" si="61"/>
        <v>30.24444444</v>
      </c>
      <c r="I89" s="46">
        <f t="shared" si="62"/>
        <v>30.24444444</v>
      </c>
      <c r="J89" s="49">
        <v>1867.0</v>
      </c>
      <c r="K89" s="50">
        <f t="shared" si="5"/>
        <v>0.02410283878</v>
      </c>
      <c r="L89" s="46">
        <v>42.32</v>
      </c>
      <c r="M89" s="46">
        <v>880.0</v>
      </c>
      <c r="N89" s="47">
        <v>27.0</v>
      </c>
      <c r="O89" s="49">
        <v>54653.0</v>
      </c>
      <c r="P89" s="50">
        <f t="shared" si="6"/>
        <v>0.04809090909</v>
      </c>
      <c r="Q89" s="51">
        <f t="shared" si="7"/>
        <v>20.79395085</v>
      </c>
      <c r="R89" s="50">
        <f t="shared" si="8"/>
        <v>0.6465833946</v>
      </c>
      <c r="S89" s="16"/>
      <c r="T89" s="25"/>
      <c r="U89" s="6"/>
      <c r="V89" s="6"/>
      <c r="W89" s="6"/>
      <c r="X89" s="6"/>
      <c r="Y89" s="6"/>
      <c r="Z89" s="6"/>
    </row>
    <row r="90" hidden="1" outlineLevel="1">
      <c r="A90" s="44" t="str">
        <f t="shared" si="60"/>
        <v>3-2025</v>
      </c>
      <c r="B90" s="34">
        <v>45717.0</v>
      </c>
      <c r="C90" s="45"/>
      <c r="D90" s="46">
        <v>2216.0</v>
      </c>
      <c r="E90" s="47">
        <v>64.0</v>
      </c>
      <c r="F90" s="47">
        <v>64.0</v>
      </c>
      <c r="G90" s="48">
        <f t="shared" si="2"/>
        <v>1</v>
      </c>
      <c r="H90" s="46">
        <f t="shared" si="61"/>
        <v>34.625</v>
      </c>
      <c r="I90" s="46">
        <f t="shared" si="62"/>
        <v>34.625</v>
      </c>
      <c r="J90" s="49">
        <v>2664.0</v>
      </c>
      <c r="K90" s="50">
        <f t="shared" si="5"/>
        <v>0.02402402402</v>
      </c>
      <c r="L90" s="46">
        <v>63.76</v>
      </c>
      <c r="M90" s="46">
        <v>1013.0</v>
      </c>
      <c r="N90" s="47">
        <v>30.0</v>
      </c>
      <c r="O90" s="49">
        <v>75425.0</v>
      </c>
      <c r="P90" s="50">
        <f t="shared" si="6"/>
        <v>0.06294175716</v>
      </c>
      <c r="Q90" s="51">
        <f t="shared" si="7"/>
        <v>15.88770389</v>
      </c>
      <c r="R90" s="50">
        <f t="shared" si="8"/>
        <v>0.4571299639</v>
      </c>
      <c r="S90" s="16"/>
      <c r="T90" s="25"/>
      <c r="U90" s="6"/>
      <c r="V90" s="6"/>
      <c r="W90" s="6"/>
      <c r="X90" s="6"/>
      <c r="Y90" s="6"/>
      <c r="Z90" s="6"/>
    </row>
    <row r="91" collapsed="1">
      <c r="A91" s="52" t="s">
        <v>55</v>
      </c>
      <c r="B91" s="53"/>
      <c r="C91" s="54"/>
      <c r="D91" s="55">
        <f t="shared" ref="D91:F91" si="63">SUM(D84:D90)</f>
        <v>12145</v>
      </c>
      <c r="E91" s="81">
        <f t="shared" si="63"/>
        <v>348</v>
      </c>
      <c r="F91" s="81">
        <f t="shared" si="63"/>
        <v>348</v>
      </c>
      <c r="G91" s="57">
        <f t="shared" si="2"/>
        <v>1</v>
      </c>
      <c r="H91" s="55">
        <f>AVERAGE(H84:H90)</f>
        <v>34.87569576</v>
      </c>
      <c r="I91" s="58">
        <f>H91/G91</f>
        <v>34.87569576</v>
      </c>
      <c r="J91" s="59">
        <f>SUM(J84:J90)</f>
        <v>17063</v>
      </c>
      <c r="K91" s="60">
        <f t="shared" si="5"/>
        <v>0.02039500674</v>
      </c>
      <c r="L91" s="55">
        <f t="shared" ref="L91:N91" si="64">SUM(L84:L90)</f>
        <v>371.82</v>
      </c>
      <c r="M91" s="55">
        <f t="shared" si="64"/>
        <v>6613.94</v>
      </c>
      <c r="N91" s="56">
        <f t="shared" si="64"/>
        <v>194</v>
      </c>
      <c r="O91" s="59">
        <f>sum(O84:O90)</f>
        <v>527355</v>
      </c>
      <c r="P91" s="60">
        <f t="shared" si="6"/>
        <v>0.0562176252</v>
      </c>
      <c r="Q91" s="61">
        <f t="shared" si="7"/>
        <v>17.78801571</v>
      </c>
      <c r="R91" s="62">
        <f t="shared" si="8"/>
        <v>0.5445813092</v>
      </c>
      <c r="S91" s="54" t="str">
        <f>iferror((D91-#REF!)/D91,)</f>
        <v/>
      </c>
      <c r="T91" s="63" t="str">
        <f>iferror((F91-#REF!)/F91,)</f>
        <v/>
      </c>
      <c r="U91" s="64">
        <f t="shared" ref="U91:V91" si="65">L91</f>
        <v>371.82</v>
      </c>
      <c r="V91" s="64">
        <f t="shared" si="65"/>
        <v>6613.94</v>
      </c>
      <c r="W91" s="6"/>
      <c r="X91" s="6"/>
      <c r="Y91" s="6"/>
      <c r="Z91" s="6"/>
    </row>
    <row r="92" hidden="1" outlineLevel="1">
      <c r="A92" s="33" t="str">
        <f t="shared" ref="A92:A98" si="66">iferror(if(B92&gt;0,month(B92)&amp;"-"&amp;year(B92),B92),)</f>
        <v>3-2025</v>
      </c>
      <c r="B92" s="34">
        <v>45718.0</v>
      </c>
      <c r="C92" s="35"/>
      <c r="D92" s="36">
        <v>1590.0</v>
      </c>
      <c r="E92" s="37">
        <v>50.0</v>
      </c>
      <c r="F92" s="37">
        <v>50.0</v>
      </c>
      <c r="G92" s="38">
        <f t="shared" si="2"/>
        <v>1</v>
      </c>
      <c r="H92" s="36">
        <f t="shared" ref="H92:H98" si="67">D92/F92</f>
        <v>31.8</v>
      </c>
      <c r="I92" s="36">
        <f t="shared" ref="I92:I98" si="68">D92/E92</f>
        <v>31.8</v>
      </c>
      <c r="J92" s="39">
        <v>3704.0</v>
      </c>
      <c r="K92" s="40">
        <f t="shared" si="5"/>
        <v>0.01349892009</v>
      </c>
      <c r="L92" s="36">
        <v>85.55</v>
      </c>
      <c r="M92" s="36">
        <v>998.0</v>
      </c>
      <c r="N92" s="37">
        <v>31.0</v>
      </c>
      <c r="O92" s="39">
        <v>118106.0</v>
      </c>
      <c r="P92" s="40">
        <f t="shared" si="6"/>
        <v>0.08572144289</v>
      </c>
      <c r="Q92" s="41">
        <f t="shared" si="7"/>
        <v>11.66569258</v>
      </c>
      <c r="R92" s="40">
        <f t="shared" si="8"/>
        <v>0.627672956</v>
      </c>
      <c r="S92" s="42"/>
      <c r="T92" s="43"/>
      <c r="U92" s="6"/>
      <c r="V92" s="6"/>
      <c r="W92" s="6"/>
      <c r="X92" s="6"/>
      <c r="Y92" s="6"/>
      <c r="Z92" s="6"/>
    </row>
    <row r="93" hidden="1" outlineLevel="1">
      <c r="A93" s="44" t="str">
        <f t="shared" si="66"/>
        <v>3-2025</v>
      </c>
      <c r="B93" s="34">
        <v>45719.0</v>
      </c>
      <c r="C93" s="45"/>
      <c r="D93" s="46">
        <v>2124.0</v>
      </c>
      <c r="E93" s="47">
        <v>61.0</v>
      </c>
      <c r="F93" s="47">
        <v>59.0</v>
      </c>
      <c r="G93" s="48">
        <f t="shared" si="2"/>
        <v>1.033898305</v>
      </c>
      <c r="H93" s="46">
        <f t="shared" si="67"/>
        <v>36</v>
      </c>
      <c r="I93" s="46">
        <f t="shared" si="68"/>
        <v>34.81967213</v>
      </c>
      <c r="J93" s="49">
        <v>2918.0</v>
      </c>
      <c r="K93" s="50">
        <f t="shared" si="5"/>
        <v>0.02090472927</v>
      </c>
      <c r="L93" s="46">
        <v>67.6</v>
      </c>
      <c r="M93" s="46">
        <v>1020.0</v>
      </c>
      <c r="N93" s="47">
        <v>31.0</v>
      </c>
      <c r="O93" s="49">
        <v>79339.0</v>
      </c>
      <c r="P93" s="50">
        <f t="shared" si="6"/>
        <v>0.0662745098</v>
      </c>
      <c r="Q93" s="51">
        <f t="shared" si="7"/>
        <v>15.0887574</v>
      </c>
      <c r="R93" s="50">
        <f t="shared" si="8"/>
        <v>0.4802259887</v>
      </c>
      <c r="S93" s="16"/>
      <c r="T93" s="25"/>
      <c r="U93" s="6"/>
      <c r="V93" s="6"/>
      <c r="W93" s="6"/>
      <c r="X93" s="6"/>
      <c r="Y93" s="6"/>
      <c r="Z93" s="6"/>
    </row>
    <row r="94" hidden="1" outlineLevel="1">
      <c r="A94" s="44" t="str">
        <f t="shared" si="66"/>
        <v>3-2025</v>
      </c>
      <c r="B94" s="34">
        <v>45720.0</v>
      </c>
      <c r="C94" s="45"/>
      <c r="D94" s="46">
        <v>2127.0</v>
      </c>
      <c r="E94" s="47">
        <v>58.0</v>
      </c>
      <c r="F94" s="47">
        <v>58.0</v>
      </c>
      <c r="G94" s="48">
        <f t="shared" si="2"/>
        <v>1</v>
      </c>
      <c r="H94" s="46">
        <f t="shared" si="67"/>
        <v>36.67241379</v>
      </c>
      <c r="I94" s="46">
        <f t="shared" si="68"/>
        <v>36.67241379</v>
      </c>
      <c r="J94" s="49">
        <v>2473.0</v>
      </c>
      <c r="K94" s="50">
        <f t="shared" si="5"/>
        <v>0.02345329559</v>
      </c>
      <c r="L94" s="46">
        <v>59.35</v>
      </c>
      <c r="M94" s="46">
        <v>1193.0</v>
      </c>
      <c r="N94" s="47">
        <v>31.0</v>
      </c>
      <c r="O94" s="49">
        <v>66436.0</v>
      </c>
      <c r="P94" s="50">
        <f t="shared" si="6"/>
        <v>0.04974853311</v>
      </c>
      <c r="Q94" s="51">
        <f t="shared" si="7"/>
        <v>20.1010952</v>
      </c>
      <c r="R94" s="50">
        <f t="shared" si="8"/>
        <v>0.560883874</v>
      </c>
      <c r="S94" s="16"/>
      <c r="T94" s="25"/>
      <c r="U94" s="6"/>
      <c r="V94" s="6"/>
      <c r="W94" s="6"/>
      <c r="X94" s="6"/>
      <c r="Y94" s="6"/>
      <c r="Z94" s="6"/>
    </row>
    <row r="95" hidden="1" outlineLevel="1">
      <c r="A95" s="44" t="str">
        <f t="shared" si="66"/>
        <v>3-2025</v>
      </c>
      <c r="B95" s="34">
        <v>45721.0</v>
      </c>
      <c r="C95" s="45"/>
      <c r="D95" s="46">
        <v>2119.0</v>
      </c>
      <c r="E95" s="47">
        <v>64.0</v>
      </c>
      <c r="F95" s="47">
        <v>62.0</v>
      </c>
      <c r="G95" s="48">
        <f t="shared" si="2"/>
        <v>1.032258065</v>
      </c>
      <c r="H95" s="46">
        <f t="shared" si="67"/>
        <v>34.17741935</v>
      </c>
      <c r="I95" s="46">
        <f t="shared" si="68"/>
        <v>33.109375</v>
      </c>
      <c r="J95" s="49">
        <v>2346.0</v>
      </c>
      <c r="K95" s="50">
        <f t="shared" si="5"/>
        <v>0.02728047741</v>
      </c>
      <c r="L95" s="46">
        <v>67.25</v>
      </c>
      <c r="M95" s="46">
        <v>1194.0</v>
      </c>
      <c r="N95" s="47">
        <v>40.0</v>
      </c>
      <c r="O95" s="49">
        <v>72774.0</v>
      </c>
      <c r="P95" s="50">
        <f t="shared" si="6"/>
        <v>0.05632328308</v>
      </c>
      <c r="Q95" s="51">
        <f t="shared" si="7"/>
        <v>17.75464684</v>
      </c>
      <c r="R95" s="50">
        <f t="shared" si="8"/>
        <v>0.5634733365</v>
      </c>
      <c r="S95" s="16"/>
      <c r="T95" s="25"/>
      <c r="U95" s="6"/>
      <c r="V95" s="6"/>
      <c r="W95" s="6"/>
      <c r="X95" s="6"/>
      <c r="Y95" s="6"/>
      <c r="Z95" s="6"/>
    </row>
    <row r="96" hidden="1" outlineLevel="1">
      <c r="A96" s="44" t="str">
        <f t="shared" si="66"/>
        <v>3-2025</v>
      </c>
      <c r="B96" s="34">
        <v>45722.0</v>
      </c>
      <c r="C96" s="45"/>
      <c r="D96" s="46">
        <v>1612.0</v>
      </c>
      <c r="E96" s="47">
        <v>39.0</v>
      </c>
      <c r="F96" s="47">
        <v>39.0</v>
      </c>
      <c r="G96" s="48">
        <f t="shared" si="2"/>
        <v>1</v>
      </c>
      <c r="H96" s="46">
        <f t="shared" si="67"/>
        <v>41.33333333</v>
      </c>
      <c r="I96" s="46">
        <f t="shared" si="68"/>
        <v>41.33333333</v>
      </c>
      <c r="J96" s="49">
        <v>2037.0</v>
      </c>
      <c r="K96" s="50">
        <f t="shared" si="5"/>
        <v>0.01914580265</v>
      </c>
      <c r="L96" s="46">
        <v>61.54</v>
      </c>
      <c r="M96" s="46">
        <v>535.0</v>
      </c>
      <c r="N96" s="47">
        <v>12.0</v>
      </c>
      <c r="O96" s="49">
        <v>67011.0</v>
      </c>
      <c r="P96" s="50">
        <f t="shared" si="6"/>
        <v>0.1150280374</v>
      </c>
      <c r="Q96" s="51">
        <f t="shared" si="7"/>
        <v>8.693532662</v>
      </c>
      <c r="R96" s="50">
        <f t="shared" si="8"/>
        <v>0.3318858561</v>
      </c>
      <c r="S96" s="16"/>
      <c r="T96" s="25"/>
      <c r="U96" s="6"/>
      <c r="V96" s="6"/>
      <c r="W96" s="6"/>
      <c r="X96" s="6"/>
      <c r="Y96" s="6"/>
      <c r="Z96" s="6"/>
    </row>
    <row r="97" hidden="1" outlineLevel="1">
      <c r="A97" s="44" t="str">
        <f t="shared" si="66"/>
        <v>3-2025</v>
      </c>
      <c r="B97" s="34">
        <v>45723.0</v>
      </c>
      <c r="C97" s="45"/>
      <c r="D97" s="46">
        <v>1398.0</v>
      </c>
      <c r="E97" s="47">
        <v>37.0</v>
      </c>
      <c r="F97" s="47">
        <v>37.0</v>
      </c>
      <c r="G97" s="48">
        <f t="shared" si="2"/>
        <v>1</v>
      </c>
      <c r="H97" s="46">
        <f t="shared" si="67"/>
        <v>37.78378378</v>
      </c>
      <c r="I97" s="46">
        <f t="shared" si="68"/>
        <v>37.78378378</v>
      </c>
      <c r="J97" s="49">
        <v>1943.0</v>
      </c>
      <c r="K97" s="50">
        <f t="shared" si="5"/>
        <v>0.01904271745</v>
      </c>
      <c r="L97" s="46">
        <v>46.54</v>
      </c>
      <c r="M97" s="46">
        <v>496.0</v>
      </c>
      <c r="N97" s="47">
        <v>18.0</v>
      </c>
      <c r="O97" s="49">
        <v>61019.0</v>
      </c>
      <c r="P97" s="50">
        <f t="shared" si="6"/>
        <v>0.09383064516</v>
      </c>
      <c r="Q97" s="51">
        <f t="shared" si="7"/>
        <v>10.65749893</v>
      </c>
      <c r="R97" s="50">
        <f t="shared" si="8"/>
        <v>0.3547925608</v>
      </c>
      <c r="S97" s="16"/>
      <c r="T97" s="25"/>
      <c r="U97" s="6"/>
      <c r="V97" s="6"/>
      <c r="W97" s="6"/>
      <c r="X97" s="6"/>
      <c r="Y97" s="6"/>
      <c r="Z97" s="6"/>
    </row>
    <row r="98" hidden="1" outlineLevel="1">
      <c r="A98" s="44" t="str">
        <f t="shared" si="66"/>
        <v>3-2025</v>
      </c>
      <c r="B98" s="34">
        <v>45724.0</v>
      </c>
      <c r="C98" s="45"/>
      <c r="D98" s="46">
        <v>1726.0</v>
      </c>
      <c r="E98" s="47">
        <v>56.0</v>
      </c>
      <c r="F98" s="47">
        <v>55.0</v>
      </c>
      <c r="G98" s="48">
        <f t="shared" si="2"/>
        <v>1.018181818</v>
      </c>
      <c r="H98" s="46">
        <f t="shared" si="67"/>
        <v>31.38181818</v>
      </c>
      <c r="I98" s="46">
        <f t="shared" si="68"/>
        <v>30.82142857</v>
      </c>
      <c r="J98" s="49">
        <v>2720.0</v>
      </c>
      <c r="K98" s="50">
        <f t="shared" si="5"/>
        <v>0.02058823529</v>
      </c>
      <c r="L98" s="46">
        <v>67.91</v>
      </c>
      <c r="M98" s="46">
        <v>970.0</v>
      </c>
      <c r="N98" s="47">
        <v>29.0</v>
      </c>
      <c r="O98" s="49">
        <v>73224.0</v>
      </c>
      <c r="P98" s="50">
        <f t="shared" si="6"/>
        <v>0.07001030928</v>
      </c>
      <c r="Q98" s="51">
        <f t="shared" si="7"/>
        <v>14.28361066</v>
      </c>
      <c r="R98" s="50">
        <f t="shared" si="8"/>
        <v>0.5619930475</v>
      </c>
      <c r="S98" s="16"/>
      <c r="T98" s="25"/>
      <c r="U98" s="6"/>
      <c r="V98" s="6"/>
      <c r="W98" s="6"/>
      <c r="X98" s="6"/>
      <c r="Y98" s="6"/>
      <c r="Z98" s="6"/>
    </row>
    <row r="99" collapsed="1">
      <c r="A99" s="52" t="s">
        <v>56</v>
      </c>
      <c r="B99" s="53"/>
      <c r="C99" s="54"/>
      <c r="D99" s="55">
        <f t="shared" ref="D99:F99" si="69">SUM(D92:D98)</f>
        <v>12696</v>
      </c>
      <c r="E99" s="81">
        <f t="shared" si="69"/>
        <v>365</v>
      </c>
      <c r="F99" s="81">
        <f t="shared" si="69"/>
        <v>360</v>
      </c>
      <c r="G99" s="57">
        <f t="shared" si="2"/>
        <v>1.013888889</v>
      </c>
      <c r="H99" s="55">
        <f>AVERAGE(H92:H98)</f>
        <v>35.59268121</v>
      </c>
      <c r="I99" s="58">
        <f>H99/G99</f>
        <v>35.10511023</v>
      </c>
      <c r="J99" s="59">
        <f>SUM(J92:J98)</f>
        <v>18141</v>
      </c>
      <c r="K99" s="60">
        <f t="shared" si="5"/>
        <v>0.02012016978</v>
      </c>
      <c r="L99" s="55">
        <f t="shared" ref="L99:N99" si="70">SUM(L92:L98)</f>
        <v>455.74</v>
      </c>
      <c r="M99" s="55">
        <f t="shared" si="70"/>
        <v>6406</v>
      </c>
      <c r="N99" s="56">
        <f t="shared" si="70"/>
        <v>192</v>
      </c>
      <c r="O99" s="59">
        <f>sum(O92:O98)</f>
        <v>537909</v>
      </c>
      <c r="P99" s="60">
        <f t="shared" si="6"/>
        <v>0.07114267874</v>
      </c>
      <c r="Q99" s="61">
        <f t="shared" si="7"/>
        <v>14.05626015</v>
      </c>
      <c r="R99" s="62">
        <f t="shared" si="8"/>
        <v>0.504568368</v>
      </c>
      <c r="S99" s="54" t="str">
        <f>iferror((D99-#REF!)/D99,)</f>
        <v/>
      </c>
      <c r="T99" s="63" t="str">
        <f>iferror((F99-#REF!)/F99,)</f>
        <v/>
      </c>
      <c r="U99" s="64">
        <f t="shared" ref="U99:V99" si="71">L99</f>
        <v>455.74</v>
      </c>
      <c r="V99" s="64">
        <f t="shared" si="71"/>
        <v>6406</v>
      </c>
      <c r="W99" s="6"/>
      <c r="X99" s="6"/>
      <c r="Y99" s="6"/>
      <c r="Z99" s="6"/>
    </row>
    <row r="100" hidden="1" outlineLevel="1">
      <c r="A100" s="33" t="str">
        <f t="shared" ref="A100:A106" si="72">iferror(if(B100&gt;0,month(B100)&amp;"-"&amp;year(B100),B100),)</f>
        <v>3-2025</v>
      </c>
      <c r="B100" s="34">
        <v>45725.0</v>
      </c>
      <c r="C100" s="35"/>
      <c r="D100" s="36">
        <v>2366.0</v>
      </c>
      <c r="E100" s="37">
        <v>76.0</v>
      </c>
      <c r="F100" s="37">
        <v>76.0</v>
      </c>
      <c r="G100" s="38">
        <f t="shared" si="2"/>
        <v>1</v>
      </c>
      <c r="H100" s="36">
        <f t="shared" ref="H100:H106" si="73">D100/F100</f>
        <v>31.13157895</v>
      </c>
      <c r="I100" s="36">
        <f t="shared" ref="I100:I106" si="74">D100/E100</f>
        <v>31.13157895</v>
      </c>
      <c r="J100" s="39">
        <v>3531.0</v>
      </c>
      <c r="K100" s="40">
        <f t="shared" si="5"/>
        <v>0.02152364769</v>
      </c>
      <c r="L100" s="36">
        <v>102.82</v>
      </c>
      <c r="M100" s="36">
        <v>960.0</v>
      </c>
      <c r="N100" s="37">
        <v>31.0</v>
      </c>
      <c r="O100" s="39">
        <v>94945.0</v>
      </c>
      <c r="P100" s="40">
        <f t="shared" si="6"/>
        <v>0.1071041667</v>
      </c>
      <c r="Q100" s="41">
        <f t="shared" si="7"/>
        <v>9.336704921</v>
      </c>
      <c r="R100" s="40">
        <f t="shared" si="8"/>
        <v>0.4057480981</v>
      </c>
      <c r="S100" s="42"/>
      <c r="T100" s="43"/>
      <c r="U100" s="6"/>
      <c r="V100" s="6"/>
      <c r="W100" s="6"/>
      <c r="X100" s="6"/>
      <c r="Y100" s="6"/>
      <c r="Z100" s="6"/>
    </row>
    <row r="101" hidden="1" outlineLevel="1">
      <c r="A101" s="44" t="str">
        <f t="shared" si="72"/>
        <v>3-2025</v>
      </c>
      <c r="B101" s="34">
        <v>45726.0</v>
      </c>
      <c r="C101" s="45"/>
      <c r="D101" s="46">
        <v>2692.0</v>
      </c>
      <c r="E101" s="47">
        <v>77.0</v>
      </c>
      <c r="F101" s="47">
        <v>77.0</v>
      </c>
      <c r="G101" s="48">
        <f t="shared" si="2"/>
        <v>1</v>
      </c>
      <c r="H101" s="46">
        <f t="shared" si="73"/>
        <v>34.96103896</v>
      </c>
      <c r="I101" s="46">
        <f t="shared" si="74"/>
        <v>34.96103896</v>
      </c>
      <c r="J101" s="49">
        <v>3054.0</v>
      </c>
      <c r="K101" s="50">
        <f t="shared" si="5"/>
        <v>0.02521283563</v>
      </c>
      <c r="L101" s="46">
        <v>86.31</v>
      </c>
      <c r="M101" s="46">
        <v>1375.0</v>
      </c>
      <c r="N101" s="47">
        <v>40.0</v>
      </c>
      <c r="O101" s="49">
        <v>81668.0</v>
      </c>
      <c r="P101" s="50">
        <f t="shared" si="6"/>
        <v>0.06277090909</v>
      </c>
      <c r="Q101" s="51">
        <f t="shared" si="7"/>
        <v>15.93094659</v>
      </c>
      <c r="R101" s="50">
        <f t="shared" si="8"/>
        <v>0.5107726597</v>
      </c>
      <c r="S101" s="16"/>
      <c r="T101" s="25"/>
      <c r="U101" s="6"/>
      <c r="V101" s="6"/>
      <c r="W101" s="6"/>
      <c r="X101" s="6"/>
      <c r="Y101" s="6"/>
      <c r="Z101" s="6"/>
    </row>
    <row r="102" hidden="1" outlineLevel="1">
      <c r="A102" s="44" t="str">
        <f t="shared" si="72"/>
        <v>3-2025</v>
      </c>
      <c r="B102" s="34">
        <v>45727.0</v>
      </c>
      <c r="C102" s="45"/>
      <c r="D102" s="46">
        <v>2566.0</v>
      </c>
      <c r="E102" s="47">
        <v>71.0</v>
      </c>
      <c r="F102" s="47">
        <v>71.0</v>
      </c>
      <c r="G102" s="48">
        <f t="shared" si="2"/>
        <v>1</v>
      </c>
      <c r="H102" s="46">
        <f t="shared" si="73"/>
        <v>36.14084507</v>
      </c>
      <c r="I102" s="46">
        <f t="shared" si="74"/>
        <v>36.14084507</v>
      </c>
      <c r="J102" s="49">
        <v>3317.0</v>
      </c>
      <c r="K102" s="50">
        <f t="shared" si="5"/>
        <v>0.02140488393</v>
      </c>
      <c r="L102" s="46">
        <v>130.52</v>
      </c>
      <c r="M102" s="46">
        <v>1712.0</v>
      </c>
      <c r="N102" s="47">
        <v>47.0</v>
      </c>
      <c r="O102" s="49">
        <v>117642.0</v>
      </c>
      <c r="P102" s="50">
        <f t="shared" si="6"/>
        <v>0.07623831776</v>
      </c>
      <c r="Q102" s="51">
        <f t="shared" si="7"/>
        <v>13.11676371</v>
      </c>
      <c r="R102" s="50">
        <f t="shared" si="8"/>
        <v>0.6671862822</v>
      </c>
      <c r="S102" s="16"/>
      <c r="T102" s="25"/>
      <c r="U102" s="6"/>
      <c r="V102" s="6"/>
      <c r="W102" s="6"/>
      <c r="X102" s="6"/>
      <c r="Y102" s="6"/>
      <c r="Z102" s="6"/>
    </row>
    <row r="103" hidden="1" outlineLevel="1">
      <c r="A103" s="44" t="str">
        <f t="shared" si="72"/>
        <v>3-2025</v>
      </c>
      <c r="B103" s="34">
        <v>45728.0</v>
      </c>
      <c r="C103" s="45"/>
      <c r="D103" s="46">
        <v>2013.0</v>
      </c>
      <c r="E103" s="47">
        <v>57.0</v>
      </c>
      <c r="F103" s="47">
        <v>57.0</v>
      </c>
      <c r="G103" s="48">
        <f t="shared" si="2"/>
        <v>1</v>
      </c>
      <c r="H103" s="46">
        <f t="shared" si="73"/>
        <v>35.31578947</v>
      </c>
      <c r="I103" s="46">
        <f t="shared" si="74"/>
        <v>35.31578947</v>
      </c>
      <c r="J103" s="49">
        <v>2851.0</v>
      </c>
      <c r="K103" s="50">
        <f t="shared" si="5"/>
        <v>0.01999298492</v>
      </c>
      <c r="L103" s="46">
        <v>149.03</v>
      </c>
      <c r="M103" s="46">
        <v>1308.0</v>
      </c>
      <c r="N103" s="47">
        <v>33.0</v>
      </c>
      <c r="O103" s="49">
        <v>132017.0</v>
      </c>
      <c r="P103" s="50">
        <f t="shared" si="6"/>
        <v>0.1139373089</v>
      </c>
      <c r="Q103" s="51">
        <f t="shared" si="7"/>
        <v>8.776756358</v>
      </c>
      <c r="R103" s="50">
        <f t="shared" si="8"/>
        <v>0.6497764531</v>
      </c>
      <c r="S103" s="16"/>
      <c r="T103" s="25"/>
      <c r="U103" s="6"/>
      <c r="V103" s="6"/>
      <c r="W103" s="6"/>
      <c r="X103" s="6"/>
      <c r="Y103" s="6"/>
      <c r="Z103" s="6"/>
    </row>
    <row r="104" hidden="1" outlineLevel="1">
      <c r="A104" s="44" t="str">
        <f t="shared" si="72"/>
        <v>3-2025</v>
      </c>
      <c r="B104" s="34">
        <v>45729.0</v>
      </c>
      <c r="C104" s="45"/>
      <c r="D104" s="46">
        <v>1230.0</v>
      </c>
      <c r="E104" s="47">
        <v>38.0</v>
      </c>
      <c r="F104" s="47">
        <v>38.0</v>
      </c>
      <c r="G104" s="48">
        <f t="shared" si="2"/>
        <v>1</v>
      </c>
      <c r="H104" s="46">
        <f t="shared" si="73"/>
        <v>32.36842105</v>
      </c>
      <c r="I104" s="46">
        <f t="shared" si="74"/>
        <v>32.36842105</v>
      </c>
      <c r="J104" s="49">
        <v>2640.0</v>
      </c>
      <c r="K104" s="50">
        <f t="shared" si="5"/>
        <v>0.01439393939</v>
      </c>
      <c r="L104" s="46">
        <v>127.08</v>
      </c>
      <c r="M104" s="46">
        <v>590.0</v>
      </c>
      <c r="N104" s="47">
        <v>20.0</v>
      </c>
      <c r="O104" s="49">
        <v>117597.0</v>
      </c>
      <c r="P104" s="50">
        <f t="shared" si="6"/>
        <v>0.2153898305</v>
      </c>
      <c r="Q104" s="51">
        <f t="shared" si="7"/>
        <v>4.642744728</v>
      </c>
      <c r="R104" s="50">
        <f t="shared" si="8"/>
        <v>0.4796747967</v>
      </c>
      <c r="S104" s="16"/>
      <c r="T104" s="25"/>
      <c r="U104" s="6"/>
      <c r="V104" s="6"/>
      <c r="W104" s="6"/>
      <c r="X104" s="6"/>
      <c r="Y104" s="6"/>
      <c r="Z104" s="6"/>
    </row>
    <row r="105" hidden="1" outlineLevel="1">
      <c r="A105" s="44" t="str">
        <f t="shared" si="72"/>
        <v>3-2025</v>
      </c>
      <c r="B105" s="34">
        <v>45730.0</v>
      </c>
      <c r="C105" s="45"/>
      <c r="D105" s="46">
        <v>1414.0</v>
      </c>
      <c r="E105" s="47">
        <v>42.0</v>
      </c>
      <c r="F105" s="47">
        <v>42.0</v>
      </c>
      <c r="G105" s="48">
        <f t="shared" si="2"/>
        <v>1</v>
      </c>
      <c r="H105" s="46">
        <f t="shared" si="73"/>
        <v>33.66666667</v>
      </c>
      <c r="I105" s="46">
        <f t="shared" si="74"/>
        <v>33.66666667</v>
      </c>
      <c r="J105" s="49">
        <v>2543.0</v>
      </c>
      <c r="K105" s="50">
        <f t="shared" si="5"/>
        <v>0.01651592607</v>
      </c>
      <c r="L105" s="46">
        <v>93.01</v>
      </c>
      <c r="M105" s="46">
        <v>847.0</v>
      </c>
      <c r="N105" s="47">
        <v>22.0</v>
      </c>
      <c r="O105" s="49">
        <v>95898.0</v>
      </c>
      <c r="P105" s="50">
        <f t="shared" si="6"/>
        <v>0.109811098</v>
      </c>
      <c r="Q105" s="51">
        <f t="shared" si="7"/>
        <v>9.106547683</v>
      </c>
      <c r="R105" s="50">
        <f t="shared" si="8"/>
        <v>0.599009901</v>
      </c>
      <c r="S105" s="16"/>
      <c r="T105" s="25"/>
      <c r="U105" s="6"/>
      <c r="V105" s="6"/>
      <c r="W105" s="6"/>
      <c r="X105" s="6"/>
      <c r="Y105" s="6"/>
      <c r="Z105" s="6"/>
    </row>
    <row r="106" hidden="1" outlineLevel="1">
      <c r="A106" s="44" t="str">
        <f t="shared" si="72"/>
        <v>3-2025</v>
      </c>
      <c r="B106" s="34">
        <v>45731.0</v>
      </c>
      <c r="C106" s="45"/>
      <c r="D106" s="46">
        <v>2523.0</v>
      </c>
      <c r="E106" s="47">
        <v>70.0</v>
      </c>
      <c r="F106" s="47">
        <v>70.0</v>
      </c>
      <c r="G106" s="48">
        <f t="shared" si="2"/>
        <v>1</v>
      </c>
      <c r="H106" s="46">
        <f t="shared" si="73"/>
        <v>36.04285714</v>
      </c>
      <c r="I106" s="46">
        <f t="shared" si="74"/>
        <v>36.04285714</v>
      </c>
      <c r="J106" s="49">
        <v>3314.0</v>
      </c>
      <c r="K106" s="50">
        <f t="shared" si="5"/>
        <v>0.02112251056</v>
      </c>
      <c r="L106" s="46">
        <v>123.35</v>
      </c>
      <c r="M106" s="46">
        <v>1449.0</v>
      </c>
      <c r="N106" s="47">
        <v>39.0</v>
      </c>
      <c r="O106" s="49">
        <v>118987.0</v>
      </c>
      <c r="P106" s="50">
        <f t="shared" si="6"/>
        <v>0.08512767426</v>
      </c>
      <c r="Q106" s="51">
        <f t="shared" si="7"/>
        <v>11.74706121</v>
      </c>
      <c r="R106" s="50">
        <f t="shared" si="8"/>
        <v>0.5743162901</v>
      </c>
      <c r="S106" s="16"/>
      <c r="T106" s="25"/>
      <c r="U106" s="6"/>
      <c r="V106" s="6"/>
      <c r="W106" s="6"/>
      <c r="X106" s="6"/>
      <c r="Y106" s="6"/>
      <c r="Z106" s="6"/>
    </row>
    <row r="107" collapsed="1">
      <c r="A107" s="52" t="s">
        <v>57</v>
      </c>
      <c r="B107" s="53"/>
      <c r="C107" s="54"/>
      <c r="D107" s="55">
        <f t="shared" ref="D107:F107" si="75">SUM(D100:D106)</f>
        <v>14804</v>
      </c>
      <c r="E107" s="81">
        <f t="shared" si="75"/>
        <v>431</v>
      </c>
      <c r="F107" s="81">
        <f t="shared" si="75"/>
        <v>431</v>
      </c>
      <c r="G107" s="57">
        <f t="shared" si="2"/>
        <v>1</v>
      </c>
      <c r="H107" s="55">
        <f>AVERAGE(H100:H106)</f>
        <v>34.23245676</v>
      </c>
      <c r="I107" s="58">
        <f>H107/G107</f>
        <v>34.23245676</v>
      </c>
      <c r="J107" s="59">
        <f>SUM(J100:J106)</f>
        <v>21250</v>
      </c>
      <c r="K107" s="60">
        <f t="shared" si="5"/>
        <v>0.02028235294</v>
      </c>
      <c r="L107" s="55">
        <f t="shared" ref="L107:N107" si="76">SUM(L100:L106)</f>
        <v>812.12</v>
      </c>
      <c r="M107" s="55">
        <f t="shared" si="76"/>
        <v>8241</v>
      </c>
      <c r="N107" s="56">
        <f t="shared" si="76"/>
        <v>232</v>
      </c>
      <c r="O107" s="59">
        <f>sum(O100:O106)</f>
        <v>758754</v>
      </c>
      <c r="P107" s="60">
        <f t="shared" si="6"/>
        <v>0.09854629293</v>
      </c>
      <c r="Q107" s="61">
        <f t="shared" si="7"/>
        <v>10.14751515</v>
      </c>
      <c r="R107" s="62">
        <f t="shared" si="8"/>
        <v>0.5566738719</v>
      </c>
      <c r="S107" s="54" t="str">
        <f>iferror((D107-#REF!)/D107,)</f>
        <v/>
      </c>
      <c r="T107" s="63" t="str">
        <f>iferror((F107-#REF!)/F107,)</f>
        <v/>
      </c>
      <c r="U107" s="64">
        <f t="shared" ref="U107:V107" si="77">L107</f>
        <v>812.12</v>
      </c>
      <c r="V107" s="64">
        <f t="shared" si="77"/>
        <v>8241</v>
      </c>
      <c r="W107" s="6"/>
      <c r="X107" s="6"/>
      <c r="Y107" s="6"/>
      <c r="Z107" s="6"/>
    </row>
    <row r="108" hidden="1" outlineLevel="1">
      <c r="A108" s="33" t="str">
        <f t="shared" ref="A108:A114" si="78">iferror(if(B108&gt;0,month(B108)&amp;"-"&amp;year(B108),B108),)</f>
        <v>3-2025</v>
      </c>
      <c r="B108" s="34">
        <v>45732.0</v>
      </c>
      <c r="C108" s="35"/>
      <c r="D108" s="36">
        <v>3075.0</v>
      </c>
      <c r="E108" s="37">
        <v>87.0</v>
      </c>
      <c r="F108" s="37">
        <v>85.0</v>
      </c>
      <c r="G108" s="38">
        <f t="shared" si="2"/>
        <v>1.023529412</v>
      </c>
      <c r="H108" s="36">
        <f t="shared" ref="H108:H114" si="79">D108/F108</f>
        <v>36.17647059</v>
      </c>
      <c r="I108" s="36">
        <f t="shared" ref="I108:I114" si="80">D108/E108</f>
        <v>35.34482759</v>
      </c>
      <c r="J108" s="39">
        <v>3819.0</v>
      </c>
      <c r="K108" s="40">
        <f t="shared" si="5"/>
        <v>0.02278083268</v>
      </c>
      <c r="L108" s="36">
        <v>159.24</v>
      </c>
      <c r="M108" s="36">
        <v>1525.0</v>
      </c>
      <c r="N108" s="37">
        <v>44.0</v>
      </c>
      <c r="O108" s="39">
        <v>143375.0</v>
      </c>
      <c r="P108" s="40">
        <f t="shared" si="6"/>
        <v>0.1044196721</v>
      </c>
      <c r="Q108" s="41">
        <f t="shared" si="7"/>
        <v>9.576739513</v>
      </c>
      <c r="R108" s="40">
        <f t="shared" si="8"/>
        <v>0.4959349593</v>
      </c>
      <c r="S108" s="42"/>
      <c r="T108" s="43"/>
      <c r="U108" s="6"/>
      <c r="V108" s="6"/>
      <c r="W108" s="6"/>
      <c r="X108" s="6"/>
      <c r="Y108" s="6"/>
      <c r="Z108" s="6"/>
    </row>
    <row r="109" hidden="1" outlineLevel="1">
      <c r="A109" s="44" t="str">
        <f t="shared" si="78"/>
        <v>3-2025</v>
      </c>
      <c r="B109" s="34">
        <v>45733.0</v>
      </c>
      <c r="C109" s="45"/>
      <c r="D109" s="46">
        <v>2637.0</v>
      </c>
      <c r="E109" s="47">
        <v>79.0</v>
      </c>
      <c r="F109" s="47">
        <v>79.0</v>
      </c>
      <c r="G109" s="48">
        <f t="shared" si="2"/>
        <v>1</v>
      </c>
      <c r="H109" s="46">
        <f t="shared" si="79"/>
        <v>33.37974684</v>
      </c>
      <c r="I109" s="46">
        <f t="shared" si="80"/>
        <v>33.37974684</v>
      </c>
      <c r="J109" s="49">
        <v>3357.0</v>
      </c>
      <c r="K109" s="50">
        <f t="shared" si="5"/>
        <v>0.02353291629</v>
      </c>
      <c r="L109" s="46">
        <v>123.55</v>
      </c>
      <c r="M109" s="46">
        <v>1626.0</v>
      </c>
      <c r="N109" s="47">
        <v>54.0</v>
      </c>
      <c r="O109" s="49">
        <v>114741.0</v>
      </c>
      <c r="P109" s="50">
        <f t="shared" si="6"/>
        <v>0.07598400984</v>
      </c>
      <c r="Q109" s="51">
        <f t="shared" si="7"/>
        <v>13.1606637</v>
      </c>
      <c r="R109" s="50">
        <f t="shared" si="8"/>
        <v>0.6166097838</v>
      </c>
      <c r="S109" s="16"/>
      <c r="T109" s="25"/>
      <c r="U109" s="6"/>
      <c r="V109" s="6"/>
      <c r="W109" s="6"/>
      <c r="X109" s="6"/>
      <c r="Y109" s="6"/>
      <c r="Z109" s="6"/>
    </row>
    <row r="110" hidden="1" outlineLevel="1">
      <c r="A110" s="44" t="str">
        <f t="shared" si="78"/>
        <v>3-2025</v>
      </c>
      <c r="B110" s="34">
        <v>45734.0</v>
      </c>
      <c r="C110" s="45"/>
      <c r="D110" s="46">
        <v>1567.0</v>
      </c>
      <c r="E110" s="47">
        <v>46.0</v>
      </c>
      <c r="F110" s="47">
        <v>46.0</v>
      </c>
      <c r="G110" s="48">
        <f t="shared" si="2"/>
        <v>1</v>
      </c>
      <c r="H110" s="46">
        <f t="shared" si="79"/>
        <v>34.06521739</v>
      </c>
      <c r="I110" s="46">
        <f t="shared" si="80"/>
        <v>34.06521739</v>
      </c>
      <c r="J110" s="49">
        <v>2660.0</v>
      </c>
      <c r="K110" s="50">
        <f t="shared" si="5"/>
        <v>0.01729323308</v>
      </c>
      <c r="L110" s="46">
        <v>100.88</v>
      </c>
      <c r="M110" s="46">
        <v>1020.0</v>
      </c>
      <c r="N110" s="47">
        <v>28.0</v>
      </c>
      <c r="O110" s="49">
        <v>92998.0</v>
      </c>
      <c r="P110" s="50">
        <f t="shared" si="6"/>
        <v>0.09890196078</v>
      </c>
      <c r="Q110" s="51">
        <f t="shared" si="7"/>
        <v>10.111023</v>
      </c>
      <c r="R110" s="50">
        <f t="shared" si="8"/>
        <v>0.650925335</v>
      </c>
      <c r="S110" s="16"/>
      <c r="T110" s="25"/>
      <c r="U110" s="6"/>
      <c r="V110" s="6"/>
      <c r="W110" s="6"/>
      <c r="X110" s="6"/>
      <c r="Y110" s="6"/>
      <c r="Z110" s="6"/>
    </row>
    <row r="111" hidden="1" outlineLevel="1">
      <c r="A111" s="44" t="str">
        <f t="shared" si="78"/>
        <v>3-2025</v>
      </c>
      <c r="B111" s="34">
        <v>45735.0</v>
      </c>
      <c r="C111" s="45"/>
      <c r="D111" s="46">
        <v>2721.0</v>
      </c>
      <c r="E111" s="47">
        <v>74.0</v>
      </c>
      <c r="F111" s="47">
        <v>74.0</v>
      </c>
      <c r="G111" s="48">
        <f t="shared" si="2"/>
        <v>1</v>
      </c>
      <c r="H111" s="46">
        <f t="shared" si="79"/>
        <v>36.77027027</v>
      </c>
      <c r="I111" s="46">
        <f t="shared" si="80"/>
        <v>36.77027027</v>
      </c>
      <c r="J111" s="49">
        <v>3077.0</v>
      </c>
      <c r="K111" s="50">
        <f t="shared" si="5"/>
        <v>0.02404939877</v>
      </c>
      <c r="L111" s="46">
        <v>91.95</v>
      </c>
      <c r="M111" s="46">
        <v>1470.0</v>
      </c>
      <c r="N111" s="47">
        <v>39.0</v>
      </c>
      <c r="O111" s="49">
        <v>94064.0</v>
      </c>
      <c r="P111" s="50">
        <f t="shared" si="6"/>
        <v>0.06255102041</v>
      </c>
      <c r="Q111" s="51">
        <f t="shared" si="7"/>
        <v>15.98694943</v>
      </c>
      <c r="R111" s="50">
        <f t="shared" si="8"/>
        <v>0.5402425579</v>
      </c>
      <c r="S111" s="16"/>
      <c r="T111" s="25"/>
      <c r="U111" s="6"/>
      <c r="V111" s="6"/>
      <c r="W111" s="6"/>
      <c r="X111" s="6"/>
      <c r="Y111" s="6"/>
      <c r="Z111" s="6"/>
    </row>
    <row r="112" hidden="1" outlineLevel="1">
      <c r="A112" s="44" t="str">
        <f t="shared" si="78"/>
        <v>3-2025</v>
      </c>
      <c r="B112" s="34">
        <v>45736.0</v>
      </c>
      <c r="C112" s="45"/>
      <c r="D112" s="46">
        <v>3146.0</v>
      </c>
      <c r="E112" s="47">
        <v>84.0</v>
      </c>
      <c r="F112" s="47">
        <v>84.0</v>
      </c>
      <c r="G112" s="48">
        <f t="shared" si="2"/>
        <v>1</v>
      </c>
      <c r="H112" s="46">
        <f t="shared" si="79"/>
        <v>37.45238095</v>
      </c>
      <c r="I112" s="46">
        <f t="shared" si="80"/>
        <v>37.45238095</v>
      </c>
      <c r="J112" s="49">
        <v>2806.0</v>
      </c>
      <c r="K112" s="50">
        <f t="shared" si="5"/>
        <v>0.02993585175</v>
      </c>
      <c r="L112" s="46">
        <v>83.97</v>
      </c>
      <c r="M112" s="46">
        <v>1384.0</v>
      </c>
      <c r="N112" s="47">
        <v>37.0</v>
      </c>
      <c r="O112" s="49">
        <v>91015.0</v>
      </c>
      <c r="P112" s="50">
        <f t="shared" si="6"/>
        <v>0.06067196532</v>
      </c>
      <c r="Q112" s="51">
        <f t="shared" si="7"/>
        <v>16.48207693</v>
      </c>
      <c r="R112" s="50">
        <f t="shared" si="8"/>
        <v>0.4399237127</v>
      </c>
      <c r="S112" s="16"/>
      <c r="T112" s="25"/>
      <c r="U112" s="6"/>
      <c r="V112" s="6"/>
      <c r="W112" s="6"/>
      <c r="X112" s="6"/>
      <c r="Y112" s="6"/>
      <c r="Z112" s="6"/>
    </row>
    <row r="113" hidden="1" outlineLevel="1">
      <c r="A113" s="44" t="str">
        <f t="shared" si="78"/>
        <v>3-2025</v>
      </c>
      <c r="B113" s="34">
        <v>45737.0</v>
      </c>
      <c r="C113" s="45"/>
      <c r="D113" s="46">
        <v>1526.0</v>
      </c>
      <c r="E113" s="47">
        <v>43.0</v>
      </c>
      <c r="F113" s="47">
        <v>43.0</v>
      </c>
      <c r="G113" s="48">
        <f t="shared" si="2"/>
        <v>1</v>
      </c>
      <c r="H113" s="46">
        <f t="shared" si="79"/>
        <v>35.48837209</v>
      </c>
      <c r="I113" s="46">
        <f t="shared" si="80"/>
        <v>35.48837209</v>
      </c>
      <c r="J113" s="49">
        <v>2215.0</v>
      </c>
      <c r="K113" s="50">
        <f t="shared" si="5"/>
        <v>0.01941309255</v>
      </c>
      <c r="L113" s="46">
        <v>70.94</v>
      </c>
      <c r="M113" s="46">
        <v>695.0</v>
      </c>
      <c r="N113" s="47">
        <v>19.0</v>
      </c>
      <c r="O113" s="49">
        <v>78108.0</v>
      </c>
      <c r="P113" s="50">
        <f t="shared" si="6"/>
        <v>0.1020719424</v>
      </c>
      <c r="Q113" s="51">
        <f t="shared" si="7"/>
        <v>9.797011559</v>
      </c>
      <c r="R113" s="50">
        <f t="shared" si="8"/>
        <v>0.4554390564</v>
      </c>
      <c r="S113" s="16"/>
      <c r="T113" s="25"/>
      <c r="U113" s="6"/>
      <c r="V113" s="6"/>
      <c r="W113" s="6"/>
      <c r="X113" s="6"/>
      <c r="Y113" s="6"/>
      <c r="Z113" s="6"/>
    </row>
    <row r="114" hidden="1" outlineLevel="1">
      <c r="A114" s="44" t="str">
        <f t="shared" si="78"/>
        <v>3-2025</v>
      </c>
      <c r="B114" s="34">
        <v>45738.0</v>
      </c>
      <c r="C114" s="45"/>
      <c r="D114" s="46">
        <v>1588.0</v>
      </c>
      <c r="E114" s="47">
        <v>44.0</v>
      </c>
      <c r="F114" s="47">
        <v>44.0</v>
      </c>
      <c r="G114" s="48">
        <f t="shared" si="2"/>
        <v>1</v>
      </c>
      <c r="H114" s="46">
        <f t="shared" si="79"/>
        <v>36.09090909</v>
      </c>
      <c r="I114" s="46">
        <f t="shared" si="80"/>
        <v>36.09090909</v>
      </c>
      <c r="J114" s="49">
        <v>2704.0</v>
      </c>
      <c r="K114" s="50">
        <f t="shared" si="5"/>
        <v>0.01627218935</v>
      </c>
      <c r="L114" s="46">
        <v>79.7</v>
      </c>
      <c r="M114" s="46">
        <v>638.0</v>
      </c>
      <c r="N114" s="47">
        <v>17.0</v>
      </c>
      <c r="O114" s="49">
        <v>96244.0</v>
      </c>
      <c r="P114" s="50">
        <f t="shared" si="6"/>
        <v>0.1249216301</v>
      </c>
      <c r="Q114" s="51">
        <f t="shared" si="7"/>
        <v>8.005018821</v>
      </c>
      <c r="R114" s="50">
        <f t="shared" si="8"/>
        <v>0.4017632242</v>
      </c>
      <c r="S114" s="16"/>
      <c r="T114" s="25"/>
      <c r="U114" s="6"/>
      <c r="V114" s="6"/>
      <c r="W114" s="6"/>
      <c r="X114" s="6"/>
      <c r="Y114" s="6"/>
      <c r="Z114" s="6"/>
    </row>
    <row r="115" collapsed="1">
      <c r="A115" s="52" t="s">
        <v>58</v>
      </c>
      <c r="B115" s="53"/>
      <c r="C115" s="54"/>
      <c r="D115" s="55">
        <f t="shared" ref="D115:F115" si="81">SUM(D108:D114)</f>
        <v>16260</v>
      </c>
      <c r="E115" s="81">
        <f t="shared" si="81"/>
        <v>457</v>
      </c>
      <c r="F115" s="81">
        <f t="shared" si="81"/>
        <v>455</v>
      </c>
      <c r="G115" s="57">
        <f t="shared" si="2"/>
        <v>1.004395604</v>
      </c>
      <c r="H115" s="55">
        <f>AVERAGE(H108:H114)</f>
        <v>35.6319096</v>
      </c>
      <c r="I115" s="58">
        <f>H115/G115</f>
        <v>35.47597127</v>
      </c>
      <c r="J115" s="59">
        <f>SUM(J108:J114)</f>
        <v>20638</v>
      </c>
      <c r="K115" s="60">
        <f t="shared" si="5"/>
        <v>0.02214361857</v>
      </c>
      <c r="L115" s="55">
        <f t="shared" ref="L115:N115" si="82">SUM(L108:L114)</f>
        <v>710.23</v>
      </c>
      <c r="M115" s="55">
        <f t="shared" si="82"/>
        <v>8358</v>
      </c>
      <c r="N115" s="56">
        <f t="shared" si="82"/>
        <v>238</v>
      </c>
      <c r="O115" s="59">
        <f>sum(O108:O114)</f>
        <v>710545</v>
      </c>
      <c r="P115" s="60">
        <f t="shared" si="6"/>
        <v>0.08497607083</v>
      </c>
      <c r="Q115" s="61">
        <f t="shared" si="7"/>
        <v>11.76801881</v>
      </c>
      <c r="R115" s="62">
        <f t="shared" si="8"/>
        <v>0.5140221402</v>
      </c>
      <c r="S115" s="54" t="str">
        <f>iferror((D115-#REF!)/D115,)</f>
        <v/>
      </c>
      <c r="T115" s="63" t="str">
        <f>iferror((F115-#REF!)/F115,)</f>
        <v/>
      </c>
      <c r="U115" s="64">
        <f t="shared" ref="U115:V115" si="83">L115</f>
        <v>710.23</v>
      </c>
      <c r="V115" s="64">
        <f t="shared" si="83"/>
        <v>8358</v>
      </c>
      <c r="W115" s="6"/>
      <c r="X115" s="6"/>
      <c r="Y115" s="6"/>
      <c r="Z115" s="6"/>
    </row>
    <row r="116" hidden="1" outlineLevel="1">
      <c r="A116" s="33" t="str">
        <f t="shared" ref="A116:A122" si="84">iferror(if(B116&gt;0,month(B116)&amp;"-"&amp;year(B116),B116),)</f>
        <v>3-2025</v>
      </c>
      <c r="B116" s="34">
        <v>45739.0</v>
      </c>
      <c r="C116" s="35"/>
      <c r="D116" s="36">
        <v>2954.0</v>
      </c>
      <c r="E116" s="37">
        <v>81.0</v>
      </c>
      <c r="F116" s="37">
        <v>81.0</v>
      </c>
      <c r="G116" s="38">
        <f t="shared" si="2"/>
        <v>1</v>
      </c>
      <c r="H116" s="36">
        <f t="shared" ref="H116:H122" si="85">D116/F116</f>
        <v>36.4691358</v>
      </c>
      <c r="I116" s="36">
        <f t="shared" ref="I116:I122" si="86">D116/E116</f>
        <v>36.4691358</v>
      </c>
      <c r="J116" s="39">
        <v>3884.0</v>
      </c>
      <c r="K116" s="40">
        <f t="shared" si="5"/>
        <v>0.02085478888</v>
      </c>
      <c r="L116" s="36">
        <v>131.21</v>
      </c>
      <c r="M116" s="36">
        <v>1600.0</v>
      </c>
      <c r="N116" s="37">
        <v>46.0</v>
      </c>
      <c r="O116" s="39">
        <v>137597.0</v>
      </c>
      <c r="P116" s="40">
        <f t="shared" si="6"/>
        <v>0.08200625</v>
      </c>
      <c r="Q116" s="41">
        <f t="shared" si="7"/>
        <v>12.19419252</v>
      </c>
      <c r="R116" s="40">
        <f t="shared" si="8"/>
        <v>0.5416384563</v>
      </c>
      <c r="S116" s="42"/>
      <c r="T116" s="43"/>
      <c r="U116" s="6"/>
      <c r="V116" s="6"/>
      <c r="W116" s="6"/>
      <c r="X116" s="6"/>
      <c r="Y116" s="6"/>
      <c r="Z116" s="6"/>
    </row>
    <row r="117" hidden="1" outlineLevel="1">
      <c r="A117" s="44" t="str">
        <f t="shared" si="84"/>
        <v>3-2025</v>
      </c>
      <c r="B117" s="34">
        <v>45740.0</v>
      </c>
      <c r="C117" s="45"/>
      <c r="D117" s="46">
        <v>2277.0</v>
      </c>
      <c r="E117" s="47">
        <v>69.0</v>
      </c>
      <c r="F117" s="47">
        <v>68.0</v>
      </c>
      <c r="G117" s="48">
        <f t="shared" si="2"/>
        <v>1.014705882</v>
      </c>
      <c r="H117" s="46">
        <f t="shared" si="85"/>
        <v>33.48529412</v>
      </c>
      <c r="I117" s="46">
        <f t="shared" si="86"/>
        <v>33</v>
      </c>
      <c r="J117" s="49">
        <v>3283.0</v>
      </c>
      <c r="K117" s="50">
        <f t="shared" si="5"/>
        <v>0.02101736217</v>
      </c>
      <c r="L117" s="46">
        <v>116.17</v>
      </c>
      <c r="M117" s="46">
        <v>1351.0</v>
      </c>
      <c r="N117" s="47">
        <v>41.0</v>
      </c>
      <c r="O117" s="49">
        <v>111910.0</v>
      </c>
      <c r="P117" s="50">
        <f t="shared" si="6"/>
        <v>0.08598815692</v>
      </c>
      <c r="Q117" s="51">
        <f t="shared" si="7"/>
        <v>11.62950848</v>
      </c>
      <c r="R117" s="50">
        <f t="shared" si="8"/>
        <v>0.5933245498</v>
      </c>
      <c r="S117" s="16"/>
      <c r="T117" s="25"/>
      <c r="U117" s="6"/>
      <c r="V117" s="6"/>
      <c r="W117" s="6"/>
      <c r="X117" s="6"/>
      <c r="Y117" s="6"/>
      <c r="Z117" s="6"/>
    </row>
    <row r="118" hidden="1" outlineLevel="1">
      <c r="A118" s="44" t="str">
        <f t="shared" si="84"/>
        <v>3-2025</v>
      </c>
      <c r="B118" s="34">
        <v>45741.0</v>
      </c>
      <c r="C118" s="45"/>
      <c r="D118" s="46">
        <v>2172.0</v>
      </c>
      <c r="E118" s="47">
        <v>60.0</v>
      </c>
      <c r="F118" s="47">
        <v>59.0</v>
      </c>
      <c r="G118" s="48">
        <f t="shared" si="2"/>
        <v>1.016949153</v>
      </c>
      <c r="H118" s="46">
        <f t="shared" si="85"/>
        <v>36.81355932</v>
      </c>
      <c r="I118" s="46">
        <f t="shared" si="86"/>
        <v>36.2</v>
      </c>
      <c r="J118" s="49">
        <v>3018.0</v>
      </c>
      <c r="K118" s="50">
        <f t="shared" si="5"/>
        <v>0.01988071571</v>
      </c>
      <c r="L118" s="46">
        <v>131.38</v>
      </c>
      <c r="M118" s="46">
        <v>1235.0</v>
      </c>
      <c r="N118" s="47">
        <v>37.0</v>
      </c>
      <c r="O118" s="49">
        <v>136114.0</v>
      </c>
      <c r="P118" s="50">
        <f t="shared" si="6"/>
        <v>0.1063805668</v>
      </c>
      <c r="Q118" s="51">
        <f t="shared" si="7"/>
        <v>9.400213122</v>
      </c>
      <c r="R118" s="50">
        <f t="shared" si="8"/>
        <v>0.5686003683</v>
      </c>
      <c r="S118" s="16"/>
      <c r="T118" s="25"/>
      <c r="U118" s="6"/>
      <c r="V118" s="6"/>
      <c r="W118" s="6"/>
      <c r="X118" s="6"/>
      <c r="Y118" s="6"/>
      <c r="Z118" s="6"/>
    </row>
    <row r="119" hidden="1" outlineLevel="1">
      <c r="A119" s="44" t="str">
        <f t="shared" si="84"/>
        <v>3-2025</v>
      </c>
      <c r="B119" s="34">
        <v>45742.0</v>
      </c>
      <c r="C119" s="45"/>
      <c r="D119" s="46">
        <v>2861.0</v>
      </c>
      <c r="E119" s="47">
        <v>80.0</v>
      </c>
      <c r="F119" s="47">
        <v>80.0</v>
      </c>
      <c r="G119" s="48">
        <f t="shared" si="2"/>
        <v>1</v>
      </c>
      <c r="H119" s="46">
        <f t="shared" si="85"/>
        <v>35.7625</v>
      </c>
      <c r="I119" s="46">
        <f t="shared" si="86"/>
        <v>35.7625</v>
      </c>
      <c r="J119" s="49">
        <v>3284.0</v>
      </c>
      <c r="K119" s="50">
        <f t="shared" si="5"/>
        <v>0.02436053593</v>
      </c>
      <c r="L119" s="46">
        <v>148.69</v>
      </c>
      <c r="M119" s="46">
        <v>1530.0</v>
      </c>
      <c r="N119" s="47">
        <v>43.0</v>
      </c>
      <c r="O119" s="49">
        <v>144905.0</v>
      </c>
      <c r="P119" s="50">
        <f t="shared" si="6"/>
        <v>0.09718300654</v>
      </c>
      <c r="Q119" s="51">
        <f t="shared" si="7"/>
        <v>10.28986482</v>
      </c>
      <c r="R119" s="50">
        <f t="shared" si="8"/>
        <v>0.5347780496</v>
      </c>
      <c r="S119" s="16"/>
      <c r="T119" s="25"/>
      <c r="U119" s="6"/>
      <c r="V119" s="6"/>
      <c r="W119" s="6"/>
      <c r="X119" s="6"/>
      <c r="Y119" s="6"/>
      <c r="Z119" s="6"/>
    </row>
    <row r="120" hidden="1" outlineLevel="1">
      <c r="A120" s="44" t="str">
        <f t="shared" si="84"/>
        <v>3-2025</v>
      </c>
      <c r="B120" s="34">
        <v>45743.0</v>
      </c>
      <c r="C120" s="45"/>
      <c r="D120" s="46">
        <v>2201.0</v>
      </c>
      <c r="E120" s="47">
        <v>62.0</v>
      </c>
      <c r="F120" s="47">
        <v>61.0</v>
      </c>
      <c r="G120" s="48">
        <f t="shared" si="2"/>
        <v>1.016393443</v>
      </c>
      <c r="H120" s="46">
        <f t="shared" si="85"/>
        <v>36.08196721</v>
      </c>
      <c r="I120" s="46">
        <f t="shared" si="86"/>
        <v>35.5</v>
      </c>
      <c r="J120" s="49">
        <v>3013.0</v>
      </c>
      <c r="K120" s="50">
        <f t="shared" si="5"/>
        <v>0.02057749751</v>
      </c>
      <c r="L120" s="46">
        <v>122.08</v>
      </c>
      <c r="M120" s="46">
        <v>1513.0</v>
      </c>
      <c r="N120" s="47">
        <v>40.0</v>
      </c>
      <c r="O120" s="49">
        <v>94822.0</v>
      </c>
      <c r="P120" s="50">
        <f t="shared" si="6"/>
        <v>0.08068737607</v>
      </c>
      <c r="Q120" s="51">
        <f t="shared" si="7"/>
        <v>12.39351245</v>
      </c>
      <c r="R120" s="50">
        <f t="shared" si="8"/>
        <v>0.6874148114</v>
      </c>
      <c r="S120" s="16"/>
      <c r="T120" s="25"/>
      <c r="U120" s="6"/>
      <c r="V120" s="6"/>
      <c r="W120" s="6"/>
      <c r="X120" s="6"/>
      <c r="Y120" s="6"/>
      <c r="Z120" s="6"/>
    </row>
    <row r="121" hidden="1" outlineLevel="1">
      <c r="A121" s="44" t="str">
        <f t="shared" si="84"/>
        <v>3-2025</v>
      </c>
      <c r="B121" s="34">
        <v>45744.0</v>
      </c>
      <c r="C121" s="45"/>
      <c r="D121" s="46">
        <v>1771.0</v>
      </c>
      <c r="E121" s="47">
        <v>54.0</v>
      </c>
      <c r="F121" s="47">
        <v>54.0</v>
      </c>
      <c r="G121" s="48">
        <f t="shared" si="2"/>
        <v>1</v>
      </c>
      <c r="H121" s="46">
        <f t="shared" si="85"/>
        <v>32.7962963</v>
      </c>
      <c r="I121" s="46">
        <f t="shared" si="86"/>
        <v>32.7962963</v>
      </c>
      <c r="J121" s="49">
        <v>2736.0</v>
      </c>
      <c r="K121" s="50">
        <f t="shared" si="5"/>
        <v>0.01973684211</v>
      </c>
      <c r="L121" s="46">
        <v>112.63</v>
      </c>
      <c r="M121" s="46">
        <v>1076.0</v>
      </c>
      <c r="N121" s="47">
        <v>3.0</v>
      </c>
      <c r="O121" s="49">
        <v>95782.0</v>
      </c>
      <c r="P121" s="50">
        <f t="shared" si="6"/>
        <v>0.1046747212</v>
      </c>
      <c r="Q121" s="51">
        <f t="shared" si="7"/>
        <v>9.553404954</v>
      </c>
      <c r="R121" s="50">
        <f t="shared" si="8"/>
        <v>0.6075663467</v>
      </c>
      <c r="S121" s="16"/>
      <c r="T121" s="25"/>
      <c r="U121" s="6"/>
      <c r="V121" s="6"/>
      <c r="W121" s="6"/>
      <c r="X121" s="6"/>
      <c r="Y121" s="6"/>
      <c r="Z121" s="6"/>
    </row>
    <row r="122" hidden="1" outlineLevel="1">
      <c r="A122" s="44" t="str">
        <f t="shared" si="84"/>
        <v>3-2025</v>
      </c>
      <c r="B122" s="34">
        <v>45745.0</v>
      </c>
      <c r="C122" s="45"/>
      <c r="D122" s="46">
        <v>2842.0</v>
      </c>
      <c r="E122" s="47">
        <v>85.0</v>
      </c>
      <c r="F122" s="47">
        <v>85.0</v>
      </c>
      <c r="G122" s="48">
        <f t="shared" si="2"/>
        <v>1</v>
      </c>
      <c r="H122" s="46">
        <f t="shared" si="85"/>
        <v>33.43529412</v>
      </c>
      <c r="I122" s="46">
        <f t="shared" si="86"/>
        <v>33.43529412</v>
      </c>
      <c r="J122" s="49">
        <v>3493.0</v>
      </c>
      <c r="K122" s="50">
        <f t="shared" si="5"/>
        <v>0.02433438305</v>
      </c>
      <c r="L122" s="46">
        <v>154.49</v>
      </c>
      <c r="M122" s="46">
        <v>1366.0</v>
      </c>
      <c r="N122" s="47">
        <v>43.0</v>
      </c>
      <c r="O122" s="49">
        <v>130902.0</v>
      </c>
      <c r="P122" s="50">
        <f t="shared" si="6"/>
        <v>0.1130966325</v>
      </c>
      <c r="Q122" s="51">
        <f t="shared" si="7"/>
        <v>8.841996246</v>
      </c>
      <c r="R122" s="50">
        <f t="shared" si="8"/>
        <v>0.4806474314</v>
      </c>
      <c r="S122" s="16"/>
      <c r="T122" s="25"/>
      <c r="U122" s="6"/>
      <c r="V122" s="6"/>
      <c r="W122" s="6"/>
      <c r="X122" s="6"/>
      <c r="Y122" s="6"/>
      <c r="Z122" s="6"/>
    </row>
    <row r="123" collapsed="1">
      <c r="A123" s="52" t="s">
        <v>59</v>
      </c>
      <c r="B123" s="53"/>
      <c r="C123" s="54"/>
      <c r="D123" s="55">
        <f t="shared" ref="D123:F123" si="87">SUM(D116:D122)</f>
        <v>17078</v>
      </c>
      <c r="E123" s="81">
        <f t="shared" si="87"/>
        <v>491</v>
      </c>
      <c r="F123" s="81">
        <f t="shared" si="87"/>
        <v>488</v>
      </c>
      <c r="G123" s="57">
        <f t="shared" si="2"/>
        <v>1.006147541</v>
      </c>
      <c r="H123" s="55">
        <f>AVERAGE(H116:H122)</f>
        <v>34.97772098</v>
      </c>
      <c r="I123" s="58">
        <f>H123/G123</f>
        <v>34.76400782</v>
      </c>
      <c r="J123" s="59">
        <f>SUM(J116:J122)</f>
        <v>22711</v>
      </c>
      <c r="K123" s="60">
        <f t="shared" si="5"/>
        <v>0.02161947955</v>
      </c>
      <c r="L123" s="55">
        <f t="shared" ref="L123:N123" si="88">SUM(L116:L122)</f>
        <v>916.65</v>
      </c>
      <c r="M123" s="55">
        <f t="shared" si="88"/>
        <v>9671</v>
      </c>
      <c r="N123" s="56">
        <f t="shared" si="88"/>
        <v>253</v>
      </c>
      <c r="O123" s="59">
        <f>sum(O116:O122)</f>
        <v>852032</v>
      </c>
      <c r="P123" s="60">
        <f t="shared" si="6"/>
        <v>0.09478337297</v>
      </c>
      <c r="Q123" s="61">
        <f t="shared" si="7"/>
        <v>10.55037364</v>
      </c>
      <c r="R123" s="62">
        <f t="shared" si="8"/>
        <v>0.5662841082</v>
      </c>
      <c r="S123" s="54" t="str">
        <f>iferror((D123-#REF!)/D123,)</f>
        <v/>
      </c>
      <c r="T123" s="63" t="str">
        <f>iferror((F123-#REF!)/F123,)</f>
        <v/>
      </c>
      <c r="U123" s="64">
        <f t="shared" ref="U123:V123" si="89">L123</f>
        <v>916.65</v>
      </c>
      <c r="V123" s="64">
        <f t="shared" si="89"/>
        <v>9671</v>
      </c>
      <c r="W123" s="6"/>
      <c r="X123" s="6"/>
      <c r="Y123" s="6"/>
      <c r="Z123" s="6"/>
    </row>
    <row r="124" hidden="1" outlineLevel="1">
      <c r="A124" s="33" t="str">
        <f t="shared" ref="A124:A130" si="90">iferror(if(B124&gt;0,month(B124)&amp;"-"&amp;year(B124),B124),)</f>
        <v>3-2025</v>
      </c>
      <c r="B124" s="34">
        <v>45746.0</v>
      </c>
      <c r="C124" s="35"/>
      <c r="D124" s="36">
        <v>4097.0</v>
      </c>
      <c r="E124" s="37">
        <v>112.0</v>
      </c>
      <c r="F124" s="37">
        <v>110.0</v>
      </c>
      <c r="G124" s="38">
        <f t="shared" si="2"/>
        <v>1.018181818</v>
      </c>
      <c r="H124" s="36">
        <f t="shared" ref="H124:H130" si="91">D124/F124</f>
        <v>37.24545455</v>
      </c>
      <c r="I124" s="36">
        <f t="shared" ref="I124:I130" si="92">D124/E124</f>
        <v>36.58035714</v>
      </c>
      <c r="J124" s="39">
        <v>4964.0</v>
      </c>
      <c r="K124" s="40">
        <f t="shared" si="5"/>
        <v>0.02256244964</v>
      </c>
      <c r="L124" s="36">
        <v>211.93</v>
      </c>
      <c r="M124" s="36">
        <v>2203.0</v>
      </c>
      <c r="N124" s="37">
        <v>59.0</v>
      </c>
      <c r="O124" s="39">
        <v>187234.0</v>
      </c>
      <c r="P124" s="40">
        <f t="shared" si="6"/>
        <v>0.0962006355</v>
      </c>
      <c r="Q124" s="41">
        <f t="shared" si="7"/>
        <v>10.39494173</v>
      </c>
      <c r="R124" s="40">
        <f t="shared" si="8"/>
        <v>0.5377105199</v>
      </c>
      <c r="S124" s="42"/>
      <c r="T124" s="43"/>
      <c r="U124" s="6"/>
      <c r="V124" s="6"/>
      <c r="W124" s="6"/>
      <c r="X124" s="6"/>
      <c r="Y124" s="6"/>
      <c r="Z124" s="6"/>
    </row>
    <row r="125" hidden="1" outlineLevel="1">
      <c r="A125" s="44" t="str">
        <f t="shared" si="90"/>
        <v>3-2025</v>
      </c>
      <c r="B125" s="34">
        <v>45747.0</v>
      </c>
      <c r="C125" s="45"/>
      <c r="D125" s="46">
        <v>2776.0</v>
      </c>
      <c r="E125" s="47">
        <v>74.0</v>
      </c>
      <c r="F125" s="47">
        <v>74.0</v>
      </c>
      <c r="G125" s="48">
        <f t="shared" si="2"/>
        <v>1</v>
      </c>
      <c r="H125" s="46">
        <f t="shared" si="91"/>
        <v>37.51351351</v>
      </c>
      <c r="I125" s="46">
        <f t="shared" si="92"/>
        <v>37.51351351</v>
      </c>
      <c r="J125" s="49">
        <v>3657.0</v>
      </c>
      <c r="K125" s="50">
        <f t="shared" si="5"/>
        <v>0.02023516544</v>
      </c>
      <c r="L125" s="46">
        <v>152.79</v>
      </c>
      <c r="M125" s="46">
        <v>1403.0</v>
      </c>
      <c r="N125" s="47">
        <v>40.0</v>
      </c>
      <c r="O125" s="49">
        <v>141378.0</v>
      </c>
      <c r="P125" s="50">
        <f t="shared" si="6"/>
        <v>0.1089023521</v>
      </c>
      <c r="Q125" s="51">
        <f t="shared" si="7"/>
        <v>9.182538124</v>
      </c>
      <c r="R125" s="50">
        <f t="shared" si="8"/>
        <v>0.5054034582</v>
      </c>
      <c r="S125" s="16"/>
      <c r="T125" s="25"/>
      <c r="U125" s="6"/>
      <c r="V125" s="6"/>
      <c r="W125" s="6"/>
      <c r="X125" s="6"/>
      <c r="Y125" s="6"/>
      <c r="Z125" s="6"/>
    </row>
    <row r="126" hidden="1" outlineLevel="1">
      <c r="A126" s="44" t="str">
        <f t="shared" si="90"/>
        <v>4-2025</v>
      </c>
      <c r="B126" s="34">
        <v>45748.0</v>
      </c>
      <c r="C126" s="45"/>
      <c r="D126" s="46">
        <v>2997.0</v>
      </c>
      <c r="E126" s="47">
        <v>86.0</v>
      </c>
      <c r="F126" s="47">
        <v>86.0</v>
      </c>
      <c r="G126" s="48">
        <f t="shared" si="2"/>
        <v>1</v>
      </c>
      <c r="H126" s="46">
        <f t="shared" si="91"/>
        <v>34.84883721</v>
      </c>
      <c r="I126" s="46">
        <f t="shared" si="92"/>
        <v>34.84883721</v>
      </c>
      <c r="J126" s="49">
        <v>3502.0</v>
      </c>
      <c r="K126" s="50">
        <f t="shared" si="5"/>
        <v>0.02455739577</v>
      </c>
      <c r="L126" s="46">
        <v>174.48</v>
      </c>
      <c r="M126" s="46">
        <v>2438.0</v>
      </c>
      <c r="N126" s="47">
        <v>63.0</v>
      </c>
      <c r="O126" s="49">
        <v>133189.0</v>
      </c>
      <c r="P126" s="50">
        <f t="shared" si="6"/>
        <v>0.07156685808</v>
      </c>
      <c r="Q126" s="51">
        <f t="shared" si="7"/>
        <v>13.97294819</v>
      </c>
      <c r="R126" s="50">
        <f t="shared" si="8"/>
        <v>0.8134801468</v>
      </c>
      <c r="S126" s="16"/>
      <c r="T126" s="25"/>
      <c r="U126" s="6"/>
      <c r="V126" s="6"/>
      <c r="W126" s="6"/>
      <c r="X126" s="6"/>
      <c r="Y126" s="6"/>
      <c r="Z126" s="6"/>
    </row>
    <row r="127" hidden="1" outlineLevel="1">
      <c r="A127" s="44" t="str">
        <f t="shared" si="90"/>
        <v>4-2025</v>
      </c>
      <c r="B127" s="34">
        <v>45749.0</v>
      </c>
      <c r="C127" s="45"/>
      <c r="D127" s="46">
        <v>3699.0</v>
      </c>
      <c r="E127" s="47">
        <v>94.0</v>
      </c>
      <c r="F127" s="47">
        <v>92.0</v>
      </c>
      <c r="G127" s="48">
        <f t="shared" si="2"/>
        <v>1.02173913</v>
      </c>
      <c r="H127" s="46">
        <f t="shared" si="91"/>
        <v>40.20652174</v>
      </c>
      <c r="I127" s="46">
        <f t="shared" si="92"/>
        <v>39.35106383</v>
      </c>
      <c r="J127" s="49">
        <v>3622.0</v>
      </c>
      <c r="K127" s="50">
        <f t="shared" si="5"/>
        <v>0.02595251242</v>
      </c>
      <c r="L127" s="46">
        <v>167.42</v>
      </c>
      <c r="M127" s="46">
        <v>2282.0</v>
      </c>
      <c r="N127" s="47">
        <v>60.0</v>
      </c>
      <c r="O127" s="49">
        <v>135029.0</v>
      </c>
      <c r="P127" s="50">
        <f t="shared" si="6"/>
        <v>0.07336546889</v>
      </c>
      <c r="Q127" s="51">
        <f t="shared" si="7"/>
        <v>13.63039063</v>
      </c>
      <c r="R127" s="50">
        <f t="shared" si="8"/>
        <v>0.6169234928</v>
      </c>
      <c r="S127" s="16"/>
      <c r="T127" s="25"/>
      <c r="U127" s="6"/>
      <c r="V127" s="6"/>
      <c r="W127" s="6"/>
      <c r="X127" s="6"/>
      <c r="Y127" s="6"/>
      <c r="Z127" s="6"/>
    </row>
    <row r="128" hidden="1" outlineLevel="1">
      <c r="A128" s="44" t="str">
        <f t="shared" si="90"/>
        <v>4-2025</v>
      </c>
      <c r="B128" s="34">
        <v>45750.0</v>
      </c>
      <c r="C128" s="45"/>
      <c r="D128" s="46">
        <v>2521.0</v>
      </c>
      <c r="E128" s="47">
        <v>69.0</v>
      </c>
      <c r="F128" s="47">
        <v>69.0</v>
      </c>
      <c r="G128" s="48">
        <f t="shared" si="2"/>
        <v>1</v>
      </c>
      <c r="H128" s="46">
        <f t="shared" si="91"/>
        <v>36.53623188</v>
      </c>
      <c r="I128" s="46">
        <f t="shared" si="92"/>
        <v>36.53623188</v>
      </c>
      <c r="J128" s="49">
        <v>3239.0</v>
      </c>
      <c r="K128" s="50">
        <f t="shared" si="5"/>
        <v>0.02130287126</v>
      </c>
      <c r="L128" s="46">
        <v>145.48</v>
      </c>
      <c r="M128" s="46">
        <v>1061.97</v>
      </c>
      <c r="N128" s="47">
        <v>35.0</v>
      </c>
      <c r="O128" s="49">
        <v>123452.0</v>
      </c>
      <c r="P128" s="50">
        <f t="shared" si="6"/>
        <v>0.1369906871</v>
      </c>
      <c r="Q128" s="51">
        <f t="shared" si="7"/>
        <v>7.299766291</v>
      </c>
      <c r="R128" s="50">
        <f t="shared" si="8"/>
        <v>0.4212495042</v>
      </c>
      <c r="S128" s="16"/>
      <c r="T128" s="25"/>
      <c r="U128" s="6"/>
      <c r="V128" s="6"/>
      <c r="W128" s="6"/>
      <c r="X128" s="6"/>
      <c r="Y128" s="6"/>
      <c r="Z128" s="6"/>
    </row>
    <row r="129" hidden="1" outlineLevel="1">
      <c r="A129" s="44" t="str">
        <f t="shared" si="90"/>
        <v>4-2025</v>
      </c>
      <c r="B129" s="34">
        <v>45751.0</v>
      </c>
      <c r="C129" s="45"/>
      <c r="D129" s="46">
        <v>2882.0</v>
      </c>
      <c r="E129" s="47">
        <v>82.0</v>
      </c>
      <c r="F129" s="47">
        <v>81.0</v>
      </c>
      <c r="G129" s="48">
        <f t="shared" si="2"/>
        <v>1.012345679</v>
      </c>
      <c r="H129" s="46">
        <f t="shared" si="91"/>
        <v>35.58024691</v>
      </c>
      <c r="I129" s="46">
        <f t="shared" si="92"/>
        <v>35.14634146</v>
      </c>
      <c r="J129" s="49">
        <v>3140.0</v>
      </c>
      <c r="K129" s="50">
        <f t="shared" si="5"/>
        <v>0.02611464968</v>
      </c>
      <c r="L129" s="46">
        <v>164.34</v>
      </c>
      <c r="M129" s="46">
        <v>1540.0</v>
      </c>
      <c r="N129" s="47">
        <v>48.0</v>
      </c>
      <c r="O129" s="49">
        <v>114016.0</v>
      </c>
      <c r="P129" s="50">
        <f t="shared" si="6"/>
        <v>0.1067142857</v>
      </c>
      <c r="Q129" s="51">
        <f t="shared" si="7"/>
        <v>9.3708166</v>
      </c>
      <c r="R129" s="50">
        <f t="shared" si="8"/>
        <v>0.534351145</v>
      </c>
      <c r="S129" s="16"/>
      <c r="T129" s="25"/>
      <c r="U129" s="6"/>
      <c r="V129" s="6"/>
      <c r="W129" s="6"/>
      <c r="X129" s="6"/>
      <c r="Y129" s="6"/>
      <c r="Z129" s="6"/>
    </row>
    <row r="130" hidden="1" outlineLevel="1">
      <c r="A130" s="44" t="str">
        <f t="shared" si="90"/>
        <v>4-2025</v>
      </c>
      <c r="B130" s="34">
        <v>45752.0</v>
      </c>
      <c r="C130" s="45"/>
      <c r="D130" s="46">
        <v>2276.0</v>
      </c>
      <c r="E130" s="47">
        <v>71.0</v>
      </c>
      <c r="F130" s="47">
        <v>70.0</v>
      </c>
      <c r="G130" s="48">
        <f t="shared" si="2"/>
        <v>1.014285714</v>
      </c>
      <c r="H130" s="46">
        <f t="shared" si="91"/>
        <v>32.51428571</v>
      </c>
      <c r="I130" s="46">
        <f t="shared" si="92"/>
        <v>32.05633803</v>
      </c>
      <c r="J130" s="49">
        <v>3648.0</v>
      </c>
      <c r="K130" s="50">
        <f t="shared" si="5"/>
        <v>0.0194627193</v>
      </c>
      <c r="L130" s="46">
        <v>179.48</v>
      </c>
      <c r="M130" s="46">
        <v>1036.0</v>
      </c>
      <c r="N130" s="47">
        <v>32.0</v>
      </c>
      <c r="O130" s="49">
        <v>154266.0</v>
      </c>
      <c r="P130" s="50">
        <f t="shared" si="6"/>
        <v>0.1732432432</v>
      </c>
      <c r="Q130" s="51">
        <f t="shared" si="7"/>
        <v>5.772230889</v>
      </c>
      <c r="R130" s="50">
        <f t="shared" si="8"/>
        <v>0.4551845343</v>
      </c>
      <c r="S130" s="16"/>
      <c r="T130" s="25"/>
      <c r="U130" s="6"/>
      <c r="V130" s="6"/>
      <c r="W130" s="6"/>
      <c r="X130" s="6"/>
      <c r="Y130" s="6"/>
      <c r="Z130" s="6"/>
    </row>
    <row r="131" collapsed="1">
      <c r="A131" s="52" t="s">
        <v>60</v>
      </c>
      <c r="B131" s="53"/>
      <c r="C131" s="54"/>
      <c r="D131" s="55">
        <f t="shared" ref="D131:F131" si="93">SUM(D124:D130)</f>
        <v>21248</v>
      </c>
      <c r="E131" s="81">
        <f t="shared" si="93"/>
        <v>588</v>
      </c>
      <c r="F131" s="81">
        <f t="shared" si="93"/>
        <v>582</v>
      </c>
      <c r="G131" s="57">
        <f t="shared" si="2"/>
        <v>1.010309278</v>
      </c>
      <c r="H131" s="55">
        <f>AVERAGE(H124:H130)</f>
        <v>36.34929879</v>
      </c>
      <c r="I131" s="58">
        <f>H131/G131</f>
        <v>35.97838758</v>
      </c>
      <c r="J131" s="59">
        <f>SUM(J124:J130)</f>
        <v>25772</v>
      </c>
      <c r="K131" s="60">
        <f t="shared" si="5"/>
        <v>0.02281545864</v>
      </c>
      <c r="L131" s="55">
        <f t="shared" ref="L131:N131" si="94">SUM(L124:L130)</f>
        <v>1195.92</v>
      </c>
      <c r="M131" s="55">
        <f t="shared" si="94"/>
        <v>11963.97</v>
      </c>
      <c r="N131" s="56">
        <f t="shared" si="94"/>
        <v>337</v>
      </c>
      <c r="O131" s="59">
        <f>sum(O124:O130)</f>
        <v>988564</v>
      </c>
      <c r="P131" s="60">
        <f t="shared" si="6"/>
        <v>0.09996013029</v>
      </c>
      <c r="Q131" s="61">
        <f t="shared" si="7"/>
        <v>10.00398856</v>
      </c>
      <c r="R131" s="62">
        <f t="shared" si="8"/>
        <v>0.5630633471</v>
      </c>
      <c r="S131" s="54" t="str">
        <f>iferror((D131-#REF!)/D131,)</f>
        <v/>
      </c>
      <c r="T131" s="63" t="str">
        <f>iferror((F131-#REF!)/F131,)</f>
        <v/>
      </c>
      <c r="U131" s="64">
        <f t="shared" ref="U131:V131" si="95">L131</f>
        <v>1195.92</v>
      </c>
      <c r="V131" s="64">
        <f t="shared" si="95"/>
        <v>11963.97</v>
      </c>
      <c r="W131" s="6"/>
      <c r="X131" s="6"/>
      <c r="Y131" s="6"/>
      <c r="Z131" s="6"/>
    </row>
    <row r="132" hidden="1" outlineLevel="1">
      <c r="A132" s="33" t="str">
        <f t="shared" ref="A132:A138" si="96">iferror(if(B132&gt;0,month(B132)&amp;"-"&amp;year(B132),B132),)</f>
        <v>4-2025</v>
      </c>
      <c r="B132" s="34">
        <v>45753.0</v>
      </c>
      <c r="C132" s="35"/>
      <c r="D132" s="36">
        <v>4083.0</v>
      </c>
      <c r="E132" s="37">
        <v>115.0</v>
      </c>
      <c r="F132" s="37">
        <v>115.0</v>
      </c>
      <c r="G132" s="38">
        <f t="shared" si="2"/>
        <v>1</v>
      </c>
      <c r="H132" s="36">
        <f t="shared" ref="H132:H138" si="97">D132/F132</f>
        <v>35.50434783</v>
      </c>
      <c r="I132" s="36">
        <f t="shared" ref="I132:I138" si="98">D132/E132</f>
        <v>35.50434783</v>
      </c>
      <c r="J132" s="39">
        <v>4947.0</v>
      </c>
      <c r="K132" s="40">
        <f t="shared" si="5"/>
        <v>0.02324641197</v>
      </c>
      <c r="L132" s="36">
        <v>166.85</v>
      </c>
      <c r="M132" s="36">
        <v>2013.0</v>
      </c>
      <c r="N132" s="37">
        <v>59.0</v>
      </c>
      <c r="O132" s="39">
        <v>151495.0</v>
      </c>
      <c r="P132" s="40">
        <f t="shared" si="6"/>
        <v>0.08288623944</v>
      </c>
      <c r="Q132" s="41">
        <f t="shared" si="7"/>
        <v>12.0647288</v>
      </c>
      <c r="R132" s="40">
        <f t="shared" si="8"/>
        <v>0.4930198384</v>
      </c>
      <c r="S132" s="42"/>
      <c r="T132" s="43"/>
      <c r="U132" s="6"/>
      <c r="V132" s="6"/>
      <c r="W132" s="6"/>
      <c r="X132" s="6"/>
      <c r="Y132" s="6"/>
      <c r="Z132" s="6"/>
    </row>
    <row r="133" hidden="1" outlineLevel="1">
      <c r="A133" s="44" t="str">
        <f t="shared" si="96"/>
        <v>4-2025</v>
      </c>
      <c r="B133" s="34">
        <v>45754.0</v>
      </c>
      <c r="C133" s="45"/>
      <c r="D133" s="46">
        <v>2975.0</v>
      </c>
      <c r="E133" s="47">
        <v>91.0</v>
      </c>
      <c r="F133" s="47">
        <v>91.0</v>
      </c>
      <c r="G133" s="48">
        <f t="shared" si="2"/>
        <v>1</v>
      </c>
      <c r="H133" s="46">
        <f t="shared" si="97"/>
        <v>32.69230769</v>
      </c>
      <c r="I133" s="46">
        <f t="shared" si="98"/>
        <v>32.69230769</v>
      </c>
      <c r="J133" s="49">
        <v>4038.0</v>
      </c>
      <c r="K133" s="50">
        <f t="shared" si="5"/>
        <v>0.02253590887</v>
      </c>
      <c r="L133" s="46">
        <v>159.47</v>
      </c>
      <c r="M133" s="46">
        <v>1330.0</v>
      </c>
      <c r="N133" s="47">
        <v>40.0</v>
      </c>
      <c r="O133" s="49">
        <v>128314.0</v>
      </c>
      <c r="P133" s="50">
        <f t="shared" si="6"/>
        <v>0.1199022556</v>
      </c>
      <c r="Q133" s="51">
        <f t="shared" si="7"/>
        <v>8.34012667</v>
      </c>
      <c r="R133" s="50">
        <f t="shared" si="8"/>
        <v>0.4470588235</v>
      </c>
      <c r="S133" s="16"/>
      <c r="T133" s="25"/>
      <c r="U133" s="6"/>
      <c r="V133" s="6"/>
      <c r="W133" s="6"/>
      <c r="X133" s="6"/>
      <c r="Y133" s="6"/>
      <c r="Z133" s="6"/>
    </row>
    <row r="134" hidden="1" outlineLevel="1">
      <c r="A134" s="44" t="str">
        <f t="shared" si="96"/>
        <v>4-2025</v>
      </c>
      <c r="B134" s="34">
        <v>45755.0</v>
      </c>
      <c r="C134" s="45"/>
      <c r="D134" s="46">
        <v>2897.0</v>
      </c>
      <c r="E134" s="47">
        <v>80.0</v>
      </c>
      <c r="F134" s="47">
        <v>80.0</v>
      </c>
      <c r="G134" s="48">
        <f t="shared" si="2"/>
        <v>1</v>
      </c>
      <c r="H134" s="46">
        <f t="shared" si="97"/>
        <v>36.2125</v>
      </c>
      <c r="I134" s="46">
        <f t="shared" si="98"/>
        <v>36.2125</v>
      </c>
      <c r="J134" s="49">
        <v>3705.0</v>
      </c>
      <c r="K134" s="50">
        <f t="shared" si="5"/>
        <v>0.02159244265</v>
      </c>
      <c r="L134" s="46">
        <v>141.58</v>
      </c>
      <c r="M134" s="46">
        <v>1448.0</v>
      </c>
      <c r="N134" s="47">
        <v>42.0</v>
      </c>
      <c r="O134" s="49">
        <v>113325.0</v>
      </c>
      <c r="P134" s="50">
        <f t="shared" si="6"/>
        <v>0.09777624309</v>
      </c>
      <c r="Q134" s="51">
        <f t="shared" si="7"/>
        <v>10.22743325</v>
      </c>
      <c r="R134" s="50">
        <f t="shared" si="8"/>
        <v>0.4998274077</v>
      </c>
      <c r="S134" s="16"/>
      <c r="T134" s="25"/>
      <c r="U134" s="6"/>
      <c r="V134" s="6"/>
      <c r="W134" s="6"/>
      <c r="X134" s="6"/>
      <c r="Y134" s="6"/>
      <c r="Z134" s="6"/>
    </row>
    <row r="135" hidden="1" outlineLevel="1">
      <c r="A135" s="44" t="str">
        <f t="shared" si="96"/>
        <v>4-2025</v>
      </c>
      <c r="B135" s="34">
        <v>45756.0</v>
      </c>
      <c r="C135" s="45"/>
      <c r="D135" s="46">
        <v>2886.0</v>
      </c>
      <c r="E135" s="47">
        <v>86.0</v>
      </c>
      <c r="F135" s="47">
        <v>86.0</v>
      </c>
      <c r="G135" s="48">
        <f t="shared" si="2"/>
        <v>1</v>
      </c>
      <c r="H135" s="46">
        <f t="shared" si="97"/>
        <v>33.55813953</v>
      </c>
      <c r="I135" s="46">
        <f t="shared" si="98"/>
        <v>33.55813953</v>
      </c>
      <c r="J135" s="49">
        <v>3803.0</v>
      </c>
      <c r="K135" s="50">
        <f t="shared" si="5"/>
        <v>0.02261372601</v>
      </c>
      <c r="L135" s="46">
        <v>164.62</v>
      </c>
      <c r="M135" s="46">
        <v>1898.0</v>
      </c>
      <c r="N135" s="47">
        <v>54.0</v>
      </c>
      <c r="O135" s="49">
        <v>127005.0</v>
      </c>
      <c r="P135" s="50">
        <f t="shared" si="6"/>
        <v>0.08673340358</v>
      </c>
      <c r="Q135" s="51">
        <f t="shared" si="7"/>
        <v>11.52958328</v>
      </c>
      <c r="R135" s="50">
        <f t="shared" si="8"/>
        <v>0.6576576577</v>
      </c>
      <c r="S135" s="16"/>
      <c r="T135" s="25"/>
      <c r="U135" s="6"/>
      <c r="V135" s="6"/>
      <c r="W135" s="6"/>
      <c r="X135" s="6"/>
      <c r="Y135" s="6"/>
      <c r="Z135" s="6"/>
    </row>
    <row r="136" hidden="1" outlineLevel="1">
      <c r="A136" s="44" t="str">
        <f t="shared" si="96"/>
        <v>4-2025</v>
      </c>
      <c r="B136" s="34">
        <v>45757.0</v>
      </c>
      <c r="C136" s="45"/>
      <c r="D136" s="46">
        <v>2780.0</v>
      </c>
      <c r="E136" s="47">
        <v>77.0</v>
      </c>
      <c r="F136" s="47">
        <v>77.0</v>
      </c>
      <c r="G136" s="48">
        <f t="shared" si="2"/>
        <v>1</v>
      </c>
      <c r="H136" s="46">
        <f t="shared" si="97"/>
        <v>36.1038961</v>
      </c>
      <c r="I136" s="46">
        <f t="shared" si="98"/>
        <v>36.1038961</v>
      </c>
      <c r="J136" s="49">
        <v>3793.0</v>
      </c>
      <c r="K136" s="50">
        <f t="shared" si="5"/>
        <v>0.02030055365</v>
      </c>
      <c r="L136" s="46">
        <v>171.15</v>
      </c>
      <c r="M136" s="46">
        <v>1273.0</v>
      </c>
      <c r="N136" s="47">
        <v>33.0</v>
      </c>
      <c r="O136" s="49">
        <v>129979.0</v>
      </c>
      <c r="P136" s="50">
        <f t="shared" si="6"/>
        <v>0.1344461901</v>
      </c>
      <c r="Q136" s="51">
        <f t="shared" si="7"/>
        <v>7.437919953</v>
      </c>
      <c r="R136" s="50">
        <f t="shared" si="8"/>
        <v>0.4579136691</v>
      </c>
      <c r="S136" s="16"/>
      <c r="T136" s="25"/>
      <c r="U136" s="6"/>
      <c r="V136" s="6"/>
      <c r="W136" s="6"/>
      <c r="X136" s="6"/>
      <c r="Y136" s="6"/>
      <c r="Z136" s="6"/>
    </row>
    <row r="137" hidden="1" outlineLevel="1">
      <c r="A137" s="44" t="str">
        <f t="shared" si="96"/>
        <v>4-2025</v>
      </c>
      <c r="B137" s="34">
        <v>45758.0</v>
      </c>
      <c r="C137" s="45"/>
      <c r="D137" s="46">
        <v>2600.0</v>
      </c>
      <c r="E137" s="47">
        <v>67.0</v>
      </c>
      <c r="F137" s="47">
        <v>67.0</v>
      </c>
      <c r="G137" s="48">
        <f t="shared" si="2"/>
        <v>1</v>
      </c>
      <c r="H137" s="46">
        <f t="shared" si="97"/>
        <v>38.80597015</v>
      </c>
      <c r="I137" s="46">
        <f t="shared" si="98"/>
        <v>38.80597015</v>
      </c>
      <c r="J137" s="49">
        <v>3928.0</v>
      </c>
      <c r="K137" s="50">
        <f t="shared" si="5"/>
        <v>0.01705702648</v>
      </c>
      <c r="L137" s="46">
        <v>160.86</v>
      </c>
      <c r="M137" s="46">
        <v>1369.0</v>
      </c>
      <c r="N137" s="47">
        <v>36.0</v>
      </c>
      <c r="O137" s="49">
        <v>124391.0</v>
      </c>
      <c r="P137" s="50">
        <f t="shared" si="6"/>
        <v>0.1175018262</v>
      </c>
      <c r="Q137" s="51">
        <f t="shared" si="7"/>
        <v>8.51050603</v>
      </c>
      <c r="R137" s="50">
        <f t="shared" si="8"/>
        <v>0.5265384615</v>
      </c>
      <c r="S137" s="16"/>
      <c r="T137" s="25"/>
      <c r="U137" s="6"/>
      <c r="V137" s="6"/>
      <c r="W137" s="6"/>
      <c r="X137" s="6"/>
      <c r="Y137" s="6"/>
      <c r="Z137" s="6"/>
    </row>
    <row r="138" hidden="1" outlineLevel="1">
      <c r="A138" s="44" t="str">
        <f t="shared" si="96"/>
        <v>4-2025</v>
      </c>
      <c r="B138" s="34">
        <v>45759.0</v>
      </c>
      <c r="C138" s="45"/>
      <c r="D138" s="46">
        <v>3817.0</v>
      </c>
      <c r="E138" s="47">
        <v>104.0</v>
      </c>
      <c r="F138" s="47">
        <v>103.0</v>
      </c>
      <c r="G138" s="48">
        <f t="shared" si="2"/>
        <v>1.009708738</v>
      </c>
      <c r="H138" s="46">
        <f t="shared" si="97"/>
        <v>37.05825243</v>
      </c>
      <c r="I138" s="46">
        <f t="shared" si="98"/>
        <v>36.70192308</v>
      </c>
      <c r="J138" s="49">
        <v>4416.0</v>
      </c>
      <c r="K138" s="50">
        <f t="shared" si="5"/>
        <v>0.02355072464</v>
      </c>
      <c r="L138" s="46">
        <v>211.21</v>
      </c>
      <c r="M138" s="46">
        <v>1671.0</v>
      </c>
      <c r="N138" s="47">
        <v>48.0</v>
      </c>
      <c r="O138" s="49">
        <v>178790.0</v>
      </c>
      <c r="P138" s="50">
        <f t="shared" si="6"/>
        <v>0.1263973668</v>
      </c>
      <c r="Q138" s="51">
        <f t="shared" si="7"/>
        <v>7.911557218</v>
      </c>
      <c r="R138" s="50">
        <f t="shared" si="8"/>
        <v>0.43777836</v>
      </c>
      <c r="S138" s="16"/>
      <c r="T138" s="25"/>
      <c r="U138" s="6"/>
      <c r="V138" s="6"/>
      <c r="W138" s="6"/>
      <c r="X138" s="6"/>
      <c r="Y138" s="6"/>
      <c r="Z138" s="6"/>
    </row>
    <row r="139" collapsed="1">
      <c r="A139" s="52" t="s">
        <v>61</v>
      </c>
      <c r="B139" s="53"/>
      <c r="C139" s="54"/>
      <c r="D139" s="55">
        <f t="shared" ref="D139:F139" si="99">SUM(D132:D138)</f>
        <v>22038</v>
      </c>
      <c r="E139" s="81">
        <f t="shared" si="99"/>
        <v>620</v>
      </c>
      <c r="F139" s="81">
        <f t="shared" si="99"/>
        <v>619</v>
      </c>
      <c r="G139" s="57">
        <f t="shared" si="2"/>
        <v>1.001615509</v>
      </c>
      <c r="H139" s="55">
        <f>AVERAGE(H132:H138)</f>
        <v>35.7050591</v>
      </c>
      <c r="I139" s="58">
        <f>H139/G139</f>
        <v>35.6474703</v>
      </c>
      <c r="J139" s="59">
        <f>SUM(J132:J138)</f>
        <v>28630</v>
      </c>
      <c r="K139" s="60">
        <f t="shared" si="5"/>
        <v>0.02165560601</v>
      </c>
      <c r="L139" s="55">
        <f t="shared" ref="L139:N139" si="100">SUM(L132:L138)</f>
        <v>1175.74</v>
      </c>
      <c r="M139" s="55">
        <f t="shared" si="100"/>
        <v>11002</v>
      </c>
      <c r="N139" s="56">
        <f t="shared" si="100"/>
        <v>312</v>
      </c>
      <c r="O139" s="59">
        <f>sum(O132:O138)</f>
        <v>953299</v>
      </c>
      <c r="P139" s="60">
        <f t="shared" si="6"/>
        <v>0.1068660244</v>
      </c>
      <c r="Q139" s="61">
        <f t="shared" si="7"/>
        <v>9.357511014</v>
      </c>
      <c r="R139" s="62">
        <f t="shared" si="8"/>
        <v>0.4992286051</v>
      </c>
      <c r="S139" s="54" t="str">
        <f>iferror((D139-#REF!)/D139,)</f>
        <v/>
      </c>
      <c r="T139" s="63" t="str">
        <f>iferror((F139-#REF!)/F139,)</f>
        <v/>
      </c>
      <c r="U139" s="64">
        <f t="shared" ref="U139:V139" si="101">L139</f>
        <v>1175.74</v>
      </c>
      <c r="V139" s="64">
        <f t="shared" si="101"/>
        <v>11002</v>
      </c>
      <c r="W139" s="6"/>
      <c r="X139" s="6"/>
      <c r="Y139" s="6"/>
      <c r="Z139" s="6"/>
    </row>
    <row r="140" hidden="1" outlineLevel="1">
      <c r="A140" s="33" t="str">
        <f t="shared" ref="A140:A146" si="102">iferror(if(B140&gt;0,month(B140)&amp;"-"&amp;year(B140),B140),)</f>
        <v>4-2025</v>
      </c>
      <c r="B140" s="34">
        <v>45760.0</v>
      </c>
      <c r="C140" s="35"/>
      <c r="D140" s="36">
        <v>6128.0</v>
      </c>
      <c r="E140" s="37">
        <v>159.0</v>
      </c>
      <c r="F140" s="37">
        <v>159.0</v>
      </c>
      <c r="G140" s="38">
        <f t="shared" si="2"/>
        <v>1</v>
      </c>
      <c r="H140" s="36">
        <f t="shared" ref="H140:H146" si="103">D140/F140</f>
        <v>38.5408805</v>
      </c>
      <c r="I140" s="36">
        <f t="shared" ref="I140:I146" si="104">D140/E140</f>
        <v>38.5408805</v>
      </c>
      <c r="J140" s="39">
        <v>6446.0</v>
      </c>
      <c r="K140" s="40">
        <f t="shared" si="5"/>
        <v>0.02466645982</v>
      </c>
      <c r="L140" s="36">
        <v>344.43</v>
      </c>
      <c r="M140" s="36">
        <v>3736.0</v>
      </c>
      <c r="N140" s="37">
        <v>98.0</v>
      </c>
      <c r="O140" s="39">
        <v>261946.0</v>
      </c>
      <c r="P140" s="40">
        <f t="shared" si="6"/>
        <v>0.09219218415</v>
      </c>
      <c r="Q140" s="41">
        <f t="shared" si="7"/>
        <v>10.84690648</v>
      </c>
      <c r="R140" s="40">
        <f t="shared" si="8"/>
        <v>0.6096605744</v>
      </c>
      <c r="S140" s="42"/>
      <c r="T140" s="43"/>
      <c r="U140" s="6"/>
      <c r="V140" s="6"/>
      <c r="W140" s="6"/>
      <c r="X140" s="6"/>
      <c r="Y140" s="6"/>
      <c r="Z140" s="6"/>
    </row>
    <row r="141" hidden="1" outlineLevel="1">
      <c r="A141" s="44" t="str">
        <f t="shared" si="102"/>
        <v>4-2025</v>
      </c>
      <c r="B141" s="34">
        <v>45761.0</v>
      </c>
      <c r="C141" s="45"/>
      <c r="D141" s="46">
        <v>6279.0</v>
      </c>
      <c r="E141" s="47">
        <v>159.0</v>
      </c>
      <c r="F141" s="47">
        <v>159.0</v>
      </c>
      <c r="G141" s="48">
        <f t="shared" si="2"/>
        <v>1</v>
      </c>
      <c r="H141" s="46">
        <f t="shared" si="103"/>
        <v>39.49056604</v>
      </c>
      <c r="I141" s="46">
        <f t="shared" si="104"/>
        <v>39.49056604</v>
      </c>
      <c r="J141" s="49">
        <v>5714.0</v>
      </c>
      <c r="K141" s="50">
        <f t="shared" si="5"/>
        <v>0.02782639132</v>
      </c>
      <c r="L141" s="46">
        <v>316.05</v>
      </c>
      <c r="M141" s="46">
        <v>3427.0</v>
      </c>
      <c r="N141" s="47">
        <v>89.0</v>
      </c>
      <c r="O141" s="49">
        <v>231623.0</v>
      </c>
      <c r="P141" s="50">
        <f t="shared" si="6"/>
        <v>0.09222351911</v>
      </c>
      <c r="Q141" s="51">
        <f t="shared" si="7"/>
        <v>10.84322101</v>
      </c>
      <c r="R141" s="50">
        <f t="shared" si="8"/>
        <v>0.5457875458</v>
      </c>
      <c r="S141" s="16"/>
      <c r="T141" s="25"/>
      <c r="U141" s="6"/>
      <c r="V141" s="6"/>
      <c r="W141" s="6"/>
      <c r="X141" s="6"/>
      <c r="Y141" s="6"/>
      <c r="Z141" s="6"/>
    </row>
    <row r="142" hidden="1" outlineLevel="1">
      <c r="A142" s="44" t="str">
        <f t="shared" si="102"/>
        <v>4-2025</v>
      </c>
      <c r="B142" s="34">
        <v>45762.0</v>
      </c>
      <c r="C142" s="45"/>
      <c r="D142" s="46">
        <v>6333.0</v>
      </c>
      <c r="E142" s="47">
        <v>167.0</v>
      </c>
      <c r="F142" s="47">
        <v>167.0</v>
      </c>
      <c r="G142" s="48">
        <f t="shared" si="2"/>
        <v>1</v>
      </c>
      <c r="H142" s="46">
        <f t="shared" si="103"/>
        <v>37.92215569</v>
      </c>
      <c r="I142" s="46">
        <f t="shared" si="104"/>
        <v>37.92215569</v>
      </c>
      <c r="J142" s="49">
        <v>5761.0</v>
      </c>
      <c r="K142" s="50">
        <f t="shared" si="5"/>
        <v>0.02898802291</v>
      </c>
      <c r="L142" s="46">
        <v>331.3</v>
      </c>
      <c r="M142" s="46">
        <v>4780.0</v>
      </c>
      <c r="N142" s="47">
        <v>125.0</v>
      </c>
      <c r="O142" s="49">
        <v>236622.0</v>
      </c>
      <c r="P142" s="50">
        <f t="shared" si="6"/>
        <v>0.06930962343</v>
      </c>
      <c r="Q142" s="51">
        <f t="shared" si="7"/>
        <v>14.42801087</v>
      </c>
      <c r="R142" s="50">
        <f t="shared" si="8"/>
        <v>0.7547765672</v>
      </c>
      <c r="S142" s="16"/>
      <c r="T142" s="25"/>
      <c r="U142" s="6"/>
      <c r="V142" s="6"/>
      <c r="W142" s="6"/>
      <c r="X142" s="6"/>
      <c r="Y142" s="6"/>
      <c r="Z142" s="6"/>
    </row>
    <row r="143" hidden="1" outlineLevel="1">
      <c r="A143" s="44" t="str">
        <f t="shared" si="102"/>
        <v>4-2025</v>
      </c>
      <c r="B143" s="34">
        <v>45763.0</v>
      </c>
      <c r="C143" s="45"/>
      <c r="D143" s="46">
        <v>6421.0</v>
      </c>
      <c r="E143" s="47">
        <v>171.0</v>
      </c>
      <c r="F143" s="47">
        <v>170.0</v>
      </c>
      <c r="G143" s="48">
        <f t="shared" si="2"/>
        <v>1.005882353</v>
      </c>
      <c r="H143" s="46">
        <f t="shared" si="103"/>
        <v>37.77058824</v>
      </c>
      <c r="I143" s="46">
        <f t="shared" si="104"/>
        <v>37.5497076</v>
      </c>
      <c r="J143" s="49">
        <v>5328.0</v>
      </c>
      <c r="K143" s="50">
        <f t="shared" si="5"/>
        <v>0.03209459459</v>
      </c>
      <c r="L143" s="46">
        <v>345.39</v>
      </c>
      <c r="M143" s="46">
        <v>3606.0</v>
      </c>
      <c r="N143" s="47">
        <v>93.0</v>
      </c>
      <c r="O143" s="49">
        <v>256001.0</v>
      </c>
      <c r="P143" s="50">
        <f t="shared" si="6"/>
        <v>0.09578202995</v>
      </c>
      <c r="Q143" s="51">
        <f t="shared" si="7"/>
        <v>10.44037175</v>
      </c>
      <c r="R143" s="50">
        <f t="shared" si="8"/>
        <v>0.5615947672</v>
      </c>
      <c r="S143" s="16"/>
      <c r="T143" s="25"/>
      <c r="U143" s="6"/>
      <c r="V143" s="6"/>
      <c r="W143" s="6"/>
      <c r="X143" s="6"/>
      <c r="Y143" s="6"/>
      <c r="Z143" s="6"/>
    </row>
    <row r="144" hidden="1" outlineLevel="1">
      <c r="A144" s="44" t="str">
        <f t="shared" si="102"/>
        <v>4-2025</v>
      </c>
      <c r="B144" s="34">
        <v>45764.0</v>
      </c>
      <c r="C144" s="45"/>
      <c r="D144" s="46">
        <v>3634.0</v>
      </c>
      <c r="E144" s="47">
        <v>98.0</v>
      </c>
      <c r="F144" s="47">
        <v>96.0</v>
      </c>
      <c r="G144" s="48">
        <f t="shared" si="2"/>
        <v>1.020833333</v>
      </c>
      <c r="H144" s="46">
        <f t="shared" si="103"/>
        <v>37.85416667</v>
      </c>
      <c r="I144" s="46">
        <f t="shared" si="104"/>
        <v>37.08163265</v>
      </c>
      <c r="J144" s="49">
        <v>4642.0</v>
      </c>
      <c r="K144" s="50">
        <f t="shared" si="5"/>
        <v>0.02111158983</v>
      </c>
      <c r="L144" s="46">
        <v>327.85</v>
      </c>
      <c r="M144" s="46">
        <v>1992.0</v>
      </c>
      <c r="N144" s="47">
        <v>53.0</v>
      </c>
      <c r="O144" s="49">
        <v>217595.0</v>
      </c>
      <c r="P144" s="50">
        <f t="shared" si="6"/>
        <v>0.1645833333</v>
      </c>
      <c r="Q144" s="51">
        <f t="shared" si="7"/>
        <v>6.075949367</v>
      </c>
      <c r="R144" s="50">
        <f t="shared" si="8"/>
        <v>0.5481563016</v>
      </c>
      <c r="S144" s="16"/>
      <c r="T144" s="25"/>
      <c r="U144" s="6"/>
      <c r="V144" s="6"/>
      <c r="W144" s="6"/>
      <c r="X144" s="6"/>
      <c r="Y144" s="6"/>
      <c r="Z144" s="6"/>
    </row>
    <row r="145" hidden="1" outlineLevel="1">
      <c r="A145" s="44" t="str">
        <f t="shared" si="102"/>
        <v>4-2025</v>
      </c>
      <c r="B145" s="34">
        <v>45765.0</v>
      </c>
      <c r="C145" s="45"/>
      <c r="D145" s="46">
        <v>1773.0</v>
      </c>
      <c r="E145" s="47">
        <v>53.0</v>
      </c>
      <c r="F145" s="47">
        <v>52.0</v>
      </c>
      <c r="G145" s="48">
        <f t="shared" si="2"/>
        <v>1.019230769</v>
      </c>
      <c r="H145" s="46">
        <f t="shared" si="103"/>
        <v>34.09615385</v>
      </c>
      <c r="I145" s="46">
        <f t="shared" si="104"/>
        <v>33.45283019</v>
      </c>
      <c r="J145" s="49">
        <v>3258.0</v>
      </c>
      <c r="K145" s="50">
        <f t="shared" si="5"/>
        <v>0.01626764886</v>
      </c>
      <c r="L145" s="46">
        <v>223.59</v>
      </c>
      <c r="M145" s="46">
        <v>1070.0</v>
      </c>
      <c r="N145" s="47">
        <v>26.0</v>
      </c>
      <c r="O145" s="49">
        <v>183531.0</v>
      </c>
      <c r="P145" s="50">
        <f t="shared" si="6"/>
        <v>0.2089626168</v>
      </c>
      <c r="Q145" s="51">
        <f t="shared" si="7"/>
        <v>4.785544971</v>
      </c>
      <c r="R145" s="50">
        <f t="shared" si="8"/>
        <v>0.6034968979</v>
      </c>
      <c r="S145" s="16"/>
      <c r="T145" s="25"/>
      <c r="U145" s="6"/>
      <c r="V145" s="6"/>
      <c r="W145" s="6"/>
      <c r="X145" s="6"/>
      <c r="Y145" s="6"/>
      <c r="Z145" s="6"/>
    </row>
    <row r="146" hidden="1" outlineLevel="1">
      <c r="A146" s="44" t="str">
        <f t="shared" si="102"/>
        <v>4-2025</v>
      </c>
      <c r="B146" s="34">
        <v>45766.0</v>
      </c>
      <c r="C146" s="45"/>
      <c r="D146" s="46">
        <v>2199.0</v>
      </c>
      <c r="E146" s="47">
        <v>61.0</v>
      </c>
      <c r="F146" s="47">
        <v>61.0</v>
      </c>
      <c r="G146" s="48">
        <f t="shared" si="2"/>
        <v>1</v>
      </c>
      <c r="H146" s="46">
        <f t="shared" si="103"/>
        <v>36.04918033</v>
      </c>
      <c r="I146" s="46">
        <f t="shared" si="104"/>
        <v>36.04918033</v>
      </c>
      <c r="J146" s="49">
        <v>3576.0</v>
      </c>
      <c r="K146" s="50">
        <f t="shared" si="5"/>
        <v>0.01705816555</v>
      </c>
      <c r="L146" s="46">
        <v>222.51</v>
      </c>
      <c r="M146" s="46">
        <v>1130.0</v>
      </c>
      <c r="N146" s="47">
        <v>29.0</v>
      </c>
      <c r="O146" s="49">
        <v>188622.0</v>
      </c>
      <c r="P146" s="50">
        <f t="shared" si="6"/>
        <v>0.1969115044</v>
      </c>
      <c r="Q146" s="51">
        <f t="shared" si="7"/>
        <v>5.078423442</v>
      </c>
      <c r="R146" s="50">
        <f t="shared" si="8"/>
        <v>0.5138699409</v>
      </c>
      <c r="S146" s="16"/>
      <c r="T146" s="25"/>
      <c r="U146" s="6"/>
      <c r="V146" s="6"/>
      <c r="W146" s="6"/>
      <c r="X146" s="6"/>
      <c r="Y146" s="6"/>
      <c r="Z146" s="6"/>
    </row>
    <row r="147" collapsed="1">
      <c r="A147" s="52" t="s">
        <v>62</v>
      </c>
      <c r="B147" s="53"/>
      <c r="C147" s="54"/>
      <c r="D147" s="55">
        <f t="shared" ref="D147:F147" si="105">SUM(D140:D146)</f>
        <v>32767</v>
      </c>
      <c r="E147" s="81">
        <f t="shared" si="105"/>
        <v>868</v>
      </c>
      <c r="F147" s="81">
        <f t="shared" si="105"/>
        <v>864</v>
      </c>
      <c r="G147" s="57">
        <f t="shared" si="2"/>
        <v>1.00462963</v>
      </c>
      <c r="H147" s="55">
        <f>AVERAGE(H140:H146)</f>
        <v>37.38909876</v>
      </c>
      <c r="I147" s="58">
        <f>H147/G147</f>
        <v>37.21679876</v>
      </c>
      <c r="J147" s="59">
        <f>SUM(J140:J146)</f>
        <v>34725</v>
      </c>
      <c r="K147" s="60">
        <f t="shared" si="5"/>
        <v>0.02499640029</v>
      </c>
      <c r="L147" s="55">
        <f t="shared" ref="L147:N147" si="106">SUM(L140:L146)</f>
        <v>2111.12</v>
      </c>
      <c r="M147" s="55">
        <f t="shared" si="106"/>
        <v>19741</v>
      </c>
      <c r="N147" s="56">
        <f t="shared" si="106"/>
        <v>513</v>
      </c>
      <c r="O147" s="59">
        <f>sum(O140:O146)</f>
        <v>1575940</v>
      </c>
      <c r="P147" s="60">
        <f t="shared" si="6"/>
        <v>0.1069408845</v>
      </c>
      <c r="Q147" s="61">
        <f t="shared" si="7"/>
        <v>9.350960628</v>
      </c>
      <c r="R147" s="62">
        <f t="shared" si="8"/>
        <v>0.6024658956</v>
      </c>
      <c r="S147" s="54" t="str">
        <f>iferror((D147-#REF!)/D147,)</f>
        <v/>
      </c>
      <c r="T147" s="63" t="str">
        <f>iferror((F147-#REF!)/F147,)</f>
        <v/>
      </c>
      <c r="U147" s="64">
        <f t="shared" ref="U147:V147" si="107">L147</f>
        <v>2111.12</v>
      </c>
      <c r="V147" s="64">
        <f t="shared" si="107"/>
        <v>19741</v>
      </c>
      <c r="W147" s="6"/>
      <c r="X147" s="6"/>
      <c r="Y147" s="6"/>
      <c r="Z147" s="6"/>
    </row>
    <row r="148" hidden="1" outlineLevel="1">
      <c r="A148" s="33" t="str">
        <f t="shared" ref="A148:A154" si="108">iferror(if(B148&gt;0,month(B148)&amp;"-"&amp;year(B148),B148),)</f>
        <v>4-2025</v>
      </c>
      <c r="B148" s="34">
        <v>45767.0</v>
      </c>
      <c r="C148" s="35"/>
      <c r="D148" s="36">
        <v>2645.0</v>
      </c>
      <c r="E148" s="37">
        <v>76.0</v>
      </c>
      <c r="F148" s="37">
        <v>75.0</v>
      </c>
      <c r="G148" s="38">
        <f t="shared" si="2"/>
        <v>1.013333333</v>
      </c>
      <c r="H148" s="36">
        <f t="shared" ref="H148:H154" si="109">D148/F148</f>
        <v>35.26666667</v>
      </c>
      <c r="I148" s="36">
        <f t="shared" ref="I148:I154" si="110">D148/E148</f>
        <v>34.80263158</v>
      </c>
      <c r="J148" s="39">
        <v>3997.0</v>
      </c>
      <c r="K148" s="40">
        <f t="shared" si="5"/>
        <v>0.0190142607</v>
      </c>
      <c r="L148" s="36">
        <v>280.77</v>
      </c>
      <c r="M148" s="36">
        <v>1508.0</v>
      </c>
      <c r="N148" s="37">
        <v>46.0</v>
      </c>
      <c r="O148" s="39">
        <v>230635.0</v>
      </c>
      <c r="P148" s="40">
        <f t="shared" si="6"/>
        <v>0.1861870027</v>
      </c>
      <c r="Q148" s="41">
        <f t="shared" si="7"/>
        <v>5.370944189</v>
      </c>
      <c r="R148" s="40">
        <f t="shared" si="8"/>
        <v>0.5701323251</v>
      </c>
      <c r="S148" s="42"/>
      <c r="T148" s="43"/>
      <c r="U148" s="6"/>
      <c r="V148" s="6"/>
      <c r="W148" s="6"/>
      <c r="X148" s="6"/>
      <c r="Y148" s="6"/>
      <c r="Z148" s="6"/>
    </row>
    <row r="149" hidden="1" outlineLevel="1">
      <c r="A149" s="44" t="str">
        <f t="shared" si="108"/>
        <v>4-2025</v>
      </c>
      <c r="B149" s="34">
        <v>45768.0</v>
      </c>
      <c r="C149" s="45"/>
      <c r="D149" s="46">
        <v>2491.0</v>
      </c>
      <c r="E149" s="47">
        <v>64.0</v>
      </c>
      <c r="F149" s="47">
        <v>63.0</v>
      </c>
      <c r="G149" s="48">
        <f t="shared" si="2"/>
        <v>1.015873016</v>
      </c>
      <c r="H149" s="46">
        <f t="shared" si="109"/>
        <v>39.53968254</v>
      </c>
      <c r="I149" s="46">
        <f t="shared" si="110"/>
        <v>38.921875</v>
      </c>
      <c r="J149" s="49">
        <v>3259.0</v>
      </c>
      <c r="K149" s="50">
        <f t="shared" si="5"/>
        <v>0.01963792574</v>
      </c>
      <c r="L149" s="46">
        <v>192.9</v>
      </c>
      <c r="M149" s="46">
        <v>994.0</v>
      </c>
      <c r="N149" s="47">
        <v>26.0</v>
      </c>
      <c r="O149" s="49">
        <v>167673.0</v>
      </c>
      <c r="P149" s="50">
        <f t="shared" si="6"/>
        <v>0.1940643863</v>
      </c>
      <c r="Q149" s="51">
        <f t="shared" si="7"/>
        <v>5.152928979</v>
      </c>
      <c r="R149" s="50">
        <f t="shared" si="8"/>
        <v>0.3990365315</v>
      </c>
      <c r="S149" s="16"/>
      <c r="T149" s="25"/>
      <c r="U149" s="6"/>
      <c r="V149" s="6"/>
      <c r="W149" s="6"/>
      <c r="X149" s="6"/>
      <c r="Y149" s="6"/>
      <c r="Z149" s="6"/>
    </row>
    <row r="150" hidden="1" outlineLevel="1">
      <c r="A150" s="44" t="str">
        <f t="shared" si="108"/>
        <v>4-2025</v>
      </c>
      <c r="B150" s="34">
        <v>45769.0</v>
      </c>
      <c r="C150" s="45"/>
      <c r="D150" s="46">
        <v>2744.0</v>
      </c>
      <c r="E150" s="47">
        <v>80.0</v>
      </c>
      <c r="F150" s="47">
        <v>80.0</v>
      </c>
      <c r="G150" s="48">
        <f t="shared" si="2"/>
        <v>1</v>
      </c>
      <c r="H150" s="46">
        <f t="shared" si="109"/>
        <v>34.3</v>
      </c>
      <c r="I150" s="46">
        <f t="shared" si="110"/>
        <v>34.3</v>
      </c>
      <c r="J150" s="49">
        <v>3282.0</v>
      </c>
      <c r="K150" s="50">
        <f t="shared" si="5"/>
        <v>0.02437538087</v>
      </c>
      <c r="L150" s="46">
        <v>169.03</v>
      </c>
      <c r="M150" s="46">
        <v>1909.0</v>
      </c>
      <c r="N150" s="47">
        <v>56.0</v>
      </c>
      <c r="O150" s="49">
        <v>149706.0</v>
      </c>
      <c r="P150" s="50">
        <f t="shared" si="6"/>
        <v>0.08854374018</v>
      </c>
      <c r="Q150" s="51">
        <f t="shared" si="7"/>
        <v>11.29385316</v>
      </c>
      <c r="R150" s="50">
        <f t="shared" si="8"/>
        <v>0.6956997085</v>
      </c>
      <c r="S150" s="16"/>
      <c r="T150" s="25"/>
      <c r="U150" s="6"/>
      <c r="V150" s="6"/>
      <c r="W150" s="6"/>
      <c r="X150" s="6"/>
      <c r="Y150" s="6"/>
      <c r="Z150" s="6"/>
    </row>
    <row r="151" hidden="1" outlineLevel="1">
      <c r="A151" s="44" t="str">
        <f t="shared" si="108"/>
        <v>4-2025</v>
      </c>
      <c r="B151" s="34">
        <v>45770.0</v>
      </c>
      <c r="C151" s="45"/>
      <c r="D151" s="46">
        <v>2235.0</v>
      </c>
      <c r="E151" s="47">
        <v>63.0</v>
      </c>
      <c r="F151" s="47">
        <v>63.0</v>
      </c>
      <c r="G151" s="48">
        <f t="shared" si="2"/>
        <v>1</v>
      </c>
      <c r="H151" s="46">
        <f t="shared" si="109"/>
        <v>35.47619048</v>
      </c>
      <c r="I151" s="46">
        <f t="shared" si="110"/>
        <v>35.47619048</v>
      </c>
      <c r="J151" s="49">
        <v>2855.0</v>
      </c>
      <c r="K151" s="50">
        <f t="shared" si="5"/>
        <v>0.02206654991</v>
      </c>
      <c r="L151" s="46">
        <v>141.72</v>
      </c>
      <c r="M151" s="46">
        <v>1168.0</v>
      </c>
      <c r="N151" s="47">
        <v>30.0</v>
      </c>
      <c r="O151" s="49">
        <v>138053.0</v>
      </c>
      <c r="P151" s="50">
        <f t="shared" si="6"/>
        <v>0.1213356164</v>
      </c>
      <c r="Q151" s="51">
        <f t="shared" si="7"/>
        <v>8.241603161</v>
      </c>
      <c r="R151" s="50">
        <f t="shared" si="8"/>
        <v>0.5225950783</v>
      </c>
      <c r="S151" s="16"/>
      <c r="T151" s="25"/>
      <c r="U151" s="6"/>
      <c r="V151" s="6"/>
      <c r="W151" s="6"/>
      <c r="X151" s="6"/>
      <c r="Y151" s="6"/>
      <c r="Z151" s="6"/>
    </row>
    <row r="152" hidden="1" outlineLevel="1">
      <c r="A152" s="44" t="str">
        <f t="shared" si="108"/>
        <v>4-2025</v>
      </c>
      <c r="B152" s="34">
        <v>45771.0</v>
      </c>
      <c r="C152" s="45"/>
      <c r="D152" s="46">
        <v>2856.0</v>
      </c>
      <c r="E152" s="47">
        <v>88.0</v>
      </c>
      <c r="F152" s="47">
        <v>88.0</v>
      </c>
      <c r="G152" s="48">
        <f t="shared" si="2"/>
        <v>1</v>
      </c>
      <c r="H152" s="46">
        <f t="shared" si="109"/>
        <v>32.45454545</v>
      </c>
      <c r="I152" s="46">
        <f t="shared" si="110"/>
        <v>32.45454545</v>
      </c>
      <c r="J152" s="49">
        <v>3043.0</v>
      </c>
      <c r="K152" s="50">
        <f t="shared" si="5"/>
        <v>0.0289188301</v>
      </c>
      <c r="L152" s="46">
        <v>171.17</v>
      </c>
      <c r="M152" s="46">
        <v>1343.0</v>
      </c>
      <c r="N152" s="47">
        <v>44.0</v>
      </c>
      <c r="O152" s="49">
        <v>135473.0</v>
      </c>
      <c r="P152" s="50">
        <f t="shared" si="6"/>
        <v>0.1274534624</v>
      </c>
      <c r="Q152" s="51">
        <f t="shared" si="7"/>
        <v>7.846001052</v>
      </c>
      <c r="R152" s="50">
        <f t="shared" si="8"/>
        <v>0.4702380952</v>
      </c>
      <c r="S152" s="16"/>
      <c r="T152" s="25"/>
      <c r="U152" s="6"/>
      <c r="V152" s="6"/>
      <c r="W152" s="6"/>
      <c r="X152" s="6"/>
      <c r="Y152" s="6"/>
      <c r="Z152" s="6"/>
    </row>
    <row r="153" hidden="1" outlineLevel="1">
      <c r="A153" s="44" t="str">
        <f t="shared" si="108"/>
        <v>4-2025</v>
      </c>
      <c r="B153" s="34">
        <v>45772.0</v>
      </c>
      <c r="C153" s="45"/>
      <c r="D153" s="46">
        <v>2472.0</v>
      </c>
      <c r="E153" s="47">
        <v>65.0</v>
      </c>
      <c r="F153" s="47">
        <v>65.0</v>
      </c>
      <c r="G153" s="48">
        <f t="shared" si="2"/>
        <v>1</v>
      </c>
      <c r="H153" s="46">
        <f t="shared" si="109"/>
        <v>38.03076923</v>
      </c>
      <c r="I153" s="46">
        <f t="shared" si="110"/>
        <v>38.03076923</v>
      </c>
      <c r="J153" s="49">
        <v>2882.0</v>
      </c>
      <c r="K153" s="50">
        <f t="shared" si="5"/>
        <v>0.0225537821</v>
      </c>
      <c r="L153" s="46">
        <v>161.22</v>
      </c>
      <c r="M153" s="46">
        <v>1326.0</v>
      </c>
      <c r="N153" s="47">
        <v>36.0</v>
      </c>
      <c r="O153" s="49">
        <v>129344.0</v>
      </c>
      <c r="P153" s="50">
        <f t="shared" si="6"/>
        <v>0.1215837104</v>
      </c>
      <c r="Q153" s="51">
        <f t="shared" si="7"/>
        <v>8.224786007</v>
      </c>
      <c r="R153" s="50">
        <f t="shared" si="8"/>
        <v>0.536407767</v>
      </c>
      <c r="S153" s="16"/>
      <c r="T153" s="25"/>
      <c r="U153" s="6"/>
      <c r="V153" s="6"/>
      <c r="W153" s="6"/>
      <c r="X153" s="6"/>
      <c r="Y153" s="6"/>
      <c r="Z153" s="6"/>
    </row>
    <row r="154" hidden="1" outlineLevel="1">
      <c r="A154" s="44" t="str">
        <f t="shared" si="108"/>
        <v>4-2025</v>
      </c>
      <c r="B154" s="34">
        <v>45773.0</v>
      </c>
      <c r="C154" s="45"/>
      <c r="D154" s="46">
        <v>2133.0</v>
      </c>
      <c r="E154" s="47">
        <v>57.0</v>
      </c>
      <c r="F154" s="47">
        <v>57.0</v>
      </c>
      <c r="G154" s="48">
        <f t="shared" si="2"/>
        <v>1</v>
      </c>
      <c r="H154" s="46">
        <f t="shared" si="109"/>
        <v>37.42105263</v>
      </c>
      <c r="I154" s="46">
        <f t="shared" si="110"/>
        <v>37.42105263</v>
      </c>
      <c r="J154" s="49">
        <v>2824.0</v>
      </c>
      <c r="K154" s="50">
        <f t="shared" si="5"/>
        <v>0.02018413598</v>
      </c>
      <c r="L154" s="46">
        <v>159.83</v>
      </c>
      <c r="M154" s="46">
        <v>990.0</v>
      </c>
      <c r="N154" s="47">
        <v>27.0</v>
      </c>
      <c r="O154" s="49">
        <v>127762.0</v>
      </c>
      <c r="P154" s="50">
        <f t="shared" si="6"/>
        <v>0.1614444444</v>
      </c>
      <c r="Q154" s="51">
        <f t="shared" si="7"/>
        <v>6.194081211</v>
      </c>
      <c r="R154" s="50">
        <f t="shared" si="8"/>
        <v>0.4641350211</v>
      </c>
      <c r="S154" s="16"/>
      <c r="T154" s="25"/>
      <c r="U154" s="6"/>
      <c r="V154" s="6"/>
      <c r="W154" s="6"/>
      <c r="X154" s="6"/>
      <c r="Y154" s="6"/>
      <c r="Z154" s="6"/>
    </row>
    <row r="155" collapsed="1">
      <c r="A155" s="52" t="s">
        <v>63</v>
      </c>
      <c r="B155" s="53"/>
      <c r="C155" s="54"/>
      <c r="D155" s="55">
        <f t="shared" ref="D155:F155" si="111">SUM(D148:D154)</f>
        <v>17576</v>
      </c>
      <c r="E155" s="81">
        <f t="shared" si="111"/>
        <v>493</v>
      </c>
      <c r="F155" s="81">
        <f t="shared" si="111"/>
        <v>491</v>
      </c>
      <c r="G155" s="57">
        <f t="shared" si="2"/>
        <v>1.00407332</v>
      </c>
      <c r="H155" s="55">
        <f>AVERAGE(H148:H154)</f>
        <v>36.06984386</v>
      </c>
      <c r="I155" s="58">
        <f>H155/G155</f>
        <v>35.92351589</v>
      </c>
      <c r="J155" s="59">
        <f>SUM(J148:J154)</f>
        <v>22142</v>
      </c>
      <c r="K155" s="60">
        <f t="shared" si="5"/>
        <v>0.02226537801</v>
      </c>
      <c r="L155" s="55">
        <f t="shared" ref="L155:N155" si="112">SUM(L148:L154)</f>
        <v>1276.64</v>
      </c>
      <c r="M155" s="55">
        <f t="shared" si="112"/>
        <v>9238</v>
      </c>
      <c r="N155" s="56">
        <f t="shared" si="112"/>
        <v>265</v>
      </c>
      <c r="O155" s="59">
        <f>sum(O148:O154)</f>
        <v>1078646</v>
      </c>
      <c r="P155" s="60">
        <f t="shared" si="6"/>
        <v>0.1381944144</v>
      </c>
      <c r="Q155" s="61">
        <f t="shared" si="7"/>
        <v>7.236182479</v>
      </c>
      <c r="R155" s="62">
        <f t="shared" si="8"/>
        <v>0.5256030951</v>
      </c>
      <c r="S155" s="54" t="str">
        <f>iferror((D155-#REF!)/D155,)</f>
        <v/>
      </c>
      <c r="T155" s="63" t="str">
        <f>iferror((F155-#REF!)/F155,)</f>
        <v/>
      </c>
      <c r="U155" s="64">
        <f t="shared" ref="U155:V155" si="113">L155</f>
        <v>1276.64</v>
      </c>
      <c r="V155" s="64">
        <f t="shared" si="113"/>
        <v>9238</v>
      </c>
      <c r="W155" s="6"/>
      <c r="X155" s="6"/>
      <c r="Y155" s="6"/>
      <c r="Z155" s="6"/>
    </row>
    <row r="156" hidden="1" outlineLevel="1">
      <c r="A156" s="33" t="str">
        <f t="shared" ref="A156:A162" si="114">iferror(if(B156&gt;0,month(B156)&amp;"-"&amp;year(B156),B156),)</f>
        <v>4-2025</v>
      </c>
      <c r="B156" s="34">
        <v>45774.0</v>
      </c>
      <c r="C156" s="35"/>
      <c r="D156" s="36">
        <v>2451.0</v>
      </c>
      <c r="E156" s="37">
        <v>67.0</v>
      </c>
      <c r="F156" s="37">
        <v>66.0</v>
      </c>
      <c r="G156" s="38">
        <f t="shared" si="2"/>
        <v>1.015151515</v>
      </c>
      <c r="H156" s="36">
        <f t="shared" ref="H156:H162" si="115">D156/F156</f>
        <v>37.13636364</v>
      </c>
      <c r="I156" s="36">
        <f t="shared" ref="I156:I162" si="116">D156/E156</f>
        <v>36.58208955</v>
      </c>
      <c r="J156" s="39">
        <v>3431.0</v>
      </c>
      <c r="K156" s="40">
        <f t="shared" si="5"/>
        <v>0.01952783445</v>
      </c>
      <c r="L156" s="36">
        <v>164.24</v>
      </c>
      <c r="M156" s="36">
        <v>894.0</v>
      </c>
      <c r="N156" s="37">
        <v>25.0</v>
      </c>
      <c r="O156" s="39">
        <v>147262.0</v>
      </c>
      <c r="P156" s="40">
        <f t="shared" si="6"/>
        <v>0.1837136465</v>
      </c>
      <c r="Q156" s="41">
        <f t="shared" si="7"/>
        <v>5.443253775</v>
      </c>
      <c r="R156" s="40">
        <f t="shared" si="8"/>
        <v>0.364749082</v>
      </c>
      <c r="S156" s="42"/>
      <c r="T156" s="43"/>
      <c r="U156" s="6"/>
      <c r="V156" s="6"/>
      <c r="W156" s="6"/>
      <c r="X156" s="6"/>
      <c r="Y156" s="6"/>
      <c r="Z156" s="6"/>
    </row>
    <row r="157" hidden="1" outlineLevel="1">
      <c r="A157" s="44" t="str">
        <f t="shared" si="114"/>
        <v>4-2025</v>
      </c>
      <c r="B157" s="34">
        <v>45775.0</v>
      </c>
      <c r="C157" s="45"/>
      <c r="D157" s="46">
        <v>4005.0</v>
      </c>
      <c r="E157" s="47">
        <v>103.0</v>
      </c>
      <c r="F157" s="47">
        <v>97.0</v>
      </c>
      <c r="G157" s="48">
        <f t="shared" si="2"/>
        <v>1.06185567</v>
      </c>
      <c r="H157" s="46">
        <f t="shared" si="115"/>
        <v>41.28865979</v>
      </c>
      <c r="I157" s="46">
        <f t="shared" si="116"/>
        <v>38.88349515</v>
      </c>
      <c r="J157" s="49">
        <v>3227.0</v>
      </c>
      <c r="K157" s="50">
        <f t="shared" si="5"/>
        <v>0.03191819027</v>
      </c>
      <c r="L157" s="46">
        <v>157.35</v>
      </c>
      <c r="M157" s="46">
        <v>2264.0</v>
      </c>
      <c r="N157" s="47">
        <v>51.0</v>
      </c>
      <c r="O157" s="49">
        <v>147043.0</v>
      </c>
      <c r="P157" s="50">
        <f t="shared" si="6"/>
        <v>0.06950088339</v>
      </c>
      <c r="Q157" s="51">
        <f t="shared" si="7"/>
        <v>14.38830632</v>
      </c>
      <c r="R157" s="50">
        <f t="shared" si="8"/>
        <v>0.5652933833</v>
      </c>
      <c r="S157" s="16"/>
      <c r="T157" s="25"/>
      <c r="U157" s="6"/>
      <c r="V157" s="6"/>
      <c r="W157" s="6"/>
      <c r="X157" s="6"/>
      <c r="Y157" s="6"/>
      <c r="Z157" s="6"/>
    </row>
    <row r="158" hidden="1" outlineLevel="1">
      <c r="A158" s="44" t="str">
        <f t="shared" si="114"/>
        <v>4-2025</v>
      </c>
      <c r="B158" s="34">
        <v>45776.0</v>
      </c>
      <c r="C158" s="45"/>
      <c r="D158" s="46">
        <v>2400.0</v>
      </c>
      <c r="E158" s="47">
        <v>62.0</v>
      </c>
      <c r="F158" s="47">
        <v>60.0</v>
      </c>
      <c r="G158" s="48">
        <f t="shared" si="2"/>
        <v>1.033333333</v>
      </c>
      <c r="H158" s="46">
        <f t="shared" si="115"/>
        <v>40</v>
      </c>
      <c r="I158" s="46">
        <f t="shared" si="116"/>
        <v>38.70967742</v>
      </c>
      <c r="J158" s="49">
        <v>3018.0</v>
      </c>
      <c r="K158" s="50">
        <f t="shared" si="5"/>
        <v>0.02054340623</v>
      </c>
      <c r="L158" s="46">
        <v>159.6</v>
      </c>
      <c r="M158" s="46">
        <v>1220.0</v>
      </c>
      <c r="N158" s="47">
        <v>32.0</v>
      </c>
      <c r="O158" s="49">
        <v>148526.0</v>
      </c>
      <c r="P158" s="50">
        <f t="shared" si="6"/>
        <v>0.1308196721</v>
      </c>
      <c r="Q158" s="51">
        <f t="shared" si="7"/>
        <v>7.644110276</v>
      </c>
      <c r="R158" s="50">
        <f t="shared" si="8"/>
        <v>0.5083333333</v>
      </c>
      <c r="S158" s="16"/>
      <c r="T158" s="25"/>
      <c r="U158" s="6"/>
      <c r="V158" s="6"/>
      <c r="W158" s="6"/>
      <c r="X158" s="6"/>
      <c r="Y158" s="6"/>
      <c r="Z158" s="6"/>
    </row>
    <row r="159" hidden="1" outlineLevel="1">
      <c r="A159" s="44" t="str">
        <f t="shared" si="114"/>
        <v>4-2025</v>
      </c>
      <c r="B159" s="34">
        <v>45777.0</v>
      </c>
      <c r="C159" s="45"/>
      <c r="D159" s="46">
        <v>1806.0</v>
      </c>
      <c r="E159" s="47">
        <v>56.0</v>
      </c>
      <c r="F159" s="47">
        <v>56.0</v>
      </c>
      <c r="G159" s="48">
        <f t="shared" si="2"/>
        <v>1</v>
      </c>
      <c r="H159" s="46">
        <f t="shared" si="115"/>
        <v>32.25</v>
      </c>
      <c r="I159" s="46">
        <f t="shared" si="116"/>
        <v>32.25</v>
      </c>
      <c r="J159" s="49">
        <v>3383.0</v>
      </c>
      <c r="K159" s="50">
        <f t="shared" si="5"/>
        <v>0.01655335501</v>
      </c>
      <c r="L159" s="46">
        <v>173.79</v>
      </c>
      <c r="M159" s="46">
        <v>1319.0</v>
      </c>
      <c r="N159" s="47">
        <v>37.0</v>
      </c>
      <c r="O159" s="49">
        <v>170503.0</v>
      </c>
      <c r="P159" s="50">
        <f t="shared" si="6"/>
        <v>0.1317589083</v>
      </c>
      <c r="Q159" s="51">
        <f t="shared" si="7"/>
        <v>7.589619656</v>
      </c>
      <c r="R159" s="50">
        <f t="shared" si="8"/>
        <v>0.7303433001</v>
      </c>
      <c r="S159" s="16"/>
      <c r="T159" s="25"/>
      <c r="U159" s="6"/>
      <c r="V159" s="6"/>
      <c r="W159" s="6"/>
      <c r="X159" s="6"/>
      <c r="Y159" s="6"/>
      <c r="Z159" s="6"/>
    </row>
    <row r="160" hidden="1" outlineLevel="1">
      <c r="A160" s="44" t="str">
        <f t="shared" si="114"/>
        <v>5-2025</v>
      </c>
      <c r="B160" s="34">
        <v>45778.0</v>
      </c>
      <c r="C160" s="45"/>
      <c r="D160" s="46">
        <v>3113.0</v>
      </c>
      <c r="E160" s="47">
        <v>82.0</v>
      </c>
      <c r="F160" s="47">
        <v>82.0</v>
      </c>
      <c r="G160" s="48">
        <f t="shared" si="2"/>
        <v>1</v>
      </c>
      <c r="H160" s="46">
        <f t="shared" si="115"/>
        <v>37.96341463</v>
      </c>
      <c r="I160" s="46">
        <f t="shared" si="116"/>
        <v>37.96341463</v>
      </c>
      <c r="J160" s="49">
        <v>2684.0</v>
      </c>
      <c r="K160" s="50">
        <f t="shared" si="5"/>
        <v>0.0305514158</v>
      </c>
      <c r="L160" s="46">
        <v>128.95</v>
      </c>
      <c r="M160" s="46">
        <v>1413.0</v>
      </c>
      <c r="N160" s="47">
        <v>41.0</v>
      </c>
      <c r="O160" s="49">
        <v>139146.0</v>
      </c>
      <c r="P160" s="50">
        <f t="shared" si="6"/>
        <v>0.09125973107</v>
      </c>
      <c r="Q160" s="51">
        <f t="shared" si="7"/>
        <v>10.95773556</v>
      </c>
      <c r="R160" s="50">
        <f t="shared" si="8"/>
        <v>0.4539029875</v>
      </c>
      <c r="S160" s="16"/>
      <c r="T160" s="25"/>
      <c r="U160" s="6"/>
      <c r="V160" s="6"/>
      <c r="W160" s="6"/>
      <c r="X160" s="6"/>
      <c r="Y160" s="6"/>
      <c r="Z160" s="6"/>
    </row>
    <row r="161" hidden="1" outlineLevel="1">
      <c r="A161" s="44" t="str">
        <f t="shared" si="114"/>
        <v>5-2025</v>
      </c>
      <c r="B161" s="34">
        <v>45779.0</v>
      </c>
      <c r="C161" s="45"/>
      <c r="D161" s="46">
        <v>2036.0</v>
      </c>
      <c r="E161" s="47">
        <v>64.0</v>
      </c>
      <c r="F161" s="47">
        <v>64.0</v>
      </c>
      <c r="G161" s="48">
        <f t="shared" si="2"/>
        <v>1</v>
      </c>
      <c r="H161" s="46">
        <f t="shared" si="115"/>
        <v>31.8125</v>
      </c>
      <c r="I161" s="46">
        <f t="shared" si="116"/>
        <v>31.8125</v>
      </c>
      <c r="J161" s="49">
        <v>2463.0</v>
      </c>
      <c r="K161" s="50">
        <f t="shared" si="5"/>
        <v>0.02598457166</v>
      </c>
      <c r="L161" s="46">
        <v>125.66</v>
      </c>
      <c r="M161" s="46">
        <v>1169.0</v>
      </c>
      <c r="N161" s="47">
        <v>38.0</v>
      </c>
      <c r="O161" s="49">
        <v>119434.0</v>
      </c>
      <c r="P161" s="50">
        <f t="shared" si="6"/>
        <v>0.1074935843</v>
      </c>
      <c r="Q161" s="51">
        <f t="shared" si="7"/>
        <v>9.302880789</v>
      </c>
      <c r="R161" s="50">
        <f t="shared" si="8"/>
        <v>0.5741650295</v>
      </c>
      <c r="S161" s="16"/>
      <c r="T161" s="25"/>
      <c r="U161" s="6"/>
      <c r="V161" s="6"/>
      <c r="W161" s="6"/>
      <c r="X161" s="6"/>
      <c r="Y161" s="6"/>
      <c r="Z161" s="6"/>
    </row>
    <row r="162" hidden="1" outlineLevel="1">
      <c r="A162" s="44" t="str">
        <f t="shared" si="114"/>
        <v>5-2025</v>
      </c>
      <c r="B162" s="34">
        <v>45780.0</v>
      </c>
      <c r="C162" s="45"/>
      <c r="D162" s="46">
        <v>2299.0</v>
      </c>
      <c r="E162" s="47">
        <v>69.0</v>
      </c>
      <c r="F162" s="47">
        <v>69.0</v>
      </c>
      <c r="G162" s="48">
        <f t="shared" si="2"/>
        <v>1</v>
      </c>
      <c r="H162" s="46">
        <f t="shared" si="115"/>
        <v>33.31884058</v>
      </c>
      <c r="I162" s="46">
        <f t="shared" si="116"/>
        <v>33.31884058</v>
      </c>
      <c r="J162" s="49">
        <v>3409.0</v>
      </c>
      <c r="K162" s="50">
        <f t="shared" si="5"/>
        <v>0.02024053975</v>
      </c>
      <c r="L162" s="46">
        <v>177.9</v>
      </c>
      <c r="M162" s="46">
        <v>1459.0</v>
      </c>
      <c r="N162" s="47">
        <v>46.0</v>
      </c>
      <c r="O162" s="49">
        <v>170689.0</v>
      </c>
      <c r="P162" s="50">
        <f t="shared" si="6"/>
        <v>0.1219328307</v>
      </c>
      <c r="Q162" s="51">
        <f t="shared" si="7"/>
        <v>8.20123665</v>
      </c>
      <c r="R162" s="50">
        <f t="shared" si="8"/>
        <v>0.6346237495</v>
      </c>
      <c r="S162" s="16"/>
      <c r="T162" s="25"/>
      <c r="U162" s="6"/>
      <c r="V162" s="6"/>
      <c r="W162" s="6"/>
      <c r="X162" s="6"/>
      <c r="Y162" s="6"/>
      <c r="Z162" s="6"/>
    </row>
    <row r="163" collapsed="1">
      <c r="A163" s="52" t="s">
        <v>64</v>
      </c>
      <c r="B163" s="53"/>
      <c r="C163" s="54"/>
      <c r="D163" s="55">
        <f t="shared" ref="D163:F163" si="117">SUM(D156:D162)</f>
        <v>18110</v>
      </c>
      <c r="E163" s="81">
        <f t="shared" si="117"/>
        <v>503</v>
      </c>
      <c r="F163" s="81">
        <f t="shared" si="117"/>
        <v>494</v>
      </c>
      <c r="G163" s="57">
        <f t="shared" si="2"/>
        <v>1.018218623</v>
      </c>
      <c r="H163" s="55">
        <f>AVERAGE(H156:H162)</f>
        <v>36.25282552</v>
      </c>
      <c r="I163" s="58">
        <f>H163/G163</f>
        <v>35.60416661</v>
      </c>
      <c r="J163" s="59">
        <f>SUM(J156:J162)</f>
        <v>21615</v>
      </c>
      <c r="K163" s="60">
        <f t="shared" si="5"/>
        <v>0.02327087671</v>
      </c>
      <c r="L163" s="55">
        <f t="shared" ref="L163:N163" si="118">SUM(L156:L162)</f>
        <v>1087.49</v>
      </c>
      <c r="M163" s="55">
        <f t="shared" si="118"/>
        <v>9738</v>
      </c>
      <c r="N163" s="56">
        <f t="shared" si="118"/>
        <v>270</v>
      </c>
      <c r="O163" s="59">
        <f>sum(O156:O162)</f>
        <v>1042603</v>
      </c>
      <c r="P163" s="60">
        <f t="shared" si="6"/>
        <v>0.1116748819</v>
      </c>
      <c r="Q163" s="61">
        <f t="shared" si="7"/>
        <v>8.954565099</v>
      </c>
      <c r="R163" s="62">
        <f t="shared" si="8"/>
        <v>0.5377139702</v>
      </c>
      <c r="S163" s="54" t="str">
        <f>iferror((D163-#REF!)/D163,)</f>
        <v/>
      </c>
      <c r="T163" s="63" t="str">
        <f>iferror((F163-#REF!)/F163,)</f>
        <v/>
      </c>
      <c r="U163" s="64">
        <f t="shared" ref="U163:V163" si="119">L163</f>
        <v>1087.49</v>
      </c>
      <c r="V163" s="64">
        <f t="shared" si="119"/>
        <v>9738</v>
      </c>
      <c r="W163" s="6"/>
      <c r="X163" s="6"/>
      <c r="Y163" s="6"/>
      <c r="Z163" s="6"/>
    </row>
    <row r="164" hidden="1" outlineLevel="1">
      <c r="A164" s="33" t="str">
        <f t="shared" ref="A164:A170" si="120">iferror(if(B164&gt;0,month(B164)&amp;"-"&amp;year(B164),B164),)</f>
        <v>5-2025</v>
      </c>
      <c r="B164" s="34">
        <v>45781.0</v>
      </c>
      <c r="C164" s="35"/>
      <c r="D164" s="36">
        <v>3454.0</v>
      </c>
      <c r="E164" s="37">
        <v>100.0</v>
      </c>
      <c r="F164" s="37">
        <v>99.0</v>
      </c>
      <c r="G164" s="38">
        <f t="shared" si="2"/>
        <v>1.01010101</v>
      </c>
      <c r="H164" s="36">
        <f t="shared" ref="H164:H170" si="121">D164/F164</f>
        <v>34.88888889</v>
      </c>
      <c r="I164" s="36">
        <f t="shared" ref="I164:I170" si="122">D164/E164</f>
        <v>34.54</v>
      </c>
      <c r="J164" s="39">
        <v>3881.0</v>
      </c>
      <c r="K164" s="40">
        <f t="shared" si="5"/>
        <v>0.02576655501</v>
      </c>
      <c r="L164" s="36">
        <v>243.94</v>
      </c>
      <c r="M164" s="36">
        <v>2078.0</v>
      </c>
      <c r="N164" s="37">
        <v>58.0</v>
      </c>
      <c r="O164" s="39">
        <v>210513.0</v>
      </c>
      <c r="P164" s="40">
        <f t="shared" si="6"/>
        <v>0.1173917228</v>
      </c>
      <c r="Q164" s="41">
        <f t="shared" si="7"/>
        <v>8.518488153</v>
      </c>
      <c r="R164" s="40">
        <f t="shared" si="8"/>
        <v>0.6016213086</v>
      </c>
      <c r="S164" s="42"/>
      <c r="T164" s="43"/>
      <c r="U164" s="6"/>
      <c r="V164" s="6"/>
      <c r="W164" s="6"/>
      <c r="X164" s="6"/>
      <c r="Y164" s="6"/>
      <c r="Z164" s="6"/>
    </row>
    <row r="165" hidden="1" outlineLevel="1">
      <c r="A165" s="44" t="str">
        <f t="shared" si="120"/>
        <v>5-2025</v>
      </c>
      <c r="B165" s="34">
        <v>45782.0</v>
      </c>
      <c r="C165" s="45"/>
      <c r="D165" s="46">
        <v>1864.0</v>
      </c>
      <c r="E165" s="47">
        <v>58.0</v>
      </c>
      <c r="F165" s="47">
        <v>58.0</v>
      </c>
      <c r="G165" s="48">
        <f t="shared" si="2"/>
        <v>1</v>
      </c>
      <c r="H165" s="46">
        <f t="shared" si="121"/>
        <v>32.13793103</v>
      </c>
      <c r="I165" s="46">
        <f t="shared" si="122"/>
        <v>32.13793103</v>
      </c>
      <c r="J165" s="49">
        <v>2965.0</v>
      </c>
      <c r="K165" s="50">
        <f t="shared" si="5"/>
        <v>0.01956155143</v>
      </c>
      <c r="L165" s="46">
        <v>171.03</v>
      </c>
      <c r="M165" s="46">
        <v>1563.0</v>
      </c>
      <c r="N165" s="47">
        <v>48.0</v>
      </c>
      <c r="O165" s="49">
        <v>144020.0</v>
      </c>
      <c r="P165" s="50">
        <f t="shared" si="6"/>
        <v>0.1094241843</v>
      </c>
      <c r="Q165" s="51">
        <f t="shared" si="7"/>
        <v>9.138747588</v>
      </c>
      <c r="R165" s="50">
        <f t="shared" si="8"/>
        <v>0.8385193133</v>
      </c>
      <c r="S165" s="16"/>
      <c r="T165" s="25"/>
      <c r="U165" s="6"/>
      <c r="V165" s="6"/>
      <c r="W165" s="6"/>
      <c r="X165" s="6"/>
      <c r="Y165" s="6"/>
      <c r="Z165" s="6"/>
    </row>
    <row r="166" hidden="1" outlineLevel="1">
      <c r="A166" s="44" t="str">
        <f t="shared" si="120"/>
        <v>5-2025</v>
      </c>
      <c r="B166" s="34">
        <v>45783.0</v>
      </c>
      <c r="C166" s="45"/>
      <c r="D166" s="46">
        <v>4067.0</v>
      </c>
      <c r="E166" s="47">
        <v>107.0</v>
      </c>
      <c r="F166" s="47">
        <v>107.0</v>
      </c>
      <c r="G166" s="48">
        <f t="shared" si="2"/>
        <v>1</v>
      </c>
      <c r="H166" s="46">
        <f t="shared" si="121"/>
        <v>38.00934579</v>
      </c>
      <c r="I166" s="46">
        <f t="shared" si="122"/>
        <v>38.00934579</v>
      </c>
      <c r="J166" s="49">
        <v>3471.0</v>
      </c>
      <c r="K166" s="50">
        <f t="shared" si="5"/>
        <v>0.03082685105</v>
      </c>
      <c r="L166" s="46">
        <v>211.83</v>
      </c>
      <c r="M166" s="46">
        <v>2001.0</v>
      </c>
      <c r="N166" s="47">
        <v>51.0</v>
      </c>
      <c r="O166" s="49">
        <v>163373.0</v>
      </c>
      <c r="P166" s="50">
        <f t="shared" si="6"/>
        <v>0.105862069</v>
      </c>
      <c r="Q166" s="51">
        <f t="shared" si="7"/>
        <v>9.446254072</v>
      </c>
      <c r="R166" s="50">
        <f t="shared" si="8"/>
        <v>0.4920088517</v>
      </c>
      <c r="S166" s="16"/>
      <c r="T166" s="25"/>
      <c r="U166" s="6"/>
      <c r="V166" s="6"/>
      <c r="W166" s="6"/>
      <c r="X166" s="6"/>
      <c r="Y166" s="6"/>
      <c r="Z166" s="6"/>
    </row>
    <row r="167" hidden="1" outlineLevel="1">
      <c r="A167" s="44" t="str">
        <f t="shared" si="120"/>
        <v>5-2025</v>
      </c>
      <c r="B167" s="34">
        <v>45784.0</v>
      </c>
      <c r="C167" s="45"/>
      <c r="D167" s="46">
        <v>2369.0</v>
      </c>
      <c r="E167" s="47">
        <v>63.0</v>
      </c>
      <c r="F167" s="47">
        <v>63.0</v>
      </c>
      <c r="G167" s="48">
        <f t="shared" si="2"/>
        <v>1</v>
      </c>
      <c r="H167" s="46">
        <f t="shared" si="121"/>
        <v>37.6031746</v>
      </c>
      <c r="I167" s="46">
        <f t="shared" si="122"/>
        <v>37.6031746</v>
      </c>
      <c r="J167" s="49">
        <v>3185.0</v>
      </c>
      <c r="K167" s="50">
        <f t="shared" si="5"/>
        <v>0.01978021978</v>
      </c>
      <c r="L167" s="46">
        <v>184.29</v>
      </c>
      <c r="M167" s="46">
        <v>1814.0</v>
      </c>
      <c r="N167" s="47">
        <v>46.0</v>
      </c>
      <c r="O167" s="49">
        <v>175834.0</v>
      </c>
      <c r="P167" s="50">
        <f t="shared" si="6"/>
        <v>0.1015931643</v>
      </c>
      <c r="Q167" s="51">
        <f t="shared" si="7"/>
        <v>9.843181942</v>
      </c>
      <c r="R167" s="50">
        <f t="shared" si="8"/>
        <v>0.7657239341</v>
      </c>
      <c r="S167" s="16"/>
      <c r="T167" s="25"/>
      <c r="U167" s="6"/>
      <c r="V167" s="6"/>
      <c r="W167" s="6"/>
      <c r="X167" s="6"/>
      <c r="Y167" s="6"/>
      <c r="Z167" s="6"/>
    </row>
    <row r="168" hidden="1" outlineLevel="1">
      <c r="A168" s="44" t="str">
        <f t="shared" si="120"/>
        <v>5-2025</v>
      </c>
      <c r="B168" s="34">
        <v>45785.0</v>
      </c>
      <c r="C168" s="45"/>
      <c r="D168" s="46">
        <v>3061.0</v>
      </c>
      <c r="E168" s="47">
        <v>83.0</v>
      </c>
      <c r="F168" s="47">
        <v>81.0</v>
      </c>
      <c r="G168" s="48">
        <f t="shared" si="2"/>
        <v>1.024691358</v>
      </c>
      <c r="H168" s="46">
        <f t="shared" si="121"/>
        <v>37.79012346</v>
      </c>
      <c r="I168" s="46">
        <f t="shared" si="122"/>
        <v>36.87951807</v>
      </c>
      <c r="J168" s="49">
        <v>2988.0</v>
      </c>
      <c r="K168" s="50">
        <f t="shared" si="5"/>
        <v>0.02777777778</v>
      </c>
      <c r="L168" s="46">
        <v>173.14</v>
      </c>
      <c r="M168" s="46">
        <v>1805.0</v>
      </c>
      <c r="N168" s="47">
        <v>45.0</v>
      </c>
      <c r="O168" s="49">
        <v>161985.0</v>
      </c>
      <c r="P168" s="50">
        <f t="shared" si="6"/>
        <v>0.09592243767</v>
      </c>
      <c r="Q168" s="51">
        <f t="shared" si="7"/>
        <v>10.42508952</v>
      </c>
      <c r="R168" s="50">
        <f t="shared" si="8"/>
        <v>0.5896765763</v>
      </c>
      <c r="S168" s="16"/>
      <c r="T168" s="25"/>
      <c r="U168" s="6"/>
      <c r="V168" s="6"/>
      <c r="W168" s="6"/>
      <c r="X168" s="6"/>
      <c r="Y168" s="6"/>
      <c r="Z168" s="6"/>
    </row>
    <row r="169" hidden="1" outlineLevel="1">
      <c r="A169" s="44" t="str">
        <f t="shared" si="120"/>
        <v>5-2025</v>
      </c>
      <c r="B169" s="34">
        <v>45786.0</v>
      </c>
      <c r="C169" s="45"/>
      <c r="D169" s="46">
        <v>2089.0</v>
      </c>
      <c r="E169" s="47">
        <v>56.0</v>
      </c>
      <c r="F169" s="47">
        <v>56.0</v>
      </c>
      <c r="G169" s="48">
        <f t="shared" si="2"/>
        <v>1</v>
      </c>
      <c r="H169" s="46">
        <f t="shared" si="121"/>
        <v>37.30357143</v>
      </c>
      <c r="I169" s="46">
        <f t="shared" si="122"/>
        <v>37.30357143</v>
      </c>
      <c r="J169" s="49">
        <v>2510.0</v>
      </c>
      <c r="K169" s="50">
        <f t="shared" si="5"/>
        <v>0.02231075697</v>
      </c>
      <c r="L169" s="46">
        <v>147.67</v>
      </c>
      <c r="M169" s="46">
        <v>789.0</v>
      </c>
      <c r="N169" s="47">
        <v>22.0</v>
      </c>
      <c r="O169" s="49">
        <v>121319.0</v>
      </c>
      <c r="P169" s="50">
        <f t="shared" si="6"/>
        <v>0.1871609632</v>
      </c>
      <c r="Q169" s="51">
        <f t="shared" si="7"/>
        <v>5.342994515</v>
      </c>
      <c r="R169" s="50">
        <f t="shared" si="8"/>
        <v>0.3776926759</v>
      </c>
      <c r="S169" s="16"/>
      <c r="T169" s="25"/>
      <c r="U169" s="6"/>
      <c r="V169" s="6"/>
      <c r="W169" s="6"/>
      <c r="X169" s="6"/>
      <c r="Y169" s="6"/>
      <c r="Z169" s="6"/>
    </row>
    <row r="170" hidden="1" outlineLevel="1">
      <c r="A170" s="44" t="str">
        <f t="shared" si="120"/>
        <v>5-2025</v>
      </c>
      <c r="B170" s="34">
        <v>45787.0</v>
      </c>
      <c r="C170" s="45"/>
      <c r="D170" s="46">
        <v>1448.0</v>
      </c>
      <c r="E170" s="47">
        <v>41.0</v>
      </c>
      <c r="F170" s="47">
        <v>40.0</v>
      </c>
      <c r="G170" s="48">
        <f t="shared" si="2"/>
        <v>1.025</v>
      </c>
      <c r="H170" s="46">
        <f t="shared" si="121"/>
        <v>36.2</v>
      </c>
      <c r="I170" s="46">
        <f t="shared" si="122"/>
        <v>35.31707317</v>
      </c>
      <c r="J170" s="49">
        <v>2775.0</v>
      </c>
      <c r="K170" s="50">
        <f t="shared" si="5"/>
        <v>0.01477477477</v>
      </c>
      <c r="L170" s="46">
        <v>158.9</v>
      </c>
      <c r="M170" s="46">
        <v>883.0</v>
      </c>
      <c r="N170" s="47">
        <v>26.0</v>
      </c>
      <c r="O170" s="49">
        <v>132159.0</v>
      </c>
      <c r="P170" s="50">
        <f t="shared" si="6"/>
        <v>0.1799546999</v>
      </c>
      <c r="Q170" s="51">
        <f t="shared" si="7"/>
        <v>5.556954059</v>
      </c>
      <c r="R170" s="50">
        <f t="shared" si="8"/>
        <v>0.6098066298</v>
      </c>
      <c r="S170" s="16"/>
      <c r="T170" s="25"/>
      <c r="U170" s="6"/>
      <c r="V170" s="6"/>
      <c r="W170" s="6"/>
      <c r="X170" s="6"/>
      <c r="Y170" s="6"/>
      <c r="Z170" s="6"/>
    </row>
    <row r="171" collapsed="1">
      <c r="A171" s="52" t="s">
        <v>65</v>
      </c>
      <c r="B171" s="53"/>
      <c r="C171" s="54"/>
      <c r="D171" s="55">
        <f t="shared" ref="D171:F171" si="123">SUM(D164:D170)</f>
        <v>18352</v>
      </c>
      <c r="E171" s="81">
        <f t="shared" si="123"/>
        <v>508</v>
      </c>
      <c r="F171" s="81">
        <f t="shared" si="123"/>
        <v>504</v>
      </c>
      <c r="G171" s="57">
        <f t="shared" si="2"/>
        <v>1.007936508</v>
      </c>
      <c r="H171" s="55">
        <f>AVERAGE(H164:H170)</f>
        <v>36.27614789</v>
      </c>
      <c r="I171" s="58">
        <f>H171/G171</f>
        <v>35.99050893</v>
      </c>
      <c r="J171" s="59">
        <f>SUM(J164:J170)</f>
        <v>21775</v>
      </c>
      <c r="K171" s="60">
        <f t="shared" si="5"/>
        <v>0.02332950631</v>
      </c>
      <c r="L171" s="55">
        <f t="shared" ref="L171:N171" si="124">SUM(L164:L170)</f>
        <v>1290.8</v>
      </c>
      <c r="M171" s="55">
        <f t="shared" si="124"/>
        <v>10933</v>
      </c>
      <c r="N171" s="56">
        <f t="shared" si="124"/>
        <v>296</v>
      </c>
      <c r="O171" s="59">
        <f>sum(O164:O170)</f>
        <v>1109203</v>
      </c>
      <c r="P171" s="60">
        <f t="shared" si="6"/>
        <v>0.1180645751</v>
      </c>
      <c r="Q171" s="61">
        <f t="shared" si="7"/>
        <v>8.469941122</v>
      </c>
      <c r="R171" s="62">
        <f t="shared" si="8"/>
        <v>0.595738884</v>
      </c>
      <c r="S171" s="54" t="str">
        <f>iferror((D171-#REF!)/D171,)</f>
        <v/>
      </c>
      <c r="T171" s="63" t="str">
        <f>iferror((F171-#REF!)/F171,)</f>
        <v/>
      </c>
      <c r="U171" s="64">
        <f t="shared" ref="U171:V171" si="125">L171</f>
        <v>1290.8</v>
      </c>
      <c r="V171" s="64">
        <f t="shared" si="125"/>
        <v>10933</v>
      </c>
      <c r="W171" s="6"/>
      <c r="X171" s="6"/>
      <c r="Y171" s="6"/>
      <c r="Z171" s="6"/>
    </row>
    <row r="172" hidden="1" outlineLevel="1">
      <c r="A172" s="33" t="str">
        <f t="shared" ref="A172:A178" si="126">iferror(if(B172&gt;0,month(B172)&amp;"-"&amp;year(B172),B172),)</f>
        <v>5-2025</v>
      </c>
      <c r="B172" s="34">
        <v>45788.0</v>
      </c>
      <c r="C172" s="35"/>
      <c r="D172" s="36">
        <v>3366.0</v>
      </c>
      <c r="E172" s="37">
        <v>89.0</v>
      </c>
      <c r="F172" s="37">
        <v>89.0</v>
      </c>
      <c r="G172" s="38">
        <f t="shared" si="2"/>
        <v>1</v>
      </c>
      <c r="H172" s="36">
        <f t="shared" ref="H172:H178" si="127">D172/F172</f>
        <v>37.82022472</v>
      </c>
      <c r="I172" s="36">
        <f t="shared" ref="I172:I178" si="128">D172/E172</f>
        <v>37.82022472</v>
      </c>
      <c r="J172" s="39">
        <v>3864.0</v>
      </c>
      <c r="K172" s="40">
        <f t="shared" si="5"/>
        <v>0.02303312629</v>
      </c>
      <c r="L172" s="36">
        <v>203.92</v>
      </c>
      <c r="M172" s="36">
        <v>1971.0</v>
      </c>
      <c r="N172" s="37">
        <v>55.0</v>
      </c>
      <c r="O172" s="39">
        <v>178315.0</v>
      </c>
      <c r="P172" s="40">
        <f t="shared" si="6"/>
        <v>0.1034601725</v>
      </c>
      <c r="Q172" s="41">
        <f t="shared" si="7"/>
        <v>9.66555512</v>
      </c>
      <c r="R172" s="40">
        <f t="shared" si="8"/>
        <v>0.5855614973</v>
      </c>
      <c r="S172" s="42"/>
      <c r="T172" s="43"/>
      <c r="U172" s="6"/>
      <c r="V172" s="6"/>
      <c r="W172" s="6"/>
      <c r="X172" s="6"/>
      <c r="Y172" s="6"/>
      <c r="Z172" s="6"/>
    </row>
    <row r="173" hidden="1" outlineLevel="1">
      <c r="A173" s="44" t="str">
        <f t="shared" si="126"/>
        <v>5-2025</v>
      </c>
      <c r="B173" s="34">
        <v>45789.0</v>
      </c>
      <c r="C173" s="45"/>
      <c r="D173" s="46">
        <v>3889.0</v>
      </c>
      <c r="E173" s="47">
        <v>106.0</v>
      </c>
      <c r="F173" s="47">
        <v>105.0</v>
      </c>
      <c r="G173" s="48">
        <f t="shared" si="2"/>
        <v>1.00952381</v>
      </c>
      <c r="H173" s="46">
        <f t="shared" si="127"/>
        <v>37.03809524</v>
      </c>
      <c r="I173" s="46">
        <f t="shared" si="128"/>
        <v>36.68867925</v>
      </c>
      <c r="J173" s="49">
        <v>3325.0</v>
      </c>
      <c r="K173" s="50">
        <f t="shared" si="5"/>
        <v>0.03187969925</v>
      </c>
      <c r="L173" s="46">
        <v>178.74</v>
      </c>
      <c r="M173" s="46">
        <v>2572.0</v>
      </c>
      <c r="N173" s="47">
        <v>71.0</v>
      </c>
      <c r="O173" s="49">
        <v>155417.0</v>
      </c>
      <c r="P173" s="50">
        <f t="shared" si="6"/>
        <v>0.06949455677</v>
      </c>
      <c r="Q173" s="51">
        <f t="shared" si="7"/>
        <v>14.3896162</v>
      </c>
      <c r="R173" s="50">
        <f t="shared" si="8"/>
        <v>0.6613525328</v>
      </c>
      <c r="S173" s="16"/>
      <c r="T173" s="25"/>
      <c r="U173" s="6"/>
      <c r="V173" s="6"/>
      <c r="W173" s="6"/>
      <c r="X173" s="6"/>
      <c r="Y173" s="6"/>
      <c r="Z173" s="6"/>
    </row>
    <row r="174" hidden="1" outlineLevel="1">
      <c r="A174" s="44" t="str">
        <f t="shared" si="126"/>
        <v>5-2025</v>
      </c>
      <c r="B174" s="34">
        <v>45790.0</v>
      </c>
      <c r="C174" s="45"/>
      <c r="D174" s="46">
        <v>3038.0</v>
      </c>
      <c r="E174" s="47">
        <v>87.0</v>
      </c>
      <c r="F174" s="47">
        <v>87.0</v>
      </c>
      <c r="G174" s="48">
        <f t="shared" si="2"/>
        <v>1</v>
      </c>
      <c r="H174" s="46">
        <f t="shared" si="127"/>
        <v>34.91954023</v>
      </c>
      <c r="I174" s="46">
        <f t="shared" si="128"/>
        <v>34.91954023</v>
      </c>
      <c r="J174" s="49">
        <v>3425.0</v>
      </c>
      <c r="K174" s="50">
        <f t="shared" si="5"/>
        <v>0.02540145985</v>
      </c>
      <c r="L174" s="46">
        <v>156.47</v>
      </c>
      <c r="M174" s="46">
        <v>1389.0</v>
      </c>
      <c r="N174" s="47">
        <v>41.0</v>
      </c>
      <c r="O174" s="49">
        <v>138907.0</v>
      </c>
      <c r="P174" s="50">
        <f t="shared" si="6"/>
        <v>0.112649388</v>
      </c>
      <c r="Q174" s="51">
        <f t="shared" si="7"/>
        <v>8.877101042</v>
      </c>
      <c r="R174" s="50">
        <f t="shared" si="8"/>
        <v>0.4572086899</v>
      </c>
      <c r="S174" s="16"/>
      <c r="T174" s="25"/>
      <c r="U174" s="6"/>
      <c r="V174" s="6"/>
      <c r="W174" s="6"/>
      <c r="X174" s="6"/>
      <c r="Y174" s="6"/>
      <c r="Z174" s="6"/>
    </row>
    <row r="175" hidden="1" outlineLevel="1">
      <c r="A175" s="44" t="str">
        <f t="shared" si="126"/>
        <v>5-2025</v>
      </c>
      <c r="B175" s="34">
        <v>45791.0</v>
      </c>
      <c r="C175" s="45"/>
      <c r="D175" s="46">
        <v>3374.0</v>
      </c>
      <c r="E175" s="47">
        <v>97.0</v>
      </c>
      <c r="F175" s="47">
        <v>96.0</v>
      </c>
      <c r="G175" s="48">
        <f t="shared" si="2"/>
        <v>1.010416667</v>
      </c>
      <c r="H175" s="46">
        <f t="shared" si="127"/>
        <v>35.14583333</v>
      </c>
      <c r="I175" s="46">
        <f t="shared" si="128"/>
        <v>34.78350515</v>
      </c>
      <c r="J175" s="49">
        <v>3426.0</v>
      </c>
      <c r="K175" s="50">
        <f t="shared" si="5"/>
        <v>0.02831290134</v>
      </c>
      <c r="L175" s="46">
        <v>235.56</v>
      </c>
      <c r="M175" s="46">
        <v>1469.0</v>
      </c>
      <c r="N175" s="47">
        <v>38.0</v>
      </c>
      <c r="O175" s="49">
        <v>177017.0</v>
      </c>
      <c r="P175" s="50">
        <f t="shared" si="6"/>
        <v>0.1603539823</v>
      </c>
      <c r="Q175" s="51">
        <f t="shared" si="7"/>
        <v>6.236203091</v>
      </c>
      <c r="R175" s="50">
        <f t="shared" si="8"/>
        <v>0.4353882632</v>
      </c>
      <c r="S175" s="16"/>
      <c r="T175" s="25"/>
      <c r="U175" s="6"/>
      <c r="V175" s="6"/>
      <c r="W175" s="6"/>
      <c r="X175" s="6"/>
      <c r="Y175" s="6"/>
      <c r="Z175" s="6"/>
    </row>
    <row r="176" hidden="1" outlineLevel="1">
      <c r="A176" s="44" t="str">
        <f t="shared" si="126"/>
        <v>5-2025</v>
      </c>
      <c r="B176" s="34">
        <v>45792.0</v>
      </c>
      <c r="C176" s="45"/>
      <c r="D176" s="46">
        <v>3175.0</v>
      </c>
      <c r="E176" s="47">
        <v>81.0</v>
      </c>
      <c r="F176" s="47">
        <v>80.0</v>
      </c>
      <c r="G176" s="48">
        <f t="shared" si="2"/>
        <v>1.0125</v>
      </c>
      <c r="H176" s="46">
        <f t="shared" si="127"/>
        <v>39.6875</v>
      </c>
      <c r="I176" s="46">
        <f t="shared" si="128"/>
        <v>39.19753086</v>
      </c>
      <c r="J176" s="49">
        <v>3207.0</v>
      </c>
      <c r="K176" s="50">
        <f t="shared" si="5"/>
        <v>0.02525724977</v>
      </c>
      <c r="L176" s="46">
        <v>229.77</v>
      </c>
      <c r="M176" s="46">
        <v>1969.0</v>
      </c>
      <c r="N176" s="47">
        <v>51.0</v>
      </c>
      <c r="O176" s="49">
        <v>149239.0</v>
      </c>
      <c r="P176" s="50">
        <f t="shared" si="6"/>
        <v>0.1166937532</v>
      </c>
      <c r="Q176" s="51">
        <f t="shared" si="7"/>
        <v>8.569439004</v>
      </c>
      <c r="R176" s="50">
        <f t="shared" si="8"/>
        <v>0.6201574803</v>
      </c>
      <c r="S176" s="16"/>
      <c r="T176" s="25"/>
      <c r="U176" s="6"/>
      <c r="V176" s="6"/>
      <c r="W176" s="6"/>
      <c r="X176" s="6"/>
      <c r="Y176" s="6"/>
      <c r="Z176" s="6"/>
    </row>
    <row r="177" hidden="1" outlineLevel="1">
      <c r="A177" s="44" t="str">
        <f t="shared" si="126"/>
        <v>5-2025</v>
      </c>
      <c r="B177" s="34">
        <v>45793.0</v>
      </c>
      <c r="C177" s="45"/>
      <c r="D177" s="46">
        <v>2644.0</v>
      </c>
      <c r="E177" s="47">
        <v>69.0</v>
      </c>
      <c r="F177" s="47">
        <v>69.0</v>
      </c>
      <c r="G177" s="48">
        <f t="shared" si="2"/>
        <v>1</v>
      </c>
      <c r="H177" s="46">
        <f t="shared" si="127"/>
        <v>38.31884058</v>
      </c>
      <c r="I177" s="46">
        <f t="shared" si="128"/>
        <v>38.31884058</v>
      </c>
      <c r="J177" s="49">
        <v>3019.0</v>
      </c>
      <c r="K177" s="50">
        <f t="shared" si="5"/>
        <v>0.02285525008</v>
      </c>
      <c r="L177" s="46">
        <v>225.56</v>
      </c>
      <c r="M177" s="46">
        <v>1171.0</v>
      </c>
      <c r="N177" s="47">
        <v>31.0</v>
      </c>
      <c r="O177" s="49">
        <v>168249.0</v>
      </c>
      <c r="P177" s="50">
        <f t="shared" si="6"/>
        <v>0.1926216909</v>
      </c>
      <c r="Q177" s="51">
        <f t="shared" si="7"/>
        <v>5.19152332</v>
      </c>
      <c r="R177" s="50">
        <f t="shared" si="8"/>
        <v>0.4428895613</v>
      </c>
      <c r="S177" s="16"/>
      <c r="T177" s="25"/>
      <c r="U177" s="6"/>
      <c r="V177" s="6"/>
      <c r="W177" s="6"/>
      <c r="X177" s="6"/>
      <c r="Y177" s="6"/>
      <c r="Z177" s="6"/>
    </row>
    <row r="178" hidden="1" outlineLevel="1">
      <c r="A178" s="44" t="str">
        <f t="shared" si="126"/>
        <v>5-2025</v>
      </c>
      <c r="B178" s="34">
        <v>45794.0</v>
      </c>
      <c r="C178" s="45"/>
      <c r="D178" s="46">
        <v>2711.0</v>
      </c>
      <c r="E178" s="47">
        <v>84.0</v>
      </c>
      <c r="F178" s="47">
        <v>84.0</v>
      </c>
      <c r="G178" s="48">
        <f t="shared" si="2"/>
        <v>1</v>
      </c>
      <c r="H178" s="46">
        <f t="shared" si="127"/>
        <v>32.27380952</v>
      </c>
      <c r="I178" s="46">
        <f t="shared" si="128"/>
        <v>32.27380952</v>
      </c>
      <c r="J178" s="49">
        <v>3840.0</v>
      </c>
      <c r="K178" s="50">
        <f t="shared" si="5"/>
        <v>0.021875</v>
      </c>
      <c r="L178" s="46">
        <v>305.13</v>
      </c>
      <c r="M178" s="46">
        <v>1786.0</v>
      </c>
      <c r="N178" s="47">
        <v>54.0</v>
      </c>
      <c r="O178" s="49">
        <v>208535.0</v>
      </c>
      <c r="P178" s="50">
        <f t="shared" si="6"/>
        <v>0.1708454647</v>
      </c>
      <c r="Q178" s="51">
        <f t="shared" si="7"/>
        <v>5.85324288</v>
      </c>
      <c r="R178" s="50">
        <f t="shared" si="8"/>
        <v>0.6587974917</v>
      </c>
      <c r="S178" s="16"/>
      <c r="T178" s="25"/>
      <c r="U178" s="6"/>
      <c r="V178" s="6"/>
      <c r="W178" s="6"/>
      <c r="X178" s="6"/>
      <c r="Y178" s="6"/>
      <c r="Z178" s="6"/>
    </row>
    <row r="179" collapsed="1">
      <c r="A179" s="52" t="s">
        <v>66</v>
      </c>
      <c r="B179" s="53"/>
      <c r="C179" s="54"/>
      <c r="D179" s="55">
        <f t="shared" ref="D179:F179" si="129">SUM(D172:D178)</f>
        <v>22197</v>
      </c>
      <c r="E179" s="81">
        <f t="shared" si="129"/>
        <v>613</v>
      </c>
      <c r="F179" s="81">
        <f t="shared" si="129"/>
        <v>610</v>
      </c>
      <c r="G179" s="57">
        <f t="shared" si="2"/>
        <v>1.004918033</v>
      </c>
      <c r="H179" s="55">
        <f>AVERAGE(H172:H178)</f>
        <v>36.45769195</v>
      </c>
      <c r="I179" s="58">
        <f>H179/G179</f>
        <v>36.27926931</v>
      </c>
      <c r="J179" s="59">
        <f>SUM(J172:J178)</f>
        <v>24106</v>
      </c>
      <c r="K179" s="60">
        <f t="shared" si="5"/>
        <v>0.02542935369</v>
      </c>
      <c r="L179" s="55">
        <f t="shared" ref="L179:N179" si="130">SUM(L172:L178)</f>
        <v>1535.15</v>
      </c>
      <c r="M179" s="55">
        <f t="shared" si="130"/>
        <v>12327</v>
      </c>
      <c r="N179" s="56">
        <f t="shared" si="130"/>
        <v>341</v>
      </c>
      <c r="O179" s="59">
        <f>sum(O172:O178)</f>
        <v>1175679</v>
      </c>
      <c r="P179" s="60">
        <f t="shared" si="6"/>
        <v>0.1245355723</v>
      </c>
      <c r="Q179" s="61">
        <f t="shared" si="7"/>
        <v>8.029834218</v>
      </c>
      <c r="R179" s="62">
        <f t="shared" si="8"/>
        <v>0.5553453169</v>
      </c>
      <c r="S179" s="54" t="str">
        <f>iferror((D179-#REF!)/D179,)</f>
        <v/>
      </c>
      <c r="T179" s="63" t="str">
        <f>iferror((F179-#REF!)/F179,)</f>
        <v/>
      </c>
      <c r="U179" s="64">
        <f t="shared" ref="U179:V179" si="131">L179</f>
        <v>1535.15</v>
      </c>
      <c r="V179" s="64">
        <f t="shared" si="131"/>
        <v>12327</v>
      </c>
      <c r="W179" s="6"/>
      <c r="X179" s="6"/>
      <c r="Y179" s="6"/>
      <c r="Z179" s="6"/>
    </row>
    <row r="180" hidden="1" outlineLevel="1">
      <c r="A180" s="33" t="str">
        <f t="shared" ref="A180:A186" si="132">iferror(if(B180&gt;0,month(B180)&amp;"-"&amp;year(B180),B180),)</f>
        <v>5-2025</v>
      </c>
      <c r="B180" s="34">
        <v>45795.0</v>
      </c>
      <c r="C180" s="35"/>
      <c r="D180" s="36">
        <v>4165.0</v>
      </c>
      <c r="E180" s="37">
        <v>110.0</v>
      </c>
      <c r="F180" s="37">
        <v>109.0</v>
      </c>
      <c r="G180" s="38">
        <f t="shared" si="2"/>
        <v>1.009174312</v>
      </c>
      <c r="H180" s="36">
        <f t="shared" ref="H180:H186" si="133">D180/F180</f>
        <v>38.21100917</v>
      </c>
      <c r="I180" s="36">
        <f t="shared" ref="I180:I186" si="134">D180/E180</f>
        <v>37.86363636</v>
      </c>
      <c r="J180" s="39">
        <v>4606.0</v>
      </c>
      <c r="K180" s="40">
        <f t="shared" si="5"/>
        <v>0.02388189318</v>
      </c>
      <c r="L180" s="36">
        <v>367.2</v>
      </c>
      <c r="M180" s="36">
        <v>2847.0</v>
      </c>
      <c r="N180" s="37">
        <v>73.0</v>
      </c>
      <c r="O180" s="39">
        <v>248074.0</v>
      </c>
      <c r="P180" s="40">
        <f t="shared" si="6"/>
        <v>0.1289778714</v>
      </c>
      <c r="Q180" s="41">
        <f t="shared" si="7"/>
        <v>7.753267974</v>
      </c>
      <c r="R180" s="40">
        <f t="shared" si="8"/>
        <v>0.6835534214</v>
      </c>
      <c r="S180" s="42"/>
      <c r="T180" s="43"/>
      <c r="U180" s="6"/>
      <c r="V180" s="6"/>
      <c r="W180" s="6"/>
      <c r="X180" s="6"/>
      <c r="Y180" s="6"/>
      <c r="Z180" s="6"/>
    </row>
    <row r="181" hidden="1" outlineLevel="1">
      <c r="A181" s="44" t="str">
        <f t="shared" si="132"/>
        <v>5-2025</v>
      </c>
      <c r="B181" s="34">
        <v>45796.0</v>
      </c>
      <c r="C181" s="45"/>
      <c r="D181" s="46">
        <v>3182.0</v>
      </c>
      <c r="E181" s="47">
        <v>85.0</v>
      </c>
      <c r="F181" s="47">
        <v>85.0</v>
      </c>
      <c r="G181" s="48">
        <f t="shared" si="2"/>
        <v>1</v>
      </c>
      <c r="H181" s="46">
        <f t="shared" si="133"/>
        <v>37.43529412</v>
      </c>
      <c r="I181" s="46">
        <f t="shared" si="134"/>
        <v>37.43529412</v>
      </c>
      <c r="J181" s="49">
        <v>3749.0</v>
      </c>
      <c r="K181" s="50">
        <f t="shared" si="5"/>
        <v>0.02267271272</v>
      </c>
      <c r="L181" s="46">
        <v>286.55</v>
      </c>
      <c r="M181" s="46">
        <v>2184.0</v>
      </c>
      <c r="N181" s="47">
        <v>59.0</v>
      </c>
      <c r="O181" s="49">
        <v>176509.0</v>
      </c>
      <c r="P181" s="50">
        <f t="shared" si="6"/>
        <v>0.1312042125</v>
      </c>
      <c r="Q181" s="51">
        <f t="shared" si="7"/>
        <v>7.621706508</v>
      </c>
      <c r="R181" s="50">
        <f t="shared" si="8"/>
        <v>0.6863607794</v>
      </c>
      <c r="S181" s="16"/>
      <c r="T181" s="25"/>
      <c r="U181" s="6"/>
      <c r="V181" s="6"/>
      <c r="W181" s="6"/>
      <c r="X181" s="6"/>
      <c r="Y181" s="6"/>
      <c r="Z181" s="6"/>
    </row>
    <row r="182" hidden="1" outlineLevel="1">
      <c r="A182" s="44" t="str">
        <f t="shared" si="132"/>
        <v>5-2025</v>
      </c>
      <c r="B182" s="34">
        <v>45797.0</v>
      </c>
      <c r="C182" s="45"/>
      <c r="D182" s="46">
        <v>3227.0</v>
      </c>
      <c r="E182" s="47">
        <v>94.0</v>
      </c>
      <c r="F182" s="47">
        <v>94.0</v>
      </c>
      <c r="G182" s="48">
        <f t="shared" si="2"/>
        <v>1</v>
      </c>
      <c r="H182" s="46">
        <f t="shared" si="133"/>
        <v>34.32978723</v>
      </c>
      <c r="I182" s="46">
        <f t="shared" si="134"/>
        <v>34.32978723</v>
      </c>
      <c r="J182" s="49">
        <v>3365.0</v>
      </c>
      <c r="K182" s="50">
        <f t="shared" si="5"/>
        <v>0.0279346211</v>
      </c>
      <c r="L182" s="46">
        <v>192.86</v>
      </c>
      <c r="M182" s="46">
        <v>1860.0</v>
      </c>
      <c r="N182" s="47">
        <v>56.0</v>
      </c>
      <c r="O182" s="49">
        <v>158151.0</v>
      </c>
      <c r="P182" s="50">
        <f t="shared" si="6"/>
        <v>0.103688172</v>
      </c>
      <c r="Q182" s="51">
        <f t="shared" si="7"/>
        <v>9.644301566</v>
      </c>
      <c r="R182" s="50">
        <f t="shared" si="8"/>
        <v>0.5763867369</v>
      </c>
      <c r="S182" s="16"/>
      <c r="T182" s="25"/>
      <c r="U182" s="6"/>
      <c r="V182" s="6"/>
      <c r="W182" s="6"/>
      <c r="X182" s="6"/>
      <c r="Y182" s="6"/>
      <c r="Z182" s="6"/>
    </row>
    <row r="183" hidden="1" outlineLevel="1">
      <c r="A183" s="44" t="str">
        <f t="shared" si="132"/>
        <v>5-2025</v>
      </c>
      <c r="B183" s="34">
        <v>45798.0</v>
      </c>
      <c r="C183" s="45"/>
      <c r="D183" s="46">
        <v>3389.0</v>
      </c>
      <c r="E183" s="47">
        <v>99.0</v>
      </c>
      <c r="F183" s="47">
        <v>99.0</v>
      </c>
      <c r="G183" s="48">
        <f t="shared" si="2"/>
        <v>1</v>
      </c>
      <c r="H183" s="46">
        <f t="shared" si="133"/>
        <v>34.23232323</v>
      </c>
      <c r="I183" s="46">
        <f t="shared" si="134"/>
        <v>34.23232323</v>
      </c>
      <c r="J183" s="49">
        <v>3278.0</v>
      </c>
      <c r="K183" s="50">
        <f t="shared" si="5"/>
        <v>0.03020134228</v>
      </c>
      <c r="L183" s="46">
        <v>211.57</v>
      </c>
      <c r="M183" s="46">
        <v>2239.0</v>
      </c>
      <c r="N183" s="47">
        <v>62.0</v>
      </c>
      <c r="O183" s="49">
        <v>152331.0</v>
      </c>
      <c r="P183" s="50">
        <f t="shared" si="6"/>
        <v>0.09449307727</v>
      </c>
      <c r="Q183" s="51">
        <f t="shared" si="7"/>
        <v>10.58278584</v>
      </c>
      <c r="R183" s="50">
        <f t="shared" si="8"/>
        <v>0.6606668634</v>
      </c>
      <c r="S183" s="16"/>
      <c r="T183" s="25"/>
      <c r="U183" s="6"/>
      <c r="V183" s="6"/>
      <c r="W183" s="6"/>
      <c r="X183" s="6"/>
      <c r="Y183" s="6"/>
      <c r="Z183" s="6"/>
    </row>
    <row r="184" hidden="1" outlineLevel="1">
      <c r="A184" s="44" t="str">
        <f t="shared" si="132"/>
        <v>5-2025</v>
      </c>
      <c r="B184" s="34">
        <v>45799.0</v>
      </c>
      <c r="C184" s="45"/>
      <c r="D184" s="46">
        <v>2272.0</v>
      </c>
      <c r="E184" s="47">
        <v>70.0</v>
      </c>
      <c r="F184" s="47">
        <v>70.0</v>
      </c>
      <c r="G184" s="48">
        <f t="shared" si="2"/>
        <v>1</v>
      </c>
      <c r="H184" s="46">
        <f t="shared" si="133"/>
        <v>32.45714286</v>
      </c>
      <c r="I184" s="46">
        <f t="shared" si="134"/>
        <v>32.45714286</v>
      </c>
      <c r="J184" s="49">
        <v>3273.0</v>
      </c>
      <c r="K184" s="50">
        <f t="shared" si="5"/>
        <v>0.02138710663</v>
      </c>
      <c r="L184" s="46">
        <v>215.05</v>
      </c>
      <c r="M184" s="46">
        <v>1214.0</v>
      </c>
      <c r="N184" s="47">
        <v>35.0</v>
      </c>
      <c r="O184" s="49">
        <v>161723.0</v>
      </c>
      <c r="P184" s="50">
        <f t="shared" si="6"/>
        <v>0.1771416804</v>
      </c>
      <c r="Q184" s="51">
        <f t="shared" si="7"/>
        <v>5.645198791</v>
      </c>
      <c r="R184" s="50">
        <f t="shared" si="8"/>
        <v>0.5343309859</v>
      </c>
      <c r="S184" s="16"/>
      <c r="T184" s="25"/>
      <c r="U184" s="6"/>
      <c r="V184" s="6"/>
      <c r="W184" s="6"/>
      <c r="X184" s="6"/>
      <c r="Y184" s="6"/>
      <c r="Z184" s="6"/>
    </row>
    <row r="185" hidden="1" outlineLevel="1">
      <c r="A185" s="44" t="str">
        <f t="shared" si="132"/>
        <v>5-2025</v>
      </c>
      <c r="B185" s="34">
        <v>45800.0</v>
      </c>
      <c r="C185" s="45"/>
      <c r="D185" s="46">
        <v>2168.0</v>
      </c>
      <c r="E185" s="47">
        <v>65.0</v>
      </c>
      <c r="F185" s="47">
        <v>65.0</v>
      </c>
      <c r="G185" s="48">
        <f t="shared" si="2"/>
        <v>1</v>
      </c>
      <c r="H185" s="46">
        <f t="shared" si="133"/>
        <v>33.35384615</v>
      </c>
      <c r="I185" s="46">
        <f t="shared" si="134"/>
        <v>33.35384615</v>
      </c>
      <c r="J185" s="49">
        <v>2541.0</v>
      </c>
      <c r="K185" s="50">
        <f t="shared" si="5"/>
        <v>0.02558048013</v>
      </c>
      <c r="L185" s="46">
        <v>165.36</v>
      </c>
      <c r="M185" s="46">
        <v>1002.0</v>
      </c>
      <c r="N185" s="47">
        <v>30.0</v>
      </c>
      <c r="O185" s="49">
        <v>126056.0</v>
      </c>
      <c r="P185" s="50">
        <f t="shared" si="6"/>
        <v>0.1650299401</v>
      </c>
      <c r="Q185" s="51">
        <f t="shared" si="7"/>
        <v>6.059506531</v>
      </c>
      <c r="R185" s="50">
        <f t="shared" si="8"/>
        <v>0.4621771218</v>
      </c>
      <c r="S185" s="16"/>
      <c r="T185" s="25"/>
      <c r="U185" s="6"/>
      <c r="V185" s="6"/>
      <c r="W185" s="6"/>
      <c r="X185" s="6"/>
      <c r="Y185" s="6"/>
      <c r="Z185" s="6"/>
    </row>
    <row r="186" hidden="1" outlineLevel="1">
      <c r="A186" s="44" t="str">
        <f t="shared" si="132"/>
        <v>5-2025</v>
      </c>
      <c r="B186" s="34">
        <v>45801.0</v>
      </c>
      <c r="C186" s="45"/>
      <c r="D186" s="46">
        <v>2534.0</v>
      </c>
      <c r="E186" s="47">
        <v>72.0</v>
      </c>
      <c r="F186" s="47">
        <v>72.0</v>
      </c>
      <c r="G186" s="48">
        <f t="shared" si="2"/>
        <v>1</v>
      </c>
      <c r="H186" s="46">
        <f t="shared" si="133"/>
        <v>35.19444444</v>
      </c>
      <c r="I186" s="46">
        <f t="shared" si="134"/>
        <v>35.19444444</v>
      </c>
      <c r="J186" s="49">
        <v>3121.0</v>
      </c>
      <c r="K186" s="50">
        <f t="shared" si="5"/>
        <v>0.023069529</v>
      </c>
      <c r="L186" s="46">
        <v>187.77</v>
      </c>
      <c r="M186" s="46">
        <v>1089.0</v>
      </c>
      <c r="N186" s="47">
        <v>32.0</v>
      </c>
      <c r="O186" s="49">
        <v>143053.0</v>
      </c>
      <c r="P186" s="50">
        <f t="shared" si="6"/>
        <v>0.1724242424</v>
      </c>
      <c r="Q186" s="51">
        <f t="shared" si="7"/>
        <v>5.799648506</v>
      </c>
      <c r="R186" s="50">
        <f t="shared" si="8"/>
        <v>0.4297553275</v>
      </c>
      <c r="S186" s="16"/>
      <c r="T186" s="25"/>
      <c r="U186" s="6"/>
      <c r="V186" s="6"/>
      <c r="W186" s="6"/>
      <c r="X186" s="6"/>
      <c r="Y186" s="6"/>
      <c r="Z186" s="6"/>
    </row>
    <row r="187" collapsed="1">
      <c r="A187" s="52" t="s">
        <v>67</v>
      </c>
      <c r="B187" s="53"/>
      <c r="C187" s="54"/>
      <c r="D187" s="55">
        <f t="shared" ref="D187:F187" si="135">SUM(D180:D186)</f>
        <v>20937</v>
      </c>
      <c r="E187" s="81">
        <f t="shared" si="135"/>
        <v>595</v>
      </c>
      <c r="F187" s="81">
        <f t="shared" si="135"/>
        <v>594</v>
      </c>
      <c r="G187" s="57">
        <f t="shared" si="2"/>
        <v>1.001683502</v>
      </c>
      <c r="H187" s="55">
        <f>AVERAGE(H180:H186)</f>
        <v>35.0305496</v>
      </c>
      <c r="I187" s="58">
        <f>H187/G187</f>
        <v>34.97167473</v>
      </c>
      <c r="J187" s="59">
        <f>SUM(J180:J186)</f>
        <v>23933</v>
      </c>
      <c r="K187" s="60">
        <f t="shared" si="5"/>
        <v>0.02486107049</v>
      </c>
      <c r="L187" s="55">
        <f t="shared" ref="L187:N187" si="136">SUM(L180:L186)</f>
        <v>1626.36</v>
      </c>
      <c r="M187" s="55">
        <f t="shared" si="136"/>
        <v>12435</v>
      </c>
      <c r="N187" s="56">
        <f t="shared" si="136"/>
        <v>347</v>
      </c>
      <c r="O187" s="59">
        <f>sum(O180:O186)</f>
        <v>1165897</v>
      </c>
      <c r="P187" s="60">
        <f t="shared" si="6"/>
        <v>0.1307889023</v>
      </c>
      <c r="Q187" s="61">
        <f t="shared" si="7"/>
        <v>7.645908655</v>
      </c>
      <c r="R187" s="62">
        <f t="shared" si="8"/>
        <v>0.593924631</v>
      </c>
      <c r="S187" s="54" t="str">
        <f>iferror((D187-#REF!)/D187,)</f>
        <v/>
      </c>
      <c r="T187" s="63" t="str">
        <f>iferror((F187-#REF!)/F187,)</f>
        <v/>
      </c>
      <c r="U187" s="64">
        <f t="shared" ref="U187:V187" si="137">L187</f>
        <v>1626.36</v>
      </c>
      <c r="V187" s="64">
        <f t="shared" si="137"/>
        <v>12435</v>
      </c>
      <c r="W187" s="6"/>
      <c r="X187" s="6"/>
      <c r="Y187" s="6"/>
      <c r="Z187" s="6"/>
    </row>
    <row r="188" hidden="1" outlineLevel="1">
      <c r="A188" s="33" t="str">
        <f t="shared" ref="A188:A194" si="138">iferror(if(B188&gt;0,month(B188)&amp;"-"&amp;year(B188),B188),)</f>
        <v>5-2025</v>
      </c>
      <c r="B188" s="34">
        <v>45802.0</v>
      </c>
      <c r="C188" s="35"/>
      <c r="D188" s="36">
        <v>3256.0</v>
      </c>
      <c r="E188" s="37">
        <v>94.0</v>
      </c>
      <c r="F188" s="37">
        <v>94.0</v>
      </c>
      <c r="G188" s="38">
        <f t="shared" si="2"/>
        <v>1</v>
      </c>
      <c r="H188" s="36">
        <f t="shared" ref="H188:H194" si="139">D188/F188</f>
        <v>34.63829787</v>
      </c>
      <c r="I188" s="36">
        <f t="shared" ref="I188:I194" si="140">D188/E188</f>
        <v>34.63829787</v>
      </c>
      <c r="J188" s="39">
        <v>3538.0</v>
      </c>
      <c r="K188" s="40">
        <f t="shared" si="5"/>
        <v>0.02656868287</v>
      </c>
      <c r="L188" s="36">
        <v>224.82</v>
      </c>
      <c r="M188" s="36">
        <v>1951.97</v>
      </c>
      <c r="N188" s="37">
        <v>59.0</v>
      </c>
      <c r="O188" s="39">
        <v>154859.0</v>
      </c>
      <c r="P188" s="40">
        <f t="shared" si="6"/>
        <v>0.1151759505</v>
      </c>
      <c r="Q188" s="41">
        <f t="shared" si="7"/>
        <v>8.682368117</v>
      </c>
      <c r="R188" s="40">
        <f t="shared" si="8"/>
        <v>0.5994993857</v>
      </c>
      <c r="S188" s="42"/>
      <c r="T188" s="43"/>
      <c r="U188" s="6"/>
      <c r="V188" s="6"/>
      <c r="W188" s="6"/>
      <c r="X188" s="6"/>
      <c r="Y188" s="6"/>
      <c r="Z188" s="6"/>
    </row>
    <row r="189" hidden="1" outlineLevel="1">
      <c r="A189" s="44" t="str">
        <f t="shared" si="138"/>
        <v>5-2025</v>
      </c>
      <c r="B189" s="34">
        <v>45803.0</v>
      </c>
      <c r="C189" s="45"/>
      <c r="D189" s="46">
        <v>2811.0</v>
      </c>
      <c r="E189" s="47">
        <v>81.0</v>
      </c>
      <c r="F189" s="47">
        <v>81.0</v>
      </c>
      <c r="G189" s="48">
        <f t="shared" si="2"/>
        <v>1</v>
      </c>
      <c r="H189" s="46">
        <f t="shared" si="139"/>
        <v>34.7037037</v>
      </c>
      <c r="I189" s="46">
        <f t="shared" si="140"/>
        <v>34.7037037</v>
      </c>
      <c r="J189" s="49">
        <v>3920.0</v>
      </c>
      <c r="K189" s="50">
        <f t="shared" si="5"/>
        <v>0.02066326531</v>
      </c>
      <c r="L189" s="46">
        <v>260.4</v>
      </c>
      <c r="M189" s="46">
        <v>2365.0</v>
      </c>
      <c r="N189" s="47">
        <v>66.0</v>
      </c>
      <c r="O189" s="49">
        <v>193669.0</v>
      </c>
      <c r="P189" s="50">
        <f t="shared" si="6"/>
        <v>0.1101057082</v>
      </c>
      <c r="Q189" s="51">
        <f t="shared" si="7"/>
        <v>9.08218126</v>
      </c>
      <c r="R189" s="50">
        <f t="shared" si="8"/>
        <v>0.8413376023</v>
      </c>
      <c r="S189" s="16"/>
      <c r="T189" s="25"/>
      <c r="U189" s="6"/>
      <c r="V189" s="6"/>
      <c r="W189" s="6"/>
      <c r="X189" s="6"/>
      <c r="Y189" s="6"/>
      <c r="Z189" s="6"/>
    </row>
    <row r="190" hidden="1" outlineLevel="1">
      <c r="A190" s="44" t="str">
        <f t="shared" si="138"/>
        <v>5-2025</v>
      </c>
      <c r="B190" s="34">
        <v>45804.0</v>
      </c>
      <c r="C190" s="45"/>
      <c r="D190" s="46">
        <v>2349.0</v>
      </c>
      <c r="E190" s="47">
        <v>65.0</v>
      </c>
      <c r="F190" s="47">
        <v>65.0</v>
      </c>
      <c r="G190" s="48">
        <f t="shared" si="2"/>
        <v>1</v>
      </c>
      <c r="H190" s="46">
        <f t="shared" si="139"/>
        <v>36.13846154</v>
      </c>
      <c r="I190" s="46">
        <f t="shared" si="140"/>
        <v>36.13846154</v>
      </c>
      <c r="J190" s="49">
        <v>3550.0</v>
      </c>
      <c r="K190" s="50">
        <f t="shared" si="5"/>
        <v>0.01830985915</v>
      </c>
      <c r="L190" s="46">
        <v>201.91</v>
      </c>
      <c r="M190" s="46">
        <v>1055.0</v>
      </c>
      <c r="N190" s="47">
        <v>35.0</v>
      </c>
      <c r="O190" s="49">
        <v>161463.0</v>
      </c>
      <c r="P190" s="50">
        <f t="shared" si="6"/>
        <v>0.1913838863</v>
      </c>
      <c r="Q190" s="51">
        <f t="shared" si="7"/>
        <v>5.225100292</v>
      </c>
      <c r="R190" s="50">
        <f t="shared" si="8"/>
        <v>0.4491272882</v>
      </c>
      <c r="S190" s="16"/>
      <c r="T190" s="25"/>
      <c r="U190" s="6"/>
      <c r="V190" s="6"/>
      <c r="W190" s="6"/>
      <c r="X190" s="6"/>
      <c r="Y190" s="6"/>
      <c r="Z190" s="6"/>
    </row>
    <row r="191" hidden="1" outlineLevel="1">
      <c r="A191" s="44" t="str">
        <f t="shared" si="138"/>
        <v>5-2025</v>
      </c>
      <c r="B191" s="34">
        <v>45805.0</v>
      </c>
      <c r="C191" s="45"/>
      <c r="D191" s="46">
        <v>2435.0</v>
      </c>
      <c r="E191" s="47">
        <v>76.0</v>
      </c>
      <c r="F191" s="47">
        <v>76.0</v>
      </c>
      <c r="G191" s="48">
        <f t="shared" si="2"/>
        <v>1</v>
      </c>
      <c r="H191" s="46">
        <f t="shared" si="139"/>
        <v>32.03947368</v>
      </c>
      <c r="I191" s="46">
        <f t="shared" si="140"/>
        <v>32.03947368</v>
      </c>
      <c r="J191" s="49">
        <v>2862.0</v>
      </c>
      <c r="K191" s="50">
        <f t="shared" si="5"/>
        <v>0.02655485674</v>
      </c>
      <c r="L191" s="46">
        <v>163.61</v>
      </c>
      <c r="M191" s="46">
        <v>1170.0</v>
      </c>
      <c r="N191" s="47">
        <v>37.0</v>
      </c>
      <c r="O191" s="49">
        <v>131328.0</v>
      </c>
      <c r="P191" s="50">
        <f t="shared" si="6"/>
        <v>0.1398376068</v>
      </c>
      <c r="Q191" s="51">
        <f t="shared" si="7"/>
        <v>7.15115213</v>
      </c>
      <c r="R191" s="50">
        <f t="shared" si="8"/>
        <v>0.4804928131</v>
      </c>
      <c r="S191" s="16"/>
      <c r="T191" s="25"/>
      <c r="U191" s="6"/>
      <c r="V191" s="6"/>
      <c r="W191" s="6"/>
      <c r="X191" s="6"/>
      <c r="Y191" s="6"/>
      <c r="Z191" s="6"/>
    </row>
    <row r="192" hidden="1" outlineLevel="1">
      <c r="A192" s="44" t="str">
        <f t="shared" si="138"/>
        <v>5-2025</v>
      </c>
      <c r="B192" s="34">
        <v>45806.0</v>
      </c>
      <c r="C192" s="45"/>
      <c r="D192" s="46">
        <v>2886.0</v>
      </c>
      <c r="E192" s="47">
        <v>81.0</v>
      </c>
      <c r="F192" s="47">
        <v>81.0</v>
      </c>
      <c r="G192" s="48">
        <f t="shared" si="2"/>
        <v>1</v>
      </c>
      <c r="H192" s="46">
        <f t="shared" si="139"/>
        <v>35.62962963</v>
      </c>
      <c r="I192" s="46">
        <f t="shared" si="140"/>
        <v>35.62962963</v>
      </c>
      <c r="J192" s="49">
        <v>2978.0</v>
      </c>
      <c r="K192" s="50">
        <f t="shared" si="5"/>
        <v>0.02719946273</v>
      </c>
      <c r="L192" s="46">
        <v>160.87</v>
      </c>
      <c r="M192" s="46">
        <v>1637.0</v>
      </c>
      <c r="N192" s="47">
        <v>46.0</v>
      </c>
      <c r="O192" s="49">
        <v>117533.0</v>
      </c>
      <c r="P192" s="50">
        <f t="shared" si="6"/>
        <v>0.09827122786</v>
      </c>
      <c r="Q192" s="51">
        <f t="shared" si="7"/>
        <v>10.17591844</v>
      </c>
      <c r="R192" s="50">
        <f t="shared" si="8"/>
        <v>0.5672210672</v>
      </c>
      <c r="S192" s="16"/>
      <c r="T192" s="25"/>
      <c r="U192" s="6"/>
      <c r="V192" s="6"/>
      <c r="W192" s="6"/>
      <c r="X192" s="6"/>
      <c r="Y192" s="6"/>
      <c r="Z192" s="6"/>
    </row>
    <row r="193" hidden="1" outlineLevel="1">
      <c r="A193" s="44" t="str">
        <f t="shared" si="138"/>
        <v>5-2025</v>
      </c>
      <c r="B193" s="34">
        <v>45807.0</v>
      </c>
      <c r="C193" s="45"/>
      <c r="D193" s="46">
        <v>3254.0</v>
      </c>
      <c r="E193" s="47">
        <v>100.0</v>
      </c>
      <c r="F193" s="47">
        <v>99.0</v>
      </c>
      <c r="G193" s="48">
        <f t="shared" si="2"/>
        <v>1.01010101</v>
      </c>
      <c r="H193" s="46">
        <f t="shared" si="139"/>
        <v>32.86868687</v>
      </c>
      <c r="I193" s="46">
        <f t="shared" si="140"/>
        <v>32.54</v>
      </c>
      <c r="J193" s="49">
        <v>2903.0</v>
      </c>
      <c r="K193" s="50">
        <f t="shared" si="5"/>
        <v>0.03444712367</v>
      </c>
      <c r="L193" s="46">
        <v>158.97</v>
      </c>
      <c r="M193" s="46">
        <v>2234.0</v>
      </c>
      <c r="N193" s="47">
        <v>69.0</v>
      </c>
      <c r="O193" s="49">
        <v>120495.0</v>
      </c>
      <c r="P193" s="50">
        <f t="shared" si="6"/>
        <v>0.07115935542</v>
      </c>
      <c r="Q193" s="51">
        <f t="shared" si="7"/>
        <v>14.05296597</v>
      </c>
      <c r="R193" s="50">
        <f t="shared" si="8"/>
        <v>0.6865396435</v>
      </c>
      <c r="S193" s="16"/>
      <c r="T193" s="25"/>
      <c r="U193" s="6"/>
      <c r="V193" s="6"/>
      <c r="W193" s="6"/>
      <c r="X193" s="6"/>
      <c r="Y193" s="6"/>
      <c r="Z193" s="6"/>
    </row>
    <row r="194" hidden="1" outlineLevel="1">
      <c r="A194" s="44" t="str">
        <f t="shared" si="138"/>
        <v>5-2025</v>
      </c>
      <c r="B194" s="34">
        <v>45808.0</v>
      </c>
      <c r="C194" s="45"/>
      <c r="D194" s="46">
        <v>2912.0</v>
      </c>
      <c r="E194" s="47">
        <v>81.0</v>
      </c>
      <c r="F194" s="47">
        <v>80.0</v>
      </c>
      <c r="G194" s="48">
        <f t="shared" si="2"/>
        <v>1.0125</v>
      </c>
      <c r="H194" s="46">
        <f t="shared" si="139"/>
        <v>36.4</v>
      </c>
      <c r="I194" s="46">
        <f t="shared" si="140"/>
        <v>35.95061728</v>
      </c>
      <c r="J194" s="49">
        <v>3522.0</v>
      </c>
      <c r="K194" s="50">
        <f t="shared" si="5"/>
        <v>0.02299829642</v>
      </c>
      <c r="L194" s="46">
        <v>195.36</v>
      </c>
      <c r="M194" s="46">
        <v>2147.0</v>
      </c>
      <c r="N194" s="47">
        <v>60.0</v>
      </c>
      <c r="O194" s="49">
        <v>157682.0</v>
      </c>
      <c r="P194" s="50">
        <f t="shared" si="6"/>
        <v>0.09099208197</v>
      </c>
      <c r="Q194" s="51">
        <f t="shared" si="7"/>
        <v>10.98996724</v>
      </c>
      <c r="R194" s="50">
        <f t="shared" si="8"/>
        <v>0.737293956</v>
      </c>
      <c r="S194" s="16"/>
      <c r="T194" s="25"/>
      <c r="U194" s="6"/>
      <c r="V194" s="6"/>
      <c r="W194" s="6"/>
      <c r="X194" s="6"/>
      <c r="Y194" s="6"/>
      <c r="Z194" s="6"/>
    </row>
    <row r="195" collapsed="1">
      <c r="A195" s="52" t="s">
        <v>68</v>
      </c>
      <c r="B195" s="53"/>
      <c r="C195" s="54"/>
      <c r="D195" s="55">
        <f t="shared" ref="D195:F195" si="141">SUM(D188:D194)</f>
        <v>19903</v>
      </c>
      <c r="E195" s="81">
        <f t="shared" si="141"/>
        <v>578</v>
      </c>
      <c r="F195" s="81">
        <f t="shared" si="141"/>
        <v>576</v>
      </c>
      <c r="G195" s="57">
        <f t="shared" si="2"/>
        <v>1.003472222</v>
      </c>
      <c r="H195" s="55">
        <f>AVERAGE(H188:H194)</f>
        <v>34.63117904</v>
      </c>
      <c r="I195" s="58">
        <f>H195/G195</f>
        <v>34.51134797</v>
      </c>
      <c r="J195" s="59">
        <f>SUM(J188:J194)</f>
        <v>23273</v>
      </c>
      <c r="K195" s="60">
        <f t="shared" si="5"/>
        <v>0.02483564646</v>
      </c>
      <c r="L195" s="55">
        <f t="shared" ref="L195:N195" si="142">SUM(L188:L194)</f>
        <v>1365.94</v>
      </c>
      <c r="M195" s="55">
        <f t="shared" si="142"/>
        <v>12559.97</v>
      </c>
      <c r="N195" s="56">
        <f t="shared" si="142"/>
        <v>372</v>
      </c>
      <c r="O195" s="59">
        <f>sum(O188:O194)</f>
        <v>1037029</v>
      </c>
      <c r="P195" s="60">
        <f t="shared" si="6"/>
        <v>0.1087534445</v>
      </c>
      <c r="Q195" s="61">
        <f t="shared" si="7"/>
        <v>9.195111059</v>
      </c>
      <c r="R195" s="62">
        <f t="shared" si="8"/>
        <v>0.6310591368</v>
      </c>
      <c r="S195" s="54" t="str">
        <f>iferror((D195-#REF!)/D195,)</f>
        <v/>
      </c>
      <c r="T195" s="63" t="str">
        <f>iferror((F195-#REF!)/F195,)</f>
        <v/>
      </c>
      <c r="U195" s="64">
        <f t="shared" ref="U195:V195" si="143">L195</f>
        <v>1365.94</v>
      </c>
      <c r="V195" s="64">
        <f t="shared" si="143"/>
        <v>12559.97</v>
      </c>
      <c r="W195" s="6"/>
      <c r="X195" s="6"/>
      <c r="Y195" s="6"/>
      <c r="Z195" s="6"/>
    </row>
    <row r="196" hidden="1" outlineLevel="1">
      <c r="A196" s="33" t="str">
        <f t="shared" ref="A196:A202" si="144">iferror(if(B196&gt;0,month(B196)&amp;"-"&amp;year(B196),B196),)</f>
        <v>6-2025</v>
      </c>
      <c r="B196" s="34">
        <v>45809.0</v>
      </c>
      <c r="C196" s="35"/>
      <c r="D196" s="36">
        <v>3161.0</v>
      </c>
      <c r="E196" s="37">
        <v>90.0</v>
      </c>
      <c r="F196" s="37">
        <v>90.0</v>
      </c>
      <c r="G196" s="38">
        <f t="shared" si="2"/>
        <v>1</v>
      </c>
      <c r="H196" s="36">
        <f t="shared" ref="H196:H202" si="145">D196/F196</f>
        <v>35.12222222</v>
      </c>
      <c r="I196" s="36">
        <f t="shared" ref="I196:I202" si="146">D196/E196</f>
        <v>35.12222222</v>
      </c>
      <c r="J196" s="39">
        <v>4228.0</v>
      </c>
      <c r="K196" s="40">
        <f t="shared" si="5"/>
        <v>0.02128666036</v>
      </c>
      <c r="L196" s="36">
        <v>260.53</v>
      </c>
      <c r="M196" s="36">
        <v>2162.0</v>
      </c>
      <c r="N196" s="37">
        <v>63.0</v>
      </c>
      <c r="O196" s="39">
        <v>202936.0</v>
      </c>
      <c r="P196" s="40">
        <f t="shared" si="6"/>
        <v>0.1205041628</v>
      </c>
      <c r="Q196" s="41">
        <f t="shared" si="7"/>
        <v>8.298468507</v>
      </c>
      <c r="R196" s="40">
        <f t="shared" si="8"/>
        <v>0.6839607719</v>
      </c>
      <c r="S196" s="42"/>
      <c r="T196" s="43"/>
      <c r="U196" s="6"/>
      <c r="V196" s="6"/>
      <c r="W196" s="6"/>
      <c r="X196" s="6"/>
      <c r="Y196" s="6"/>
      <c r="Z196" s="6"/>
    </row>
    <row r="197" hidden="1" outlineLevel="1">
      <c r="A197" s="44" t="str">
        <f t="shared" si="144"/>
        <v>6-2025</v>
      </c>
      <c r="B197" s="34">
        <v>45810.0</v>
      </c>
      <c r="C197" s="45"/>
      <c r="D197" s="46">
        <v>3244.0</v>
      </c>
      <c r="E197" s="47">
        <v>89.0</v>
      </c>
      <c r="F197" s="47">
        <v>89.0</v>
      </c>
      <c r="G197" s="48">
        <f t="shared" si="2"/>
        <v>1</v>
      </c>
      <c r="H197" s="46">
        <f t="shared" si="145"/>
        <v>36.4494382</v>
      </c>
      <c r="I197" s="46">
        <f t="shared" si="146"/>
        <v>36.4494382</v>
      </c>
      <c r="J197" s="49">
        <v>3219.0</v>
      </c>
      <c r="K197" s="50">
        <f t="shared" si="5"/>
        <v>0.02764833799</v>
      </c>
      <c r="L197" s="46">
        <v>206.34</v>
      </c>
      <c r="M197" s="46">
        <v>1846.0</v>
      </c>
      <c r="N197" s="47">
        <v>50.0</v>
      </c>
      <c r="O197" s="49">
        <v>149617.0</v>
      </c>
      <c r="P197" s="50">
        <f t="shared" si="6"/>
        <v>0.1117768147</v>
      </c>
      <c r="Q197" s="51">
        <f t="shared" si="7"/>
        <v>8.946399147</v>
      </c>
      <c r="R197" s="50">
        <f t="shared" si="8"/>
        <v>0.5690505549</v>
      </c>
      <c r="S197" s="16"/>
      <c r="T197" s="25"/>
      <c r="U197" s="6"/>
      <c r="V197" s="6"/>
      <c r="W197" s="6"/>
      <c r="X197" s="6"/>
      <c r="Y197" s="6"/>
      <c r="Z197" s="6"/>
    </row>
    <row r="198" hidden="1" outlineLevel="1">
      <c r="A198" s="44" t="str">
        <f t="shared" si="144"/>
        <v>6-2025</v>
      </c>
      <c r="B198" s="34">
        <v>45811.0</v>
      </c>
      <c r="C198" s="45"/>
      <c r="D198" s="46">
        <v>3373.0</v>
      </c>
      <c r="E198" s="47">
        <v>98.0</v>
      </c>
      <c r="F198" s="47">
        <v>98.0</v>
      </c>
      <c r="G198" s="48">
        <f t="shared" si="2"/>
        <v>1</v>
      </c>
      <c r="H198" s="46">
        <f t="shared" si="145"/>
        <v>34.41836735</v>
      </c>
      <c r="I198" s="46">
        <f t="shared" si="146"/>
        <v>34.41836735</v>
      </c>
      <c r="J198" s="49">
        <v>3588.0</v>
      </c>
      <c r="K198" s="50">
        <f t="shared" si="5"/>
        <v>0.02731326644</v>
      </c>
      <c r="L198" s="46">
        <v>226.28</v>
      </c>
      <c r="M198" s="46">
        <v>2105.0</v>
      </c>
      <c r="N198" s="47">
        <v>63.0</v>
      </c>
      <c r="O198" s="49">
        <v>159309.0</v>
      </c>
      <c r="P198" s="50">
        <f t="shared" si="6"/>
        <v>0.1074964371</v>
      </c>
      <c r="Q198" s="51">
        <f t="shared" si="7"/>
        <v>9.302633905</v>
      </c>
      <c r="R198" s="50">
        <f t="shared" si="8"/>
        <v>0.6240735251</v>
      </c>
      <c r="S198" s="16"/>
      <c r="T198" s="25"/>
      <c r="U198" s="6"/>
      <c r="V198" s="6"/>
      <c r="W198" s="6"/>
      <c r="X198" s="6"/>
      <c r="Y198" s="6"/>
      <c r="Z198" s="6"/>
    </row>
    <row r="199" hidden="1" outlineLevel="1">
      <c r="A199" s="44" t="str">
        <f t="shared" si="144"/>
        <v>6-2025</v>
      </c>
      <c r="B199" s="34">
        <v>45812.0</v>
      </c>
      <c r="C199" s="45"/>
      <c r="D199" s="46">
        <v>3565.0</v>
      </c>
      <c r="E199" s="47">
        <v>101.0</v>
      </c>
      <c r="F199" s="47">
        <v>101.0</v>
      </c>
      <c r="G199" s="48">
        <f t="shared" si="2"/>
        <v>1</v>
      </c>
      <c r="H199" s="46">
        <f t="shared" si="145"/>
        <v>35.2970297</v>
      </c>
      <c r="I199" s="46">
        <f t="shared" si="146"/>
        <v>35.2970297</v>
      </c>
      <c r="J199" s="49">
        <v>3686.0</v>
      </c>
      <c r="K199" s="50">
        <f t="shared" si="5"/>
        <v>0.02740097667</v>
      </c>
      <c r="L199" s="46">
        <v>265.77</v>
      </c>
      <c r="M199" s="46">
        <v>2306.0</v>
      </c>
      <c r="N199" s="47">
        <v>62.0</v>
      </c>
      <c r="O199" s="49">
        <v>176613.0</v>
      </c>
      <c r="P199" s="50">
        <f t="shared" si="6"/>
        <v>0.1152515178</v>
      </c>
      <c r="Q199" s="51">
        <f t="shared" si="7"/>
        <v>8.676675321</v>
      </c>
      <c r="R199" s="50">
        <f t="shared" si="8"/>
        <v>0.6468443198</v>
      </c>
      <c r="S199" s="16"/>
      <c r="T199" s="25"/>
      <c r="U199" s="6"/>
      <c r="V199" s="6"/>
      <c r="W199" s="6"/>
      <c r="X199" s="6"/>
      <c r="Y199" s="6"/>
      <c r="Z199" s="6"/>
    </row>
    <row r="200" hidden="1" outlineLevel="1">
      <c r="A200" s="44" t="str">
        <f t="shared" si="144"/>
        <v>6-2025</v>
      </c>
      <c r="B200" s="34">
        <v>45813.0</v>
      </c>
      <c r="C200" s="45"/>
      <c r="D200" s="46">
        <v>3010.0</v>
      </c>
      <c r="E200" s="47">
        <v>80.0</v>
      </c>
      <c r="F200" s="47">
        <v>80.0</v>
      </c>
      <c r="G200" s="48">
        <f t="shared" si="2"/>
        <v>1</v>
      </c>
      <c r="H200" s="46">
        <f t="shared" si="145"/>
        <v>37.625</v>
      </c>
      <c r="I200" s="46">
        <f t="shared" si="146"/>
        <v>37.625</v>
      </c>
      <c r="J200" s="49">
        <v>3315.0</v>
      </c>
      <c r="K200" s="50">
        <f t="shared" si="5"/>
        <v>0.02413273002</v>
      </c>
      <c r="L200" s="46">
        <v>222.98</v>
      </c>
      <c r="M200" s="46">
        <v>1505.0</v>
      </c>
      <c r="N200" s="47">
        <v>40.0</v>
      </c>
      <c r="O200" s="49">
        <v>164902.0</v>
      </c>
      <c r="P200" s="50">
        <f t="shared" si="6"/>
        <v>0.1481594684</v>
      </c>
      <c r="Q200" s="51">
        <f t="shared" si="7"/>
        <v>6.749484259</v>
      </c>
      <c r="R200" s="50">
        <f t="shared" si="8"/>
        <v>0.5</v>
      </c>
      <c r="S200" s="16"/>
      <c r="T200" s="25"/>
      <c r="U200" s="6"/>
      <c r="V200" s="6"/>
      <c r="W200" s="6"/>
      <c r="X200" s="6"/>
      <c r="Y200" s="6"/>
      <c r="Z200" s="6"/>
    </row>
    <row r="201" hidden="1" outlineLevel="1">
      <c r="A201" s="44" t="str">
        <f t="shared" si="144"/>
        <v>6-2025</v>
      </c>
      <c r="B201" s="34">
        <v>45814.0</v>
      </c>
      <c r="C201" s="45"/>
      <c r="D201" s="46">
        <v>3119.0</v>
      </c>
      <c r="E201" s="47">
        <v>83.0</v>
      </c>
      <c r="F201" s="47">
        <v>83.0</v>
      </c>
      <c r="G201" s="48">
        <f t="shared" si="2"/>
        <v>1</v>
      </c>
      <c r="H201" s="46">
        <f t="shared" si="145"/>
        <v>37.57831325</v>
      </c>
      <c r="I201" s="46">
        <f t="shared" si="146"/>
        <v>37.57831325</v>
      </c>
      <c r="J201" s="49">
        <v>3031.0</v>
      </c>
      <c r="K201" s="50">
        <f t="shared" si="5"/>
        <v>0.02738370175</v>
      </c>
      <c r="L201" s="46">
        <v>177.37</v>
      </c>
      <c r="M201" s="46">
        <v>1349.0</v>
      </c>
      <c r="N201" s="47">
        <v>36.0</v>
      </c>
      <c r="O201" s="49">
        <v>139711.0</v>
      </c>
      <c r="P201" s="50">
        <f t="shared" si="6"/>
        <v>0.1314825797</v>
      </c>
      <c r="Q201" s="51">
        <f t="shared" si="7"/>
        <v>7.605570277</v>
      </c>
      <c r="R201" s="50">
        <f t="shared" si="8"/>
        <v>0.43251042</v>
      </c>
      <c r="S201" s="16"/>
      <c r="T201" s="25"/>
      <c r="U201" s="6"/>
      <c r="V201" s="6"/>
      <c r="W201" s="6"/>
      <c r="X201" s="6"/>
      <c r="Y201" s="6"/>
      <c r="Z201" s="6"/>
    </row>
    <row r="202" hidden="1" outlineLevel="1">
      <c r="A202" s="44" t="str">
        <f t="shared" si="144"/>
        <v>6-2025</v>
      </c>
      <c r="B202" s="34">
        <v>45815.0</v>
      </c>
      <c r="C202" s="45"/>
      <c r="D202" s="46">
        <v>2780.0</v>
      </c>
      <c r="E202" s="47">
        <v>76.0</v>
      </c>
      <c r="F202" s="47">
        <v>76.0</v>
      </c>
      <c r="G202" s="48">
        <f t="shared" si="2"/>
        <v>1</v>
      </c>
      <c r="H202" s="46">
        <f t="shared" si="145"/>
        <v>36.57894737</v>
      </c>
      <c r="I202" s="46">
        <f t="shared" si="146"/>
        <v>36.57894737</v>
      </c>
      <c r="J202" s="49">
        <v>3705.0</v>
      </c>
      <c r="K202" s="50">
        <f t="shared" si="5"/>
        <v>0.02051282051</v>
      </c>
      <c r="L202" s="46">
        <v>244.16</v>
      </c>
      <c r="M202" s="46">
        <v>2105.0</v>
      </c>
      <c r="N202" s="47">
        <v>60.0</v>
      </c>
      <c r="O202" s="49">
        <v>177312.0</v>
      </c>
      <c r="P202" s="50">
        <f t="shared" si="6"/>
        <v>0.1159904988</v>
      </c>
      <c r="Q202" s="51">
        <f t="shared" si="7"/>
        <v>8.621395806</v>
      </c>
      <c r="R202" s="50">
        <f t="shared" si="8"/>
        <v>0.7571942446</v>
      </c>
      <c r="S202" s="16"/>
      <c r="T202" s="25"/>
      <c r="U202" s="6"/>
      <c r="V202" s="6"/>
      <c r="W202" s="6"/>
      <c r="X202" s="6"/>
      <c r="Y202" s="6"/>
      <c r="Z202" s="6"/>
    </row>
    <row r="203" collapsed="1">
      <c r="A203" s="52" t="s">
        <v>69</v>
      </c>
      <c r="B203" s="53"/>
      <c r="C203" s="54"/>
      <c r="D203" s="55">
        <f t="shared" ref="D203:F203" si="147">SUM(D196:D202)</f>
        <v>22252</v>
      </c>
      <c r="E203" s="81">
        <f t="shared" si="147"/>
        <v>617</v>
      </c>
      <c r="F203" s="81">
        <f t="shared" si="147"/>
        <v>617</v>
      </c>
      <c r="G203" s="57">
        <f t="shared" si="2"/>
        <v>1</v>
      </c>
      <c r="H203" s="55">
        <f>AVERAGE(H196:H202)</f>
        <v>36.15275973</v>
      </c>
      <c r="I203" s="58">
        <f>H203/G203</f>
        <v>36.15275973</v>
      </c>
      <c r="J203" s="59">
        <f>SUM(J196:J202)</f>
        <v>24772</v>
      </c>
      <c r="K203" s="60">
        <f t="shared" si="5"/>
        <v>0.02490715324</v>
      </c>
      <c r="L203" s="55">
        <f t="shared" ref="L203:N203" si="148">SUM(L196:L202)</f>
        <v>1603.43</v>
      </c>
      <c r="M203" s="55">
        <f t="shared" si="148"/>
        <v>13378</v>
      </c>
      <c r="N203" s="56">
        <f t="shared" si="148"/>
        <v>374</v>
      </c>
      <c r="O203" s="59">
        <f>sum(O196:O202)</f>
        <v>1170400</v>
      </c>
      <c r="P203" s="60">
        <f t="shared" si="6"/>
        <v>0.1198557333</v>
      </c>
      <c r="Q203" s="61">
        <f t="shared" si="7"/>
        <v>8.343363914</v>
      </c>
      <c r="R203" s="62">
        <f t="shared" si="8"/>
        <v>0.6012043861</v>
      </c>
      <c r="S203" s="54" t="str">
        <f>iferror((D203-#REF!)/D203,)</f>
        <v/>
      </c>
      <c r="T203" s="63" t="str">
        <f>iferror((F203-#REF!)/F203,)</f>
        <v/>
      </c>
      <c r="U203" s="64">
        <f t="shared" ref="U203:V203" si="149">L203</f>
        <v>1603.43</v>
      </c>
      <c r="V203" s="64">
        <f t="shared" si="149"/>
        <v>13378</v>
      </c>
      <c r="W203" s="6"/>
      <c r="X203" s="6"/>
      <c r="Y203" s="6"/>
      <c r="Z203" s="6"/>
    </row>
    <row r="204" hidden="1" outlineLevel="1">
      <c r="A204" s="33" t="str">
        <f t="shared" ref="A204:A210" si="150">iferror(if(B204&gt;0,month(B204)&amp;"-"&amp;year(B204),B204),)</f>
        <v>6-2025</v>
      </c>
      <c r="B204" s="34">
        <v>45816.0</v>
      </c>
      <c r="C204" s="35"/>
      <c r="D204" s="36">
        <v>3255.0</v>
      </c>
      <c r="E204" s="37">
        <v>99.0</v>
      </c>
      <c r="F204" s="37">
        <v>99.0</v>
      </c>
      <c r="G204" s="38">
        <f t="shared" si="2"/>
        <v>1</v>
      </c>
      <c r="H204" s="36">
        <f t="shared" ref="H204:H210" si="151">D204/F204</f>
        <v>32.87878788</v>
      </c>
      <c r="I204" s="36">
        <f t="shared" ref="I204:I210" si="152">D204/E204</f>
        <v>32.87878788</v>
      </c>
      <c r="J204" s="39">
        <v>4769.0</v>
      </c>
      <c r="K204" s="40">
        <f t="shared" si="5"/>
        <v>0.02075906899</v>
      </c>
      <c r="L204" s="36">
        <v>343.94</v>
      </c>
      <c r="M204" s="36">
        <v>2052.0</v>
      </c>
      <c r="N204" s="37">
        <v>61.0</v>
      </c>
      <c r="O204" s="39">
        <v>232669.0</v>
      </c>
      <c r="P204" s="40">
        <f t="shared" si="6"/>
        <v>0.1676120858</v>
      </c>
      <c r="Q204" s="41">
        <f t="shared" si="7"/>
        <v>5.966156888</v>
      </c>
      <c r="R204" s="40">
        <f t="shared" si="8"/>
        <v>0.6304147465</v>
      </c>
      <c r="S204" s="42"/>
      <c r="T204" s="43"/>
      <c r="U204" s="6"/>
      <c r="V204" s="6"/>
      <c r="W204" s="6"/>
      <c r="X204" s="6"/>
      <c r="Y204" s="6"/>
      <c r="Z204" s="6"/>
    </row>
    <row r="205" hidden="1" outlineLevel="1">
      <c r="A205" s="44" t="str">
        <f t="shared" si="150"/>
        <v>6-2025</v>
      </c>
      <c r="B205" s="34">
        <v>45817.0</v>
      </c>
      <c r="C205" s="45"/>
      <c r="D205" s="46">
        <v>5476.0</v>
      </c>
      <c r="E205" s="47">
        <v>150.0</v>
      </c>
      <c r="F205" s="47">
        <v>147.0</v>
      </c>
      <c r="G205" s="48">
        <f t="shared" si="2"/>
        <v>1.020408163</v>
      </c>
      <c r="H205" s="46">
        <f t="shared" si="151"/>
        <v>37.25170068</v>
      </c>
      <c r="I205" s="46">
        <f t="shared" si="152"/>
        <v>36.50666667</v>
      </c>
      <c r="J205" s="49">
        <v>4743.0</v>
      </c>
      <c r="K205" s="50">
        <f t="shared" si="5"/>
        <v>0.03162555345</v>
      </c>
      <c r="L205" s="46">
        <v>323.01</v>
      </c>
      <c r="M205" s="46">
        <v>3999.0</v>
      </c>
      <c r="N205" s="47">
        <v>105.0</v>
      </c>
      <c r="O205" s="49">
        <v>225221.0</v>
      </c>
      <c r="P205" s="50">
        <f t="shared" si="6"/>
        <v>0.08077269317</v>
      </c>
      <c r="Q205" s="51">
        <f t="shared" si="7"/>
        <v>12.38042166</v>
      </c>
      <c r="R205" s="50">
        <f t="shared" si="8"/>
        <v>0.7302775749</v>
      </c>
      <c r="S205" s="16"/>
      <c r="T205" s="25"/>
      <c r="U205" s="6"/>
      <c r="V205" s="6"/>
      <c r="W205" s="6"/>
      <c r="X205" s="6"/>
      <c r="Y205" s="6"/>
      <c r="Z205" s="6"/>
    </row>
    <row r="206" hidden="1" outlineLevel="1">
      <c r="A206" s="44" t="str">
        <f t="shared" si="150"/>
        <v>6-2025</v>
      </c>
      <c r="B206" s="34">
        <v>45818.0</v>
      </c>
      <c r="C206" s="45"/>
      <c r="D206" s="46">
        <v>4669.0</v>
      </c>
      <c r="E206" s="47">
        <v>122.0</v>
      </c>
      <c r="F206" s="47">
        <v>120.0</v>
      </c>
      <c r="G206" s="48">
        <f t="shared" si="2"/>
        <v>1.016666667</v>
      </c>
      <c r="H206" s="46">
        <f t="shared" si="151"/>
        <v>38.90833333</v>
      </c>
      <c r="I206" s="46">
        <f t="shared" si="152"/>
        <v>38.2704918</v>
      </c>
      <c r="J206" s="49">
        <v>4687.0</v>
      </c>
      <c r="K206" s="50">
        <f t="shared" si="5"/>
        <v>0.02602944314</v>
      </c>
      <c r="L206" s="46">
        <v>340.92</v>
      </c>
      <c r="M206" s="46">
        <v>3219.0</v>
      </c>
      <c r="N206" s="47">
        <v>86.0</v>
      </c>
      <c r="O206" s="49">
        <v>216581.0</v>
      </c>
      <c r="P206" s="50">
        <f t="shared" si="6"/>
        <v>0.1059086673</v>
      </c>
      <c r="Q206" s="51">
        <f t="shared" si="7"/>
        <v>9.442097853</v>
      </c>
      <c r="R206" s="50">
        <f t="shared" si="8"/>
        <v>0.6894409938</v>
      </c>
      <c r="S206" s="16"/>
      <c r="T206" s="25"/>
      <c r="U206" s="6"/>
      <c r="V206" s="6"/>
      <c r="W206" s="6"/>
      <c r="X206" s="6"/>
      <c r="Y206" s="6"/>
      <c r="Z206" s="6"/>
    </row>
    <row r="207" hidden="1" outlineLevel="1">
      <c r="A207" s="44" t="str">
        <f t="shared" si="150"/>
        <v>6-2025</v>
      </c>
      <c r="B207" s="34">
        <v>45819.0</v>
      </c>
      <c r="C207" s="45"/>
      <c r="D207" s="46">
        <v>3984.0</v>
      </c>
      <c r="E207" s="47">
        <v>109.0</v>
      </c>
      <c r="F207" s="47">
        <v>108.0</v>
      </c>
      <c r="G207" s="48">
        <f t="shared" si="2"/>
        <v>1.009259259</v>
      </c>
      <c r="H207" s="46">
        <f t="shared" si="151"/>
        <v>36.88888889</v>
      </c>
      <c r="I207" s="46">
        <f t="shared" si="152"/>
        <v>36.55045872</v>
      </c>
      <c r="J207" s="49">
        <v>4563.0</v>
      </c>
      <c r="K207" s="50">
        <f t="shared" si="5"/>
        <v>0.02388779312</v>
      </c>
      <c r="L207" s="46">
        <v>336.6</v>
      </c>
      <c r="M207" s="46">
        <v>2544.0</v>
      </c>
      <c r="N207" s="47">
        <v>67.0</v>
      </c>
      <c r="O207" s="49">
        <v>224895.0</v>
      </c>
      <c r="P207" s="50">
        <f t="shared" si="6"/>
        <v>0.1323113208</v>
      </c>
      <c r="Q207" s="51">
        <f t="shared" si="7"/>
        <v>7.557932264</v>
      </c>
      <c r="R207" s="50">
        <f t="shared" si="8"/>
        <v>0.6385542169</v>
      </c>
      <c r="S207" s="16"/>
      <c r="T207" s="25"/>
      <c r="U207" s="6"/>
      <c r="V207" s="6"/>
      <c r="W207" s="6"/>
      <c r="X207" s="6"/>
      <c r="Y207" s="6"/>
      <c r="Z207" s="6"/>
    </row>
    <row r="208" hidden="1" outlineLevel="1">
      <c r="A208" s="44" t="str">
        <f t="shared" si="150"/>
        <v>6-2025</v>
      </c>
      <c r="B208" s="34">
        <v>45820.0</v>
      </c>
      <c r="C208" s="45"/>
      <c r="D208" s="46">
        <v>3518.0</v>
      </c>
      <c r="E208" s="47">
        <v>101.0</v>
      </c>
      <c r="F208" s="47">
        <v>101.0</v>
      </c>
      <c r="G208" s="48">
        <f t="shared" si="2"/>
        <v>1</v>
      </c>
      <c r="H208" s="46">
        <f t="shared" si="151"/>
        <v>34.83168317</v>
      </c>
      <c r="I208" s="46">
        <f t="shared" si="152"/>
        <v>34.83168317</v>
      </c>
      <c r="J208" s="49">
        <v>4138.0</v>
      </c>
      <c r="K208" s="50">
        <f t="shared" si="5"/>
        <v>0.02440792653</v>
      </c>
      <c r="L208" s="46">
        <v>276.85</v>
      </c>
      <c r="M208" s="46">
        <v>1950.0</v>
      </c>
      <c r="N208" s="47">
        <v>54.0</v>
      </c>
      <c r="O208" s="49">
        <v>211618.0</v>
      </c>
      <c r="P208" s="50">
        <f t="shared" si="6"/>
        <v>0.141974359</v>
      </c>
      <c r="Q208" s="51">
        <f t="shared" si="7"/>
        <v>7.043525375</v>
      </c>
      <c r="R208" s="50">
        <f t="shared" si="8"/>
        <v>0.5542922115</v>
      </c>
      <c r="S208" s="16"/>
      <c r="T208" s="25"/>
      <c r="U208" s="6"/>
      <c r="V208" s="6"/>
      <c r="W208" s="6"/>
      <c r="X208" s="6"/>
      <c r="Y208" s="6"/>
      <c r="Z208" s="6"/>
    </row>
    <row r="209" hidden="1" outlineLevel="1">
      <c r="A209" s="44" t="str">
        <f t="shared" si="150"/>
        <v>6-2025</v>
      </c>
      <c r="B209" s="34">
        <v>45821.0</v>
      </c>
      <c r="C209" s="45"/>
      <c r="D209" s="46">
        <v>2313.0</v>
      </c>
      <c r="E209" s="47">
        <v>67.0</v>
      </c>
      <c r="F209" s="47">
        <v>67.0</v>
      </c>
      <c r="G209" s="48">
        <f t="shared" si="2"/>
        <v>1</v>
      </c>
      <c r="H209" s="46">
        <f t="shared" si="151"/>
        <v>34.52238806</v>
      </c>
      <c r="I209" s="46">
        <f t="shared" si="152"/>
        <v>34.52238806</v>
      </c>
      <c r="J209" s="49">
        <v>4099.0</v>
      </c>
      <c r="K209" s="50">
        <f t="shared" si="5"/>
        <v>0.01634545011</v>
      </c>
      <c r="L209" s="46">
        <v>301.44</v>
      </c>
      <c r="M209" s="46">
        <v>1265.0</v>
      </c>
      <c r="N209" s="47">
        <v>35.0</v>
      </c>
      <c r="O209" s="49">
        <v>212275.0</v>
      </c>
      <c r="P209" s="50">
        <f t="shared" si="6"/>
        <v>0.2382924901</v>
      </c>
      <c r="Q209" s="51">
        <f t="shared" si="7"/>
        <v>4.196523355</v>
      </c>
      <c r="R209" s="50">
        <f t="shared" si="8"/>
        <v>0.5469087765</v>
      </c>
      <c r="S209" s="16"/>
      <c r="T209" s="25"/>
      <c r="U209" s="6"/>
      <c r="V209" s="6"/>
      <c r="W209" s="6"/>
      <c r="X209" s="6"/>
      <c r="Y209" s="6"/>
      <c r="Z209" s="6"/>
    </row>
    <row r="210" hidden="1" outlineLevel="1">
      <c r="A210" s="44" t="str">
        <f t="shared" si="150"/>
        <v>6-2025</v>
      </c>
      <c r="B210" s="34">
        <v>45822.0</v>
      </c>
      <c r="C210" s="45"/>
      <c r="D210" s="46">
        <v>2144.0</v>
      </c>
      <c r="E210" s="47">
        <v>60.0</v>
      </c>
      <c r="F210" s="47">
        <v>60.0</v>
      </c>
      <c r="G210" s="48">
        <f t="shared" si="2"/>
        <v>1</v>
      </c>
      <c r="H210" s="46">
        <f t="shared" si="151"/>
        <v>35.73333333</v>
      </c>
      <c r="I210" s="46">
        <f t="shared" si="152"/>
        <v>35.73333333</v>
      </c>
      <c r="J210" s="49">
        <v>3914.0</v>
      </c>
      <c r="K210" s="50">
        <f t="shared" si="5"/>
        <v>0.0153295861</v>
      </c>
      <c r="L210" s="46">
        <v>266.51</v>
      </c>
      <c r="M210" s="46">
        <v>1438.0</v>
      </c>
      <c r="N210" s="47">
        <v>38.0</v>
      </c>
      <c r="O210" s="49">
        <v>202916.0</v>
      </c>
      <c r="P210" s="50">
        <f t="shared" si="6"/>
        <v>0.1853337969</v>
      </c>
      <c r="Q210" s="51">
        <f t="shared" si="7"/>
        <v>5.395669956</v>
      </c>
      <c r="R210" s="50">
        <f t="shared" si="8"/>
        <v>0.6707089552</v>
      </c>
      <c r="S210" s="16"/>
      <c r="T210" s="25"/>
      <c r="U210" s="6"/>
      <c r="V210" s="6"/>
      <c r="W210" s="6"/>
      <c r="X210" s="6"/>
      <c r="Y210" s="6"/>
      <c r="Z210" s="6"/>
    </row>
    <row r="211" collapsed="1">
      <c r="A211" s="52" t="s">
        <v>70</v>
      </c>
      <c r="B211" s="53"/>
      <c r="C211" s="54"/>
      <c r="D211" s="55">
        <f t="shared" ref="D211:F211" si="153">SUM(D204:D210)</f>
        <v>25359</v>
      </c>
      <c r="E211" s="81">
        <f t="shared" si="153"/>
        <v>708</v>
      </c>
      <c r="F211" s="81">
        <f t="shared" si="153"/>
        <v>702</v>
      </c>
      <c r="G211" s="57">
        <f t="shared" si="2"/>
        <v>1.008547009</v>
      </c>
      <c r="H211" s="55">
        <f>AVERAGE(H204:H210)</f>
        <v>35.85930219</v>
      </c>
      <c r="I211" s="58">
        <f>H211/G211</f>
        <v>35.5554098</v>
      </c>
      <c r="J211" s="59">
        <f>SUM(J204:J210)</f>
        <v>30913</v>
      </c>
      <c r="K211" s="60">
        <f t="shared" si="5"/>
        <v>0.0229029858</v>
      </c>
      <c r="L211" s="55">
        <f t="shared" ref="L211:N211" si="154">SUM(L204:L210)</f>
        <v>2189.27</v>
      </c>
      <c r="M211" s="55">
        <f t="shared" si="154"/>
        <v>16467</v>
      </c>
      <c r="N211" s="56">
        <f t="shared" si="154"/>
        <v>446</v>
      </c>
      <c r="O211" s="59">
        <f>sum(O204:O210)</f>
        <v>1526175</v>
      </c>
      <c r="P211" s="60">
        <f t="shared" si="6"/>
        <v>0.1329489282</v>
      </c>
      <c r="Q211" s="61">
        <f t="shared" si="7"/>
        <v>7.521685311</v>
      </c>
      <c r="R211" s="62">
        <f t="shared" si="8"/>
        <v>0.6493552585</v>
      </c>
      <c r="S211" s="54" t="str">
        <f>iferror((D211-#REF!)/D211,)</f>
        <v/>
      </c>
      <c r="T211" s="63" t="str">
        <f>iferror((F211-#REF!)/F211,)</f>
        <v/>
      </c>
      <c r="U211" s="64">
        <f t="shared" ref="U211:V211" si="155">L211</f>
        <v>2189.27</v>
      </c>
      <c r="V211" s="64">
        <f t="shared" si="155"/>
        <v>16467</v>
      </c>
      <c r="W211" s="6"/>
      <c r="X211" s="6"/>
      <c r="Y211" s="6"/>
      <c r="Z211" s="6"/>
    </row>
    <row r="212" hidden="1" outlineLevel="1">
      <c r="A212" s="33" t="str">
        <f t="shared" ref="A212:A218" si="156">iferror(if(B212&gt;0,month(B212)&amp;"-"&amp;year(B212),B212),)</f>
        <v>6-2025</v>
      </c>
      <c r="B212" s="34">
        <v>45823.0</v>
      </c>
      <c r="C212" s="35"/>
      <c r="D212" s="36">
        <v>2987.0</v>
      </c>
      <c r="E212" s="37">
        <v>80.0</v>
      </c>
      <c r="F212" s="37">
        <v>80.0</v>
      </c>
      <c r="G212" s="38">
        <f t="shared" si="2"/>
        <v>1</v>
      </c>
      <c r="H212" s="36">
        <f t="shared" ref="H212:H218" si="157">D212/F212</f>
        <v>37.3375</v>
      </c>
      <c r="I212" s="36">
        <f t="shared" ref="I212:I218" si="158">D212/E212</f>
        <v>37.3375</v>
      </c>
      <c r="J212" s="39">
        <v>4036.0</v>
      </c>
      <c r="K212" s="40">
        <f t="shared" si="5"/>
        <v>0.01982160555</v>
      </c>
      <c r="L212" s="36">
        <v>244.91</v>
      </c>
      <c r="M212" s="36">
        <v>2023.0</v>
      </c>
      <c r="N212" s="37">
        <v>57.0</v>
      </c>
      <c r="O212" s="39">
        <v>223015.0</v>
      </c>
      <c r="P212" s="40">
        <f t="shared" si="6"/>
        <v>0.1210627781</v>
      </c>
      <c r="Q212" s="41">
        <f t="shared" si="7"/>
        <v>8.260177208</v>
      </c>
      <c r="R212" s="40">
        <f t="shared" si="8"/>
        <v>0.677268162</v>
      </c>
      <c r="S212" s="42"/>
      <c r="T212" s="43"/>
      <c r="U212" s="6"/>
      <c r="V212" s="6"/>
      <c r="W212" s="6"/>
      <c r="X212" s="6"/>
      <c r="Y212" s="6"/>
      <c r="Z212" s="6"/>
    </row>
    <row r="213" hidden="1" outlineLevel="1">
      <c r="A213" s="44" t="str">
        <f t="shared" si="156"/>
        <v>6-2025</v>
      </c>
      <c r="B213" s="34">
        <v>45824.0</v>
      </c>
      <c r="C213" s="45"/>
      <c r="D213" s="46">
        <v>3356.0</v>
      </c>
      <c r="E213" s="47">
        <v>93.0</v>
      </c>
      <c r="F213" s="47">
        <v>93.0</v>
      </c>
      <c r="G213" s="48">
        <f t="shared" si="2"/>
        <v>1</v>
      </c>
      <c r="H213" s="46">
        <f t="shared" si="157"/>
        <v>36.08602151</v>
      </c>
      <c r="I213" s="46">
        <f t="shared" si="158"/>
        <v>36.08602151</v>
      </c>
      <c r="J213" s="49">
        <v>3831.0</v>
      </c>
      <c r="K213" s="50">
        <f t="shared" si="5"/>
        <v>0.02427564605</v>
      </c>
      <c r="L213" s="46">
        <v>240.29</v>
      </c>
      <c r="M213" s="46">
        <v>2484.0</v>
      </c>
      <c r="N213" s="47">
        <v>69.0</v>
      </c>
      <c r="O213" s="49">
        <v>173441.0</v>
      </c>
      <c r="P213" s="50">
        <f t="shared" si="6"/>
        <v>0.09673510467</v>
      </c>
      <c r="Q213" s="51">
        <f t="shared" si="7"/>
        <v>10.33750884</v>
      </c>
      <c r="R213" s="50">
        <f t="shared" si="8"/>
        <v>0.7401668653</v>
      </c>
      <c r="S213" s="16"/>
      <c r="T213" s="25"/>
      <c r="U213" s="6"/>
      <c r="V213" s="6"/>
      <c r="W213" s="6"/>
      <c r="X213" s="6"/>
      <c r="Y213" s="6"/>
      <c r="Z213" s="6"/>
    </row>
    <row r="214" hidden="1" outlineLevel="1">
      <c r="A214" s="44" t="str">
        <f t="shared" si="156"/>
        <v>6-2025</v>
      </c>
      <c r="B214" s="34">
        <v>45825.0</v>
      </c>
      <c r="C214" s="45"/>
      <c r="D214" s="46">
        <v>3823.0</v>
      </c>
      <c r="E214" s="47">
        <v>109.0</v>
      </c>
      <c r="F214" s="47">
        <v>105.0</v>
      </c>
      <c r="G214" s="48">
        <f t="shared" si="2"/>
        <v>1.038095238</v>
      </c>
      <c r="H214" s="46">
        <f t="shared" si="157"/>
        <v>36.40952381</v>
      </c>
      <c r="I214" s="46">
        <f t="shared" si="158"/>
        <v>35.0733945</v>
      </c>
      <c r="J214" s="49">
        <v>3391.0</v>
      </c>
      <c r="K214" s="50">
        <f t="shared" si="5"/>
        <v>0.03214391035</v>
      </c>
      <c r="L214" s="46">
        <v>200.27</v>
      </c>
      <c r="M214" s="46">
        <v>2267.0</v>
      </c>
      <c r="N214" s="47">
        <v>64.0</v>
      </c>
      <c r="O214" s="49">
        <v>164697.0</v>
      </c>
      <c r="P214" s="50">
        <f t="shared" si="6"/>
        <v>0.08834142038</v>
      </c>
      <c r="Q214" s="51">
        <f t="shared" si="7"/>
        <v>11.31971838</v>
      </c>
      <c r="R214" s="50">
        <f t="shared" si="8"/>
        <v>0.5929897986</v>
      </c>
      <c r="S214" s="16"/>
      <c r="T214" s="25"/>
      <c r="U214" s="6"/>
      <c r="V214" s="6"/>
      <c r="W214" s="6"/>
      <c r="X214" s="6"/>
      <c r="Y214" s="6"/>
      <c r="Z214" s="6"/>
    </row>
    <row r="215" hidden="1" outlineLevel="1">
      <c r="A215" s="44" t="str">
        <f t="shared" si="156"/>
        <v>6-2025</v>
      </c>
      <c r="B215" s="34">
        <v>45826.0</v>
      </c>
      <c r="C215" s="45"/>
      <c r="D215" s="46">
        <v>1940.0</v>
      </c>
      <c r="E215" s="47">
        <v>58.0</v>
      </c>
      <c r="F215" s="47">
        <v>58.0</v>
      </c>
      <c r="G215" s="48">
        <f t="shared" si="2"/>
        <v>1</v>
      </c>
      <c r="H215" s="46">
        <f t="shared" si="157"/>
        <v>33.44827586</v>
      </c>
      <c r="I215" s="46">
        <f t="shared" si="158"/>
        <v>33.44827586</v>
      </c>
      <c r="J215" s="49">
        <v>3332.0</v>
      </c>
      <c r="K215" s="50">
        <f t="shared" si="5"/>
        <v>0.01740696279</v>
      </c>
      <c r="L215" s="46">
        <v>201.45</v>
      </c>
      <c r="M215" s="46">
        <v>1063.0</v>
      </c>
      <c r="N215" s="47">
        <v>34.0</v>
      </c>
      <c r="O215" s="49">
        <v>155792.0</v>
      </c>
      <c r="P215" s="50">
        <f t="shared" si="6"/>
        <v>0.1895108184</v>
      </c>
      <c r="Q215" s="51">
        <f t="shared" si="7"/>
        <v>5.276743609</v>
      </c>
      <c r="R215" s="50">
        <f t="shared" si="8"/>
        <v>0.5479381443</v>
      </c>
      <c r="S215" s="16"/>
      <c r="T215" s="25"/>
      <c r="U215" s="6"/>
      <c r="V215" s="6"/>
      <c r="W215" s="6"/>
      <c r="X215" s="6"/>
      <c r="Y215" s="6"/>
      <c r="Z215" s="6"/>
    </row>
    <row r="216" hidden="1" outlineLevel="1">
      <c r="A216" s="44" t="str">
        <f t="shared" si="156"/>
        <v>6-2025</v>
      </c>
      <c r="B216" s="34">
        <v>45827.0</v>
      </c>
      <c r="C216" s="45"/>
      <c r="D216" s="46">
        <v>2047.0</v>
      </c>
      <c r="E216" s="47">
        <v>64.0</v>
      </c>
      <c r="F216" s="47">
        <v>64.0</v>
      </c>
      <c r="G216" s="48">
        <f t="shared" si="2"/>
        <v>1</v>
      </c>
      <c r="H216" s="46">
        <f t="shared" si="157"/>
        <v>31.984375</v>
      </c>
      <c r="I216" s="46">
        <f t="shared" si="158"/>
        <v>31.984375</v>
      </c>
      <c r="J216" s="49">
        <v>3011.0</v>
      </c>
      <c r="K216" s="50">
        <f t="shared" si="5"/>
        <v>0.02125539688</v>
      </c>
      <c r="L216" s="46">
        <v>159.38</v>
      </c>
      <c r="M216" s="46">
        <v>1090.0</v>
      </c>
      <c r="N216" s="47">
        <v>32.0</v>
      </c>
      <c r="O216" s="49">
        <v>141339.0</v>
      </c>
      <c r="P216" s="50">
        <f t="shared" si="6"/>
        <v>0.1462201835</v>
      </c>
      <c r="Q216" s="51">
        <f t="shared" si="7"/>
        <v>6.839001129</v>
      </c>
      <c r="R216" s="50">
        <f t="shared" si="8"/>
        <v>0.5324865657</v>
      </c>
      <c r="S216" s="16"/>
      <c r="T216" s="25"/>
      <c r="U216" s="6"/>
      <c r="V216" s="6"/>
      <c r="W216" s="6"/>
      <c r="X216" s="6"/>
      <c r="Y216" s="6"/>
      <c r="Z216" s="6"/>
    </row>
    <row r="217" hidden="1" outlineLevel="1">
      <c r="A217" s="44" t="str">
        <f t="shared" si="156"/>
        <v>6-2025</v>
      </c>
      <c r="B217" s="34">
        <v>45828.0</v>
      </c>
      <c r="C217" s="45"/>
      <c r="D217" s="46">
        <v>2314.0</v>
      </c>
      <c r="E217" s="47">
        <v>68.0</v>
      </c>
      <c r="F217" s="47">
        <v>68.0</v>
      </c>
      <c r="G217" s="48">
        <f t="shared" si="2"/>
        <v>1</v>
      </c>
      <c r="H217" s="46">
        <f t="shared" si="157"/>
        <v>34.02941176</v>
      </c>
      <c r="I217" s="46">
        <f t="shared" si="158"/>
        <v>34.02941176</v>
      </c>
      <c r="J217" s="49">
        <v>2707.0</v>
      </c>
      <c r="K217" s="50">
        <f t="shared" si="5"/>
        <v>0.02512005911</v>
      </c>
      <c r="L217" s="46">
        <v>165.02</v>
      </c>
      <c r="M217" s="46">
        <v>1365.0</v>
      </c>
      <c r="N217" s="47">
        <v>40.0</v>
      </c>
      <c r="O217" s="49">
        <v>124961.0</v>
      </c>
      <c r="P217" s="50">
        <f t="shared" si="6"/>
        <v>0.1208937729</v>
      </c>
      <c r="Q217" s="51">
        <f t="shared" si="7"/>
        <v>8.271724639</v>
      </c>
      <c r="R217" s="50">
        <f t="shared" si="8"/>
        <v>0.5898876404</v>
      </c>
      <c r="S217" s="16"/>
      <c r="T217" s="25"/>
      <c r="U217" s="6"/>
      <c r="V217" s="6"/>
      <c r="W217" s="6"/>
      <c r="X217" s="6"/>
      <c r="Y217" s="6"/>
      <c r="Z217" s="6"/>
    </row>
    <row r="218" hidden="1" outlineLevel="1">
      <c r="A218" s="44" t="str">
        <f t="shared" si="156"/>
        <v>6-2025</v>
      </c>
      <c r="B218" s="34">
        <v>45829.0</v>
      </c>
      <c r="C218" s="45"/>
      <c r="D218" s="46">
        <v>2703.0</v>
      </c>
      <c r="E218" s="47">
        <v>82.0</v>
      </c>
      <c r="F218" s="47">
        <v>82.0</v>
      </c>
      <c r="G218" s="48">
        <f t="shared" si="2"/>
        <v>1</v>
      </c>
      <c r="H218" s="46">
        <f t="shared" si="157"/>
        <v>32.96341463</v>
      </c>
      <c r="I218" s="46">
        <f t="shared" si="158"/>
        <v>32.96341463</v>
      </c>
      <c r="J218" s="49">
        <v>3017.0</v>
      </c>
      <c r="K218" s="50">
        <f t="shared" si="5"/>
        <v>0.0271793172</v>
      </c>
      <c r="L218" s="46">
        <v>155.65</v>
      </c>
      <c r="M218" s="46">
        <v>1228.0</v>
      </c>
      <c r="N218" s="47">
        <v>35.0</v>
      </c>
      <c r="O218" s="49">
        <v>139539.0</v>
      </c>
      <c r="P218" s="50">
        <f t="shared" si="6"/>
        <v>0.1267508143</v>
      </c>
      <c r="Q218" s="51">
        <f t="shared" si="7"/>
        <v>7.889495663</v>
      </c>
      <c r="R218" s="50">
        <f t="shared" si="8"/>
        <v>0.4543100259</v>
      </c>
      <c r="S218" s="16"/>
      <c r="T218" s="25"/>
      <c r="U218" s="6"/>
      <c r="V218" s="6"/>
      <c r="W218" s="6"/>
      <c r="X218" s="6"/>
      <c r="Y218" s="6"/>
      <c r="Z218" s="6"/>
    </row>
    <row r="219" collapsed="1">
      <c r="A219" s="52" t="s">
        <v>71</v>
      </c>
      <c r="B219" s="53"/>
      <c r="C219" s="54"/>
      <c r="D219" s="55">
        <f t="shared" ref="D219:F219" si="159">SUM(D212:D218)</f>
        <v>19170</v>
      </c>
      <c r="E219" s="81">
        <f t="shared" si="159"/>
        <v>554</v>
      </c>
      <c r="F219" s="81">
        <f t="shared" si="159"/>
        <v>550</v>
      </c>
      <c r="G219" s="57">
        <f t="shared" si="2"/>
        <v>1.007272727</v>
      </c>
      <c r="H219" s="55">
        <f>AVERAGE(H212:H218)</f>
        <v>34.60836037</v>
      </c>
      <c r="I219" s="58">
        <f>H219/G219</f>
        <v>34.35848051</v>
      </c>
      <c r="J219" s="59">
        <f>SUM(J212:J218)</f>
        <v>23325</v>
      </c>
      <c r="K219" s="60">
        <f t="shared" si="5"/>
        <v>0.02375133976</v>
      </c>
      <c r="L219" s="55">
        <f t="shared" ref="L219:N219" si="160">SUM(L212:L218)</f>
        <v>1366.97</v>
      </c>
      <c r="M219" s="55">
        <f t="shared" si="160"/>
        <v>11520</v>
      </c>
      <c r="N219" s="56">
        <f t="shared" si="160"/>
        <v>331</v>
      </c>
      <c r="O219" s="59">
        <f>sum(O212:O218)</f>
        <v>1122784</v>
      </c>
      <c r="P219" s="60">
        <f t="shared" si="6"/>
        <v>0.1186605903</v>
      </c>
      <c r="Q219" s="61">
        <f t="shared" si="7"/>
        <v>8.427397821</v>
      </c>
      <c r="R219" s="62">
        <f t="shared" si="8"/>
        <v>0.6009389671</v>
      </c>
      <c r="S219" s="54" t="str">
        <f>iferror((D219-#REF!)/D219,)</f>
        <v/>
      </c>
      <c r="T219" s="63" t="str">
        <f>iferror((F219-#REF!)/F219,)</f>
        <v/>
      </c>
      <c r="U219" s="64">
        <f t="shared" ref="U219:V219" si="161">L219</f>
        <v>1366.97</v>
      </c>
      <c r="V219" s="64">
        <f t="shared" si="161"/>
        <v>11520</v>
      </c>
      <c r="W219" s="6"/>
      <c r="X219" s="6"/>
      <c r="Y219" s="6"/>
      <c r="Z219" s="6"/>
    </row>
    <row r="220" hidden="1" outlineLevel="1">
      <c r="A220" s="33" t="str">
        <f t="shared" ref="A220:A226" si="162">iferror(if(B220&gt;0,month(B220)&amp;"-"&amp;year(B220),B220),)</f>
        <v>6-2025</v>
      </c>
      <c r="B220" s="34">
        <v>45830.0</v>
      </c>
      <c r="C220" s="35"/>
      <c r="D220" s="36">
        <v>2657.0</v>
      </c>
      <c r="E220" s="37">
        <v>75.0</v>
      </c>
      <c r="F220" s="37">
        <v>74.0</v>
      </c>
      <c r="G220" s="38">
        <f t="shared" si="2"/>
        <v>1.013513514</v>
      </c>
      <c r="H220" s="36">
        <f t="shared" ref="H220:H226" si="163">D220/F220</f>
        <v>35.90540541</v>
      </c>
      <c r="I220" s="36">
        <f t="shared" ref="I220:I226" si="164">D220/E220</f>
        <v>35.42666667</v>
      </c>
      <c r="J220" s="39">
        <v>3492.0</v>
      </c>
      <c r="K220" s="40">
        <f t="shared" si="5"/>
        <v>0.02147766323</v>
      </c>
      <c r="L220" s="36">
        <v>226.26</v>
      </c>
      <c r="M220" s="36">
        <v>1260.0</v>
      </c>
      <c r="N220" s="37">
        <v>34.0</v>
      </c>
      <c r="O220" s="39">
        <v>194146.0</v>
      </c>
      <c r="P220" s="40">
        <f t="shared" si="6"/>
        <v>0.1795714286</v>
      </c>
      <c r="Q220" s="41">
        <f t="shared" si="7"/>
        <v>5.568814638</v>
      </c>
      <c r="R220" s="40">
        <f t="shared" si="8"/>
        <v>0.474219044</v>
      </c>
      <c r="S220" s="42"/>
      <c r="T220" s="43"/>
      <c r="U220" s="6"/>
      <c r="V220" s="6"/>
      <c r="W220" s="6"/>
      <c r="X220" s="6"/>
      <c r="Y220" s="6"/>
      <c r="Z220" s="6"/>
    </row>
    <row r="221" hidden="1" outlineLevel="1">
      <c r="A221" s="44" t="str">
        <f t="shared" si="162"/>
        <v>6-2025</v>
      </c>
      <c r="B221" s="34">
        <v>45831.0</v>
      </c>
      <c r="C221" s="45"/>
      <c r="D221" s="46">
        <v>3158.0</v>
      </c>
      <c r="E221" s="47">
        <v>90.0</v>
      </c>
      <c r="F221" s="47">
        <v>90.0</v>
      </c>
      <c r="G221" s="48">
        <f t="shared" si="2"/>
        <v>1</v>
      </c>
      <c r="H221" s="46">
        <f t="shared" si="163"/>
        <v>35.08888889</v>
      </c>
      <c r="I221" s="46">
        <f t="shared" si="164"/>
        <v>35.08888889</v>
      </c>
      <c r="J221" s="49">
        <v>3764.0</v>
      </c>
      <c r="K221" s="50">
        <f t="shared" si="5"/>
        <v>0.02391073326</v>
      </c>
      <c r="L221" s="46">
        <v>268.31</v>
      </c>
      <c r="M221" s="46">
        <v>2037.0</v>
      </c>
      <c r="N221" s="47">
        <v>58.0</v>
      </c>
      <c r="O221" s="49">
        <v>190635.0</v>
      </c>
      <c r="P221" s="50">
        <f t="shared" si="6"/>
        <v>0.1317182131</v>
      </c>
      <c r="Q221" s="51">
        <f t="shared" si="7"/>
        <v>7.591964519</v>
      </c>
      <c r="R221" s="50">
        <f t="shared" si="8"/>
        <v>0.6450284991</v>
      </c>
      <c r="S221" s="16"/>
      <c r="T221" s="25"/>
      <c r="U221" s="6"/>
      <c r="V221" s="6"/>
      <c r="W221" s="6"/>
      <c r="X221" s="6"/>
      <c r="Y221" s="6"/>
      <c r="Z221" s="6"/>
    </row>
    <row r="222" hidden="1" outlineLevel="1">
      <c r="A222" s="44" t="str">
        <f t="shared" si="162"/>
        <v>6-2025</v>
      </c>
      <c r="B222" s="34">
        <v>45832.0</v>
      </c>
      <c r="C222" s="45"/>
      <c r="D222" s="46">
        <v>2396.0</v>
      </c>
      <c r="E222" s="47">
        <v>67.0</v>
      </c>
      <c r="F222" s="47">
        <v>67.0</v>
      </c>
      <c r="G222" s="48">
        <f t="shared" si="2"/>
        <v>1</v>
      </c>
      <c r="H222" s="46">
        <f t="shared" si="163"/>
        <v>35.76119403</v>
      </c>
      <c r="I222" s="46">
        <f t="shared" si="164"/>
        <v>35.76119403</v>
      </c>
      <c r="J222" s="49">
        <v>3622.0</v>
      </c>
      <c r="K222" s="50">
        <f t="shared" si="5"/>
        <v>0.01849806737</v>
      </c>
      <c r="L222" s="46">
        <v>246.87</v>
      </c>
      <c r="M222" s="46">
        <v>1573.0</v>
      </c>
      <c r="N222" s="47">
        <v>45.0</v>
      </c>
      <c r="O222" s="49">
        <v>183769.0</v>
      </c>
      <c r="P222" s="50">
        <f t="shared" si="6"/>
        <v>0.1569421488</v>
      </c>
      <c r="Q222" s="51">
        <f t="shared" si="7"/>
        <v>6.371774618</v>
      </c>
      <c r="R222" s="50">
        <f t="shared" si="8"/>
        <v>0.6565108514</v>
      </c>
      <c r="S222" s="16"/>
      <c r="T222" s="25"/>
      <c r="U222" s="6"/>
      <c r="V222" s="6"/>
      <c r="W222" s="6"/>
      <c r="X222" s="6"/>
      <c r="Y222" s="6"/>
      <c r="Z222" s="6"/>
    </row>
    <row r="223" hidden="1" outlineLevel="1">
      <c r="A223" s="44" t="str">
        <f t="shared" si="162"/>
        <v>6-2025</v>
      </c>
      <c r="B223" s="34">
        <v>45833.0</v>
      </c>
      <c r="C223" s="45"/>
      <c r="D223" s="46">
        <v>3634.0</v>
      </c>
      <c r="E223" s="47">
        <v>104.0</v>
      </c>
      <c r="F223" s="47">
        <v>104.0</v>
      </c>
      <c r="G223" s="48">
        <f t="shared" si="2"/>
        <v>1</v>
      </c>
      <c r="H223" s="46">
        <f t="shared" si="163"/>
        <v>34.94230769</v>
      </c>
      <c r="I223" s="46">
        <f t="shared" si="164"/>
        <v>34.94230769</v>
      </c>
      <c r="J223" s="49">
        <v>3424.0</v>
      </c>
      <c r="K223" s="50">
        <f t="shared" si="5"/>
        <v>0.03037383178</v>
      </c>
      <c r="L223" s="46">
        <v>211.12</v>
      </c>
      <c r="M223" s="46">
        <v>2487.0</v>
      </c>
      <c r="N223" s="47">
        <v>70.0</v>
      </c>
      <c r="O223" s="49">
        <v>156593.0</v>
      </c>
      <c r="P223" s="50">
        <f t="shared" si="6"/>
        <v>0.08488942501</v>
      </c>
      <c r="Q223" s="51">
        <f t="shared" si="7"/>
        <v>11.78003031</v>
      </c>
      <c r="R223" s="50">
        <f t="shared" si="8"/>
        <v>0.6843698404</v>
      </c>
      <c r="S223" s="16"/>
      <c r="T223" s="25"/>
      <c r="U223" s="6"/>
      <c r="V223" s="6"/>
      <c r="W223" s="6"/>
      <c r="X223" s="6"/>
      <c r="Y223" s="6"/>
      <c r="Z223" s="6"/>
    </row>
    <row r="224" hidden="1" outlineLevel="1">
      <c r="A224" s="44" t="str">
        <f t="shared" si="162"/>
        <v>6-2025</v>
      </c>
      <c r="B224" s="34">
        <v>45834.0</v>
      </c>
      <c r="C224" s="45"/>
      <c r="D224" s="46">
        <v>3032.0</v>
      </c>
      <c r="E224" s="47">
        <v>86.0</v>
      </c>
      <c r="F224" s="47">
        <v>86.0</v>
      </c>
      <c r="G224" s="48">
        <f t="shared" si="2"/>
        <v>1</v>
      </c>
      <c r="H224" s="46">
        <f t="shared" si="163"/>
        <v>35.25581395</v>
      </c>
      <c r="I224" s="46">
        <f t="shared" si="164"/>
        <v>35.25581395</v>
      </c>
      <c r="J224" s="49">
        <v>3240.0</v>
      </c>
      <c r="K224" s="50">
        <f t="shared" si="5"/>
        <v>0.02654320988</v>
      </c>
      <c r="L224" s="46">
        <v>233.94</v>
      </c>
      <c r="M224" s="46">
        <v>1963.0</v>
      </c>
      <c r="N224" s="47">
        <v>55.0</v>
      </c>
      <c r="O224" s="49">
        <v>146946.0</v>
      </c>
      <c r="P224" s="50">
        <f t="shared" si="6"/>
        <v>0.1191747326</v>
      </c>
      <c r="Q224" s="51">
        <f t="shared" si="7"/>
        <v>8.391040438</v>
      </c>
      <c r="R224" s="50">
        <f t="shared" si="8"/>
        <v>0.6474274406</v>
      </c>
      <c r="S224" s="16"/>
      <c r="T224" s="25"/>
      <c r="U224" s="6"/>
      <c r="V224" s="6"/>
      <c r="W224" s="6"/>
      <c r="X224" s="6"/>
      <c r="Y224" s="6"/>
      <c r="Z224" s="6"/>
    </row>
    <row r="225" hidden="1" outlineLevel="1">
      <c r="A225" s="44" t="str">
        <f t="shared" si="162"/>
        <v>6-2025</v>
      </c>
      <c r="B225" s="34">
        <v>45835.0</v>
      </c>
      <c r="C225" s="45"/>
      <c r="D225" s="46">
        <v>2143.0</v>
      </c>
      <c r="E225" s="47">
        <v>61.0</v>
      </c>
      <c r="F225" s="47">
        <v>61.0</v>
      </c>
      <c r="G225" s="48">
        <f t="shared" si="2"/>
        <v>1</v>
      </c>
      <c r="H225" s="46">
        <f t="shared" si="163"/>
        <v>35.13114754</v>
      </c>
      <c r="I225" s="46">
        <f t="shared" si="164"/>
        <v>35.13114754</v>
      </c>
      <c r="J225" s="49">
        <v>3370.0</v>
      </c>
      <c r="K225" s="50">
        <f t="shared" si="5"/>
        <v>0.01810089021</v>
      </c>
      <c r="L225" s="46">
        <v>234.01</v>
      </c>
      <c r="M225" s="46">
        <v>1474.0</v>
      </c>
      <c r="N225" s="47">
        <v>43.0</v>
      </c>
      <c r="O225" s="49">
        <v>113704.0</v>
      </c>
      <c r="P225" s="50">
        <f t="shared" si="6"/>
        <v>0.1587584803</v>
      </c>
      <c r="Q225" s="51">
        <f t="shared" si="7"/>
        <v>6.298876116</v>
      </c>
      <c r="R225" s="50">
        <f t="shared" si="8"/>
        <v>0.6878208119</v>
      </c>
      <c r="S225" s="16"/>
      <c r="T225" s="25"/>
      <c r="U225" s="6"/>
      <c r="V225" s="6"/>
      <c r="W225" s="6"/>
      <c r="X225" s="6"/>
      <c r="Y225" s="6"/>
      <c r="Z225" s="6"/>
    </row>
    <row r="226" hidden="1" outlineLevel="1">
      <c r="A226" s="44" t="str">
        <f t="shared" si="162"/>
        <v>6-2025</v>
      </c>
      <c r="B226" s="34">
        <v>45836.0</v>
      </c>
      <c r="C226" s="45"/>
      <c r="D226" s="46">
        <v>2445.0</v>
      </c>
      <c r="E226" s="47">
        <v>74.0</v>
      </c>
      <c r="F226" s="47">
        <v>73.0</v>
      </c>
      <c r="G226" s="48">
        <f t="shared" si="2"/>
        <v>1.01369863</v>
      </c>
      <c r="H226" s="46">
        <f t="shared" si="163"/>
        <v>33.49315068</v>
      </c>
      <c r="I226" s="46">
        <f t="shared" si="164"/>
        <v>33.04054054</v>
      </c>
      <c r="J226" s="49">
        <v>3416.0</v>
      </c>
      <c r="K226" s="50">
        <f t="shared" si="5"/>
        <v>0.02166276347</v>
      </c>
      <c r="L226" s="46">
        <v>264.69</v>
      </c>
      <c r="M226" s="46">
        <v>1184.0</v>
      </c>
      <c r="N226" s="47">
        <v>36.0</v>
      </c>
      <c r="O226" s="49">
        <v>130309.0</v>
      </c>
      <c r="P226" s="50">
        <f t="shared" si="6"/>
        <v>0.2235557432</v>
      </c>
      <c r="Q226" s="51">
        <f t="shared" si="7"/>
        <v>4.473157278</v>
      </c>
      <c r="R226" s="50">
        <f t="shared" si="8"/>
        <v>0.4842535787</v>
      </c>
      <c r="S226" s="16"/>
      <c r="T226" s="25"/>
      <c r="U226" s="6"/>
      <c r="V226" s="6"/>
      <c r="W226" s="6"/>
      <c r="X226" s="6"/>
      <c r="Y226" s="6"/>
      <c r="Z226" s="6"/>
    </row>
    <row r="227" collapsed="1">
      <c r="A227" s="52" t="s">
        <v>72</v>
      </c>
      <c r="B227" s="53"/>
      <c r="C227" s="54"/>
      <c r="D227" s="55">
        <f t="shared" ref="D227:F227" si="165">SUM(D220:D226)</f>
        <v>19465</v>
      </c>
      <c r="E227" s="81">
        <f t="shared" si="165"/>
        <v>557</v>
      </c>
      <c r="F227" s="81">
        <f t="shared" si="165"/>
        <v>555</v>
      </c>
      <c r="G227" s="57">
        <f t="shared" si="2"/>
        <v>1.003603604</v>
      </c>
      <c r="H227" s="55">
        <f>AVERAGE(H220:H226)</f>
        <v>35.08255831</v>
      </c>
      <c r="I227" s="58">
        <f>H227/G227</f>
        <v>34.95658862</v>
      </c>
      <c r="J227" s="59">
        <f>SUM(J220:J226)</f>
        <v>24328</v>
      </c>
      <c r="K227" s="60">
        <f t="shared" si="5"/>
        <v>0.02289542914</v>
      </c>
      <c r="L227" s="55">
        <f t="shared" ref="L227:N227" si="166">SUM(L220:L226)</f>
        <v>1685.2</v>
      </c>
      <c r="M227" s="55">
        <f t="shared" si="166"/>
        <v>11978</v>
      </c>
      <c r="N227" s="56">
        <f t="shared" si="166"/>
        <v>341</v>
      </c>
      <c r="O227" s="59">
        <f>sum(O220:O226)</f>
        <v>1116102</v>
      </c>
      <c r="P227" s="60">
        <f t="shared" si="6"/>
        <v>0.1406912673</v>
      </c>
      <c r="Q227" s="61">
        <f t="shared" si="7"/>
        <v>7.10776169</v>
      </c>
      <c r="R227" s="62">
        <f t="shared" si="8"/>
        <v>0.6153609042</v>
      </c>
      <c r="S227" s="54" t="str">
        <f>iferror((D227-#REF!)/D227,)</f>
        <v/>
      </c>
      <c r="T227" s="63" t="str">
        <f>iferror((F227-#REF!)/F227,)</f>
        <v/>
      </c>
      <c r="U227" s="64">
        <f t="shared" ref="U227:V227" si="167">L227</f>
        <v>1685.2</v>
      </c>
      <c r="V227" s="64">
        <f t="shared" si="167"/>
        <v>11978</v>
      </c>
      <c r="W227" s="6"/>
      <c r="X227" s="6"/>
      <c r="Y227" s="6"/>
      <c r="Z227" s="6"/>
    </row>
    <row r="228" hidden="1" outlineLevel="1">
      <c r="A228" s="65" t="str">
        <f t="shared" ref="A228:A234" si="168">iferror(if(B228&gt;0,month(B228)&amp;"-"&amp;year(B228),B228),)</f>
        <v>6-2025</v>
      </c>
      <c r="B228" s="66">
        <v>45837.0</v>
      </c>
      <c r="C228" s="35"/>
      <c r="D228" s="67">
        <v>3096.0</v>
      </c>
      <c r="E228" s="68">
        <v>92.0</v>
      </c>
      <c r="F228" s="68">
        <v>92.0</v>
      </c>
      <c r="G228" s="38">
        <f t="shared" si="2"/>
        <v>1</v>
      </c>
      <c r="H228" s="36">
        <f t="shared" ref="H228:H234" si="169">D228/F228</f>
        <v>33.65217391</v>
      </c>
      <c r="I228" s="36">
        <f t="shared" ref="I228:I234" si="170">D228/E228</f>
        <v>33.65217391</v>
      </c>
      <c r="J228" s="69">
        <v>5134.0</v>
      </c>
      <c r="K228" s="40">
        <f t="shared" si="5"/>
        <v>0.01791975068</v>
      </c>
      <c r="L228" s="67">
        <v>427.81</v>
      </c>
      <c r="M228" s="67">
        <v>2362.0</v>
      </c>
      <c r="N228" s="68">
        <v>70.0</v>
      </c>
      <c r="O228" s="69">
        <v>202257.0</v>
      </c>
      <c r="P228" s="40">
        <f t="shared" si="6"/>
        <v>0.1811219306</v>
      </c>
      <c r="Q228" s="41">
        <f t="shared" si="7"/>
        <v>5.521142563</v>
      </c>
      <c r="R228" s="40">
        <f t="shared" si="8"/>
        <v>0.7629198966</v>
      </c>
      <c r="S228" s="42"/>
      <c r="T228" s="43"/>
      <c r="U228" s="2"/>
      <c r="V228" s="2"/>
      <c r="W228" s="2"/>
      <c r="X228" s="2"/>
      <c r="Y228" s="2"/>
      <c r="Z228" s="2"/>
    </row>
    <row r="229" hidden="1" outlineLevel="1">
      <c r="A229" s="70" t="str">
        <f t="shared" si="168"/>
        <v>6-2025</v>
      </c>
      <c r="B229" s="66">
        <v>45838.0</v>
      </c>
      <c r="C229" s="45"/>
      <c r="D229" s="71">
        <v>4067.0</v>
      </c>
      <c r="E229" s="72">
        <v>116.0</v>
      </c>
      <c r="F229" s="72">
        <v>116.0</v>
      </c>
      <c r="G229" s="48">
        <f t="shared" si="2"/>
        <v>1</v>
      </c>
      <c r="H229" s="46">
        <f t="shared" si="169"/>
        <v>35.06034483</v>
      </c>
      <c r="I229" s="46">
        <f t="shared" si="170"/>
        <v>35.06034483</v>
      </c>
      <c r="J229" s="73">
        <v>3856.0</v>
      </c>
      <c r="K229" s="50">
        <f t="shared" si="5"/>
        <v>0.03008298755</v>
      </c>
      <c r="L229" s="71">
        <v>263.75</v>
      </c>
      <c r="M229" s="71">
        <v>2362.0</v>
      </c>
      <c r="N229" s="72">
        <v>74.0</v>
      </c>
      <c r="O229" s="73">
        <v>155529.0</v>
      </c>
      <c r="P229" s="50">
        <f t="shared" si="6"/>
        <v>0.1116638442</v>
      </c>
      <c r="Q229" s="51">
        <f t="shared" si="7"/>
        <v>8.955450237</v>
      </c>
      <c r="R229" s="50">
        <f t="shared" si="8"/>
        <v>0.5807720679</v>
      </c>
      <c r="S229" s="16"/>
      <c r="T229" s="25"/>
      <c r="U229" s="2"/>
      <c r="V229" s="2"/>
      <c r="W229" s="2"/>
      <c r="X229" s="2"/>
      <c r="Y229" s="2"/>
      <c r="Z229" s="2"/>
    </row>
    <row r="230" hidden="1" outlineLevel="1">
      <c r="A230" s="70" t="str">
        <f t="shared" si="168"/>
        <v>7-2025</v>
      </c>
      <c r="B230" s="66">
        <v>45839.0</v>
      </c>
      <c r="C230" s="45"/>
      <c r="D230" s="71">
        <v>2618.0</v>
      </c>
      <c r="E230" s="72">
        <v>87.0</v>
      </c>
      <c r="F230" s="72">
        <v>87.0</v>
      </c>
      <c r="G230" s="48">
        <f t="shared" si="2"/>
        <v>1</v>
      </c>
      <c r="H230" s="46">
        <f t="shared" si="169"/>
        <v>30.09195402</v>
      </c>
      <c r="I230" s="46">
        <f t="shared" si="170"/>
        <v>30.09195402</v>
      </c>
      <c r="J230" s="73">
        <v>4177.0</v>
      </c>
      <c r="K230" s="50">
        <f t="shared" si="5"/>
        <v>0.0208283457</v>
      </c>
      <c r="L230" s="71">
        <v>329.64</v>
      </c>
      <c r="M230" s="71">
        <v>1522.0</v>
      </c>
      <c r="N230" s="72">
        <v>47.0</v>
      </c>
      <c r="O230" s="73">
        <v>199502.0</v>
      </c>
      <c r="P230" s="50">
        <f t="shared" si="6"/>
        <v>0.2165834428</v>
      </c>
      <c r="Q230" s="51">
        <f t="shared" si="7"/>
        <v>4.617158112</v>
      </c>
      <c r="R230" s="50">
        <f t="shared" si="8"/>
        <v>0.5813598167</v>
      </c>
      <c r="S230" s="16"/>
      <c r="T230" s="25"/>
      <c r="U230" s="2"/>
      <c r="V230" s="2"/>
      <c r="W230" s="2"/>
      <c r="X230" s="2"/>
      <c r="Y230" s="2"/>
      <c r="Z230" s="2"/>
    </row>
    <row r="231" hidden="1" outlineLevel="1">
      <c r="A231" s="70" t="str">
        <f t="shared" si="168"/>
        <v>7-2025</v>
      </c>
      <c r="B231" s="66">
        <v>45840.0</v>
      </c>
      <c r="C231" s="45"/>
      <c r="D231" s="71">
        <v>2264.0</v>
      </c>
      <c r="E231" s="72">
        <v>70.0</v>
      </c>
      <c r="F231" s="72">
        <v>68.0</v>
      </c>
      <c r="G231" s="48">
        <f t="shared" si="2"/>
        <v>1.029411765</v>
      </c>
      <c r="H231" s="46">
        <f t="shared" si="169"/>
        <v>33.29411765</v>
      </c>
      <c r="I231" s="46">
        <f t="shared" si="170"/>
        <v>32.34285714</v>
      </c>
      <c r="J231" s="73">
        <v>3393.0</v>
      </c>
      <c r="K231" s="50">
        <f t="shared" si="5"/>
        <v>0.02063071029</v>
      </c>
      <c r="L231" s="71">
        <v>238.26</v>
      </c>
      <c r="M231" s="71">
        <v>1413.0</v>
      </c>
      <c r="N231" s="72">
        <v>40.0</v>
      </c>
      <c r="O231" s="73">
        <v>161346.0</v>
      </c>
      <c r="P231" s="50">
        <f t="shared" si="6"/>
        <v>0.1686199575</v>
      </c>
      <c r="Q231" s="51">
        <f t="shared" si="7"/>
        <v>5.930496097</v>
      </c>
      <c r="R231" s="50">
        <f t="shared" si="8"/>
        <v>0.6241166078</v>
      </c>
      <c r="S231" s="16"/>
      <c r="T231" s="25"/>
      <c r="U231" s="2"/>
      <c r="V231" s="2"/>
      <c r="W231" s="2"/>
      <c r="X231" s="2"/>
      <c r="Y231" s="2"/>
      <c r="Z231" s="2"/>
    </row>
    <row r="232" hidden="1" outlineLevel="1">
      <c r="A232" s="70" t="str">
        <f t="shared" si="168"/>
        <v>7-2025</v>
      </c>
      <c r="B232" s="66">
        <v>45841.0</v>
      </c>
      <c r="C232" s="45"/>
      <c r="D232" s="71">
        <v>2234.0</v>
      </c>
      <c r="E232" s="72">
        <v>76.0</v>
      </c>
      <c r="F232" s="72">
        <v>76.0</v>
      </c>
      <c r="G232" s="48">
        <f t="shared" si="2"/>
        <v>1</v>
      </c>
      <c r="H232" s="46">
        <f t="shared" si="169"/>
        <v>29.39473684</v>
      </c>
      <c r="I232" s="46">
        <f t="shared" si="170"/>
        <v>29.39473684</v>
      </c>
      <c r="J232" s="73">
        <v>2757.0</v>
      </c>
      <c r="K232" s="50">
        <f t="shared" si="5"/>
        <v>0.02756619514</v>
      </c>
      <c r="L232" s="71">
        <v>199.62</v>
      </c>
      <c r="M232" s="71">
        <v>1249.0</v>
      </c>
      <c r="N232" s="72">
        <v>43.0</v>
      </c>
      <c r="O232" s="73">
        <v>127538.0</v>
      </c>
      <c r="P232" s="50">
        <f t="shared" si="6"/>
        <v>0.1598238591</v>
      </c>
      <c r="Q232" s="51">
        <f t="shared" si="7"/>
        <v>6.256888087</v>
      </c>
      <c r="R232" s="50">
        <f t="shared" si="8"/>
        <v>0.5590868397</v>
      </c>
      <c r="S232" s="16"/>
      <c r="T232" s="25"/>
      <c r="U232" s="2"/>
      <c r="V232" s="2"/>
      <c r="W232" s="2"/>
      <c r="X232" s="2"/>
      <c r="Y232" s="2"/>
      <c r="Z232" s="2"/>
    </row>
    <row r="233" hidden="1" outlineLevel="1">
      <c r="A233" s="70" t="str">
        <f t="shared" si="168"/>
        <v>7-2025</v>
      </c>
      <c r="B233" s="66">
        <v>45842.0</v>
      </c>
      <c r="C233" s="45"/>
      <c r="D233" s="71">
        <v>1752.0</v>
      </c>
      <c r="E233" s="72">
        <v>50.0</v>
      </c>
      <c r="F233" s="72">
        <v>50.0</v>
      </c>
      <c r="G233" s="48">
        <f t="shared" si="2"/>
        <v>1</v>
      </c>
      <c r="H233" s="46">
        <f t="shared" si="169"/>
        <v>35.04</v>
      </c>
      <c r="I233" s="46">
        <f t="shared" si="170"/>
        <v>35.04</v>
      </c>
      <c r="J233" s="73">
        <v>2454.0</v>
      </c>
      <c r="K233" s="50">
        <f t="shared" si="5"/>
        <v>0.02037489813</v>
      </c>
      <c r="L233" s="71">
        <v>178.18</v>
      </c>
      <c r="M233" s="71">
        <v>1170.0</v>
      </c>
      <c r="N233" s="72">
        <v>33.0</v>
      </c>
      <c r="O233" s="73">
        <v>87132.0</v>
      </c>
      <c r="P233" s="50">
        <f t="shared" si="6"/>
        <v>0.1522905983</v>
      </c>
      <c r="Q233" s="51">
        <f t="shared" si="7"/>
        <v>6.566393535</v>
      </c>
      <c r="R233" s="50">
        <f t="shared" si="8"/>
        <v>0.6678082192</v>
      </c>
      <c r="S233" s="16"/>
      <c r="T233" s="25"/>
      <c r="U233" s="2"/>
      <c r="V233" s="2"/>
      <c r="W233" s="2"/>
      <c r="X233" s="2"/>
      <c r="Y233" s="2"/>
      <c r="Z233" s="2"/>
    </row>
    <row r="234" hidden="1" outlineLevel="1">
      <c r="A234" s="70" t="str">
        <f t="shared" si="168"/>
        <v>7-2025</v>
      </c>
      <c r="B234" s="66">
        <v>45843.0</v>
      </c>
      <c r="C234" s="45"/>
      <c r="D234" s="71">
        <v>1770.0</v>
      </c>
      <c r="E234" s="72">
        <v>54.0</v>
      </c>
      <c r="F234" s="72">
        <v>54.0</v>
      </c>
      <c r="G234" s="48">
        <f t="shared" si="2"/>
        <v>1</v>
      </c>
      <c r="H234" s="46">
        <f t="shared" si="169"/>
        <v>32.77777778</v>
      </c>
      <c r="I234" s="46">
        <f t="shared" si="170"/>
        <v>32.77777778</v>
      </c>
      <c r="J234" s="73">
        <v>3118.0</v>
      </c>
      <c r="K234" s="50">
        <f t="shared" si="5"/>
        <v>0.0173187941</v>
      </c>
      <c r="L234" s="71">
        <v>173.21</v>
      </c>
      <c r="M234" s="71">
        <v>1190.0</v>
      </c>
      <c r="N234" s="72">
        <v>34.0</v>
      </c>
      <c r="O234" s="73">
        <v>98991.0</v>
      </c>
      <c r="P234" s="50">
        <f t="shared" si="6"/>
        <v>0.1455546218</v>
      </c>
      <c r="Q234" s="51">
        <f t="shared" si="7"/>
        <v>6.870273079</v>
      </c>
      <c r="R234" s="50">
        <f t="shared" si="8"/>
        <v>0.6723163842</v>
      </c>
      <c r="S234" s="16"/>
      <c r="T234" s="25"/>
      <c r="U234" s="2"/>
      <c r="V234" s="2"/>
      <c r="W234" s="2"/>
      <c r="X234" s="2"/>
      <c r="Y234" s="2"/>
      <c r="Z234" s="2"/>
    </row>
    <row r="235" collapsed="1">
      <c r="A235" s="52" t="s">
        <v>73</v>
      </c>
      <c r="B235" s="53"/>
      <c r="C235" s="54"/>
      <c r="D235" s="55">
        <f t="shared" ref="D235:F235" si="171">SUM(D228:D234)</f>
        <v>17801</v>
      </c>
      <c r="E235" s="81">
        <f t="shared" si="171"/>
        <v>545</v>
      </c>
      <c r="F235" s="81">
        <f t="shared" si="171"/>
        <v>543</v>
      </c>
      <c r="G235" s="75">
        <f t="shared" si="2"/>
        <v>1.003683241</v>
      </c>
      <c r="H235" s="55">
        <f>AVERAGE(H228:H234)</f>
        <v>32.75872929</v>
      </c>
      <c r="I235" s="76">
        <f>H235/G235</f>
        <v>32.63851377</v>
      </c>
      <c r="J235" s="59">
        <f>SUM(J228:J234)</f>
        <v>24889</v>
      </c>
      <c r="K235" s="60">
        <f t="shared" si="5"/>
        <v>0.02189722367</v>
      </c>
      <c r="L235" s="55">
        <f t="shared" ref="L235:N235" si="172">SUM(L228:L234)</f>
        <v>1810.47</v>
      </c>
      <c r="M235" s="55">
        <f t="shared" si="172"/>
        <v>11268</v>
      </c>
      <c r="N235" s="74">
        <f t="shared" si="172"/>
        <v>341</v>
      </c>
      <c r="O235" s="77">
        <f>sum(O228:O234)</f>
        <v>1032295</v>
      </c>
      <c r="P235" s="60">
        <f t="shared" si="6"/>
        <v>0.1606735889</v>
      </c>
      <c r="Q235" s="78">
        <f t="shared" si="7"/>
        <v>6.22379824</v>
      </c>
      <c r="R235" s="62">
        <f t="shared" si="8"/>
        <v>0.6329981462</v>
      </c>
      <c r="S235" s="54" t="str">
        <f>iferror((D235-#REF!)/D235,)</f>
        <v/>
      </c>
      <c r="T235" s="63" t="str">
        <f>iferror((F235-#REF!)/F235,)</f>
        <v/>
      </c>
      <c r="U235" s="64">
        <f t="shared" ref="U235:V235" si="173">L235</f>
        <v>1810.47</v>
      </c>
      <c r="V235" s="64">
        <f t="shared" si="173"/>
        <v>11268</v>
      </c>
      <c r="W235" s="7"/>
      <c r="X235" s="7"/>
      <c r="Y235" s="7"/>
      <c r="Z235" s="7"/>
    </row>
    <row r="236" hidden="1" outlineLevel="1">
      <c r="A236" s="33" t="str">
        <f t="shared" ref="A236:A242" si="174">iferror(if(B236&gt;0,month(B236)&amp;"-"&amp;year(B236),B236),)</f>
        <v>7-2025</v>
      </c>
      <c r="B236" s="34">
        <v>45844.0</v>
      </c>
      <c r="C236" s="35"/>
      <c r="D236" s="36">
        <v>2547.0</v>
      </c>
      <c r="E236" s="37">
        <v>76.0</v>
      </c>
      <c r="F236" s="37">
        <v>76.0</v>
      </c>
      <c r="G236" s="38">
        <f t="shared" si="2"/>
        <v>1</v>
      </c>
      <c r="H236" s="36">
        <f t="shared" ref="H236:H242" si="175">D236/F236</f>
        <v>33.51315789</v>
      </c>
      <c r="I236" s="36">
        <f t="shared" ref="I236:I242" si="176">D236/E236</f>
        <v>33.51315789</v>
      </c>
      <c r="J236" s="39">
        <v>3762.0</v>
      </c>
      <c r="K236" s="40">
        <f t="shared" si="5"/>
        <v>0.0202020202</v>
      </c>
      <c r="L236" s="36">
        <v>255.34</v>
      </c>
      <c r="M236" s="36">
        <v>1374.0</v>
      </c>
      <c r="N236" s="37">
        <v>43.0</v>
      </c>
      <c r="O236" s="39">
        <v>134916.0</v>
      </c>
      <c r="P236" s="40">
        <f t="shared" si="6"/>
        <v>0.1858369723</v>
      </c>
      <c r="Q236" s="41">
        <f t="shared" si="7"/>
        <v>5.381060547</v>
      </c>
      <c r="R236" s="40">
        <f t="shared" si="8"/>
        <v>0.5394581861</v>
      </c>
      <c r="S236" s="42"/>
      <c r="T236" s="43"/>
      <c r="U236" s="6"/>
      <c r="V236" s="6"/>
      <c r="W236" s="6"/>
      <c r="X236" s="6"/>
      <c r="Y236" s="6"/>
      <c r="Z236" s="6"/>
    </row>
    <row r="237" hidden="1" outlineLevel="1">
      <c r="A237" s="44" t="str">
        <f t="shared" si="174"/>
        <v>7-2025</v>
      </c>
      <c r="B237" s="34">
        <v>45845.0</v>
      </c>
      <c r="C237" s="45"/>
      <c r="D237" s="46">
        <v>2651.0</v>
      </c>
      <c r="E237" s="47">
        <v>77.0</v>
      </c>
      <c r="F237" s="47">
        <v>77.0</v>
      </c>
      <c r="G237" s="48">
        <f t="shared" si="2"/>
        <v>1</v>
      </c>
      <c r="H237" s="46">
        <f t="shared" si="175"/>
        <v>34.42857143</v>
      </c>
      <c r="I237" s="46">
        <f t="shared" si="176"/>
        <v>34.42857143</v>
      </c>
      <c r="J237" s="49">
        <v>4067.0</v>
      </c>
      <c r="K237" s="50">
        <f t="shared" si="5"/>
        <v>0.01893287435</v>
      </c>
      <c r="L237" s="46">
        <v>252.87</v>
      </c>
      <c r="M237" s="46">
        <v>1541.0</v>
      </c>
      <c r="N237" s="47">
        <v>45.0</v>
      </c>
      <c r="O237" s="49">
        <v>150807.0</v>
      </c>
      <c r="P237" s="50">
        <f t="shared" si="6"/>
        <v>0.1640947437</v>
      </c>
      <c r="Q237" s="51">
        <f t="shared" si="7"/>
        <v>6.094040416</v>
      </c>
      <c r="R237" s="50">
        <f t="shared" si="8"/>
        <v>0.5812900792</v>
      </c>
      <c r="S237" s="16"/>
      <c r="T237" s="25"/>
      <c r="U237" s="6"/>
      <c r="V237" s="6"/>
      <c r="W237" s="6"/>
      <c r="X237" s="6"/>
      <c r="Y237" s="6"/>
      <c r="Z237" s="6"/>
    </row>
    <row r="238" hidden="1" outlineLevel="1">
      <c r="A238" s="44" t="str">
        <f t="shared" si="174"/>
        <v>7-2025</v>
      </c>
      <c r="B238" s="34">
        <v>45846.0</v>
      </c>
      <c r="C238" s="45"/>
      <c r="D238" s="46">
        <v>4461.0</v>
      </c>
      <c r="E238" s="47">
        <v>136.0</v>
      </c>
      <c r="F238" s="47">
        <v>134.0</v>
      </c>
      <c r="G238" s="48">
        <f t="shared" si="2"/>
        <v>1.014925373</v>
      </c>
      <c r="H238" s="46">
        <f t="shared" si="175"/>
        <v>33.29104478</v>
      </c>
      <c r="I238" s="46">
        <f t="shared" si="176"/>
        <v>32.80147059</v>
      </c>
      <c r="J238" s="49">
        <v>4551.0</v>
      </c>
      <c r="K238" s="50">
        <f t="shared" si="5"/>
        <v>0.02988354208</v>
      </c>
      <c r="L238" s="46">
        <v>264.02</v>
      </c>
      <c r="M238" s="46">
        <v>2413.0</v>
      </c>
      <c r="N238" s="47">
        <v>75.0</v>
      </c>
      <c r="O238" s="49">
        <v>239907.0</v>
      </c>
      <c r="P238" s="50">
        <f t="shared" si="6"/>
        <v>0.1094156651</v>
      </c>
      <c r="Q238" s="51">
        <f t="shared" si="7"/>
        <v>9.139459132</v>
      </c>
      <c r="R238" s="50">
        <f t="shared" si="8"/>
        <v>0.5409101098</v>
      </c>
      <c r="S238" s="16"/>
      <c r="T238" s="25"/>
      <c r="U238" s="6"/>
      <c r="V238" s="6"/>
      <c r="W238" s="6"/>
      <c r="X238" s="6"/>
      <c r="Y238" s="6"/>
      <c r="Z238" s="6"/>
    </row>
    <row r="239" hidden="1" outlineLevel="1">
      <c r="A239" s="44" t="str">
        <f t="shared" si="174"/>
        <v>7-2025</v>
      </c>
      <c r="B239" s="34">
        <v>45847.0</v>
      </c>
      <c r="C239" s="45"/>
      <c r="D239" s="46">
        <v>3309.0</v>
      </c>
      <c r="E239" s="47">
        <v>107.0</v>
      </c>
      <c r="F239" s="47">
        <v>107.0</v>
      </c>
      <c r="G239" s="48">
        <f t="shared" si="2"/>
        <v>1</v>
      </c>
      <c r="H239" s="46">
        <f t="shared" si="175"/>
        <v>30.92523364</v>
      </c>
      <c r="I239" s="46">
        <f t="shared" si="176"/>
        <v>30.92523364</v>
      </c>
      <c r="J239" s="49">
        <v>3968.0</v>
      </c>
      <c r="K239" s="50">
        <f t="shared" si="5"/>
        <v>0.02696572581</v>
      </c>
      <c r="L239" s="46">
        <v>243.6</v>
      </c>
      <c r="M239" s="46">
        <v>1952.0</v>
      </c>
      <c r="N239" s="47">
        <v>65.0</v>
      </c>
      <c r="O239" s="49">
        <v>175601.0</v>
      </c>
      <c r="P239" s="50">
        <f t="shared" si="6"/>
        <v>0.124795082</v>
      </c>
      <c r="Q239" s="51">
        <f t="shared" si="7"/>
        <v>8.013136289</v>
      </c>
      <c r="R239" s="50">
        <f t="shared" si="8"/>
        <v>0.5899063161</v>
      </c>
      <c r="S239" s="16"/>
      <c r="T239" s="25"/>
      <c r="U239" s="6"/>
      <c r="V239" s="6"/>
      <c r="W239" s="6"/>
      <c r="X239" s="6"/>
      <c r="Y239" s="6"/>
      <c r="Z239" s="6"/>
    </row>
    <row r="240" hidden="1" outlineLevel="1">
      <c r="A240" s="44" t="str">
        <f t="shared" si="174"/>
        <v>7-2025</v>
      </c>
      <c r="B240" s="34">
        <v>45848.0</v>
      </c>
      <c r="C240" s="45"/>
      <c r="D240" s="46">
        <v>3392.0</v>
      </c>
      <c r="E240" s="47">
        <v>104.0</v>
      </c>
      <c r="F240" s="47">
        <v>104.0</v>
      </c>
      <c r="G240" s="48">
        <f t="shared" si="2"/>
        <v>1</v>
      </c>
      <c r="H240" s="46">
        <f t="shared" si="175"/>
        <v>32.61538462</v>
      </c>
      <c r="I240" s="46">
        <f t="shared" si="176"/>
        <v>32.61538462</v>
      </c>
      <c r="J240" s="49">
        <v>3628.0</v>
      </c>
      <c r="K240" s="50">
        <f t="shared" si="5"/>
        <v>0.02866593164</v>
      </c>
      <c r="L240" s="46">
        <v>200.63</v>
      </c>
      <c r="M240" s="46">
        <v>1672.0</v>
      </c>
      <c r="N240" s="47">
        <v>50.0</v>
      </c>
      <c r="O240" s="49">
        <v>128273.0</v>
      </c>
      <c r="P240" s="50">
        <f t="shared" si="6"/>
        <v>0.1199940191</v>
      </c>
      <c r="Q240" s="51">
        <f t="shared" si="7"/>
        <v>8.333748692</v>
      </c>
      <c r="R240" s="50">
        <f t="shared" si="8"/>
        <v>0.4929245283</v>
      </c>
      <c r="S240" s="16"/>
      <c r="T240" s="25"/>
      <c r="U240" s="6"/>
      <c r="V240" s="6"/>
      <c r="W240" s="6"/>
      <c r="X240" s="6"/>
      <c r="Y240" s="6"/>
      <c r="Z240" s="6"/>
    </row>
    <row r="241" hidden="1" outlineLevel="1">
      <c r="A241" s="44" t="str">
        <f t="shared" si="174"/>
        <v>7-2025</v>
      </c>
      <c r="B241" s="34">
        <v>45849.0</v>
      </c>
      <c r="C241" s="45"/>
      <c r="D241" s="46">
        <v>3005.0</v>
      </c>
      <c r="E241" s="47">
        <v>98.0</v>
      </c>
      <c r="F241" s="47">
        <v>96.0</v>
      </c>
      <c r="G241" s="48">
        <f t="shared" si="2"/>
        <v>1.020833333</v>
      </c>
      <c r="H241" s="46">
        <f t="shared" si="175"/>
        <v>31.30208333</v>
      </c>
      <c r="I241" s="46">
        <f t="shared" si="176"/>
        <v>30.66326531</v>
      </c>
      <c r="J241" s="49">
        <v>3374.0</v>
      </c>
      <c r="K241" s="50">
        <f t="shared" si="5"/>
        <v>0.02904564315</v>
      </c>
      <c r="L241" s="46">
        <v>167.39</v>
      </c>
      <c r="M241" s="46">
        <v>1560.0</v>
      </c>
      <c r="N241" s="47">
        <v>49.0</v>
      </c>
      <c r="O241" s="49">
        <v>108431.0</v>
      </c>
      <c r="P241" s="50">
        <f t="shared" si="6"/>
        <v>0.1073012821</v>
      </c>
      <c r="Q241" s="51">
        <f t="shared" si="7"/>
        <v>9.319553139</v>
      </c>
      <c r="R241" s="50">
        <f t="shared" si="8"/>
        <v>0.5191347754</v>
      </c>
      <c r="S241" s="16"/>
      <c r="T241" s="25"/>
      <c r="U241" s="6"/>
      <c r="V241" s="6"/>
      <c r="W241" s="6"/>
      <c r="X241" s="6"/>
      <c r="Y241" s="6"/>
      <c r="Z241" s="6"/>
    </row>
    <row r="242" hidden="1" outlineLevel="1">
      <c r="A242" s="44" t="str">
        <f t="shared" si="174"/>
        <v>7-2025</v>
      </c>
      <c r="B242" s="34">
        <v>45850.0</v>
      </c>
      <c r="C242" s="45"/>
      <c r="D242" s="46">
        <v>2156.0</v>
      </c>
      <c r="E242" s="47">
        <v>60.0</v>
      </c>
      <c r="F242" s="47">
        <v>59.0</v>
      </c>
      <c r="G242" s="48">
        <f t="shared" si="2"/>
        <v>1.016949153</v>
      </c>
      <c r="H242" s="46">
        <f t="shared" si="175"/>
        <v>36.54237288</v>
      </c>
      <c r="I242" s="46">
        <f t="shared" si="176"/>
        <v>35.93333333</v>
      </c>
      <c r="J242" s="49">
        <v>3094.0</v>
      </c>
      <c r="K242" s="50">
        <f t="shared" si="5"/>
        <v>0.01939237233</v>
      </c>
      <c r="L242" s="46">
        <v>178.38</v>
      </c>
      <c r="M242" s="46">
        <v>770.0</v>
      </c>
      <c r="N242" s="47">
        <v>26.0</v>
      </c>
      <c r="O242" s="49">
        <v>87272.0</v>
      </c>
      <c r="P242" s="50">
        <f t="shared" si="6"/>
        <v>0.2316623377</v>
      </c>
      <c r="Q242" s="51">
        <f t="shared" si="7"/>
        <v>4.316627425</v>
      </c>
      <c r="R242" s="50">
        <f t="shared" si="8"/>
        <v>0.3571428571</v>
      </c>
      <c r="S242" s="16"/>
      <c r="T242" s="25"/>
      <c r="U242" s="6"/>
      <c r="V242" s="6"/>
      <c r="W242" s="6"/>
      <c r="X242" s="6"/>
      <c r="Y242" s="6"/>
      <c r="Z242" s="6"/>
    </row>
    <row r="243" collapsed="1">
      <c r="A243" s="52" t="s">
        <v>74</v>
      </c>
      <c r="B243" s="53"/>
      <c r="C243" s="54"/>
      <c r="D243" s="55">
        <f t="shared" ref="D243:F243" si="177">SUM(D236:D242)</f>
        <v>21521</v>
      </c>
      <c r="E243" s="81">
        <f t="shared" si="177"/>
        <v>658</v>
      </c>
      <c r="F243" s="81">
        <f t="shared" si="177"/>
        <v>653</v>
      </c>
      <c r="G243" s="57">
        <f t="shared" si="2"/>
        <v>1.007656968</v>
      </c>
      <c r="H243" s="55">
        <f>AVERAGE(H236:H242)</f>
        <v>33.23112122</v>
      </c>
      <c r="I243" s="58">
        <f>H243/G243</f>
        <v>32.97860511</v>
      </c>
      <c r="J243" s="59">
        <f>SUM(J236:J242)</f>
        <v>26444</v>
      </c>
      <c r="K243" s="60">
        <f t="shared" si="5"/>
        <v>0.02488277114</v>
      </c>
      <c r="L243" s="55">
        <f t="shared" ref="L243:N243" si="178">SUM(L236:L242)</f>
        <v>1562.23</v>
      </c>
      <c r="M243" s="55">
        <f t="shared" si="178"/>
        <v>11282</v>
      </c>
      <c r="N243" s="56">
        <f t="shared" si="178"/>
        <v>353</v>
      </c>
      <c r="O243" s="59">
        <f>sum(O236:O242)</f>
        <v>1025207</v>
      </c>
      <c r="P243" s="60">
        <f t="shared" si="6"/>
        <v>0.1384710158</v>
      </c>
      <c r="Q243" s="61">
        <f t="shared" si="7"/>
        <v>7.221727915</v>
      </c>
      <c r="R243" s="62">
        <f t="shared" si="8"/>
        <v>0.5242321453</v>
      </c>
      <c r="S243" s="54" t="str">
        <f>iferror((D243-#REF!)/D243,)</f>
        <v/>
      </c>
      <c r="T243" s="63" t="str">
        <f>iferror((F243-#REF!)/F243,)</f>
        <v/>
      </c>
      <c r="U243" s="64">
        <f t="shared" ref="U243:V243" si="179">L243</f>
        <v>1562.23</v>
      </c>
      <c r="V243" s="64">
        <f t="shared" si="179"/>
        <v>11282</v>
      </c>
      <c r="W243" s="6"/>
      <c r="X243" s="6"/>
      <c r="Y243" s="6"/>
      <c r="Z243" s="6"/>
    </row>
    <row r="244" hidden="1" outlineLevel="1">
      <c r="A244" s="33" t="str">
        <f t="shared" ref="A244:A250" si="180">iferror(if(B244&gt;0,month(B244)&amp;"-"&amp;year(B244),B244),)</f>
        <v>7-2025</v>
      </c>
      <c r="B244" s="34">
        <v>45851.0</v>
      </c>
      <c r="C244" s="35"/>
      <c r="D244" s="36">
        <v>2364.0</v>
      </c>
      <c r="E244" s="37">
        <v>80.0</v>
      </c>
      <c r="F244" s="37">
        <v>80.0</v>
      </c>
      <c r="G244" s="38">
        <f t="shared" si="2"/>
        <v>1</v>
      </c>
      <c r="H244" s="36">
        <f t="shared" ref="H244:H250" si="181">D244/F244</f>
        <v>29.55</v>
      </c>
      <c r="I244" s="36">
        <f t="shared" ref="I244:I250" si="182">D244/E244</f>
        <v>29.55</v>
      </c>
      <c r="J244" s="39">
        <v>3329.0</v>
      </c>
      <c r="K244" s="40">
        <f t="shared" si="5"/>
        <v>0.02403124061</v>
      </c>
      <c r="L244" s="36">
        <v>205.78</v>
      </c>
      <c r="M244" s="36">
        <v>1672.0</v>
      </c>
      <c r="N244" s="37">
        <v>56.0</v>
      </c>
      <c r="O244" s="39">
        <v>108587.0</v>
      </c>
      <c r="P244" s="40">
        <f t="shared" si="6"/>
        <v>0.1230741627</v>
      </c>
      <c r="Q244" s="41">
        <f t="shared" si="7"/>
        <v>8.125182233</v>
      </c>
      <c r="R244" s="40">
        <f t="shared" si="8"/>
        <v>0.7072758037</v>
      </c>
      <c r="S244" s="42"/>
      <c r="T244" s="43"/>
      <c r="U244" s="6"/>
      <c r="V244" s="6"/>
      <c r="W244" s="6"/>
      <c r="X244" s="6"/>
      <c r="Y244" s="6"/>
      <c r="Z244" s="6"/>
    </row>
    <row r="245" hidden="1" outlineLevel="1">
      <c r="A245" s="44" t="str">
        <f t="shared" si="180"/>
        <v>7-2025</v>
      </c>
      <c r="B245" s="34">
        <v>45852.0</v>
      </c>
      <c r="C245" s="45"/>
      <c r="D245" s="46">
        <v>2044.0</v>
      </c>
      <c r="E245" s="47">
        <v>60.0</v>
      </c>
      <c r="F245" s="47">
        <v>60.0</v>
      </c>
      <c r="G245" s="48">
        <f t="shared" si="2"/>
        <v>1</v>
      </c>
      <c r="H245" s="46">
        <f t="shared" si="181"/>
        <v>34.06666667</v>
      </c>
      <c r="I245" s="46">
        <f t="shared" si="182"/>
        <v>34.06666667</v>
      </c>
      <c r="J245" s="49">
        <v>2971.0</v>
      </c>
      <c r="K245" s="50">
        <f t="shared" si="5"/>
        <v>0.02019522046</v>
      </c>
      <c r="L245" s="46">
        <v>176.54</v>
      </c>
      <c r="M245" s="46">
        <v>1269.0</v>
      </c>
      <c r="N245" s="47">
        <v>38.0</v>
      </c>
      <c r="O245" s="49">
        <v>97996.0</v>
      </c>
      <c r="P245" s="50">
        <f t="shared" si="6"/>
        <v>0.1391174153</v>
      </c>
      <c r="Q245" s="51">
        <f t="shared" si="7"/>
        <v>7.188172652</v>
      </c>
      <c r="R245" s="50">
        <f t="shared" si="8"/>
        <v>0.6208414873</v>
      </c>
      <c r="S245" s="16"/>
      <c r="T245" s="25"/>
      <c r="U245" s="6"/>
      <c r="V245" s="6"/>
      <c r="W245" s="6"/>
      <c r="X245" s="6"/>
      <c r="Y245" s="6"/>
      <c r="Z245" s="6"/>
    </row>
    <row r="246" hidden="1" outlineLevel="1">
      <c r="A246" s="44" t="str">
        <f t="shared" si="180"/>
        <v>7-2025</v>
      </c>
      <c r="B246" s="34">
        <v>45853.0</v>
      </c>
      <c r="C246" s="45"/>
      <c r="D246" s="46">
        <v>1948.0</v>
      </c>
      <c r="E246" s="47">
        <v>58.0</v>
      </c>
      <c r="F246" s="47">
        <v>58.0</v>
      </c>
      <c r="G246" s="48">
        <f t="shared" si="2"/>
        <v>1</v>
      </c>
      <c r="H246" s="46">
        <f t="shared" si="181"/>
        <v>33.5862069</v>
      </c>
      <c r="I246" s="46">
        <f t="shared" si="182"/>
        <v>33.5862069</v>
      </c>
      <c r="J246" s="49">
        <v>2896.0</v>
      </c>
      <c r="K246" s="50">
        <f t="shared" si="5"/>
        <v>0.02002762431</v>
      </c>
      <c r="L246" s="46">
        <v>160.84</v>
      </c>
      <c r="M246" s="46">
        <v>1434.0</v>
      </c>
      <c r="N246" s="47">
        <v>41.0</v>
      </c>
      <c r="O246" s="49">
        <v>99390.0</v>
      </c>
      <c r="P246" s="50">
        <f t="shared" si="6"/>
        <v>0.1121617852</v>
      </c>
      <c r="Q246" s="51">
        <f t="shared" si="7"/>
        <v>8.915692614</v>
      </c>
      <c r="R246" s="50">
        <f t="shared" si="8"/>
        <v>0.7361396304</v>
      </c>
      <c r="S246" s="16"/>
      <c r="T246" s="25"/>
      <c r="U246" s="6"/>
      <c r="V246" s="6"/>
      <c r="W246" s="6"/>
      <c r="X246" s="6"/>
      <c r="Y246" s="6"/>
      <c r="Z246" s="6"/>
    </row>
    <row r="247" hidden="1" outlineLevel="1">
      <c r="A247" s="44" t="str">
        <f t="shared" si="180"/>
        <v>7-2025</v>
      </c>
      <c r="B247" s="34">
        <v>45854.0</v>
      </c>
      <c r="C247" s="45"/>
      <c r="D247" s="46">
        <v>2255.0</v>
      </c>
      <c r="E247" s="47">
        <v>65.0</v>
      </c>
      <c r="F247" s="47">
        <v>65.0</v>
      </c>
      <c r="G247" s="48">
        <f t="shared" si="2"/>
        <v>1</v>
      </c>
      <c r="H247" s="46">
        <f t="shared" si="181"/>
        <v>34.69230769</v>
      </c>
      <c r="I247" s="46">
        <f t="shared" si="182"/>
        <v>34.69230769</v>
      </c>
      <c r="J247" s="49">
        <v>2967.0</v>
      </c>
      <c r="K247" s="50">
        <f t="shared" si="5"/>
        <v>0.02190765083</v>
      </c>
      <c r="L247" s="46">
        <v>152.18</v>
      </c>
      <c r="M247" s="46">
        <v>1482.0</v>
      </c>
      <c r="N247" s="47">
        <v>45.0</v>
      </c>
      <c r="O247" s="49">
        <v>97890.0</v>
      </c>
      <c r="P247" s="50">
        <f t="shared" si="6"/>
        <v>0.1026855601</v>
      </c>
      <c r="Q247" s="51">
        <f t="shared" si="7"/>
        <v>9.738467604</v>
      </c>
      <c r="R247" s="50">
        <f t="shared" si="8"/>
        <v>0.6572062084</v>
      </c>
      <c r="S247" s="16"/>
      <c r="T247" s="25"/>
      <c r="U247" s="6"/>
      <c r="V247" s="6"/>
      <c r="W247" s="6"/>
      <c r="X247" s="6"/>
      <c r="Y247" s="6"/>
      <c r="Z247" s="6"/>
    </row>
    <row r="248" hidden="1" outlineLevel="1">
      <c r="A248" s="44" t="str">
        <f t="shared" si="180"/>
        <v>7-2025</v>
      </c>
      <c r="B248" s="34">
        <v>45855.0</v>
      </c>
      <c r="C248" s="45"/>
      <c r="D248" s="46">
        <v>2216.0</v>
      </c>
      <c r="E248" s="47">
        <v>66.0</v>
      </c>
      <c r="F248" s="47">
        <v>66.0</v>
      </c>
      <c r="G248" s="48">
        <f t="shared" si="2"/>
        <v>1</v>
      </c>
      <c r="H248" s="46">
        <f t="shared" si="181"/>
        <v>33.57575758</v>
      </c>
      <c r="I248" s="46">
        <f t="shared" si="182"/>
        <v>33.57575758</v>
      </c>
      <c r="J248" s="49">
        <v>2904.0</v>
      </c>
      <c r="K248" s="50">
        <f t="shared" si="5"/>
        <v>0.02272727273</v>
      </c>
      <c r="L248" s="46">
        <v>157.8</v>
      </c>
      <c r="M248" s="46">
        <v>1471.0</v>
      </c>
      <c r="N248" s="47">
        <v>43.0</v>
      </c>
      <c r="O248" s="49">
        <v>134610.0</v>
      </c>
      <c r="P248" s="50">
        <f t="shared" si="6"/>
        <v>0.1072739633</v>
      </c>
      <c r="Q248" s="51">
        <f t="shared" si="7"/>
        <v>9.321926489</v>
      </c>
      <c r="R248" s="50">
        <f t="shared" si="8"/>
        <v>0.6638086643</v>
      </c>
      <c r="S248" s="16"/>
      <c r="T248" s="25"/>
      <c r="U248" s="6"/>
      <c r="V248" s="6"/>
      <c r="W248" s="6"/>
      <c r="X248" s="6"/>
      <c r="Y248" s="6"/>
      <c r="Z248" s="6"/>
    </row>
    <row r="249" hidden="1" outlineLevel="1">
      <c r="A249" s="44" t="str">
        <f t="shared" si="180"/>
        <v>7-2025</v>
      </c>
      <c r="B249" s="34">
        <v>45856.0</v>
      </c>
      <c r="C249" s="45"/>
      <c r="D249" s="46">
        <v>2275.0</v>
      </c>
      <c r="E249" s="47">
        <v>68.0</v>
      </c>
      <c r="F249" s="47">
        <v>67.0</v>
      </c>
      <c r="G249" s="48">
        <f t="shared" si="2"/>
        <v>1.014925373</v>
      </c>
      <c r="H249" s="46">
        <f t="shared" si="181"/>
        <v>33.95522388</v>
      </c>
      <c r="I249" s="46">
        <f t="shared" si="182"/>
        <v>33.45588235</v>
      </c>
      <c r="J249" s="49">
        <v>2588.0</v>
      </c>
      <c r="K249" s="50">
        <f t="shared" si="5"/>
        <v>0.02627511592</v>
      </c>
      <c r="L249" s="46">
        <v>132.97</v>
      </c>
      <c r="M249" s="46">
        <v>1155.0</v>
      </c>
      <c r="N249" s="47">
        <v>36.0</v>
      </c>
      <c r="O249" s="49">
        <v>128593.0</v>
      </c>
      <c r="P249" s="50">
        <f t="shared" si="6"/>
        <v>0.1151255411</v>
      </c>
      <c r="Q249" s="51">
        <f t="shared" si="7"/>
        <v>8.686169813</v>
      </c>
      <c r="R249" s="50">
        <f t="shared" si="8"/>
        <v>0.5076923077</v>
      </c>
      <c r="S249" s="16"/>
      <c r="T249" s="25"/>
      <c r="U249" s="6"/>
      <c r="V249" s="6"/>
      <c r="W249" s="6"/>
      <c r="X249" s="6"/>
      <c r="Y249" s="6"/>
      <c r="Z249" s="6"/>
    </row>
    <row r="250" hidden="1" outlineLevel="1">
      <c r="A250" s="44" t="str">
        <f t="shared" si="180"/>
        <v>7-2025</v>
      </c>
      <c r="B250" s="34">
        <v>45857.0</v>
      </c>
      <c r="C250" s="45"/>
      <c r="D250" s="46">
        <v>2958.0</v>
      </c>
      <c r="E250" s="47">
        <v>86.0</v>
      </c>
      <c r="F250" s="47">
        <v>85.0</v>
      </c>
      <c r="G250" s="48">
        <f t="shared" si="2"/>
        <v>1.011764706</v>
      </c>
      <c r="H250" s="46">
        <f t="shared" si="181"/>
        <v>34.8</v>
      </c>
      <c r="I250" s="46">
        <f t="shared" si="182"/>
        <v>34.39534884</v>
      </c>
      <c r="J250" s="49">
        <v>3251.0</v>
      </c>
      <c r="K250" s="50">
        <f t="shared" si="5"/>
        <v>0.02645339895</v>
      </c>
      <c r="L250" s="46">
        <v>165.2</v>
      </c>
      <c r="M250" s="46">
        <v>1039.0</v>
      </c>
      <c r="N250" s="47">
        <v>33.0</v>
      </c>
      <c r="O250" s="49">
        <v>141925.0</v>
      </c>
      <c r="P250" s="50">
        <f t="shared" si="6"/>
        <v>0.1589990375</v>
      </c>
      <c r="Q250" s="51">
        <f t="shared" si="7"/>
        <v>6.289346247</v>
      </c>
      <c r="R250" s="50">
        <f t="shared" si="8"/>
        <v>0.3512508452</v>
      </c>
      <c r="S250" s="16"/>
      <c r="T250" s="25"/>
      <c r="U250" s="6"/>
      <c r="V250" s="6"/>
      <c r="W250" s="6"/>
      <c r="X250" s="6"/>
      <c r="Y250" s="6"/>
      <c r="Z250" s="6"/>
    </row>
    <row r="251" collapsed="1">
      <c r="A251" s="52" t="s">
        <v>75</v>
      </c>
      <c r="B251" s="53"/>
      <c r="C251" s="54"/>
      <c r="D251" s="55">
        <f t="shared" ref="D251:F251" si="183">SUM(D244:D250)</f>
        <v>16060</v>
      </c>
      <c r="E251" s="81">
        <f t="shared" si="183"/>
        <v>483</v>
      </c>
      <c r="F251" s="81">
        <f t="shared" si="183"/>
        <v>481</v>
      </c>
      <c r="G251" s="57">
        <f t="shared" si="2"/>
        <v>1.004158004</v>
      </c>
      <c r="H251" s="55">
        <f>AVERAGE(H244:H250)</f>
        <v>33.46088039</v>
      </c>
      <c r="I251" s="58">
        <f>H251/G251</f>
        <v>33.32232602</v>
      </c>
      <c r="J251" s="59">
        <f>SUM(J244:J250)</f>
        <v>20906</v>
      </c>
      <c r="K251" s="60">
        <f t="shared" si="5"/>
        <v>0.02310341529</v>
      </c>
      <c r="L251" s="55">
        <f t="shared" ref="L251:N251" si="184">SUM(L244:L250)</f>
        <v>1151.31</v>
      </c>
      <c r="M251" s="55">
        <f t="shared" si="184"/>
        <v>9522</v>
      </c>
      <c r="N251" s="56">
        <f t="shared" si="184"/>
        <v>292</v>
      </c>
      <c r="O251" s="59">
        <f>sum(O244:O250)</f>
        <v>808991</v>
      </c>
      <c r="P251" s="60">
        <f t="shared" si="6"/>
        <v>0.120910523</v>
      </c>
      <c r="Q251" s="61">
        <f t="shared" si="7"/>
        <v>8.270578732</v>
      </c>
      <c r="R251" s="62">
        <f t="shared" si="8"/>
        <v>0.5929016189</v>
      </c>
      <c r="S251" s="54" t="str">
        <f>iferror((D251-#REF!)/D251,)</f>
        <v/>
      </c>
      <c r="T251" s="63" t="str">
        <f>iferror((F251-#REF!)/F251,)</f>
        <v/>
      </c>
      <c r="U251" s="64">
        <f t="shared" ref="U251:V251" si="185">L251</f>
        <v>1151.31</v>
      </c>
      <c r="V251" s="64">
        <f t="shared" si="185"/>
        <v>9522</v>
      </c>
      <c r="W251" s="6"/>
      <c r="X251" s="6"/>
      <c r="Y251" s="6"/>
      <c r="Z251" s="6"/>
    </row>
    <row r="252" hidden="1" outlineLevel="1">
      <c r="A252" s="33" t="str">
        <f t="shared" ref="A252:A258" si="186">iferror(if(B252&gt;0,month(B252)&amp;"-"&amp;year(B252),B252),)</f>
        <v>7-2025</v>
      </c>
      <c r="B252" s="34">
        <v>45858.0</v>
      </c>
      <c r="C252" s="35"/>
      <c r="D252" s="36">
        <v>2698.0</v>
      </c>
      <c r="E252" s="37">
        <v>88.0</v>
      </c>
      <c r="F252" s="37">
        <v>88.0</v>
      </c>
      <c r="G252" s="38">
        <f t="shared" si="2"/>
        <v>1</v>
      </c>
      <c r="H252" s="36">
        <f t="shared" ref="H252:H258" si="187">D252/F252</f>
        <v>30.65909091</v>
      </c>
      <c r="I252" s="36">
        <f t="shared" ref="I252:I258" si="188">D252/E252</f>
        <v>30.65909091</v>
      </c>
      <c r="J252" s="39">
        <v>3994.0</v>
      </c>
      <c r="K252" s="40">
        <f t="shared" si="5"/>
        <v>0.02203304957</v>
      </c>
      <c r="L252" s="36">
        <v>215.94</v>
      </c>
      <c r="M252" s="36">
        <v>2531.0</v>
      </c>
      <c r="N252" s="37">
        <v>78.0</v>
      </c>
      <c r="O252" s="39">
        <v>187150.0</v>
      </c>
      <c r="P252" s="40">
        <f t="shared" si="6"/>
        <v>0.0853180561</v>
      </c>
      <c r="Q252" s="41">
        <f t="shared" si="7"/>
        <v>11.72084838</v>
      </c>
      <c r="R252" s="40">
        <f t="shared" si="8"/>
        <v>0.938102298</v>
      </c>
      <c r="S252" s="42"/>
      <c r="T252" s="43"/>
      <c r="U252" s="6"/>
      <c r="V252" s="6"/>
      <c r="W252" s="6"/>
      <c r="X252" s="6"/>
      <c r="Y252" s="6"/>
      <c r="Z252" s="6"/>
    </row>
    <row r="253" hidden="1" outlineLevel="1">
      <c r="A253" s="44" t="str">
        <f t="shared" si="186"/>
        <v>7-2025</v>
      </c>
      <c r="B253" s="34">
        <v>45859.0</v>
      </c>
      <c r="C253" s="45"/>
      <c r="D253" s="46">
        <v>2891.0</v>
      </c>
      <c r="E253" s="47">
        <v>88.0</v>
      </c>
      <c r="F253" s="47">
        <v>88.0</v>
      </c>
      <c r="G253" s="48">
        <f t="shared" si="2"/>
        <v>1</v>
      </c>
      <c r="H253" s="46">
        <f t="shared" si="187"/>
        <v>32.85227273</v>
      </c>
      <c r="I253" s="46">
        <f t="shared" si="188"/>
        <v>32.85227273</v>
      </c>
      <c r="J253" s="49">
        <v>3994.0</v>
      </c>
      <c r="K253" s="50">
        <f t="shared" si="5"/>
        <v>0.02203304957</v>
      </c>
      <c r="L253" s="46">
        <v>190.16</v>
      </c>
      <c r="M253" s="46">
        <v>2135.0</v>
      </c>
      <c r="N253" s="47">
        <v>65.0</v>
      </c>
      <c r="O253" s="49">
        <v>169019.0</v>
      </c>
      <c r="P253" s="50">
        <f t="shared" si="6"/>
        <v>0.08906791569</v>
      </c>
      <c r="Q253" s="51">
        <f t="shared" si="7"/>
        <v>11.22738746</v>
      </c>
      <c r="R253" s="50">
        <f t="shared" si="8"/>
        <v>0.7384987893</v>
      </c>
      <c r="S253" s="16"/>
      <c r="T253" s="25"/>
      <c r="U253" s="6"/>
      <c r="V253" s="6"/>
      <c r="W253" s="6"/>
      <c r="X253" s="6"/>
      <c r="Y253" s="6"/>
      <c r="Z253" s="6"/>
    </row>
    <row r="254" hidden="1" outlineLevel="1">
      <c r="A254" s="44" t="str">
        <f t="shared" si="186"/>
        <v>7-2025</v>
      </c>
      <c r="B254" s="34">
        <v>45860.0</v>
      </c>
      <c r="C254" s="45"/>
      <c r="D254" s="46">
        <v>2682.0</v>
      </c>
      <c r="E254" s="47">
        <v>77.0</v>
      </c>
      <c r="F254" s="47">
        <v>77.0</v>
      </c>
      <c r="G254" s="48">
        <f t="shared" si="2"/>
        <v>1</v>
      </c>
      <c r="H254" s="46">
        <f t="shared" si="187"/>
        <v>34.83116883</v>
      </c>
      <c r="I254" s="46">
        <f t="shared" si="188"/>
        <v>34.83116883</v>
      </c>
      <c r="J254" s="49">
        <v>3513.0</v>
      </c>
      <c r="K254" s="50">
        <f t="shared" si="5"/>
        <v>0.0219185881</v>
      </c>
      <c r="L254" s="46">
        <v>159.82</v>
      </c>
      <c r="M254" s="46">
        <v>1654.0</v>
      </c>
      <c r="N254" s="47">
        <v>50.0</v>
      </c>
      <c r="O254" s="49">
        <v>149530.0</v>
      </c>
      <c r="P254" s="50">
        <f t="shared" si="6"/>
        <v>0.09662636034</v>
      </c>
      <c r="Q254" s="51">
        <f t="shared" si="7"/>
        <v>10.34914279</v>
      </c>
      <c r="R254" s="50">
        <f t="shared" si="8"/>
        <v>0.6167039523</v>
      </c>
      <c r="S254" s="16"/>
      <c r="T254" s="25"/>
      <c r="U254" s="6"/>
      <c r="V254" s="6"/>
      <c r="W254" s="6"/>
      <c r="X254" s="6"/>
      <c r="Y254" s="6"/>
      <c r="Z254" s="6"/>
    </row>
    <row r="255" hidden="1" outlineLevel="1">
      <c r="A255" s="44" t="str">
        <f t="shared" si="186"/>
        <v>7-2025</v>
      </c>
      <c r="B255" s="34">
        <v>45861.0</v>
      </c>
      <c r="C255" s="45"/>
      <c r="D255" s="46">
        <v>2897.0</v>
      </c>
      <c r="E255" s="47">
        <v>89.0</v>
      </c>
      <c r="F255" s="47">
        <v>89.0</v>
      </c>
      <c r="G255" s="48">
        <f t="shared" si="2"/>
        <v>1</v>
      </c>
      <c r="H255" s="46">
        <f t="shared" si="187"/>
        <v>32.5505618</v>
      </c>
      <c r="I255" s="46">
        <f t="shared" si="188"/>
        <v>32.5505618</v>
      </c>
      <c r="J255" s="49">
        <v>4029.0</v>
      </c>
      <c r="K255" s="50">
        <f t="shared" si="5"/>
        <v>0.0220898486</v>
      </c>
      <c r="L255" s="46">
        <v>177.21</v>
      </c>
      <c r="M255" s="46">
        <v>1456.0</v>
      </c>
      <c r="N255" s="47">
        <v>43.0</v>
      </c>
      <c r="O255" s="49">
        <v>142031.0</v>
      </c>
      <c r="P255" s="50">
        <f t="shared" si="6"/>
        <v>0.1217101648</v>
      </c>
      <c r="Q255" s="51">
        <f t="shared" si="7"/>
        <v>8.216240618</v>
      </c>
      <c r="R255" s="50">
        <f t="shared" si="8"/>
        <v>0.5025888851</v>
      </c>
      <c r="S255" s="16"/>
      <c r="T255" s="25"/>
      <c r="U255" s="6"/>
      <c r="V255" s="6"/>
      <c r="W255" s="6"/>
      <c r="X255" s="6"/>
      <c r="Y255" s="6"/>
      <c r="Z255" s="6"/>
    </row>
    <row r="256" hidden="1" outlineLevel="1">
      <c r="A256" s="44" t="str">
        <f t="shared" si="186"/>
        <v>7-2025</v>
      </c>
      <c r="B256" s="34">
        <v>45862.0</v>
      </c>
      <c r="C256" s="45"/>
      <c r="D256" s="46">
        <v>2244.0</v>
      </c>
      <c r="E256" s="47">
        <v>72.0</v>
      </c>
      <c r="F256" s="47">
        <v>72.0</v>
      </c>
      <c r="G256" s="48">
        <f t="shared" si="2"/>
        <v>1</v>
      </c>
      <c r="H256" s="46">
        <f t="shared" si="187"/>
        <v>31.16666667</v>
      </c>
      <c r="I256" s="46">
        <f t="shared" si="188"/>
        <v>31.16666667</v>
      </c>
      <c r="J256" s="49">
        <v>3687.0</v>
      </c>
      <c r="K256" s="50">
        <f t="shared" si="5"/>
        <v>0.0195280716</v>
      </c>
      <c r="L256" s="46">
        <v>155.43</v>
      </c>
      <c r="M256" s="46">
        <v>1825.0</v>
      </c>
      <c r="N256" s="47">
        <v>54.0</v>
      </c>
      <c r="O256" s="49">
        <v>137741.0</v>
      </c>
      <c r="P256" s="50">
        <f t="shared" si="6"/>
        <v>0.08516712329</v>
      </c>
      <c r="Q256" s="51">
        <f t="shared" si="7"/>
        <v>11.74162002</v>
      </c>
      <c r="R256" s="50">
        <f t="shared" si="8"/>
        <v>0.8132798574</v>
      </c>
      <c r="S256" s="16"/>
      <c r="T256" s="25"/>
      <c r="U256" s="6"/>
      <c r="V256" s="6"/>
      <c r="W256" s="6"/>
      <c r="X256" s="6"/>
      <c r="Y256" s="6"/>
      <c r="Z256" s="6"/>
    </row>
    <row r="257" hidden="1" outlineLevel="1">
      <c r="A257" s="44" t="str">
        <f t="shared" si="186"/>
        <v>7-2025</v>
      </c>
      <c r="B257" s="34">
        <v>45863.0</v>
      </c>
      <c r="C257" s="45"/>
      <c r="D257" s="46">
        <v>3123.0</v>
      </c>
      <c r="E257" s="47">
        <v>87.0</v>
      </c>
      <c r="F257" s="47">
        <v>87.0</v>
      </c>
      <c r="G257" s="48">
        <f t="shared" si="2"/>
        <v>1</v>
      </c>
      <c r="H257" s="46">
        <f t="shared" si="187"/>
        <v>35.89655172</v>
      </c>
      <c r="I257" s="46">
        <f t="shared" si="188"/>
        <v>35.89655172</v>
      </c>
      <c r="J257" s="49">
        <v>3372.0</v>
      </c>
      <c r="K257" s="50">
        <f t="shared" si="5"/>
        <v>0.02580071174</v>
      </c>
      <c r="L257" s="46">
        <v>142.25</v>
      </c>
      <c r="M257" s="46">
        <v>1338.0</v>
      </c>
      <c r="N257" s="47">
        <v>37.0</v>
      </c>
      <c r="O257" s="49">
        <v>124932.0</v>
      </c>
      <c r="P257" s="50">
        <f t="shared" si="6"/>
        <v>0.1063153961</v>
      </c>
      <c r="Q257" s="51">
        <f t="shared" si="7"/>
        <v>9.405975395</v>
      </c>
      <c r="R257" s="50">
        <f t="shared" si="8"/>
        <v>0.4284341979</v>
      </c>
      <c r="S257" s="16"/>
      <c r="T257" s="25"/>
      <c r="U257" s="6"/>
      <c r="V257" s="6"/>
      <c r="W257" s="6"/>
      <c r="X257" s="6"/>
      <c r="Y257" s="6"/>
      <c r="Z257" s="6"/>
    </row>
    <row r="258" hidden="1" outlineLevel="1">
      <c r="A258" s="44" t="str">
        <f t="shared" si="186"/>
        <v>7-2025</v>
      </c>
      <c r="B258" s="34">
        <v>45864.0</v>
      </c>
      <c r="C258" s="45"/>
      <c r="D258" s="46">
        <v>2357.0</v>
      </c>
      <c r="E258" s="47">
        <v>67.0</v>
      </c>
      <c r="F258" s="47">
        <v>67.0</v>
      </c>
      <c r="G258" s="48">
        <f t="shared" si="2"/>
        <v>1</v>
      </c>
      <c r="H258" s="46">
        <f t="shared" si="187"/>
        <v>35.17910448</v>
      </c>
      <c r="I258" s="46">
        <f t="shared" si="188"/>
        <v>35.17910448</v>
      </c>
      <c r="J258" s="49">
        <v>3509.0</v>
      </c>
      <c r="K258" s="50">
        <f t="shared" si="5"/>
        <v>0.01909375891</v>
      </c>
      <c r="L258" s="46">
        <v>161.89</v>
      </c>
      <c r="M258" s="46">
        <v>1617.0</v>
      </c>
      <c r="N258" s="47">
        <v>51.0</v>
      </c>
      <c r="O258" s="49">
        <v>138525.0</v>
      </c>
      <c r="P258" s="50">
        <f t="shared" si="6"/>
        <v>0.1001175015</v>
      </c>
      <c r="Q258" s="51">
        <f t="shared" si="7"/>
        <v>9.988263636</v>
      </c>
      <c r="R258" s="50">
        <f t="shared" si="8"/>
        <v>0.6860415783</v>
      </c>
      <c r="S258" s="16"/>
      <c r="T258" s="25"/>
      <c r="U258" s="6"/>
      <c r="V258" s="6"/>
      <c r="W258" s="6"/>
      <c r="X258" s="6"/>
      <c r="Y258" s="6"/>
      <c r="Z258" s="6"/>
    </row>
    <row r="259" collapsed="1">
      <c r="A259" s="52" t="s">
        <v>76</v>
      </c>
      <c r="B259" s="53"/>
      <c r="C259" s="54"/>
      <c r="D259" s="55">
        <f t="shared" ref="D259:F259" si="189">SUM(D252:D258)</f>
        <v>18892</v>
      </c>
      <c r="E259" s="81">
        <f t="shared" si="189"/>
        <v>568</v>
      </c>
      <c r="F259" s="81">
        <f t="shared" si="189"/>
        <v>568</v>
      </c>
      <c r="G259" s="57">
        <f t="shared" si="2"/>
        <v>1</v>
      </c>
      <c r="H259" s="55">
        <f>AVERAGE(H252:H258)</f>
        <v>33.30505959</v>
      </c>
      <c r="I259" s="58">
        <f>H259/G259</f>
        <v>33.30505959</v>
      </c>
      <c r="J259" s="59">
        <f>SUM(J252:J258)</f>
        <v>26098</v>
      </c>
      <c r="K259" s="60">
        <f t="shared" si="5"/>
        <v>0.02176411986</v>
      </c>
      <c r="L259" s="55">
        <f t="shared" ref="L259:N259" si="190">SUM(L252:L258)</f>
        <v>1202.7</v>
      </c>
      <c r="M259" s="55">
        <f t="shared" si="190"/>
        <v>12556</v>
      </c>
      <c r="N259" s="56">
        <f t="shared" si="190"/>
        <v>378</v>
      </c>
      <c r="O259" s="59">
        <f>sum(O252:O258)</f>
        <v>1048928</v>
      </c>
      <c r="P259" s="60">
        <f t="shared" si="6"/>
        <v>0.0957868748</v>
      </c>
      <c r="Q259" s="61">
        <f t="shared" si="7"/>
        <v>10.43984369</v>
      </c>
      <c r="R259" s="62">
        <f t="shared" si="8"/>
        <v>0.664619945</v>
      </c>
      <c r="S259" s="54" t="str">
        <f>iferror((D259-#REF!)/D259,)</f>
        <v/>
      </c>
      <c r="T259" s="63" t="str">
        <f>iferror((F259-#REF!)/F259,)</f>
        <v/>
      </c>
      <c r="U259" s="64">
        <f t="shared" ref="U259:V259" si="191">L259</f>
        <v>1202.7</v>
      </c>
      <c r="V259" s="64">
        <f t="shared" si="191"/>
        <v>12556</v>
      </c>
      <c r="W259" s="6"/>
      <c r="X259" s="6"/>
      <c r="Y259" s="6"/>
      <c r="Z259" s="6"/>
    </row>
    <row r="260" hidden="1" outlineLevel="1">
      <c r="A260" s="33" t="str">
        <f t="shared" ref="A260:A266" si="192">iferror(if(B260&gt;0,month(B260)&amp;"-"&amp;year(B260),B260),)</f>
        <v>7-2025</v>
      </c>
      <c r="B260" s="34">
        <v>45865.0</v>
      </c>
      <c r="C260" s="35"/>
      <c r="D260" s="36">
        <v>3325.0</v>
      </c>
      <c r="E260" s="37">
        <v>104.0</v>
      </c>
      <c r="F260" s="37">
        <v>103.0</v>
      </c>
      <c r="G260" s="38">
        <f t="shared" si="2"/>
        <v>1.009708738</v>
      </c>
      <c r="H260" s="36">
        <f t="shared" ref="H260:H266" si="193">D260/F260</f>
        <v>32.2815534</v>
      </c>
      <c r="I260" s="36">
        <f t="shared" ref="I260:I266" si="194">D260/E260</f>
        <v>31.97115385</v>
      </c>
      <c r="J260" s="39">
        <v>3832.0</v>
      </c>
      <c r="K260" s="40">
        <f t="shared" si="5"/>
        <v>0.02713987474</v>
      </c>
      <c r="L260" s="36">
        <v>181.79</v>
      </c>
      <c r="M260" s="36">
        <v>2039.0</v>
      </c>
      <c r="N260" s="37">
        <v>62.0</v>
      </c>
      <c r="O260" s="39">
        <v>168206.0</v>
      </c>
      <c r="P260" s="40">
        <f t="shared" si="6"/>
        <v>0.08915644924</v>
      </c>
      <c r="Q260" s="41">
        <f t="shared" si="7"/>
        <v>11.21623852</v>
      </c>
      <c r="R260" s="40">
        <f t="shared" si="8"/>
        <v>0.6132330827</v>
      </c>
      <c r="S260" s="42"/>
      <c r="T260" s="43"/>
      <c r="U260" s="6"/>
      <c r="V260" s="6"/>
      <c r="W260" s="6"/>
      <c r="X260" s="6"/>
      <c r="Y260" s="6"/>
      <c r="Z260" s="6"/>
    </row>
    <row r="261" hidden="1" outlineLevel="1">
      <c r="A261" s="44" t="str">
        <f t="shared" si="192"/>
        <v>7-2025</v>
      </c>
      <c r="B261" s="34">
        <v>45866.0</v>
      </c>
      <c r="C261" s="45"/>
      <c r="D261" s="46">
        <v>2441.0</v>
      </c>
      <c r="E261" s="47">
        <v>83.0</v>
      </c>
      <c r="F261" s="47">
        <v>83.0</v>
      </c>
      <c r="G261" s="48">
        <f t="shared" si="2"/>
        <v>1</v>
      </c>
      <c r="H261" s="46">
        <f t="shared" si="193"/>
        <v>29.40963855</v>
      </c>
      <c r="I261" s="46">
        <f t="shared" si="194"/>
        <v>29.40963855</v>
      </c>
      <c r="J261" s="49">
        <v>3058.0</v>
      </c>
      <c r="K261" s="50">
        <f t="shared" si="5"/>
        <v>0.02714192283</v>
      </c>
      <c r="L261" s="46">
        <v>172.08</v>
      </c>
      <c r="M261" s="46">
        <v>1267.0</v>
      </c>
      <c r="N261" s="47">
        <v>42.0</v>
      </c>
      <c r="O261" s="49">
        <v>169542.0</v>
      </c>
      <c r="P261" s="50">
        <f t="shared" si="6"/>
        <v>0.1358168903</v>
      </c>
      <c r="Q261" s="51">
        <f t="shared" si="7"/>
        <v>7.362854486</v>
      </c>
      <c r="R261" s="50">
        <f t="shared" si="8"/>
        <v>0.5190495698</v>
      </c>
      <c r="S261" s="16"/>
      <c r="T261" s="25"/>
      <c r="U261" s="6"/>
      <c r="V261" s="6"/>
      <c r="W261" s="6"/>
      <c r="X261" s="6"/>
      <c r="Y261" s="6"/>
      <c r="Z261" s="6"/>
    </row>
    <row r="262" hidden="1" outlineLevel="1">
      <c r="A262" s="44" t="str">
        <f t="shared" si="192"/>
        <v>7-2025</v>
      </c>
      <c r="B262" s="34">
        <v>45867.0</v>
      </c>
      <c r="C262" s="45"/>
      <c r="D262" s="46">
        <v>2688.0</v>
      </c>
      <c r="E262" s="47">
        <v>79.0</v>
      </c>
      <c r="F262" s="47">
        <v>79.0</v>
      </c>
      <c r="G262" s="48">
        <f t="shared" si="2"/>
        <v>1</v>
      </c>
      <c r="H262" s="46">
        <f t="shared" si="193"/>
        <v>34.02531646</v>
      </c>
      <c r="I262" s="46">
        <f t="shared" si="194"/>
        <v>34.02531646</v>
      </c>
      <c r="J262" s="49">
        <v>3417.0</v>
      </c>
      <c r="K262" s="50">
        <f t="shared" si="5"/>
        <v>0.02311969564</v>
      </c>
      <c r="L262" s="46">
        <v>205.74</v>
      </c>
      <c r="M262" s="46">
        <v>1576.0</v>
      </c>
      <c r="N262" s="47">
        <v>48.0</v>
      </c>
      <c r="O262" s="49">
        <v>160327.0</v>
      </c>
      <c r="P262" s="50">
        <f t="shared" si="6"/>
        <v>0.1305456853</v>
      </c>
      <c r="Q262" s="51">
        <f t="shared" si="7"/>
        <v>7.660153592</v>
      </c>
      <c r="R262" s="50">
        <f t="shared" si="8"/>
        <v>0.5863095238</v>
      </c>
      <c r="S262" s="16"/>
      <c r="T262" s="25"/>
      <c r="U262" s="6"/>
      <c r="V262" s="6"/>
      <c r="W262" s="6"/>
      <c r="X262" s="6"/>
      <c r="Y262" s="6"/>
      <c r="Z262" s="6"/>
    </row>
    <row r="263" hidden="1" outlineLevel="1">
      <c r="A263" s="44" t="str">
        <f t="shared" si="192"/>
        <v>7-2025</v>
      </c>
      <c r="B263" s="34">
        <v>45868.0</v>
      </c>
      <c r="C263" s="45"/>
      <c r="D263" s="46">
        <v>2880.0</v>
      </c>
      <c r="E263" s="47">
        <v>88.0</v>
      </c>
      <c r="F263" s="47">
        <v>88.0</v>
      </c>
      <c r="G263" s="48">
        <f t="shared" si="2"/>
        <v>1</v>
      </c>
      <c r="H263" s="46">
        <f t="shared" si="193"/>
        <v>32.72727273</v>
      </c>
      <c r="I263" s="46">
        <f t="shared" si="194"/>
        <v>32.72727273</v>
      </c>
      <c r="J263" s="49">
        <v>3280.0</v>
      </c>
      <c r="K263" s="50">
        <f t="shared" si="5"/>
        <v>0.02682926829</v>
      </c>
      <c r="L263" s="46">
        <v>178.44</v>
      </c>
      <c r="M263" s="46">
        <v>1545.0</v>
      </c>
      <c r="N263" s="47">
        <v>46.0</v>
      </c>
      <c r="O263" s="49">
        <v>146448.0</v>
      </c>
      <c r="P263" s="50">
        <f t="shared" si="6"/>
        <v>0.1154951456</v>
      </c>
      <c r="Q263" s="51">
        <f t="shared" si="7"/>
        <v>8.658372562</v>
      </c>
      <c r="R263" s="50">
        <f t="shared" si="8"/>
        <v>0.5364583333</v>
      </c>
      <c r="S263" s="16"/>
      <c r="T263" s="25"/>
      <c r="U263" s="6"/>
      <c r="V263" s="6"/>
      <c r="W263" s="6"/>
      <c r="X263" s="6"/>
      <c r="Y263" s="6"/>
      <c r="Z263" s="6"/>
    </row>
    <row r="264" hidden="1" outlineLevel="1">
      <c r="A264" s="44" t="str">
        <f t="shared" si="192"/>
        <v>7-2025</v>
      </c>
      <c r="B264" s="34">
        <v>45869.0</v>
      </c>
      <c r="C264" s="45"/>
      <c r="D264" s="46">
        <v>2419.0</v>
      </c>
      <c r="E264" s="47">
        <v>74.0</v>
      </c>
      <c r="F264" s="47">
        <v>71.0</v>
      </c>
      <c r="G264" s="48">
        <f t="shared" si="2"/>
        <v>1.042253521</v>
      </c>
      <c r="H264" s="46">
        <f t="shared" si="193"/>
        <v>34.07042254</v>
      </c>
      <c r="I264" s="46">
        <f t="shared" si="194"/>
        <v>32.68918919</v>
      </c>
      <c r="J264" s="49">
        <v>2803.0</v>
      </c>
      <c r="K264" s="50">
        <f t="shared" si="5"/>
        <v>0.02640028541</v>
      </c>
      <c r="L264" s="46">
        <v>162.33</v>
      </c>
      <c r="M264" s="46">
        <v>1897.0</v>
      </c>
      <c r="N264" s="47">
        <v>53.0</v>
      </c>
      <c r="O264" s="49">
        <v>154055.0</v>
      </c>
      <c r="P264" s="50">
        <f t="shared" si="6"/>
        <v>0.08557195572</v>
      </c>
      <c r="Q264" s="51">
        <f t="shared" si="7"/>
        <v>11.68607158</v>
      </c>
      <c r="R264" s="50">
        <f t="shared" si="8"/>
        <v>0.7842083506</v>
      </c>
      <c r="S264" s="16"/>
      <c r="T264" s="25"/>
      <c r="U264" s="6"/>
      <c r="V264" s="6"/>
      <c r="W264" s="6"/>
      <c r="X264" s="6"/>
      <c r="Y264" s="6"/>
      <c r="Z264" s="6"/>
    </row>
    <row r="265" hidden="1" outlineLevel="1">
      <c r="A265" s="44" t="str">
        <f t="shared" si="192"/>
        <v>8-2025</v>
      </c>
      <c r="B265" s="34">
        <v>45870.0</v>
      </c>
      <c r="C265" s="45"/>
      <c r="D265" s="46">
        <v>3322.0</v>
      </c>
      <c r="E265" s="47">
        <v>87.0</v>
      </c>
      <c r="F265" s="47">
        <v>87.0</v>
      </c>
      <c r="G265" s="48">
        <f t="shared" si="2"/>
        <v>1</v>
      </c>
      <c r="H265" s="46">
        <f t="shared" si="193"/>
        <v>38.18390805</v>
      </c>
      <c r="I265" s="46">
        <f t="shared" si="194"/>
        <v>38.18390805</v>
      </c>
      <c r="J265" s="49">
        <v>3237.0</v>
      </c>
      <c r="K265" s="50">
        <f t="shared" si="5"/>
        <v>0.02687673772</v>
      </c>
      <c r="L265" s="46">
        <v>193.72</v>
      </c>
      <c r="M265" s="46">
        <v>1906.0</v>
      </c>
      <c r="N265" s="47">
        <v>55.0</v>
      </c>
      <c r="O265" s="49">
        <v>145745.0</v>
      </c>
      <c r="P265" s="50">
        <f t="shared" si="6"/>
        <v>0.101636936</v>
      </c>
      <c r="Q265" s="51">
        <f t="shared" si="7"/>
        <v>9.838942804</v>
      </c>
      <c r="R265" s="50">
        <f t="shared" si="8"/>
        <v>0.5737507526</v>
      </c>
      <c r="S265" s="16"/>
      <c r="T265" s="25"/>
      <c r="U265" s="6"/>
      <c r="V265" s="6"/>
      <c r="W265" s="6"/>
      <c r="X265" s="6"/>
      <c r="Y265" s="6"/>
      <c r="Z265" s="6"/>
    </row>
    <row r="266" hidden="1" outlineLevel="1">
      <c r="A266" s="44" t="str">
        <f t="shared" si="192"/>
        <v>8-2025</v>
      </c>
      <c r="B266" s="34">
        <v>45871.0</v>
      </c>
      <c r="C266" s="45"/>
      <c r="D266" s="46">
        <v>3081.0</v>
      </c>
      <c r="E266" s="47">
        <v>94.0</v>
      </c>
      <c r="F266" s="47">
        <v>93.0</v>
      </c>
      <c r="G266" s="48">
        <f t="shared" si="2"/>
        <v>1.010752688</v>
      </c>
      <c r="H266" s="46">
        <f t="shared" si="193"/>
        <v>33.12903226</v>
      </c>
      <c r="I266" s="46">
        <f t="shared" si="194"/>
        <v>32.77659574</v>
      </c>
      <c r="J266" s="49">
        <v>3519.0</v>
      </c>
      <c r="K266" s="50">
        <f t="shared" si="5"/>
        <v>0.02671213413</v>
      </c>
      <c r="L266" s="46">
        <v>197.06</v>
      </c>
      <c r="M266" s="46">
        <v>2086.0</v>
      </c>
      <c r="N266" s="47">
        <v>63.0</v>
      </c>
      <c r="O266" s="49">
        <v>173900.0</v>
      </c>
      <c r="P266" s="50">
        <f t="shared" si="6"/>
        <v>0.09446788111</v>
      </c>
      <c r="Q266" s="51">
        <f t="shared" si="7"/>
        <v>10.58560844</v>
      </c>
      <c r="R266" s="50">
        <f t="shared" si="8"/>
        <v>0.6770529049</v>
      </c>
      <c r="S266" s="16"/>
      <c r="T266" s="25"/>
      <c r="U266" s="6"/>
      <c r="V266" s="6"/>
      <c r="W266" s="6"/>
      <c r="X266" s="6"/>
      <c r="Y266" s="6"/>
      <c r="Z266" s="6"/>
    </row>
    <row r="267" collapsed="1">
      <c r="A267" s="52" t="s">
        <v>77</v>
      </c>
      <c r="B267" s="53"/>
      <c r="C267" s="54"/>
      <c r="D267" s="55">
        <f t="shared" ref="D267:F267" si="195">SUM(D260:D266)</f>
        <v>20156</v>
      </c>
      <c r="E267" s="81">
        <f t="shared" si="195"/>
        <v>609</v>
      </c>
      <c r="F267" s="81">
        <f t="shared" si="195"/>
        <v>604</v>
      </c>
      <c r="G267" s="57">
        <f t="shared" si="2"/>
        <v>1.008278146</v>
      </c>
      <c r="H267" s="55">
        <f>AVERAGE(H260:H266)</f>
        <v>33.40387771</v>
      </c>
      <c r="I267" s="58">
        <f>H267/G267</f>
        <v>33.12962584</v>
      </c>
      <c r="J267" s="59">
        <f>SUM(J260:J266)</f>
        <v>23146</v>
      </c>
      <c r="K267" s="60">
        <f t="shared" si="5"/>
        <v>0.02631124168</v>
      </c>
      <c r="L267" s="55">
        <f t="shared" ref="L267:N267" si="196">SUM(L260:L266)</f>
        <v>1291.16</v>
      </c>
      <c r="M267" s="55">
        <f t="shared" si="196"/>
        <v>12316</v>
      </c>
      <c r="N267" s="56">
        <f t="shared" si="196"/>
        <v>369</v>
      </c>
      <c r="O267" s="59">
        <f>sum(O260:O266)</f>
        <v>1118223</v>
      </c>
      <c r="P267" s="60">
        <f t="shared" si="6"/>
        <v>0.1048359857</v>
      </c>
      <c r="Q267" s="61">
        <f t="shared" si="7"/>
        <v>9.538709378</v>
      </c>
      <c r="R267" s="62">
        <f t="shared" si="8"/>
        <v>0.6110339353</v>
      </c>
      <c r="S267" s="54" t="str">
        <f>iferror((D267-#REF!)/D267,)</f>
        <v/>
      </c>
      <c r="T267" s="63" t="str">
        <f>iferror((F267-#REF!)/F267,)</f>
        <v/>
      </c>
      <c r="U267" s="64">
        <f t="shared" ref="U267:V267" si="197">L267</f>
        <v>1291.16</v>
      </c>
      <c r="V267" s="64">
        <f t="shared" si="197"/>
        <v>12316</v>
      </c>
      <c r="W267" s="6"/>
      <c r="X267" s="6"/>
      <c r="Y267" s="6"/>
      <c r="Z267" s="6"/>
    </row>
    <row r="268" hidden="1" outlineLevel="1">
      <c r="A268" s="33" t="str">
        <f t="shared" ref="A268:A274" si="198">iferror(if(B268&gt;0,month(B268)&amp;"-"&amp;year(B268),B268),)</f>
        <v>8-2025</v>
      </c>
      <c r="B268" s="34">
        <v>45872.0</v>
      </c>
      <c r="C268" s="35"/>
      <c r="D268" s="36">
        <v>3856.0</v>
      </c>
      <c r="E268" s="37">
        <v>113.0</v>
      </c>
      <c r="F268" s="37">
        <v>113.0</v>
      </c>
      <c r="G268" s="38">
        <f t="shared" si="2"/>
        <v>1</v>
      </c>
      <c r="H268" s="36">
        <f t="shared" ref="H268:H274" si="199">D268/F268</f>
        <v>34.12389381</v>
      </c>
      <c r="I268" s="36">
        <f t="shared" ref="I268:I274" si="200">D268/E268</f>
        <v>34.12389381</v>
      </c>
      <c r="J268" s="39">
        <v>3779.0</v>
      </c>
      <c r="K268" s="40">
        <f t="shared" si="5"/>
        <v>0.0299020905</v>
      </c>
      <c r="L268" s="36">
        <v>232.62</v>
      </c>
      <c r="M268" s="36">
        <v>2666.0</v>
      </c>
      <c r="N268" s="37">
        <v>83.0</v>
      </c>
      <c r="O268" s="39">
        <v>210591.0</v>
      </c>
      <c r="P268" s="40">
        <f t="shared" si="6"/>
        <v>0.08725431358</v>
      </c>
      <c r="Q268" s="41">
        <f t="shared" si="7"/>
        <v>11.46075144</v>
      </c>
      <c r="R268" s="40">
        <f t="shared" si="8"/>
        <v>0.6913900415</v>
      </c>
      <c r="S268" s="42"/>
      <c r="T268" s="43"/>
      <c r="U268" s="6"/>
      <c r="V268" s="6"/>
      <c r="W268" s="6"/>
      <c r="X268" s="6"/>
      <c r="Y268" s="6"/>
      <c r="Z268" s="6"/>
    </row>
    <row r="269" hidden="1" outlineLevel="1">
      <c r="A269" s="44" t="str">
        <f t="shared" si="198"/>
        <v>8-2025</v>
      </c>
      <c r="B269" s="34">
        <v>45873.0</v>
      </c>
      <c r="C269" s="45"/>
      <c r="D269" s="46">
        <v>2782.0</v>
      </c>
      <c r="E269" s="47">
        <v>84.0</v>
      </c>
      <c r="F269" s="47">
        <v>83.0</v>
      </c>
      <c r="G269" s="48">
        <f t="shared" si="2"/>
        <v>1.012048193</v>
      </c>
      <c r="H269" s="46">
        <f t="shared" si="199"/>
        <v>33.51807229</v>
      </c>
      <c r="I269" s="46">
        <f t="shared" si="200"/>
        <v>33.11904762</v>
      </c>
      <c r="J269" s="49">
        <v>3262.0</v>
      </c>
      <c r="K269" s="50">
        <f t="shared" si="5"/>
        <v>0.02575107296</v>
      </c>
      <c r="L269" s="46">
        <v>179.76</v>
      </c>
      <c r="M269" s="46">
        <v>1967.0</v>
      </c>
      <c r="N269" s="47">
        <v>57.0</v>
      </c>
      <c r="O269" s="49">
        <v>160859.0</v>
      </c>
      <c r="P269" s="50">
        <f t="shared" si="6"/>
        <v>0.09138790036</v>
      </c>
      <c r="Q269" s="51">
        <f t="shared" si="7"/>
        <v>10.9423676</v>
      </c>
      <c r="R269" s="50">
        <f t="shared" si="8"/>
        <v>0.7070452912</v>
      </c>
      <c r="S269" s="16"/>
      <c r="T269" s="25"/>
      <c r="U269" s="6"/>
      <c r="V269" s="6"/>
      <c r="W269" s="6"/>
      <c r="X269" s="6"/>
      <c r="Y269" s="6"/>
      <c r="Z269" s="6"/>
    </row>
    <row r="270" hidden="1" outlineLevel="1">
      <c r="A270" s="44" t="str">
        <f t="shared" si="198"/>
        <v>8-2025</v>
      </c>
      <c r="B270" s="34">
        <v>45874.0</v>
      </c>
      <c r="C270" s="45"/>
      <c r="D270" s="46">
        <v>2024.0</v>
      </c>
      <c r="E270" s="47">
        <v>58.0</v>
      </c>
      <c r="F270" s="47">
        <v>58.0</v>
      </c>
      <c r="G270" s="48">
        <f t="shared" si="2"/>
        <v>1</v>
      </c>
      <c r="H270" s="46">
        <f t="shared" si="199"/>
        <v>34.89655172</v>
      </c>
      <c r="I270" s="46">
        <f t="shared" si="200"/>
        <v>34.89655172</v>
      </c>
      <c r="J270" s="49">
        <v>3042.0</v>
      </c>
      <c r="K270" s="50">
        <f t="shared" si="5"/>
        <v>0.01906640368</v>
      </c>
      <c r="L270" s="46">
        <v>184.36</v>
      </c>
      <c r="M270" s="46">
        <v>1286.0</v>
      </c>
      <c r="N270" s="47">
        <v>36.0</v>
      </c>
      <c r="O270" s="49">
        <v>151934.0</v>
      </c>
      <c r="P270" s="50">
        <f t="shared" si="6"/>
        <v>0.1433592535</v>
      </c>
      <c r="Q270" s="51">
        <f t="shared" si="7"/>
        <v>6.975482751</v>
      </c>
      <c r="R270" s="50">
        <f t="shared" si="8"/>
        <v>0.6353754941</v>
      </c>
      <c r="S270" s="16"/>
      <c r="T270" s="25"/>
      <c r="U270" s="6"/>
      <c r="V270" s="6"/>
      <c r="W270" s="6"/>
      <c r="X270" s="6"/>
      <c r="Y270" s="6"/>
      <c r="Z270" s="6"/>
    </row>
    <row r="271" hidden="1" outlineLevel="1">
      <c r="A271" s="44" t="str">
        <f t="shared" si="198"/>
        <v>8-2025</v>
      </c>
      <c r="B271" s="34">
        <v>45875.0</v>
      </c>
      <c r="C271" s="45"/>
      <c r="D271" s="46">
        <v>2845.0</v>
      </c>
      <c r="E271" s="47">
        <v>86.0</v>
      </c>
      <c r="F271" s="47">
        <v>85.0</v>
      </c>
      <c r="G271" s="48">
        <f t="shared" si="2"/>
        <v>1.011764706</v>
      </c>
      <c r="H271" s="46">
        <f t="shared" si="199"/>
        <v>33.47058824</v>
      </c>
      <c r="I271" s="46">
        <f t="shared" si="200"/>
        <v>33.08139535</v>
      </c>
      <c r="J271" s="49">
        <v>2944.0</v>
      </c>
      <c r="K271" s="50">
        <f t="shared" si="5"/>
        <v>0.02921195652</v>
      </c>
      <c r="L271" s="46">
        <v>164.07</v>
      </c>
      <c r="M271" s="46">
        <v>1733.0</v>
      </c>
      <c r="N271" s="47">
        <v>50.0</v>
      </c>
      <c r="O271" s="49">
        <v>141527.0</v>
      </c>
      <c r="P271" s="50">
        <f t="shared" si="6"/>
        <v>0.09467397576</v>
      </c>
      <c r="Q271" s="51">
        <f t="shared" si="7"/>
        <v>10.56256476</v>
      </c>
      <c r="R271" s="50">
        <f t="shared" si="8"/>
        <v>0.6091388401</v>
      </c>
      <c r="S271" s="16"/>
      <c r="T271" s="25"/>
      <c r="U271" s="6"/>
      <c r="V271" s="6"/>
      <c r="W271" s="6"/>
      <c r="X271" s="6"/>
      <c r="Y271" s="6"/>
      <c r="Z271" s="6"/>
    </row>
    <row r="272" hidden="1" outlineLevel="1">
      <c r="A272" s="44" t="str">
        <f t="shared" si="198"/>
        <v>8-2025</v>
      </c>
      <c r="B272" s="34">
        <v>45876.0</v>
      </c>
      <c r="C272" s="45"/>
      <c r="D272" s="46">
        <v>1891.0</v>
      </c>
      <c r="E272" s="47">
        <v>60.0</v>
      </c>
      <c r="F272" s="47">
        <v>60.0</v>
      </c>
      <c r="G272" s="48">
        <f t="shared" si="2"/>
        <v>1</v>
      </c>
      <c r="H272" s="46">
        <f t="shared" si="199"/>
        <v>31.51666667</v>
      </c>
      <c r="I272" s="46">
        <f t="shared" si="200"/>
        <v>31.51666667</v>
      </c>
      <c r="J272" s="49">
        <v>2837.0</v>
      </c>
      <c r="K272" s="50">
        <f t="shared" si="5"/>
        <v>0.02114910116</v>
      </c>
      <c r="L272" s="46">
        <v>158.52</v>
      </c>
      <c r="M272" s="46">
        <v>1616.0</v>
      </c>
      <c r="N272" s="47">
        <v>49.0</v>
      </c>
      <c r="O272" s="49">
        <v>136781.0</v>
      </c>
      <c r="P272" s="50">
        <f t="shared" si="6"/>
        <v>0.09809405941</v>
      </c>
      <c r="Q272" s="51">
        <f t="shared" si="7"/>
        <v>10.19429725</v>
      </c>
      <c r="R272" s="50">
        <f t="shared" si="8"/>
        <v>0.8545742993</v>
      </c>
      <c r="S272" s="16"/>
      <c r="T272" s="25"/>
      <c r="U272" s="6"/>
      <c r="V272" s="6"/>
      <c r="W272" s="6"/>
      <c r="X272" s="6"/>
      <c r="Y272" s="6"/>
      <c r="Z272" s="6"/>
    </row>
    <row r="273" hidden="1" outlineLevel="1">
      <c r="A273" s="44" t="str">
        <f t="shared" si="198"/>
        <v>8-2025</v>
      </c>
      <c r="B273" s="34">
        <v>45877.0</v>
      </c>
      <c r="C273" s="45"/>
      <c r="D273" s="46">
        <v>2325.0</v>
      </c>
      <c r="E273" s="47">
        <v>65.0</v>
      </c>
      <c r="F273" s="47">
        <v>63.0</v>
      </c>
      <c r="G273" s="48">
        <f t="shared" si="2"/>
        <v>1.031746032</v>
      </c>
      <c r="H273" s="46">
        <f t="shared" si="199"/>
        <v>36.9047619</v>
      </c>
      <c r="I273" s="46">
        <f t="shared" si="200"/>
        <v>35.76923077</v>
      </c>
      <c r="J273" s="49">
        <v>2579.0</v>
      </c>
      <c r="K273" s="50">
        <f t="shared" si="5"/>
        <v>0.02520356727</v>
      </c>
      <c r="L273" s="46">
        <v>156.0</v>
      </c>
      <c r="M273" s="46">
        <v>1376.0</v>
      </c>
      <c r="N273" s="47">
        <v>37.0</v>
      </c>
      <c r="O273" s="49">
        <v>122583.0</v>
      </c>
      <c r="P273" s="50">
        <f t="shared" si="6"/>
        <v>0.113372093</v>
      </c>
      <c r="Q273" s="51">
        <f t="shared" si="7"/>
        <v>8.820512821</v>
      </c>
      <c r="R273" s="50">
        <f t="shared" si="8"/>
        <v>0.591827957</v>
      </c>
      <c r="S273" s="16"/>
      <c r="T273" s="25"/>
      <c r="U273" s="6"/>
      <c r="V273" s="6"/>
      <c r="W273" s="6"/>
      <c r="X273" s="6"/>
      <c r="Y273" s="6"/>
      <c r="Z273" s="6"/>
    </row>
    <row r="274" hidden="1" outlineLevel="1">
      <c r="A274" s="44" t="str">
        <f t="shared" si="198"/>
        <v>8-2025</v>
      </c>
      <c r="B274" s="34">
        <v>45878.0</v>
      </c>
      <c r="C274" s="45"/>
      <c r="D274" s="46">
        <v>2057.0</v>
      </c>
      <c r="E274" s="47">
        <v>56.0</v>
      </c>
      <c r="F274" s="47">
        <v>56.0</v>
      </c>
      <c r="G274" s="48">
        <f t="shared" si="2"/>
        <v>1</v>
      </c>
      <c r="H274" s="46">
        <f t="shared" si="199"/>
        <v>36.73214286</v>
      </c>
      <c r="I274" s="46">
        <f t="shared" si="200"/>
        <v>36.73214286</v>
      </c>
      <c r="J274" s="49">
        <v>3062.0</v>
      </c>
      <c r="K274" s="50">
        <f t="shared" si="5"/>
        <v>0.0182887002</v>
      </c>
      <c r="L274" s="46">
        <v>192.85</v>
      </c>
      <c r="M274" s="46">
        <v>1319.0</v>
      </c>
      <c r="N274" s="47">
        <v>35.0</v>
      </c>
      <c r="O274" s="49">
        <v>151751.0</v>
      </c>
      <c r="P274" s="50">
        <f t="shared" si="6"/>
        <v>0.1462092494</v>
      </c>
      <c r="Q274" s="51">
        <f t="shared" si="7"/>
        <v>6.839512575</v>
      </c>
      <c r="R274" s="50">
        <f t="shared" si="8"/>
        <v>0.6412250851</v>
      </c>
      <c r="S274" s="16"/>
      <c r="T274" s="25"/>
      <c r="U274" s="6"/>
      <c r="V274" s="6"/>
      <c r="W274" s="6"/>
      <c r="X274" s="6"/>
      <c r="Y274" s="6"/>
      <c r="Z274" s="6"/>
    </row>
    <row r="275" collapsed="1">
      <c r="A275" s="52" t="s">
        <v>78</v>
      </c>
      <c r="B275" s="53"/>
      <c r="C275" s="54"/>
      <c r="D275" s="55">
        <f t="shared" ref="D275:F275" si="201">SUM(D268:D274)</f>
        <v>17780</v>
      </c>
      <c r="E275" s="81">
        <f t="shared" si="201"/>
        <v>522</v>
      </c>
      <c r="F275" s="81">
        <f t="shared" si="201"/>
        <v>518</v>
      </c>
      <c r="G275" s="57">
        <f t="shared" si="2"/>
        <v>1.007722008</v>
      </c>
      <c r="H275" s="55">
        <f>AVERAGE(H268:H274)</f>
        <v>34.45181107</v>
      </c>
      <c r="I275" s="58">
        <f>H275/G275</f>
        <v>34.18781252</v>
      </c>
      <c r="J275" s="59">
        <f>SUM(J268:J274)</f>
        <v>21505</v>
      </c>
      <c r="K275" s="60">
        <f t="shared" si="5"/>
        <v>0.02427342478</v>
      </c>
      <c r="L275" s="55">
        <f t="shared" ref="L275:N275" si="202">SUM(L268:L274)</f>
        <v>1268.18</v>
      </c>
      <c r="M275" s="55">
        <f t="shared" si="202"/>
        <v>11963</v>
      </c>
      <c r="N275" s="56">
        <f t="shared" si="202"/>
        <v>347</v>
      </c>
      <c r="O275" s="59">
        <f>sum(O268:O274)</f>
        <v>1076026</v>
      </c>
      <c r="P275" s="60">
        <f t="shared" si="6"/>
        <v>0.1060085263</v>
      </c>
      <c r="Q275" s="61">
        <f t="shared" si="7"/>
        <v>9.433203488</v>
      </c>
      <c r="R275" s="62">
        <f t="shared" si="8"/>
        <v>0.6728346457</v>
      </c>
      <c r="S275" s="54" t="str">
        <f>iferror((D275-#REF!)/D275,)</f>
        <v/>
      </c>
      <c r="T275" s="63" t="str">
        <f>iferror((F275-#REF!)/F275,)</f>
        <v/>
      </c>
      <c r="U275" s="64">
        <f t="shared" ref="U275:V275" si="203">L275</f>
        <v>1268.18</v>
      </c>
      <c r="V275" s="64">
        <f t="shared" si="203"/>
        <v>11963</v>
      </c>
      <c r="W275" s="6"/>
      <c r="X275" s="6"/>
      <c r="Y275" s="6"/>
      <c r="Z275" s="6"/>
    </row>
    <row r="276" hidden="1" outlineLevel="1">
      <c r="A276" s="33" t="str">
        <f t="shared" ref="A276:A282" si="204">iferror(if(B276&gt;0,month(B276)&amp;"-"&amp;year(B276),B276),)</f>
        <v>8-2025</v>
      </c>
      <c r="B276" s="34">
        <v>45879.0</v>
      </c>
      <c r="C276" s="35"/>
      <c r="D276" s="36">
        <v>2419.0</v>
      </c>
      <c r="E276" s="37">
        <v>74.0</v>
      </c>
      <c r="F276" s="37">
        <v>74.0</v>
      </c>
      <c r="G276" s="38">
        <f t="shared" si="2"/>
        <v>1</v>
      </c>
      <c r="H276" s="36">
        <f t="shared" ref="H276:H282" si="205">D276/F276</f>
        <v>32.68918919</v>
      </c>
      <c r="I276" s="36">
        <f t="shared" ref="I276:I282" si="206">D276/E276</f>
        <v>32.68918919</v>
      </c>
      <c r="J276" s="39">
        <v>3288.0</v>
      </c>
      <c r="K276" s="40">
        <f t="shared" si="5"/>
        <v>0.02250608273</v>
      </c>
      <c r="L276" s="36">
        <v>207.04</v>
      </c>
      <c r="M276" s="36">
        <v>1743.97</v>
      </c>
      <c r="N276" s="37">
        <v>51.0</v>
      </c>
      <c r="O276" s="39">
        <v>178546.0</v>
      </c>
      <c r="P276" s="40">
        <f t="shared" si="6"/>
        <v>0.1187176385</v>
      </c>
      <c r="Q276" s="41">
        <f t="shared" si="7"/>
        <v>8.423348145</v>
      </c>
      <c r="R276" s="40">
        <f t="shared" si="8"/>
        <v>0.7209466722</v>
      </c>
      <c r="S276" s="42"/>
      <c r="T276" s="43"/>
      <c r="U276" s="6"/>
      <c r="V276" s="6"/>
      <c r="W276" s="6"/>
      <c r="X276" s="6"/>
      <c r="Y276" s="6"/>
      <c r="Z276" s="6"/>
    </row>
    <row r="277" hidden="1" outlineLevel="1">
      <c r="A277" s="44" t="str">
        <f t="shared" si="204"/>
        <v>8-2025</v>
      </c>
      <c r="B277" s="34">
        <v>45880.0</v>
      </c>
      <c r="C277" s="45"/>
      <c r="D277" s="46">
        <v>2155.0</v>
      </c>
      <c r="E277" s="47">
        <v>58.0</v>
      </c>
      <c r="F277" s="47">
        <v>57.0</v>
      </c>
      <c r="G277" s="48">
        <f t="shared" si="2"/>
        <v>1.01754386</v>
      </c>
      <c r="H277" s="46">
        <f t="shared" si="205"/>
        <v>37.80701754</v>
      </c>
      <c r="I277" s="46">
        <f t="shared" si="206"/>
        <v>37.15517241</v>
      </c>
      <c r="J277" s="49">
        <v>3243.0</v>
      </c>
      <c r="K277" s="50">
        <f t="shared" si="5"/>
        <v>0.01788467468</v>
      </c>
      <c r="L277" s="46">
        <v>157.97</v>
      </c>
      <c r="M277" s="46">
        <v>1375.0</v>
      </c>
      <c r="N277" s="47">
        <v>40.0</v>
      </c>
      <c r="O277" s="49">
        <v>138024.0</v>
      </c>
      <c r="P277" s="50">
        <f t="shared" si="6"/>
        <v>0.1148872727</v>
      </c>
      <c r="Q277" s="51">
        <f t="shared" si="7"/>
        <v>8.704184339</v>
      </c>
      <c r="R277" s="50">
        <f t="shared" si="8"/>
        <v>0.6380510441</v>
      </c>
      <c r="S277" s="16"/>
      <c r="T277" s="25"/>
      <c r="U277" s="6"/>
      <c r="V277" s="6"/>
      <c r="W277" s="6"/>
      <c r="X277" s="6"/>
      <c r="Y277" s="6"/>
      <c r="Z277" s="6"/>
    </row>
    <row r="278" hidden="1" outlineLevel="1">
      <c r="A278" s="44" t="str">
        <f t="shared" si="204"/>
        <v>8-2025</v>
      </c>
      <c r="B278" s="34">
        <v>45881.0</v>
      </c>
      <c r="C278" s="45"/>
      <c r="D278" s="46">
        <v>2064.0</v>
      </c>
      <c r="E278" s="47">
        <v>54.0</v>
      </c>
      <c r="F278" s="47">
        <v>53.0</v>
      </c>
      <c r="G278" s="48">
        <f t="shared" si="2"/>
        <v>1.018867925</v>
      </c>
      <c r="H278" s="46">
        <f t="shared" si="205"/>
        <v>38.94339623</v>
      </c>
      <c r="I278" s="46">
        <f t="shared" si="206"/>
        <v>38.22222222</v>
      </c>
      <c r="J278" s="49">
        <v>3288.0</v>
      </c>
      <c r="K278" s="50">
        <f t="shared" si="5"/>
        <v>0.01642335766</v>
      </c>
      <c r="L278" s="46">
        <v>145.22</v>
      </c>
      <c r="M278" s="46">
        <v>982.0</v>
      </c>
      <c r="N278" s="47">
        <v>24.0</v>
      </c>
      <c r="O278" s="49">
        <v>129326.0</v>
      </c>
      <c r="P278" s="50">
        <f t="shared" si="6"/>
        <v>0.1478818737</v>
      </c>
      <c r="Q278" s="51">
        <f t="shared" si="7"/>
        <v>6.762153973</v>
      </c>
      <c r="R278" s="50">
        <f t="shared" si="8"/>
        <v>0.4757751938</v>
      </c>
      <c r="S278" s="16"/>
      <c r="T278" s="25"/>
      <c r="U278" s="6"/>
      <c r="V278" s="6"/>
      <c r="W278" s="6"/>
      <c r="X278" s="6"/>
      <c r="Y278" s="6"/>
      <c r="Z278" s="6"/>
    </row>
    <row r="279" hidden="1" outlineLevel="1">
      <c r="A279" s="44" t="str">
        <f t="shared" si="204"/>
        <v>8-2025</v>
      </c>
      <c r="B279" s="34">
        <v>45882.0</v>
      </c>
      <c r="C279" s="45"/>
      <c r="D279" s="46">
        <v>2193.0</v>
      </c>
      <c r="E279" s="47">
        <v>60.0</v>
      </c>
      <c r="F279" s="47">
        <v>60.0</v>
      </c>
      <c r="G279" s="48">
        <f t="shared" si="2"/>
        <v>1</v>
      </c>
      <c r="H279" s="46">
        <f t="shared" si="205"/>
        <v>36.55</v>
      </c>
      <c r="I279" s="46">
        <f t="shared" si="206"/>
        <v>36.55</v>
      </c>
      <c r="J279" s="49">
        <v>2967.0</v>
      </c>
      <c r="K279" s="50">
        <f t="shared" si="5"/>
        <v>0.02022244692</v>
      </c>
      <c r="L279" s="46">
        <v>153.38</v>
      </c>
      <c r="M279" s="46">
        <v>1161.0</v>
      </c>
      <c r="N279" s="47">
        <v>32.0</v>
      </c>
      <c r="O279" s="49">
        <v>116974.0</v>
      </c>
      <c r="P279" s="50">
        <f t="shared" si="6"/>
        <v>0.1321102498</v>
      </c>
      <c r="Q279" s="51">
        <f t="shared" si="7"/>
        <v>7.569435389</v>
      </c>
      <c r="R279" s="50">
        <f t="shared" si="8"/>
        <v>0.5294117647</v>
      </c>
      <c r="S279" s="16"/>
      <c r="T279" s="25"/>
      <c r="U279" s="6"/>
      <c r="V279" s="6"/>
      <c r="W279" s="6"/>
      <c r="X279" s="6"/>
      <c r="Y279" s="6"/>
      <c r="Z279" s="6"/>
    </row>
    <row r="280" hidden="1" outlineLevel="1">
      <c r="A280" s="44" t="str">
        <f t="shared" si="204"/>
        <v>8-2025</v>
      </c>
      <c r="B280" s="34">
        <v>45883.0</v>
      </c>
      <c r="C280" s="45"/>
      <c r="D280" s="46">
        <v>1329.0</v>
      </c>
      <c r="E280" s="47">
        <v>34.0</v>
      </c>
      <c r="F280" s="47">
        <v>33.0</v>
      </c>
      <c r="G280" s="48">
        <f t="shared" si="2"/>
        <v>1.03030303</v>
      </c>
      <c r="H280" s="46">
        <f t="shared" si="205"/>
        <v>40.27272727</v>
      </c>
      <c r="I280" s="46">
        <f t="shared" si="206"/>
        <v>39.08823529</v>
      </c>
      <c r="J280" s="49">
        <v>2661.0</v>
      </c>
      <c r="K280" s="50">
        <f t="shared" si="5"/>
        <v>0.01277715145</v>
      </c>
      <c r="L280" s="46">
        <v>141.81</v>
      </c>
      <c r="M280" s="46">
        <v>725.0</v>
      </c>
      <c r="N280" s="47">
        <v>19.0</v>
      </c>
      <c r="O280" s="49">
        <v>113438.0</v>
      </c>
      <c r="P280" s="50">
        <f t="shared" si="6"/>
        <v>0.1956</v>
      </c>
      <c r="Q280" s="51">
        <f t="shared" si="7"/>
        <v>5.112474438</v>
      </c>
      <c r="R280" s="50">
        <f t="shared" si="8"/>
        <v>0.5455229496</v>
      </c>
      <c r="S280" s="16"/>
      <c r="T280" s="25"/>
      <c r="U280" s="6"/>
      <c r="V280" s="6"/>
      <c r="W280" s="6"/>
      <c r="X280" s="6"/>
      <c r="Y280" s="6"/>
      <c r="Z280" s="6"/>
    </row>
    <row r="281" hidden="1" outlineLevel="1">
      <c r="A281" s="44" t="str">
        <f t="shared" si="204"/>
        <v>8-2025</v>
      </c>
      <c r="B281" s="34">
        <v>45884.0</v>
      </c>
      <c r="C281" s="45"/>
      <c r="D281" s="46">
        <v>1539.0</v>
      </c>
      <c r="E281" s="47">
        <v>48.0</v>
      </c>
      <c r="F281" s="47">
        <v>48.0</v>
      </c>
      <c r="G281" s="48">
        <f t="shared" si="2"/>
        <v>1</v>
      </c>
      <c r="H281" s="46">
        <f t="shared" si="205"/>
        <v>32.0625</v>
      </c>
      <c r="I281" s="46">
        <f t="shared" si="206"/>
        <v>32.0625</v>
      </c>
      <c r="J281" s="49">
        <v>1926.0</v>
      </c>
      <c r="K281" s="50">
        <f t="shared" si="5"/>
        <v>0.02492211838</v>
      </c>
      <c r="L281" s="46">
        <v>114.28</v>
      </c>
      <c r="M281" s="46">
        <v>743.0</v>
      </c>
      <c r="N281" s="47">
        <v>23.0</v>
      </c>
      <c r="O281" s="49">
        <v>89950.0</v>
      </c>
      <c r="P281" s="50">
        <f t="shared" si="6"/>
        <v>0.1538088829</v>
      </c>
      <c r="Q281" s="51">
        <f t="shared" si="7"/>
        <v>6.501575079</v>
      </c>
      <c r="R281" s="50">
        <f t="shared" si="8"/>
        <v>0.4827810266</v>
      </c>
      <c r="S281" s="16"/>
      <c r="T281" s="25"/>
      <c r="U281" s="6"/>
      <c r="V281" s="6"/>
      <c r="W281" s="6"/>
      <c r="X281" s="6"/>
      <c r="Y281" s="6"/>
      <c r="Z281" s="6"/>
    </row>
    <row r="282" hidden="1" outlineLevel="1">
      <c r="A282" s="44" t="str">
        <f t="shared" si="204"/>
        <v>8-2025</v>
      </c>
      <c r="B282" s="34">
        <v>45885.0</v>
      </c>
      <c r="C282" s="45"/>
      <c r="D282" s="46">
        <v>2179.0</v>
      </c>
      <c r="E282" s="47">
        <v>58.0</v>
      </c>
      <c r="F282" s="47">
        <v>58.0</v>
      </c>
      <c r="G282" s="48">
        <f t="shared" si="2"/>
        <v>1</v>
      </c>
      <c r="H282" s="46">
        <f t="shared" si="205"/>
        <v>37.56896552</v>
      </c>
      <c r="I282" s="46">
        <f t="shared" si="206"/>
        <v>37.56896552</v>
      </c>
      <c r="J282" s="49">
        <v>2514.0</v>
      </c>
      <c r="K282" s="50">
        <f t="shared" si="5"/>
        <v>0.0230708035</v>
      </c>
      <c r="L282" s="46">
        <v>141.89</v>
      </c>
      <c r="M282" s="46">
        <v>1253.0</v>
      </c>
      <c r="N282" s="47">
        <v>32.0</v>
      </c>
      <c r="O282" s="49">
        <v>124097.0</v>
      </c>
      <c r="P282" s="50">
        <f t="shared" si="6"/>
        <v>0.1132402235</v>
      </c>
      <c r="Q282" s="51">
        <f t="shared" si="7"/>
        <v>8.83078441</v>
      </c>
      <c r="R282" s="50">
        <f t="shared" si="8"/>
        <v>0.5750344195</v>
      </c>
      <c r="S282" s="16"/>
      <c r="T282" s="25"/>
      <c r="U282" s="6"/>
      <c r="V282" s="6"/>
      <c r="W282" s="6"/>
      <c r="X282" s="6"/>
      <c r="Y282" s="6"/>
      <c r="Z282" s="6"/>
    </row>
    <row r="283" collapsed="1">
      <c r="A283" s="52" t="s">
        <v>79</v>
      </c>
      <c r="B283" s="53"/>
      <c r="C283" s="54"/>
      <c r="D283" s="55">
        <f t="shared" ref="D283:F283" si="207">SUM(D276:D282)</f>
        <v>13878</v>
      </c>
      <c r="E283" s="81">
        <f t="shared" si="207"/>
        <v>386</v>
      </c>
      <c r="F283" s="81">
        <f t="shared" si="207"/>
        <v>383</v>
      </c>
      <c r="G283" s="57">
        <f t="shared" si="2"/>
        <v>1.007832898</v>
      </c>
      <c r="H283" s="55">
        <f>AVERAGE(H276:H282)</f>
        <v>36.55625654</v>
      </c>
      <c r="I283" s="58">
        <f>H283/G283</f>
        <v>36.27214055</v>
      </c>
      <c r="J283" s="59">
        <f>SUM(J276:J282)</f>
        <v>19887</v>
      </c>
      <c r="K283" s="60">
        <f t="shared" si="5"/>
        <v>0.01940966461</v>
      </c>
      <c r="L283" s="55">
        <f t="shared" ref="L283:N283" si="208">SUM(L276:L282)</f>
        <v>1061.59</v>
      </c>
      <c r="M283" s="55">
        <f t="shared" si="208"/>
        <v>7982.97</v>
      </c>
      <c r="N283" s="56">
        <f t="shared" si="208"/>
        <v>221</v>
      </c>
      <c r="O283" s="59">
        <f>sum(O276:O282)</f>
        <v>890355</v>
      </c>
      <c r="P283" s="60">
        <f t="shared" si="6"/>
        <v>0.1329818351</v>
      </c>
      <c r="Q283" s="61">
        <f t="shared" si="7"/>
        <v>7.519824038</v>
      </c>
      <c r="R283" s="62">
        <f t="shared" si="8"/>
        <v>0.5752248163</v>
      </c>
      <c r="S283" s="54" t="str">
        <f>iferror((D283-#REF!)/D283,)</f>
        <v/>
      </c>
      <c r="T283" s="63" t="str">
        <f>iferror((F283-#REF!)/F283,)</f>
        <v/>
      </c>
      <c r="U283" s="64">
        <f t="shared" ref="U283:V283" si="209">L283</f>
        <v>1061.59</v>
      </c>
      <c r="V283" s="64">
        <f t="shared" si="209"/>
        <v>7982.97</v>
      </c>
      <c r="W283" s="6"/>
      <c r="X283" s="6"/>
      <c r="Y283" s="6"/>
      <c r="Z283" s="6"/>
    </row>
    <row r="284" hidden="1" outlineLevel="1">
      <c r="A284" s="65" t="str">
        <f t="shared" ref="A284:A290" si="210">iferror(if(B284&gt;0,month(B284)&amp;"-"&amp;year(B284),B284),)</f>
        <v>8-2025</v>
      </c>
      <c r="B284" s="66">
        <v>45886.0</v>
      </c>
      <c r="C284" s="35"/>
      <c r="D284" s="67">
        <v>2002.0</v>
      </c>
      <c r="E284" s="68">
        <v>53.0</v>
      </c>
      <c r="F284" s="68">
        <v>53.0</v>
      </c>
      <c r="G284" s="38">
        <f t="shared" si="2"/>
        <v>1</v>
      </c>
      <c r="H284" s="36">
        <f t="shared" ref="H284:H290" si="211">D284/F284</f>
        <v>37.77358491</v>
      </c>
      <c r="I284" s="36">
        <f t="shared" ref="I284:I290" si="212">D284/E284</f>
        <v>37.77358491</v>
      </c>
      <c r="J284" s="69">
        <v>3467.0</v>
      </c>
      <c r="K284" s="40">
        <f t="shared" si="5"/>
        <v>0.01528699164</v>
      </c>
      <c r="L284" s="67">
        <v>194.44</v>
      </c>
      <c r="M284" s="67">
        <v>1335.0</v>
      </c>
      <c r="N284" s="68">
        <v>39.0</v>
      </c>
      <c r="O284" s="69">
        <v>160713.0</v>
      </c>
      <c r="P284" s="40">
        <f t="shared" si="6"/>
        <v>0.1456479401</v>
      </c>
      <c r="Q284" s="41">
        <f t="shared" si="7"/>
        <v>6.86587122</v>
      </c>
      <c r="R284" s="40">
        <f t="shared" si="8"/>
        <v>0.6668331668</v>
      </c>
      <c r="S284" s="42"/>
      <c r="T284" s="43"/>
      <c r="U284" s="2"/>
      <c r="V284" s="2"/>
      <c r="W284" s="2"/>
      <c r="X284" s="2"/>
      <c r="Y284" s="2"/>
      <c r="Z284" s="2"/>
    </row>
    <row r="285" hidden="1" outlineLevel="1">
      <c r="A285" s="70" t="str">
        <f t="shared" si="210"/>
        <v>8-2025</v>
      </c>
      <c r="B285" s="66">
        <v>45887.0</v>
      </c>
      <c r="C285" s="45"/>
      <c r="D285" s="71">
        <v>1626.0</v>
      </c>
      <c r="E285" s="72">
        <v>47.0</v>
      </c>
      <c r="F285" s="72">
        <v>47.0</v>
      </c>
      <c r="G285" s="48">
        <f t="shared" si="2"/>
        <v>1</v>
      </c>
      <c r="H285" s="46">
        <f t="shared" si="211"/>
        <v>34.59574468</v>
      </c>
      <c r="I285" s="46">
        <f t="shared" si="212"/>
        <v>34.59574468</v>
      </c>
      <c r="J285" s="73">
        <v>2435.0</v>
      </c>
      <c r="K285" s="50">
        <f t="shared" si="5"/>
        <v>0.01930184805</v>
      </c>
      <c r="L285" s="71">
        <v>143.16</v>
      </c>
      <c r="M285" s="71">
        <v>921.0</v>
      </c>
      <c r="N285" s="72">
        <v>25.0</v>
      </c>
      <c r="O285" s="73">
        <v>125253.0</v>
      </c>
      <c r="P285" s="50">
        <f t="shared" si="6"/>
        <v>0.1554397394</v>
      </c>
      <c r="Q285" s="51">
        <f t="shared" si="7"/>
        <v>6.433361274</v>
      </c>
      <c r="R285" s="50">
        <f t="shared" si="8"/>
        <v>0.5664206642</v>
      </c>
      <c r="S285" s="16"/>
      <c r="T285" s="25"/>
      <c r="U285" s="2"/>
      <c r="V285" s="2"/>
      <c r="W285" s="2"/>
      <c r="X285" s="2"/>
      <c r="Y285" s="2"/>
      <c r="Z285" s="2"/>
    </row>
    <row r="286" hidden="1" outlineLevel="1">
      <c r="A286" s="70" t="str">
        <f t="shared" si="210"/>
        <v>8-2025</v>
      </c>
      <c r="B286" s="66">
        <v>45888.0</v>
      </c>
      <c r="C286" s="45"/>
      <c r="D286" s="71">
        <v>2571.0</v>
      </c>
      <c r="E286" s="72">
        <v>72.0</v>
      </c>
      <c r="F286" s="72">
        <v>72.0</v>
      </c>
      <c r="G286" s="48">
        <f t="shared" si="2"/>
        <v>1</v>
      </c>
      <c r="H286" s="46">
        <f t="shared" si="211"/>
        <v>35.70833333</v>
      </c>
      <c r="I286" s="46">
        <f t="shared" si="212"/>
        <v>35.70833333</v>
      </c>
      <c r="J286" s="73">
        <v>2582.0</v>
      </c>
      <c r="K286" s="50">
        <f t="shared" si="5"/>
        <v>0.02788536019</v>
      </c>
      <c r="L286" s="71">
        <v>156.19</v>
      </c>
      <c r="M286" s="71">
        <v>1408.0</v>
      </c>
      <c r="N286" s="72">
        <v>43.0</v>
      </c>
      <c r="O286" s="73">
        <v>117848.0</v>
      </c>
      <c r="P286" s="50">
        <f t="shared" si="6"/>
        <v>0.1109303977</v>
      </c>
      <c r="Q286" s="51">
        <f t="shared" si="7"/>
        <v>9.01466163</v>
      </c>
      <c r="R286" s="50">
        <f t="shared" si="8"/>
        <v>0.54764683</v>
      </c>
      <c r="S286" s="16"/>
      <c r="T286" s="25"/>
      <c r="U286" s="2"/>
      <c r="V286" s="2"/>
      <c r="W286" s="2"/>
      <c r="X286" s="2"/>
      <c r="Y286" s="2"/>
      <c r="Z286" s="2"/>
    </row>
    <row r="287" hidden="1" outlineLevel="1">
      <c r="A287" s="70" t="str">
        <f t="shared" si="210"/>
        <v>8-2025</v>
      </c>
      <c r="B287" s="66">
        <v>45889.0</v>
      </c>
      <c r="C287" s="45"/>
      <c r="D287" s="71">
        <v>1650.0</v>
      </c>
      <c r="E287" s="72">
        <v>53.0</v>
      </c>
      <c r="F287" s="72">
        <v>53.0</v>
      </c>
      <c r="G287" s="48">
        <f t="shared" si="2"/>
        <v>1</v>
      </c>
      <c r="H287" s="46">
        <f t="shared" si="211"/>
        <v>31.13207547</v>
      </c>
      <c r="I287" s="46">
        <f t="shared" si="212"/>
        <v>31.13207547</v>
      </c>
      <c r="J287" s="73">
        <v>1877.0</v>
      </c>
      <c r="K287" s="50">
        <f t="shared" si="5"/>
        <v>0.02823654768</v>
      </c>
      <c r="L287" s="71">
        <v>120.96</v>
      </c>
      <c r="M287" s="71">
        <v>1245.0</v>
      </c>
      <c r="N287" s="72">
        <v>41.0</v>
      </c>
      <c r="O287" s="73">
        <v>108750.0</v>
      </c>
      <c r="P287" s="50">
        <f t="shared" si="6"/>
        <v>0.09715662651</v>
      </c>
      <c r="Q287" s="51">
        <f t="shared" si="7"/>
        <v>10.29265873</v>
      </c>
      <c r="R287" s="50">
        <f t="shared" si="8"/>
        <v>0.7545454545</v>
      </c>
      <c r="S287" s="16"/>
      <c r="T287" s="25"/>
      <c r="U287" s="2"/>
      <c r="V287" s="2"/>
      <c r="W287" s="2"/>
      <c r="X287" s="2"/>
      <c r="Y287" s="2"/>
      <c r="Z287" s="2"/>
    </row>
    <row r="288" hidden="1" outlineLevel="1">
      <c r="A288" s="70" t="str">
        <f t="shared" si="210"/>
        <v>8-2025</v>
      </c>
      <c r="B288" s="66">
        <v>45890.0</v>
      </c>
      <c r="C288" s="45"/>
      <c r="D288" s="71">
        <v>1302.0</v>
      </c>
      <c r="E288" s="72">
        <v>38.0</v>
      </c>
      <c r="F288" s="72">
        <v>38.0</v>
      </c>
      <c r="G288" s="48">
        <f t="shared" si="2"/>
        <v>1</v>
      </c>
      <c r="H288" s="46">
        <f t="shared" si="211"/>
        <v>34.26315789</v>
      </c>
      <c r="I288" s="46">
        <f t="shared" si="212"/>
        <v>34.26315789</v>
      </c>
      <c r="J288" s="73">
        <v>1740.0</v>
      </c>
      <c r="K288" s="50">
        <f t="shared" si="5"/>
        <v>0.02183908046</v>
      </c>
      <c r="L288" s="71">
        <v>90.63</v>
      </c>
      <c r="M288" s="71">
        <v>586.0</v>
      </c>
      <c r="N288" s="72">
        <v>18.0</v>
      </c>
      <c r="O288" s="73">
        <v>120318.0</v>
      </c>
      <c r="P288" s="50">
        <f t="shared" si="6"/>
        <v>0.1546587031</v>
      </c>
      <c r="Q288" s="51">
        <f t="shared" si="7"/>
        <v>6.46585016</v>
      </c>
      <c r="R288" s="50">
        <f t="shared" si="8"/>
        <v>0.4500768049</v>
      </c>
      <c r="S288" s="16"/>
      <c r="T288" s="25"/>
      <c r="U288" s="2"/>
      <c r="V288" s="2"/>
      <c r="W288" s="2"/>
      <c r="X288" s="2"/>
      <c r="Y288" s="2"/>
      <c r="Z288" s="2"/>
    </row>
    <row r="289" hidden="1" outlineLevel="1">
      <c r="A289" s="70" t="str">
        <f t="shared" si="210"/>
        <v>8-2025</v>
      </c>
      <c r="B289" s="66">
        <v>45891.0</v>
      </c>
      <c r="C289" s="45"/>
      <c r="D289" s="71">
        <v>1548.0</v>
      </c>
      <c r="E289" s="72">
        <v>42.0</v>
      </c>
      <c r="F289" s="72">
        <v>42.0</v>
      </c>
      <c r="G289" s="48">
        <f t="shared" si="2"/>
        <v>1</v>
      </c>
      <c r="H289" s="46">
        <f t="shared" si="211"/>
        <v>36.85714286</v>
      </c>
      <c r="I289" s="46">
        <f t="shared" si="212"/>
        <v>36.85714286</v>
      </c>
      <c r="J289" s="73">
        <v>1761.0</v>
      </c>
      <c r="K289" s="50">
        <f t="shared" si="5"/>
        <v>0.02385008518</v>
      </c>
      <c r="L289" s="71">
        <v>83.83</v>
      </c>
      <c r="M289" s="71">
        <v>1140.0</v>
      </c>
      <c r="N289" s="72">
        <v>29.0</v>
      </c>
      <c r="O289" s="73">
        <v>98186.0</v>
      </c>
      <c r="P289" s="50">
        <f t="shared" si="6"/>
        <v>0.07353508772</v>
      </c>
      <c r="Q289" s="51">
        <f t="shared" si="7"/>
        <v>13.59895026</v>
      </c>
      <c r="R289" s="50">
        <f t="shared" si="8"/>
        <v>0.7364341085</v>
      </c>
      <c r="S289" s="16"/>
      <c r="T289" s="25"/>
      <c r="U289" s="2"/>
      <c r="V289" s="2"/>
      <c r="W289" s="2"/>
      <c r="X289" s="2"/>
      <c r="Y289" s="2"/>
      <c r="Z289" s="2"/>
    </row>
    <row r="290" hidden="1" outlineLevel="1">
      <c r="A290" s="70" t="str">
        <f t="shared" si="210"/>
        <v>8-2025</v>
      </c>
      <c r="B290" s="66">
        <v>45892.0</v>
      </c>
      <c r="C290" s="45"/>
      <c r="D290" s="71">
        <v>1821.0</v>
      </c>
      <c r="E290" s="72">
        <v>49.0</v>
      </c>
      <c r="F290" s="72">
        <v>49.0</v>
      </c>
      <c r="G290" s="48">
        <f t="shared" si="2"/>
        <v>1</v>
      </c>
      <c r="H290" s="46">
        <f t="shared" si="211"/>
        <v>37.16326531</v>
      </c>
      <c r="I290" s="46">
        <f t="shared" si="212"/>
        <v>37.16326531</v>
      </c>
      <c r="J290" s="73">
        <v>2271.0</v>
      </c>
      <c r="K290" s="50">
        <f t="shared" si="5"/>
        <v>0.02157639806</v>
      </c>
      <c r="L290" s="71">
        <v>120.59</v>
      </c>
      <c r="M290" s="71">
        <v>965.0</v>
      </c>
      <c r="N290" s="72">
        <v>26.0</v>
      </c>
      <c r="O290" s="73">
        <v>99770.0</v>
      </c>
      <c r="P290" s="50">
        <f t="shared" si="6"/>
        <v>0.1249637306</v>
      </c>
      <c r="Q290" s="51">
        <f t="shared" si="7"/>
        <v>8.002321917</v>
      </c>
      <c r="R290" s="50">
        <f t="shared" si="8"/>
        <v>0.5299286107</v>
      </c>
      <c r="S290" s="16"/>
      <c r="T290" s="25"/>
      <c r="U290" s="2"/>
      <c r="V290" s="2"/>
      <c r="W290" s="2"/>
      <c r="X290" s="2"/>
      <c r="Y290" s="2"/>
      <c r="Z290" s="2"/>
    </row>
    <row r="291" collapsed="1">
      <c r="A291" s="52" t="s">
        <v>80</v>
      </c>
      <c r="B291" s="53"/>
      <c r="C291" s="54"/>
      <c r="D291" s="55">
        <f t="shared" ref="D291:F291" si="213">SUM(D284:D290)</f>
        <v>12520</v>
      </c>
      <c r="E291" s="81">
        <f t="shared" si="213"/>
        <v>354</v>
      </c>
      <c r="F291" s="81">
        <f t="shared" si="213"/>
        <v>354</v>
      </c>
      <c r="G291" s="75">
        <f t="shared" si="2"/>
        <v>1</v>
      </c>
      <c r="H291" s="55">
        <f>AVERAGE(H284:H290)</f>
        <v>35.35618635</v>
      </c>
      <c r="I291" s="76">
        <f>H291/G291</f>
        <v>35.35618635</v>
      </c>
      <c r="J291" s="59">
        <f>SUM(J284:J290)</f>
        <v>16133</v>
      </c>
      <c r="K291" s="60">
        <f t="shared" si="5"/>
        <v>0.02194260212</v>
      </c>
      <c r="L291" s="55">
        <f t="shared" ref="L291:N291" si="214">SUM(L284:L290)</f>
        <v>909.8</v>
      </c>
      <c r="M291" s="55">
        <f t="shared" si="214"/>
        <v>7600</v>
      </c>
      <c r="N291" s="74">
        <f t="shared" si="214"/>
        <v>221</v>
      </c>
      <c r="O291" s="77">
        <f>sum(O284:O290)</f>
        <v>830838</v>
      </c>
      <c r="P291" s="60">
        <f t="shared" si="6"/>
        <v>0.1197105263</v>
      </c>
      <c r="Q291" s="78">
        <f t="shared" si="7"/>
        <v>8.353484282</v>
      </c>
      <c r="R291" s="62">
        <f t="shared" si="8"/>
        <v>0.607028754</v>
      </c>
      <c r="S291" s="54" t="str">
        <f>iferror((D291-#REF!)/D291,)</f>
        <v/>
      </c>
      <c r="T291" s="63" t="str">
        <f>iferror((F291-#REF!)/F291,)</f>
        <v/>
      </c>
      <c r="U291" s="64">
        <f t="shared" ref="U291:V291" si="215">L291</f>
        <v>909.8</v>
      </c>
      <c r="V291" s="64">
        <f t="shared" si="215"/>
        <v>7600</v>
      </c>
      <c r="W291" s="7"/>
      <c r="X291" s="7"/>
      <c r="Y291" s="7"/>
      <c r="Z291" s="7"/>
    </row>
    <row r="292" hidden="1" outlineLevel="1">
      <c r="A292" s="33" t="str">
        <f t="shared" ref="A292:A298" si="216">iferror(if(B292&gt;0,month(B292)&amp;"-"&amp;year(B292),B292),)</f>
        <v>8-2025</v>
      </c>
      <c r="B292" s="34">
        <v>45893.0</v>
      </c>
      <c r="C292" s="35"/>
      <c r="D292" s="36">
        <v>1619.0</v>
      </c>
      <c r="E292" s="37">
        <v>45.0</v>
      </c>
      <c r="F292" s="37">
        <v>45.0</v>
      </c>
      <c r="G292" s="38">
        <f t="shared" si="2"/>
        <v>1</v>
      </c>
      <c r="H292" s="36">
        <f t="shared" ref="H292:H298" si="217">D292/F292</f>
        <v>35.97777778</v>
      </c>
      <c r="I292" s="36">
        <f t="shared" ref="I292:I298" si="218">D292/E292</f>
        <v>35.97777778</v>
      </c>
      <c r="J292" s="39">
        <v>2782.0</v>
      </c>
      <c r="K292" s="40">
        <f t="shared" si="5"/>
        <v>0.01617541337</v>
      </c>
      <c r="L292" s="36">
        <v>156.95</v>
      </c>
      <c r="M292" s="36">
        <v>1178.0</v>
      </c>
      <c r="N292" s="37">
        <v>33.0</v>
      </c>
      <c r="O292" s="39">
        <v>120603.0</v>
      </c>
      <c r="P292" s="40">
        <f t="shared" si="6"/>
        <v>0.1332342954</v>
      </c>
      <c r="Q292" s="41">
        <f t="shared" si="7"/>
        <v>7.505575024</v>
      </c>
      <c r="R292" s="40">
        <f t="shared" si="8"/>
        <v>0.7276096356</v>
      </c>
      <c r="S292" s="42"/>
      <c r="T292" s="43"/>
      <c r="U292" s="6"/>
      <c r="V292" s="6"/>
      <c r="W292" s="6"/>
      <c r="X292" s="6"/>
      <c r="Y292" s="6"/>
      <c r="Z292" s="6"/>
    </row>
    <row r="293" hidden="1" outlineLevel="1">
      <c r="A293" s="44" t="str">
        <f t="shared" si="216"/>
        <v>8-2025</v>
      </c>
      <c r="B293" s="34">
        <v>45894.0</v>
      </c>
      <c r="C293" s="45"/>
      <c r="D293" s="46">
        <v>2315.0</v>
      </c>
      <c r="E293" s="47">
        <v>64.0</v>
      </c>
      <c r="F293" s="47">
        <v>64.0</v>
      </c>
      <c r="G293" s="48">
        <f t="shared" si="2"/>
        <v>1</v>
      </c>
      <c r="H293" s="46">
        <f t="shared" si="217"/>
        <v>36.171875</v>
      </c>
      <c r="I293" s="46">
        <f t="shared" si="218"/>
        <v>36.171875</v>
      </c>
      <c r="J293" s="49">
        <v>2197.0</v>
      </c>
      <c r="K293" s="50">
        <f t="shared" si="5"/>
        <v>0.02913063268</v>
      </c>
      <c r="L293" s="46">
        <v>109.26</v>
      </c>
      <c r="M293" s="46">
        <v>1597.0</v>
      </c>
      <c r="N293" s="47">
        <v>42.0</v>
      </c>
      <c r="O293" s="49">
        <v>92407.0</v>
      </c>
      <c r="P293" s="50">
        <f t="shared" si="6"/>
        <v>0.06841577959</v>
      </c>
      <c r="Q293" s="51">
        <f t="shared" si="7"/>
        <v>14.61651107</v>
      </c>
      <c r="R293" s="50">
        <f t="shared" si="8"/>
        <v>0.6898488121</v>
      </c>
      <c r="S293" s="16"/>
      <c r="T293" s="25"/>
      <c r="U293" s="6"/>
      <c r="V293" s="6"/>
      <c r="W293" s="6"/>
      <c r="X293" s="6"/>
      <c r="Y293" s="6"/>
      <c r="Z293" s="6"/>
    </row>
    <row r="294" hidden="1" outlineLevel="1">
      <c r="A294" s="44" t="str">
        <f t="shared" si="216"/>
        <v>8-2025</v>
      </c>
      <c r="B294" s="34">
        <v>45895.0</v>
      </c>
      <c r="C294" s="45"/>
      <c r="D294" s="46">
        <v>1664.0</v>
      </c>
      <c r="E294" s="47">
        <v>44.0</v>
      </c>
      <c r="F294" s="47">
        <v>43.0</v>
      </c>
      <c r="G294" s="48">
        <f t="shared" si="2"/>
        <v>1.023255814</v>
      </c>
      <c r="H294" s="46">
        <f t="shared" si="217"/>
        <v>38.69767442</v>
      </c>
      <c r="I294" s="46">
        <f t="shared" si="218"/>
        <v>37.81818182</v>
      </c>
      <c r="J294" s="49">
        <v>2007.0</v>
      </c>
      <c r="K294" s="50">
        <f t="shared" si="5"/>
        <v>0.02192326856</v>
      </c>
      <c r="L294" s="46">
        <v>105.51</v>
      </c>
      <c r="M294" s="46">
        <v>705.0</v>
      </c>
      <c r="N294" s="47">
        <v>22.0</v>
      </c>
      <c r="O294" s="49">
        <v>112577.0</v>
      </c>
      <c r="P294" s="50">
        <f t="shared" si="6"/>
        <v>0.1496595745</v>
      </c>
      <c r="Q294" s="51">
        <f t="shared" si="7"/>
        <v>6.681831106</v>
      </c>
      <c r="R294" s="50">
        <f t="shared" si="8"/>
        <v>0.4236778846</v>
      </c>
      <c r="S294" s="16"/>
      <c r="T294" s="25"/>
      <c r="U294" s="6"/>
      <c r="V294" s="6"/>
      <c r="W294" s="6"/>
      <c r="X294" s="6"/>
      <c r="Y294" s="6"/>
      <c r="Z294" s="6"/>
    </row>
    <row r="295" hidden="1" outlineLevel="1">
      <c r="A295" s="44" t="str">
        <f t="shared" si="216"/>
        <v>8-2025</v>
      </c>
      <c r="B295" s="34">
        <v>45896.0</v>
      </c>
      <c r="C295" s="45"/>
      <c r="D295" s="46">
        <v>1015.0</v>
      </c>
      <c r="E295" s="47">
        <v>30.0</v>
      </c>
      <c r="F295" s="47">
        <v>30.0</v>
      </c>
      <c r="G295" s="48">
        <f t="shared" si="2"/>
        <v>1</v>
      </c>
      <c r="H295" s="46">
        <f t="shared" si="217"/>
        <v>33.83333333</v>
      </c>
      <c r="I295" s="46">
        <f t="shared" si="218"/>
        <v>33.83333333</v>
      </c>
      <c r="J295" s="49">
        <v>1932.0</v>
      </c>
      <c r="K295" s="50">
        <f t="shared" si="5"/>
        <v>0.01552795031</v>
      </c>
      <c r="L295" s="46">
        <v>96.93</v>
      </c>
      <c r="M295" s="46">
        <v>805.0</v>
      </c>
      <c r="N295" s="47">
        <v>23.0</v>
      </c>
      <c r="O295" s="49">
        <v>117829.0</v>
      </c>
      <c r="P295" s="50">
        <f t="shared" si="6"/>
        <v>0.1204099379</v>
      </c>
      <c r="Q295" s="51">
        <f t="shared" si="7"/>
        <v>8.304962344</v>
      </c>
      <c r="R295" s="50">
        <f t="shared" si="8"/>
        <v>0.7931034483</v>
      </c>
      <c r="S295" s="16"/>
      <c r="T295" s="25"/>
      <c r="U295" s="6"/>
      <c r="V295" s="6"/>
      <c r="W295" s="6"/>
      <c r="X295" s="6"/>
      <c r="Y295" s="6"/>
      <c r="Z295" s="6"/>
    </row>
    <row r="296" hidden="1" outlineLevel="1">
      <c r="A296" s="44" t="str">
        <f t="shared" si="216"/>
        <v>8-2025</v>
      </c>
      <c r="B296" s="34">
        <v>45897.0</v>
      </c>
      <c r="C296" s="45"/>
      <c r="D296" s="46">
        <v>1041.0</v>
      </c>
      <c r="E296" s="47">
        <v>29.0</v>
      </c>
      <c r="F296" s="47">
        <v>29.0</v>
      </c>
      <c r="G296" s="48">
        <f t="shared" si="2"/>
        <v>1</v>
      </c>
      <c r="H296" s="46">
        <f t="shared" si="217"/>
        <v>35.89655172</v>
      </c>
      <c r="I296" s="46">
        <f t="shared" si="218"/>
        <v>35.89655172</v>
      </c>
      <c r="J296" s="49">
        <v>1627.0</v>
      </c>
      <c r="K296" s="50">
        <f t="shared" si="5"/>
        <v>0.01782421635</v>
      </c>
      <c r="L296" s="46">
        <v>77.03</v>
      </c>
      <c r="M296" s="46">
        <v>566.0</v>
      </c>
      <c r="N296" s="47">
        <v>17.0</v>
      </c>
      <c r="O296" s="49">
        <v>101503.0</v>
      </c>
      <c r="P296" s="50">
        <f t="shared" si="6"/>
        <v>0.1360954064</v>
      </c>
      <c r="Q296" s="51">
        <f t="shared" si="7"/>
        <v>7.347786577</v>
      </c>
      <c r="R296" s="50">
        <f t="shared" si="8"/>
        <v>0.5437079731</v>
      </c>
      <c r="S296" s="16"/>
      <c r="T296" s="25"/>
      <c r="U296" s="6"/>
      <c r="V296" s="6"/>
      <c r="W296" s="6"/>
      <c r="X296" s="6"/>
      <c r="Y296" s="6"/>
      <c r="Z296" s="6"/>
    </row>
    <row r="297" hidden="1" outlineLevel="1">
      <c r="A297" s="44" t="str">
        <f t="shared" si="216"/>
        <v>8-2025</v>
      </c>
      <c r="B297" s="34">
        <v>45898.0</v>
      </c>
      <c r="C297" s="45"/>
      <c r="D297" s="46">
        <v>891.0</v>
      </c>
      <c r="E297" s="47">
        <v>27.0</v>
      </c>
      <c r="F297" s="47">
        <v>26.0</v>
      </c>
      <c r="G297" s="48">
        <f t="shared" si="2"/>
        <v>1.038461538</v>
      </c>
      <c r="H297" s="46">
        <f t="shared" si="217"/>
        <v>34.26923077</v>
      </c>
      <c r="I297" s="46">
        <f t="shared" si="218"/>
        <v>33</v>
      </c>
      <c r="J297" s="49">
        <v>1634.0</v>
      </c>
      <c r="K297" s="50">
        <f t="shared" si="5"/>
        <v>0.01652386781</v>
      </c>
      <c r="L297" s="46">
        <v>73.83</v>
      </c>
      <c r="M297" s="46">
        <v>409.0</v>
      </c>
      <c r="N297" s="47">
        <v>11.0</v>
      </c>
      <c r="O297" s="49">
        <v>92142.0</v>
      </c>
      <c r="P297" s="50">
        <f t="shared" si="6"/>
        <v>0.1805134474</v>
      </c>
      <c r="Q297" s="51">
        <f t="shared" si="7"/>
        <v>5.539753488</v>
      </c>
      <c r="R297" s="50">
        <f t="shared" si="8"/>
        <v>0.4590347924</v>
      </c>
      <c r="S297" s="16"/>
      <c r="T297" s="25"/>
      <c r="U297" s="6"/>
      <c r="V297" s="6"/>
      <c r="W297" s="6"/>
      <c r="X297" s="6"/>
      <c r="Y297" s="6"/>
      <c r="Z297" s="6"/>
    </row>
    <row r="298" hidden="1" outlineLevel="1">
      <c r="A298" s="44" t="str">
        <f t="shared" si="216"/>
        <v>8-2025</v>
      </c>
      <c r="B298" s="34">
        <v>45899.0</v>
      </c>
      <c r="C298" s="45"/>
      <c r="D298" s="46">
        <v>1476.0</v>
      </c>
      <c r="E298" s="47">
        <v>39.0</v>
      </c>
      <c r="F298" s="47">
        <v>39.0</v>
      </c>
      <c r="G298" s="48">
        <f t="shared" si="2"/>
        <v>1</v>
      </c>
      <c r="H298" s="46">
        <f t="shared" si="217"/>
        <v>37.84615385</v>
      </c>
      <c r="I298" s="46">
        <f t="shared" si="218"/>
        <v>37.84615385</v>
      </c>
      <c r="J298" s="49">
        <v>1834.0</v>
      </c>
      <c r="K298" s="50">
        <f t="shared" si="5"/>
        <v>0.02126499455</v>
      </c>
      <c r="L298" s="46">
        <v>91.92</v>
      </c>
      <c r="M298" s="46">
        <v>638.0</v>
      </c>
      <c r="N298" s="47">
        <v>19.0</v>
      </c>
      <c r="O298" s="49">
        <v>104933.0</v>
      </c>
      <c r="P298" s="50">
        <f t="shared" si="6"/>
        <v>0.1440752351</v>
      </c>
      <c r="Q298" s="51">
        <f t="shared" si="7"/>
        <v>6.940818103</v>
      </c>
      <c r="R298" s="50">
        <f t="shared" si="8"/>
        <v>0.4322493225</v>
      </c>
      <c r="S298" s="16"/>
      <c r="T298" s="25"/>
      <c r="U298" s="6"/>
      <c r="V298" s="6"/>
      <c r="W298" s="6"/>
      <c r="X298" s="6"/>
      <c r="Y298" s="6"/>
      <c r="Z298" s="6"/>
    </row>
    <row r="299" collapsed="1">
      <c r="A299" s="52" t="s">
        <v>81</v>
      </c>
      <c r="B299" s="53"/>
      <c r="C299" s="54"/>
      <c r="D299" s="55">
        <f t="shared" ref="D299:F299" si="219">SUM(D292:D298)</f>
        <v>10021</v>
      </c>
      <c r="E299" s="56">
        <f t="shared" si="219"/>
        <v>278</v>
      </c>
      <c r="F299" s="56">
        <f t="shared" si="219"/>
        <v>276</v>
      </c>
      <c r="G299" s="57">
        <f t="shared" si="2"/>
        <v>1.007246377</v>
      </c>
      <c r="H299" s="55">
        <f>AVERAGE(H292:H298)</f>
        <v>36.09894241</v>
      </c>
      <c r="I299" s="58">
        <f>H299/G299</f>
        <v>35.83923779</v>
      </c>
      <c r="J299" s="59">
        <f>SUM(J292:J298)</f>
        <v>14013</v>
      </c>
      <c r="K299" s="60">
        <f t="shared" si="5"/>
        <v>0.01983872119</v>
      </c>
      <c r="L299" s="55">
        <f t="shared" ref="L299:N299" si="220">SUM(L292:L298)</f>
        <v>711.43</v>
      </c>
      <c r="M299" s="55">
        <f t="shared" si="220"/>
        <v>5898</v>
      </c>
      <c r="N299" s="56">
        <f t="shared" si="220"/>
        <v>167</v>
      </c>
      <c r="O299" s="59">
        <f>sum(O292:O298)</f>
        <v>741994</v>
      </c>
      <c r="P299" s="60">
        <f t="shared" si="6"/>
        <v>0.1206222448</v>
      </c>
      <c r="Q299" s="61">
        <f t="shared" si="7"/>
        <v>8.290344799</v>
      </c>
      <c r="R299" s="62">
        <f t="shared" si="8"/>
        <v>0.5885640156</v>
      </c>
      <c r="S299" s="54" t="str">
        <f>iferror((D299-#REF!)/D299,)</f>
        <v/>
      </c>
      <c r="T299" s="63" t="str">
        <f>iferror((F299-#REF!)/F299,)</f>
        <v/>
      </c>
      <c r="U299" s="64">
        <f t="shared" ref="U299:V299" si="221">L299</f>
        <v>711.43</v>
      </c>
      <c r="V299" s="64">
        <f t="shared" si="221"/>
        <v>5898</v>
      </c>
      <c r="W299" s="6"/>
      <c r="X299" s="6"/>
      <c r="Y299" s="6"/>
      <c r="Z299" s="6"/>
    </row>
    <row r="300" hidden="1" outlineLevel="1">
      <c r="A300" s="33" t="str">
        <f t="shared" ref="A300:A306" si="222">iferror(if(B300&gt;0,month(B300)&amp;"-"&amp;year(B300),B300),)</f>
        <v>8-2025</v>
      </c>
      <c r="B300" s="34">
        <v>45900.0</v>
      </c>
      <c r="C300" s="35"/>
      <c r="D300" s="36">
        <v>1289.0</v>
      </c>
      <c r="E300" s="37">
        <v>35.0</v>
      </c>
      <c r="F300" s="37">
        <v>35.0</v>
      </c>
      <c r="G300" s="38">
        <f t="shared" si="2"/>
        <v>1</v>
      </c>
      <c r="H300" s="36">
        <f t="shared" ref="H300:H306" si="223">D300/F300</f>
        <v>36.82857143</v>
      </c>
      <c r="I300" s="36">
        <f t="shared" ref="I300:I306" si="224">D300/E300</f>
        <v>36.82857143</v>
      </c>
      <c r="J300" s="39">
        <v>2230.0</v>
      </c>
      <c r="K300" s="40">
        <f t="shared" si="5"/>
        <v>0.01569506726</v>
      </c>
      <c r="L300" s="36">
        <v>105.72</v>
      </c>
      <c r="M300" s="36">
        <v>687.0</v>
      </c>
      <c r="N300" s="37">
        <v>18.0</v>
      </c>
      <c r="O300" s="39">
        <v>121834.0</v>
      </c>
      <c r="P300" s="40">
        <f t="shared" si="6"/>
        <v>0.1538864629</v>
      </c>
      <c r="Q300" s="41">
        <f t="shared" si="7"/>
        <v>6.498297389</v>
      </c>
      <c r="R300" s="40">
        <f t="shared" si="8"/>
        <v>0.5329712956</v>
      </c>
      <c r="S300" s="42"/>
      <c r="T300" s="43"/>
      <c r="U300" s="6"/>
      <c r="V300" s="6"/>
      <c r="W300" s="6"/>
      <c r="X300" s="6"/>
      <c r="Y300" s="6"/>
      <c r="Z300" s="6"/>
    </row>
    <row r="301" hidden="1" outlineLevel="1">
      <c r="A301" s="44" t="str">
        <f t="shared" si="222"/>
        <v>9-2025</v>
      </c>
      <c r="B301" s="34">
        <v>45901.0</v>
      </c>
      <c r="C301" s="45"/>
      <c r="D301" s="46">
        <v>945.0</v>
      </c>
      <c r="E301" s="47">
        <v>24.0</v>
      </c>
      <c r="F301" s="47">
        <v>24.0</v>
      </c>
      <c r="G301" s="48">
        <f t="shared" si="2"/>
        <v>1</v>
      </c>
      <c r="H301" s="46">
        <f t="shared" si="223"/>
        <v>39.375</v>
      </c>
      <c r="I301" s="46">
        <f t="shared" si="224"/>
        <v>39.375</v>
      </c>
      <c r="J301" s="49">
        <v>2252.0</v>
      </c>
      <c r="K301" s="50">
        <f t="shared" si="5"/>
        <v>0.01065719361</v>
      </c>
      <c r="L301" s="46">
        <v>102.49</v>
      </c>
      <c r="M301" s="46">
        <v>555.0</v>
      </c>
      <c r="N301" s="47">
        <v>12.0</v>
      </c>
      <c r="O301" s="49">
        <v>136018.0</v>
      </c>
      <c r="P301" s="50">
        <f t="shared" si="6"/>
        <v>0.1846666667</v>
      </c>
      <c r="Q301" s="51">
        <f t="shared" si="7"/>
        <v>5.415162455</v>
      </c>
      <c r="R301" s="50">
        <f t="shared" si="8"/>
        <v>0.5873015873</v>
      </c>
      <c r="S301" s="16"/>
      <c r="T301" s="25"/>
      <c r="U301" s="6"/>
      <c r="V301" s="6"/>
      <c r="W301" s="6"/>
      <c r="X301" s="6"/>
      <c r="Y301" s="6"/>
      <c r="Z301" s="6"/>
    </row>
    <row r="302" hidden="1" outlineLevel="1">
      <c r="A302" s="44" t="str">
        <f t="shared" si="222"/>
        <v>9-2025</v>
      </c>
      <c r="B302" s="34">
        <v>45902.0</v>
      </c>
      <c r="C302" s="45"/>
      <c r="D302" s="46">
        <v>1140.0</v>
      </c>
      <c r="E302" s="47">
        <v>28.0</v>
      </c>
      <c r="F302" s="47">
        <v>28.0</v>
      </c>
      <c r="G302" s="48">
        <f t="shared" si="2"/>
        <v>1</v>
      </c>
      <c r="H302" s="46">
        <f t="shared" si="223"/>
        <v>40.71428571</v>
      </c>
      <c r="I302" s="46">
        <f t="shared" si="224"/>
        <v>40.71428571</v>
      </c>
      <c r="J302" s="49">
        <v>1860.0</v>
      </c>
      <c r="K302" s="50">
        <f t="shared" si="5"/>
        <v>0.01505376344</v>
      </c>
      <c r="L302" s="46">
        <v>90.62</v>
      </c>
      <c r="M302" s="46">
        <v>770.0</v>
      </c>
      <c r="N302" s="47">
        <v>19.0</v>
      </c>
      <c r="O302" s="49">
        <v>98441.0</v>
      </c>
      <c r="P302" s="50">
        <f t="shared" si="6"/>
        <v>0.1176883117</v>
      </c>
      <c r="Q302" s="51">
        <f t="shared" si="7"/>
        <v>8.497020525</v>
      </c>
      <c r="R302" s="50">
        <f t="shared" si="8"/>
        <v>0.6754385965</v>
      </c>
      <c r="S302" s="16"/>
      <c r="T302" s="25"/>
      <c r="U302" s="6"/>
      <c r="V302" s="6"/>
      <c r="W302" s="6"/>
      <c r="X302" s="6"/>
      <c r="Y302" s="6"/>
      <c r="Z302" s="6"/>
    </row>
    <row r="303" hidden="1" outlineLevel="1">
      <c r="A303" s="44" t="str">
        <f t="shared" si="222"/>
        <v>9-2025</v>
      </c>
      <c r="B303" s="34">
        <v>45903.0</v>
      </c>
      <c r="C303" s="45"/>
      <c r="D303" s="46">
        <v>1544.0</v>
      </c>
      <c r="E303" s="47">
        <v>43.0</v>
      </c>
      <c r="F303" s="47">
        <v>43.0</v>
      </c>
      <c r="G303" s="48">
        <f t="shared" si="2"/>
        <v>1</v>
      </c>
      <c r="H303" s="46">
        <f t="shared" si="223"/>
        <v>35.90697674</v>
      </c>
      <c r="I303" s="46">
        <f t="shared" si="224"/>
        <v>35.90697674</v>
      </c>
      <c r="J303" s="49">
        <v>1765.0</v>
      </c>
      <c r="K303" s="50">
        <f t="shared" si="5"/>
        <v>0.02436260623</v>
      </c>
      <c r="L303" s="46">
        <v>75.16</v>
      </c>
      <c r="M303" s="46">
        <v>679.0</v>
      </c>
      <c r="N303" s="47">
        <v>18.0</v>
      </c>
      <c r="O303" s="49">
        <v>83715.0</v>
      </c>
      <c r="P303" s="50">
        <f t="shared" si="6"/>
        <v>0.1106921944</v>
      </c>
      <c r="Q303" s="51">
        <f t="shared" si="7"/>
        <v>9.034060671</v>
      </c>
      <c r="R303" s="50">
        <f t="shared" si="8"/>
        <v>0.4397668394</v>
      </c>
      <c r="S303" s="16"/>
      <c r="T303" s="25"/>
      <c r="U303" s="6"/>
      <c r="V303" s="6"/>
      <c r="W303" s="6"/>
      <c r="X303" s="6"/>
      <c r="Y303" s="6"/>
      <c r="Z303" s="6"/>
    </row>
    <row r="304" hidden="1" outlineLevel="1">
      <c r="A304" s="44" t="str">
        <f t="shared" si="222"/>
        <v>9-2025</v>
      </c>
      <c r="B304" s="34">
        <v>45904.0</v>
      </c>
      <c r="C304" s="45"/>
      <c r="D304" s="46">
        <v>1404.0</v>
      </c>
      <c r="E304" s="47">
        <v>41.0</v>
      </c>
      <c r="F304" s="47">
        <v>41.0</v>
      </c>
      <c r="G304" s="48">
        <f t="shared" si="2"/>
        <v>1</v>
      </c>
      <c r="H304" s="46">
        <f t="shared" si="223"/>
        <v>34.24390244</v>
      </c>
      <c r="I304" s="46">
        <f t="shared" si="224"/>
        <v>34.24390244</v>
      </c>
      <c r="J304" s="49">
        <v>1714.0</v>
      </c>
      <c r="K304" s="50">
        <f t="shared" si="5"/>
        <v>0.02392065344</v>
      </c>
      <c r="L304" s="46">
        <v>64.89</v>
      </c>
      <c r="M304" s="46">
        <v>669.0</v>
      </c>
      <c r="N304" s="47">
        <v>18.0</v>
      </c>
      <c r="O304" s="49">
        <v>87993.0</v>
      </c>
      <c r="P304" s="50">
        <f t="shared" si="6"/>
        <v>0.0969955157</v>
      </c>
      <c r="Q304" s="51">
        <f t="shared" si="7"/>
        <v>10.30975497</v>
      </c>
      <c r="R304" s="50">
        <f t="shared" si="8"/>
        <v>0.4764957265</v>
      </c>
      <c r="S304" s="16"/>
      <c r="T304" s="25"/>
      <c r="U304" s="6"/>
      <c r="V304" s="6"/>
      <c r="W304" s="6"/>
      <c r="X304" s="6"/>
      <c r="Y304" s="6"/>
      <c r="Z304" s="6"/>
    </row>
    <row r="305" hidden="1" outlineLevel="1">
      <c r="A305" s="44" t="str">
        <f t="shared" si="222"/>
        <v>9-2025</v>
      </c>
      <c r="B305" s="34">
        <v>45905.0</v>
      </c>
      <c r="C305" s="45"/>
      <c r="D305" s="46">
        <v>1205.0</v>
      </c>
      <c r="E305" s="47">
        <v>28.0</v>
      </c>
      <c r="F305" s="47">
        <v>28.0</v>
      </c>
      <c r="G305" s="48">
        <f t="shared" si="2"/>
        <v>1</v>
      </c>
      <c r="H305" s="46">
        <f t="shared" si="223"/>
        <v>43.03571429</v>
      </c>
      <c r="I305" s="46">
        <f t="shared" si="224"/>
        <v>43.03571429</v>
      </c>
      <c r="J305" s="49">
        <v>1396.0</v>
      </c>
      <c r="K305" s="50">
        <f t="shared" si="5"/>
        <v>0.02005730659</v>
      </c>
      <c r="L305" s="46">
        <v>59.69</v>
      </c>
      <c r="M305" s="46">
        <v>605.0</v>
      </c>
      <c r="N305" s="47">
        <v>13.0</v>
      </c>
      <c r="O305" s="49">
        <v>84115.0</v>
      </c>
      <c r="P305" s="50">
        <f t="shared" si="6"/>
        <v>0.09866115702</v>
      </c>
      <c r="Q305" s="51">
        <f t="shared" si="7"/>
        <v>10.13570112</v>
      </c>
      <c r="R305" s="50">
        <f t="shared" si="8"/>
        <v>0.5020746888</v>
      </c>
      <c r="S305" s="16"/>
      <c r="T305" s="25"/>
      <c r="U305" s="6"/>
      <c r="V305" s="6"/>
      <c r="W305" s="6"/>
      <c r="X305" s="6"/>
      <c r="Y305" s="6"/>
      <c r="Z305" s="6"/>
    </row>
    <row r="306" hidden="1" outlineLevel="1">
      <c r="A306" s="44" t="str">
        <f t="shared" si="222"/>
        <v>9-2025</v>
      </c>
      <c r="B306" s="34">
        <v>45906.0</v>
      </c>
      <c r="C306" s="45"/>
      <c r="D306" s="46">
        <v>1361.0</v>
      </c>
      <c r="E306" s="47">
        <v>29.0</v>
      </c>
      <c r="F306" s="47">
        <v>29.0</v>
      </c>
      <c r="G306" s="48">
        <f t="shared" si="2"/>
        <v>1</v>
      </c>
      <c r="H306" s="46">
        <f t="shared" si="223"/>
        <v>46.93103448</v>
      </c>
      <c r="I306" s="46">
        <f t="shared" si="224"/>
        <v>46.93103448</v>
      </c>
      <c r="J306" s="49">
        <v>1708.0</v>
      </c>
      <c r="K306" s="50">
        <f t="shared" si="5"/>
        <v>0.01697892272</v>
      </c>
      <c r="L306" s="46">
        <v>82.5</v>
      </c>
      <c r="M306" s="46">
        <v>939.0</v>
      </c>
      <c r="N306" s="47">
        <v>20.0</v>
      </c>
      <c r="O306" s="49">
        <v>104933.0</v>
      </c>
      <c r="P306" s="50">
        <f t="shared" si="6"/>
        <v>0.08785942492</v>
      </c>
      <c r="Q306" s="51">
        <f t="shared" si="7"/>
        <v>11.38181818</v>
      </c>
      <c r="R306" s="50">
        <f t="shared" si="8"/>
        <v>0.6899338722</v>
      </c>
      <c r="S306" s="16"/>
      <c r="T306" s="25"/>
      <c r="U306" s="6"/>
      <c r="V306" s="6"/>
      <c r="W306" s="6"/>
      <c r="X306" s="6"/>
      <c r="Y306" s="6"/>
      <c r="Z306" s="6"/>
    </row>
    <row r="307" collapsed="1">
      <c r="A307" s="52" t="s">
        <v>82</v>
      </c>
      <c r="B307" s="53"/>
      <c r="C307" s="54"/>
      <c r="D307" s="55">
        <f t="shared" ref="D307:F307" si="225">SUM(D300:D306)</f>
        <v>8888</v>
      </c>
      <c r="E307" s="56">
        <f t="shared" si="225"/>
        <v>228</v>
      </c>
      <c r="F307" s="56">
        <f t="shared" si="225"/>
        <v>228</v>
      </c>
      <c r="G307" s="57">
        <f t="shared" si="2"/>
        <v>1</v>
      </c>
      <c r="H307" s="55">
        <f>AVERAGE(H300:H306)</f>
        <v>39.57649787</v>
      </c>
      <c r="I307" s="58">
        <f>H307/G307</f>
        <v>39.57649787</v>
      </c>
      <c r="J307" s="59">
        <f>SUM(J300:J306)</f>
        <v>12925</v>
      </c>
      <c r="K307" s="60">
        <f t="shared" si="5"/>
        <v>0.01764023211</v>
      </c>
      <c r="L307" s="55">
        <f t="shared" ref="L307:N307" si="226">SUM(L300:L306)</f>
        <v>581.07</v>
      </c>
      <c r="M307" s="55">
        <f t="shared" si="226"/>
        <v>4904</v>
      </c>
      <c r="N307" s="56">
        <f t="shared" si="226"/>
        <v>118</v>
      </c>
      <c r="O307" s="59">
        <f>sum(O300:O306)</f>
        <v>717049</v>
      </c>
      <c r="P307" s="60">
        <f t="shared" si="6"/>
        <v>0.1184889886</v>
      </c>
      <c r="Q307" s="61">
        <f t="shared" si="7"/>
        <v>8.439602802</v>
      </c>
      <c r="R307" s="62">
        <f t="shared" si="8"/>
        <v>0.5517551755</v>
      </c>
      <c r="S307" s="54" t="str">
        <f>iferror((D307-#REF!)/D307,)</f>
        <v/>
      </c>
      <c r="T307" s="63" t="str">
        <f>iferror((F307-#REF!)/F307,)</f>
        <v/>
      </c>
      <c r="U307" s="64">
        <f t="shared" ref="U307:V307" si="227">L307</f>
        <v>581.07</v>
      </c>
      <c r="V307" s="64">
        <f t="shared" si="227"/>
        <v>4904</v>
      </c>
      <c r="W307" s="6"/>
      <c r="X307" s="6"/>
      <c r="Y307" s="6"/>
      <c r="Z307" s="6"/>
    </row>
    <row r="308" hidden="1" outlineLevel="1">
      <c r="A308" s="33" t="str">
        <f t="shared" ref="A308:A314" si="228">iferror(if(B308&gt;0,month(B308)&amp;"-"&amp;year(B308),B308),)</f>
        <v>9-2025</v>
      </c>
      <c r="B308" s="34">
        <v>45907.0</v>
      </c>
      <c r="C308" s="35"/>
      <c r="D308" s="36">
        <v>2055.0</v>
      </c>
      <c r="E308" s="37">
        <v>48.0</v>
      </c>
      <c r="F308" s="37">
        <v>48.0</v>
      </c>
      <c r="G308" s="38">
        <f t="shared" si="2"/>
        <v>1</v>
      </c>
      <c r="H308" s="36">
        <f t="shared" ref="H308:H314" si="229">D308/F308</f>
        <v>42.8125</v>
      </c>
      <c r="I308" s="36">
        <f t="shared" ref="I308:I314" si="230">D308/E308</f>
        <v>42.8125</v>
      </c>
      <c r="J308" s="39">
        <v>2449.0</v>
      </c>
      <c r="K308" s="40">
        <f t="shared" si="5"/>
        <v>0.01959983667</v>
      </c>
      <c r="L308" s="36">
        <v>106.84</v>
      </c>
      <c r="M308" s="36">
        <v>1117.0</v>
      </c>
      <c r="N308" s="37">
        <v>28.0</v>
      </c>
      <c r="O308" s="39">
        <v>143535.0</v>
      </c>
      <c r="P308" s="40">
        <f t="shared" si="6"/>
        <v>0.09564905998</v>
      </c>
      <c r="Q308" s="41">
        <f t="shared" si="7"/>
        <v>10.45488581</v>
      </c>
      <c r="R308" s="40">
        <f t="shared" si="8"/>
        <v>0.5435523114</v>
      </c>
      <c r="S308" s="42"/>
      <c r="T308" s="43"/>
      <c r="U308" s="6"/>
      <c r="V308" s="6"/>
      <c r="W308" s="6"/>
      <c r="X308" s="6"/>
      <c r="Y308" s="6"/>
      <c r="Z308" s="6"/>
    </row>
    <row r="309" hidden="1" outlineLevel="1">
      <c r="A309" s="44" t="str">
        <f t="shared" si="228"/>
        <v>9-2025</v>
      </c>
      <c r="B309" s="34">
        <v>45908.0</v>
      </c>
      <c r="C309" s="45"/>
      <c r="D309" s="46">
        <v>1305.0</v>
      </c>
      <c r="E309" s="47">
        <v>29.0</v>
      </c>
      <c r="F309" s="47">
        <v>29.0</v>
      </c>
      <c r="G309" s="48">
        <f t="shared" si="2"/>
        <v>1</v>
      </c>
      <c r="H309" s="46">
        <f t="shared" si="229"/>
        <v>45</v>
      </c>
      <c r="I309" s="46">
        <f t="shared" si="230"/>
        <v>45</v>
      </c>
      <c r="J309" s="49">
        <v>2041.0</v>
      </c>
      <c r="K309" s="50">
        <f t="shared" si="5"/>
        <v>0.01420872122</v>
      </c>
      <c r="L309" s="46">
        <v>100.99</v>
      </c>
      <c r="M309" s="46">
        <v>790.0</v>
      </c>
      <c r="N309" s="47">
        <v>19.0</v>
      </c>
      <c r="O309" s="49">
        <v>118206.0</v>
      </c>
      <c r="P309" s="50">
        <f t="shared" si="6"/>
        <v>0.127835443</v>
      </c>
      <c r="Q309" s="51">
        <f t="shared" si="7"/>
        <v>7.822556689</v>
      </c>
      <c r="R309" s="50">
        <f t="shared" si="8"/>
        <v>0.6053639847</v>
      </c>
      <c r="S309" s="16"/>
      <c r="T309" s="25"/>
      <c r="U309" s="6"/>
      <c r="V309" s="6"/>
      <c r="W309" s="6"/>
      <c r="X309" s="6"/>
      <c r="Y309" s="6"/>
      <c r="Z309" s="6"/>
    </row>
    <row r="310" hidden="1" outlineLevel="1">
      <c r="A310" s="44" t="str">
        <f t="shared" si="228"/>
        <v>9-2025</v>
      </c>
      <c r="B310" s="34">
        <v>45909.0</v>
      </c>
      <c r="C310" s="45"/>
      <c r="D310" s="46">
        <v>1218.0</v>
      </c>
      <c r="E310" s="47">
        <v>34.0</v>
      </c>
      <c r="F310" s="47">
        <v>34.0</v>
      </c>
      <c r="G310" s="48">
        <f t="shared" si="2"/>
        <v>1</v>
      </c>
      <c r="H310" s="46">
        <f t="shared" si="229"/>
        <v>35.82352941</v>
      </c>
      <c r="I310" s="46">
        <f t="shared" si="230"/>
        <v>35.82352941</v>
      </c>
      <c r="J310" s="49">
        <v>2058.0</v>
      </c>
      <c r="K310" s="50">
        <f t="shared" si="5"/>
        <v>0.01652089407</v>
      </c>
      <c r="L310" s="46">
        <v>77.12</v>
      </c>
      <c r="M310" s="46">
        <v>1034.0</v>
      </c>
      <c r="N310" s="47">
        <v>27.0</v>
      </c>
      <c r="O310" s="49">
        <v>114502.0</v>
      </c>
      <c r="P310" s="50">
        <f t="shared" si="6"/>
        <v>0.07458413926</v>
      </c>
      <c r="Q310" s="51">
        <f t="shared" si="7"/>
        <v>13.40767635</v>
      </c>
      <c r="R310" s="50">
        <f t="shared" si="8"/>
        <v>0.8489326765</v>
      </c>
      <c r="S310" s="16"/>
      <c r="T310" s="25"/>
      <c r="U310" s="6"/>
      <c r="V310" s="6"/>
      <c r="W310" s="6"/>
      <c r="X310" s="6"/>
      <c r="Y310" s="6"/>
      <c r="Z310" s="6"/>
    </row>
    <row r="311" hidden="1" outlineLevel="1">
      <c r="A311" s="44" t="str">
        <f t="shared" si="228"/>
        <v>9-2025</v>
      </c>
      <c r="B311" s="34">
        <v>45910.0</v>
      </c>
      <c r="C311" s="45"/>
      <c r="D311" s="46">
        <v>1284.0</v>
      </c>
      <c r="E311" s="47">
        <v>37.0</v>
      </c>
      <c r="F311" s="47">
        <v>37.0</v>
      </c>
      <c r="G311" s="48">
        <f t="shared" si="2"/>
        <v>1</v>
      </c>
      <c r="H311" s="46">
        <f t="shared" si="229"/>
        <v>34.7027027</v>
      </c>
      <c r="I311" s="46">
        <f t="shared" si="230"/>
        <v>34.7027027</v>
      </c>
      <c r="J311" s="49">
        <v>1480.0</v>
      </c>
      <c r="K311" s="50">
        <f t="shared" si="5"/>
        <v>0.025</v>
      </c>
      <c r="L311" s="46">
        <v>75.56</v>
      </c>
      <c r="M311" s="46">
        <v>709.0</v>
      </c>
      <c r="N311" s="47">
        <v>21.0</v>
      </c>
      <c r="O311" s="49">
        <v>97080.0</v>
      </c>
      <c r="P311" s="50">
        <f t="shared" si="6"/>
        <v>0.1065726375</v>
      </c>
      <c r="Q311" s="51">
        <f t="shared" si="7"/>
        <v>9.383271572</v>
      </c>
      <c r="R311" s="50">
        <f t="shared" si="8"/>
        <v>0.5521806854</v>
      </c>
      <c r="S311" s="16"/>
      <c r="T311" s="25"/>
      <c r="U311" s="6"/>
      <c r="V311" s="6"/>
      <c r="W311" s="6"/>
      <c r="X311" s="6"/>
      <c r="Y311" s="6"/>
      <c r="Z311" s="6"/>
    </row>
    <row r="312" hidden="1" outlineLevel="1">
      <c r="A312" s="44" t="str">
        <f t="shared" si="228"/>
        <v>9-2025</v>
      </c>
      <c r="B312" s="34">
        <v>45911.0</v>
      </c>
      <c r="C312" s="45"/>
      <c r="D312" s="46">
        <v>614.0</v>
      </c>
      <c r="E312" s="47">
        <v>17.0</v>
      </c>
      <c r="F312" s="47">
        <v>17.0</v>
      </c>
      <c r="G312" s="48">
        <f t="shared" si="2"/>
        <v>1</v>
      </c>
      <c r="H312" s="46">
        <f t="shared" si="229"/>
        <v>36.11764706</v>
      </c>
      <c r="I312" s="46">
        <f t="shared" si="230"/>
        <v>36.11764706</v>
      </c>
      <c r="J312" s="49">
        <v>1139.0</v>
      </c>
      <c r="K312" s="50">
        <f t="shared" si="5"/>
        <v>0.01492537313</v>
      </c>
      <c r="L312" s="46">
        <v>55.74</v>
      </c>
      <c r="M312" s="46">
        <v>120.0</v>
      </c>
      <c r="N312" s="47">
        <v>4.0</v>
      </c>
      <c r="O312" s="49">
        <v>87456.0</v>
      </c>
      <c r="P312" s="50">
        <f t="shared" si="6"/>
        <v>0.4645</v>
      </c>
      <c r="Q312" s="51">
        <f t="shared" si="7"/>
        <v>2.15285253</v>
      </c>
      <c r="R312" s="50">
        <f t="shared" si="8"/>
        <v>0.1954397394</v>
      </c>
      <c r="S312" s="16"/>
      <c r="T312" s="25"/>
      <c r="U312" s="6"/>
      <c r="V312" s="6"/>
      <c r="W312" s="6"/>
      <c r="X312" s="6"/>
      <c r="Y312" s="6"/>
      <c r="Z312" s="6"/>
    </row>
    <row r="313" hidden="1" outlineLevel="1">
      <c r="A313" s="44" t="str">
        <f t="shared" si="228"/>
        <v>9-2025</v>
      </c>
      <c r="B313" s="34">
        <v>45912.0</v>
      </c>
      <c r="C313" s="45"/>
      <c r="D313" s="46">
        <v>1030.0</v>
      </c>
      <c r="E313" s="47">
        <v>31.0</v>
      </c>
      <c r="F313" s="47">
        <v>31.0</v>
      </c>
      <c r="G313" s="48">
        <f t="shared" si="2"/>
        <v>1</v>
      </c>
      <c r="H313" s="46">
        <f t="shared" si="229"/>
        <v>33.22580645</v>
      </c>
      <c r="I313" s="46">
        <f t="shared" si="230"/>
        <v>33.22580645</v>
      </c>
      <c r="J313" s="49">
        <v>1207.0</v>
      </c>
      <c r="K313" s="50">
        <f t="shared" si="5"/>
        <v>0.02568351284</v>
      </c>
      <c r="L313" s="46">
        <v>62.45</v>
      </c>
      <c r="M313" s="46">
        <v>525.0</v>
      </c>
      <c r="N313" s="47">
        <v>15.0</v>
      </c>
      <c r="O313" s="49">
        <v>84149.0</v>
      </c>
      <c r="P313" s="50">
        <f t="shared" si="6"/>
        <v>0.118952381</v>
      </c>
      <c r="Q313" s="51">
        <f t="shared" si="7"/>
        <v>8.40672538</v>
      </c>
      <c r="R313" s="50">
        <f t="shared" si="8"/>
        <v>0.5097087379</v>
      </c>
      <c r="S313" s="16"/>
      <c r="T313" s="25"/>
      <c r="U313" s="6"/>
      <c r="V313" s="6"/>
      <c r="W313" s="6"/>
      <c r="X313" s="6"/>
      <c r="Y313" s="6"/>
      <c r="Z313" s="6"/>
    </row>
    <row r="314" hidden="1" outlineLevel="1">
      <c r="A314" s="44" t="str">
        <f t="shared" si="228"/>
        <v>9-2025</v>
      </c>
      <c r="B314" s="34">
        <v>45913.0</v>
      </c>
      <c r="C314" s="45"/>
      <c r="D314" s="46">
        <v>1061.0</v>
      </c>
      <c r="E314" s="47">
        <v>30.0</v>
      </c>
      <c r="F314" s="47">
        <v>29.0</v>
      </c>
      <c r="G314" s="48">
        <f t="shared" si="2"/>
        <v>1.034482759</v>
      </c>
      <c r="H314" s="46">
        <f t="shared" si="229"/>
        <v>36.5862069</v>
      </c>
      <c r="I314" s="46">
        <f t="shared" si="230"/>
        <v>35.36666667</v>
      </c>
      <c r="J314" s="49">
        <v>1468.0</v>
      </c>
      <c r="K314" s="50">
        <f t="shared" si="5"/>
        <v>0.0204359673</v>
      </c>
      <c r="L314" s="46">
        <v>72.91</v>
      </c>
      <c r="M314" s="46">
        <v>790.0</v>
      </c>
      <c r="N314" s="47">
        <v>24.0</v>
      </c>
      <c r="O314" s="49">
        <v>106711.0</v>
      </c>
      <c r="P314" s="50">
        <f t="shared" si="6"/>
        <v>0.09229113924</v>
      </c>
      <c r="Q314" s="51">
        <f t="shared" si="7"/>
        <v>10.83527637</v>
      </c>
      <c r="R314" s="50">
        <f t="shared" si="8"/>
        <v>0.7445805844</v>
      </c>
      <c r="S314" s="16"/>
      <c r="T314" s="25"/>
      <c r="U314" s="6"/>
      <c r="V314" s="6"/>
      <c r="W314" s="6"/>
      <c r="X314" s="6"/>
      <c r="Y314" s="6"/>
      <c r="Z314" s="6"/>
    </row>
    <row r="315" collapsed="1">
      <c r="A315" s="52" t="s">
        <v>83</v>
      </c>
      <c r="B315" s="53"/>
      <c r="C315" s="54"/>
      <c r="D315" s="55">
        <f t="shared" ref="D315:F315" si="231">SUM(D308:D314)</f>
        <v>8567</v>
      </c>
      <c r="E315" s="56">
        <f t="shared" si="231"/>
        <v>226</v>
      </c>
      <c r="F315" s="56">
        <f t="shared" si="231"/>
        <v>225</v>
      </c>
      <c r="G315" s="57">
        <f t="shared" si="2"/>
        <v>1.004444444</v>
      </c>
      <c r="H315" s="55">
        <f>AVERAGE(H308:H314)</f>
        <v>37.7526275</v>
      </c>
      <c r="I315" s="58">
        <f>H315/G315</f>
        <v>37.58558048</v>
      </c>
      <c r="J315" s="59">
        <f>SUM(J308:J314)</f>
        <v>11842</v>
      </c>
      <c r="K315" s="60">
        <f t="shared" si="5"/>
        <v>0.01908461409</v>
      </c>
      <c r="L315" s="55">
        <f t="shared" ref="L315:N315" si="232">SUM(L308:L314)</f>
        <v>551.61</v>
      </c>
      <c r="M315" s="55">
        <f t="shared" si="232"/>
        <v>5085</v>
      </c>
      <c r="N315" s="56">
        <f t="shared" si="232"/>
        <v>138</v>
      </c>
      <c r="O315" s="59">
        <f>sum(O308:O314)</f>
        <v>751639</v>
      </c>
      <c r="P315" s="60">
        <f t="shared" si="6"/>
        <v>0.1084778761</v>
      </c>
      <c r="Q315" s="61">
        <f t="shared" si="7"/>
        <v>9.218469571</v>
      </c>
      <c r="R315" s="62">
        <f t="shared" si="8"/>
        <v>0.5935566709</v>
      </c>
      <c r="S315" s="54" t="str">
        <f>iferror((D315-#REF!)/D315,)</f>
        <v/>
      </c>
      <c r="T315" s="63" t="str">
        <f>iferror((F315-#REF!)/F315,)</f>
        <v/>
      </c>
      <c r="U315" s="64">
        <f t="shared" ref="U315:V315" si="233">L315</f>
        <v>551.61</v>
      </c>
      <c r="V315" s="64">
        <f t="shared" si="233"/>
        <v>5085</v>
      </c>
      <c r="W315" s="6"/>
      <c r="X315" s="6"/>
      <c r="Y315" s="6"/>
      <c r="Z315" s="6"/>
    </row>
    <row r="316" hidden="1" outlineLevel="1">
      <c r="A316" s="33" t="str">
        <f t="shared" ref="A316:A322" si="234">iferror(if(B316&gt;0,month(B316)&amp;"-"&amp;year(B316),B316),)</f>
        <v>9-2025</v>
      </c>
      <c r="B316" s="34">
        <v>45914.0</v>
      </c>
      <c r="C316" s="35"/>
      <c r="D316" s="36">
        <v>1355.0</v>
      </c>
      <c r="E316" s="37">
        <v>37.0</v>
      </c>
      <c r="F316" s="37">
        <v>37.0</v>
      </c>
      <c r="G316" s="38">
        <f t="shared" si="2"/>
        <v>1</v>
      </c>
      <c r="H316" s="36">
        <f t="shared" ref="H316:H322" si="235">D316/F316</f>
        <v>36.62162162</v>
      </c>
      <c r="I316" s="36">
        <f t="shared" ref="I316:I322" si="236">D316/E316</f>
        <v>36.62162162</v>
      </c>
      <c r="J316" s="39">
        <v>1555.0</v>
      </c>
      <c r="K316" s="40">
        <f t="shared" si="5"/>
        <v>0.02379421222</v>
      </c>
      <c r="L316" s="36">
        <v>84.79</v>
      </c>
      <c r="M316" s="36">
        <v>697.3</v>
      </c>
      <c r="N316" s="37">
        <v>21.0</v>
      </c>
      <c r="O316" s="39">
        <v>127358.0</v>
      </c>
      <c r="P316" s="40">
        <f t="shared" si="6"/>
        <v>0.1215975907</v>
      </c>
      <c r="Q316" s="41">
        <f t="shared" si="7"/>
        <v>8.223847152</v>
      </c>
      <c r="R316" s="40">
        <f t="shared" si="8"/>
        <v>0.5146125461</v>
      </c>
      <c r="S316" s="42"/>
      <c r="T316" s="43"/>
      <c r="U316" s="6"/>
      <c r="V316" s="6"/>
      <c r="W316" s="6"/>
      <c r="X316" s="6"/>
      <c r="Y316" s="6"/>
      <c r="Z316" s="6"/>
    </row>
    <row r="317" hidden="1" outlineLevel="1">
      <c r="A317" s="44" t="str">
        <f t="shared" si="234"/>
        <v>9-2025</v>
      </c>
      <c r="B317" s="34">
        <v>45915.0</v>
      </c>
      <c r="C317" s="45"/>
      <c r="D317" s="46">
        <v>1116.0</v>
      </c>
      <c r="E317" s="47">
        <v>38.0</v>
      </c>
      <c r="F317" s="47">
        <v>37.0</v>
      </c>
      <c r="G317" s="48">
        <f t="shared" si="2"/>
        <v>1.027027027</v>
      </c>
      <c r="H317" s="46">
        <f t="shared" si="235"/>
        <v>30.16216216</v>
      </c>
      <c r="I317" s="46">
        <f t="shared" si="236"/>
        <v>29.36842105</v>
      </c>
      <c r="J317" s="49">
        <v>1562.0</v>
      </c>
      <c r="K317" s="50">
        <f t="shared" si="5"/>
        <v>0.02432778489</v>
      </c>
      <c r="L317" s="46">
        <v>86.22</v>
      </c>
      <c r="M317" s="46">
        <v>878.0</v>
      </c>
      <c r="N317" s="47">
        <v>27.0</v>
      </c>
      <c r="O317" s="49">
        <v>114268.0</v>
      </c>
      <c r="P317" s="50">
        <f t="shared" si="6"/>
        <v>0.09820045558</v>
      </c>
      <c r="Q317" s="51">
        <f t="shared" si="7"/>
        <v>10.18325215</v>
      </c>
      <c r="R317" s="50">
        <f t="shared" si="8"/>
        <v>0.7867383513</v>
      </c>
      <c r="S317" s="16"/>
      <c r="T317" s="25"/>
      <c r="U317" s="6"/>
      <c r="V317" s="6"/>
      <c r="W317" s="6"/>
      <c r="X317" s="6"/>
      <c r="Y317" s="6"/>
      <c r="Z317" s="6"/>
    </row>
    <row r="318" hidden="1" outlineLevel="1">
      <c r="A318" s="44" t="str">
        <f t="shared" si="234"/>
        <v>9-2025</v>
      </c>
      <c r="B318" s="34">
        <v>45916.0</v>
      </c>
      <c r="C318" s="45"/>
      <c r="D318" s="46">
        <v>1440.0</v>
      </c>
      <c r="E318" s="47">
        <v>44.0</v>
      </c>
      <c r="F318" s="47">
        <v>44.0</v>
      </c>
      <c r="G318" s="48">
        <f t="shared" si="2"/>
        <v>1</v>
      </c>
      <c r="H318" s="46">
        <f t="shared" si="235"/>
        <v>32.72727273</v>
      </c>
      <c r="I318" s="46">
        <f t="shared" si="236"/>
        <v>32.72727273</v>
      </c>
      <c r="J318" s="49">
        <v>1557.0</v>
      </c>
      <c r="K318" s="50">
        <f t="shared" si="5"/>
        <v>0.02825947335</v>
      </c>
      <c r="L318" s="46">
        <v>80.22</v>
      </c>
      <c r="M318" s="46">
        <v>710.0</v>
      </c>
      <c r="N318" s="47">
        <v>22.0</v>
      </c>
      <c r="O318" s="49">
        <v>103477.0</v>
      </c>
      <c r="P318" s="50">
        <f t="shared" si="6"/>
        <v>0.1129859155</v>
      </c>
      <c r="Q318" s="51">
        <f t="shared" si="7"/>
        <v>8.850660683</v>
      </c>
      <c r="R318" s="50">
        <f t="shared" si="8"/>
        <v>0.4930555556</v>
      </c>
      <c r="S318" s="16"/>
      <c r="T318" s="25"/>
      <c r="U318" s="6"/>
      <c r="V318" s="6"/>
      <c r="W318" s="6"/>
      <c r="X318" s="6"/>
      <c r="Y318" s="6"/>
      <c r="Z318" s="6"/>
    </row>
    <row r="319" hidden="1" outlineLevel="1">
      <c r="A319" s="44" t="str">
        <f t="shared" si="234"/>
        <v>9-2025</v>
      </c>
      <c r="B319" s="34">
        <v>45917.0</v>
      </c>
      <c r="C319" s="45"/>
      <c r="D319" s="46">
        <v>1285.0</v>
      </c>
      <c r="E319" s="47">
        <v>38.0</v>
      </c>
      <c r="F319" s="47">
        <v>38.0</v>
      </c>
      <c r="G319" s="48">
        <f t="shared" si="2"/>
        <v>1</v>
      </c>
      <c r="H319" s="46">
        <f t="shared" si="235"/>
        <v>33.81578947</v>
      </c>
      <c r="I319" s="46">
        <f t="shared" si="236"/>
        <v>33.81578947</v>
      </c>
      <c r="J319" s="49">
        <v>1628.0</v>
      </c>
      <c r="K319" s="50">
        <f t="shared" si="5"/>
        <v>0.02334152334</v>
      </c>
      <c r="L319" s="46">
        <v>78.21</v>
      </c>
      <c r="M319" s="46">
        <v>860.0</v>
      </c>
      <c r="N319" s="47">
        <v>26.0</v>
      </c>
      <c r="O319" s="49">
        <v>106775.0</v>
      </c>
      <c r="P319" s="50">
        <f t="shared" si="6"/>
        <v>0.09094186047</v>
      </c>
      <c r="Q319" s="51">
        <f t="shared" si="7"/>
        <v>10.99603631</v>
      </c>
      <c r="R319" s="50">
        <f t="shared" si="8"/>
        <v>0.6692607004</v>
      </c>
      <c r="S319" s="16"/>
      <c r="T319" s="25"/>
      <c r="U319" s="6"/>
      <c r="V319" s="6"/>
      <c r="W319" s="6"/>
      <c r="X319" s="6"/>
      <c r="Y319" s="6"/>
      <c r="Z319" s="6"/>
    </row>
    <row r="320" hidden="1" outlineLevel="1">
      <c r="A320" s="44" t="str">
        <f t="shared" si="234"/>
        <v>9-2025</v>
      </c>
      <c r="B320" s="34">
        <v>45918.0</v>
      </c>
      <c r="C320" s="45"/>
      <c r="D320" s="46">
        <v>1122.3</v>
      </c>
      <c r="E320" s="47">
        <v>36.0</v>
      </c>
      <c r="F320" s="47">
        <v>36.0</v>
      </c>
      <c r="G320" s="48">
        <f t="shared" si="2"/>
        <v>1</v>
      </c>
      <c r="H320" s="46">
        <f t="shared" si="235"/>
        <v>31.175</v>
      </c>
      <c r="I320" s="46">
        <f t="shared" si="236"/>
        <v>31.175</v>
      </c>
      <c r="J320" s="49">
        <v>1547.0</v>
      </c>
      <c r="K320" s="50">
        <f t="shared" si="5"/>
        <v>0.0232708468</v>
      </c>
      <c r="L320" s="46">
        <v>82.72</v>
      </c>
      <c r="M320" s="46">
        <v>630.0</v>
      </c>
      <c r="N320" s="47">
        <v>20.0</v>
      </c>
      <c r="O320" s="49">
        <v>97181.0</v>
      </c>
      <c r="P320" s="50">
        <f t="shared" si="6"/>
        <v>0.1313015873</v>
      </c>
      <c r="Q320" s="51">
        <f t="shared" si="7"/>
        <v>7.616054159</v>
      </c>
      <c r="R320" s="50">
        <f t="shared" si="8"/>
        <v>0.5613472334</v>
      </c>
      <c r="S320" s="16"/>
      <c r="T320" s="25"/>
      <c r="U320" s="6"/>
      <c r="V320" s="6"/>
      <c r="W320" s="6"/>
      <c r="X320" s="6"/>
      <c r="Y320" s="6"/>
      <c r="Z320" s="6"/>
    </row>
    <row r="321" hidden="1" outlineLevel="1">
      <c r="A321" s="44" t="str">
        <f t="shared" si="234"/>
        <v>9-2025</v>
      </c>
      <c r="B321" s="34">
        <v>45919.0</v>
      </c>
      <c r="C321" s="45"/>
      <c r="D321" s="46">
        <v>1059.3</v>
      </c>
      <c r="E321" s="47">
        <v>33.0</v>
      </c>
      <c r="F321" s="47">
        <v>33.0</v>
      </c>
      <c r="G321" s="48">
        <f t="shared" si="2"/>
        <v>1</v>
      </c>
      <c r="H321" s="46">
        <f t="shared" si="235"/>
        <v>32.1</v>
      </c>
      <c r="I321" s="46">
        <f t="shared" si="236"/>
        <v>32.1</v>
      </c>
      <c r="J321" s="49">
        <v>1484.0</v>
      </c>
      <c r="K321" s="50">
        <f t="shared" si="5"/>
        <v>0.02223719677</v>
      </c>
      <c r="L321" s="46">
        <v>74.36</v>
      </c>
      <c r="M321" s="46">
        <v>454.0</v>
      </c>
      <c r="N321" s="47">
        <v>16.0</v>
      </c>
      <c r="O321" s="49">
        <v>95445.0</v>
      </c>
      <c r="P321" s="50">
        <f t="shared" si="6"/>
        <v>0.1637885463</v>
      </c>
      <c r="Q321" s="51">
        <f t="shared" si="7"/>
        <v>6.105433029</v>
      </c>
      <c r="R321" s="50">
        <f t="shared" si="8"/>
        <v>0.4285849146</v>
      </c>
      <c r="S321" s="16"/>
      <c r="T321" s="25"/>
      <c r="U321" s="6"/>
      <c r="V321" s="6"/>
      <c r="W321" s="6"/>
      <c r="X321" s="6"/>
      <c r="Y321" s="6"/>
      <c r="Z321" s="6"/>
    </row>
    <row r="322" hidden="1" outlineLevel="1">
      <c r="A322" s="44" t="str">
        <f t="shared" si="234"/>
        <v>9-2025</v>
      </c>
      <c r="B322" s="34">
        <v>45920.0</v>
      </c>
      <c r="C322" s="45"/>
      <c r="D322" s="46">
        <v>1149.1</v>
      </c>
      <c r="E322" s="47">
        <v>37.0</v>
      </c>
      <c r="F322" s="47">
        <v>37.0</v>
      </c>
      <c r="G322" s="48">
        <f t="shared" si="2"/>
        <v>1</v>
      </c>
      <c r="H322" s="46">
        <f t="shared" si="235"/>
        <v>31.05675676</v>
      </c>
      <c r="I322" s="46">
        <f t="shared" si="236"/>
        <v>31.05675676</v>
      </c>
      <c r="J322" s="49">
        <v>1688.0</v>
      </c>
      <c r="K322" s="50">
        <f t="shared" si="5"/>
        <v>0.02191943128</v>
      </c>
      <c r="L322" s="46">
        <v>83.6</v>
      </c>
      <c r="M322" s="46">
        <v>736.0</v>
      </c>
      <c r="N322" s="47">
        <v>24.0</v>
      </c>
      <c r="O322" s="49">
        <v>112488.0</v>
      </c>
      <c r="P322" s="50">
        <f t="shared" si="6"/>
        <v>0.1135869565</v>
      </c>
      <c r="Q322" s="51">
        <f t="shared" si="7"/>
        <v>8.803827751</v>
      </c>
      <c r="R322" s="50">
        <f t="shared" si="8"/>
        <v>0.6405012619</v>
      </c>
      <c r="S322" s="16"/>
      <c r="T322" s="25"/>
      <c r="U322" s="6"/>
      <c r="V322" s="6"/>
      <c r="W322" s="6"/>
      <c r="X322" s="6"/>
      <c r="Y322" s="6"/>
      <c r="Z322" s="6"/>
    </row>
    <row r="323" collapsed="1">
      <c r="A323" s="52" t="s">
        <v>84</v>
      </c>
      <c r="B323" s="53"/>
      <c r="C323" s="54"/>
      <c r="D323" s="55">
        <f t="shared" ref="D323:F323" si="237">SUM(D316:D322)</f>
        <v>8526.7</v>
      </c>
      <c r="E323" s="56">
        <f t="shared" si="237"/>
        <v>263</v>
      </c>
      <c r="F323" s="56">
        <f t="shared" si="237"/>
        <v>262</v>
      </c>
      <c r="G323" s="57">
        <f t="shared" si="2"/>
        <v>1.003816794</v>
      </c>
      <c r="H323" s="55">
        <f>AVERAGE(H316:H322)</f>
        <v>32.52265753</v>
      </c>
      <c r="I323" s="58">
        <f>H323/G323</f>
        <v>32.39899724</v>
      </c>
      <c r="J323" s="59">
        <f>SUM(J316:J322)</f>
        <v>11021</v>
      </c>
      <c r="K323" s="60">
        <f t="shared" si="5"/>
        <v>0.02386353325</v>
      </c>
      <c r="L323" s="55">
        <f t="shared" ref="L323:N323" si="238">SUM(L316:L322)</f>
        <v>570.12</v>
      </c>
      <c r="M323" s="55">
        <f t="shared" si="238"/>
        <v>4965.3</v>
      </c>
      <c r="N323" s="56">
        <f t="shared" si="238"/>
        <v>156</v>
      </c>
      <c r="O323" s="59">
        <f>sum(O316:O322)</f>
        <v>756992</v>
      </c>
      <c r="P323" s="60">
        <f t="shared" si="6"/>
        <v>0.1148208567</v>
      </c>
      <c r="Q323" s="61">
        <f t="shared" si="7"/>
        <v>8.709219112</v>
      </c>
      <c r="R323" s="62">
        <f t="shared" si="8"/>
        <v>0.5823237595</v>
      </c>
      <c r="S323" s="54" t="str">
        <f>iferror((D323-#REF!)/D323,)</f>
        <v/>
      </c>
      <c r="T323" s="63" t="str">
        <f>iferror((F323-#REF!)/F323,)</f>
        <v/>
      </c>
      <c r="U323" s="64">
        <f t="shared" ref="U323:V323" si="239">L323</f>
        <v>570.12</v>
      </c>
      <c r="V323" s="64">
        <f t="shared" si="239"/>
        <v>4965.3</v>
      </c>
      <c r="W323" s="6"/>
      <c r="X323" s="6"/>
      <c r="Y323" s="6"/>
      <c r="Z323" s="6"/>
    </row>
    <row r="324" hidden="1" outlineLevel="1">
      <c r="A324" s="33" t="str">
        <f t="shared" ref="A324:A330" si="240">iferror(if(B324&gt;0,month(B324)&amp;"-"&amp;year(B324),B324),)</f>
        <v>9-2025</v>
      </c>
      <c r="B324" s="34">
        <v>45921.0</v>
      </c>
      <c r="C324" s="35"/>
      <c r="D324" s="36">
        <v>1272.4</v>
      </c>
      <c r="E324" s="37">
        <v>37.0</v>
      </c>
      <c r="F324" s="37">
        <v>36.0</v>
      </c>
      <c r="G324" s="38">
        <f t="shared" si="2"/>
        <v>1.027777778</v>
      </c>
      <c r="H324" s="36">
        <f t="shared" ref="H324:H330" si="241">D324/F324</f>
        <v>35.34444444</v>
      </c>
      <c r="I324" s="36">
        <f t="shared" ref="I324:I330" si="242">D324/E324</f>
        <v>34.38918919</v>
      </c>
      <c r="J324" s="39">
        <v>2626.0</v>
      </c>
      <c r="K324" s="40">
        <f t="shared" si="5"/>
        <v>0.01408987053</v>
      </c>
      <c r="L324" s="36">
        <v>118.35</v>
      </c>
      <c r="M324" s="36">
        <v>932.7</v>
      </c>
      <c r="N324" s="37">
        <v>27.0</v>
      </c>
      <c r="O324" s="39">
        <v>145512.0</v>
      </c>
      <c r="P324" s="40">
        <f t="shared" si="6"/>
        <v>0.1268896751</v>
      </c>
      <c r="Q324" s="41">
        <f t="shared" si="7"/>
        <v>7.88086185</v>
      </c>
      <c r="R324" s="40">
        <f t="shared" si="8"/>
        <v>0.7330242062</v>
      </c>
      <c r="S324" s="42"/>
      <c r="T324" s="43"/>
      <c r="U324" s="6"/>
      <c r="V324" s="6"/>
      <c r="W324" s="6"/>
      <c r="X324" s="6"/>
      <c r="Y324" s="6"/>
      <c r="Z324" s="6"/>
    </row>
    <row r="325" hidden="1" outlineLevel="1">
      <c r="A325" s="44" t="str">
        <f t="shared" si="240"/>
        <v>9-2025</v>
      </c>
      <c r="B325" s="34">
        <v>45922.0</v>
      </c>
      <c r="C325" s="45"/>
      <c r="D325" s="46">
        <v>1506.7</v>
      </c>
      <c r="E325" s="47">
        <v>40.0</v>
      </c>
      <c r="F325" s="47">
        <v>38.0</v>
      </c>
      <c r="G325" s="48">
        <f t="shared" si="2"/>
        <v>1.052631579</v>
      </c>
      <c r="H325" s="46">
        <f t="shared" si="241"/>
        <v>39.65</v>
      </c>
      <c r="I325" s="46">
        <f t="shared" si="242"/>
        <v>37.6675</v>
      </c>
      <c r="J325" s="49">
        <v>2259.0</v>
      </c>
      <c r="K325" s="50">
        <f t="shared" si="5"/>
        <v>0.01770694998</v>
      </c>
      <c r="L325" s="46">
        <v>106.43</v>
      </c>
      <c r="M325" s="46">
        <v>825.5</v>
      </c>
      <c r="N325" s="47">
        <v>19.0</v>
      </c>
      <c r="O325" s="49">
        <v>118182.0</v>
      </c>
      <c r="P325" s="50">
        <f t="shared" si="6"/>
        <v>0.1289279225</v>
      </c>
      <c r="Q325" s="51">
        <f t="shared" si="7"/>
        <v>7.756271728</v>
      </c>
      <c r="R325" s="50">
        <f t="shared" si="8"/>
        <v>0.5478861087</v>
      </c>
      <c r="S325" s="16"/>
      <c r="T325" s="25"/>
      <c r="U325" s="6"/>
      <c r="V325" s="6"/>
      <c r="W325" s="6"/>
      <c r="X325" s="6"/>
      <c r="Y325" s="6"/>
      <c r="Z325" s="6"/>
    </row>
    <row r="326" hidden="1" outlineLevel="1">
      <c r="A326" s="44" t="str">
        <f t="shared" si="240"/>
        <v>9-2025</v>
      </c>
      <c r="B326" s="34">
        <v>45923.0</v>
      </c>
      <c r="C326" s="45"/>
      <c r="D326" s="46">
        <v>1667.0</v>
      </c>
      <c r="E326" s="47">
        <v>44.0</v>
      </c>
      <c r="F326" s="47">
        <v>44.0</v>
      </c>
      <c r="G326" s="48">
        <f t="shared" si="2"/>
        <v>1</v>
      </c>
      <c r="H326" s="46">
        <f t="shared" si="241"/>
        <v>37.88636364</v>
      </c>
      <c r="I326" s="46">
        <f t="shared" si="242"/>
        <v>37.88636364</v>
      </c>
      <c r="J326" s="49">
        <v>1890.0</v>
      </c>
      <c r="K326" s="50">
        <f t="shared" si="5"/>
        <v>0.02328042328</v>
      </c>
      <c r="L326" s="46">
        <v>88.06</v>
      </c>
      <c r="M326" s="46">
        <v>677.4</v>
      </c>
      <c r="N326" s="47">
        <v>19.0</v>
      </c>
      <c r="O326" s="49">
        <v>96730.0</v>
      </c>
      <c r="P326" s="50">
        <f t="shared" si="6"/>
        <v>0.1299970475</v>
      </c>
      <c r="Q326" s="51">
        <f t="shared" si="7"/>
        <v>7.692482398</v>
      </c>
      <c r="R326" s="50">
        <f t="shared" si="8"/>
        <v>0.4063587283</v>
      </c>
      <c r="S326" s="16"/>
      <c r="T326" s="25"/>
      <c r="U326" s="6"/>
      <c r="V326" s="6"/>
      <c r="W326" s="6"/>
      <c r="X326" s="6"/>
      <c r="Y326" s="6"/>
      <c r="Z326" s="6"/>
    </row>
    <row r="327" hidden="1" outlineLevel="1">
      <c r="A327" s="44" t="str">
        <f t="shared" si="240"/>
        <v>9-2025</v>
      </c>
      <c r="B327" s="34">
        <v>45924.0</v>
      </c>
      <c r="C327" s="45"/>
      <c r="D327" s="46">
        <v>827.0</v>
      </c>
      <c r="E327" s="47">
        <v>23.0</v>
      </c>
      <c r="F327" s="47">
        <v>23.0</v>
      </c>
      <c r="G327" s="48">
        <f t="shared" si="2"/>
        <v>1</v>
      </c>
      <c r="H327" s="46">
        <f t="shared" si="241"/>
        <v>35.95652174</v>
      </c>
      <c r="I327" s="46">
        <f t="shared" si="242"/>
        <v>35.95652174</v>
      </c>
      <c r="J327" s="49">
        <v>1819.0</v>
      </c>
      <c r="K327" s="50">
        <f t="shared" si="5"/>
        <v>0.01264431006</v>
      </c>
      <c r="L327" s="46">
        <v>99.24</v>
      </c>
      <c r="M327" s="46">
        <v>595.0</v>
      </c>
      <c r="N327" s="47">
        <v>15.0</v>
      </c>
      <c r="O327" s="49">
        <v>111856.0</v>
      </c>
      <c r="P327" s="50">
        <f t="shared" si="6"/>
        <v>0.166789916</v>
      </c>
      <c r="Q327" s="51">
        <f t="shared" si="7"/>
        <v>5.995566304</v>
      </c>
      <c r="R327" s="50">
        <f t="shared" si="8"/>
        <v>0.7194679565</v>
      </c>
      <c r="S327" s="16"/>
      <c r="T327" s="25"/>
      <c r="U327" s="6"/>
      <c r="V327" s="6"/>
      <c r="W327" s="6"/>
      <c r="X327" s="6"/>
      <c r="Y327" s="6"/>
      <c r="Z327" s="6"/>
    </row>
    <row r="328" hidden="1" outlineLevel="1">
      <c r="A328" s="44" t="str">
        <f t="shared" si="240"/>
        <v>9-2025</v>
      </c>
      <c r="B328" s="34">
        <v>45925.0</v>
      </c>
      <c r="C328" s="45"/>
      <c r="D328" s="46">
        <v>907.2</v>
      </c>
      <c r="E328" s="47">
        <v>26.0</v>
      </c>
      <c r="F328" s="47">
        <v>26.0</v>
      </c>
      <c r="G328" s="48">
        <f t="shared" si="2"/>
        <v>1</v>
      </c>
      <c r="H328" s="46">
        <f t="shared" si="241"/>
        <v>34.89230769</v>
      </c>
      <c r="I328" s="46">
        <f t="shared" si="242"/>
        <v>34.89230769</v>
      </c>
      <c r="J328" s="49">
        <v>1461.0</v>
      </c>
      <c r="K328" s="50">
        <f t="shared" si="5"/>
        <v>0.01779603012</v>
      </c>
      <c r="L328" s="46">
        <v>65.26</v>
      </c>
      <c r="M328" s="46">
        <v>630.2</v>
      </c>
      <c r="N328" s="47">
        <v>16.0</v>
      </c>
      <c r="O328" s="49">
        <v>115008.0</v>
      </c>
      <c r="P328" s="50">
        <f t="shared" si="6"/>
        <v>0.1035544272</v>
      </c>
      <c r="Q328" s="51">
        <f t="shared" si="7"/>
        <v>9.656757585</v>
      </c>
      <c r="R328" s="50">
        <f t="shared" si="8"/>
        <v>0.694664903</v>
      </c>
      <c r="S328" s="16"/>
      <c r="T328" s="25"/>
      <c r="U328" s="6"/>
      <c r="V328" s="6"/>
      <c r="W328" s="6"/>
      <c r="X328" s="6"/>
      <c r="Y328" s="6"/>
      <c r="Z328" s="6"/>
    </row>
    <row r="329" hidden="1" outlineLevel="1">
      <c r="A329" s="44" t="str">
        <f t="shared" si="240"/>
        <v>9-2025</v>
      </c>
      <c r="B329" s="34">
        <v>45926.0</v>
      </c>
      <c r="C329" s="45"/>
      <c r="D329" s="46">
        <v>987.0</v>
      </c>
      <c r="E329" s="47">
        <v>29.0</v>
      </c>
      <c r="F329" s="47">
        <v>29.0</v>
      </c>
      <c r="G329" s="48">
        <f t="shared" si="2"/>
        <v>1</v>
      </c>
      <c r="H329" s="46">
        <f t="shared" si="241"/>
        <v>34.03448276</v>
      </c>
      <c r="I329" s="46">
        <f t="shared" si="242"/>
        <v>34.03448276</v>
      </c>
      <c r="J329" s="49">
        <v>1715.0</v>
      </c>
      <c r="K329" s="50">
        <f t="shared" si="5"/>
        <v>0.01690962099</v>
      </c>
      <c r="L329" s="46">
        <v>92.39</v>
      </c>
      <c r="M329" s="46">
        <v>757.0</v>
      </c>
      <c r="N329" s="47">
        <v>22.0</v>
      </c>
      <c r="O329" s="49">
        <v>122426.0</v>
      </c>
      <c r="P329" s="50">
        <f t="shared" si="6"/>
        <v>0.1220475561</v>
      </c>
      <c r="Q329" s="51">
        <f t="shared" si="7"/>
        <v>8.193527438</v>
      </c>
      <c r="R329" s="50">
        <f t="shared" si="8"/>
        <v>0.766970618</v>
      </c>
      <c r="S329" s="16"/>
      <c r="T329" s="25"/>
      <c r="U329" s="6"/>
      <c r="V329" s="6"/>
      <c r="W329" s="6"/>
      <c r="X329" s="6"/>
      <c r="Y329" s="6"/>
      <c r="Z329" s="6"/>
    </row>
    <row r="330" hidden="1" outlineLevel="1">
      <c r="A330" s="44" t="str">
        <f t="shared" si="240"/>
        <v>9-2025</v>
      </c>
      <c r="B330" s="34">
        <v>45927.0</v>
      </c>
      <c r="C330" s="45"/>
      <c r="D330" s="46">
        <v>926.0</v>
      </c>
      <c r="E330" s="47">
        <v>26.0</v>
      </c>
      <c r="F330" s="47">
        <v>26.0</v>
      </c>
      <c r="G330" s="48">
        <f t="shared" si="2"/>
        <v>1</v>
      </c>
      <c r="H330" s="46">
        <f t="shared" si="241"/>
        <v>35.61538462</v>
      </c>
      <c r="I330" s="46">
        <f t="shared" si="242"/>
        <v>35.61538462</v>
      </c>
      <c r="J330" s="49">
        <v>1641.0</v>
      </c>
      <c r="K330" s="50">
        <f t="shared" si="5"/>
        <v>0.01584399756</v>
      </c>
      <c r="L330" s="46">
        <v>85.47</v>
      </c>
      <c r="M330" s="46">
        <v>327.0</v>
      </c>
      <c r="N330" s="47">
        <v>12.0</v>
      </c>
      <c r="O330" s="49">
        <v>142236.0</v>
      </c>
      <c r="P330" s="50">
        <f t="shared" si="6"/>
        <v>0.2613761468</v>
      </c>
      <c r="Q330" s="51">
        <f t="shared" si="7"/>
        <v>3.825903826</v>
      </c>
      <c r="R330" s="50">
        <f t="shared" si="8"/>
        <v>0.3531317495</v>
      </c>
      <c r="S330" s="16"/>
      <c r="T330" s="25"/>
      <c r="U330" s="6"/>
      <c r="V330" s="6"/>
      <c r="W330" s="6"/>
      <c r="X330" s="6"/>
      <c r="Y330" s="6"/>
      <c r="Z330" s="6"/>
    </row>
    <row r="331" collapsed="1">
      <c r="A331" s="52" t="s">
        <v>85</v>
      </c>
      <c r="B331" s="53"/>
      <c r="C331" s="54"/>
      <c r="D331" s="55">
        <f t="shared" ref="D331:F331" si="243">SUM(D324:D330)</f>
        <v>8093.3</v>
      </c>
      <c r="E331" s="56">
        <f t="shared" si="243"/>
        <v>225</v>
      </c>
      <c r="F331" s="56">
        <f t="shared" si="243"/>
        <v>222</v>
      </c>
      <c r="G331" s="57">
        <f t="shared" si="2"/>
        <v>1.013513514</v>
      </c>
      <c r="H331" s="55">
        <f>AVERAGE(H324:H330)</f>
        <v>36.19707213</v>
      </c>
      <c r="I331" s="58">
        <f>H331/G331</f>
        <v>35.7144445</v>
      </c>
      <c r="J331" s="59">
        <f>SUM(J324:J330)</f>
        <v>13411</v>
      </c>
      <c r="K331" s="60">
        <f t="shared" si="5"/>
        <v>0.01677727239</v>
      </c>
      <c r="L331" s="55">
        <f t="shared" ref="L331:N331" si="244">SUM(L324:L330)</f>
        <v>655.2</v>
      </c>
      <c r="M331" s="55">
        <f t="shared" si="244"/>
        <v>4744.8</v>
      </c>
      <c r="N331" s="56">
        <f t="shared" si="244"/>
        <v>130</v>
      </c>
      <c r="O331" s="59">
        <f>sum(O324:O330)</f>
        <v>851950</v>
      </c>
      <c r="P331" s="60">
        <f t="shared" si="6"/>
        <v>0.1380880121</v>
      </c>
      <c r="Q331" s="61">
        <f t="shared" si="7"/>
        <v>7.241758242</v>
      </c>
      <c r="R331" s="62">
        <f t="shared" si="8"/>
        <v>0.5862627111</v>
      </c>
      <c r="S331" s="54" t="str">
        <f>iferror((D331-#REF!)/D331,)</f>
        <v/>
      </c>
      <c r="T331" s="63" t="str">
        <f>iferror((F331-#REF!)/F331,)</f>
        <v/>
      </c>
      <c r="U331" s="64">
        <f t="shared" ref="U331:V331" si="245">L331</f>
        <v>655.2</v>
      </c>
      <c r="V331" s="64">
        <f t="shared" si="245"/>
        <v>4744.8</v>
      </c>
      <c r="W331" s="6"/>
      <c r="X331" s="6"/>
      <c r="Y331" s="6"/>
      <c r="Z331" s="6"/>
    </row>
    <row r="332" hidden="1" outlineLevel="1">
      <c r="A332" s="33" t="str">
        <f t="shared" ref="A332:A338" si="246">iferror(if(B332&gt;0,month(B332)&amp;"-"&amp;year(B332),B332),)</f>
        <v>9-2025</v>
      </c>
      <c r="B332" s="34">
        <v>45928.0</v>
      </c>
      <c r="C332" s="35"/>
      <c r="D332" s="36">
        <v>1527.5</v>
      </c>
      <c r="E332" s="37">
        <v>44.0</v>
      </c>
      <c r="F332" s="37">
        <v>44.0</v>
      </c>
      <c r="G332" s="38">
        <f t="shared" si="2"/>
        <v>1</v>
      </c>
      <c r="H332" s="36">
        <f t="shared" ref="H332:H338" si="247">D332/F332</f>
        <v>34.71590909</v>
      </c>
      <c r="I332" s="36">
        <f t="shared" ref="I332:I338" si="248">D332/E332</f>
        <v>34.71590909</v>
      </c>
      <c r="J332" s="39">
        <v>2531.0</v>
      </c>
      <c r="K332" s="40">
        <f t="shared" si="5"/>
        <v>0.01738443303</v>
      </c>
      <c r="L332" s="36">
        <v>102.53</v>
      </c>
      <c r="M332" s="36">
        <v>1125.2</v>
      </c>
      <c r="N332" s="37">
        <v>32.0</v>
      </c>
      <c r="O332" s="39">
        <v>146422.0</v>
      </c>
      <c r="P332" s="40">
        <f t="shared" si="6"/>
        <v>0.09112157839</v>
      </c>
      <c r="Q332" s="41">
        <f t="shared" si="7"/>
        <v>10.97434897</v>
      </c>
      <c r="R332" s="40">
        <f t="shared" si="8"/>
        <v>0.7366284779</v>
      </c>
      <c r="S332" s="42"/>
      <c r="T332" s="43"/>
      <c r="U332" s="6"/>
      <c r="V332" s="6"/>
      <c r="W332" s="6"/>
      <c r="X332" s="6"/>
      <c r="Y332" s="6"/>
      <c r="Z332" s="6"/>
    </row>
    <row r="333" hidden="1" outlineLevel="1">
      <c r="A333" s="44" t="str">
        <f t="shared" si="246"/>
        <v>9-2025</v>
      </c>
      <c r="B333" s="34">
        <v>45929.0</v>
      </c>
      <c r="C333" s="45"/>
      <c r="D333" s="46">
        <v>1703.5</v>
      </c>
      <c r="E333" s="47">
        <v>51.0</v>
      </c>
      <c r="F333" s="47">
        <v>51.0</v>
      </c>
      <c r="G333" s="48">
        <f t="shared" si="2"/>
        <v>1</v>
      </c>
      <c r="H333" s="46">
        <f t="shared" si="247"/>
        <v>33.40196078</v>
      </c>
      <c r="I333" s="46">
        <f t="shared" si="248"/>
        <v>33.40196078</v>
      </c>
      <c r="J333" s="49">
        <v>2392.0</v>
      </c>
      <c r="K333" s="50">
        <f t="shared" si="5"/>
        <v>0.02132107023</v>
      </c>
      <c r="L333" s="46">
        <v>108.77</v>
      </c>
      <c r="M333" s="46">
        <v>736.7</v>
      </c>
      <c r="N333" s="47">
        <v>23.0</v>
      </c>
      <c r="O333" s="49">
        <v>146218.0</v>
      </c>
      <c r="P333" s="50">
        <f t="shared" si="6"/>
        <v>0.1476449029</v>
      </c>
      <c r="Q333" s="51">
        <f t="shared" si="7"/>
        <v>6.773007263</v>
      </c>
      <c r="R333" s="50">
        <f t="shared" si="8"/>
        <v>0.432462577</v>
      </c>
      <c r="S333" s="16"/>
      <c r="T333" s="25"/>
      <c r="U333" s="6"/>
      <c r="V333" s="6"/>
      <c r="W333" s="6"/>
      <c r="X333" s="6"/>
      <c r="Y333" s="6"/>
      <c r="Z333" s="6"/>
    </row>
    <row r="334" hidden="1" outlineLevel="1">
      <c r="A334" s="44" t="str">
        <f t="shared" si="246"/>
        <v>9-2025</v>
      </c>
      <c r="B334" s="34">
        <v>45930.0</v>
      </c>
      <c r="C334" s="45"/>
      <c r="D334" s="46">
        <v>1058.0</v>
      </c>
      <c r="E334" s="47">
        <v>33.0</v>
      </c>
      <c r="F334" s="47">
        <v>33.0</v>
      </c>
      <c r="G334" s="48">
        <f t="shared" si="2"/>
        <v>1</v>
      </c>
      <c r="H334" s="46">
        <f t="shared" si="247"/>
        <v>32.06060606</v>
      </c>
      <c r="I334" s="46">
        <f t="shared" si="248"/>
        <v>32.06060606</v>
      </c>
      <c r="J334" s="49">
        <v>2269.0</v>
      </c>
      <c r="K334" s="50">
        <f t="shared" si="5"/>
        <v>0.01454385192</v>
      </c>
      <c r="L334" s="46">
        <v>112.07</v>
      </c>
      <c r="M334" s="46">
        <v>1067.7</v>
      </c>
      <c r="N334" s="47">
        <v>31.0</v>
      </c>
      <c r="O334" s="49">
        <v>126457.0</v>
      </c>
      <c r="P334" s="50">
        <f t="shared" si="6"/>
        <v>0.1049639412</v>
      </c>
      <c r="Q334" s="51">
        <f t="shared" si="7"/>
        <v>9.527081288</v>
      </c>
      <c r="R334" s="50">
        <f t="shared" si="8"/>
        <v>1.009168242</v>
      </c>
      <c r="S334" s="16"/>
      <c r="T334" s="25"/>
      <c r="U334" s="6"/>
      <c r="V334" s="6"/>
      <c r="W334" s="6"/>
      <c r="X334" s="6"/>
      <c r="Y334" s="6"/>
      <c r="Z334" s="6"/>
    </row>
    <row r="335" hidden="1" outlineLevel="1">
      <c r="A335" s="44" t="str">
        <f t="shared" si="246"/>
        <v>10-2025</v>
      </c>
      <c r="B335" s="34">
        <v>45931.0</v>
      </c>
      <c r="C335" s="45"/>
      <c r="D335" s="46">
        <v>1319.9</v>
      </c>
      <c r="E335" s="47">
        <v>36.0</v>
      </c>
      <c r="F335" s="47">
        <v>35.0</v>
      </c>
      <c r="G335" s="48">
        <f t="shared" si="2"/>
        <v>1.028571429</v>
      </c>
      <c r="H335" s="46">
        <f t="shared" si="247"/>
        <v>37.71142857</v>
      </c>
      <c r="I335" s="46">
        <f t="shared" si="248"/>
        <v>36.66388889</v>
      </c>
      <c r="J335" s="49">
        <v>1886.0</v>
      </c>
      <c r="K335" s="50">
        <f t="shared" si="5"/>
        <v>0.01908801697</v>
      </c>
      <c r="L335" s="46">
        <v>99.31</v>
      </c>
      <c r="M335" s="46">
        <v>740.5</v>
      </c>
      <c r="N335" s="47">
        <v>20.0</v>
      </c>
      <c r="O335" s="49">
        <v>104714.0</v>
      </c>
      <c r="P335" s="50">
        <f t="shared" si="6"/>
        <v>0.1341120864</v>
      </c>
      <c r="Q335" s="51">
        <f t="shared" si="7"/>
        <v>7.456449502</v>
      </c>
      <c r="R335" s="50">
        <f t="shared" si="8"/>
        <v>0.5610273506</v>
      </c>
      <c r="S335" s="16"/>
      <c r="T335" s="25"/>
      <c r="U335" s="6"/>
      <c r="V335" s="6"/>
      <c r="W335" s="6"/>
      <c r="X335" s="6"/>
      <c r="Y335" s="6"/>
      <c r="Z335" s="6"/>
    </row>
    <row r="336" hidden="1" outlineLevel="1">
      <c r="A336" s="44" t="str">
        <f t="shared" si="246"/>
        <v>10-2025</v>
      </c>
      <c r="B336" s="34">
        <v>45932.0</v>
      </c>
      <c r="C336" s="45"/>
      <c r="D336" s="46">
        <v>1266.6</v>
      </c>
      <c r="E336" s="47">
        <v>37.0</v>
      </c>
      <c r="F336" s="47">
        <v>37.0</v>
      </c>
      <c r="G336" s="48">
        <f t="shared" si="2"/>
        <v>1</v>
      </c>
      <c r="H336" s="46">
        <f t="shared" si="247"/>
        <v>34.23243243</v>
      </c>
      <c r="I336" s="46">
        <f t="shared" si="248"/>
        <v>34.23243243</v>
      </c>
      <c r="J336" s="49">
        <v>1976.0</v>
      </c>
      <c r="K336" s="50">
        <f t="shared" si="5"/>
        <v>0.01872469636</v>
      </c>
      <c r="L336" s="46">
        <v>100.81</v>
      </c>
      <c r="M336" s="46">
        <v>724.5</v>
      </c>
      <c r="N336" s="47">
        <v>21.0</v>
      </c>
      <c r="O336" s="49">
        <v>114035.0</v>
      </c>
      <c r="P336" s="50">
        <f t="shared" si="6"/>
        <v>0.1391442374</v>
      </c>
      <c r="Q336" s="51">
        <f t="shared" si="7"/>
        <v>7.186787025</v>
      </c>
      <c r="R336" s="50">
        <f t="shared" si="8"/>
        <v>0.5720037897</v>
      </c>
      <c r="S336" s="16"/>
      <c r="T336" s="25"/>
      <c r="U336" s="6"/>
      <c r="V336" s="6"/>
      <c r="W336" s="6"/>
      <c r="X336" s="6"/>
      <c r="Y336" s="6"/>
      <c r="Z336" s="6"/>
    </row>
    <row r="337" hidden="1" outlineLevel="1">
      <c r="A337" s="44" t="str">
        <f t="shared" si="246"/>
        <v>10-2025</v>
      </c>
      <c r="B337" s="34">
        <v>45933.0</v>
      </c>
      <c r="C337" s="45"/>
      <c r="D337" s="46">
        <v>1083.2</v>
      </c>
      <c r="E337" s="47">
        <v>29.0</v>
      </c>
      <c r="F337" s="47">
        <v>29.0</v>
      </c>
      <c r="G337" s="48">
        <f t="shared" si="2"/>
        <v>1</v>
      </c>
      <c r="H337" s="46">
        <f t="shared" si="247"/>
        <v>37.35172414</v>
      </c>
      <c r="I337" s="46">
        <f t="shared" si="248"/>
        <v>37.35172414</v>
      </c>
      <c r="J337" s="49">
        <v>1673.0</v>
      </c>
      <c r="K337" s="50">
        <f t="shared" si="5"/>
        <v>0.0173341303</v>
      </c>
      <c r="L337" s="46">
        <v>87.82</v>
      </c>
      <c r="M337" s="46">
        <v>857.5</v>
      </c>
      <c r="N337" s="47">
        <v>21.0</v>
      </c>
      <c r="O337" s="49">
        <v>99581.0</v>
      </c>
      <c r="P337" s="50">
        <f t="shared" si="6"/>
        <v>0.1024139942</v>
      </c>
      <c r="Q337" s="51">
        <f t="shared" si="7"/>
        <v>9.764290594</v>
      </c>
      <c r="R337" s="50">
        <f t="shared" si="8"/>
        <v>0.7916358936</v>
      </c>
      <c r="S337" s="16"/>
      <c r="T337" s="25"/>
      <c r="U337" s="6"/>
      <c r="V337" s="6"/>
      <c r="W337" s="6"/>
      <c r="X337" s="6"/>
      <c r="Y337" s="6"/>
      <c r="Z337" s="6"/>
    </row>
    <row r="338" hidden="1" outlineLevel="1">
      <c r="A338" s="44" t="str">
        <f t="shared" si="246"/>
        <v>10-2025</v>
      </c>
      <c r="B338" s="34">
        <v>45934.0</v>
      </c>
      <c r="C338" s="45"/>
      <c r="D338" s="46">
        <v>1081.8</v>
      </c>
      <c r="E338" s="47">
        <v>32.0</v>
      </c>
      <c r="F338" s="47">
        <v>32.0</v>
      </c>
      <c r="G338" s="48">
        <f t="shared" si="2"/>
        <v>1</v>
      </c>
      <c r="H338" s="46">
        <f t="shared" si="247"/>
        <v>33.80625</v>
      </c>
      <c r="I338" s="46">
        <f t="shared" si="248"/>
        <v>33.80625</v>
      </c>
      <c r="J338" s="49">
        <v>1884.0</v>
      </c>
      <c r="K338" s="50">
        <f t="shared" si="5"/>
        <v>0.016985138</v>
      </c>
      <c r="L338" s="46">
        <v>85.51</v>
      </c>
      <c r="M338" s="46">
        <v>744.5</v>
      </c>
      <c r="N338" s="47">
        <v>20.0</v>
      </c>
      <c r="O338" s="49">
        <v>103957.0</v>
      </c>
      <c r="P338" s="50">
        <f t="shared" si="6"/>
        <v>0.1148556078</v>
      </c>
      <c r="Q338" s="51">
        <f t="shared" si="7"/>
        <v>8.706584025</v>
      </c>
      <c r="R338" s="50">
        <f t="shared" si="8"/>
        <v>0.6882048438</v>
      </c>
      <c r="S338" s="16"/>
      <c r="T338" s="25"/>
      <c r="U338" s="6"/>
      <c r="V338" s="6"/>
      <c r="W338" s="6"/>
      <c r="X338" s="6"/>
      <c r="Y338" s="6"/>
      <c r="Z338" s="6"/>
    </row>
    <row r="339" collapsed="1">
      <c r="A339" s="52" t="s">
        <v>86</v>
      </c>
      <c r="B339" s="53"/>
      <c r="C339" s="54"/>
      <c r="D339" s="55">
        <f t="shared" ref="D339:F339" si="249">SUM(D332:D338)</f>
        <v>9040.5</v>
      </c>
      <c r="E339" s="56">
        <f t="shared" si="249"/>
        <v>262</v>
      </c>
      <c r="F339" s="56">
        <f t="shared" si="249"/>
        <v>261</v>
      </c>
      <c r="G339" s="57">
        <f t="shared" si="2"/>
        <v>1.003831418</v>
      </c>
      <c r="H339" s="55">
        <f>AVERAGE(H332:H338)</f>
        <v>34.75433015</v>
      </c>
      <c r="I339" s="58">
        <f>H339/G339</f>
        <v>34.62168004</v>
      </c>
      <c r="J339" s="59">
        <f>SUM(J332:J338)</f>
        <v>14611</v>
      </c>
      <c r="K339" s="60">
        <f t="shared" si="5"/>
        <v>0.0179316953</v>
      </c>
      <c r="L339" s="55">
        <f t="shared" ref="L339:N339" si="250">SUM(L332:L338)</f>
        <v>696.82</v>
      </c>
      <c r="M339" s="55">
        <f t="shared" si="250"/>
        <v>5996.6</v>
      </c>
      <c r="N339" s="56">
        <f t="shared" si="250"/>
        <v>168</v>
      </c>
      <c r="O339" s="59">
        <f>sum(O332:O338)</f>
        <v>841384</v>
      </c>
      <c r="P339" s="60">
        <f t="shared" si="6"/>
        <v>0.1162025148</v>
      </c>
      <c r="Q339" s="61">
        <f t="shared" si="7"/>
        <v>8.605665739</v>
      </c>
      <c r="R339" s="62">
        <f t="shared" si="8"/>
        <v>0.6633040208</v>
      </c>
      <c r="S339" s="54" t="str">
        <f>iferror((D339-#REF!)/D339,)</f>
        <v/>
      </c>
      <c r="T339" s="63" t="str">
        <f>iferror((F339-#REF!)/F339,)</f>
        <v/>
      </c>
      <c r="U339" s="64">
        <f t="shared" ref="U339:V339" si="251">L339</f>
        <v>696.82</v>
      </c>
      <c r="V339" s="64">
        <f t="shared" si="251"/>
        <v>5996.6</v>
      </c>
      <c r="W339" s="6"/>
      <c r="X339" s="6"/>
      <c r="Y339" s="6"/>
      <c r="Z339" s="6"/>
    </row>
    <row r="340" hidden="1" outlineLevel="1">
      <c r="A340" s="33" t="str">
        <f t="shared" ref="A340:A346" si="252">iferror(if(B340&gt;0,month(B340)&amp;"-"&amp;year(B340),B340),)</f>
        <v>10-2025</v>
      </c>
      <c r="B340" s="34">
        <v>45935.0</v>
      </c>
      <c r="C340" s="35"/>
      <c r="D340" s="36">
        <v>1823.7</v>
      </c>
      <c r="E340" s="37">
        <v>47.0</v>
      </c>
      <c r="F340" s="37">
        <v>46.0</v>
      </c>
      <c r="G340" s="38">
        <f t="shared" si="2"/>
        <v>1.02173913</v>
      </c>
      <c r="H340" s="36">
        <f t="shared" ref="H340:H346" si="253">D340/F340</f>
        <v>39.64565217</v>
      </c>
      <c r="I340" s="36">
        <f t="shared" ref="I340:I346" si="254">D340/E340</f>
        <v>38.80212766</v>
      </c>
      <c r="J340" s="39">
        <v>2250.0</v>
      </c>
      <c r="K340" s="40">
        <f t="shared" si="5"/>
        <v>0.02088888889</v>
      </c>
      <c r="L340" s="36">
        <v>104.04</v>
      </c>
      <c r="M340" s="36">
        <v>1043.5</v>
      </c>
      <c r="N340" s="37">
        <v>30.0</v>
      </c>
      <c r="O340" s="39">
        <v>118096.0</v>
      </c>
      <c r="P340" s="40">
        <f t="shared" si="6"/>
        <v>0.09970292286</v>
      </c>
      <c r="Q340" s="41">
        <f t="shared" si="7"/>
        <v>10.02979623</v>
      </c>
      <c r="R340" s="40">
        <f t="shared" si="8"/>
        <v>0.5721884082</v>
      </c>
      <c r="S340" s="42"/>
      <c r="T340" s="43"/>
      <c r="U340" s="6"/>
      <c r="V340" s="6"/>
      <c r="W340" s="6"/>
      <c r="X340" s="6"/>
      <c r="Y340" s="6"/>
      <c r="Z340" s="6"/>
    </row>
    <row r="341" hidden="1" outlineLevel="1">
      <c r="A341" s="44" t="str">
        <f t="shared" si="252"/>
        <v>10-2025</v>
      </c>
      <c r="B341" s="34">
        <v>45936.0</v>
      </c>
      <c r="C341" s="45"/>
      <c r="D341" s="46">
        <v>1300.4</v>
      </c>
      <c r="E341" s="47">
        <v>35.0</v>
      </c>
      <c r="F341" s="47">
        <v>35.0</v>
      </c>
      <c r="G341" s="48">
        <f t="shared" si="2"/>
        <v>1</v>
      </c>
      <c r="H341" s="46">
        <f t="shared" si="253"/>
        <v>37.15428571</v>
      </c>
      <c r="I341" s="46">
        <f t="shared" si="254"/>
        <v>37.15428571</v>
      </c>
      <c r="J341" s="49">
        <v>1902.0</v>
      </c>
      <c r="K341" s="50">
        <f t="shared" si="5"/>
        <v>0.01840168244</v>
      </c>
      <c r="L341" s="46">
        <v>87.49</v>
      </c>
      <c r="M341" s="46">
        <v>1172.4</v>
      </c>
      <c r="N341" s="47">
        <v>28.0</v>
      </c>
      <c r="O341" s="49">
        <v>102329.0</v>
      </c>
      <c r="P341" s="50">
        <f t="shared" si="6"/>
        <v>0.07462470147</v>
      </c>
      <c r="Q341" s="51">
        <f t="shared" si="7"/>
        <v>13.40038862</v>
      </c>
      <c r="R341" s="50">
        <f t="shared" si="8"/>
        <v>0.9015687481</v>
      </c>
      <c r="S341" s="16"/>
      <c r="T341" s="25"/>
      <c r="U341" s="6"/>
      <c r="V341" s="6"/>
      <c r="W341" s="6"/>
      <c r="X341" s="6"/>
      <c r="Y341" s="6"/>
      <c r="Z341" s="6"/>
    </row>
    <row r="342" hidden="1" outlineLevel="1">
      <c r="A342" s="44" t="str">
        <f t="shared" si="252"/>
        <v>10-2025</v>
      </c>
      <c r="B342" s="34">
        <v>45937.0</v>
      </c>
      <c r="C342" s="45"/>
      <c r="D342" s="46">
        <v>1533.8</v>
      </c>
      <c r="E342" s="47">
        <v>35.0</v>
      </c>
      <c r="F342" s="47">
        <v>35.0</v>
      </c>
      <c r="G342" s="48">
        <f t="shared" si="2"/>
        <v>1</v>
      </c>
      <c r="H342" s="46">
        <f t="shared" si="253"/>
        <v>43.82285714</v>
      </c>
      <c r="I342" s="46">
        <f t="shared" si="254"/>
        <v>43.82285714</v>
      </c>
      <c r="J342" s="49">
        <v>1863.0</v>
      </c>
      <c r="K342" s="50">
        <f t="shared" si="5"/>
        <v>0.01878690284</v>
      </c>
      <c r="L342" s="46">
        <v>103.54</v>
      </c>
      <c r="M342" s="46">
        <v>732.3</v>
      </c>
      <c r="N342" s="47">
        <v>18.0</v>
      </c>
      <c r="O342" s="49">
        <v>149032.0</v>
      </c>
      <c r="P342" s="50">
        <f t="shared" si="6"/>
        <v>0.1413901407</v>
      </c>
      <c r="Q342" s="51">
        <f t="shared" si="7"/>
        <v>7.072628936</v>
      </c>
      <c r="R342" s="50">
        <f t="shared" si="8"/>
        <v>0.4774416482</v>
      </c>
      <c r="S342" s="16"/>
      <c r="T342" s="25"/>
      <c r="U342" s="6"/>
      <c r="V342" s="6"/>
      <c r="W342" s="6"/>
      <c r="X342" s="6"/>
      <c r="Y342" s="6"/>
      <c r="Z342" s="6"/>
    </row>
    <row r="343" hidden="1" outlineLevel="1">
      <c r="A343" s="44" t="str">
        <f t="shared" si="252"/>
        <v>10-2025</v>
      </c>
      <c r="B343" s="34">
        <v>45938.0</v>
      </c>
      <c r="C343" s="45"/>
      <c r="D343" s="46">
        <v>1534.5</v>
      </c>
      <c r="E343" s="47">
        <v>46.0</v>
      </c>
      <c r="F343" s="47">
        <v>45.0</v>
      </c>
      <c r="G343" s="48">
        <f t="shared" si="2"/>
        <v>1.022222222</v>
      </c>
      <c r="H343" s="46">
        <f t="shared" si="253"/>
        <v>34.1</v>
      </c>
      <c r="I343" s="46">
        <f t="shared" si="254"/>
        <v>33.35869565</v>
      </c>
      <c r="J343" s="49">
        <v>2164.0</v>
      </c>
      <c r="K343" s="50">
        <f t="shared" si="5"/>
        <v>0.02125693161</v>
      </c>
      <c r="L343" s="46">
        <v>133.63</v>
      </c>
      <c r="M343" s="46">
        <v>931.7</v>
      </c>
      <c r="N343" s="47">
        <v>28.0</v>
      </c>
      <c r="O343" s="49">
        <v>148643.0</v>
      </c>
      <c r="P343" s="50">
        <f t="shared" si="6"/>
        <v>0.1434259955</v>
      </c>
      <c r="Q343" s="51">
        <f t="shared" si="7"/>
        <v>6.972236773</v>
      </c>
      <c r="R343" s="50">
        <f t="shared" si="8"/>
        <v>0.6071684588</v>
      </c>
      <c r="S343" s="16"/>
      <c r="T343" s="25"/>
      <c r="U343" s="6"/>
      <c r="V343" s="6"/>
      <c r="W343" s="6"/>
      <c r="X343" s="6"/>
      <c r="Y343" s="6"/>
      <c r="Z343" s="6"/>
    </row>
    <row r="344" hidden="1" outlineLevel="1">
      <c r="A344" s="44" t="str">
        <f t="shared" si="252"/>
        <v>10-2025</v>
      </c>
      <c r="B344" s="34">
        <v>45939.0</v>
      </c>
      <c r="C344" s="45"/>
      <c r="D344" s="46">
        <v>1265.5</v>
      </c>
      <c r="E344" s="47">
        <v>34.0</v>
      </c>
      <c r="F344" s="47">
        <v>34.0</v>
      </c>
      <c r="G344" s="48">
        <f t="shared" si="2"/>
        <v>1</v>
      </c>
      <c r="H344" s="46">
        <f t="shared" si="253"/>
        <v>37.22058824</v>
      </c>
      <c r="I344" s="46">
        <f t="shared" si="254"/>
        <v>37.22058824</v>
      </c>
      <c r="J344" s="49">
        <v>1795.0</v>
      </c>
      <c r="K344" s="50">
        <f t="shared" si="5"/>
        <v>0.01894150418</v>
      </c>
      <c r="L344" s="46">
        <v>71.88</v>
      </c>
      <c r="M344" s="46">
        <v>957.5</v>
      </c>
      <c r="N344" s="47">
        <v>26.0</v>
      </c>
      <c r="O344" s="49">
        <v>90877.0</v>
      </c>
      <c r="P344" s="50">
        <f t="shared" si="6"/>
        <v>0.07507049608</v>
      </c>
      <c r="Q344" s="51">
        <f t="shared" si="7"/>
        <v>13.32081247</v>
      </c>
      <c r="R344" s="50">
        <f t="shared" si="8"/>
        <v>0.7566179376</v>
      </c>
      <c r="S344" s="16"/>
      <c r="T344" s="25"/>
      <c r="U344" s="6"/>
      <c r="V344" s="6"/>
      <c r="W344" s="6"/>
      <c r="X344" s="6"/>
      <c r="Y344" s="6"/>
      <c r="Z344" s="6"/>
    </row>
    <row r="345" hidden="1" outlineLevel="1">
      <c r="A345" s="44" t="str">
        <f t="shared" si="252"/>
        <v>10-2025</v>
      </c>
      <c r="B345" s="34">
        <v>45940.0</v>
      </c>
      <c r="C345" s="45"/>
      <c r="D345" s="46">
        <v>902.7</v>
      </c>
      <c r="E345" s="47">
        <v>25.0</v>
      </c>
      <c r="F345" s="47">
        <v>25.0</v>
      </c>
      <c r="G345" s="48">
        <f t="shared" si="2"/>
        <v>1</v>
      </c>
      <c r="H345" s="46">
        <f t="shared" si="253"/>
        <v>36.108</v>
      </c>
      <c r="I345" s="46">
        <f t="shared" si="254"/>
        <v>36.108</v>
      </c>
      <c r="J345" s="49">
        <v>1670.0</v>
      </c>
      <c r="K345" s="50">
        <f t="shared" si="5"/>
        <v>0.01497005988</v>
      </c>
      <c r="L345" s="46">
        <v>71.08</v>
      </c>
      <c r="M345" s="46">
        <v>631.2</v>
      </c>
      <c r="N345" s="47">
        <v>16.0</v>
      </c>
      <c r="O345" s="49">
        <v>79007.0</v>
      </c>
      <c r="P345" s="50">
        <f t="shared" si="6"/>
        <v>0.1126108999</v>
      </c>
      <c r="Q345" s="51">
        <f t="shared" si="7"/>
        <v>8.880135059</v>
      </c>
      <c r="R345" s="50">
        <f t="shared" si="8"/>
        <v>0.6992356265</v>
      </c>
      <c r="S345" s="16"/>
      <c r="T345" s="25"/>
      <c r="U345" s="6"/>
      <c r="V345" s="6"/>
      <c r="W345" s="6"/>
      <c r="X345" s="6"/>
      <c r="Y345" s="6"/>
      <c r="Z345" s="6"/>
    </row>
    <row r="346" hidden="1" outlineLevel="1">
      <c r="A346" s="44" t="str">
        <f t="shared" si="252"/>
        <v>10-2025</v>
      </c>
      <c r="B346" s="34">
        <v>45941.0</v>
      </c>
      <c r="C346" s="45"/>
      <c r="D346" s="46">
        <v>957.7</v>
      </c>
      <c r="E346" s="47">
        <v>25.0</v>
      </c>
      <c r="F346" s="47">
        <v>25.0</v>
      </c>
      <c r="G346" s="48">
        <f t="shared" si="2"/>
        <v>1</v>
      </c>
      <c r="H346" s="46">
        <f t="shared" si="253"/>
        <v>38.308</v>
      </c>
      <c r="I346" s="46">
        <f t="shared" si="254"/>
        <v>38.308</v>
      </c>
      <c r="J346" s="49">
        <v>2075.0</v>
      </c>
      <c r="K346" s="50">
        <f t="shared" si="5"/>
        <v>0.01204819277</v>
      </c>
      <c r="L346" s="46">
        <v>92.0</v>
      </c>
      <c r="M346" s="46">
        <v>717.7</v>
      </c>
      <c r="N346" s="47">
        <v>18.0</v>
      </c>
      <c r="O346" s="49">
        <v>120367.0</v>
      </c>
      <c r="P346" s="50">
        <f t="shared" si="6"/>
        <v>0.1281872649</v>
      </c>
      <c r="Q346" s="51">
        <f t="shared" si="7"/>
        <v>7.801086957</v>
      </c>
      <c r="R346" s="50">
        <f t="shared" si="8"/>
        <v>0.7493996032</v>
      </c>
      <c r="S346" s="16"/>
      <c r="T346" s="25"/>
      <c r="U346" s="6"/>
      <c r="V346" s="6"/>
      <c r="W346" s="6"/>
      <c r="X346" s="6"/>
      <c r="Y346" s="6"/>
      <c r="Z346" s="6"/>
    </row>
    <row r="347" collapsed="1">
      <c r="A347" s="52" t="s">
        <v>87</v>
      </c>
      <c r="B347" s="53"/>
      <c r="C347" s="54"/>
      <c r="D347" s="55">
        <f t="shared" ref="D347:F347" si="255">SUM(D340:D346)</f>
        <v>9318.3</v>
      </c>
      <c r="E347" s="56">
        <f t="shared" si="255"/>
        <v>247</v>
      </c>
      <c r="F347" s="56">
        <f t="shared" si="255"/>
        <v>245</v>
      </c>
      <c r="G347" s="57">
        <f t="shared" si="2"/>
        <v>1.008163265</v>
      </c>
      <c r="H347" s="55">
        <f>AVERAGE(H340:H346)</f>
        <v>38.05134047</v>
      </c>
      <c r="I347" s="58">
        <f>H347/G347</f>
        <v>37.74323245</v>
      </c>
      <c r="J347" s="59">
        <f>SUM(J340:J346)</f>
        <v>13719</v>
      </c>
      <c r="K347" s="60">
        <f t="shared" si="5"/>
        <v>0.01800422771</v>
      </c>
      <c r="L347" s="55">
        <f t="shared" ref="L347:N347" si="256">SUM(L340:L346)</f>
        <v>663.66</v>
      </c>
      <c r="M347" s="55">
        <f t="shared" si="256"/>
        <v>6186.3</v>
      </c>
      <c r="N347" s="56">
        <f t="shared" si="256"/>
        <v>164</v>
      </c>
      <c r="O347" s="59">
        <f>sum(O340:O346)</f>
        <v>808351</v>
      </c>
      <c r="P347" s="60">
        <f t="shared" si="6"/>
        <v>0.1072789874</v>
      </c>
      <c r="Q347" s="61">
        <f t="shared" si="7"/>
        <v>9.32148992</v>
      </c>
      <c r="R347" s="62">
        <f t="shared" si="8"/>
        <v>0.6638871897</v>
      </c>
      <c r="S347" s="54" t="str">
        <f>iferror((D347-#REF!)/D347,)</f>
        <v/>
      </c>
      <c r="T347" s="63" t="str">
        <f>iferror((F347-#REF!)/F347,)</f>
        <v/>
      </c>
      <c r="U347" s="64">
        <f t="shared" ref="U347:V347" si="257">L347</f>
        <v>663.66</v>
      </c>
      <c r="V347" s="64">
        <f t="shared" si="257"/>
        <v>6186.3</v>
      </c>
      <c r="W347" s="6"/>
      <c r="X347" s="6"/>
      <c r="Y347" s="6"/>
      <c r="Z347" s="6"/>
    </row>
    <row r="348" hidden="1" outlineLevel="1">
      <c r="A348" s="33" t="str">
        <f t="shared" ref="A348:A354" si="258">iferror(if(B348&gt;0,month(B348)&amp;"-"&amp;year(B348),B348),)</f>
        <v>10-2025</v>
      </c>
      <c r="B348" s="34">
        <v>45942.0</v>
      </c>
      <c r="C348" s="35"/>
      <c r="D348" s="36">
        <v>1032.4</v>
      </c>
      <c r="E348" s="37">
        <v>29.0</v>
      </c>
      <c r="F348" s="37">
        <v>29.0</v>
      </c>
      <c r="G348" s="38">
        <f t="shared" si="2"/>
        <v>1</v>
      </c>
      <c r="H348" s="36">
        <f t="shared" ref="H348:H354" si="259">D348/F348</f>
        <v>35.6</v>
      </c>
      <c r="I348" s="36">
        <f t="shared" ref="I348:I354" si="260">D348/E348</f>
        <v>35.6</v>
      </c>
      <c r="J348" s="39">
        <v>2522.0</v>
      </c>
      <c r="K348" s="40">
        <f t="shared" si="5"/>
        <v>0.01149881047</v>
      </c>
      <c r="L348" s="36">
        <v>122.97</v>
      </c>
      <c r="M348" s="36">
        <v>694.3</v>
      </c>
      <c r="N348" s="37">
        <v>18.0</v>
      </c>
      <c r="O348" s="39">
        <v>140944.0</v>
      </c>
      <c r="P348" s="40">
        <f t="shared" si="6"/>
        <v>0.1771136396</v>
      </c>
      <c r="Q348" s="41">
        <f t="shared" si="7"/>
        <v>5.646092543</v>
      </c>
      <c r="R348" s="40">
        <f t="shared" si="8"/>
        <v>0.6725106548</v>
      </c>
      <c r="S348" s="42"/>
      <c r="T348" s="43"/>
      <c r="U348" s="6"/>
      <c r="V348" s="6"/>
      <c r="W348" s="6"/>
      <c r="X348" s="6"/>
      <c r="Y348" s="6"/>
      <c r="Z348" s="6"/>
    </row>
    <row r="349" hidden="1" outlineLevel="1">
      <c r="A349" s="44" t="str">
        <f t="shared" si="258"/>
        <v>10-2025</v>
      </c>
      <c r="B349" s="34">
        <v>45943.0</v>
      </c>
      <c r="C349" s="45"/>
      <c r="D349" s="46">
        <v>1012.0</v>
      </c>
      <c r="E349" s="47">
        <v>34.0</v>
      </c>
      <c r="F349" s="47">
        <v>33.0</v>
      </c>
      <c r="G349" s="48">
        <f t="shared" si="2"/>
        <v>1.03030303</v>
      </c>
      <c r="H349" s="46">
        <f t="shared" si="259"/>
        <v>30.66666667</v>
      </c>
      <c r="I349" s="46">
        <f t="shared" si="260"/>
        <v>29.76470588</v>
      </c>
      <c r="J349" s="49">
        <v>2189.0</v>
      </c>
      <c r="K349" s="50">
        <f t="shared" si="5"/>
        <v>0.01553220649</v>
      </c>
      <c r="L349" s="46">
        <v>109.45</v>
      </c>
      <c r="M349" s="46">
        <v>1090.4</v>
      </c>
      <c r="N349" s="47">
        <v>34.0</v>
      </c>
      <c r="O349" s="49">
        <v>131485.0</v>
      </c>
      <c r="P349" s="50">
        <f t="shared" si="6"/>
        <v>0.1003760088</v>
      </c>
      <c r="Q349" s="51">
        <f t="shared" si="7"/>
        <v>9.962539973</v>
      </c>
      <c r="R349" s="50">
        <f t="shared" si="8"/>
        <v>1.077470356</v>
      </c>
      <c r="S349" s="16"/>
      <c r="T349" s="25"/>
      <c r="U349" s="6"/>
      <c r="V349" s="6"/>
      <c r="W349" s="6"/>
      <c r="X349" s="6"/>
      <c r="Y349" s="6"/>
      <c r="Z349" s="6"/>
    </row>
    <row r="350" hidden="1" outlineLevel="1">
      <c r="A350" s="44" t="str">
        <f t="shared" si="258"/>
        <v>10-2025</v>
      </c>
      <c r="B350" s="34">
        <v>45944.0</v>
      </c>
      <c r="C350" s="45"/>
      <c r="D350" s="46">
        <v>1343.7</v>
      </c>
      <c r="E350" s="47">
        <v>34.0</v>
      </c>
      <c r="F350" s="47">
        <v>34.0</v>
      </c>
      <c r="G350" s="48">
        <f t="shared" si="2"/>
        <v>1</v>
      </c>
      <c r="H350" s="46">
        <f t="shared" si="259"/>
        <v>39.52058824</v>
      </c>
      <c r="I350" s="46">
        <f t="shared" si="260"/>
        <v>39.52058824</v>
      </c>
      <c r="J350" s="49">
        <v>2030.0</v>
      </c>
      <c r="K350" s="50">
        <f t="shared" si="5"/>
        <v>0.01674876847</v>
      </c>
      <c r="L350" s="46">
        <v>96.05</v>
      </c>
      <c r="M350" s="46">
        <v>615.0</v>
      </c>
      <c r="N350" s="47">
        <v>16.0</v>
      </c>
      <c r="O350" s="49">
        <v>110051.0</v>
      </c>
      <c r="P350" s="50">
        <f t="shared" si="6"/>
        <v>0.1561788618</v>
      </c>
      <c r="Q350" s="51">
        <f t="shared" si="7"/>
        <v>6.402915148</v>
      </c>
      <c r="R350" s="50">
        <f t="shared" si="8"/>
        <v>0.457691449</v>
      </c>
      <c r="S350" s="16"/>
      <c r="T350" s="25"/>
      <c r="U350" s="6"/>
      <c r="V350" s="6"/>
      <c r="W350" s="6"/>
      <c r="X350" s="6"/>
      <c r="Y350" s="6"/>
      <c r="Z350" s="6"/>
    </row>
    <row r="351" hidden="1" outlineLevel="1">
      <c r="A351" s="44" t="str">
        <f t="shared" si="258"/>
        <v>10-2025</v>
      </c>
      <c r="B351" s="34">
        <v>45945.0</v>
      </c>
      <c r="C351" s="45"/>
      <c r="D351" s="46">
        <v>1326.4</v>
      </c>
      <c r="E351" s="47">
        <v>33.0</v>
      </c>
      <c r="F351" s="47">
        <v>33.0</v>
      </c>
      <c r="G351" s="48">
        <f t="shared" si="2"/>
        <v>1</v>
      </c>
      <c r="H351" s="46">
        <f t="shared" si="259"/>
        <v>40.19393939</v>
      </c>
      <c r="I351" s="46">
        <f t="shared" si="260"/>
        <v>40.19393939</v>
      </c>
      <c r="J351" s="49">
        <v>2085.0</v>
      </c>
      <c r="K351" s="50">
        <f t="shared" si="5"/>
        <v>0.01582733813</v>
      </c>
      <c r="L351" s="46">
        <v>100.22</v>
      </c>
      <c r="M351" s="46">
        <v>972.2</v>
      </c>
      <c r="N351" s="47">
        <v>25.0</v>
      </c>
      <c r="O351" s="49">
        <v>130558.0</v>
      </c>
      <c r="P351" s="50">
        <f t="shared" si="6"/>
        <v>0.1030857848</v>
      </c>
      <c r="Q351" s="51">
        <f t="shared" si="7"/>
        <v>9.700658551</v>
      </c>
      <c r="R351" s="50">
        <f t="shared" si="8"/>
        <v>0.7329613993</v>
      </c>
      <c r="S351" s="16"/>
      <c r="T351" s="25"/>
      <c r="U351" s="6"/>
      <c r="V351" s="6"/>
      <c r="W351" s="6"/>
      <c r="X351" s="6"/>
      <c r="Y351" s="6"/>
      <c r="Z351" s="6"/>
    </row>
    <row r="352" hidden="1" outlineLevel="1">
      <c r="A352" s="44" t="str">
        <f t="shared" si="258"/>
        <v>10-2025</v>
      </c>
      <c r="B352" s="34">
        <v>45946.0</v>
      </c>
      <c r="C352" s="45"/>
      <c r="D352" s="46">
        <v>1222.0</v>
      </c>
      <c r="E352" s="47">
        <v>36.0</v>
      </c>
      <c r="F352" s="47">
        <v>36.0</v>
      </c>
      <c r="G352" s="48">
        <f t="shared" si="2"/>
        <v>1</v>
      </c>
      <c r="H352" s="46">
        <f t="shared" si="259"/>
        <v>33.94444444</v>
      </c>
      <c r="I352" s="46">
        <f t="shared" si="260"/>
        <v>33.94444444</v>
      </c>
      <c r="J352" s="49">
        <v>2226.0</v>
      </c>
      <c r="K352" s="50">
        <f t="shared" si="5"/>
        <v>0.01617250674</v>
      </c>
      <c r="L352" s="46">
        <v>108.53</v>
      </c>
      <c r="M352" s="46">
        <v>743.5</v>
      </c>
      <c r="N352" s="47">
        <v>23.0</v>
      </c>
      <c r="O352" s="49">
        <v>140720.0</v>
      </c>
      <c r="P352" s="50">
        <f t="shared" si="6"/>
        <v>0.1459717552</v>
      </c>
      <c r="Q352" s="51">
        <f t="shared" si="7"/>
        <v>6.850640376</v>
      </c>
      <c r="R352" s="50">
        <f t="shared" si="8"/>
        <v>0.6084288052</v>
      </c>
      <c r="S352" s="16"/>
      <c r="T352" s="25"/>
      <c r="U352" s="6"/>
      <c r="V352" s="6"/>
      <c r="W352" s="6"/>
      <c r="X352" s="6"/>
      <c r="Y352" s="6"/>
      <c r="Z352" s="6"/>
    </row>
    <row r="353" hidden="1" outlineLevel="1">
      <c r="A353" s="44" t="str">
        <f t="shared" si="258"/>
        <v>10-2025</v>
      </c>
      <c r="B353" s="34">
        <v>45947.0</v>
      </c>
      <c r="C353" s="45"/>
      <c r="D353" s="46">
        <v>844.2</v>
      </c>
      <c r="E353" s="47">
        <v>22.0</v>
      </c>
      <c r="F353" s="47">
        <v>22.0</v>
      </c>
      <c r="G353" s="48">
        <f t="shared" si="2"/>
        <v>1</v>
      </c>
      <c r="H353" s="46">
        <f t="shared" si="259"/>
        <v>38.37272727</v>
      </c>
      <c r="I353" s="46">
        <f t="shared" si="260"/>
        <v>38.37272727</v>
      </c>
      <c r="J353" s="49">
        <v>1599.0</v>
      </c>
      <c r="K353" s="50">
        <f t="shared" si="5"/>
        <v>0.01375859912</v>
      </c>
      <c r="L353" s="46">
        <v>88.43</v>
      </c>
      <c r="M353" s="46">
        <v>369.2</v>
      </c>
      <c r="N353" s="47">
        <v>10.0</v>
      </c>
      <c r="O353" s="49">
        <v>128120.0</v>
      </c>
      <c r="P353" s="50">
        <f t="shared" si="6"/>
        <v>0.2395178765</v>
      </c>
      <c r="Q353" s="51">
        <f t="shared" si="7"/>
        <v>4.175053715</v>
      </c>
      <c r="R353" s="50">
        <f t="shared" si="8"/>
        <v>0.4373371239</v>
      </c>
      <c r="S353" s="16"/>
      <c r="T353" s="25"/>
      <c r="U353" s="6"/>
      <c r="V353" s="6"/>
      <c r="W353" s="6"/>
      <c r="X353" s="6"/>
      <c r="Y353" s="6"/>
      <c r="Z353" s="6"/>
    </row>
    <row r="354" hidden="1" outlineLevel="1">
      <c r="A354" s="44" t="str">
        <f t="shared" si="258"/>
        <v>10-2025</v>
      </c>
      <c r="B354" s="34">
        <v>45948.0</v>
      </c>
      <c r="C354" s="45"/>
      <c r="D354" s="46">
        <v>1258.0</v>
      </c>
      <c r="E354" s="47">
        <v>37.0</v>
      </c>
      <c r="F354" s="47">
        <v>37.0</v>
      </c>
      <c r="G354" s="48">
        <f t="shared" si="2"/>
        <v>1</v>
      </c>
      <c r="H354" s="46">
        <f t="shared" si="259"/>
        <v>34</v>
      </c>
      <c r="I354" s="46">
        <f t="shared" si="260"/>
        <v>34</v>
      </c>
      <c r="J354" s="49">
        <v>1908.0</v>
      </c>
      <c r="K354" s="50">
        <f t="shared" si="5"/>
        <v>0.01939203354</v>
      </c>
      <c r="L354" s="46">
        <v>91.26</v>
      </c>
      <c r="M354" s="46">
        <v>656.5</v>
      </c>
      <c r="N354" s="47">
        <v>19.0</v>
      </c>
      <c r="O354" s="49">
        <v>134186.0</v>
      </c>
      <c r="P354" s="50">
        <f t="shared" si="6"/>
        <v>0.139009901</v>
      </c>
      <c r="Q354" s="51">
        <f t="shared" si="7"/>
        <v>7.193732194</v>
      </c>
      <c r="R354" s="50">
        <f t="shared" si="8"/>
        <v>0.5218600954</v>
      </c>
      <c r="S354" s="16"/>
      <c r="T354" s="25"/>
      <c r="U354" s="6"/>
      <c r="V354" s="6"/>
      <c r="W354" s="6"/>
      <c r="X354" s="6"/>
      <c r="Y354" s="6"/>
      <c r="Z354" s="6"/>
    </row>
    <row r="355" collapsed="1">
      <c r="A355" s="52" t="s">
        <v>88</v>
      </c>
      <c r="B355" s="53"/>
      <c r="C355" s="54"/>
      <c r="D355" s="55">
        <f t="shared" ref="D355:F355" si="261">SUM(D348:D354)</f>
        <v>8038.7</v>
      </c>
      <c r="E355" s="56">
        <f t="shared" si="261"/>
        <v>225</v>
      </c>
      <c r="F355" s="56">
        <f t="shared" si="261"/>
        <v>224</v>
      </c>
      <c r="G355" s="57">
        <f t="shared" si="2"/>
        <v>1.004464286</v>
      </c>
      <c r="H355" s="55">
        <f>AVERAGE(H348:H354)</f>
        <v>36.04262372</v>
      </c>
      <c r="I355" s="58">
        <f>H355/G355</f>
        <v>35.88243428</v>
      </c>
      <c r="J355" s="59">
        <f>SUM(J348:J354)</f>
        <v>14559</v>
      </c>
      <c r="K355" s="60">
        <f t="shared" si="5"/>
        <v>0.01545435813</v>
      </c>
      <c r="L355" s="55">
        <f t="shared" ref="L355:N355" si="262">SUM(L348:L354)</f>
        <v>716.91</v>
      </c>
      <c r="M355" s="55">
        <f t="shared" si="262"/>
        <v>5141.1</v>
      </c>
      <c r="N355" s="56">
        <f t="shared" si="262"/>
        <v>145</v>
      </c>
      <c r="O355" s="59">
        <f>sum(O348:O354)</f>
        <v>916064</v>
      </c>
      <c r="P355" s="60">
        <f t="shared" si="6"/>
        <v>0.139446811</v>
      </c>
      <c r="Q355" s="61">
        <f t="shared" si="7"/>
        <v>7.171193037</v>
      </c>
      <c r="R355" s="62">
        <f t="shared" si="8"/>
        <v>0.6395437073</v>
      </c>
      <c r="S355" s="54" t="str">
        <f>iferror((D355-#REF!)/D355,)</f>
        <v/>
      </c>
      <c r="T355" s="63" t="str">
        <f>iferror((F355-#REF!)/F355,)</f>
        <v/>
      </c>
      <c r="U355" s="64">
        <f t="shared" ref="U355:V355" si="263">L355</f>
        <v>716.91</v>
      </c>
      <c r="V355" s="64">
        <f t="shared" si="263"/>
        <v>5141.1</v>
      </c>
      <c r="W355" s="6"/>
      <c r="X355" s="6"/>
      <c r="Y355" s="6"/>
      <c r="Z355" s="6"/>
    </row>
    <row r="356" hidden="1" outlineLevel="1">
      <c r="A356" s="33" t="str">
        <f t="shared" ref="A356:A362" si="264">iferror(if(B356&gt;0,month(B356)&amp;"-"&amp;year(B356),B356),)</f>
        <v>10-2025</v>
      </c>
      <c r="B356" s="34">
        <v>45949.0</v>
      </c>
      <c r="C356" s="35"/>
      <c r="D356" s="36">
        <v>1141.1</v>
      </c>
      <c r="E356" s="37">
        <v>32.0</v>
      </c>
      <c r="F356" s="37">
        <v>32.0</v>
      </c>
      <c r="G356" s="38">
        <f t="shared" si="2"/>
        <v>1</v>
      </c>
      <c r="H356" s="36">
        <f t="shared" ref="H356:H362" si="265">D356/F356</f>
        <v>35.659375</v>
      </c>
      <c r="I356" s="36">
        <f t="shared" ref="I356:I362" si="266">D356/E356</f>
        <v>35.659375</v>
      </c>
      <c r="J356" s="39">
        <v>2435.0</v>
      </c>
      <c r="K356" s="40">
        <f t="shared" si="5"/>
        <v>0.01314168378</v>
      </c>
      <c r="L356" s="36">
        <v>123.81</v>
      </c>
      <c r="M356" s="36">
        <v>912.2</v>
      </c>
      <c r="N356" s="37">
        <v>28.0</v>
      </c>
      <c r="O356" s="39">
        <v>160842.0</v>
      </c>
      <c r="P356" s="40">
        <f t="shared" si="6"/>
        <v>0.1357268143</v>
      </c>
      <c r="Q356" s="41">
        <f t="shared" si="7"/>
        <v>7.367740893</v>
      </c>
      <c r="R356" s="40">
        <f t="shared" si="8"/>
        <v>0.7994040838</v>
      </c>
      <c r="S356" s="42"/>
      <c r="T356" s="43"/>
      <c r="U356" s="6"/>
      <c r="V356" s="6"/>
      <c r="W356" s="6"/>
      <c r="X356" s="6"/>
      <c r="Y356" s="6"/>
      <c r="Z356" s="6"/>
    </row>
    <row r="357" hidden="1" outlineLevel="1">
      <c r="A357" s="44" t="str">
        <f t="shared" si="264"/>
        <v>10-2025</v>
      </c>
      <c r="B357" s="34">
        <v>45950.0</v>
      </c>
      <c r="C357" s="45"/>
      <c r="D357" s="46">
        <v>890.0</v>
      </c>
      <c r="E357" s="47">
        <v>24.0</v>
      </c>
      <c r="F357" s="47">
        <v>24.0</v>
      </c>
      <c r="G357" s="48">
        <f t="shared" si="2"/>
        <v>1</v>
      </c>
      <c r="H357" s="46">
        <f t="shared" si="265"/>
        <v>37.08333333</v>
      </c>
      <c r="I357" s="46">
        <f t="shared" si="266"/>
        <v>37.08333333</v>
      </c>
      <c r="J357" s="49">
        <v>1084.0</v>
      </c>
      <c r="K357" s="50">
        <f t="shared" si="5"/>
        <v>0.0221402214</v>
      </c>
      <c r="L357" s="46">
        <v>61.53</v>
      </c>
      <c r="M357" s="46">
        <v>514.0</v>
      </c>
      <c r="N357" s="47">
        <v>14.0</v>
      </c>
      <c r="O357" s="49">
        <v>95042.0</v>
      </c>
      <c r="P357" s="50">
        <f t="shared" si="6"/>
        <v>0.1197081712</v>
      </c>
      <c r="Q357" s="51">
        <f t="shared" si="7"/>
        <v>8.353648627</v>
      </c>
      <c r="R357" s="50">
        <f t="shared" si="8"/>
        <v>0.5775280899</v>
      </c>
      <c r="S357" s="16"/>
      <c r="T357" s="25"/>
      <c r="U357" s="6"/>
      <c r="V357" s="6"/>
      <c r="W357" s="6"/>
      <c r="X357" s="6"/>
      <c r="Y357" s="6"/>
      <c r="Z357" s="6"/>
    </row>
    <row r="358" hidden="1" outlineLevel="1">
      <c r="A358" s="44" t="str">
        <f t="shared" si="264"/>
        <v>10-2025</v>
      </c>
      <c r="B358" s="34">
        <v>45951.0</v>
      </c>
      <c r="C358" s="45"/>
      <c r="D358" s="46">
        <v>1185.5</v>
      </c>
      <c r="E358" s="47">
        <v>34.0</v>
      </c>
      <c r="F358" s="47">
        <v>34.0</v>
      </c>
      <c r="G358" s="48">
        <f t="shared" si="2"/>
        <v>1</v>
      </c>
      <c r="H358" s="46">
        <f t="shared" si="265"/>
        <v>34.86764706</v>
      </c>
      <c r="I358" s="46">
        <f t="shared" si="266"/>
        <v>34.86764706</v>
      </c>
      <c r="J358" s="49">
        <v>1877.0</v>
      </c>
      <c r="K358" s="50">
        <f t="shared" si="5"/>
        <v>0.01811401172</v>
      </c>
      <c r="L358" s="46">
        <v>91.36</v>
      </c>
      <c r="M358" s="46">
        <v>837.6</v>
      </c>
      <c r="N358" s="47">
        <v>22.0</v>
      </c>
      <c r="O358" s="49">
        <v>134243.0</v>
      </c>
      <c r="P358" s="50">
        <f t="shared" si="6"/>
        <v>0.1090735435</v>
      </c>
      <c r="Q358" s="51">
        <f t="shared" si="7"/>
        <v>9.168126095</v>
      </c>
      <c r="R358" s="50">
        <f t="shared" si="8"/>
        <v>0.706537326</v>
      </c>
      <c r="S358" s="16"/>
      <c r="T358" s="25"/>
      <c r="U358" s="6"/>
      <c r="V358" s="6"/>
      <c r="W358" s="6"/>
      <c r="X358" s="6"/>
      <c r="Y358" s="6"/>
      <c r="Z358" s="6"/>
    </row>
    <row r="359" hidden="1" outlineLevel="1">
      <c r="A359" s="44" t="str">
        <f t="shared" si="264"/>
        <v>10-2025</v>
      </c>
      <c r="B359" s="34">
        <v>45952.0</v>
      </c>
      <c r="C359" s="45"/>
      <c r="D359" s="46">
        <v>1215.3</v>
      </c>
      <c r="E359" s="47">
        <v>34.0</v>
      </c>
      <c r="F359" s="47">
        <v>34.0</v>
      </c>
      <c r="G359" s="48">
        <f t="shared" si="2"/>
        <v>1</v>
      </c>
      <c r="H359" s="46">
        <f t="shared" si="265"/>
        <v>35.74411765</v>
      </c>
      <c r="I359" s="46">
        <f t="shared" si="266"/>
        <v>35.74411765</v>
      </c>
      <c r="J359" s="49">
        <v>1637.0</v>
      </c>
      <c r="K359" s="50">
        <f t="shared" si="5"/>
        <v>0.02076970067</v>
      </c>
      <c r="L359" s="46">
        <v>85.95</v>
      </c>
      <c r="M359" s="46">
        <v>702.3</v>
      </c>
      <c r="N359" s="47">
        <v>20.0</v>
      </c>
      <c r="O359" s="49">
        <v>128051.0</v>
      </c>
      <c r="P359" s="50">
        <f t="shared" si="6"/>
        <v>0.1223835968</v>
      </c>
      <c r="Q359" s="51">
        <f t="shared" si="7"/>
        <v>8.171029668</v>
      </c>
      <c r="R359" s="50">
        <f t="shared" si="8"/>
        <v>0.5778820044</v>
      </c>
      <c r="S359" s="16"/>
      <c r="T359" s="25"/>
      <c r="U359" s="6"/>
      <c r="V359" s="6"/>
      <c r="W359" s="6"/>
      <c r="X359" s="6"/>
      <c r="Y359" s="6"/>
      <c r="Z359" s="6"/>
    </row>
    <row r="360" hidden="1" outlineLevel="1">
      <c r="A360" s="44" t="str">
        <f t="shared" si="264"/>
        <v>10-2025</v>
      </c>
      <c r="B360" s="34">
        <v>45953.0</v>
      </c>
      <c r="C360" s="45"/>
      <c r="D360" s="46">
        <v>1153.4</v>
      </c>
      <c r="E360" s="47">
        <v>34.0</v>
      </c>
      <c r="F360" s="47">
        <v>34.0</v>
      </c>
      <c r="G360" s="48">
        <f t="shared" si="2"/>
        <v>1</v>
      </c>
      <c r="H360" s="46">
        <f t="shared" si="265"/>
        <v>33.92352941</v>
      </c>
      <c r="I360" s="46">
        <f t="shared" si="266"/>
        <v>33.92352941</v>
      </c>
      <c r="J360" s="49">
        <v>1815.0</v>
      </c>
      <c r="K360" s="50">
        <f t="shared" si="5"/>
        <v>0.01873278237</v>
      </c>
      <c r="L360" s="46">
        <v>89.29</v>
      </c>
      <c r="M360" s="46">
        <v>657.0</v>
      </c>
      <c r="N360" s="47">
        <v>17.0</v>
      </c>
      <c r="O360" s="49">
        <v>125005.0</v>
      </c>
      <c r="P360" s="50">
        <f t="shared" si="6"/>
        <v>0.1359056317</v>
      </c>
      <c r="Q360" s="51">
        <f t="shared" si="7"/>
        <v>7.358046814</v>
      </c>
      <c r="R360" s="50">
        <f t="shared" si="8"/>
        <v>0.5696202532</v>
      </c>
      <c r="S360" s="16"/>
      <c r="T360" s="25"/>
      <c r="U360" s="6"/>
      <c r="V360" s="6"/>
      <c r="W360" s="6"/>
      <c r="X360" s="6"/>
      <c r="Y360" s="6"/>
      <c r="Z360" s="6"/>
    </row>
    <row r="361" hidden="1" outlineLevel="1">
      <c r="A361" s="44" t="str">
        <f t="shared" si="264"/>
        <v>10-2025</v>
      </c>
      <c r="B361" s="34">
        <v>45954.0</v>
      </c>
      <c r="C361" s="45"/>
      <c r="D361" s="46">
        <v>1356.6</v>
      </c>
      <c r="E361" s="47">
        <v>37.0</v>
      </c>
      <c r="F361" s="47">
        <v>37.0</v>
      </c>
      <c r="G361" s="48">
        <f t="shared" si="2"/>
        <v>1</v>
      </c>
      <c r="H361" s="46">
        <f t="shared" si="265"/>
        <v>36.66486486</v>
      </c>
      <c r="I361" s="46">
        <f t="shared" si="266"/>
        <v>36.66486486</v>
      </c>
      <c r="J361" s="49">
        <v>1524.0</v>
      </c>
      <c r="K361" s="50">
        <f t="shared" si="5"/>
        <v>0.02427821522</v>
      </c>
      <c r="L361" s="46">
        <v>65.4</v>
      </c>
      <c r="M361" s="46">
        <v>647.6</v>
      </c>
      <c r="N361" s="47">
        <v>20.0</v>
      </c>
      <c r="O361" s="49">
        <v>108714.0</v>
      </c>
      <c r="P361" s="50">
        <f t="shared" si="6"/>
        <v>0.1009882644</v>
      </c>
      <c r="Q361" s="51">
        <f t="shared" si="7"/>
        <v>9.902140673</v>
      </c>
      <c r="R361" s="50">
        <f t="shared" si="8"/>
        <v>0.4773698953</v>
      </c>
      <c r="S361" s="16"/>
      <c r="T361" s="25"/>
      <c r="U361" s="6"/>
      <c r="V361" s="6"/>
      <c r="W361" s="6"/>
      <c r="X361" s="6"/>
      <c r="Y361" s="6"/>
      <c r="Z361" s="6"/>
    </row>
    <row r="362" hidden="1" outlineLevel="1">
      <c r="A362" s="44" t="str">
        <f t="shared" si="264"/>
        <v>10-2025</v>
      </c>
      <c r="B362" s="34">
        <v>45955.0</v>
      </c>
      <c r="C362" s="45"/>
      <c r="D362" s="46">
        <v>894.6</v>
      </c>
      <c r="E362" s="47">
        <v>26.0</v>
      </c>
      <c r="F362" s="47">
        <v>26.0</v>
      </c>
      <c r="G362" s="48">
        <f t="shared" si="2"/>
        <v>1</v>
      </c>
      <c r="H362" s="46">
        <f t="shared" si="265"/>
        <v>34.40769231</v>
      </c>
      <c r="I362" s="46">
        <f t="shared" si="266"/>
        <v>34.40769231</v>
      </c>
      <c r="J362" s="49">
        <v>1823.0</v>
      </c>
      <c r="K362" s="50">
        <f t="shared" si="5"/>
        <v>0.01426220516</v>
      </c>
      <c r="L362" s="46">
        <v>86.22</v>
      </c>
      <c r="M362" s="46">
        <v>309.3</v>
      </c>
      <c r="N362" s="47">
        <v>10.0</v>
      </c>
      <c r="O362" s="49">
        <v>128148.0</v>
      </c>
      <c r="P362" s="50">
        <f t="shared" si="6"/>
        <v>0.2787584869</v>
      </c>
      <c r="Q362" s="51">
        <f t="shared" si="7"/>
        <v>3.587334725</v>
      </c>
      <c r="R362" s="50">
        <f t="shared" si="8"/>
        <v>0.3457411133</v>
      </c>
      <c r="S362" s="16"/>
      <c r="T362" s="25"/>
      <c r="U362" s="6"/>
      <c r="V362" s="6"/>
      <c r="W362" s="6"/>
      <c r="X362" s="6"/>
      <c r="Y362" s="6"/>
      <c r="Z362" s="6"/>
    </row>
    <row r="363" collapsed="1">
      <c r="A363" s="52" t="s">
        <v>89</v>
      </c>
      <c r="B363" s="53"/>
      <c r="C363" s="54"/>
      <c r="D363" s="55">
        <f t="shared" ref="D363:F363" si="267">SUM(D356:D362)</f>
        <v>7836.5</v>
      </c>
      <c r="E363" s="56">
        <f t="shared" si="267"/>
        <v>221</v>
      </c>
      <c r="F363" s="56">
        <f t="shared" si="267"/>
        <v>221</v>
      </c>
      <c r="G363" s="57">
        <f t="shared" si="2"/>
        <v>1</v>
      </c>
      <c r="H363" s="55">
        <f>AVERAGE(H356:H362)</f>
        <v>35.47865137</v>
      </c>
      <c r="I363" s="58">
        <f>H363/G363</f>
        <v>35.47865137</v>
      </c>
      <c r="J363" s="59">
        <f>SUM(J356:J362)</f>
        <v>12195</v>
      </c>
      <c r="K363" s="60">
        <f t="shared" si="5"/>
        <v>0.01812218122</v>
      </c>
      <c r="L363" s="55">
        <f t="shared" ref="L363:N363" si="268">SUM(L356:L362)</f>
        <v>603.56</v>
      </c>
      <c r="M363" s="55">
        <f t="shared" si="268"/>
        <v>4580</v>
      </c>
      <c r="N363" s="56">
        <f t="shared" si="268"/>
        <v>131</v>
      </c>
      <c r="O363" s="59">
        <f>sum(O356:O362)</f>
        <v>880045</v>
      </c>
      <c r="P363" s="60">
        <f t="shared" si="6"/>
        <v>0.1317816594</v>
      </c>
      <c r="Q363" s="61">
        <f t="shared" si="7"/>
        <v>7.588309364</v>
      </c>
      <c r="R363" s="62">
        <f t="shared" si="8"/>
        <v>0.5844445862</v>
      </c>
      <c r="S363" s="54" t="str">
        <f>iferror((D363-#REF!)/D363,)</f>
        <v/>
      </c>
      <c r="T363" s="63" t="str">
        <f>iferror((F363-#REF!)/F363,)</f>
        <v/>
      </c>
      <c r="U363" s="64">
        <f t="shared" ref="U363:V363" si="269">L363</f>
        <v>603.56</v>
      </c>
      <c r="V363" s="64">
        <f t="shared" si="269"/>
        <v>4580</v>
      </c>
      <c r="W363" s="6"/>
      <c r="X363" s="6"/>
      <c r="Y363" s="6"/>
      <c r="Z363" s="6"/>
    </row>
    <row r="364" hidden="1" outlineLevel="1">
      <c r="A364" s="33" t="str">
        <f t="shared" ref="A364:A370" si="270">iferror(if(B364&gt;0,month(B364)&amp;"-"&amp;year(B364),B364),)</f>
        <v>10-2025</v>
      </c>
      <c r="B364" s="34">
        <v>45956.0</v>
      </c>
      <c r="C364" s="35"/>
      <c r="D364" s="36">
        <v>815.7</v>
      </c>
      <c r="E364" s="37">
        <v>24.0</v>
      </c>
      <c r="F364" s="37">
        <v>24.0</v>
      </c>
      <c r="G364" s="38">
        <f t="shared" si="2"/>
        <v>1</v>
      </c>
      <c r="H364" s="36">
        <f t="shared" ref="H364:H370" si="271">D364/F364</f>
        <v>33.9875</v>
      </c>
      <c r="I364" s="36">
        <f t="shared" ref="I364:I370" si="272">D364/E364</f>
        <v>33.9875</v>
      </c>
      <c r="J364" s="39">
        <v>2357.0</v>
      </c>
      <c r="K364" s="40">
        <f t="shared" si="5"/>
        <v>0.0101824353</v>
      </c>
      <c r="L364" s="36">
        <v>108.59</v>
      </c>
      <c r="M364" s="36">
        <v>706.0</v>
      </c>
      <c r="N364" s="37">
        <v>18.0</v>
      </c>
      <c r="O364" s="39">
        <v>162105.0</v>
      </c>
      <c r="P364" s="40">
        <f t="shared" si="6"/>
        <v>0.1538101983</v>
      </c>
      <c r="Q364" s="41">
        <f t="shared" si="7"/>
        <v>6.501519477</v>
      </c>
      <c r="R364" s="40">
        <f t="shared" si="8"/>
        <v>0.8655142822</v>
      </c>
      <c r="S364" s="42"/>
      <c r="T364" s="43"/>
      <c r="U364" s="6"/>
      <c r="V364" s="6"/>
      <c r="W364" s="6"/>
      <c r="X364" s="6"/>
      <c r="Y364" s="6"/>
      <c r="Z364" s="6"/>
    </row>
    <row r="365" hidden="1" outlineLevel="1">
      <c r="A365" s="44" t="str">
        <f t="shared" si="270"/>
        <v>10-2025</v>
      </c>
      <c r="B365" s="34">
        <v>45957.0</v>
      </c>
      <c r="C365" s="45"/>
      <c r="D365" s="46">
        <v>1144.3</v>
      </c>
      <c r="E365" s="47">
        <v>30.0</v>
      </c>
      <c r="F365" s="47">
        <v>30.0</v>
      </c>
      <c r="G365" s="48">
        <f t="shared" si="2"/>
        <v>1</v>
      </c>
      <c r="H365" s="46">
        <f t="shared" si="271"/>
        <v>38.14333333</v>
      </c>
      <c r="I365" s="46">
        <f t="shared" si="272"/>
        <v>38.14333333</v>
      </c>
      <c r="J365" s="49">
        <v>2037.0</v>
      </c>
      <c r="K365" s="50">
        <f t="shared" si="5"/>
        <v>0.0147275405</v>
      </c>
      <c r="L365" s="46">
        <v>95.14</v>
      </c>
      <c r="M365" s="46">
        <v>654.0</v>
      </c>
      <c r="N365" s="47">
        <v>16.0</v>
      </c>
      <c r="O365" s="49">
        <v>139138.0</v>
      </c>
      <c r="P365" s="50">
        <f t="shared" si="6"/>
        <v>0.1454740061</v>
      </c>
      <c r="Q365" s="51">
        <f t="shared" si="7"/>
        <v>6.874080303</v>
      </c>
      <c r="R365" s="50">
        <f t="shared" si="8"/>
        <v>0.5715284453</v>
      </c>
      <c r="S365" s="16"/>
      <c r="T365" s="25"/>
      <c r="U365" s="6"/>
      <c r="V365" s="6"/>
      <c r="W365" s="6"/>
      <c r="X365" s="6"/>
      <c r="Y365" s="6"/>
      <c r="Z365" s="6"/>
    </row>
    <row r="366" hidden="1" outlineLevel="1">
      <c r="A366" s="44" t="str">
        <f t="shared" si="270"/>
        <v>10-2025</v>
      </c>
      <c r="B366" s="34">
        <v>45958.0</v>
      </c>
      <c r="C366" s="45"/>
      <c r="D366" s="46">
        <v>1011.4</v>
      </c>
      <c r="E366" s="47">
        <v>32.0</v>
      </c>
      <c r="F366" s="47">
        <v>32.0</v>
      </c>
      <c r="G366" s="48">
        <f t="shared" si="2"/>
        <v>1</v>
      </c>
      <c r="H366" s="46">
        <f t="shared" si="271"/>
        <v>31.60625</v>
      </c>
      <c r="I366" s="46">
        <f t="shared" si="272"/>
        <v>31.60625</v>
      </c>
      <c r="J366" s="49">
        <v>1928.0</v>
      </c>
      <c r="K366" s="50">
        <f t="shared" si="5"/>
        <v>0.01659751037</v>
      </c>
      <c r="L366" s="46">
        <v>85.13</v>
      </c>
      <c r="M366" s="46">
        <v>638.1</v>
      </c>
      <c r="N366" s="47">
        <v>18.0</v>
      </c>
      <c r="O366" s="49">
        <v>129514.0</v>
      </c>
      <c r="P366" s="50">
        <f t="shared" si="6"/>
        <v>0.133411691</v>
      </c>
      <c r="Q366" s="51">
        <f t="shared" si="7"/>
        <v>7.495594972</v>
      </c>
      <c r="R366" s="50">
        <f t="shared" si="8"/>
        <v>0.6309076528</v>
      </c>
      <c r="S366" s="16"/>
      <c r="T366" s="25"/>
      <c r="U366" s="6"/>
      <c r="V366" s="6"/>
      <c r="W366" s="6"/>
      <c r="X366" s="6"/>
      <c r="Y366" s="6"/>
      <c r="Z366" s="6"/>
    </row>
    <row r="367" hidden="1" outlineLevel="1">
      <c r="A367" s="44" t="str">
        <f t="shared" si="270"/>
        <v>10-2025</v>
      </c>
      <c r="B367" s="34">
        <v>45959.0</v>
      </c>
      <c r="C367" s="45"/>
      <c r="D367" s="46">
        <v>761.2</v>
      </c>
      <c r="E367" s="47">
        <v>24.0</v>
      </c>
      <c r="F367" s="47">
        <v>24.0</v>
      </c>
      <c r="G367" s="48">
        <f t="shared" si="2"/>
        <v>1</v>
      </c>
      <c r="H367" s="46">
        <f t="shared" si="271"/>
        <v>31.71666667</v>
      </c>
      <c r="I367" s="46">
        <f t="shared" si="272"/>
        <v>31.71666667</v>
      </c>
      <c r="J367" s="49">
        <v>1846.0</v>
      </c>
      <c r="K367" s="50">
        <f t="shared" si="5"/>
        <v>0.01300108342</v>
      </c>
      <c r="L367" s="46">
        <v>73.67</v>
      </c>
      <c r="M367" s="46">
        <v>526.2</v>
      </c>
      <c r="N367" s="47">
        <v>17.0</v>
      </c>
      <c r="O367" s="49">
        <v>113515.0</v>
      </c>
      <c r="P367" s="50">
        <f t="shared" si="6"/>
        <v>0.1400038008</v>
      </c>
      <c r="Q367" s="51">
        <f t="shared" si="7"/>
        <v>7.142663228</v>
      </c>
      <c r="R367" s="50">
        <f t="shared" si="8"/>
        <v>0.6912769312</v>
      </c>
      <c r="S367" s="16"/>
      <c r="T367" s="25"/>
      <c r="U367" s="6"/>
      <c r="V367" s="6"/>
      <c r="W367" s="6"/>
      <c r="X367" s="6"/>
      <c r="Y367" s="6"/>
      <c r="Z367" s="6"/>
    </row>
    <row r="368" hidden="1" outlineLevel="1">
      <c r="A368" s="44" t="str">
        <f t="shared" si="270"/>
        <v>10-2025</v>
      </c>
      <c r="B368" s="34">
        <v>45960.0</v>
      </c>
      <c r="C368" s="45"/>
      <c r="D368" s="46">
        <v>1060.6</v>
      </c>
      <c r="E368" s="47">
        <v>33.0</v>
      </c>
      <c r="F368" s="47">
        <v>32.0</v>
      </c>
      <c r="G368" s="48">
        <f t="shared" si="2"/>
        <v>1.03125</v>
      </c>
      <c r="H368" s="46">
        <f t="shared" si="271"/>
        <v>33.14375</v>
      </c>
      <c r="I368" s="46">
        <f t="shared" si="272"/>
        <v>32.13939394</v>
      </c>
      <c r="J368" s="49">
        <v>1554.0</v>
      </c>
      <c r="K368" s="50">
        <f t="shared" si="5"/>
        <v>0.02123552124</v>
      </c>
      <c r="L368" s="46">
        <v>74.38</v>
      </c>
      <c r="M368" s="46">
        <v>527.1</v>
      </c>
      <c r="N368" s="47">
        <v>14.0</v>
      </c>
      <c r="O368" s="49">
        <v>94283.0</v>
      </c>
      <c r="P368" s="50">
        <f t="shared" si="6"/>
        <v>0.1411117435</v>
      </c>
      <c r="Q368" s="51">
        <f t="shared" si="7"/>
        <v>7.086582415</v>
      </c>
      <c r="R368" s="50">
        <f t="shared" si="8"/>
        <v>0.4969828399</v>
      </c>
      <c r="S368" s="16"/>
      <c r="T368" s="25"/>
      <c r="U368" s="6"/>
      <c r="V368" s="6"/>
      <c r="W368" s="6"/>
      <c r="X368" s="6"/>
      <c r="Y368" s="6"/>
      <c r="Z368" s="6"/>
    </row>
    <row r="369" hidden="1" outlineLevel="1">
      <c r="A369" s="44" t="str">
        <f t="shared" si="270"/>
        <v>10-2025</v>
      </c>
      <c r="B369" s="34">
        <v>45961.0</v>
      </c>
      <c r="C369" s="45"/>
      <c r="D369" s="46">
        <v>718.7</v>
      </c>
      <c r="E369" s="47">
        <v>22.0</v>
      </c>
      <c r="F369" s="47">
        <v>22.0</v>
      </c>
      <c r="G369" s="48">
        <f t="shared" si="2"/>
        <v>1</v>
      </c>
      <c r="H369" s="46">
        <f t="shared" si="271"/>
        <v>32.66818182</v>
      </c>
      <c r="I369" s="46">
        <f t="shared" si="272"/>
        <v>32.66818182</v>
      </c>
      <c r="J369" s="49">
        <v>1281.0</v>
      </c>
      <c r="K369" s="50">
        <f t="shared" si="5"/>
        <v>0.01717408275</v>
      </c>
      <c r="L369" s="46">
        <v>45.92</v>
      </c>
      <c r="M369" s="46">
        <v>307.0</v>
      </c>
      <c r="N369" s="47">
        <v>11.0</v>
      </c>
      <c r="O369" s="49">
        <v>72159.0</v>
      </c>
      <c r="P369" s="50">
        <f t="shared" si="6"/>
        <v>0.1495765472</v>
      </c>
      <c r="Q369" s="51">
        <f t="shared" si="7"/>
        <v>6.68554007</v>
      </c>
      <c r="R369" s="50">
        <f t="shared" si="8"/>
        <v>0.4271601503</v>
      </c>
      <c r="S369" s="16"/>
      <c r="T369" s="25"/>
      <c r="U369" s="6"/>
      <c r="V369" s="6"/>
      <c r="W369" s="6"/>
      <c r="X369" s="6"/>
      <c r="Y369" s="6"/>
      <c r="Z369" s="6"/>
    </row>
    <row r="370" hidden="1" outlineLevel="1">
      <c r="A370" s="44" t="str">
        <f t="shared" si="270"/>
        <v>11-2025</v>
      </c>
      <c r="B370" s="34">
        <v>45962.0</v>
      </c>
      <c r="C370" s="45"/>
      <c r="D370" s="46">
        <v>967.2</v>
      </c>
      <c r="E370" s="47">
        <v>31.0</v>
      </c>
      <c r="F370" s="47">
        <v>29.0</v>
      </c>
      <c r="G370" s="48">
        <f t="shared" si="2"/>
        <v>1.068965517</v>
      </c>
      <c r="H370" s="46">
        <f t="shared" si="271"/>
        <v>33.35172414</v>
      </c>
      <c r="I370" s="46">
        <f t="shared" si="272"/>
        <v>31.2</v>
      </c>
      <c r="J370" s="49">
        <v>1770.0</v>
      </c>
      <c r="K370" s="50">
        <f t="shared" si="5"/>
        <v>0.01751412429</v>
      </c>
      <c r="L370" s="46">
        <v>69.27</v>
      </c>
      <c r="M370" s="46">
        <v>461.1</v>
      </c>
      <c r="N370" s="47">
        <v>16.0</v>
      </c>
      <c r="O370" s="49">
        <v>103029.0</v>
      </c>
      <c r="P370" s="50">
        <f t="shared" si="6"/>
        <v>0.1502277163</v>
      </c>
      <c r="Q370" s="51">
        <f t="shared" si="7"/>
        <v>6.656561282</v>
      </c>
      <c r="R370" s="50">
        <f t="shared" si="8"/>
        <v>0.4767369727</v>
      </c>
      <c r="S370" s="16"/>
      <c r="T370" s="25"/>
      <c r="U370" s="6"/>
      <c r="V370" s="6"/>
      <c r="W370" s="6"/>
      <c r="X370" s="6"/>
      <c r="Y370" s="6"/>
      <c r="Z370" s="6"/>
    </row>
    <row r="371" collapsed="1">
      <c r="A371" s="52" t="s">
        <v>90</v>
      </c>
      <c r="B371" s="53"/>
      <c r="C371" s="54"/>
      <c r="D371" s="55">
        <f t="shared" ref="D371:F371" si="273">SUM(D364:D370)</f>
        <v>6479.1</v>
      </c>
      <c r="E371" s="56">
        <f t="shared" si="273"/>
        <v>196</v>
      </c>
      <c r="F371" s="56">
        <f t="shared" si="273"/>
        <v>193</v>
      </c>
      <c r="G371" s="57">
        <f t="shared" si="2"/>
        <v>1.015544041</v>
      </c>
      <c r="H371" s="55">
        <f>AVERAGE(H364:H370)</f>
        <v>33.51677228</v>
      </c>
      <c r="I371" s="58">
        <f>H371/G371</f>
        <v>33.00376046</v>
      </c>
      <c r="J371" s="59">
        <f>SUM(J364:J370)</f>
        <v>12773</v>
      </c>
      <c r="K371" s="60">
        <f t="shared" si="5"/>
        <v>0.01534486808</v>
      </c>
      <c r="L371" s="55">
        <f t="shared" ref="L371:N371" si="274">SUM(L364:L370)</f>
        <v>552.1</v>
      </c>
      <c r="M371" s="55">
        <f t="shared" si="274"/>
        <v>3819.5</v>
      </c>
      <c r="N371" s="56">
        <f t="shared" si="274"/>
        <v>110</v>
      </c>
      <c r="O371" s="59">
        <f>sum(O364:O370)</f>
        <v>813743</v>
      </c>
      <c r="P371" s="60">
        <f t="shared" si="6"/>
        <v>0.1445477157</v>
      </c>
      <c r="Q371" s="61">
        <f t="shared" si="7"/>
        <v>6.918130773</v>
      </c>
      <c r="R371" s="62">
        <f t="shared" si="8"/>
        <v>0.5895108889</v>
      </c>
      <c r="S371" s="54" t="str">
        <f>iferror((D371-#REF!)/D371,)</f>
        <v/>
      </c>
      <c r="T371" s="63" t="str">
        <f>iferror((F371-#REF!)/F371,)</f>
        <v/>
      </c>
      <c r="U371" s="64">
        <f t="shared" ref="U371:V371" si="275">L371</f>
        <v>552.1</v>
      </c>
      <c r="V371" s="64">
        <f t="shared" si="275"/>
        <v>3819.5</v>
      </c>
      <c r="W371" s="6"/>
      <c r="X371" s="6"/>
      <c r="Y371" s="6"/>
      <c r="Z371" s="6"/>
    </row>
    <row r="372" hidden="1" outlineLevel="1">
      <c r="A372" s="33" t="str">
        <f t="shared" ref="A372:A378" si="276">iferror(if(B372&gt;0,month(B372)&amp;"-"&amp;year(B372),B372),)</f>
        <v>11-2025</v>
      </c>
      <c r="B372" s="34">
        <v>45963.0</v>
      </c>
      <c r="C372" s="35"/>
      <c r="D372" s="36">
        <v>1176.5</v>
      </c>
      <c r="E372" s="37">
        <v>33.0</v>
      </c>
      <c r="F372" s="37">
        <v>33.0</v>
      </c>
      <c r="G372" s="38">
        <f t="shared" si="2"/>
        <v>1</v>
      </c>
      <c r="H372" s="36">
        <f t="shared" ref="H372:H378" si="277">D372/F372</f>
        <v>35.65151515</v>
      </c>
      <c r="I372" s="36">
        <f t="shared" ref="I372:I378" si="278">D372/E372</f>
        <v>35.65151515</v>
      </c>
      <c r="J372" s="39">
        <v>2301.0</v>
      </c>
      <c r="K372" s="40">
        <f t="shared" si="5"/>
        <v>0.01434159061</v>
      </c>
      <c r="L372" s="36">
        <v>97.75</v>
      </c>
      <c r="M372" s="36">
        <v>540.0</v>
      </c>
      <c r="N372" s="37">
        <v>14.0</v>
      </c>
      <c r="O372" s="39">
        <v>131447.0</v>
      </c>
      <c r="P372" s="40">
        <f t="shared" si="6"/>
        <v>0.1810185185</v>
      </c>
      <c r="Q372" s="41">
        <f t="shared" si="7"/>
        <v>5.524296675</v>
      </c>
      <c r="R372" s="40">
        <f t="shared" si="8"/>
        <v>0.4589885253</v>
      </c>
      <c r="S372" s="42"/>
      <c r="T372" s="43"/>
      <c r="U372" s="6"/>
      <c r="V372" s="6"/>
      <c r="W372" s="6"/>
      <c r="X372" s="6"/>
      <c r="Y372" s="6"/>
      <c r="Z372" s="6"/>
    </row>
    <row r="373" hidden="1" outlineLevel="1">
      <c r="A373" s="44" t="str">
        <f t="shared" si="276"/>
        <v>11-2025</v>
      </c>
      <c r="B373" s="34">
        <v>45964.0</v>
      </c>
      <c r="C373" s="45"/>
      <c r="D373" s="46">
        <v>1500.1</v>
      </c>
      <c r="E373" s="47">
        <v>39.0</v>
      </c>
      <c r="F373" s="47">
        <v>39.0</v>
      </c>
      <c r="G373" s="48">
        <f t="shared" si="2"/>
        <v>1</v>
      </c>
      <c r="H373" s="46">
        <f t="shared" si="277"/>
        <v>38.46410256</v>
      </c>
      <c r="I373" s="46">
        <f t="shared" si="278"/>
        <v>38.46410256</v>
      </c>
      <c r="J373" s="49">
        <v>2020.0</v>
      </c>
      <c r="K373" s="50">
        <f t="shared" si="5"/>
        <v>0.01930693069</v>
      </c>
      <c r="L373" s="46">
        <v>75.32</v>
      </c>
      <c r="M373" s="46">
        <v>604.1</v>
      </c>
      <c r="N373" s="47">
        <v>17.0</v>
      </c>
      <c r="O373" s="49">
        <v>110478.0</v>
      </c>
      <c r="P373" s="50">
        <f t="shared" si="6"/>
        <v>0.1246813441</v>
      </c>
      <c r="Q373" s="51">
        <f t="shared" si="7"/>
        <v>8.020446097</v>
      </c>
      <c r="R373" s="50">
        <f t="shared" si="8"/>
        <v>0.4027064862</v>
      </c>
      <c r="S373" s="16"/>
      <c r="T373" s="25"/>
      <c r="U373" s="6"/>
      <c r="V373" s="6"/>
      <c r="W373" s="6"/>
      <c r="X373" s="6"/>
      <c r="Y373" s="6"/>
      <c r="Z373" s="6"/>
    </row>
    <row r="374" hidden="1" outlineLevel="1">
      <c r="A374" s="44" t="str">
        <f t="shared" si="276"/>
        <v>11-2025</v>
      </c>
      <c r="B374" s="34">
        <v>45965.0</v>
      </c>
      <c r="C374" s="45"/>
      <c r="D374" s="46">
        <v>1024.9</v>
      </c>
      <c r="E374" s="47">
        <v>28.0</v>
      </c>
      <c r="F374" s="47">
        <v>28.0</v>
      </c>
      <c r="G374" s="48">
        <f t="shared" si="2"/>
        <v>1</v>
      </c>
      <c r="H374" s="46">
        <f t="shared" si="277"/>
        <v>36.60357143</v>
      </c>
      <c r="I374" s="46">
        <f t="shared" si="278"/>
        <v>36.60357143</v>
      </c>
      <c r="J374" s="49">
        <v>1959.0</v>
      </c>
      <c r="K374" s="50">
        <f t="shared" si="5"/>
        <v>0.01429300664</v>
      </c>
      <c r="L374" s="46">
        <v>77.74</v>
      </c>
      <c r="M374" s="46">
        <v>578.3</v>
      </c>
      <c r="N374" s="47">
        <v>16.0</v>
      </c>
      <c r="O374" s="49">
        <v>121692.0</v>
      </c>
      <c r="P374" s="50">
        <f t="shared" si="6"/>
        <v>0.1344284973</v>
      </c>
      <c r="Q374" s="51">
        <f t="shared" si="7"/>
        <v>7.438898894</v>
      </c>
      <c r="R374" s="50">
        <f t="shared" si="8"/>
        <v>0.5642501707</v>
      </c>
      <c r="S374" s="16"/>
      <c r="T374" s="25"/>
      <c r="U374" s="6"/>
      <c r="V374" s="6"/>
      <c r="W374" s="6"/>
      <c r="X374" s="6"/>
      <c r="Y374" s="6"/>
      <c r="Z374" s="6"/>
    </row>
    <row r="375" hidden="1" outlineLevel="1">
      <c r="A375" s="44" t="str">
        <f t="shared" si="276"/>
        <v>11-2025</v>
      </c>
      <c r="B375" s="34">
        <v>45966.0</v>
      </c>
      <c r="C375" s="45"/>
      <c r="D375" s="46">
        <v>1405.9</v>
      </c>
      <c r="E375" s="47">
        <v>39.0</v>
      </c>
      <c r="F375" s="47">
        <v>39.0</v>
      </c>
      <c r="G375" s="48">
        <f t="shared" si="2"/>
        <v>1</v>
      </c>
      <c r="H375" s="46">
        <f t="shared" si="277"/>
        <v>36.04871795</v>
      </c>
      <c r="I375" s="46">
        <f t="shared" si="278"/>
        <v>36.04871795</v>
      </c>
      <c r="J375" s="49">
        <v>1619.0</v>
      </c>
      <c r="K375" s="50">
        <f t="shared" si="5"/>
        <v>0.02408894379</v>
      </c>
      <c r="L375" s="46">
        <v>88.76</v>
      </c>
      <c r="M375" s="46">
        <v>519.9</v>
      </c>
      <c r="N375" s="47">
        <v>13.0</v>
      </c>
      <c r="O375" s="49">
        <v>113678.0</v>
      </c>
      <c r="P375" s="50">
        <f t="shared" si="6"/>
        <v>0.1707251394</v>
      </c>
      <c r="Q375" s="51">
        <f t="shared" si="7"/>
        <v>5.857368184</v>
      </c>
      <c r="R375" s="50">
        <f t="shared" si="8"/>
        <v>0.3697987055</v>
      </c>
      <c r="S375" s="16"/>
      <c r="T375" s="25"/>
      <c r="U375" s="6"/>
      <c r="V375" s="6"/>
      <c r="W375" s="6"/>
      <c r="X375" s="6"/>
      <c r="Y375" s="6"/>
      <c r="Z375" s="6"/>
    </row>
    <row r="376" hidden="1" outlineLevel="1">
      <c r="A376" s="44" t="str">
        <f t="shared" si="276"/>
        <v>11-2025</v>
      </c>
      <c r="B376" s="34">
        <v>45967.0</v>
      </c>
      <c r="C376" s="45"/>
      <c r="D376" s="46">
        <v>1390.2</v>
      </c>
      <c r="E376" s="47">
        <v>36.0</v>
      </c>
      <c r="F376" s="47">
        <v>36.0</v>
      </c>
      <c r="G376" s="48">
        <f t="shared" si="2"/>
        <v>1</v>
      </c>
      <c r="H376" s="46">
        <f t="shared" si="277"/>
        <v>38.61666667</v>
      </c>
      <c r="I376" s="46">
        <f t="shared" si="278"/>
        <v>38.61666667</v>
      </c>
      <c r="J376" s="49">
        <v>2167.0</v>
      </c>
      <c r="K376" s="50">
        <f t="shared" si="5"/>
        <v>0.0166128288</v>
      </c>
      <c r="L376" s="46">
        <v>94.23</v>
      </c>
      <c r="M376" s="46">
        <v>776.3</v>
      </c>
      <c r="N376" s="47">
        <v>21.0</v>
      </c>
      <c r="O376" s="49">
        <v>110592.0</v>
      </c>
      <c r="P376" s="50">
        <f t="shared" si="6"/>
        <v>0.1213834858</v>
      </c>
      <c r="Q376" s="51">
        <f t="shared" si="7"/>
        <v>8.238352966</v>
      </c>
      <c r="R376" s="50">
        <f t="shared" si="8"/>
        <v>0.558408862</v>
      </c>
      <c r="S376" s="16"/>
      <c r="T376" s="25"/>
      <c r="U376" s="6"/>
      <c r="V376" s="6"/>
      <c r="W376" s="6"/>
      <c r="X376" s="6"/>
      <c r="Y376" s="6"/>
      <c r="Z376" s="6"/>
    </row>
    <row r="377" hidden="1" outlineLevel="1">
      <c r="A377" s="44" t="str">
        <f t="shared" si="276"/>
        <v>11-2025</v>
      </c>
      <c r="B377" s="34">
        <v>45968.0</v>
      </c>
      <c r="C377" s="45"/>
      <c r="D377" s="46">
        <v>835.1</v>
      </c>
      <c r="E377" s="47">
        <v>26.0</v>
      </c>
      <c r="F377" s="47">
        <v>26.0</v>
      </c>
      <c r="G377" s="48">
        <f t="shared" si="2"/>
        <v>1</v>
      </c>
      <c r="H377" s="46">
        <f t="shared" si="277"/>
        <v>32.11923077</v>
      </c>
      <c r="I377" s="46">
        <f t="shared" si="278"/>
        <v>32.11923077</v>
      </c>
      <c r="J377" s="49">
        <v>1841.0</v>
      </c>
      <c r="K377" s="50">
        <f t="shared" si="5"/>
        <v>0.01412275937</v>
      </c>
      <c r="L377" s="46">
        <v>72.91</v>
      </c>
      <c r="M377" s="46">
        <v>715.7</v>
      </c>
      <c r="N377" s="47">
        <v>21.0</v>
      </c>
      <c r="O377" s="49">
        <v>81367.0</v>
      </c>
      <c r="P377" s="50">
        <f t="shared" si="6"/>
        <v>0.1018722929</v>
      </c>
      <c r="Q377" s="51">
        <f t="shared" si="7"/>
        <v>9.816211768</v>
      </c>
      <c r="R377" s="50">
        <f t="shared" si="8"/>
        <v>0.857023111</v>
      </c>
      <c r="S377" s="16"/>
      <c r="T377" s="25"/>
      <c r="U377" s="6"/>
      <c r="V377" s="6"/>
      <c r="W377" s="6"/>
      <c r="X377" s="6"/>
      <c r="Y377" s="6"/>
      <c r="Z377" s="6"/>
    </row>
    <row r="378" hidden="1" outlineLevel="1">
      <c r="A378" s="44" t="str">
        <f t="shared" si="276"/>
        <v>11-2025</v>
      </c>
      <c r="B378" s="34">
        <v>45969.0</v>
      </c>
      <c r="C378" s="45"/>
      <c r="D378" s="46">
        <v>1575.9</v>
      </c>
      <c r="E378" s="47">
        <v>52.0</v>
      </c>
      <c r="F378" s="47">
        <v>50.0</v>
      </c>
      <c r="G378" s="48">
        <f t="shared" si="2"/>
        <v>1.04</v>
      </c>
      <c r="H378" s="46">
        <f t="shared" si="277"/>
        <v>31.518</v>
      </c>
      <c r="I378" s="46">
        <f t="shared" si="278"/>
        <v>30.30576923</v>
      </c>
      <c r="J378" s="49">
        <v>2094.0</v>
      </c>
      <c r="K378" s="50">
        <f t="shared" si="5"/>
        <v>0.02483285578</v>
      </c>
      <c r="L378" s="46">
        <v>79.25</v>
      </c>
      <c r="M378" s="46">
        <v>868.5</v>
      </c>
      <c r="N378" s="47">
        <v>27.0</v>
      </c>
      <c r="O378" s="49">
        <v>95270.0</v>
      </c>
      <c r="P378" s="50">
        <f t="shared" si="6"/>
        <v>0.09124928037</v>
      </c>
      <c r="Q378" s="51">
        <f t="shared" si="7"/>
        <v>10.95899054</v>
      </c>
      <c r="R378" s="50">
        <f t="shared" si="8"/>
        <v>0.5511136493</v>
      </c>
      <c r="S378" s="16"/>
      <c r="T378" s="25"/>
      <c r="U378" s="6"/>
      <c r="V378" s="6"/>
      <c r="W378" s="6"/>
      <c r="X378" s="6"/>
      <c r="Y378" s="6"/>
      <c r="Z378" s="6"/>
    </row>
    <row r="379" collapsed="1">
      <c r="A379" s="52" t="s">
        <v>91</v>
      </c>
      <c r="B379" s="53"/>
      <c r="C379" s="54"/>
      <c r="D379" s="55">
        <f t="shared" ref="D379:F379" si="279">SUM(D372:D378)</f>
        <v>8908.6</v>
      </c>
      <c r="E379" s="56">
        <f t="shared" si="279"/>
        <v>253</v>
      </c>
      <c r="F379" s="56">
        <f t="shared" si="279"/>
        <v>251</v>
      </c>
      <c r="G379" s="57">
        <f t="shared" si="2"/>
        <v>1.007968127</v>
      </c>
      <c r="H379" s="55">
        <f>AVERAGE(H372:H378)</f>
        <v>35.5745435</v>
      </c>
      <c r="I379" s="58">
        <f>H379/G379</f>
        <v>35.29332182</v>
      </c>
      <c r="J379" s="59">
        <f>SUM(J372:J378)</f>
        <v>14001</v>
      </c>
      <c r="K379" s="60">
        <f t="shared" si="5"/>
        <v>0.01807013785</v>
      </c>
      <c r="L379" s="55">
        <f t="shared" ref="L379:N379" si="280">SUM(L372:L378)</f>
        <v>585.96</v>
      </c>
      <c r="M379" s="55">
        <f t="shared" si="280"/>
        <v>4602.8</v>
      </c>
      <c r="N379" s="56">
        <f t="shared" si="280"/>
        <v>129</v>
      </c>
      <c r="O379" s="59">
        <f>sum(O372:O378)</f>
        <v>764524</v>
      </c>
      <c r="P379" s="60">
        <f t="shared" si="6"/>
        <v>0.1273051186</v>
      </c>
      <c r="Q379" s="61">
        <f t="shared" si="7"/>
        <v>7.855143696</v>
      </c>
      <c r="R379" s="62">
        <f t="shared" si="8"/>
        <v>0.5166692859</v>
      </c>
      <c r="S379" s="54" t="str">
        <f>iferror((D379-#REF!)/D379,)</f>
        <v/>
      </c>
      <c r="T379" s="63" t="str">
        <f>iferror((F379-#REF!)/F379,)</f>
        <v/>
      </c>
      <c r="U379" s="64">
        <f t="shared" ref="U379:V379" si="281">L379</f>
        <v>585.96</v>
      </c>
      <c r="V379" s="64">
        <f t="shared" si="281"/>
        <v>4602.8</v>
      </c>
      <c r="W379" s="6"/>
      <c r="X379" s="6"/>
      <c r="Y379" s="6"/>
      <c r="Z379" s="6"/>
    </row>
    <row r="380" hidden="1" outlineLevel="1">
      <c r="A380" s="33" t="str">
        <f t="shared" ref="A380:A386" si="282">iferror(if(B380&gt;0,month(B380)&amp;"-"&amp;year(B380),B380),)</f>
        <v>11-2025</v>
      </c>
      <c r="B380" s="34">
        <v>45970.0</v>
      </c>
      <c r="C380" s="35"/>
      <c r="D380" s="36">
        <v>1555.3</v>
      </c>
      <c r="E380" s="37">
        <v>45.0</v>
      </c>
      <c r="F380" s="37">
        <v>44.0</v>
      </c>
      <c r="G380" s="38">
        <f t="shared" si="2"/>
        <v>1.022727273</v>
      </c>
      <c r="H380" s="36">
        <f t="shared" ref="H380:H386" si="283">D380/F380</f>
        <v>35.34772727</v>
      </c>
      <c r="I380" s="36">
        <f t="shared" ref="I380:I386" si="284">D380/E380</f>
        <v>34.56222222</v>
      </c>
      <c r="J380" s="39">
        <v>2589.0</v>
      </c>
      <c r="K380" s="40">
        <f t="shared" si="5"/>
        <v>0.01738122827</v>
      </c>
      <c r="L380" s="36">
        <v>98.45</v>
      </c>
      <c r="M380" s="36">
        <v>1029.0</v>
      </c>
      <c r="N380" s="37">
        <v>25.0</v>
      </c>
      <c r="O380" s="39">
        <v>118320.0</v>
      </c>
      <c r="P380" s="40">
        <f t="shared" si="6"/>
        <v>0.09567541302</v>
      </c>
      <c r="Q380" s="41">
        <f t="shared" si="7"/>
        <v>10.45200609</v>
      </c>
      <c r="R380" s="40">
        <f t="shared" si="8"/>
        <v>0.6616086929</v>
      </c>
      <c r="S380" s="42"/>
      <c r="T380" s="43"/>
      <c r="U380" s="6"/>
      <c r="V380" s="6"/>
      <c r="W380" s="6"/>
      <c r="X380" s="6"/>
      <c r="Y380" s="6"/>
      <c r="Z380" s="6"/>
    </row>
    <row r="381" hidden="1" outlineLevel="1">
      <c r="A381" s="44" t="str">
        <f t="shared" si="282"/>
        <v>11-2025</v>
      </c>
      <c r="B381" s="34">
        <v>45971.0</v>
      </c>
      <c r="C381" s="45"/>
      <c r="D381" s="46">
        <v>1386.8</v>
      </c>
      <c r="E381" s="47">
        <v>36.0</v>
      </c>
      <c r="F381" s="47">
        <v>36.0</v>
      </c>
      <c r="G381" s="48">
        <f t="shared" si="2"/>
        <v>1</v>
      </c>
      <c r="H381" s="46">
        <f t="shared" si="283"/>
        <v>38.52222222</v>
      </c>
      <c r="I381" s="46">
        <f t="shared" si="284"/>
        <v>38.52222222</v>
      </c>
      <c r="J381" s="49">
        <v>2242.0</v>
      </c>
      <c r="K381" s="50">
        <f t="shared" si="5"/>
        <v>0.01605709188</v>
      </c>
      <c r="L381" s="46">
        <v>74.32</v>
      </c>
      <c r="M381" s="46">
        <v>518.6</v>
      </c>
      <c r="N381" s="47">
        <v>14.0</v>
      </c>
      <c r="O381" s="49">
        <v>100994.0</v>
      </c>
      <c r="P381" s="50">
        <f t="shared" si="6"/>
        <v>0.1433089086</v>
      </c>
      <c r="Q381" s="51">
        <f t="shared" si="7"/>
        <v>6.977933262</v>
      </c>
      <c r="R381" s="50">
        <f t="shared" si="8"/>
        <v>0.3739544275</v>
      </c>
      <c r="S381" s="16"/>
      <c r="T381" s="25"/>
      <c r="U381" s="6"/>
      <c r="V381" s="6"/>
      <c r="W381" s="6"/>
      <c r="X381" s="6"/>
      <c r="Y381" s="6"/>
      <c r="Z381" s="6"/>
    </row>
    <row r="382" hidden="1" outlineLevel="1">
      <c r="A382" s="44" t="str">
        <f t="shared" si="282"/>
        <v>11-2025</v>
      </c>
      <c r="B382" s="34">
        <v>45972.0</v>
      </c>
      <c r="C382" s="45"/>
      <c r="D382" s="46">
        <v>1264.9</v>
      </c>
      <c r="E382" s="47">
        <v>42.0</v>
      </c>
      <c r="F382" s="47">
        <v>42.0</v>
      </c>
      <c r="G382" s="48">
        <f t="shared" si="2"/>
        <v>1</v>
      </c>
      <c r="H382" s="46">
        <f t="shared" si="283"/>
        <v>30.11666667</v>
      </c>
      <c r="I382" s="46">
        <f t="shared" si="284"/>
        <v>30.11666667</v>
      </c>
      <c r="J382" s="49">
        <v>2263.0</v>
      </c>
      <c r="K382" s="50">
        <f t="shared" si="5"/>
        <v>0.01855943438</v>
      </c>
      <c r="L382" s="46">
        <v>84.9</v>
      </c>
      <c r="M382" s="46">
        <v>771.8</v>
      </c>
      <c r="N382" s="47">
        <v>23.0</v>
      </c>
      <c r="O382" s="49">
        <v>100122.0</v>
      </c>
      <c r="P382" s="50">
        <f t="shared" si="6"/>
        <v>0.1100025913</v>
      </c>
      <c r="Q382" s="51">
        <f t="shared" si="7"/>
        <v>9.090694935</v>
      </c>
      <c r="R382" s="50">
        <f t="shared" si="8"/>
        <v>0.6101668116</v>
      </c>
      <c r="S382" s="16"/>
      <c r="T382" s="25"/>
      <c r="U382" s="6"/>
      <c r="V382" s="6"/>
      <c r="W382" s="6"/>
      <c r="X382" s="6"/>
      <c r="Y382" s="6"/>
      <c r="Z382" s="6"/>
    </row>
    <row r="383" hidden="1" outlineLevel="1">
      <c r="A383" s="44" t="str">
        <f t="shared" si="282"/>
        <v>11-2025</v>
      </c>
      <c r="B383" s="34">
        <v>45973.0</v>
      </c>
      <c r="C383" s="45"/>
      <c r="D383" s="46">
        <v>957.0</v>
      </c>
      <c r="E383" s="47">
        <v>26.0</v>
      </c>
      <c r="F383" s="47">
        <v>26.0</v>
      </c>
      <c r="G383" s="48">
        <f t="shared" si="2"/>
        <v>1</v>
      </c>
      <c r="H383" s="46">
        <f t="shared" si="283"/>
        <v>36.80769231</v>
      </c>
      <c r="I383" s="46">
        <f t="shared" si="284"/>
        <v>36.80769231</v>
      </c>
      <c r="J383" s="49">
        <v>1952.0</v>
      </c>
      <c r="K383" s="50">
        <f t="shared" si="5"/>
        <v>0.01331967213</v>
      </c>
      <c r="L383" s="46">
        <v>64.3</v>
      </c>
      <c r="M383" s="46">
        <v>280.0</v>
      </c>
      <c r="N383" s="47">
        <v>8.0</v>
      </c>
      <c r="O383" s="49">
        <v>77823.0</v>
      </c>
      <c r="P383" s="50">
        <f t="shared" si="6"/>
        <v>0.2296428571</v>
      </c>
      <c r="Q383" s="51">
        <f t="shared" si="7"/>
        <v>4.354587869</v>
      </c>
      <c r="R383" s="50">
        <f t="shared" si="8"/>
        <v>0.2925809822</v>
      </c>
      <c r="S383" s="16"/>
      <c r="T383" s="25"/>
      <c r="U383" s="6"/>
      <c r="V383" s="6"/>
      <c r="W383" s="6"/>
      <c r="X383" s="6"/>
      <c r="Y383" s="6"/>
      <c r="Z383" s="6"/>
    </row>
    <row r="384" hidden="1" outlineLevel="1">
      <c r="A384" s="44" t="str">
        <f t="shared" si="282"/>
        <v>11-2025</v>
      </c>
      <c r="B384" s="34">
        <v>45974.0</v>
      </c>
      <c r="C384" s="45"/>
      <c r="D384" s="46">
        <v>1609.0</v>
      </c>
      <c r="E384" s="47">
        <v>44.0</v>
      </c>
      <c r="F384" s="47">
        <v>43.0</v>
      </c>
      <c r="G384" s="48">
        <f t="shared" si="2"/>
        <v>1.023255814</v>
      </c>
      <c r="H384" s="46">
        <f t="shared" si="283"/>
        <v>37.41860465</v>
      </c>
      <c r="I384" s="46">
        <f t="shared" si="284"/>
        <v>36.56818182</v>
      </c>
      <c r="J384" s="49">
        <v>2218.0</v>
      </c>
      <c r="K384" s="50">
        <f t="shared" si="5"/>
        <v>0.01983769161</v>
      </c>
      <c r="L384" s="46">
        <v>75.68</v>
      </c>
      <c r="M384" s="46">
        <v>854.0</v>
      </c>
      <c r="N384" s="47">
        <v>23.0</v>
      </c>
      <c r="O384" s="49">
        <v>76810.0</v>
      </c>
      <c r="P384" s="50">
        <f t="shared" si="6"/>
        <v>0.08861826698</v>
      </c>
      <c r="Q384" s="51">
        <f t="shared" si="7"/>
        <v>11.28435518</v>
      </c>
      <c r="R384" s="50">
        <f t="shared" si="8"/>
        <v>0.53076445</v>
      </c>
      <c r="S384" s="16"/>
      <c r="T384" s="25"/>
      <c r="U384" s="6"/>
      <c r="V384" s="6"/>
      <c r="W384" s="6"/>
      <c r="X384" s="6"/>
      <c r="Y384" s="6"/>
      <c r="Z384" s="6"/>
    </row>
    <row r="385" hidden="1" outlineLevel="1">
      <c r="A385" s="44" t="str">
        <f t="shared" si="282"/>
        <v>11-2025</v>
      </c>
      <c r="B385" s="34">
        <v>45975.0</v>
      </c>
      <c r="C385" s="45"/>
      <c r="D385" s="46">
        <v>1351.1</v>
      </c>
      <c r="E385" s="47">
        <v>46.0</v>
      </c>
      <c r="F385" s="47">
        <v>45.0</v>
      </c>
      <c r="G385" s="48">
        <f t="shared" si="2"/>
        <v>1.022222222</v>
      </c>
      <c r="H385" s="46">
        <f t="shared" si="283"/>
        <v>30.02444444</v>
      </c>
      <c r="I385" s="46">
        <f t="shared" si="284"/>
        <v>29.37173913</v>
      </c>
      <c r="J385" s="49">
        <v>2481.0</v>
      </c>
      <c r="K385" s="50">
        <f t="shared" si="5"/>
        <v>0.01854091092</v>
      </c>
      <c r="L385" s="46">
        <v>106.53</v>
      </c>
      <c r="M385" s="46">
        <v>619.0</v>
      </c>
      <c r="N385" s="47">
        <v>20.0</v>
      </c>
      <c r="O385" s="49">
        <v>104467.0</v>
      </c>
      <c r="P385" s="50">
        <f t="shared" si="6"/>
        <v>0.1721001616</v>
      </c>
      <c r="Q385" s="51">
        <f t="shared" si="7"/>
        <v>5.810569793</v>
      </c>
      <c r="R385" s="50">
        <f t="shared" si="8"/>
        <v>0.458145215</v>
      </c>
      <c r="S385" s="16"/>
      <c r="T385" s="25"/>
      <c r="U385" s="6"/>
      <c r="V385" s="6"/>
      <c r="W385" s="6"/>
      <c r="X385" s="6"/>
      <c r="Y385" s="6"/>
      <c r="Z385" s="6"/>
    </row>
    <row r="386" hidden="1" outlineLevel="1">
      <c r="A386" s="44" t="str">
        <f t="shared" si="282"/>
        <v>11-2025</v>
      </c>
      <c r="B386" s="34">
        <v>45976.0</v>
      </c>
      <c r="C386" s="45"/>
      <c r="D386" s="46">
        <v>1550.5</v>
      </c>
      <c r="E386" s="47">
        <v>40.0</v>
      </c>
      <c r="F386" s="47">
        <v>40.0</v>
      </c>
      <c r="G386" s="48">
        <f t="shared" si="2"/>
        <v>1</v>
      </c>
      <c r="H386" s="46">
        <f t="shared" si="283"/>
        <v>38.7625</v>
      </c>
      <c r="I386" s="46">
        <f t="shared" si="284"/>
        <v>38.7625</v>
      </c>
      <c r="J386" s="49">
        <v>2707.0</v>
      </c>
      <c r="K386" s="50">
        <f t="shared" si="5"/>
        <v>0.01477650536</v>
      </c>
      <c r="L386" s="46">
        <v>115.76</v>
      </c>
      <c r="M386" s="46">
        <v>480.5</v>
      </c>
      <c r="N386" s="47">
        <v>11.0</v>
      </c>
      <c r="O386" s="49">
        <v>150080.0</v>
      </c>
      <c r="P386" s="50">
        <f t="shared" si="6"/>
        <v>0.2409157128</v>
      </c>
      <c r="Q386" s="51">
        <f t="shared" si="7"/>
        <v>4.150829302</v>
      </c>
      <c r="R386" s="50">
        <f t="shared" si="8"/>
        <v>0.3099000322</v>
      </c>
      <c r="S386" s="16"/>
      <c r="T386" s="25"/>
      <c r="U386" s="6"/>
      <c r="V386" s="6"/>
      <c r="W386" s="6"/>
      <c r="X386" s="6"/>
      <c r="Y386" s="6"/>
      <c r="Z386" s="6"/>
    </row>
    <row r="387" collapsed="1">
      <c r="A387" s="52" t="s">
        <v>92</v>
      </c>
      <c r="B387" s="53"/>
      <c r="C387" s="54"/>
      <c r="D387" s="55">
        <f t="shared" ref="D387:F387" si="285">SUM(D380:D386)</f>
        <v>9674.6</v>
      </c>
      <c r="E387" s="56">
        <f t="shared" si="285"/>
        <v>279</v>
      </c>
      <c r="F387" s="56">
        <f t="shared" si="285"/>
        <v>276</v>
      </c>
      <c r="G387" s="57">
        <f t="shared" si="2"/>
        <v>1.010869565</v>
      </c>
      <c r="H387" s="55">
        <f>AVERAGE(H380:H386)</f>
        <v>35.28569394</v>
      </c>
      <c r="I387" s="58">
        <f>H387/G387</f>
        <v>34.90627787</v>
      </c>
      <c r="J387" s="59">
        <f>SUM(J380:J386)</f>
        <v>16452</v>
      </c>
      <c r="K387" s="60">
        <f t="shared" si="5"/>
        <v>0.01695842451</v>
      </c>
      <c r="L387" s="55">
        <f t="shared" ref="L387:N387" si="286">SUM(L380:L386)</f>
        <v>619.94</v>
      </c>
      <c r="M387" s="55">
        <f t="shared" si="286"/>
        <v>4552.9</v>
      </c>
      <c r="N387" s="56">
        <f t="shared" si="286"/>
        <v>124</v>
      </c>
      <c r="O387" s="59">
        <f>sum(O380:O386)</f>
        <v>728616</v>
      </c>
      <c r="P387" s="60">
        <f t="shared" si="6"/>
        <v>0.1361637638</v>
      </c>
      <c r="Q387" s="61">
        <f t="shared" si="7"/>
        <v>7.344097816</v>
      </c>
      <c r="R387" s="62">
        <f t="shared" si="8"/>
        <v>0.4706034358</v>
      </c>
      <c r="S387" s="54" t="str">
        <f>iferror((D387-#REF!)/D387,)</f>
        <v/>
      </c>
      <c r="T387" s="63" t="str">
        <f>iferror((F387-#REF!)/F387,)</f>
        <v/>
      </c>
      <c r="U387" s="64">
        <f t="shared" ref="U387:V387" si="287">L387</f>
        <v>619.94</v>
      </c>
      <c r="V387" s="64">
        <f t="shared" si="287"/>
        <v>4552.9</v>
      </c>
      <c r="W387" s="6"/>
      <c r="X387" s="6"/>
      <c r="Y387" s="6"/>
      <c r="Z387" s="6"/>
    </row>
    <row r="388" hidden="1" outlineLevel="1">
      <c r="A388" s="33" t="str">
        <f t="shared" ref="A388:A394" si="288">iferror(if(B388&gt;0,month(B388)&amp;"-"&amp;year(B388),B388),)</f>
        <v>11-2025</v>
      </c>
      <c r="B388" s="34">
        <v>45977.0</v>
      </c>
      <c r="C388" s="35"/>
      <c r="D388" s="36">
        <v>1836.9</v>
      </c>
      <c r="E388" s="37">
        <v>47.0</v>
      </c>
      <c r="F388" s="37">
        <v>47.0</v>
      </c>
      <c r="G388" s="38">
        <f t="shared" si="2"/>
        <v>1</v>
      </c>
      <c r="H388" s="36">
        <f t="shared" ref="H388:H394" si="289">D388/F388</f>
        <v>39.08297872</v>
      </c>
      <c r="I388" s="36">
        <f t="shared" ref="I388:I394" si="290">D388/E388</f>
        <v>39.08297872</v>
      </c>
      <c r="J388" s="39">
        <v>3804.0</v>
      </c>
      <c r="K388" s="40">
        <f t="shared" si="5"/>
        <v>0.01235541535</v>
      </c>
      <c r="L388" s="36">
        <v>171.81</v>
      </c>
      <c r="M388" s="36">
        <v>1378.8</v>
      </c>
      <c r="N388" s="37">
        <v>36.0</v>
      </c>
      <c r="O388" s="39">
        <v>203414.0</v>
      </c>
      <c r="P388" s="40">
        <f t="shared" si="6"/>
        <v>0.1246083551</v>
      </c>
      <c r="Q388" s="41">
        <f t="shared" si="7"/>
        <v>8.025144054</v>
      </c>
      <c r="R388" s="40">
        <f t="shared" si="8"/>
        <v>0.7506124449</v>
      </c>
      <c r="S388" s="42"/>
      <c r="T388" s="43"/>
      <c r="U388" s="6"/>
      <c r="V388" s="6"/>
      <c r="W388" s="6"/>
      <c r="X388" s="6"/>
      <c r="Y388" s="6"/>
      <c r="Z388" s="6"/>
    </row>
    <row r="389" hidden="1" outlineLevel="1">
      <c r="A389" s="44" t="str">
        <f t="shared" si="288"/>
        <v>11-2025</v>
      </c>
      <c r="B389" s="34">
        <v>45978.0</v>
      </c>
      <c r="C389" s="45"/>
      <c r="D389" s="46">
        <v>1959.1</v>
      </c>
      <c r="E389" s="47">
        <v>53.0</v>
      </c>
      <c r="F389" s="47">
        <v>53.0</v>
      </c>
      <c r="G389" s="48">
        <f t="shared" si="2"/>
        <v>1</v>
      </c>
      <c r="H389" s="46">
        <f t="shared" si="289"/>
        <v>36.96415094</v>
      </c>
      <c r="I389" s="46">
        <f t="shared" si="290"/>
        <v>36.96415094</v>
      </c>
      <c r="J389" s="49">
        <v>2421.0</v>
      </c>
      <c r="K389" s="50">
        <f t="shared" si="5"/>
        <v>0.02189178026</v>
      </c>
      <c r="L389" s="46">
        <v>90.1</v>
      </c>
      <c r="M389" s="46">
        <v>864.5</v>
      </c>
      <c r="N389" s="47">
        <v>22.0</v>
      </c>
      <c r="O389" s="49">
        <v>106330.0</v>
      </c>
      <c r="P389" s="50">
        <f t="shared" si="6"/>
        <v>0.1042220937</v>
      </c>
      <c r="Q389" s="51">
        <f t="shared" si="7"/>
        <v>9.594894562</v>
      </c>
      <c r="R389" s="50">
        <f t="shared" si="8"/>
        <v>0.4412740544</v>
      </c>
      <c r="S389" s="16"/>
      <c r="T389" s="25"/>
      <c r="U389" s="6"/>
      <c r="V389" s="6"/>
      <c r="W389" s="6"/>
      <c r="X389" s="6"/>
      <c r="Y389" s="6"/>
      <c r="Z389" s="6"/>
    </row>
    <row r="390" hidden="1" outlineLevel="1">
      <c r="A390" s="44" t="str">
        <f t="shared" si="288"/>
        <v>11-2025</v>
      </c>
      <c r="B390" s="34">
        <v>45979.0</v>
      </c>
      <c r="C390" s="45"/>
      <c r="D390" s="46">
        <v>1870.9</v>
      </c>
      <c r="E390" s="47">
        <v>50.0</v>
      </c>
      <c r="F390" s="47">
        <v>50.0</v>
      </c>
      <c r="G390" s="48">
        <f t="shared" si="2"/>
        <v>1</v>
      </c>
      <c r="H390" s="46">
        <f t="shared" si="289"/>
        <v>37.418</v>
      </c>
      <c r="I390" s="46">
        <f t="shared" si="290"/>
        <v>37.418</v>
      </c>
      <c r="J390" s="49">
        <v>2439.0</v>
      </c>
      <c r="K390" s="50">
        <f t="shared" si="5"/>
        <v>0.020500205</v>
      </c>
      <c r="L390" s="46">
        <v>93.32</v>
      </c>
      <c r="M390" s="46">
        <v>877.4</v>
      </c>
      <c r="N390" s="47">
        <v>26.0</v>
      </c>
      <c r="O390" s="49">
        <v>102183.0</v>
      </c>
      <c r="P390" s="50">
        <f t="shared" si="6"/>
        <v>0.1063596991</v>
      </c>
      <c r="Q390" s="51">
        <f t="shared" si="7"/>
        <v>9.402057437</v>
      </c>
      <c r="R390" s="50">
        <f t="shared" si="8"/>
        <v>0.4689721524</v>
      </c>
      <c r="S390" s="16"/>
      <c r="T390" s="25"/>
      <c r="U390" s="6"/>
      <c r="V390" s="6"/>
      <c r="W390" s="6"/>
      <c r="X390" s="6"/>
      <c r="Y390" s="6"/>
      <c r="Z390" s="6"/>
    </row>
    <row r="391" hidden="1" outlineLevel="1">
      <c r="A391" s="44" t="str">
        <f t="shared" si="288"/>
        <v>11-2025</v>
      </c>
      <c r="B391" s="34">
        <v>45980.0</v>
      </c>
      <c r="C391" s="45"/>
      <c r="D391" s="46">
        <v>1126.0</v>
      </c>
      <c r="E391" s="47">
        <v>33.0</v>
      </c>
      <c r="F391" s="47">
        <v>33.0</v>
      </c>
      <c r="G391" s="48">
        <f t="shared" si="2"/>
        <v>1</v>
      </c>
      <c r="H391" s="46">
        <f t="shared" si="289"/>
        <v>34.12121212</v>
      </c>
      <c r="I391" s="46">
        <f t="shared" si="290"/>
        <v>34.12121212</v>
      </c>
      <c r="J391" s="49">
        <v>2654.0</v>
      </c>
      <c r="K391" s="50">
        <f t="shared" si="5"/>
        <v>0.01243406179</v>
      </c>
      <c r="L391" s="46">
        <v>89.87</v>
      </c>
      <c r="M391" s="46">
        <v>651.0</v>
      </c>
      <c r="N391" s="47">
        <v>22.0</v>
      </c>
      <c r="O391" s="49">
        <v>108179.0</v>
      </c>
      <c r="P391" s="50">
        <f t="shared" si="6"/>
        <v>0.1380491551</v>
      </c>
      <c r="Q391" s="51">
        <f t="shared" si="7"/>
        <v>7.243796595</v>
      </c>
      <c r="R391" s="50">
        <f t="shared" si="8"/>
        <v>0.5781527531</v>
      </c>
      <c r="S391" s="16"/>
      <c r="T391" s="25"/>
      <c r="U391" s="6"/>
      <c r="V391" s="6"/>
      <c r="W391" s="6"/>
      <c r="X391" s="6"/>
      <c r="Y391" s="6"/>
      <c r="Z391" s="6"/>
    </row>
    <row r="392" hidden="1" outlineLevel="1">
      <c r="A392" s="44" t="str">
        <f t="shared" si="288"/>
        <v>11-2025</v>
      </c>
      <c r="B392" s="34">
        <v>45981.0</v>
      </c>
      <c r="C392" s="45"/>
      <c r="D392" s="46">
        <v>2028.3</v>
      </c>
      <c r="E392" s="47">
        <v>59.0</v>
      </c>
      <c r="F392" s="47">
        <v>59.0</v>
      </c>
      <c r="G392" s="48">
        <f t="shared" si="2"/>
        <v>1</v>
      </c>
      <c r="H392" s="46">
        <f t="shared" si="289"/>
        <v>34.3779661</v>
      </c>
      <c r="I392" s="46">
        <f t="shared" si="290"/>
        <v>34.3779661</v>
      </c>
      <c r="J392" s="49">
        <v>2682.0</v>
      </c>
      <c r="K392" s="50">
        <f t="shared" si="5"/>
        <v>0.02199850858</v>
      </c>
      <c r="L392" s="46">
        <v>126.37</v>
      </c>
      <c r="M392" s="46">
        <v>1179.8</v>
      </c>
      <c r="N392" s="47">
        <v>33.0</v>
      </c>
      <c r="O392" s="49">
        <v>147929.0</v>
      </c>
      <c r="P392" s="50">
        <f t="shared" si="6"/>
        <v>0.1071113748</v>
      </c>
      <c r="Q392" s="51">
        <f t="shared" si="7"/>
        <v>9.3360766</v>
      </c>
      <c r="R392" s="50">
        <f t="shared" si="8"/>
        <v>0.5816693783</v>
      </c>
      <c r="S392" s="16"/>
      <c r="T392" s="25"/>
      <c r="U392" s="6"/>
      <c r="V392" s="6"/>
      <c r="W392" s="6"/>
      <c r="X392" s="6"/>
      <c r="Y392" s="6"/>
      <c r="Z392" s="6"/>
    </row>
    <row r="393" hidden="1" outlineLevel="1">
      <c r="A393" s="44" t="str">
        <f t="shared" si="288"/>
        <v>11-2025</v>
      </c>
      <c r="B393" s="34">
        <v>45982.0</v>
      </c>
      <c r="C393" s="45"/>
      <c r="D393" s="46">
        <v>1556.5</v>
      </c>
      <c r="E393" s="47">
        <v>48.0</v>
      </c>
      <c r="F393" s="47">
        <v>48.0</v>
      </c>
      <c r="G393" s="48">
        <f t="shared" si="2"/>
        <v>1</v>
      </c>
      <c r="H393" s="46">
        <f t="shared" si="289"/>
        <v>32.42708333</v>
      </c>
      <c r="I393" s="46">
        <f t="shared" si="290"/>
        <v>32.42708333</v>
      </c>
      <c r="J393" s="49">
        <v>2414.0</v>
      </c>
      <c r="K393" s="50">
        <f t="shared" si="5"/>
        <v>0.01988400994</v>
      </c>
      <c r="L393" s="46">
        <v>114.0</v>
      </c>
      <c r="M393" s="46">
        <v>797.1</v>
      </c>
      <c r="N393" s="47">
        <v>27.0</v>
      </c>
      <c r="O393" s="49">
        <v>113337.0</v>
      </c>
      <c r="P393" s="50">
        <f t="shared" si="6"/>
        <v>0.1430184419</v>
      </c>
      <c r="Q393" s="51">
        <f t="shared" si="7"/>
        <v>6.992105263</v>
      </c>
      <c r="R393" s="50">
        <f t="shared" si="8"/>
        <v>0.5121105043</v>
      </c>
      <c r="S393" s="16"/>
      <c r="T393" s="25"/>
      <c r="U393" s="6"/>
      <c r="V393" s="6"/>
      <c r="W393" s="6"/>
      <c r="X393" s="6"/>
      <c r="Y393" s="6"/>
      <c r="Z393" s="6"/>
    </row>
    <row r="394" hidden="1" outlineLevel="1">
      <c r="A394" s="44" t="str">
        <f t="shared" si="288"/>
        <v>11-2025</v>
      </c>
      <c r="B394" s="34">
        <v>45983.0</v>
      </c>
      <c r="C394" s="45"/>
      <c r="D394" s="46">
        <v>2329.4</v>
      </c>
      <c r="E394" s="47">
        <v>62.0</v>
      </c>
      <c r="F394" s="47">
        <v>62.0</v>
      </c>
      <c r="G394" s="48">
        <f t="shared" si="2"/>
        <v>1</v>
      </c>
      <c r="H394" s="46">
        <f t="shared" si="289"/>
        <v>37.57096774</v>
      </c>
      <c r="I394" s="46">
        <f t="shared" si="290"/>
        <v>37.57096774</v>
      </c>
      <c r="J394" s="49">
        <v>2759.0</v>
      </c>
      <c r="K394" s="50">
        <f t="shared" si="5"/>
        <v>0.02247191011</v>
      </c>
      <c r="L394" s="46">
        <v>116.31</v>
      </c>
      <c r="M394" s="46">
        <v>1484.6</v>
      </c>
      <c r="N394" s="47">
        <v>39.0</v>
      </c>
      <c r="O394" s="49">
        <v>131711.0</v>
      </c>
      <c r="P394" s="50">
        <f t="shared" si="6"/>
        <v>0.07834433517</v>
      </c>
      <c r="Q394" s="51">
        <f t="shared" si="7"/>
        <v>12.76416473</v>
      </c>
      <c r="R394" s="50">
        <f t="shared" si="8"/>
        <v>0.6373315017</v>
      </c>
      <c r="S394" s="16"/>
      <c r="T394" s="25"/>
      <c r="U394" s="6"/>
      <c r="V394" s="6"/>
      <c r="W394" s="6"/>
      <c r="X394" s="6"/>
      <c r="Y394" s="6"/>
      <c r="Z394" s="6"/>
    </row>
    <row r="395" collapsed="1">
      <c r="A395" s="52" t="s">
        <v>93</v>
      </c>
      <c r="B395" s="53"/>
      <c r="C395" s="54"/>
      <c r="D395" s="55">
        <f t="shared" ref="D395:F395" si="291">SUM(D388:D394)</f>
        <v>12707.1</v>
      </c>
      <c r="E395" s="56">
        <f t="shared" si="291"/>
        <v>352</v>
      </c>
      <c r="F395" s="56">
        <f t="shared" si="291"/>
        <v>352</v>
      </c>
      <c r="G395" s="57">
        <f t="shared" si="2"/>
        <v>1</v>
      </c>
      <c r="H395" s="55">
        <f>AVERAGE(H388:H394)</f>
        <v>35.99462271</v>
      </c>
      <c r="I395" s="58">
        <f>H395/G395</f>
        <v>35.99462271</v>
      </c>
      <c r="J395" s="59">
        <f>SUM(J388:J394)</f>
        <v>19173</v>
      </c>
      <c r="K395" s="60">
        <f t="shared" si="5"/>
        <v>0.01835915089</v>
      </c>
      <c r="L395" s="55">
        <f t="shared" ref="L395:N395" si="292">SUM(L388:L394)</f>
        <v>801.78</v>
      </c>
      <c r="M395" s="55">
        <f t="shared" si="292"/>
        <v>7233.2</v>
      </c>
      <c r="N395" s="56">
        <f t="shared" si="292"/>
        <v>205</v>
      </c>
      <c r="O395" s="59">
        <f>sum(O388:O394)</f>
        <v>913083</v>
      </c>
      <c r="P395" s="60">
        <f t="shared" si="6"/>
        <v>0.1108472046</v>
      </c>
      <c r="Q395" s="61">
        <f t="shared" si="7"/>
        <v>9.021427324</v>
      </c>
      <c r="R395" s="62">
        <f t="shared" si="8"/>
        <v>0.5692250789</v>
      </c>
      <c r="S395" s="54" t="str">
        <f>iferror((D395-#REF!)/D395,)</f>
        <v/>
      </c>
      <c r="T395" s="63" t="str">
        <f>iferror((F395-#REF!)/F395,)</f>
        <v/>
      </c>
      <c r="U395" s="64">
        <f t="shared" ref="U395:V395" si="293">L395</f>
        <v>801.78</v>
      </c>
      <c r="V395" s="64">
        <f t="shared" si="293"/>
        <v>7233.2</v>
      </c>
      <c r="W395" s="6"/>
      <c r="X395" s="6"/>
      <c r="Y395" s="6"/>
      <c r="Z395" s="6"/>
    </row>
    <row r="396" hidden="1" outlineLevel="1">
      <c r="A396" s="33" t="str">
        <f t="shared" ref="A396:A402" si="294">iferror(if(B396&gt;0,month(B396)&amp;"-"&amp;year(B396),B396),)</f>
        <v>11-2025</v>
      </c>
      <c r="B396" s="34">
        <v>45984.0</v>
      </c>
      <c r="C396" s="35"/>
      <c r="D396" s="36">
        <v>1963.1</v>
      </c>
      <c r="E396" s="37">
        <v>51.0</v>
      </c>
      <c r="F396" s="37">
        <v>51.0</v>
      </c>
      <c r="G396" s="38">
        <f t="shared" si="2"/>
        <v>1</v>
      </c>
      <c r="H396" s="36">
        <f t="shared" ref="H396:H402" si="295">D396/F396</f>
        <v>38.49215686</v>
      </c>
      <c r="I396" s="36">
        <f t="shared" ref="I396:I402" si="296">D396/E396</f>
        <v>38.49215686</v>
      </c>
      <c r="J396" s="39">
        <v>3108.0</v>
      </c>
      <c r="K396" s="40">
        <f t="shared" si="5"/>
        <v>0.01640926641</v>
      </c>
      <c r="L396" s="36">
        <v>154.33</v>
      </c>
      <c r="M396" s="36">
        <v>1098.1</v>
      </c>
      <c r="N396" s="37">
        <v>29.0</v>
      </c>
      <c r="O396" s="39">
        <v>160329.0</v>
      </c>
      <c r="P396" s="40">
        <f t="shared" si="6"/>
        <v>0.1405427557</v>
      </c>
      <c r="Q396" s="41">
        <f t="shared" si="7"/>
        <v>7.115272468</v>
      </c>
      <c r="R396" s="40">
        <f t="shared" si="8"/>
        <v>0.5593703836</v>
      </c>
      <c r="S396" s="42"/>
      <c r="T396" s="43"/>
      <c r="U396" s="6"/>
      <c r="V396" s="6"/>
      <c r="W396" s="6"/>
      <c r="X396" s="6"/>
      <c r="Y396" s="6"/>
      <c r="Z396" s="6"/>
    </row>
    <row r="397" hidden="1" outlineLevel="1">
      <c r="A397" s="44" t="str">
        <f t="shared" si="294"/>
        <v>11-2025</v>
      </c>
      <c r="B397" s="34">
        <v>45985.0</v>
      </c>
      <c r="C397" s="45"/>
      <c r="D397" s="46">
        <v>1040.4</v>
      </c>
      <c r="E397" s="47">
        <v>28.0</v>
      </c>
      <c r="F397" s="47">
        <v>28.0</v>
      </c>
      <c r="G397" s="48">
        <f t="shared" si="2"/>
        <v>1</v>
      </c>
      <c r="H397" s="46">
        <f t="shared" si="295"/>
        <v>37.15714286</v>
      </c>
      <c r="I397" s="46">
        <f t="shared" si="296"/>
        <v>37.15714286</v>
      </c>
      <c r="J397" s="49">
        <v>2542.0</v>
      </c>
      <c r="K397" s="50">
        <f t="shared" si="5"/>
        <v>0.01101494886</v>
      </c>
      <c r="L397" s="46">
        <v>122.78</v>
      </c>
      <c r="M397" s="46">
        <v>770.5</v>
      </c>
      <c r="N397" s="47">
        <v>23.0</v>
      </c>
      <c r="O397" s="49">
        <v>126596.0</v>
      </c>
      <c r="P397" s="50">
        <f t="shared" si="6"/>
        <v>0.1593510707</v>
      </c>
      <c r="Q397" s="51">
        <f t="shared" si="7"/>
        <v>6.275452028</v>
      </c>
      <c r="R397" s="50">
        <f t="shared" si="8"/>
        <v>0.7405805459</v>
      </c>
      <c r="S397" s="16"/>
      <c r="T397" s="25"/>
      <c r="U397" s="6"/>
      <c r="V397" s="6"/>
      <c r="W397" s="6"/>
      <c r="X397" s="6"/>
      <c r="Y397" s="6"/>
      <c r="Z397" s="6"/>
    </row>
    <row r="398" hidden="1" outlineLevel="1">
      <c r="A398" s="44" t="str">
        <f t="shared" si="294"/>
        <v>11-2025</v>
      </c>
      <c r="B398" s="34">
        <v>45986.0</v>
      </c>
      <c r="C398" s="45"/>
      <c r="D398" s="46">
        <v>2027.0</v>
      </c>
      <c r="E398" s="47">
        <v>54.0</v>
      </c>
      <c r="F398" s="47">
        <v>54.0</v>
      </c>
      <c r="G398" s="48">
        <f t="shared" si="2"/>
        <v>1</v>
      </c>
      <c r="H398" s="46">
        <f t="shared" si="295"/>
        <v>37.53703704</v>
      </c>
      <c r="I398" s="46">
        <f t="shared" si="296"/>
        <v>37.53703704</v>
      </c>
      <c r="J398" s="49">
        <v>2958.0</v>
      </c>
      <c r="K398" s="50">
        <f t="shared" si="5"/>
        <v>0.01825557809</v>
      </c>
      <c r="L398" s="46">
        <v>150.57</v>
      </c>
      <c r="M398" s="46">
        <v>1435.0</v>
      </c>
      <c r="N398" s="47">
        <v>38.0</v>
      </c>
      <c r="O398" s="49">
        <v>148534.0</v>
      </c>
      <c r="P398" s="50">
        <f t="shared" si="6"/>
        <v>0.1049268293</v>
      </c>
      <c r="Q398" s="51">
        <f t="shared" si="7"/>
        <v>9.530450953</v>
      </c>
      <c r="R398" s="50">
        <f t="shared" si="8"/>
        <v>0.7079427726</v>
      </c>
      <c r="S398" s="16"/>
      <c r="T398" s="25"/>
      <c r="U398" s="6"/>
      <c r="V398" s="6"/>
      <c r="W398" s="6"/>
      <c r="X398" s="6"/>
      <c r="Y398" s="6"/>
      <c r="Z398" s="6"/>
    </row>
    <row r="399" hidden="1" outlineLevel="1">
      <c r="A399" s="44" t="str">
        <f t="shared" si="294"/>
        <v>11-2025</v>
      </c>
      <c r="B399" s="34">
        <v>45987.0</v>
      </c>
      <c r="C399" s="45"/>
      <c r="D399" s="46">
        <v>1702.7</v>
      </c>
      <c r="E399" s="47">
        <v>50.0</v>
      </c>
      <c r="F399" s="47">
        <v>50.0</v>
      </c>
      <c r="G399" s="48">
        <f t="shared" si="2"/>
        <v>1</v>
      </c>
      <c r="H399" s="46">
        <f t="shared" si="295"/>
        <v>34.054</v>
      </c>
      <c r="I399" s="46">
        <f t="shared" si="296"/>
        <v>34.054</v>
      </c>
      <c r="J399" s="49">
        <v>2486.0</v>
      </c>
      <c r="K399" s="50">
        <f t="shared" si="5"/>
        <v>0.02011263073</v>
      </c>
      <c r="L399" s="46">
        <v>131.62</v>
      </c>
      <c r="M399" s="46">
        <v>837.0</v>
      </c>
      <c r="N399" s="47">
        <v>22.0</v>
      </c>
      <c r="O399" s="49">
        <v>128579.0</v>
      </c>
      <c r="P399" s="50">
        <f t="shared" si="6"/>
        <v>0.1572520908</v>
      </c>
      <c r="Q399" s="51">
        <f t="shared" si="7"/>
        <v>6.359215925</v>
      </c>
      <c r="R399" s="50">
        <f t="shared" si="8"/>
        <v>0.4915722088</v>
      </c>
      <c r="S399" s="16"/>
      <c r="T399" s="25"/>
      <c r="U399" s="6"/>
      <c r="V399" s="6"/>
      <c r="W399" s="6"/>
      <c r="X399" s="6"/>
      <c r="Y399" s="6"/>
      <c r="Z399" s="6"/>
    </row>
    <row r="400" hidden="1" outlineLevel="1">
      <c r="A400" s="44" t="str">
        <f t="shared" si="294"/>
        <v>11-2025</v>
      </c>
      <c r="B400" s="34">
        <v>45988.0</v>
      </c>
      <c r="C400" s="45"/>
      <c r="D400" s="46">
        <v>1481.7</v>
      </c>
      <c r="E400" s="47">
        <v>44.0</v>
      </c>
      <c r="F400" s="47">
        <v>44.0</v>
      </c>
      <c r="G400" s="48">
        <f t="shared" si="2"/>
        <v>1</v>
      </c>
      <c r="H400" s="46">
        <f t="shared" si="295"/>
        <v>33.675</v>
      </c>
      <c r="I400" s="46">
        <f t="shared" si="296"/>
        <v>33.675</v>
      </c>
      <c r="J400" s="49">
        <v>2959.0</v>
      </c>
      <c r="K400" s="50">
        <f t="shared" si="5"/>
        <v>0.01486988848</v>
      </c>
      <c r="L400" s="46">
        <v>138.06</v>
      </c>
      <c r="M400" s="46">
        <v>1134.7</v>
      </c>
      <c r="N400" s="47">
        <v>32.0</v>
      </c>
      <c r="O400" s="49">
        <v>142106.0</v>
      </c>
      <c r="P400" s="50">
        <f t="shared" si="6"/>
        <v>0.1216709262</v>
      </c>
      <c r="Q400" s="51">
        <f t="shared" si="7"/>
        <v>8.218890338</v>
      </c>
      <c r="R400" s="50">
        <f t="shared" si="8"/>
        <v>0.7658095431</v>
      </c>
      <c r="S400" s="16"/>
      <c r="T400" s="25"/>
      <c r="U400" s="6"/>
      <c r="V400" s="6"/>
      <c r="W400" s="6"/>
      <c r="X400" s="6"/>
      <c r="Y400" s="6"/>
      <c r="Z400" s="6"/>
    </row>
    <row r="401" hidden="1" outlineLevel="1">
      <c r="A401" s="44" t="str">
        <f t="shared" si="294"/>
        <v>11-2025</v>
      </c>
      <c r="B401" s="34">
        <v>45989.0</v>
      </c>
      <c r="C401" s="45"/>
      <c r="D401" s="46">
        <v>4902.6</v>
      </c>
      <c r="E401" s="47">
        <v>137.0</v>
      </c>
      <c r="F401" s="47">
        <v>136.0</v>
      </c>
      <c r="G401" s="48">
        <f t="shared" si="2"/>
        <v>1.007352941</v>
      </c>
      <c r="H401" s="46">
        <f t="shared" si="295"/>
        <v>36.04852941</v>
      </c>
      <c r="I401" s="46">
        <f t="shared" si="296"/>
        <v>35.78540146</v>
      </c>
      <c r="J401" s="49">
        <v>5207.0</v>
      </c>
      <c r="K401" s="50">
        <f t="shared" si="5"/>
        <v>0.02631073555</v>
      </c>
      <c r="L401" s="46">
        <v>235.88</v>
      </c>
      <c r="M401" s="46">
        <v>2316.6</v>
      </c>
      <c r="N401" s="47">
        <v>62.0</v>
      </c>
      <c r="O401" s="49">
        <v>258773.0</v>
      </c>
      <c r="P401" s="50">
        <f t="shared" si="6"/>
        <v>0.1018216352</v>
      </c>
      <c r="Q401" s="51">
        <f t="shared" si="7"/>
        <v>9.821095472</v>
      </c>
      <c r="R401" s="50">
        <f t="shared" si="8"/>
        <v>0.4725247828</v>
      </c>
      <c r="S401" s="16"/>
      <c r="T401" s="25"/>
      <c r="U401" s="6"/>
      <c r="V401" s="6"/>
      <c r="W401" s="6"/>
      <c r="X401" s="6"/>
      <c r="Y401" s="6"/>
      <c r="Z401" s="6"/>
    </row>
    <row r="402" hidden="1" outlineLevel="1">
      <c r="A402" s="44" t="str">
        <f t="shared" si="294"/>
        <v>11-2025</v>
      </c>
      <c r="B402" s="34">
        <v>45990.0</v>
      </c>
      <c r="C402" s="45"/>
      <c r="D402" s="46">
        <v>2369.7</v>
      </c>
      <c r="E402" s="47">
        <v>63.0</v>
      </c>
      <c r="F402" s="47">
        <v>62.0</v>
      </c>
      <c r="G402" s="48">
        <f t="shared" si="2"/>
        <v>1.016129032</v>
      </c>
      <c r="H402" s="46">
        <f t="shared" si="295"/>
        <v>38.22096774</v>
      </c>
      <c r="I402" s="46">
        <f t="shared" si="296"/>
        <v>37.61428571</v>
      </c>
      <c r="J402" s="49">
        <v>3933.0</v>
      </c>
      <c r="K402" s="50">
        <f t="shared" si="5"/>
        <v>0.01601830664</v>
      </c>
      <c r="L402" s="46">
        <v>188.59</v>
      </c>
      <c r="M402" s="46">
        <v>1275.7</v>
      </c>
      <c r="N402" s="47">
        <v>30.0</v>
      </c>
      <c r="O402" s="49">
        <v>193367.0</v>
      </c>
      <c r="P402" s="50">
        <f t="shared" si="6"/>
        <v>0.1478325625</v>
      </c>
      <c r="Q402" s="51">
        <f t="shared" si="7"/>
        <v>6.764409566</v>
      </c>
      <c r="R402" s="50">
        <f t="shared" si="8"/>
        <v>0.5383381863</v>
      </c>
      <c r="S402" s="16"/>
      <c r="T402" s="25"/>
      <c r="U402" s="6"/>
      <c r="V402" s="6"/>
      <c r="W402" s="6"/>
      <c r="X402" s="6"/>
      <c r="Y402" s="6"/>
      <c r="Z402" s="6"/>
    </row>
    <row r="403" collapsed="1">
      <c r="A403" s="52" t="s">
        <v>94</v>
      </c>
      <c r="B403" s="53"/>
      <c r="C403" s="54"/>
      <c r="D403" s="55">
        <f t="shared" ref="D403:F403" si="297">SUM(D396:D402)</f>
        <v>15487.2</v>
      </c>
      <c r="E403" s="56">
        <f t="shared" si="297"/>
        <v>427</v>
      </c>
      <c r="F403" s="56">
        <f t="shared" si="297"/>
        <v>425</v>
      </c>
      <c r="G403" s="57">
        <f t="shared" si="2"/>
        <v>1.004705882</v>
      </c>
      <c r="H403" s="55">
        <f>AVERAGE(H396:H402)</f>
        <v>36.45497627</v>
      </c>
      <c r="I403" s="58">
        <f>H403/G403</f>
        <v>36.28422697</v>
      </c>
      <c r="J403" s="59">
        <f>SUM(J396:J402)</f>
        <v>23193</v>
      </c>
      <c r="K403" s="60">
        <f t="shared" si="5"/>
        <v>0.01841072737</v>
      </c>
      <c r="L403" s="55">
        <f t="shared" ref="L403:N403" si="298">SUM(L396:L402)</f>
        <v>1121.83</v>
      </c>
      <c r="M403" s="55">
        <f t="shared" si="298"/>
        <v>8867.6</v>
      </c>
      <c r="N403" s="56">
        <f t="shared" si="298"/>
        <v>236</v>
      </c>
      <c r="O403" s="59">
        <f>sum(O396:O402)</f>
        <v>1158284</v>
      </c>
      <c r="P403" s="60">
        <f t="shared" si="6"/>
        <v>0.1265088637</v>
      </c>
      <c r="Q403" s="61">
        <f t="shared" si="7"/>
        <v>7.904584474</v>
      </c>
      <c r="R403" s="62">
        <f t="shared" si="8"/>
        <v>0.5725760628</v>
      </c>
      <c r="S403" s="54" t="str">
        <f>iferror((D403-#REF!)/D403,)</f>
        <v/>
      </c>
      <c r="T403" s="63" t="str">
        <f>iferror((F403-#REF!)/F403,)</f>
        <v/>
      </c>
      <c r="U403" s="64">
        <f t="shared" ref="U403:V403" si="299">L403</f>
        <v>1121.83</v>
      </c>
      <c r="V403" s="64">
        <f t="shared" si="299"/>
        <v>8867.6</v>
      </c>
      <c r="W403" s="6"/>
      <c r="X403" s="6"/>
      <c r="Y403" s="6"/>
      <c r="Z403" s="6"/>
    </row>
    <row r="404" hidden="1" outlineLevel="1">
      <c r="A404" s="33" t="str">
        <f t="shared" ref="A404:A410" si="300">iferror(if(B404&gt;0,month(B404)&amp;"-"&amp;year(B404),B404),)</f>
        <v>11-2025</v>
      </c>
      <c r="B404" s="34">
        <v>45991.0</v>
      </c>
      <c r="C404" s="35"/>
      <c r="D404" s="36">
        <v>2442.8</v>
      </c>
      <c r="E404" s="37">
        <v>68.0</v>
      </c>
      <c r="F404" s="37">
        <v>68.0</v>
      </c>
      <c r="G404" s="38">
        <f t="shared" si="2"/>
        <v>1</v>
      </c>
      <c r="H404" s="36">
        <f t="shared" ref="H404:H410" si="301">D404/F404</f>
        <v>35.92352941</v>
      </c>
      <c r="I404" s="36">
        <f t="shared" ref="I404:I410" si="302">D404/E404</f>
        <v>35.92352941</v>
      </c>
      <c r="J404" s="39">
        <v>3736.0</v>
      </c>
      <c r="K404" s="40">
        <f t="shared" si="5"/>
        <v>0.0182012848</v>
      </c>
      <c r="L404" s="36">
        <v>173.87</v>
      </c>
      <c r="M404" s="36">
        <v>1546.2</v>
      </c>
      <c r="N404" s="37">
        <v>45.0</v>
      </c>
      <c r="O404" s="39">
        <v>200994.0</v>
      </c>
      <c r="P404" s="40">
        <f t="shared" si="6"/>
        <v>0.1124498771</v>
      </c>
      <c r="Q404" s="41">
        <f t="shared" si="7"/>
        <v>8.892850981</v>
      </c>
      <c r="R404" s="40">
        <f t="shared" si="8"/>
        <v>0.6329621746</v>
      </c>
      <c r="S404" s="42"/>
      <c r="T404" s="43"/>
      <c r="U404" s="6"/>
      <c r="V404" s="6"/>
      <c r="W404" s="6"/>
      <c r="X404" s="6"/>
      <c r="Y404" s="6"/>
      <c r="Z404" s="6"/>
    </row>
    <row r="405" hidden="1" outlineLevel="1">
      <c r="A405" s="44" t="str">
        <f t="shared" si="300"/>
        <v>12-2025</v>
      </c>
      <c r="B405" s="34">
        <v>45992.0</v>
      </c>
      <c r="C405" s="45"/>
      <c r="D405" s="46">
        <v>3863.0</v>
      </c>
      <c r="E405" s="47">
        <v>111.0</v>
      </c>
      <c r="F405" s="47">
        <v>111.0</v>
      </c>
      <c r="G405" s="48">
        <f t="shared" si="2"/>
        <v>1</v>
      </c>
      <c r="H405" s="46">
        <f t="shared" si="301"/>
        <v>34.8018018</v>
      </c>
      <c r="I405" s="46">
        <f t="shared" si="302"/>
        <v>34.8018018</v>
      </c>
      <c r="J405" s="49">
        <v>3762.0</v>
      </c>
      <c r="K405" s="50">
        <f t="shared" si="5"/>
        <v>0.02950558214</v>
      </c>
      <c r="L405" s="46">
        <v>173.24</v>
      </c>
      <c r="M405" s="46">
        <v>1802.6</v>
      </c>
      <c r="N405" s="47">
        <v>53.0</v>
      </c>
      <c r="O405" s="49">
        <v>196904.0</v>
      </c>
      <c r="P405" s="50">
        <f t="shared" si="6"/>
        <v>0.09610562521</v>
      </c>
      <c r="Q405" s="51">
        <f t="shared" si="7"/>
        <v>10.40521819</v>
      </c>
      <c r="R405" s="50">
        <f t="shared" si="8"/>
        <v>0.4666321512</v>
      </c>
      <c r="S405" s="16"/>
      <c r="T405" s="25"/>
      <c r="U405" s="6"/>
      <c r="V405" s="6"/>
      <c r="W405" s="6"/>
      <c r="X405" s="6"/>
      <c r="Y405" s="6"/>
      <c r="Z405" s="6"/>
    </row>
    <row r="406" hidden="1" outlineLevel="1">
      <c r="A406" s="44" t="str">
        <f t="shared" si="300"/>
        <v>12-2025</v>
      </c>
      <c r="B406" s="34">
        <v>45993.0</v>
      </c>
      <c r="C406" s="45"/>
      <c r="D406" s="46">
        <v>1992.4</v>
      </c>
      <c r="E406" s="47">
        <v>58.0</v>
      </c>
      <c r="F406" s="47">
        <v>58.0</v>
      </c>
      <c r="G406" s="48">
        <f t="shared" si="2"/>
        <v>1</v>
      </c>
      <c r="H406" s="46">
        <f t="shared" si="301"/>
        <v>34.35172414</v>
      </c>
      <c r="I406" s="46">
        <f t="shared" si="302"/>
        <v>34.35172414</v>
      </c>
      <c r="J406" s="49">
        <v>2725.0</v>
      </c>
      <c r="K406" s="50">
        <f t="shared" si="5"/>
        <v>0.02128440367</v>
      </c>
      <c r="L406" s="46">
        <v>108.77</v>
      </c>
      <c r="M406" s="46">
        <v>691.6</v>
      </c>
      <c r="N406" s="47">
        <v>20.0</v>
      </c>
      <c r="O406" s="49">
        <v>117389.0</v>
      </c>
      <c r="P406" s="50">
        <f t="shared" si="6"/>
        <v>0.1572729902</v>
      </c>
      <c r="Q406" s="51">
        <f t="shared" si="7"/>
        <v>6.358370874</v>
      </c>
      <c r="R406" s="50">
        <f t="shared" si="8"/>
        <v>0.3471190524</v>
      </c>
      <c r="S406" s="16"/>
      <c r="T406" s="25"/>
      <c r="U406" s="6"/>
      <c r="V406" s="6"/>
      <c r="W406" s="6"/>
      <c r="X406" s="6"/>
      <c r="Y406" s="6"/>
      <c r="Z406" s="6"/>
    </row>
    <row r="407" hidden="1" outlineLevel="1">
      <c r="A407" s="44" t="str">
        <f t="shared" si="300"/>
        <v>12-2025</v>
      </c>
      <c r="B407" s="34">
        <v>45994.0</v>
      </c>
      <c r="C407" s="45"/>
      <c r="D407" s="46">
        <v>1721.1</v>
      </c>
      <c r="E407" s="47">
        <v>50.0</v>
      </c>
      <c r="F407" s="47">
        <v>50.0</v>
      </c>
      <c r="G407" s="48">
        <f t="shared" si="2"/>
        <v>1</v>
      </c>
      <c r="H407" s="46">
        <f t="shared" si="301"/>
        <v>34.422</v>
      </c>
      <c r="I407" s="46">
        <f t="shared" si="302"/>
        <v>34.422</v>
      </c>
      <c r="J407" s="49">
        <v>2341.0</v>
      </c>
      <c r="K407" s="50">
        <f t="shared" si="5"/>
        <v>0.02135839385</v>
      </c>
      <c r="L407" s="46">
        <v>75.42</v>
      </c>
      <c r="M407" s="46">
        <v>770.1</v>
      </c>
      <c r="N407" s="47">
        <v>22.0</v>
      </c>
      <c r="O407" s="49">
        <v>104726.0</v>
      </c>
      <c r="P407" s="50">
        <f t="shared" si="6"/>
        <v>0.09793533307</v>
      </c>
      <c r="Q407" s="51">
        <f t="shared" si="7"/>
        <v>10.21081941</v>
      </c>
      <c r="R407" s="50">
        <f t="shared" si="8"/>
        <v>0.4474464006</v>
      </c>
      <c r="S407" s="16"/>
      <c r="T407" s="25"/>
      <c r="U407" s="6"/>
      <c r="V407" s="6"/>
      <c r="W407" s="6"/>
      <c r="X407" s="6"/>
      <c r="Y407" s="6"/>
      <c r="Z407" s="6"/>
    </row>
    <row r="408" hidden="1" outlineLevel="1">
      <c r="A408" s="44" t="str">
        <f t="shared" si="300"/>
        <v>12-2025</v>
      </c>
      <c r="B408" s="34">
        <v>45995.0</v>
      </c>
      <c r="C408" s="45"/>
      <c r="D408" s="46">
        <v>2049.8</v>
      </c>
      <c r="E408" s="47">
        <v>54.0</v>
      </c>
      <c r="F408" s="47">
        <v>54.0</v>
      </c>
      <c r="G408" s="48">
        <f t="shared" si="2"/>
        <v>1</v>
      </c>
      <c r="H408" s="46">
        <f t="shared" si="301"/>
        <v>37.95925926</v>
      </c>
      <c r="I408" s="46">
        <f t="shared" si="302"/>
        <v>37.95925926</v>
      </c>
      <c r="J408" s="49">
        <v>2797.0</v>
      </c>
      <c r="K408" s="50">
        <f t="shared" si="5"/>
        <v>0.01930639971</v>
      </c>
      <c r="L408" s="46">
        <v>110.07</v>
      </c>
      <c r="M408" s="46">
        <v>1048.0</v>
      </c>
      <c r="N408" s="47">
        <v>29.0</v>
      </c>
      <c r="O408" s="49">
        <v>126046.0</v>
      </c>
      <c r="P408" s="50">
        <f t="shared" si="6"/>
        <v>0.105028626</v>
      </c>
      <c r="Q408" s="51">
        <f t="shared" si="7"/>
        <v>9.521213773</v>
      </c>
      <c r="R408" s="50">
        <f t="shared" si="8"/>
        <v>0.5112693921</v>
      </c>
      <c r="S408" s="16"/>
      <c r="T408" s="25"/>
      <c r="U408" s="6"/>
      <c r="V408" s="6"/>
      <c r="W408" s="6"/>
      <c r="X408" s="6"/>
      <c r="Y408" s="6"/>
      <c r="Z408" s="6"/>
    </row>
    <row r="409" hidden="1" outlineLevel="1">
      <c r="A409" s="44" t="str">
        <f t="shared" si="300"/>
        <v>12-2025</v>
      </c>
      <c r="B409" s="34">
        <v>45996.0</v>
      </c>
      <c r="C409" s="45"/>
      <c r="D409" s="46">
        <v>2707.2</v>
      </c>
      <c r="E409" s="47">
        <v>69.0</v>
      </c>
      <c r="F409" s="47">
        <v>69.0</v>
      </c>
      <c r="G409" s="48">
        <f t="shared" si="2"/>
        <v>1</v>
      </c>
      <c r="H409" s="46">
        <f t="shared" si="301"/>
        <v>39.23478261</v>
      </c>
      <c r="I409" s="46">
        <f t="shared" si="302"/>
        <v>39.23478261</v>
      </c>
      <c r="J409" s="49">
        <v>2705.0</v>
      </c>
      <c r="K409" s="50">
        <f t="shared" si="5"/>
        <v>0.02550831793</v>
      </c>
      <c r="L409" s="46">
        <v>99.54</v>
      </c>
      <c r="M409" s="46">
        <v>1549.1</v>
      </c>
      <c r="N409" s="47">
        <v>36.0</v>
      </c>
      <c r="O409" s="49">
        <v>116763.0</v>
      </c>
      <c r="P409" s="50">
        <f t="shared" si="6"/>
        <v>0.06425666516</v>
      </c>
      <c r="Q409" s="51">
        <f t="shared" si="7"/>
        <v>15.5625879</v>
      </c>
      <c r="R409" s="50">
        <f t="shared" si="8"/>
        <v>0.5722148345</v>
      </c>
      <c r="S409" s="16"/>
      <c r="T409" s="25"/>
      <c r="U409" s="6"/>
      <c r="V409" s="6"/>
      <c r="W409" s="6"/>
      <c r="X409" s="6"/>
      <c r="Y409" s="6"/>
      <c r="Z409" s="6"/>
    </row>
    <row r="410" hidden="1" outlineLevel="1">
      <c r="A410" s="44" t="str">
        <f t="shared" si="300"/>
        <v>12-2025</v>
      </c>
      <c r="B410" s="34">
        <v>45997.0</v>
      </c>
      <c r="C410" s="45"/>
      <c r="D410" s="46">
        <v>2687.7</v>
      </c>
      <c r="E410" s="47">
        <v>76.0</v>
      </c>
      <c r="F410" s="47">
        <v>76.0</v>
      </c>
      <c r="G410" s="48">
        <f t="shared" si="2"/>
        <v>1</v>
      </c>
      <c r="H410" s="46">
        <f t="shared" si="301"/>
        <v>35.36447368</v>
      </c>
      <c r="I410" s="46">
        <f t="shared" si="302"/>
        <v>35.36447368</v>
      </c>
      <c r="J410" s="49">
        <v>2946.0</v>
      </c>
      <c r="K410" s="50">
        <f t="shared" si="5"/>
        <v>0.02579769179</v>
      </c>
      <c r="L410" s="46">
        <v>125.71</v>
      </c>
      <c r="M410" s="46">
        <v>1383.7</v>
      </c>
      <c r="N410" s="47">
        <v>39.0</v>
      </c>
      <c r="O410" s="49">
        <v>144129.0</v>
      </c>
      <c r="P410" s="50">
        <f t="shared" si="6"/>
        <v>0.09085061791</v>
      </c>
      <c r="Q410" s="51">
        <f t="shared" si="7"/>
        <v>11.00707979</v>
      </c>
      <c r="R410" s="50">
        <f t="shared" si="8"/>
        <v>0.5148268036</v>
      </c>
      <c r="S410" s="16"/>
      <c r="T410" s="25"/>
      <c r="U410" s="6"/>
      <c r="V410" s="6"/>
      <c r="W410" s="6"/>
      <c r="X410" s="6"/>
      <c r="Y410" s="6"/>
      <c r="Z410" s="6"/>
    </row>
    <row r="411" collapsed="1">
      <c r="A411" s="52" t="s">
        <v>95</v>
      </c>
      <c r="B411" s="53"/>
      <c r="C411" s="54"/>
      <c r="D411" s="55">
        <f t="shared" ref="D411:F411" si="303">SUM(D404:D410)</f>
        <v>17464</v>
      </c>
      <c r="E411" s="56">
        <f t="shared" si="303"/>
        <v>486</v>
      </c>
      <c r="F411" s="56">
        <f t="shared" si="303"/>
        <v>486</v>
      </c>
      <c r="G411" s="57">
        <f t="shared" si="2"/>
        <v>1</v>
      </c>
      <c r="H411" s="55">
        <f>AVERAGE(H404:H410)</f>
        <v>36.00822441</v>
      </c>
      <c r="I411" s="58">
        <f>H411/G411</f>
        <v>36.00822441</v>
      </c>
      <c r="J411" s="59">
        <f>SUM(J404:J410)</f>
        <v>21012</v>
      </c>
      <c r="K411" s="60">
        <f t="shared" si="5"/>
        <v>0.02312964021</v>
      </c>
      <c r="L411" s="55">
        <f t="shared" ref="L411:N411" si="304">SUM(L404:L410)</f>
        <v>866.62</v>
      </c>
      <c r="M411" s="55">
        <f t="shared" si="304"/>
        <v>8791.3</v>
      </c>
      <c r="N411" s="56">
        <f t="shared" si="304"/>
        <v>244</v>
      </c>
      <c r="O411" s="59">
        <f>sum(O404:O410)</f>
        <v>1006951</v>
      </c>
      <c r="P411" s="60">
        <f t="shared" si="6"/>
        <v>0.09857700226</v>
      </c>
      <c r="Q411" s="61">
        <f t="shared" si="7"/>
        <v>10.14435393</v>
      </c>
      <c r="R411" s="62">
        <f t="shared" si="8"/>
        <v>0.5033955566</v>
      </c>
      <c r="S411" s="54" t="str">
        <f>iferror((D411-#REF!)/D411,)</f>
        <v/>
      </c>
      <c r="T411" s="63" t="str">
        <f>iferror((F411-#REF!)/F411,)</f>
        <v/>
      </c>
      <c r="U411" s="64">
        <f t="shared" ref="U411:V411" si="305">L411</f>
        <v>866.62</v>
      </c>
      <c r="V411" s="64">
        <f t="shared" si="305"/>
        <v>8791.3</v>
      </c>
      <c r="W411" s="6"/>
      <c r="X411" s="6"/>
      <c r="Y411" s="6"/>
      <c r="Z411" s="6"/>
    </row>
    <row r="412" hidden="1" outlineLevel="1">
      <c r="A412" s="33" t="str">
        <f t="shared" ref="A412:A418" si="306">iferror(if(B412&gt;0,month(B412)&amp;"-"&amp;year(B412),B412),)</f>
        <v>12-2025</v>
      </c>
      <c r="B412" s="34">
        <v>45998.0</v>
      </c>
      <c r="C412" s="35"/>
      <c r="D412" s="36">
        <v>3176.9</v>
      </c>
      <c r="E412" s="37">
        <v>78.0</v>
      </c>
      <c r="F412" s="37">
        <v>78.0</v>
      </c>
      <c r="G412" s="38">
        <f t="shared" si="2"/>
        <v>1</v>
      </c>
      <c r="H412" s="36">
        <f t="shared" ref="H412:H418" si="307">D412/F412</f>
        <v>40.72948718</v>
      </c>
      <c r="I412" s="36">
        <f t="shared" ref="I412:I418" si="308">D412/E412</f>
        <v>40.72948718</v>
      </c>
      <c r="J412" s="39">
        <v>3743.0</v>
      </c>
      <c r="K412" s="40">
        <f t="shared" si="5"/>
        <v>0.02083889928</v>
      </c>
      <c r="L412" s="36">
        <v>154.88</v>
      </c>
      <c r="M412" s="36">
        <v>1628.8</v>
      </c>
      <c r="N412" s="37">
        <v>40.0</v>
      </c>
      <c r="O412" s="39">
        <v>174959.0</v>
      </c>
      <c r="P412" s="40">
        <f t="shared" si="6"/>
        <v>0.09508840864</v>
      </c>
      <c r="Q412" s="41">
        <f t="shared" si="7"/>
        <v>10.51652893</v>
      </c>
      <c r="R412" s="40">
        <f t="shared" si="8"/>
        <v>0.5127010608</v>
      </c>
      <c r="S412" s="42"/>
      <c r="T412" s="43"/>
      <c r="U412" s="6"/>
      <c r="V412" s="6"/>
      <c r="W412" s="6"/>
      <c r="X412" s="6"/>
      <c r="Y412" s="6"/>
      <c r="Z412" s="6"/>
    </row>
    <row r="413" hidden="1" outlineLevel="1">
      <c r="A413" s="44" t="str">
        <f t="shared" si="306"/>
        <v>12-2025</v>
      </c>
      <c r="B413" s="34">
        <v>45999.0</v>
      </c>
      <c r="C413" s="45"/>
      <c r="D413" s="46">
        <v>2764.5</v>
      </c>
      <c r="E413" s="47">
        <v>68.0</v>
      </c>
      <c r="F413" s="47">
        <v>68.0</v>
      </c>
      <c r="G413" s="48">
        <f t="shared" si="2"/>
        <v>1</v>
      </c>
      <c r="H413" s="46">
        <f t="shared" si="307"/>
        <v>40.65441176</v>
      </c>
      <c r="I413" s="46">
        <f t="shared" si="308"/>
        <v>40.65441176</v>
      </c>
      <c r="J413" s="49">
        <v>3111.0</v>
      </c>
      <c r="K413" s="50">
        <f t="shared" si="5"/>
        <v>0.0218579235</v>
      </c>
      <c r="L413" s="46">
        <v>127.01</v>
      </c>
      <c r="M413" s="46">
        <v>1271.7</v>
      </c>
      <c r="N413" s="47">
        <v>31.0</v>
      </c>
      <c r="O413" s="49">
        <v>142577.0</v>
      </c>
      <c r="P413" s="50">
        <f t="shared" si="6"/>
        <v>0.09987418416</v>
      </c>
      <c r="Q413" s="51">
        <f t="shared" si="7"/>
        <v>10.01259743</v>
      </c>
      <c r="R413" s="50">
        <f t="shared" si="8"/>
        <v>0.4600108519</v>
      </c>
      <c r="S413" s="16"/>
      <c r="T413" s="25"/>
      <c r="U413" s="6"/>
      <c r="V413" s="6"/>
      <c r="W413" s="6"/>
      <c r="X413" s="6"/>
      <c r="Y413" s="6"/>
      <c r="Z413" s="6"/>
    </row>
    <row r="414" hidden="1" outlineLevel="1">
      <c r="A414" s="44" t="str">
        <f t="shared" si="306"/>
        <v>12-2025</v>
      </c>
      <c r="B414" s="34">
        <v>46000.0</v>
      </c>
      <c r="C414" s="45"/>
      <c r="D414" s="46">
        <v>3733.4</v>
      </c>
      <c r="E414" s="47">
        <v>89.0</v>
      </c>
      <c r="F414" s="47">
        <v>89.0</v>
      </c>
      <c r="G414" s="48">
        <f t="shared" si="2"/>
        <v>1</v>
      </c>
      <c r="H414" s="46">
        <f t="shared" si="307"/>
        <v>41.94831461</v>
      </c>
      <c r="I414" s="46">
        <f t="shared" si="308"/>
        <v>41.94831461</v>
      </c>
      <c r="J414" s="49">
        <v>3166.0</v>
      </c>
      <c r="K414" s="50">
        <f t="shared" si="5"/>
        <v>0.0281111813</v>
      </c>
      <c r="L414" s="46">
        <v>117.53</v>
      </c>
      <c r="M414" s="46">
        <v>2112.0</v>
      </c>
      <c r="N414" s="47">
        <v>47.0</v>
      </c>
      <c r="O414" s="49">
        <v>131897.0</v>
      </c>
      <c r="P414" s="50">
        <f t="shared" si="6"/>
        <v>0.05564867424</v>
      </c>
      <c r="Q414" s="51">
        <f t="shared" si="7"/>
        <v>17.96988003</v>
      </c>
      <c r="R414" s="50">
        <f t="shared" si="8"/>
        <v>0.5657041839</v>
      </c>
      <c r="S414" s="16"/>
      <c r="T414" s="25"/>
      <c r="U414" s="6"/>
      <c r="V414" s="6"/>
      <c r="W414" s="6"/>
      <c r="X414" s="6"/>
      <c r="Y414" s="6"/>
      <c r="Z414" s="6"/>
    </row>
    <row r="415" hidden="1" outlineLevel="1">
      <c r="A415" s="44" t="str">
        <f t="shared" si="306"/>
        <v>12-2025</v>
      </c>
      <c r="B415" s="34">
        <v>46001.0</v>
      </c>
      <c r="C415" s="45"/>
      <c r="D415" s="46">
        <v>2860.3</v>
      </c>
      <c r="E415" s="47">
        <v>70.0</v>
      </c>
      <c r="F415" s="47">
        <v>70.0</v>
      </c>
      <c r="G415" s="48">
        <f t="shared" si="2"/>
        <v>1</v>
      </c>
      <c r="H415" s="46">
        <f t="shared" si="307"/>
        <v>40.86142857</v>
      </c>
      <c r="I415" s="46">
        <f t="shared" si="308"/>
        <v>40.86142857</v>
      </c>
      <c r="J415" s="49">
        <v>3152.0</v>
      </c>
      <c r="K415" s="50">
        <f t="shared" si="5"/>
        <v>0.02220812183</v>
      </c>
      <c r="L415" s="46">
        <v>127.04</v>
      </c>
      <c r="M415" s="46">
        <v>1548.5</v>
      </c>
      <c r="N415" s="47">
        <v>42.0</v>
      </c>
      <c r="O415" s="49">
        <v>125706.0</v>
      </c>
      <c r="P415" s="50">
        <f t="shared" si="6"/>
        <v>0.08204068453</v>
      </c>
      <c r="Q415" s="51">
        <f t="shared" si="7"/>
        <v>12.18907431</v>
      </c>
      <c r="R415" s="50">
        <f t="shared" si="8"/>
        <v>0.5413767787</v>
      </c>
      <c r="S415" s="16"/>
      <c r="T415" s="25"/>
      <c r="U415" s="6"/>
      <c r="V415" s="6"/>
      <c r="W415" s="6"/>
      <c r="X415" s="6"/>
      <c r="Y415" s="6"/>
      <c r="Z415" s="6"/>
    </row>
    <row r="416" hidden="1" outlineLevel="1">
      <c r="A416" s="44" t="str">
        <f t="shared" si="306"/>
        <v>12-2025</v>
      </c>
      <c r="B416" s="34">
        <v>46002.0</v>
      </c>
      <c r="C416" s="45"/>
      <c r="D416" s="46">
        <v>2177.9</v>
      </c>
      <c r="E416" s="47">
        <v>56.0</v>
      </c>
      <c r="F416" s="47">
        <v>56.0</v>
      </c>
      <c r="G416" s="48">
        <f t="shared" si="2"/>
        <v>1</v>
      </c>
      <c r="H416" s="46">
        <f t="shared" si="307"/>
        <v>38.89107143</v>
      </c>
      <c r="I416" s="46">
        <f t="shared" si="308"/>
        <v>38.89107143</v>
      </c>
      <c r="J416" s="49">
        <v>3078.0</v>
      </c>
      <c r="K416" s="50">
        <f t="shared" si="5"/>
        <v>0.01819363223</v>
      </c>
      <c r="L416" s="46">
        <v>118.07</v>
      </c>
      <c r="M416" s="46">
        <v>1111.4</v>
      </c>
      <c r="N416" s="47">
        <v>28.0</v>
      </c>
      <c r="O416" s="49">
        <v>129851.0</v>
      </c>
      <c r="P416" s="50">
        <f t="shared" si="6"/>
        <v>0.1062353788</v>
      </c>
      <c r="Q416" s="51">
        <f t="shared" si="7"/>
        <v>9.413060049</v>
      </c>
      <c r="R416" s="50">
        <f t="shared" si="8"/>
        <v>0.510308095</v>
      </c>
      <c r="S416" s="16"/>
      <c r="T416" s="25"/>
      <c r="U416" s="6"/>
      <c r="V416" s="6"/>
      <c r="W416" s="6"/>
      <c r="X416" s="6"/>
      <c r="Y416" s="6"/>
      <c r="Z416" s="6"/>
    </row>
    <row r="417" hidden="1" outlineLevel="1">
      <c r="A417" s="44" t="str">
        <f t="shared" si="306"/>
        <v>12-2025</v>
      </c>
      <c r="B417" s="34">
        <v>46003.0</v>
      </c>
      <c r="C417" s="45"/>
      <c r="D417" s="46">
        <v>3027.5</v>
      </c>
      <c r="E417" s="47">
        <v>79.0</v>
      </c>
      <c r="F417" s="47">
        <v>79.0</v>
      </c>
      <c r="G417" s="48">
        <f t="shared" si="2"/>
        <v>1</v>
      </c>
      <c r="H417" s="46">
        <f t="shared" si="307"/>
        <v>38.32278481</v>
      </c>
      <c r="I417" s="46">
        <f t="shared" si="308"/>
        <v>38.32278481</v>
      </c>
      <c r="J417" s="49">
        <v>3077.0</v>
      </c>
      <c r="K417" s="50">
        <f t="shared" si="5"/>
        <v>0.02567435814</v>
      </c>
      <c r="L417" s="46">
        <v>132.05</v>
      </c>
      <c r="M417" s="46">
        <v>1626.5</v>
      </c>
      <c r="N417" s="47">
        <v>40.0</v>
      </c>
      <c r="O417" s="49">
        <v>132095.0</v>
      </c>
      <c r="P417" s="50">
        <f t="shared" si="6"/>
        <v>0.08118659699</v>
      </c>
      <c r="Q417" s="51">
        <f t="shared" si="7"/>
        <v>12.31730405</v>
      </c>
      <c r="R417" s="50">
        <f t="shared" si="8"/>
        <v>0.5372419488</v>
      </c>
      <c r="S417" s="16"/>
      <c r="T417" s="25"/>
      <c r="U417" s="6"/>
      <c r="V417" s="6"/>
      <c r="W417" s="6"/>
      <c r="X417" s="6"/>
      <c r="Y417" s="6"/>
      <c r="Z417" s="6"/>
    </row>
    <row r="418" hidden="1" outlineLevel="1">
      <c r="A418" s="44" t="str">
        <f t="shared" si="306"/>
        <v>12-2025</v>
      </c>
      <c r="B418" s="34">
        <v>46004.0</v>
      </c>
      <c r="C418" s="45"/>
      <c r="D418" s="46">
        <v>2393.9</v>
      </c>
      <c r="E418" s="47">
        <v>58.0</v>
      </c>
      <c r="F418" s="47">
        <v>58.0</v>
      </c>
      <c r="G418" s="48">
        <f t="shared" si="2"/>
        <v>1</v>
      </c>
      <c r="H418" s="46">
        <f t="shared" si="307"/>
        <v>41.27413793</v>
      </c>
      <c r="I418" s="46">
        <f t="shared" si="308"/>
        <v>41.27413793</v>
      </c>
      <c r="J418" s="49">
        <v>3854.0</v>
      </c>
      <c r="K418" s="50">
        <f t="shared" si="5"/>
        <v>0.01504929943</v>
      </c>
      <c r="L418" s="46">
        <v>153.28</v>
      </c>
      <c r="M418" s="46">
        <v>1265.3</v>
      </c>
      <c r="N418" s="47">
        <v>30.0</v>
      </c>
      <c r="O418" s="49">
        <v>165842.0</v>
      </c>
      <c r="P418" s="50">
        <f t="shared" si="6"/>
        <v>0.1211412313</v>
      </c>
      <c r="Q418" s="51">
        <f t="shared" si="7"/>
        <v>8.254827766</v>
      </c>
      <c r="R418" s="50">
        <f t="shared" si="8"/>
        <v>0.5285517357</v>
      </c>
      <c r="S418" s="16"/>
      <c r="T418" s="25"/>
      <c r="U418" s="6"/>
      <c r="V418" s="6"/>
      <c r="W418" s="6"/>
      <c r="X418" s="6"/>
      <c r="Y418" s="6"/>
      <c r="Z418" s="6"/>
    </row>
    <row r="419" collapsed="1">
      <c r="A419" s="52" t="s">
        <v>96</v>
      </c>
      <c r="B419" s="53"/>
      <c r="C419" s="54"/>
      <c r="D419" s="55">
        <f t="shared" ref="D419:F419" si="309">SUM(D412:D418)</f>
        <v>20134.4</v>
      </c>
      <c r="E419" s="56">
        <f t="shared" si="309"/>
        <v>498</v>
      </c>
      <c r="F419" s="56">
        <f t="shared" si="309"/>
        <v>498</v>
      </c>
      <c r="G419" s="57">
        <f t="shared" si="2"/>
        <v>1</v>
      </c>
      <c r="H419" s="55">
        <f>AVERAGE(H412:H418)</f>
        <v>40.3830909</v>
      </c>
      <c r="I419" s="58">
        <f>H419/G419</f>
        <v>40.3830909</v>
      </c>
      <c r="J419" s="59">
        <f>SUM(J412:J418)</f>
        <v>23181</v>
      </c>
      <c r="K419" s="60">
        <f t="shared" si="5"/>
        <v>0.02148311117</v>
      </c>
      <c r="L419" s="55">
        <f t="shared" ref="L419:N419" si="310">SUM(L412:L418)</f>
        <v>929.86</v>
      </c>
      <c r="M419" s="55">
        <f t="shared" si="310"/>
        <v>10564.2</v>
      </c>
      <c r="N419" s="56">
        <f t="shared" si="310"/>
        <v>258</v>
      </c>
      <c r="O419" s="59">
        <f>sum(O412:O418)</f>
        <v>1002927</v>
      </c>
      <c r="P419" s="60">
        <f t="shared" si="6"/>
        <v>0.08801991632</v>
      </c>
      <c r="Q419" s="61">
        <f t="shared" si="7"/>
        <v>11.36106511</v>
      </c>
      <c r="R419" s="62">
        <f t="shared" si="8"/>
        <v>0.5246841227</v>
      </c>
      <c r="S419" s="54" t="str">
        <f>iferror((D419-#REF!)/D419,)</f>
        <v/>
      </c>
      <c r="T419" s="63" t="str">
        <f>iferror((F419-#REF!)/F419,)</f>
        <v/>
      </c>
      <c r="U419" s="64">
        <f t="shared" ref="U419:V419" si="311">L419</f>
        <v>929.86</v>
      </c>
      <c r="V419" s="64">
        <f t="shared" si="311"/>
        <v>10564.2</v>
      </c>
      <c r="W419" s="6"/>
      <c r="X419" s="6"/>
      <c r="Y419" s="6"/>
      <c r="Z419" s="6"/>
    </row>
    <row r="420" hidden="1" outlineLevel="1">
      <c r="A420" s="33" t="str">
        <f t="shared" ref="A420:A426" si="312">iferror(if(B420&gt;0,month(B420)&amp;"-"&amp;year(B420),B420),)</f>
        <v>12-2025</v>
      </c>
      <c r="B420" s="34">
        <v>46005.0</v>
      </c>
      <c r="C420" s="35"/>
      <c r="D420" s="36">
        <v>3165.5</v>
      </c>
      <c r="E420" s="37">
        <v>84.0</v>
      </c>
      <c r="F420" s="37">
        <v>84.0</v>
      </c>
      <c r="G420" s="38">
        <f t="shared" si="2"/>
        <v>1</v>
      </c>
      <c r="H420" s="36">
        <f t="shared" ref="H420:H426" si="313">D420/F420</f>
        <v>37.68452381</v>
      </c>
      <c r="I420" s="36">
        <f t="shared" ref="I420:I426" si="314">D420/E420</f>
        <v>37.68452381</v>
      </c>
      <c r="J420" s="39">
        <v>4628.0</v>
      </c>
      <c r="K420" s="40">
        <f t="shared" si="5"/>
        <v>0.01815038894</v>
      </c>
      <c r="L420" s="36">
        <v>175.47</v>
      </c>
      <c r="M420" s="36">
        <v>1919.0</v>
      </c>
      <c r="N420" s="37">
        <v>48.0</v>
      </c>
      <c r="O420" s="39">
        <v>189312.0</v>
      </c>
      <c r="P420" s="40">
        <f t="shared" si="6"/>
        <v>0.09143824909</v>
      </c>
      <c r="Q420" s="41">
        <f t="shared" si="7"/>
        <v>10.93634239</v>
      </c>
      <c r="R420" s="40">
        <f t="shared" si="8"/>
        <v>0.6062233454</v>
      </c>
      <c r="S420" s="42"/>
      <c r="T420" s="43"/>
      <c r="U420" s="6"/>
      <c r="V420" s="6"/>
      <c r="W420" s="6"/>
      <c r="X420" s="6"/>
      <c r="Y420" s="6"/>
      <c r="Z420" s="6"/>
    </row>
    <row r="421" hidden="1" outlineLevel="1">
      <c r="A421" s="44" t="str">
        <f t="shared" si="312"/>
        <v>12-2025</v>
      </c>
      <c r="B421" s="34">
        <v>46006.0</v>
      </c>
      <c r="C421" s="45"/>
      <c r="D421" s="46">
        <v>2531.1</v>
      </c>
      <c r="E421" s="47">
        <v>73.0</v>
      </c>
      <c r="F421" s="47">
        <v>73.0</v>
      </c>
      <c r="G421" s="48">
        <f t="shared" si="2"/>
        <v>1</v>
      </c>
      <c r="H421" s="46">
        <f t="shared" si="313"/>
        <v>34.67260274</v>
      </c>
      <c r="I421" s="46">
        <f t="shared" si="314"/>
        <v>34.67260274</v>
      </c>
      <c r="J421" s="49">
        <v>3638.0</v>
      </c>
      <c r="K421" s="50">
        <f t="shared" si="5"/>
        <v>0.02006597031</v>
      </c>
      <c r="L421" s="46">
        <v>127.78</v>
      </c>
      <c r="M421" s="46">
        <v>1627.8</v>
      </c>
      <c r="N421" s="47">
        <v>44.0</v>
      </c>
      <c r="O421" s="49">
        <v>149678.0</v>
      </c>
      <c r="P421" s="50">
        <f t="shared" si="6"/>
        <v>0.07849858705</v>
      </c>
      <c r="Q421" s="51">
        <f t="shared" si="7"/>
        <v>12.7390828</v>
      </c>
      <c r="R421" s="50">
        <f t="shared" si="8"/>
        <v>0.6431195923</v>
      </c>
      <c r="S421" s="16"/>
      <c r="T421" s="25"/>
      <c r="U421" s="6"/>
      <c r="V421" s="6"/>
      <c r="W421" s="6"/>
      <c r="X421" s="6"/>
      <c r="Y421" s="6"/>
      <c r="Z421" s="6"/>
    </row>
    <row r="422" hidden="1" outlineLevel="1">
      <c r="A422" s="44" t="str">
        <f t="shared" si="312"/>
        <v>12-2025</v>
      </c>
      <c r="B422" s="34">
        <v>46007.0</v>
      </c>
      <c r="C422" s="45"/>
      <c r="D422" s="46">
        <v>3222.5</v>
      </c>
      <c r="E422" s="47">
        <v>93.0</v>
      </c>
      <c r="F422" s="47">
        <v>93.0</v>
      </c>
      <c r="G422" s="48">
        <f t="shared" si="2"/>
        <v>1</v>
      </c>
      <c r="H422" s="46">
        <f t="shared" si="313"/>
        <v>34.65053763</v>
      </c>
      <c r="I422" s="46">
        <f t="shared" si="314"/>
        <v>34.65053763</v>
      </c>
      <c r="J422" s="49">
        <v>4028.0</v>
      </c>
      <c r="K422" s="50">
        <f t="shared" si="5"/>
        <v>0.02308838133</v>
      </c>
      <c r="L422" s="46">
        <v>172.34</v>
      </c>
      <c r="M422" s="46">
        <v>1400.2</v>
      </c>
      <c r="N422" s="47">
        <v>35.0</v>
      </c>
      <c r="O422" s="49">
        <v>148323.0</v>
      </c>
      <c r="P422" s="50">
        <f t="shared" si="6"/>
        <v>0.1230824168</v>
      </c>
      <c r="Q422" s="51">
        <f t="shared" si="7"/>
        <v>8.124637345</v>
      </c>
      <c r="R422" s="50">
        <f t="shared" si="8"/>
        <v>0.4345073701</v>
      </c>
      <c r="S422" s="16"/>
      <c r="T422" s="25"/>
      <c r="U422" s="6"/>
      <c r="V422" s="6"/>
      <c r="W422" s="6"/>
      <c r="X422" s="6"/>
      <c r="Y422" s="6"/>
      <c r="Z422" s="6"/>
    </row>
    <row r="423" hidden="1" outlineLevel="1">
      <c r="A423" s="44" t="str">
        <f t="shared" si="312"/>
        <v>12-2025</v>
      </c>
      <c r="B423" s="34">
        <v>46008.0</v>
      </c>
      <c r="C423" s="45"/>
      <c r="D423" s="46">
        <v>3593.0</v>
      </c>
      <c r="E423" s="47">
        <v>96.0</v>
      </c>
      <c r="F423" s="47">
        <v>96.0</v>
      </c>
      <c r="G423" s="48">
        <f t="shared" si="2"/>
        <v>1</v>
      </c>
      <c r="H423" s="46">
        <f t="shared" si="313"/>
        <v>37.42708333</v>
      </c>
      <c r="I423" s="46">
        <f t="shared" si="314"/>
        <v>37.42708333</v>
      </c>
      <c r="J423" s="49">
        <v>3626.0</v>
      </c>
      <c r="K423" s="50">
        <f t="shared" si="5"/>
        <v>0.02647545505</v>
      </c>
      <c r="L423" s="46">
        <v>139.85</v>
      </c>
      <c r="M423" s="46">
        <v>2169.5</v>
      </c>
      <c r="N423" s="47">
        <v>62.0</v>
      </c>
      <c r="O423" s="49">
        <v>136653.0</v>
      </c>
      <c r="P423" s="50">
        <f t="shared" si="6"/>
        <v>0.06446185757</v>
      </c>
      <c r="Q423" s="51">
        <f t="shared" si="7"/>
        <v>15.5130497</v>
      </c>
      <c r="R423" s="50">
        <f t="shared" si="8"/>
        <v>0.6038129697</v>
      </c>
      <c r="S423" s="16"/>
      <c r="T423" s="25"/>
      <c r="U423" s="6"/>
      <c r="V423" s="6"/>
      <c r="W423" s="6"/>
      <c r="X423" s="6"/>
      <c r="Y423" s="6"/>
      <c r="Z423" s="6"/>
    </row>
    <row r="424" hidden="1" outlineLevel="1">
      <c r="A424" s="44" t="str">
        <f t="shared" si="312"/>
        <v>12-2025</v>
      </c>
      <c r="B424" s="34">
        <v>46009.0</v>
      </c>
      <c r="C424" s="45"/>
      <c r="D424" s="46">
        <v>2916.5</v>
      </c>
      <c r="E424" s="47">
        <v>86.0</v>
      </c>
      <c r="F424" s="47">
        <v>86.0</v>
      </c>
      <c r="G424" s="48">
        <f t="shared" si="2"/>
        <v>1</v>
      </c>
      <c r="H424" s="46">
        <f t="shared" si="313"/>
        <v>33.9127907</v>
      </c>
      <c r="I424" s="46">
        <f t="shared" si="314"/>
        <v>33.9127907</v>
      </c>
      <c r="J424" s="49">
        <v>3101.0</v>
      </c>
      <c r="K424" s="50">
        <f t="shared" si="5"/>
        <v>0.02773298936</v>
      </c>
      <c r="L424" s="46">
        <v>118.84</v>
      </c>
      <c r="M424" s="46">
        <v>1637.4</v>
      </c>
      <c r="N424" s="47">
        <v>51.0</v>
      </c>
      <c r="O424" s="49">
        <v>125375.0</v>
      </c>
      <c r="P424" s="50">
        <f t="shared" si="6"/>
        <v>0.07257847807</v>
      </c>
      <c r="Q424" s="51">
        <f t="shared" si="7"/>
        <v>13.77818916</v>
      </c>
      <c r="R424" s="50">
        <f t="shared" si="8"/>
        <v>0.5614263672</v>
      </c>
      <c r="S424" s="16"/>
      <c r="T424" s="25"/>
      <c r="U424" s="6"/>
      <c r="V424" s="6"/>
      <c r="W424" s="6"/>
      <c r="X424" s="6"/>
      <c r="Y424" s="6"/>
      <c r="Z424" s="6"/>
    </row>
    <row r="425" hidden="1" outlineLevel="1">
      <c r="A425" s="44" t="str">
        <f t="shared" si="312"/>
        <v>12-2025</v>
      </c>
      <c r="B425" s="34">
        <v>46010.0</v>
      </c>
      <c r="C425" s="45"/>
      <c r="D425" s="46">
        <v>2190.8</v>
      </c>
      <c r="E425" s="47">
        <v>62.0</v>
      </c>
      <c r="F425" s="47">
        <v>62.0</v>
      </c>
      <c r="G425" s="48">
        <f t="shared" si="2"/>
        <v>1</v>
      </c>
      <c r="H425" s="46">
        <f t="shared" si="313"/>
        <v>35.33548387</v>
      </c>
      <c r="I425" s="46">
        <f t="shared" si="314"/>
        <v>35.33548387</v>
      </c>
      <c r="J425" s="49">
        <v>2718.0</v>
      </c>
      <c r="K425" s="50">
        <f t="shared" si="5"/>
        <v>0.02281089036</v>
      </c>
      <c r="L425" s="46">
        <v>114.99</v>
      </c>
      <c r="M425" s="46">
        <v>1109.5</v>
      </c>
      <c r="N425" s="47">
        <v>33.0</v>
      </c>
      <c r="O425" s="49">
        <v>104248.0</v>
      </c>
      <c r="P425" s="50">
        <f t="shared" si="6"/>
        <v>0.1036412799</v>
      </c>
      <c r="Q425" s="51">
        <f t="shared" si="7"/>
        <v>9.648665101</v>
      </c>
      <c r="R425" s="50">
        <f t="shared" si="8"/>
        <v>0.5064360051</v>
      </c>
      <c r="S425" s="16"/>
      <c r="T425" s="25"/>
      <c r="U425" s="6"/>
      <c r="V425" s="6"/>
      <c r="W425" s="6"/>
      <c r="X425" s="6"/>
      <c r="Y425" s="6"/>
      <c r="Z425" s="6"/>
    </row>
    <row r="426" hidden="1" outlineLevel="1">
      <c r="A426" s="44" t="str">
        <f t="shared" si="312"/>
        <v>12-2025</v>
      </c>
      <c r="B426" s="34">
        <v>46011.0</v>
      </c>
      <c r="C426" s="45"/>
      <c r="D426" s="46">
        <v>1949.5</v>
      </c>
      <c r="E426" s="47">
        <v>53.0</v>
      </c>
      <c r="F426" s="47">
        <v>53.0</v>
      </c>
      <c r="G426" s="48">
        <f t="shared" si="2"/>
        <v>1</v>
      </c>
      <c r="H426" s="46">
        <f t="shared" si="313"/>
        <v>36.78301887</v>
      </c>
      <c r="I426" s="46">
        <f t="shared" si="314"/>
        <v>36.78301887</v>
      </c>
      <c r="J426" s="49">
        <v>2595.0</v>
      </c>
      <c r="K426" s="50">
        <f t="shared" si="5"/>
        <v>0.0204238921</v>
      </c>
      <c r="L426" s="46">
        <v>103.85</v>
      </c>
      <c r="M426" s="46">
        <v>1284.5</v>
      </c>
      <c r="N426" s="47">
        <v>34.0</v>
      </c>
      <c r="O426" s="49">
        <v>91914.0</v>
      </c>
      <c r="P426" s="50">
        <f t="shared" si="6"/>
        <v>0.08084857921</v>
      </c>
      <c r="Q426" s="51">
        <f t="shared" si="7"/>
        <v>12.36880116</v>
      </c>
      <c r="R426" s="50">
        <f t="shared" si="8"/>
        <v>0.6588868941</v>
      </c>
      <c r="S426" s="16"/>
      <c r="T426" s="25"/>
      <c r="U426" s="6"/>
      <c r="V426" s="6"/>
      <c r="W426" s="6"/>
      <c r="X426" s="6"/>
      <c r="Y426" s="6"/>
      <c r="Z426" s="6"/>
    </row>
    <row r="427" collapsed="1">
      <c r="A427" s="52" t="s">
        <v>97</v>
      </c>
      <c r="B427" s="53"/>
      <c r="C427" s="54"/>
      <c r="D427" s="55">
        <f t="shared" ref="D427:F427" si="315">SUM(D420:D426)</f>
        <v>19568.9</v>
      </c>
      <c r="E427" s="56">
        <f t="shared" si="315"/>
        <v>547</v>
      </c>
      <c r="F427" s="56">
        <f t="shared" si="315"/>
        <v>547</v>
      </c>
      <c r="G427" s="57">
        <f t="shared" si="2"/>
        <v>1</v>
      </c>
      <c r="H427" s="55">
        <f>AVERAGE(H420:H426)</f>
        <v>35.78086299</v>
      </c>
      <c r="I427" s="58">
        <f>H427/G427</f>
        <v>35.78086299</v>
      </c>
      <c r="J427" s="59">
        <f>SUM(J420:J426)</f>
        <v>24334</v>
      </c>
      <c r="K427" s="60">
        <f t="shared" si="5"/>
        <v>0.0224788362</v>
      </c>
      <c r="L427" s="55">
        <f t="shared" ref="L427:N427" si="316">SUM(L420:L426)</f>
        <v>953.12</v>
      </c>
      <c r="M427" s="55">
        <f t="shared" si="316"/>
        <v>11147.9</v>
      </c>
      <c r="N427" s="56">
        <f t="shared" si="316"/>
        <v>307</v>
      </c>
      <c r="O427" s="59">
        <f>sum(O420:O426)</f>
        <v>945503</v>
      </c>
      <c r="P427" s="60">
        <f t="shared" si="6"/>
        <v>0.08549771706</v>
      </c>
      <c r="Q427" s="61">
        <f t="shared" si="7"/>
        <v>11.69621873</v>
      </c>
      <c r="R427" s="62">
        <f t="shared" si="8"/>
        <v>0.5696743302</v>
      </c>
      <c r="S427" s="54" t="str">
        <f>iferror((D427-#REF!)/D427,)</f>
        <v/>
      </c>
      <c r="T427" s="63" t="str">
        <f>iferror((F427-#REF!)/F427,)</f>
        <v/>
      </c>
      <c r="U427" s="64">
        <f t="shared" ref="U427:V427" si="317">L427</f>
        <v>953.12</v>
      </c>
      <c r="V427" s="64">
        <f t="shared" si="317"/>
        <v>11147.9</v>
      </c>
      <c r="W427" s="6"/>
      <c r="X427" s="6"/>
      <c r="Y427" s="6"/>
      <c r="Z427" s="6"/>
    </row>
    <row r="428" hidden="1" outlineLevel="1">
      <c r="A428" s="33" t="str">
        <f t="shared" ref="A428:A434" si="318">iferror(if(B428&gt;0,month(B428)&amp;"-"&amp;year(B428),B428),)</f>
        <v>12-2025</v>
      </c>
      <c r="B428" s="34">
        <v>46012.0</v>
      </c>
      <c r="C428" s="35"/>
      <c r="D428" s="36">
        <v>698.0</v>
      </c>
      <c r="E428" s="37">
        <v>22.0</v>
      </c>
      <c r="F428" s="37">
        <v>22.0</v>
      </c>
      <c r="G428" s="38">
        <f t="shared" si="2"/>
        <v>1</v>
      </c>
      <c r="H428" s="36">
        <f t="shared" ref="H428:H434" si="319">D428/F428</f>
        <v>31.72727273</v>
      </c>
      <c r="I428" s="36">
        <f t="shared" ref="I428:I434" si="320">D428/E428</f>
        <v>31.72727273</v>
      </c>
      <c r="J428" s="39">
        <v>2099.0</v>
      </c>
      <c r="K428" s="40">
        <f t="shared" si="5"/>
        <v>0.01048118152</v>
      </c>
      <c r="L428" s="36">
        <v>87.94</v>
      </c>
      <c r="M428" s="36">
        <v>259.0</v>
      </c>
      <c r="N428" s="37">
        <v>9.0</v>
      </c>
      <c r="O428" s="39">
        <v>77572.0</v>
      </c>
      <c r="P428" s="40">
        <f t="shared" si="6"/>
        <v>0.3395366795</v>
      </c>
      <c r="Q428" s="41">
        <f t="shared" si="7"/>
        <v>2.945189902</v>
      </c>
      <c r="R428" s="40">
        <f t="shared" si="8"/>
        <v>0.3710601719</v>
      </c>
      <c r="S428" s="42"/>
      <c r="T428" s="43"/>
      <c r="U428" s="6"/>
      <c r="V428" s="6"/>
      <c r="W428" s="6"/>
      <c r="X428" s="6"/>
      <c r="Y428" s="6"/>
      <c r="Z428" s="6"/>
    </row>
    <row r="429" hidden="1" outlineLevel="1">
      <c r="A429" s="44" t="str">
        <f t="shared" si="318"/>
        <v>12-2025</v>
      </c>
      <c r="B429" s="34">
        <v>46013.0</v>
      </c>
      <c r="C429" s="45"/>
      <c r="D429" s="46">
        <v>1231.1</v>
      </c>
      <c r="E429" s="47">
        <v>37.0</v>
      </c>
      <c r="F429" s="47">
        <v>36.0</v>
      </c>
      <c r="G429" s="48">
        <f t="shared" si="2"/>
        <v>1.027777778</v>
      </c>
      <c r="H429" s="46">
        <f t="shared" si="319"/>
        <v>34.19722222</v>
      </c>
      <c r="I429" s="46">
        <f t="shared" si="320"/>
        <v>33.27297297</v>
      </c>
      <c r="J429" s="49">
        <v>1890.0</v>
      </c>
      <c r="K429" s="50">
        <f t="shared" si="5"/>
        <v>0.01957671958</v>
      </c>
      <c r="L429" s="46">
        <v>84.94</v>
      </c>
      <c r="M429" s="46">
        <v>450.5</v>
      </c>
      <c r="N429" s="47">
        <v>12.0</v>
      </c>
      <c r="O429" s="49">
        <v>84449.0</v>
      </c>
      <c r="P429" s="50">
        <f t="shared" si="6"/>
        <v>0.1885460599</v>
      </c>
      <c r="Q429" s="51">
        <f t="shared" si="7"/>
        <v>5.303743819</v>
      </c>
      <c r="R429" s="50">
        <f t="shared" si="8"/>
        <v>0.3659329055</v>
      </c>
      <c r="S429" s="16"/>
      <c r="T429" s="25"/>
      <c r="U429" s="6"/>
      <c r="V429" s="6"/>
      <c r="W429" s="6"/>
      <c r="X429" s="6"/>
      <c r="Y429" s="6"/>
      <c r="Z429" s="6"/>
    </row>
    <row r="430" hidden="1" outlineLevel="1">
      <c r="A430" s="44" t="str">
        <f t="shared" si="318"/>
        <v>12-2025</v>
      </c>
      <c r="B430" s="34">
        <v>46014.0</v>
      </c>
      <c r="C430" s="45"/>
      <c r="D430" s="46">
        <v>676.2</v>
      </c>
      <c r="E430" s="47">
        <v>20.0</v>
      </c>
      <c r="F430" s="47">
        <v>20.0</v>
      </c>
      <c r="G430" s="48">
        <f t="shared" si="2"/>
        <v>1</v>
      </c>
      <c r="H430" s="46">
        <f t="shared" si="319"/>
        <v>33.81</v>
      </c>
      <c r="I430" s="46">
        <f t="shared" si="320"/>
        <v>33.81</v>
      </c>
      <c r="J430" s="49">
        <v>1376.0</v>
      </c>
      <c r="K430" s="50">
        <f t="shared" si="5"/>
        <v>0.01453488372</v>
      </c>
      <c r="L430" s="46">
        <v>58.04</v>
      </c>
      <c r="M430" s="46">
        <v>501.2</v>
      </c>
      <c r="N430" s="47">
        <v>14.0</v>
      </c>
      <c r="O430" s="49">
        <v>55553.0</v>
      </c>
      <c r="P430" s="50">
        <f t="shared" si="6"/>
        <v>0.115802075</v>
      </c>
      <c r="Q430" s="51">
        <f t="shared" si="7"/>
        <v>8.635423846</v>
      </c>
      <c r="R430" s="50">
        <f t="shared" si="8"/>
        <v>0.7412008282</v>
      </c>
      <c r="S430" s="16"/>
      <c r="T430" s="25"/>
      <c r="U430" s="6"/>
      <c r="V430" s="6"/>
      <c r="W430" s="6"/>
      <c r="X430" s="6"/>
      <c r="Y430" s="6"/>
      <c r="Z430" s="6"/>
    </row>
    <row r="431" hidden="1" outlineLevel="1">
      <c r="A431" s="44" t="str">
        <f t="shared" si="318"/>
        <v>12-2025</v>
      </c>
      <c r="B431" s="34">
        <v>46015.0</v>
      </c>
      <c r="C431" s="45"/>
      <c r="D431" s="46">
        <v>454.2</v>
      </c>
      <c r="E431" s="47">
        <v>13.0</v>
      </c>
      <c r="F431" s="47">
        <v>13.0</v>
      </c>
      <c r="G431" s="48">
        <f t="shared" si="2"/>
        <v>1</v>
      </c>
      <c r="H431" s="46">
        <f t="shared" si="319"/>
        <v>34.93846154</v>
      </c>
      <c r="I431" s="46">
        <f t="shared" si="320"/>
        <v>34.93846154</v>
      </c>
      <c r="J431" s="49">
        <v>1011.0</v>
      </c>
      <c r="K431" s="50">
        <f t="shared" si="5"/>
        <v>0.01285855589</v>
      </c>
      <c r="L431" s="46">
        <v>36.29</v>
      </c>
      <c r="M431" s="46">
        <v>339.2</v>
      </c>
      <c r="N431" s="47">
        <v>10.0</v>
      </c>
      <c r="O431" s="49">
        <v>35277.0</v>
      </c>
      <c r="P431" s="50">
        <f t="shared" si="6"/>
        <v>0.1069870283</v>
      </c>
      <c r="Q431" s="51">
        <f t="shared" si="7"/>
        <v>9.346927528</v>
      </c>
      <c r="R431" s="50">
        <f t="shared" si="8"/>
        <v>0.7468075738</v>
      </c>
      <c r="S431" s="16"/>
      <c r="T431" s="25"/>
      <c r="U431" s="6"/>
      <c r="V431" s="6"/>
      <c r="W431" s="6"/>
      <c r="X431" s="6"/>
      <c r="Y431" s="6"/>
      <c r="Z431" s="6"/>
    </row>
    <row r="432" hidden="1" outlineLevel="1">
      <c r="A432" s="44" t="str">
        <f t="shared" si="318"/>
        <v>12-2025</v>
      </c>
      <c r="B432" s="34">
        <v>46016.0</v>
      </c>
      <c r="C432" s="45"/>
      <c r="D432" s="46">
        <v>778.0</v>
      </c>
      <c r="E432" s="47">
        <v>21.0</v>
      </c>
      <c r="F432" s="47">
        <v>21.0</v>
      </c>
      <c r="G432" s="48">
        <f t="shared" si="2"/>
        <v>1</v>
      </c>
      <c r="H432" s="46">
        <f t="shared" si="319"/>
        <v>37.04761905</v>
      </c>
      <c r="I432" s="46">
        <f t="shared" si="320"/>
        <v>37.04761905</v>
      </c>
      <c r="J432" s="49">
        <v>1520.0</v>
      </c>
      <c r="K432" s="50">
        <f t="shared" si="5"/>
        <v>0.01381578947</v>
      </c>
      <c r="L432" s="46">
        <v>54.96</v>
      </c>
      <c r="M432" s="46">
        <v>346.8</v>
      </c>
      <c r="N432" s="47">
        <v>13.0</v>
      </c>
      <c r="O432" s="49">
        <v>61446.0</v>
      </c>
      <c r="P432" s="50">
        <f t="shared" si="6"/>
        <v>0.1584775087</v>
      </c>
      <c r="Q432" s="51">
        <f t="shared" si="7"/>
        <v>6.310043668</v>
      </c>
      <c r="R432" s="50">
        <f t="shared" si="8"/>
        <v>0.4457583548</v>
      </c>
      <c r="S432" s="16"/>
      <c r="T432" s="25"/>
      <c r="U432" s="6"/>
      <c r="V432" s="6"/>
      <c r="W432" s="6"/>
      <c r="X432" s="6"/>
      <c r="Y432" s="6"/>
      <c r="Z432" s="6"/>
    </row>
    <row r="433" hidden="1" outlineLevel="1">
      <c r="A433" s="44" t="str">
        <f t="shared" si="318"/>
        <v>12-2025</v>
      </c>
      <c r="B433" s="34">
        <v>46017.0</v>
      </c>
      <c r="C433" s="45"/>
      <c r="D433" s="46">
        <v>1270.1</v>
      </c>
      <c r="E433" s="47">
        <v>36.0</v>
      </c>
      <c r="F433" s="47">
        <v>36.0</v>
      </c>
      <c r="G433" s="48">
        <f t="shared" si="2"/>
        <v>1</v>
      </c>
      <c r="H433" s="46">
        <f t="shared" si="319"/>
        <v>35.28055556</v>
      </c>
      <c r="I433" s="46">
        <f t="shared" si="320"/>
        <v>35.28055556</v>
      </c>
      <c r="J433" s="49">
        <v>1819.0</v>
      </c>
      <c r="K433" s="50">
        <f t="shared" si="5"/>
        <v>0.01979109401</v>
      </c>
      <c r="L433" s="46">
        <v>73.01</v>
      </c>
      <c r="M433" s="46">
        <v>587.3</v>
      </c>
      <c r="N433" s="47">
        <v>16.0</v>
      </c>
      <c r="O433" s="49">
        <v>92460.0</v>
      </c>
      <c r="P433" s="50">
        <f t="shared" si="6"/>
        <v>0.1243146603</v>
      </c>
      <c r="Q433" s="51">
        <f t="shared" si="7"/>
        <v>8.044103547</v>
      </c>
      <c r="R433" s="50">
        <f t="shared" si="8"/>
        <v>0.4624045351</v>
      </c>
      <c r="S433" s="16"/>
      <c r="T433" s="25"/>
      <c r="U433" s="6"/>
      <c r="V433" s="6"/>
      <c r="W433" s="6"/>
      <c r="X433" s="6"/>
      <c r="Y433" s="6"/>
      <c r="Z433" s="6"/>
    </row>
    <row r="434" hidden="1" outlineLevel="1">
      <c r="A434" s="44" t="str">
        <f t="shared" si="318"/>
        <v>12-2025</v>
      </c>
      <c r="B434" s="34">
        <v>46018.0</v>
      </c>
      <c r="C434" s="45"/>
      <c r="D434" s="46">
        <v>748.0</v>
      </c>
      <c r="E434" s="47">
        <v>22.0</v>
      </c>
      <c r="F434" s="47">
        <v>22.0</v>
      </c>
      <c r="G434" s="48">
        <f t="shared" si="2"/>
        <v>1</v>
      </c>
      <c r="H434" s="46">
        <f t="shared" si="319"/>
        <v>34</v>
      </c>
      <c r="I434" s="46">
        <f t="shared" si="320"/>
        <v>34</v>
      </c>
      <c r="J434" s="49">
        <v>2352.0</v>
      </c>
      <c r="K434" s="50">
        <f t="shared" si="5"/>
        <v>0.009353741497</v>
      </c>
      <c r="L434" s="46">
        <v>83.64</v>
      </c>
      <c r="M434" s="46">
        <v>335.0</v>
      </c>
      <c r="N434" s="47">
        <v>8.0</v>
      </c>
      <c r="O434" s="49">
        <v>101923.0</v>
      </c>
      <c r="P434" s="50">
        <f t="shared" si="6"/>
        <v>0.2496716418</v>
      </c>
      <c r="Q434" s="51">
        <f t="shared" si="7"/>
        <v>4.005260641</v>
      </c>
      <c r="R434" s="50">
        <f t="shared" si="8"/>
        <v>0.4478609626</v>
      </c>
      <c r="S434" s="16"/>
      <c r="T434" s="25"/>
      <c r="U434" s="6"/>
      <c r="V434" s="6"/>
      <c r="W434" s="6"/>
      <c r="X434" s="6"/>
      <c r="Y434" s="6"/>
      <c r="Z434" s="6"/>
    </row>
    <row r="435" collapsed="1">
      <c r="A435" s="52" t="s">
        <v>33</v>
      </c>
      <c r="B435" s="53"/>
      <c r="C435" s="54"/>
      <c r="D435" s="55">
        <f t="shared" ref="D435:F435" si="321">SUM(D428:D434)</f>
        <v>5855.6</v>
      </c>
      <c r="E435" s="56">
        <f t="shared" si="321"/>
        <v>171</v>
      </c>
      <c r="F435" s="56">
        <f t="shared" si="321"/>
        <v>170</v>
      </c>
      <c r="G435" s="57">
        <f t="shared" si="2"/>
        <v>1.005882353</v>
      </c>
      <c r="H435" s="55">
        <f>AVERAGE(H428:H434)</f>
        <v>34.42873301</v>
      </c>
      <c r="I435" s="58">
        <f>H435/G435</f>
        <v>34.22739539</v>
      </c>
      <c r="J435" s="59">
        <f>SUM(J428:J434)</f>
        <v>12067</v>
      </c>
      <c r="K435" s="60">
        <f t="shared" si="5"/>
        <v>0.01417087926</v>
      </c>
      <c r="L435" s="55">
        <f t="shared" ref="L435:N435" si="322">SUM(L428:L434)</f>
        <v>478.82</v>
      </c>
      <c r="M435" s="55">
        <f t="shared" si="322"/>
        <v>2819</v>
      </c>
      <c r="N435" s="56">
        <f t="shared" si="322"/>
        <v>82</v>
      </c>
      <c r="O435" s="59">
        <f>sum(O428:O434)</f>
        <v>508680</v>
      </c>
      <c r="P435" s="60">
        <f t="shared" si="6"/>
        <v>0.1698545584</v>
      </c>
      <c r="Q435" s="61">
        <f t="shared" si="7"/>
        <v>5.887389833</v>
      </c>
      <c r="R435" s="62">
        <f t="shared" si="8"/>
        <v>0.4814194959</v>
      </c>
      <c r="S435" s="54" t="str">
        <f>iferror((D435-#REF!)/D435,)</f>
        <v/>
      </c>
      <c r="T435" s="63" t="str">
        <f>iferror((F435-#REF!)/F435,)</f>
        <v/>
      </c>
      <c r="U435" s="64">
        <f t="shared" ref="U435:V435" si="323">L435</f>
        <v>478.82</v>
      </c>
      <c r="V435" s="64">
        <f t="shared" si="323"/>
        <v>2819</v>
      </c>
      <c r="W435" s="6"/>
      <c r="X435" s="6"/>
      <c r="Y435" s="6"/>
      <c r="Z435" s="6"/>
    </row>
    <row r="436">
      <c r="A436" s="65" t="str">
        <f t="shared" ref="A436:A442" si="324">iferror(if(B436&gt;0,month(B436)&amp;"-"&amp;year(B436),B436),)</f>
        <v>12-2025</v>
      </c>
      <c r="B436" s="66">
        <v>46019.0</v>
      </c>
      <c r="C436" s="35"/>
      <c r="D436" s="67">
        <v>861.5</v>
      </c>
      <c r="E436" s="68">
        <v>25.0</v>
      </c>
      <c r="F436" s="68">
        <v>25.0</v>
      </c>
      <c r="G436" s="38">
        <f t="shared" si="2"/>
        <v>1</v>
      </c>
      <c r="H436" s="36">
        <f t="shared" ref="H436:H442" si="325">D436/F436</f>
        <v>34.46</v>
      </c>
      <c r="I436" s="36">
        <f t="shared" ref="I436:I442" si="326">D436/E436</f>
        <v>34.46</v>
      </c>
      <c r="J436" s="69">
        <v>1776.0</v>
      </c>
      <c r="K436" s="40">
        <f t="shared" si="5"/>
        <v>0.01407657658</v>
      </c>
      <c r="L436" s="67">
        <v>61.6</v>
      </c>
      <c r="M436" s="67">
        <v>646.5</v>
      </c>
      <c r="N436" s="68">
        <v>18.0</v>
      </c>
      <c r="O436" s="69">
        <v>94959.0</v>
      </c>
      <c r="P436" s="40">
        <f t="shared" si="6"/>
        <v>0.09528228925</v>
      </c>
      <c r="Q436" s="41">
        <f t="shared" si="7"/>
        <v>10.49512987</v>
      </c>
      <c r="R436" s="40">
        <f t="shared" si="8"/>
        <v>0.7504352873</v>
      </c>
      <c r="S436" s="42"/>
      <c r="T436" s="43"/>
      <c r="U436" s="2"/>
      <c r="V436" s="2"/>
      <c r="W436" s="2"/>
      <c r="X436" s="2"/>
      <c r="Y436" s="2"/>
      <c r="Z436" s="2"/>
    </row>
    <row r="437">
      <c r="A437" s="70" t="str">
        <f t="shared" si="324"/>
        <v>12-2025</v>
      </c>
      <c r="B437" s="66">
        <v>46020.0</v>
      </c>
      <c r="C437" s="45"/>
      <c r="D437" s="71">
        <v>972.5</v>
      </c>
      <c r="E437" s="72">
        <v>29.0</v>
      </c>
      <c r="F437" s="72">
        <v>29.0</v>
      </c>
      <c r="G437" s="48">
        <f t="shared" si="2"/>
        <v>1</v>
      </c>
      <c r="H437" s="46">
        <f t="shared" si="325"/>
        <v>33.53448276</v>
      </c>
      <c r="I437" s="46">
        <f t="shared" si="326"/>
        <v>33.53448276</v>
      </c>
      <c r="J437" s="73">
        <v>1554.0</v>
      </c>
      <c r="K437" s="50">
        <f t="shared" si="5"/>
        <v>0.01866151866</v>
      </c>
      <c r="L437" s="71">
        <v>57.69</v>
      </c>
      <c r="M437" s="71">
        <v>460.3</v>
      </c>
      <c r="N437" s="72">
        <v>14.0</v>
      </c>
      <c r="O437" s="73">
        <v>87218.0</v>
      </c>
      <c r="P437" s="50">
        <f t="shared" si="6"/>
        <v>0.1253313057</v>
      </c>
      <c r="Q437" s="51">
        <f t="shared" si="7"/>
        <v>7.978852487</v>
      </c>
      <c r="R437" s="50">
        <f t="shared" si="8"/>
        <v>0.4733161954</v>
      </c>
      <c r="S437" s="16"/>
      <c r="T437" s="25"/>
      <c r="U437" s="2"/>
      <c r="V437" s="2"/>
      <c r="W437" s="2"/>
      <c r="X437" s="2"/>
      <c r="Y437" s="2"/>
      <c r="Z437" s="2"/>
    </row>
    <row r="438">
      <c r="A438" s="70" t="str">
        <f t="shared" si="324"/>
        <v>12-2025</v>
      </c>
      <c r="B438" s="66">
        <v>46021.0</v>
      </c>
      <c r="C438" s="45"/>
      <c r="D438" s="71">
        <v>483.5</v>
      </c>
      <c r="E438" s="72">
        <v>15.0</v>
      </c>
      <c r="F438" s="72">
        <v>15.0</v>
      </c>
      <c r="G438" s="48">
        <f t="shared" si="2"/>
        <v>1</v>
      </c>
      <c r="H438" s="46">
        <f t="shared" si="325"/>
        <v>32.23333333</v>
      </c>
      <c r="I438" s="46">
        <f t="shared" si="326"/>
        <v>32.23333333</v>
      </c>
      <c r="J438" s="73">
        <v>1173.0</v>
      </c>
      <c r="K438" s="50">
        <f t="shared" si="5"/>
        <v>0.01278772379</v>
      </c>
      <c r="L438" s="71">
        <v>43.28</v>
      </c>
      <c r="M438" s="71">
        <v>544.0</v>
      </c>
      <c r="N438" s="72">
        <v>12.0</v>
      </c>
      <c r="O438" s="73">
        <v>84787.0</v>
      </c>
      <c r="P438" s="50">
        <f t="shared" si="6"/>
        <v>0.07955882353</v>
      </c>
      <c r="Q438" s="51">
        <f t="shared" si="7"/>
        <v>12.56931608</v>
      </c>
      <c r="R438" s="50">
        <f t="shared" si="8"/>
        <v>1.125129266</v>
      </c>
      <c r="S438" s="16"/>
      <c r="T438" s="25"/>
      <c r="U438" s="2"/>
      <c r="V438" s="2"/>
      <c r="W438" s="2"/>
      <c r="X438" s="2"/>
      <c r="Y438" s="2"/>
      <c r="Z438" s="2"/>
    </row>
    <row r="439">
      <c r="A439" s="70" t="str">
        <f t="shared" si="324"/>
        <v>12-2025</v>
      </c>
      <c r="B439" s="66">
        <v>46022.0</v>
      </c>
      <c r="C439" s="45"/>
      <c r="D439" s="71">
        <v>484.0</v>
      </c>
      <c r="E439" s="72">
        <v>10.0</v>
      </c>
      <c r="F439" s="72">
        <v>10.0</v>
      </c>
      <c r="G439" s="48">
        <f t="shared" si="2"/>
        <v>1</v>
      </c>
      <c r="H439" s="46">
        <f t="shared" si="325"/>
        <v>48.4</v>
      </c>
      <c r="I439" s="46">
        <f t="shared" si="326"/>
        <v>48.4</v>
      </c>
      <c r="J439" s="73">
        <v>936.0</v>
      </c>
      <c r="K439" s="50">
        <f t="shared" si="5"/>
        <v>0.01068376068</v>
      </c>
      <c r="L439" s="71">
        <v>33.9</v>
      </c>
      <c r="M439" s="71">
        <v>120.0</v>
      </c>
      <c r="N439" s="72">
        <v>2.0</v>
      </c>
      <c r="O439" s="73">
        <v>74298.0</v>
      </c>
      <c r="P439" s="50">
        <f t="shared" si="6"/>
        <v>0.2825</v>
      </c>
      <c r="Q439" s="51">
        <f t="shared" si="7"/>
        <v>3.539823009</v>
      </c>
      <c r="R439" s="50">
        <f t="shared" si="8"/>
        <v>0.2479338843</v>
      </c>
      <c r="S439" s="16"/>
      <c r="T439" s="25"/>
      <c r="U439" s="2"/>
      <c r="V439" s="2"/>
      <c r="W439" s="2"/>
      <c r="X439" s="2"/>
      <c r="Y439" s="2"/>
      <c r="Z439" s="2"/>
    </row>
    <row r="440">
      <c r="A440" s="70" t="str">
        <f t="shared" si="324"/>
        <v>1-2026</v>
      </c>
      <c r="B440" s="66">
        <v>46023.0</v>
      </c>
      <c r="C440" s="45"/>
      <c r="D440" s="71">
        <v>667.0</v>
      </c>
      <c r="E440" s="72">
        <v>16.0</v>
      </c>
      <c r="F440" s="72">
        <v>16.0</v>
      </c>
      <c r="G440" s="48">
        <f t="shared" si="2"/>
        <v>1</v>
      </c>
      <c r="H440" s="46">
        <f t="shared" si="325"/>
        <v>41.6875</v>
      </c>
      <c r="I440" s="46">
        <f t="shared" si="326"/>
        <v>41.6875</v>
      </c>
      <c r="J440" s="73">
        <v>1360.0</v>
      </c>
      <c r="K440" s="50">
        <f t="shared" si="5"/>
        <v>0.01176470588</v>
      </c>
      <c r="L440" s="71">
        <v>65.62</v>
      </c>
      <c r="M440" s="71">
        <v>626.0</v>
      </c>
      <c r="N440" s="72">
        <v>14.0</v>
      </c>
      <c r="O440" s="73">
        <v>104251.0</v>
      </c>
      <c r="P440" s="50">
        <f t="shared" si="6"/>
        <v>0.1048242812</v>
      </c>
      <c r="Q440" s="51">
        <f t="shared" si="7"/>
        <v>9.539774459</v>
      </c>
      <c r="R440" s="50">
        <f t="shared" si="8"/>
        <v>0.9385307346</v>
      </c>
      <c r="S440" s="16"/>
      <c r="T440" s="25"/>
      <c r="U440" s="2"/>
      <c r="V440" s="2"/>
      <c r="W440" s="2"/>
      <c r="X440" s="2"/>
      <c r="Y440" s="2"/>
      <c r="Z440" s="2"/>
    </row>
    <row r="441">
      <c r="A441" s="70" t="str">
        <f t="shared" si="324"/>
        <v>1-2026</v>
      </c>
      <c r="B441" s="66">
        <v>46024.0</v>
      </c>
      <c r="C441" s="45"/>
      <c r="D441" s="71">
        <v>908.0</v>
      </c>
      <c r="E441" s="72">
        <v>24.0</v>
      </c>
      <c r="F441" s="72">
        <v>24.0</v>
      </c>
      <c r="G441" s="48">
        <f t="shared" si="2"/>
        <v>1</v>
      </c>
      <c r="H441" s="46">
        <f t="shared" si="325"/>
        <v>37.83333333</v>
      </c>
      <c r="I441" s="46">
        <f t="shared" si="326"/>
        <v>37.83333333</v>
      </c>
      <c r="J441" s="73">
        <v>1263.0</v>
      </c>
      <c r="K441" s="50">
        <f t="shared" si="5"/>
        <v>0.0190023753</v>
      </c>
      <c r="L441" s="71">
        <v>57.38</v>
      </c>
      <c r="M441" s="71">
        <v>435.0</v>
      </c>
      <c r="N441" s="72">
        <v>12.0</v>
      </c>
      <c r="O441" s="73">
        <v>100978.0</v>
      </c>
      <c r="P441" s="50">
        <f t="shared" si="6"/>
        <v>0.131908046</v>
      </c>
      <c r="Q441" s="51">
        <f t="shared" si="7"/>
        <v>7.581038689</v>
      </c>
      <c r="R441" s="50">
        <f t="shared" si="8"/>
        <v>0.4790748899</v>
      </c>
      <c r="S441" s="16"/>
      <c r="T441" s="25"/>
      <c r="U441" s="2"/>
      <c r="V441" s="2"/>
      <c r="W441" s="2"/>
      <c r="X441" s="2"/>
      <c r="Y441" s="2"/>
      <c r="Z441" s="2"/>
    </row>
    <row r="442">
      <c r="A442" s="70" t="str">
        <f t="shared" si="324"/>
        <v>1-2026</v>
      </c>
      <c r="B442" s="66">
        <v>46025.0</v>
      </c>
      <c r="C442" s="45"/>
      <c r="D442" s="71">
        <v>895.0</v>
      </c>
      <c r="E442" s="72">
        <v>25.0</v>
      </c>
      <c r="F442" s="72">
        <v>25.0</v>
      </c>
      <c r="G442" s="48">
        <f t="shared" si="2"/>
        <v>1</v>
      </c>
      <c r="H442" s="46">
        <f t="shared" si="325"/>
        <v>35.8</v>
      </c>
      <c r="I442" s="46">
        <f t="shared" si="326"/>
        <v>35.8</v>
      </c>
      <c r="J442" s="73">
        <v>1280.0</v>
      </c>
      <c r="K442" s="50">
        <f t="shared" si="5"/>
        <v>0.01953125</v>
      </c>
      <c r="L442" s="71">
        <v>56.43</v>
      </c>
      <c r="M442" s="71">
        <v>420.0</v>
      </c>
      <c r="N442" s="72">
        <v>14.0</v>
      </c>
      <c r="O442" s="73">
        <v>105151.0</v>
      </c>
      <c r="P442" s="50">
        <f t="shared" si="6"/>
        <v>0.1343571429</v>
      </c>
      <c r="Q442" s="51">
        <f t="shared" si="7"/>
        <v>7.442849548</v>
      </c>
      <c r="R442" s="50">
        <f t="shared" si="8"/>
        <v>0.469273743</v>
      </c>
      <c r="S442" s="16"/>
      <c r="T442" s="25"/>
      <c r="U442" s="2"/>
      <c r="V442" s="2"/>
      <c r="W442" s="2"/>
      <c r="X442" s="2"/>
      <c r="Y442" s="2"/>
      <c r="Z442" s="2"/>
    </row>
    <row r="443">
      <c r="A443" s="52" t="s">
        <v>44</v>
      </c>
      <c r="B443" s="53"/>
      <c r="C443" s="54"/>
      <c r="D443" s="55">
        <f t="shared" ref="D443:F443" si="327">SUM(D436:D442)</f>
        <v>5271.5</v>
      </c>
      <c r="E443" s="74">
        <f t="shared" si="327"/>
        <v>144</v>
      </c>
      <c r="F443" s="74">
        <f t="shared" si="327"/>
        <v>144</v>
      </c>
      <c r="G443" s="75">
        <f t="shared" si="2"/>
        <v>1</v>
      </c>
      <c r="H443" s="55">
        <f>AVERAGE(H436:H442)</f>
        <v>37.70694992</v>
      </c>
      <c r="I443" s="76">
        <f>H443/G443</f>
        <v>37.70694992</v>
      </c>
      <c r="J443" s="59">
        <f>SUM(J436:J442)</f>
        <v>9342</v>
      </c>
      <c r="K443" s="60">
        <f t="shared" si="5"/>
        <v>0.01541425819</v>
      </c>
      <c r="L443" s="55">
        <f t="shared" ref="L443:N443" si="328">SUM(L436:L442)</f>
        <v>375.9</v>
      </c>
      <c r="M443" s="55">
        <f t="shared" si="328"/>
        <v>3251.8</v>
      </c>
      <c r="N443" s="74">
        <f t="shared" si="328"/>
        <v>86</v>
      </c>
      <c r="O443" s="77">
        <f>sum(O436:O442)</f>
        <v>651642</v>
      </c>
      <c r="P443" s="60">
        <f t="shared" si="6"/>
        <v>0.1155975152</v>
      </c>
      <c r="Q443" s="78">
        <f t="shared" si="7"/>
        <v>8.650704975</v>
      </c>
      <c r="R443" s="62">
        <f t="shared" si="8"/>
        <v>0.6168642701</v>
      </c>
      <c r="S443" s="54" t="str">
        <f>iferror((D443-#REF!)/D443,)</f>
        <v/>
      </c>
      <c r="T443" s="63" t="str">
        <f>iferror((F443-#REF!)/F443,)</f>
        <v/>
      </c>
      <c r="U443" s="64">
        <f t="shared" ref="U443:V443" si="329">L443</f>
        <v>375.9</v>
      </c>
      <c r="V443" s="64">
        <f t="shared" si="329"/>
        <v>3251.8</v>
      </c>
      <c r="W443" s="7"/>
      <c r="X443" s="7"/>
      <c r="Y443" s="7"/>
      <c r="Z443" s="7"/>
    </row>
    <row r="444">
      <c r="A444" s="65" t="str">
        <f t="shared" ref="A444:A450" si="330">iferror(if(B444&gt;0,month(B444)&amp;"-"&amp;year(B444),B444),)</f>
        <v>1-2026</v>
      </c>
      <c r="B444" s="66">
        <v>46026.0</v>
      </c>
      <c r="C444" s="35"/>
      <c r="D444" s="67">
        <v>929.0</v>
      </c>
      <c r="E444" s="68">
        <v>26.0</v>
      </c>
      <c r="F444" s="68">
        <v>26.0</v>
      </c>
      <c r="G444" s="38">
        <f t="shared" si="2"/>
        <v>1</v>
      </c>
      <c r="H444" s="36">
        <f t="shared" ref="H444:H450" si="331">D444/F444</f>
        <v>35.73076923</v>
      </c>
      <c r="I444" s="36">
        <f t="shared" ref="I444:I450" si="332">D444/E444</f>
        <v>35.73076923</v>
      </c>
      <c r="J444" s="69">
        <v>1484.0</v>
      </c>
      <c r="K444" s="40">
        <f t="shared" si="5"/>
        <v>0.01752021563</v>
      </c>
      <c r="L444" s="67">
        <v>63.93</v>
      </c>
      <c r="M444" s="67">
        <v>699.0</v>
      </c>
      <c r="N444" s="68">
        <v>18.0</v>
      </c>
      <c r="O444" s="69">
        <v>120775.0</v>
      </c>
      <c r="P444" s="40">
        <f t="shared" si="6"/>
        <v>0.09145922747</v>
      </c>
      <c r="Q444" s="41">
        <f t="shared" si="7"/>
        <v>10.93383388</v>
      </c>
      <c r="R444" s="40">
        <f t="shared" si="8"/>
        <v>0.7524219591</v>
      </c>
      <c r="S444" s="42"/>
      <c r="T444" s="43"/>
      <c r="U444" s="2"/>
      <c r="V444" s="2"/>
      <c r="W444" s="2"/>
      <c r="X444" s="2"/>
      <c r="Y444" s="2"/>
      <c r="Z444" s="2"/>
    </row>
    <row r="445">
      <c r="A445" s="70" t="str">
        <f t="shared" si="330"/>
        <v>1-2026</v>
      </c>
      <c r="B445" s="66">
        <v>46027.0</v>
      </c>
      <c r="C445" s="45"/>
      <c r="D445" s="71">
        <v>483.0</v>
      </c>
      <c r="E445" s="72">
        <v>14.0</v>
      </c>
      <c r="F445" s="72">
        <v>14.0</v>
      </c>
      <c r="G445" s="48">
        <f t="shared" si="2"/>
        <v>1</v>
      </c>
      <c r="H445" s="46">
        <f t="shared" si="331"/>
        <v>34.5</v>
      </c>
      <c r="I445" s="46">
        <f t="shared" si="332"/>
        <v>34.5</v>
      </c>
      <c r="J445" s="73">
        <v>1605.0</v>
      </c>
      <c r="K445" s="50">
        <f t="shared" si="5"/>
        <v>0.008722741433</v>
      </c>
      <c r="L445" s="71">
        <v>42.32</v>
      </c>
      <c r="M445" s="71">
        <v>244.0</v>
      </c>
      <c r="N445" s="72">
        <v>8.0</v>
      </c>
      <c r="O445" s="73">
        <v>101677.0</v>
      </c>
      <c r="P445" s="50">
        <f t="shared" si="6"/>
        <v>0.173442623</v>
      </c>
      <c r="Q445" s="51">
        <f t="shared" si="7"/>
        <v>5.765595463</v>
      </c>
      <c r="R445" s="50">
        <f t="shared" si="8"/>
        <v>0.5051759834</v>
      </c>
      <c r="S445" s="16"/>
      <c r="T445" s="25"/>
      <c r="U445" s="2"/>
      <c r="V445" s="2"/>
      <c r="W445" s="2"/>
      <c r="X445" s="2"/>
      <c r="Y445" s="2"/>
      <c r="Z445" s="2"/>
    </row>
    <row r="446">
      <c r="A446" s="70" t="str">
        <f t="shared" si="330"/>
        <v>1-2026</v>
      </c>
      <c r="B446" s="66">
        <v>46028.0</v>
      </c>
      <c r="C446" s="45"/>
      <c r="D446" s="71">
        <v>1047.0</v>
      </c>
      <c r="E446" s="72">
        <v>26.0</v>
      </c>
      <c r="F446" s="72">
        <v>26.0</v>
      </c>
      <c r="G446" s="48">
        <f t="shared" si="2"/>
        <v>1</v>
      </c>
      <c r="H446" s="46">
        <f t="shared" si="331"/>
        <v>40.26923077</v>
      </c>
      <c r="I446" s="46">
        <f t="shared" si="332"/>
        <v>40.26923077</v>
      </c>
      <c r="J446" s="73">
        <v>2362.0</v>
      </c>
      <c r="K446" s="50">
        <f t="shared" si="5"/>
        <v>0.01100762066</v>
      </c>
      <c r="L446" s="71">
        <v>62.47</v>
      </c>
      <c r="M446" s="71">
        <v>345.0</v>
      </c>
      <c r="N446" s="72">
        <v>10.0</v>
      </c>
      <c r="O446" s="73">
        <v>107212.0</v>
      </c>
      <c r="P446" s="50">
        <f t="shared" si="6"/>
        <v>0.1810724638</v>
      </c>
      <c r="Q446" s="51">
        <f t="shared" si="7"/>
        <v>5.522650872</v>
      </c>
      <c r="R446" s="50">
        <f t="shared" si="8"/>
        <v>0.329512894</v>
      </c>
      <c r="S446" s="16"/>
      <c r="T446" s="25"/>
      <c r="U446" s="2"/>
      <c r="V446" s="2"/>
      <c r="W446" s="2"/>
      <c r="X446" s="2"/>
      <c r="Y446" s="2"/>
      <c r="Z446" s="2"/>
    </row>
    <row r="447">
      <c r="A447" s="70" t="str">
        <f t="shared" si="330"/>
        <v>1-2026</v>
      </c>
      <c r="B447" s="66">
        <v>46029.0</v>
      </c>
      <c r="C447" s="45"/>
      <c r="D447" s="71">
        <v>779.0</v>
      </c>
      <c r="E447" s="72">
        <v>24.0</v>
      </c>
      <c r="F447" s="72">
        <v>24.0</v>
      </c>
      <c r="G447" s="48">
        <f t="shared" si="2"/>
        <v>1</v>
      </c>
      <c r="H447" s="46">
        <f t="shared" si="331"/>
        <v>32.45833333</v>
      </c>
      <c r="I447" s="46">
        <f t="shared" si="332"/>
        <v>32.45833333</v>
      </c>
      <c r="J447" s="73">
        <v>2798.0</v>
      </c>
      <c r="K447" s="50">
        <f t="shared" si="5"/>
        <v>0.008577555397</v>
      </c>
      <c r="L447" s="71">
        <v>55.32</v>
      </c>
      <c r="M447" s="71">
        <v>619.0</v>
      </c>
      <c r="N447" s="72">
        <v>17.0</v>
      </c>
      <c r="O447" s="73">
        <v>98998.0</v>
      </c>
      <c r="P447" s="50">
        <f t="shared" si="6"/>
        <v>0.08936995153</v>
      </c>
      <c r="Q447" s="51">
        <f t="shared" si="7"/>
        <v>11.18944324</v>
      </c>
      <c r="R447" s="50">
        <f t="shared" si="8"/>
        <v>0.7946084724</v>
      </c>
      <c r="S447" s="16"/>
      <c r="T447" s="25"/>
      <c r="U447" s="2"/>
      <c r="V447" s="2"/>
      <c r="W447" s="2"/>
      <c r="X447" s="2"/>
      <c r="Y447" s="2"/>
      <c r="Z447" s="2"/>
    </row>
    <row r="448">
      <c r="A448" s="70" t="str">
        <f t="shared" si="330"/>
        <v>1-2026</v>
      </c>
      <c r="B448" s="66">
        <v>46030.0</v>
      </c>
      <c r="C448" s="45"/>
      <c r="D448" s="71">
        <v>415.0</v>
      </c>
      <c r="E448" s="72">
        <v>12.0</v>
      </c>
      <c r="F448" s="72">
        <v>12.0</v>
      </c>
      <c r="G448" s="48">
        <f t="shared" si="2"/>
        <v>1</v>
      </c>
      <c r="H448" s="46">
        <f t="shared" si="331"/>
        <v>34.58333333</v>
      </c>
      <c r="I448" s="46">
        <f t="shared" si="332"/>
        <v>34.58333333</v>
      </c>
      <c r="J448" s="73">
        <v>2429.0</v>
      </c>
      <c r="K448" s="50">
        <f t="shared" si="5"/>
        <v>0.004940304652</v>
      </c>
      <c r="L448" s="71">
        <v>51.99</v>
      </c>
      <c r="M448" s="71">
        <v>145.0</v>
      </c>
      <c r="N448" s="72">
        <v>4.0</v>
      </c>
      <c r="O448" s="73">
        <v>98686.0</v>
      </c>
      <c r="P448" s="50">
        <f t="shared" si="6"/>
        <v>0.3585517241</v>
      </c>
      <c r="Q448" s="51">
        <f t="shared" si="7"/>
        <v>2.788997884</v>
      </c>
      <c r="R448" s="50">
        <f t="shared" si="8"/>
        <v>0.3493975904</v>
      </c>
      <c r="S448" s="16"/>
      <c r="T448" s="25"/>
      <c r="U448" s="2"/>
      <c r="V448" s="2"/>
      <c r="W448" s="2"/>
      <c r="X448" s="2"/>
      <c r="Y448" s="2"/>
      <c r="Z448" s="2"/>
    </row>
    <row r="449">
      <c r="A449" s="70" t="str">
        <f t="shared" si="330"/>
        <v>1-2026</v>
      </c>
      <c r="B449" s="66">
        <v>46031.0</v>
      </c>
      <c r="C449" s="45"/>
      <c r="D449" s="71">
        <v>574.0</v>
      </c>
      <c r="E449" s="72">
        <v>17.0</v>
      </c>
      <c r="F449" s="72">
        <v>17.0</v>
      </c>
      <c r="G449" s="48">
        <f t="shared" si="2"/>
        <v>1</v>
      </c>
      <c r="H449" s="46">
        <f t="shared" si="331"/>
        <v>33.76470588</v>
      </c>
      <c r="I449" s="46">
        <f t="shared" si="332"/>
        <v>33.76470588</v>
      </c>
      <c r="J449" s="73">
        <v>1390.0</v>
      </c>
      <c r="K449" s="50">
        <f t="shared" si="5"/>
        <v>0.01223021583</v>
      </c>
      <c r="L449" s="71">
        <v>68.71</v>
      </c>
      <c r="M449" s="71">
        <v>290.0</v>
      </c>
      <c r="N449" s="72">
        <v>6.0</v>
      </c>
      <c r="O449" s="73">
        <v>102196.0</v>
      </c>
      <c r="P449" s="50">
        <f t="shared" si="6"/>
        <v>0.2369310345</v>
      </c>
      <c r="Q449" s="51">
        <f t="shared" si="7"/>
        <v>4.220637462</v>
      </c>
      <c r="R449" s="50">
        <f t="shared" si="8"/>
        <v>0.5052264808</v>
      </c>
      <c r="S449" s="16"/>
      <c r="T449" s="25"/>
      <c r="U449" s="2"/>
      <c r="V449" s="2"/>
      <c r="W449" s="2"/>
      <c r="X449" s="2"/>
      <c r="Y449" s="2"/>
      <c r="Z449" s="2"/>
    </row>
    <row r="450">
      <c r="A450" s="70" t="str">
        <f t="shared" si="330"/>
        <v>1-2026</v>
      </c>
      <c r="B450" s="66">
        <v>46032.0</v>
      </c>
      <c r="C450" s="45"/>
      <c r="D450" s="71">
        <v>779.0</v>
      </c>
      <c r="E450" s="72">
        <v>18.0</v>
      </c>
      <c r="F450" s="72">
        <v>18.0</v>
      </c>
      <c r="G450" s="48">
        <f t="shared" si="2"/>
        <v>1</v>
      </c>
      <c r="H450" s="46">
        <f t="shared" si="331"/>
        <v>43.27777778</v>
      </c>
      <c r="I450" s="46">
        <f t="shared" si="332"/>
        <v>43.27777778</v>
      </c>
      <c r="J450" s="73">
        <v>1790.0</v>
      </c>
      <c r="K450" s="50">
        <f t="shared" si="5"/>
        <v>0.01005586592</v>
      </c>
      <c r="L450" s="71">
        <v>76.17</v>
      </c>
      <c r="M450" s="71">
        <v>249.0</v>
      </c>
      <c r="N450" s="72">
        <v>4.0</v>
      </c>
      <c r="O450" s="73">
        <v>126680.0</v>
      </c>
      <c r="P450" s="50">
        <f t="shared" si="6"/>
        <v>0.3059036145</v>
      </c>
      <c r="Q450" s="51">
        <f t="shared" si="7"/>
        <v>3.269003545</v>
      </c>
      <c r="R450" s="50">
        <f t="shared" si="8"/>
        <v>0.3196405648</v>
      </c>
      <c r="S450" s="16"/>
      <c r="T450" s="25"/>
      <c r="U450" s="2"/>
      <c r="V450" s="2"/>
      <c r="W450" s="2"/>
      <c r="X450" s="2"/>
      <c r="Y450" s="2"/>
      <c r="Z450" s="2"/>
    </row>
    <row r="451">
      <c r="A451" s="74" t="s">
        <v>45</v>
      </c>
      <c r="B451" s="53"/>
      <c r="C451" s="54"/>
      <c r="D451" s="55">
        <f t="shared" ref="D451:F451" si="333">SUM(D444:D450)</f>
        <v>5006</v>
      </c>
      <c r="E451" s="74">
        <f t="shared" si="333"/>
        <v>137</v>
      </c>
      <c r="F451" s="74">
        <f t="shared" si="333"/>
        <v>137</v>
      </c>
      <c r="G451" s="75">
        <f t="shared" si="2"/>
        <v>1</v>
      </c>
      <c r="H451" s="55">
        <f>AVERAGE(H444:H450)</f>
        <v>36.36916433</v>
      </c>
      <c r="I451" s="76">
        <f>H451/G451</f>
        <v>36.36916433</v>
      </c>
      <c r="J451" s="59">
        <f>SUM(J444:J450)</f>
        <v>13858</v>
      </c>
      <c r="K451" s="60">
        <f t="shared" si="5"/>
        <v>0.009885986434</v>
      </c>
      <c r="L451" s="55">
        <f t="shared" ref="L451:N451" si="334">SUM(L444:L450)</f>
        <v>420.91</v>
      </c>
      <c r="M451" s="55">
        <f t="shared" si="334"/>
        <v>2591</v>
      </c>
      <c r="N451" s="74">
        <f t="shared" si="334"/>
        <v>67</v>
      </c>
      <c r="O451" s="77">
        <f>sum(O444:O450)</f>
        <v>756224</v>
      </c>
      <c r="P451" s="60">
        <f t="shared" si="6"/>
        <v>0.1624507912</v>
      </c>
      <c r="Q451" s="78">
        <f t="shared" si="7"/>
        <v>6.155710247</v>
      </c>
      <c r="R451" s="62">
        <f t="shared" si="8"/>
        <v>0.5175789053</v>
      </c>
      <c r="S451" s="54" t="str">
        <f>iferror((D451-#REF!)/D451,)</f>
        <v/>
      </c>
      <c r="T451" s="63" t="str">
        <f>iferror((F451-#REF!)/F451,)</f>
        <v/>
      </c>
      <c r="U451" s="64">
        <f t="shared" ref="U451:V451" si="335">L451</f>
        <v>420.91</v>
      </c>
      <c r="V451" s="64">
        <f t="shared" si="335"/>
        <v>2591</v>
      </c>
      <c r="W451" s="7"/>
      <c r="X451" s="7"/>
      <c r="Y451" s="7"/>
      <c r="Z451" s="7"/>
    </row>
    <row r="452">
      <c r="A452" s="6"/>
      <c r="B452" s="6"/>
      <c r="C452" s="6"/>
      <c r="D452" s="6"/>
      <c r="E452" s="6"/>
      <c r="F452" s="6"/>
      <c r="G452" s="6"/>
      <c r="H452" s="6"/>
      <c r="I452" s="6"/>
      <c r="J452" s="6"/>
      <c r="K452" s="6"/>
      <c r="L452" s="79">
        <f>L451/D451</f>
        <v>0.08408110268</v>
      </c>
      <c r="M452" s="80"/>
      <c r="N452" s="80"/>
      <c r="O452" s="80"/>
      <c r="P452" s="6"/>
      <c r="Q452" s="6"/>
      <c r="R452" s="6"/>
      <c r="S452" s="6"/>
      <c r="T452" s="6"/>
      <c r="U452" s="64">
        <f t="shared" ref="U452:V452" si="336">sum(U27:U451)</f>
        <v>48857.02</v>
      </c>
      <c r="V452" s="64">
        <f t="shared" si="336"/>
        <v>429651.94</v>
      </c>
      <c r="W452" s="7"/>
      <c r="X452" s="7"/>
      <c r="Y452" s="7"/>
      <c r="Z452" s="7"/>
    </row>
    <row r="453">
      <c r="A453" s="6"/>
      <c r="B453" s="6"/>
      <c r="C453" s="6"/>
      <c r="D453" s="6"/>
      <c r="E453" s="6"/>
      <c r="F453" s="6"/>
      <c r="G453" s="6"/>
      <c r="H453" s="6"/>
      <c r="I453" s="6"/>
      <c r="J453" s="6"/>
      <c r="K453" s="6"/>
      <c r="L453" s="80"/>
      <c r="M453" s="80"/>
      <c r="N453" s="80"/>
      <c r="O453" s="80"/>
      <c r="P453" s="6"/>
      <c r="Q453" s="6"/>
      <c r="R453" s="6"/>
      <c r="S453" s="6"/>
      <c r="T453" s="6"/>
      <c r="U453" s="6"/>
      <c r="V453" s="6"/>
      <c r="W453" s="7"/>
      <c r="X453" s="7"/>
      <c r="Y453" s="7"/>
      <c r="Z453" s="7"/>
    </row>
    <row r="454">
      <c r="A454" s="6"/>
      <c r="B454" s="6"/>
      <c r="C454" s="6"/>
      <c r="D454" s="6"/>
      <c r="E454" s="6"/>
      <c r="F454" s="6"/>
      <c r="G454" s="6"/>
      <c r="H454" s="6"/>
      <c r="I454" s="6"/>
      <c r="J454" s="6"/>
      <c r="K454" s="6"/>
      <c r="L454" s="80"/>
      <c r="M454" s="80"/>
      <c r="N454" s="80"/>
      <c r="O454" s="80"/>
      <c r="P454" s="6"/>
      <c r="Q454" s="6"/>
      <c r="R454" s="6"/>
      <c r="S454" s="6"/>
      <c r="T454" s="6"/>
      <c r="U454" s="6"/>
      <c r="V454" s="6"/>
      <c r="W454" s="7"/>
      <c r="X454" s="7"/>
      <c r="Y454" s="7"/>
      <c r="Z454" s="7"/>
    </row>
    <row r="455">
      <c r="A455" s="6"/>
      <c r="B455" s="6"/>
      <c r="C455" s="6"/>
      <c r="D455" s="6"/>
      <c r="E455" s="6"/>
      <c r="F455" s="6"/>
      <c r="G455" s="6"/>
      <c r="H455" s="6"/>
      <c r="I455" s="6"/>
      <c r="J455" s="6"/>
      <c r="K455" s="6"/>
      <c r="L455" s="80"/>
      <c r="M455" s="80"/>
      <c r="N455" s="80"/>
      <c r="O455" s="80"/>
      <c r="P455" s="6"/>
      <c r="Q455" s="6"/>
      <c r="R455" s="6"/>
      <c r="S455" s="6"/>
      <c r="T455" s="6"/>
      <c r="U455" s="6"/>
      <c r="V455" s="6"/>
      <c r="W455" s="7"/>
      <c r="X455" s="7"/>
      <c r="Y455" s="7"/>
      <c r="Z455" s="7"/>
    </row>
    <row r="456">
      <c r="A456" s="6"/>
      <c r="B456" s="6"/>
      <c r="C456" s="6"/>
      <c r="D456" s="6"/>
      <c r="E456" s="6"/>
      <c r="F456" s="6"/>
      <c r="G456" s="6"/>
      <c r="H456" s="6"/>
      <c r="I456" s="6"/>
      <c r="J456" s="6"/>
      <c r="K456" s="6"/>
      <c r="L456" s="80"/>
      <c r="M456" s="80"/>
      <c r="N456" s="80"/>
      <c r="O456" s="80"/>
      <c r="P456" s="6"/>
      <c r="Q456" s="6"/>
      <c r="R456" s="6"/>
      <c r="S456" s="6"/>
      <c r="T456" s="6"/>
      <c r="U456" s="6"/>
      <c r="V456" s="6"/>
      <c r="W456" s="7"/>
      <c r="X456" s="7"/>
      <c r="Y456" s="7"/>
      <c r="Z456" s="7"/>
    </row>
    <row r="457">
      <c r="A457" s="6"/>
      <c r="B457" s="6"/>
      <c r="C457" s="6"/>
      <c r="D457" s="6"/>
      <c r="E457" s="6"/>
      <c r="F457" s="6"/>
      <c r="G457" s="6"/>
      <c r="H457" s="6"/>
      <c r="I457" s="6"/>
      <c r="J457" s="6"/>
      <c r="K457" s="6"/>
      <c r="L457" s="80"/>
      <c r="M457" s="80"/>
      <c r="N457" s="80"/>
      <c r="O457" s="80"/>
      <c r="P457" s="6"/>
      <c r="Q457" s="6"/>
      <c r="R457" s="6"/>
      <c r="S457" s="6"/>
      <c r="T457" s="6"/>
      <c r="U457" s="6"/>
      <c r="V457" s="6"/>
      <c r="W457" s="7"/>
      <c r="X457" s="7"/>
      <c r="Y457" s="7"/>
      <c r="Z457" s="7"/>
    </row>
    <row r="458">
      <c r="A458" s="6"/>
      <c r="B458" s="6"/>
      <c r="C458" s="6"/>
      <c r="D458" s="6"/>
      <c r="E458" s="6"/>
      <c r="F458" s="6"/>
      <c r="G458" s="6"/>
      <c r="H458" s="6"/>
      <c r="I458" s="6"/>
      <c r="J458" s="6"/>
      <c r="K458" s="6"/>
      <c r="L458" s="80"/>
      <c r="M458" s="80"/>
      <c r="N458" s="80"/>
      <c r="O458" s="80"/>
      <c r="P458" s="6"/>
      <c r="Q458" s="6"/>
      <c r="R458" s="6"/>
      <c r="S458" s="6"/>
      <c r="T458" s="6"/>
      <c r="U458" s="6"/>
      <c r="V458" s="6"/>
      <c r="W458" s="7"/>
      <c r="X458" s="7"/>
      <c r="Y458" s="7"/>
      <c r="Z458" s="7"/>
    </row>
    <row r="459">
      <c r="A459" s="6"/>
      <c r="B459" s="6"/>
      <c r="C459" s="6"/>
      <c r="D459" s="6"/>
      <c r="E459" s="6"/>
      <c r="F459" s="6"/>
      <c r="G459" s="6"/>
      <c r="H459" s="6"/>
      <c r="I459" s="6"/>
      <c r="J459" s="6"/>
      <c r="K459" s="6"/>
      <c r="L459" s="80"/>
      <c r="M459" s="80"/>
      <c r="N459" s="80"/>
      <c r="O459" s="80"/>
      <c r="P459" s="6"/>
      <c r="Q459" s="6"/>
      <c r="R459" s="6"/>
      <c r="S459" s="6"/>
      <c r="T459" s="6"/>
      <c r="U459" s="6"/>
      <c r="V459" s="6"/>
      <c r="W459" s="7"/>
      <c r="X459" s="7"/>
      <c r="Y459" s="7"/>
      <c r="Z459" s="7"/>
    </row>
    <row r="460">
      <c r="A460" s="6"/>
      <c r="B460" s="6"/>
      <c r="C460" s="6"/>
      <c r="D460" s="6"/>
      <c r="E460" s="6"/>
      <c r="F460" s="6"/>
      <c r="G460" s="6"/>
      <c r="H460" s="6"/>
      <c r="I460" s="6"/>
      <c r="J460" s="6"/>
      <c r="K460" s="6"/>
      <c r="L460" s="80"/>
      <c r="M460" s="80"/>
      <c r="N460" s="80"/>
      <c r="O460" s="80"/>
      <c r="P460" s="6"/>
      <c r="Q460" s="6"/>
      <c r="R460" s="6"/>
      <c r="S460" s="6"/>
      <c r="T460" s="6"/>
      <c r="U460" s="6"/>
      <c r="V460" s="6"/>
      <c r="W460" s="7"/>
      <c r="X460" s="7"/>
      <c r="Y460" s="7"/>
      <c r="Z460" s="7"/>
    </row>
    <row r="461">
      <c r="A461" s="6"/>
      <c r="B461" s="6"/>
      <c r="C461" s="6"/>
      <c r="D461" s="6"/>
      <c r="E461" s="6"/>
      <c r="F461" s="6"/>
      <c r="G461" s="6"/>
      <c r="H461" s="6"/>
      <c r="I461" s="6"/>
      <c r="J461" s="6"/>
      <c r="K461" s="6"/>
      <c r="L461" s="80"/>
      <c r="M461" s="80"/>
      <c r="N461" s="80"/>
      <c r="O461" s="80"/>
      <c r="P461" s="6"/>
      <c r="Q461" s="6"/>
      <c r="R461" s="6"/>
      <c r="S461" s="6"/>
      <c r="T461" s="6"/>
      <c r="U461" s="6"/>
      <c r="V461" s="6"/>
      <c r="W461" s="7"/>
      <c r="X461" s="7"/>
      <c r="Y461" s="7"/>
      <c r="Z461" s="7"/>
    </row>
    <row r="462">
      <c r="A462" s="6"/>
      <c r="B462" s="6"/>
      <c r="C462" s="6"/>
      <c r="D462" s="6"/>
      <c r="E462" s="6"/>
      <c r="F462" s="6"/>
      <c r="G462" s="6"/>
      <c r="H462" s="6"/>
      <c r="I462" s="6"/>
      <c r="J462" s="6"/>
      <c r="K462" s="6"/>
      <c r="L462" s="80"/>
      <c r="M462" s="80"/>
      <c r="N462" s="80"/>
      <c r="O462" s="80"/>
      <c r="P462" s="6"/>
      <c r="Q462" s="6"/>
      <c r="R462" s="6"/>
      <c r="S462" s="6"/>
      <c r="T462" s="6"/>
      <c r="U462" s="6"/>
      <c r="V462" s="6"/>
      <c r="W462" s="7"/>
      <c r="X462" s="7"/>
      <c r="Y462" s="7"/>
      <c r="Z462" s="7"/>
    </row>
    <row r="463">
      <c r="A463" s="6"/>
      <c r="B463" s="6"/>
      <c r="C463" s="6"/>
      <c r="D463" s="6"/>
      <c r="E463" s="6"/>
      <c r="F463" s="6"/>
      <c r="G463" s="6"/>
      <c r="H463" s="6"/>
      <c r="I463" s="6"/>
      <c r="J463" s="6"/>
      <c r="K463" s="6"/>
      <c r="L463" s="80"/>
      <c r="M463" s="80"/>
      <c r="N463" s="80"/>
      <c r="O463" s="80"/>
      <c r="P463" s="6"/>
      <c r="Q463" s="6"/>
      <c r="R463" s="6"/>
      <c r="S463" s="6"/>
      <c r="T463" s="6"/>
      <c r="U463" s="6"/>
      <c r="V463" s="6"/>
      <c r="W463" s="7"/>
      <c r="X463" s="7"/>
      <c r="Y463" s="7"/>
      <c r="Z463" s="7"/>
    </row>
    <row r="464">
      <c r="A464" s="6"/>
      <c r="B464" s="6"/>
      <c r="C464" s="6"/>
      <c r="D464" s="6"/>
      <c r="E464" s="6"/>
      <c r="F464" s="6"/>
      <c r="G464" s="6"/>
      <c r="H464" s="6"/>
      <c r="I464" s="6"/>
      <c r="J464" s="6"/>
      <c r="K464" s="6"/>
      <c r="L464" s="80"/>
      <c r="M464" s="80"/>
      <c r="N464" s="80"/>
      <c r="O464" s="80"/>
      <c r="P464" s="6"/>
      <c r="Q464" s="6"/>
      <c r="R464" s="6"/>
      <c r="S464" s="6"/>
      <c r="T464" s="6"/>
      <c r="U464" s="6"/>
      <c r="V464" s="6"/>
      <c r="W464" s="7"/>
      <c r="X464" s="7"/>
      <c r="Y464" s="7"/>
      <c r="Z464" s="7"/>
    </row>
    <row r="465">
      <c r="A465" s="6"/>
      <c r="B465" s="6"/>
      <c r="C465" s="6"/>
      <c r="D465" s="6"/>
      <c r="E465" s="6"/>
      <c r="F465" s="6"/>
      <c r="G465" s="6"/>
      <c r="H465" s="6"/>
      <c r="I465" s="6"/>
      <c r="J465" s="6"/>
      <c r="K465" s="6"/>
      <c r="L465" s="80"/>
      <c r="M465" s="80"/>
      <c r="N465" s="80"/>
      <c r="O465" s="80"/>
      <c r="P465" s="6"/>
      <c r="Q465" s="6"/>
      <c r="R465" s="6"/>
      <c r="S465" s="6"/>
      <c r="T465" s="6"/>
      <c r="U465" s="6"/>
      <c r="V465" s="6"/>
      <c r="W465" s="7"/>
      <c r="X465" s="7"/>
      <c r="Y465" s="7"/>
      <c r="Z465" s="7"/>
    </row>
    <row r="466">
      <c r="A466" s="6"/>
      <c r="B466" s="6"/>
      <c r="C466" s="6"/>
      <c r="D466" s="6"/>
      <c r="E466" s="6"/>
      <c r="F466" s="6"/>
      <c r="G466" s="6"/>
      <c r="H466" s="6"/>
      <c r="I466" s="6"/>
      <c r="J466" s="6"/>
      <c r="K466" s="6"/>
      <c r="L466" s="80"/>
      <c r="M466" s="80"/>
      <c r="N466" s="80"/>
      <c r="O466" s="80"/>
      <c r="P466" s="6"/>
      <c r="Q466" s="6"/>
      <c r="R466" s="6"/>
      <c r="S466" s="6"/>
      <c r="T466" s="6"/>
      <c r="U466" s="6"/>
      <c r="V466" s="6"/>
      <c r="W466" s="7"/>
      <c r="X466" s="7"/>
      <c r="Y466" s="7"/>
      <c r="Z466" s="7"/>
    </row>
    <row r="467">
      <c r="A467" s="6"/>
      <c r="B467" s="6"/>
      <c r="C467" s="6"/>
      <c r="D467" s="6"/>
      <c r="E467" s="6"/>
      <c r="F467" s="6"/>
      <c r="G467" s="6"/>
      <c r="H467" s="6"/>
      <c r="I467" s="6"/>
      <c r="J467" s="6"/>
      <c r="K467" s="6"/>
      <c r="L467" s="80"/>
      <c r="M467" s="80"/>
      <c r="N467" s="80"/>
      <c r="O467" s="80"/>
      <c r="P467" s="6"/>
      <c r="Q467" s="6"/>
      <c r="R467" s="6"/>
      <c r="S467" s="6"/>
      <c r="T467" s="6"/>
      <c r="U467" s="6"/>
      <c r="V467" s="6"/>
      <c r="W467" s="7"/>
      <c r="X467" s="7"/>
      <c r="Y467" s="7"/>
      <c r="Z467" s="7"/>
    </row>
    <row r="468">
      <c r="A468" s="6"/>
      <c r="B468" s="6"/>
      <c r="C468" s="6"/>
      <c r="D468" s="6"/>
      <c r="E468" s="6"/>
      <c r="F468" s="6"/>
      <c r="G468" s="6"/>
      <c r="H468" s="6"/>
      <c r="I468" s="6"/>
      <c r="J468" s="6"/>
      <c r="K468" s="6"/>
      <c r="L468" s="80"/>
      <c r="M468" s="80"/>
      <c r="N468" s="80"/>
      <c r="O468" s="80"/>
      <c r="P468" s="6"/>
      <c r="Q468" s="6"/>
      <c r="R468" s="6"/>
      <c r="S468" s="6"/>
      <c r="T468" s="6"/>
      <c r="U468" s="6"/>
      <c r="V468" s="6"/>
      <c r="W468" s="7"/>
      <c r="X468" s="7"/>
      <c r="Y468" s="7"/>
      <c r="Z468" s="7"/>
    </row>
    <row r="469">
      <c r="A469" s="6"/>
      <c r="B469" s="6"/>
      <c r="C469" s="6"/>
      <c r="D469" s="6"/>
      <c r="E469" s="6"/>
      <c r="F469" s="6"/>
      <c r="G469" s="6"/>
      <c r="H469" s="6"/>
      <c r="I469" s="6"/>
      <c r="J469" s="6"/>
      <c r="K469" s="6"/>
      <c r="L469" s="80"/>
      <c r="M469" s="80"/>
      <c r="N469" s="80"/>
      <c r="O469" s="80"/>
      <c r="P469" s="6"/>
      <c r="Q469" s="6"/>
      <c r="R469" s="6"/>
      <c r="S469" s="6"/>
      <c r="T469" s="6"/>
      <c r="U469" s="6"/>
      <c r="V469" s="6"/>
      <c r="W469" s="7"/>
      <c r="X469" s="7"/>
      <c r="Y469" s="7"/>
      <c r="Z469" s="7"/>
    </row>
    <row r="470">
      <c r="A470" s="6"/>
      <c r="B470" s="6"/>
      <c r="C470" s="6"/>
      <c r="D470" s="6"/>
      <c r="E470" s="6"/>
      <c r="F470" s="6"/>
      <c r="G470" s="6"/>
      <c r="H470" s="6"/>
      <c r="I470" s="6"/>
      <c r="J470" s="6"/>
      <c r="K470" s="6"/>
      <c r="L470" s="80"/>
      <c r="M470" s="80"/>
      <c r="N470" s="80"/>
      <c r="O470" s="80"/>
      <c r="P470" s="6"/>
      <c r="Q470" s="6"/>
      <c r="R470" s="6"/>
      <c r="S470" s="6"/>
      <c r="T470" s="6"/>
      <c r="U470" s="6"/>
      <c r="V470" s="6"/>
      <c r="W470" s="7"/>
      <c r="X470" s="7"/>
      <c r="Y470" s="7"/>
      <c r="Z470" s="7"/>
    </row>
    <row r="471">
      <c r="A471" s="6"/>
      <c r="B471" s="6"/>
      <c r="C471" s="6"/>
      <c r="D471" s="6"/>
      <c r="E471" s="6"/>
      <c r="F471" s="6"/>
      <c r="G471" s="6"/>
      <c r="H471" s="6"/>
      <c r="I471" s="6"/>
      <c r="J471" s="6"/>
      <c r="K471" s="6"/>
      <c r="L471" s="80"/>
      <c r="M471" s="80"/>
      <c r="N471" s="80"/>
      <c r="O471" s="80"/>
      <c r="P471" s="6"/>
      <c r="Q471" s="6"/>
      <c r="R471" s="6"/>
      <c r="S471" s="6"/>
      <c r="T471" s="6"/>
      <c r="U471" s="6"/>
      <c r="V471" s="6"/>
      <c r="W471" s="7"/>
      <c r="X471" s="7"/>
      <c r="Y471" s="7"/>
      <c r="Z471" s="7"/>
    </row>
    <row r="472">
      <c r="A472" s="6"/>
      <c r="B472" s="6"/>
      <c r="C472" s="6"/>
      <c r="D472" s="6"/>
      <c r="E472" s="6"/>
      <c r="F472" s="6"/>
      <c r="G472" s="6"/>
      <c r="H472" s="6"/>
      <c r="I472" s="6"/>
      <c r="J472" s="6"/>
      <c r="K472" s="6"/>
      <c r="L472" s="80"/>
      <c r="M472" s="80"/>
      <c r="N472" s="80"/>
      <c r="O472" s="80"/>
      <c r="P472" s="6"/>
      <c r="Q472" s="6"/>
      <c r="R472" s="6"/>
      <c r="S472" s="6"/>
      <c r="T472" s="6"/>
      <c r="U472" s="6"/>
      <c r="V472" s="6"/>
      <c r="W472" s="7"/>
      <c r="X472" s="7"/>
      <c r="Y472" s="7"/>
      <c r="Z472" s="7"/>
    </row>
    <row r="473">
      <c r="A473" s="6"/>
      <c r="B473" s="6"/>
      <c r="C473" s="6"/>
      <c r="D473" s="6"/>
      <c r="E473" s="6"/>
      <c r="F473" s="6"/>
      <c r="G473" s="6"/>
      <c r="H473" s="6"/>
      <c r="I473" s="6"/>
      <c r="J473" s="6"/>
      <c r="K473" s="6"/>
      <c r="L473" s="80"/>
      <c r="M473" s="80"/>
      <c r="N473" s="80"/>
      <c r="O473" s="80"/>
      <c r="P473" s="6"/>
      <c r="Q473" s="6"/>
      <c r="R473" s="6"/>
      <c r="S473" s="6"/>
      <c r="T473" s="6"/>
      <c r="U473" s="6"/>
      <c r="V473" s="6"/>
      <c r="W473" s="7"/>
      <c r="X473" s="7"/>
      <c r="Y473" s="7"/>
      <c r="Z473" s="7"/>
    </row>
    <row r="474">
      <c r="A474" s="6"/>
      <c r="B474" s="6"/>
      <c r="C474" s="6"/>
      <c r="D474" s="6"/>
      <c r="E474" s="6"/>
      <c r="F474" s="6"/>
      <c r="G474" s="6"/>
      <c r="H474" s="6"/>
      <c r="I474" s="6"/>
      <c r="J474" s="6"/>
      <c r="K474" s="6"/>
      <c r="L474" s="80"/>
      <c r="M474" s="80"/>
      <c r="N474" s="80"/>
      <c r="O474" s="80"/>
      <c r="P474" s="6"/>
      <c r="Q474" s="6"/>
      <c r="R474" s="6"/>
      <c r="S474" s="6"/>
      <c r="T474" s="6"/>
      <c r="U474" s="6"/>
      <c r="V474" s="6"/>
      <c r="W474" s="7"/>
      <c r="X474" s="7"/>
      <c r="Y474" s="7"/>
      <c r="Z474" s="7"/>
    </row>
    <row r="475">
      <c r="A475" s="6"/>
      <c r="B475" s="6"/>
      <c r="C475" s="6"/>
      <c r="D475" s="6"/>
      <c r="E475" s="6"/>
      <c r="F475" s="6"/>
      <c r="G475" s="6"/>
      <c r="H475" s="6"/>
      <c r="I475" s="6"/>
      <c r="J475" s="6"/>
      <c r="K475" s="6"/>
      <c r="L475" s="80"/>
      <c r="M475" s="80"/>
      <c r="N475" s="80"/>
      <c r="O475" s="80"/>
      <c r="P475" s="6"/>
      <c r="Q475" s="6"/>
      <c r="R475" s="6"/>
      <c r="S475" s="6"/>
      <c r="T475" s="6"/>
      <c r="U475" s="6"/>
      <c r="V475" s="6"/>
      <c r="W475" s="7"/>
      <c r="X475" s="7"/>
      <c r="Y475" s="7"/>
      <c r="Z475" s="7"/>
    </row>
    <row r="476">
      <c r="A476" s="6"/>
      <c r="B476" s="6"/>
      <c r="C476" s="6"/>
      <c r="D476" s="6"/>
      <c r="E476" s="6"/>
      <c r="F476" s="6"/>
      <c r="G476" s="6"/>
      <c r="H476" s="6"/>
      <c r="I476" s="6"/>
      <c r="J476" s="6"/>
      <c r="K476" s="6"/>
      <c r="L476" s="80"/>
      <c r="M476" s="80"/>
      <c r="N476" s="80"/>
      <c r="O476" s="80"/>
      <c r="P476" s="6"/>
      <c r="Q476" s="6"/>
      <c r="R476" s="6"/>
      <c r="S476" s="6"/>
      <c r="T476" s="6"/>
      <c r="U476" s="6"/>
      <c r="V476" s="6"/>
      <c r="W476" s="7"/>
      <c r="X476" s="7"/>
      <c r="Y476" s="7"/>
      <c r="Z476" s="7"/>
    </row>
    <row r="477">
      <c r="A477" s="6"/>
      <c r="B477" s="6"/>
      <c r="C477" s="6"/>
      <c r="D477" s="6"/>
      <c r="E477" s="6"/>
      <c r="F477" s="6"/>
      <c r="G477" s="6"/>
      <c r="H477" s="6"/>
      <c r="I477" s="6"/>
      <c r="J477" s="6"/>
      <c r="K477" s="6"/>
      <c r="L477" s="80"/>
      <c r="M477" s="80"/>
      <c r="N477" s="80"/>
      <c r="O477" s="80"/>
      <c r="P477" s="6"/>
      <c r="Q477" s="6"/>
      <c r="R477" s="6"/>
      <c r="S477" s="6"/>
      <c r="T477" s="6"/>
      <c r="U477" s="6"/>
      <c r="V477" s="6"/>
      <c r="W477" s="7"/>
      <c r="X477" s="7"/>
      <c r="Y477" s="7"/>
      <c r="Z477" s="7"/>
    </row>
    <row r="478">
      <c r="A478" s="6"/>
      <c r="B478" s="6"/>
      <c r="C478" s="6"/>
      <c r="D478" s="6"/>
      <c r="E478" s="6"/>
      <c r="F478" s="6"/>
      <c r="G478" s="6"/>
      <c r="H478" s="6"/>
      <c r="I478" s="6"/>
      <c r="J478" s="6"/>
      <c r="K478" s="6"/>
      <c r="L478" s="80"/>
      <c r="M478" s="80"/>
      <c r="N478" s="80"/>
      <c r="O478" s="80"/>
      <c r="P478" s="6"/>
      <c r="Q478" s="6"/>
      <c r="R478" s="6"/>
      <c r="S478" s="6"/>
      <c r="T478" s="6"/>
      <c r="U478" s="6"/>
      <c r="V478" s="6"/>
      <c r="W478" s="7"/>
      <c r="X478" s="7"/>
      <c r="Y478" s="7"/>
      <c r="Z478" s="7"/>
    </row>
    <row r="479">
      <c r="A479" s="6"/>
      <c r="B479" s="6"/>
      <c r="C479" s="6"/>
      <c r="D479" s="6"/>
      <c r="E479" s="6"/>
      <c r="F479" s="6"/>
      <c r="G479" s="6"/>
      <c r="H479" s="6"/>
      <c r="I479" s="6"/>
      <c r="J479" s="6"/>
      <c r="K479" s="6"/>
      <c r="L479" s="80"/>
      <c r="M479" s="80"/>
      <c r="N479" s="80"/>
      <c r="O479" s="80"/>
      <c r="P479" s="6"/>
      <c r="Q479" s="6"/>
      <c r="R479" s="6"/>
      <c r="S479" s="6"/>
      <c r="T479" s="6"/>
      <c r="U479" s="6"/>
      <c r="V479" s="6"/>
      <c r="W479" s="7"/>
      <c r="X479" s="7"/>
      <c r="Y479" s="7"/>
      <c r="Z479" s="7"/>
    </row>
    <row r="480">
      <c r="A480" s="6"/>
      <c r="B480" s="6"/>
      <c r="C480" s="6"/>
      <c r="D480" s="6"/>
      <c r="E480" s="6"/>
      <c r="F480" s="6"/>
      <c r="G480" s="6"/>
      <c r="H480" s="6"/>
      <c r="I480" s="6"/>
      <c r="J480" s="6"/>
      <c r="K480" s="6"/>
      <c r="L480" s="80"/>
      <c r="M480" s="80"/>
      <c r="N480" s="80"/>
      <c r="O480" s="80"/>
      <c r="P480" s="6"/>
      <c r="Q480" s="6"/>
      <c r="R480" s="6"/>
      <c r="S480" s="6"/>
      <c r="T480" s="6"/>
      <c r="U480" s="6"/>
      <c r="V480" s="6"/>
      <c r="W480" s="7"/>
      <c r="X480" s="7"/>
      <c r="Y480" s="7"/>
      <c r="Z480" s="7"/>
    </row>
    <row r="481">
      <c r="A481" s="6"/>
      <c r="B481" s="6"/>
      <c r="C481" s="6"/>
      <c r="D481" s="6"/>
      <c r="E481" s="6"/>
      <c r="F481" s="6"/>
      <c r="G481" s="6"/>
      <c r="H481" s="6"/>
      <c r="I481" s="6"/>
      <c r="J481" s="6"/>
      <c r="K481" s="6"/>
      <c r="L481" s="80"/>
      <c r="M481" s="80"/>
      <c r="N481" s="80"/>
      <c r="O481" s="80"/>
      <c r="P481" s="6"/>
      <c r="Q481" s="6"/>
      <c r="R481" s="6"/>
      <c r="S481" s="6"/>
      <c r="T481" s="6"/>
      <c r="U481" s="6"/>
      <c r="V481" s="6"/>
      <c r="W481" s="7"/>
      <c r="X481" s="7"/>
      <c r="Y481" s="7"/>
      <c r="Z481" s="7"/>
    </row>
    <row r="482">
      <c r="A482" s="6"/>
      <c r="B482" s="6"/>
      <c r="C482" s="6"/>
      <c r="D482" s="6"/>
      <c r="E482" s="6"/>
      <c r="F482" s="6"/>
      <c r="G482" s="6"/>
      <c r="H482" s="6"/>
      <c r="I482" s="6"/>
      <c r="J482" s="6"/>
      <c r="K482" s="6"/>
      <c r="L482" s="80"/>
      <c r="M482" s="80"/>
      <c r="N482" s="80"/>
      <c r="O482" s="80"/>
      <c r="P482" s="6"/>
      <c r="Q482" s="6"/>
      <c r="R482" s="6"/>
      <c r="S482" s="6"/>
      <c r="T482" s="6"/>
      <c r="U482" s="6"/>
      <c r="V482" s="6"/>
      <c r="W482" s="7"/>
      <c r="X482" s="7"/>
      <c r="Y482" s="7"/>
      <c r="Z482" s="7"/>
    </row>
    <row r="483">
      <c r="A483" s="6"/>
      <c r="B483" s="6"/>
      <c r="C483" s="6"/>
      <c r="D483" s="6"/>
      <c r="E483" s="6"/>
      <c r="F483" s="6"/>
      <c r="G483" s="6"/>
      <c r="H483" s="6"/>
      <c r="I483" s="6"/>
      <c r="J483" s="6"/>
      <c r="K483" s="6"/>
      <c r="L483" s="80"/>
      <c r="M483" s="80"/>
      <c r="N483" s="80"/>
      <c r="O483" s="80"/>
      <c r="P483" s="6"/>
      <c r="Q483" s="6"/>
      <c r="R483" s="6"/>
      <c r="S483" s="6"/>
      <c r="T483" s="6"/>
      <c r="U483" s="6"/>
      <c r="V483" s="6"/>
      <c r="W483" s="7"/>
      <c r="X483" s="7"/>
      <c r="Y483" s="7"/>
      <c r="Z483" s="7"/>
    </row>
    <row r="484">
      <c r="A484" s="6"/>
      <c r="B484" s="6"/>
      <c r="C484" s="6"/>
      <c r="D484" s="6"/>
      <c r="E484" s="6"/>
      <c r="F484" s="6"/>
      <c r="G484" s="6"/>
      <c r="H484" s="6"/>
      <c r="I484" s="6"/>
      <c r="J484" s="6"/>
      <c r="K484" s="6"/>
      <c r="L484" s="80"/>
      <c r="M484" s="80"/>
      <c r="N484" s="80"/>
      <c r="O484" s="80"/>
      <c r="P484" s="6"/>
      <c r="Q484" s="6"/>
      <c r="R484" s="6"/>
      <c r="S484" s="6"/>
      <c r="T484" s="6"/>
      <c r="U484" s="6"/>
      <c r="V484" s="6"/>
      <c r="W484" s="7"/>
      <c r="X484" s="7"/>
      <c r="Y484" s="7"/>
      <c r="Z484" s="7"/>
    </row>
    <row r="485">
      <c r="A485" s="6"/>
      <c r="B485" s="6"/>
      <c r="C485" s="6"/>
      <c r="D485" s="6"/>
      <c r="E485" s="6"/>
      <c r="F485" s="6"/>
      <c r="G485" s="6"/>
      <c r="H485" s="6"/>
      <c r="I485" s="6"/>
      <c r="J485" s="6"/>
      <c r="K485" s="6"/>
      <c r="L485" s="80"/>
      <c r="M485" s="80"/>
      <c r="N485" s="80"/>
      <c r="O485" s="80"/>
      <c r="P485" s="6"/>
      <c r="Q485" s="6"/>
      <c r="R485" s="6"/>
      <c r="S485" s="6"/>
      <c r="T485" s="6"/>
      <c r="U485" s="6"/>
      <c r="V485" s="6"/>
      <c r="W485" s="7"/>
      <c r="X485" s="7"/>
      <c r="Y485" s="7"/>
      <c r="Z485" s="7"/>
    </row>
    <row r="486">
      <c r="A486" s="6"/>
      <c r="B486" s="6"/>
      <c r="C486" s="6"/>
      <c r="D486" s="6"/>
      <c r="E486" s="6"/>
      <c r="F486" s="6"/>
      <c r="G486" s="6"/>
      <c r="H486" s="6"/>
      <c r="I486" s="6"/>
      <c r="J486" s="6"/>
      <c r="K486" s="6"/>
      <c r="L486" s="80"/>
      <c r="M486" s="80"/>
      <c r="N486" s="80"/>
      <c r="O486" s="80"/>
      <c r="P486" s="6"/>
      <c r="Q486" s="6"/>
      <c r="R486" s="6"/>
      <c r="S486" s="6"/>
      <c r="T486" s="6"/>
      <c r="U486" s="6"/>
      <c r="V486" s="6"/>
      <c r="W486" s="7"/>
      <c r="X486" s="7"/>
      <c r="Y486" s="7"/>
      <c r="Z486" s="7"/>
    </row>
    <row r="487">
      <c r="A487" s="6"/>
      <c r="B487" s="6"/>
      <c r="C487" s="6"/>
      <c r="D487" s="6"/>
      <c r="E487" s="6"/>
      <c r="F487" s="6"/>
      <c r="G487" s="6"/>
      <c r="H487" s="6"/>
      <c r="I487" s="6"/>
      <c r="J487" s="6"/>
      <c r="K487" s="6"/>
      <c r="L487" s="80"/>
      <c r="M487" s="80"/>
      <c r="N487" s="80"/>
      <c r="O487" s="80"/>
      <c r="P487" s="6"/>
      <c r="Q487" s="6"/>
      <c r="R487" s="6"/>
      <c r="S487" s="6"/>
      <c r="T487" s="6"/>
      <c r="U487" s="6"/>
      <c r="V487" s="6"/>
      <c r="W487" s="7"/>
      <c r="X487" s="7"/>
      <c r="Y487" s="7"/>
      <c r="Z487" s="7"/>
    </row>
    <row r="488">
      <c r="A488" s="6"/>
      <c r="B488" s="6"/>
      <c r="C488" s="6"/>
      <c r="D488" s="6"/>
      <c r="E488" s="6"/>
      <c r="F488" s="6"/>
      <c r="G488" s="6"/>
      <c r="H488" s="6"/>
      <c r="I488" s="6"/>
      <c r="J488" s="6"/>
      <c r="K488" s="6"/>
      <c r="L488" s="80"/>
      <c r="M488" s="80"/>
      <c r="N488" s="80"/>
      <c r="O488" s="80"/>
      <c r="P488" s="6"/>
      <c r="Q488" s="6"/>
      <c r="R488" s="6"/>
      <c r="S488" s="6"/>
      <c r="T488" s="6"/>
      <c r="U488" s="6"/>
      <c r="V488" s="6"/>
      <c r="W488" s="7"/>
      <c r="X488" s="7"/>
      <c r="Y488" s="7"/>
      <c r="Z488" s="7"/>
    </row>
    <row r="489">
      <c r="A489" s="6"/>
      <c r="B489" s="6"/>
      <c r="C489" s="6"/>
      <c r="D489" s="6"/>
      <c r="E489" s="6"/>
      <c r="F489" s="6"/>
      <c r="G489" s="6"/>
      <c r="H489" s="6"/>
      <c r="I489" s="6"/>
      <c r="J489" s="6"/>
      <c r="K489" s="6"/>
      <c r="L489" s="80"/>
      <c r="M489" s="80"/>
      <c r="N489" s="80"/>
      <c r="O489" s="80"/>
      <c r="P489" s="6"/>
      <c r="Q489" s="6"/>
      <c r="R489" s="6"/>
      <c r="S489" s="6"/>
      <c r="T489" s="6"/>
      <c r="U489" s="6"/>
      <c r="V489" s="6"/>
      <c r="W489" s="7"/>
      <c r="X489" s="7"/>
      <c r="Y489" s="7"/>
      <c r="Z489" s="7"/>
    </row>
    <row r="490">
      <c r="A490" s="6"/>
      <c r="B490" s="6"/>
      <c r="C490" s="6"/>
      <c r="D490" s="6"/>
      <c r="E490" s="6"/>
      <c r="F490" s="6"/>
      <c r="G490" s="6"/>
      <c r="H490" s="6"/>
      <c r="I490" s="6"/>
      <c r="J490" s="6"/>
      <c r="K490" s="6"/>
      <c r="L490" s="80"/>
      <c r="M490" s="80"/>
      <c r="N490" s="80"/>
      <c r="O490" s="80"/>
      <c r="P490" s="6"/>
      <c r="Q490" s="6"/>
      <c r="R490" s="6"/>
      <c r="S490" s="6"/>
      <c r="T490" s="6"/>
      <c r="U490" s="6"/>
      <c r="V490" s="6"/>
      <c r="W490" s="7"/>
      <c r="X490" s="7"/>
      <c r="Y490" s="7"/>
      <c r="Z490" s="7"/>
    </row>
    <row r="491">
      <c r="A491" s="6"/>
      <c r="B491" s="6"/>
      <c r="C491" s="6"/>
      <c r="D491" s="6"/>
      <c r="E491" s="6"/>
      <c r="F491" s="6"/>
      <c r="G491" s="6"/>
      <c r="H491" s="6"/>
      <c r="I491" s="6"/>
      <c r="J491" s="6"/>
      <c r="K491" s="6"/>
      <c r="L491" s="80"/>
      <c r="M491" s="80"/>
      <c r="N491" s="80"/>
      <c r="O491" s="80"/>
      <c r="P491" s="6"/>
      <c r="Q491" s="6"/>
      <c r="R491" s="6"/>
      <c r="S491" s="6"/>
      <c r="T491" s="6"/>
      <c r="U491" s="6"/>
      <c r="V491" s="6"/>
      <c r="W491" s="7"/>
      <c r="X491" s="7"/>
      <c r="Y491" s="7"/>
      <c r="Z491" s="7"/>
    </row>
    <row r="492">
      <c r="A492" s="6"/>
      <c r="B492" s="6"/>
      <c r="C492" s="6"/>
      <c r="D492" s="6"/>
      <c r="E492" s="6"/>
      <c r="F492" s="6"/>
      <c r="G492" s="6"/>
      <c r="H492" s="6"/>
      <c r="I492" s="6"/>
      <c r="J492" s="6"/>
      <c r="K492" s="6"/>
      <c r="L492" s="80"/>
      <c r="M492" s="80"/>
      <c r="N492" s="80"/>
      <c r="O492" s="80"/>
      <c r="P492" s="6"/>
      <c r="Q492" s="6"/>
      <c r="R492" s="6"/>
      <c r="S492" s="6"/>
      <c r="T492" s="6"/>
      <c r="U492" s="6"/>
      <c r="V492" s="6"/>
      <c r="W492" s="7"/>
      <c r="X492" s="7"/>
      <c r="Y492" s="7"/>
      <c r="Z492" s="7"/>
    </row>
    <row r="493">
      <c r="A493" s="6"/>
      <c r="B493" s="6"/>
      <c r="C493" s="6"/>
      <c r="D493" s="6"/>
      <c r="E493" s="6"/>
      <c r="F493" s="6"/>
      <c r="G493" s="6"/>
      <c r="H493" s="6"/>
      <c r="I493" s="6"/>
      <c r="J493" s="6"/>
      <c r="K493" s="6"/>
      <c r="L493" s="80"/>
      <c r="M493" s="80"/>
      <c r="N493" s="80"/>
      <c r="O493" s="80"/>
      <c r="P493" s="6"/>
      <c r="Q493" s="6"/>
      <c r="R493" s="6"/>
      <c r="S493" s="6"/>
      <c r="T493" s="6"/>
      <c r="U493" s="6"/>
      <c r="V493" s="6"/>
      <c r="W493" s="7"/>
      <c r="X493" s="7"/>
      <c r="Y493" s="7"/>
      <c r="Z493" s="7"/>
    </row>
    <row r="494">
      <c r="A494" s="6"/>
      <c r="B494" s="6"/>
      <c r="C494" s="6"/>
      <c r="D494" s="6"/>
      <c r="E494" s="6"/>
      <c r="F494" s="6"/>
      <c r="G494" s="6"/>
      <c r="H494" s="6"/>
      <c r="I494" s="6"/>
      <c r="J494" s="6"/>
      <c r="K494" s="6"/>
      <c r="L494" s="80"/>
      <c r="M494" s="80"/>
      <c r="N494" s="80"/>
      <c r="O494" s="80"/>
      <c r="P494" s="6"/>
      <c r="Q494" s="6"/>
      <c r="R494" s="6"/>
      <c r="S494" s="6"/>
      <c r="T494" s="6"/>
      <c r="U494" s="6"/>
      <c r="V494" s="6"/>
      <c r="W494" s="7"/>
      <c r="X494" s="7"/>
      <c r="Y494" s="7"/>
      <c r="Z494" s="7"/>
    </row>
    <row r="495">
      <c r="A495" s="6"/>
      <c r="B495" s="6"/>
      <c r="C495" s="6"/>
      <c r="D495" s="6"/>
      <c r="E495" s="6"/>
      <c r="F495" s="6"/>
      <c r="G495" s="6"/>
      <c r="H495" s="6"/>
      <c r="I495" s="6"/>
      <c r="J495" s="6"/>
      <c r="K495" s="6"/>
      <c r="L495" s="80"/>
      <c r="M495" s="80"/>
      <c r="N495" s="80"/>
      <c r="O495" s="80"/>
      <c r="P495" s="6"/>
      <c r="Q495" s="6"/>
      <c r="R495" s="6"/>
      <c r="S495" s="6"/>
      <c r="T495" s="6"/>
      <c r="U495" s="6"/>
      <c r="V495" s="6"/>
      <c r="W495" s="7"/>
      <c r="X495" s="7"/>
      <c r="Y495" s="7"/>
      <c r="Z495" s="7"/>
    </row>
    <row r="496">
      <c r="A496" s="6"/>
      <c r="B496" s="6"/>
      <c r="C496" s="6"/>
      <c r="D496" s="6"/>
      <c r="E496" s="6"/>
      <c r="F496" s="6"/>
      <c r="G496" s="6"/>
      <c r="H496" s="6"/>
      <c r="I496" s="6"/>
      <c r="J496" s="6"/>
      <c r="K496" s="6"/>
      <c r="L496" s="80"/>
      <c r="M496" s="80"/>
      <c r="N496" s="80"/>
      <c r="O496" s="80"/>
      <c r="P496" s="6"/>
      <c r="Q496" s="6"/>
      <c r="R496" s="6"/>
      <c r="S496" s="6"/>
      <c r="T496" s="6"/>
      <c r="U496" s="6"/>
      <c r="V496" s="6"/>
      <c r="W496" s="7"/>
      <c r="X496" s="7"/>
      <c r="Y496" s="7"/>
      <c r="Z496" s="7"/>
    </row>
    <row r="497">
      <c r="A497" s="6"/>
      <c r="B497" s="6"/>
      <c r="C497" s="6"/>
      <c r="D497" s="6"/>
      <c r="E497" s="6"/>
      <c r="F497" s="6"/>
      <c r="G497" s="6"/>
      <c r="H497" s="6"/>
      <c r="I497" s="6"/>
      <c r="J497" s="6"/>
      <c r="K497" s="6"/>
      <c r="L497" s="80"/>
      <c r="M497" s="80"/>
      <c r="N497" s="80"/>
      <c r="O497" s="80"/>
      <c r="P497" s="6"/>
      <c r="Q497" s="6"/>
      <c r="R497" s="6"/>
      <c r="S497" s="6"/>
      <c r="T497" s="6"/>
      <c r="U497" s="6"/>
      <c r="V497" s="6"/>
      <c r="W497" s="7"/>
      <c r="X497" s="7"/>
      <c r="Y497" s="7"/>
      <c r="Z497" s="7"/>
    </row>
    <row r="498">
      <c r="A498" s="6"/>
      <c r="B498" s="6"/>
      <c r="C498" s="6"/>
      <c r="D498" s="6"/>
      <c r="E498" s="6"/>
      <c r="F498" s="6"/>
      <c r="G498" s="6"/>
      <c r="H498" s="6"/>
      <c r="I498" s="6"/>
      <c r="J498" s="6"/>
      <c r="K498" s="6"/>
      <c r="L498" s="80"/>
      <c r="M498" s="80"/>
      <c r="N498" s="80"/>
      <c r="O498" s="80"/>
      <c r="P498" s="6"/>
      <c r="Q498" s="6"/>
      <c r="R498" s="6"/>
      <c r="S498" s="6"/>
      <c r="T498" s="6"/>
      <c r="U498" s="6"/>
      <c r="V498" s="6"/>
      <c r="W498" s="7"/>
      <c r="X498" s="7"/>
      <c r="Y498" s="7"/>
      <c r="Z498" s="7"/>
    </row>
    <row r="499">
      <c r="A499" s="6"/>
      <c r="B499" s="6"/>
      <c r="C499" s="6"/>
      <c r="D499" s="6"/>
      <c r="E499" s="6"/>
      <c r="F499" s="6"/>
      <c r="G499" s="6"/>
      <c r="H499" s="6"/>
      <c r="I499" s="6"/>
      <c r="J499" s="6"/>
      <c r="K499" s="6"/>
      <c r="L499" s="80"/>
      <c r="M499" s="80"/>
      <c r="N499" s="80"/>
      <c r="O499" s="80"/>
      <c r="P499" s="6"/>
      <c r="Q499" s="6"/>
      <c r="R499" s="6"/>
      <c r="S499" s="6"/>
      <c r="T499" s="6"/>
      <c r="U499" s="6"/>
      <c r="V499" s="6"/>
      <c r="W499" s="7"/>
      <c r="X499" s="7"/>
      <c r="Y499" s="7"/>
      <c r="Z499" s="7"/>
    </row>
    <row r="500">
      <c r="A500" s="6"/>
      <c r="B500" s="6"/>
      <c r="C500" s="6"/>
      <c r="D500" s="6"/>
      <c r="E500" s="6"/>
      <c r="F500" s="6"/>
      <c r="G500" s="6"/>
      <c r="H500" s="6"/>
      <c r="I500" s="6"/>
      <c r="J500" s="6"/>
      <c r="K500" s="6"/>
      <c r="L500" s="80"/>
      <c r="M500" s="80"/>
      <c r="N500" s="80"/>
      <c r="O500" s="80"/>
      <c r="P500" s="6"/>
      <c r="Q500" s="6"/>
      <c r="R500" s="6"/>
      <c r="S500" s="6"/>
      <c r="T500" s="6"/>
      <c r="U500" s="6"/>
      <c r="V500" s="6"/>
      <c r="W500" s="7"/>
      <c r="X500" s="7"/>
      <c r="Y500" s="7"/>
      <c r="Z500" s="7"/>
    </row>
    <row r="501">
      <c r="A501" s="6"/>
      <c r="B501" s="6"/>
      <c r="C501" s="6"/>
      <c r="D501" s="6"/>
      <c r="E501" s="6"/>
      <c r="F501" s="6"/>
      <c r="G501" s="6"/>
      <c r="H501" s="6"/>
      <c r="I501" s="6"/>
      <c r="J501" s="6"/>
      <c r="K501" s="6"/>
      <c r="L501" s="80"/>
      <c r="M501" s="80"/>
      <c r="N501" s="80"/>
      <c r="O501" s="80"/>
      <c r="P501" s="6"/>
      <c r="Q501" s="6"/>
      <c r="R501" s="6"/>
      <c r="S501" s="6"/>
      <c r="T501" s="6"/>
      <c r="U501" s="6"/>
      <c r="V501" s="6"/>
      <c r="W501" s="7"/>
      <c r="X501" s="7"/>
      <c r="Y501" s="7"/>
      <c r="Z501" s="7"/>
    </row>
    <row r="502">
      <c r="A502" s="6"/>
      <c r="B502" s="6"/>
      <c r="C502" s="6"/>
      <c r="D502" s="6"/>
      <c r="E502" s="6"/>
      <c r="F502" s="6"/>
      <c r="G502" s="6"/>
      <c r="H502" s="6"/>
      <c r="I502" s="6"/>
      <c r="J502" s="6"/>
      <c r="K502" s="6"/>
      <c r="L502" s="80"/>
      <c r="M502" s="80"/>
      <c r="N502" s="80"/>
      <c r="O502" s="80"/>
      <c r="P502" s="6"/>
      <c r="Q502" s="6"/>
      <c r="R502" s="6"/>
      <c r="S502" s="6"/>
      <c r="T502" s="6"/>
      <c r="U502" s="6"/>
      <c r="V502" s="6"/>
      <c r="W502" s="7"/>
      <c r="X502" s="7"/>
      <c r="Y502" s="7"/>
      <c r="Z502" s="7"/>
    </row>
    <row r="503">
      <c r="A503" s="6"/>
      <c r="B503" s="6"/>
      <c r="C503" s="6"/>
      <c r="D503" s="6"/>
      <c r="E503" s="6"/>
      <c r="F503" s="6"/>
      <c r="G503" s="6"/>
      <c r="H503" s="6"/>
      <c r="I503" s="6"/>
      <c r="J503" s="6"/>
      <c r="K503" s="6"/>
      <c r="L503" s="80"/>
      <c r="M503" s="80"/>
      <c r="N503" s="80"/>
      <c r="O503" s="80"/>
      <c r="P503" s="6"/>
      <c r="Q503" s="6"/>
      <c r="R503" s="6"/>
      <c r="S503" s="6"/>
      <c r="T503" s="6"/>
      <c r="U503" s="6"/>
      <c r="V503" s="6"/>
      <c r="W503" s="7"/>
      <c r="X503" s="7"/>
      <c r="Y503" s="7"/>
      <c r="Z503" s="7"/>
    </row>
    <row r="504">
      <c r="A504" s="6"/>
      <c r="B504" s="6"/>
      <c r="C504" s="6"/>
      <c r="D504" s="6"/>
      <c r="E504" s="6"/>
      <c r="F504" s="6"/>
      <c r="G504" s="6"/>
      <c r="H504" s="6"/>
      <c r="I504" s="6"/>
      <c r="J504" s="6"/>
      <c r="K504" s="6"/>
      <c r="L504" s="80"/>
      <c r="M504" s="80"/>
      <c r="N504" s="80"/>
      <c r="O504" s="80"/>
      <c r="P504" s="6"/>
      <c r="Q504" s="6"/>
      <c r="R504" s="6"/>
      <c r="S504" s="6"/>
      <c r="T504" s="6"/>
      <c r="U504" s="6"/>
      <c r="V504" s="6"/>
      <c r="W504" s="7"/>
      <c r="X504" s="7"/>
      <c r="Y504" s="7"/>
      <c r="Z504" s="7"/>
    </row>
    <row r="505">
      <c r="A505" s="6"/>
      <c r="B505" s="6"/>
      <c r="C505" s="6"/>
      <c r="D505" s="6"/>
      <c r="E505" s="6"/>
      <c r="F505" s="6"/>
      <c r="G505" s="6"/>
      <c r="H505" s="6"/>
      <c r="I505" s="6"/>
      <c r="J505" s="6"/>
      <c r="K505" s="6"/>
      <c r="L505" s="80"/>
      <c r="M505" s="80"/>
      <c r="N505" s="80"/>
      <c r="O505" s="80"/>
      <c r="P505" s="6"/>
      <c r="Q505" s="6"/>
      <c r="R505" s="6"/>
      <c r="S505" s="6"/>
      <c r="T505" s="6"/>
      <c r="U505" s="6"/>
      <c r="V505" s="6"/>
      <c r="W505" s="7"/>
      <c r="X505" s="7"/>
      <c r="Y505" s="7"/>
      <c r="Z505" s="7"/>
    </row>
    <row r="506">
      <c r="A506" s="6"/>
      <c r="B506" s="6"/>
      <c r="C506" s="6"/>
      <c r="D506" s="6"/>
      <c r="E506" s="6"/>
      <c r="F506" s="6"/>
      <c r="G506" s="6"/>
      <c r="H506" s="6"/>
      <c r="I506" s="6"/>
      <c r="J506" s="6"/>
      <c r="K506" s="6"/>
      <c r="L506" s="80"/>
      <c r="M506" s="80"/>
      <c r="N506" s="80"/>
      <c r="O506" s="80"/>
      <c r="P506" s="6"/>
      <c r="Q506" s="6"/>
      <c r="R506" s="6"/>
      <c r="S506" s="6"/>
      <c r="T506" s="6"/>
      <c r="U506" s="6"/>
      <c r="V506" s="6"/>
      <c r="W506" s="7"/>
      <c r="X506" s="7"/>
      <c r="Y506" s="7"/>
      <c r="Z506" s="7"/>
    </row>
    <row r="507">
      <c r="A507" s="6"/>
      <c r="B507" s="6"/>
      <c r="C507" s="6"/>
      <c r="D507" s="6"/>
      <c r="E507" s="6"/>
      <c r="F507" s="6"/>
      <c r="G507" s="6"/>
      <c r="H507" s="6"/>
      <c r="I507" s="6"/>
      <c r="J507" s="6"/>
      <c r="K507" s="6"/>
      <c r="L507" s="80"/>
      <c r="M507" s="80"/>
      <c r="N507" s="80"/>
      <c r="O507" s="80"/>
      <c r="P507" s="6"/>
      <c r="Q507" s="6"/>
      <c r="R507" s="6"/>
      <c r="S507" s="6"/>
      <c r="T507" s="6"/>
      <c r="U507" s="6"/>
      <c r="V507" s="6"/>
      <c r="W507" s="7"/>
      <c r="X507" s="7"/>
      <c r="Y507" s="7"/>
      <c r="Z507" s="7"/>
    </row>
    <row r="508">
      <c r="A508" s="6"/>
      <c r="B508" s="6"/>
      <c r="C508" s="6"/>
      <c r="D508" s="6"/>
      <c r="E508" s="6"/>
      <c r="F508" s="6"/>
      <c r="G508" s="6"/>
      <c r="H508" s="6"/>
      <c r="I508" s="6"/>
      <c r="J508" s="6"/>
      <c r="K508" s="6"/>
      <c r="L508" s="80"/>
      <c r="M508" s="80"/>
      <c r="N508" s="80"/>
      <c r="O508" s="80"/>
      <c r="P508" s="6"/>
      <c r="Q508" s="6"/>
      <c r="R508" s="6"/>
      <c r="S508" s="6"/>
      <c r="T508" s="6"/>
      <c r="U508" s="6"/>
      <c r="V508" s="6"/>
      <c r="W508" s="7"/>
      <c r="X508" s="7"/>
      <c r="Y508" s="7"/>
      <c r="Z508" s="7"/>
    </row>
    <row r="509">
      <c r="A509" s="6"/>
      <c r="B509" s="6"/>
      <c r="C509" s="6"/>
      <c r="D509" s="6"/>
      <c r="E509" s="6"/>
      <c r="F509" s="6"/>
      <c r="G509" s="6"/>
      <c r="H509" s="6"/>
      <c r="I509" s="6"/>
      <c r="J509" s="6"/>
      <c r="K509" s="6"/>
      <c r="L509" s="80"/>
      <c r="M509" s="80"/>
      <c r="N509" s="80"/>
      <c r="O509" s="80"/>
      <c r="P509" s="6"/>
      <c r="Q509" s="6"/>
      <c r="R509" s="6"/>
      <c r="S509" s="6"/>
      <c r="T509" s="6"/>
      <c r="U509" s="6"/>
      <c r="V509" s="6"/>
      <c r="W509" s="7"/>
      <c r="X509" s="7"/>
      <c r="Y509" s="7"/>
      <c r="Z509" s="7"/>
    </row>
    <row r="510">
      <c r="A510" s="6"/>
      <c r="B510" s="6"/>
      <c r="C510" s="6"/>
      <c r="D510" s="6"/>
      <c r="E510" s="6"/>
      <c r="F510" s="6"/>
      <c r="G510" s="6"/>
      <c r="H510" s="6"/>
      <c r="I510" s="6"/>
      <c r="J510" s="6"/>
      <c r="K510" s="6"/>
      <c r="L510" s="80"/>
      <c r="M510" s="80"/>
      <c r="N510" s="80"/>
      <c r="O510" s="80"/>
      <c r="P510" s="6"/>
      <c r="Q510" s="6"/>
      <c r="R510" s="6"/>
      <c r="S510" s="6"/>
      <c r="T510" s="6"/>
      <c r="U510" s="6"/>
      <c r="V510" s="6"/>
      <c r="W510" s="7"/>
      <c r="X510" s="7"/>
      <c r="Y510" s="7"/>
      <c r="Z510" s="7"/>
    </row>
    <row r="511">
      <c r="A511" s="6"/>
      <c r="B511" s="6"/>
      <c r="C511" s="6"/>
      <c r="D511" s="6"/>
      <c r="E511" s="6"/>
      <c r="F511" s="6"/>
      <c r="G511" s="6"/>
      <c r="H511" s="6"/>
      <c r="I511" s="6"/>
      <c r="J511" s="6"/>
      <c r="K511" s="6"/>
      <c r="L511" s="80"/>
      <c r="M511" s="80"/>
      <c r="N511" s="80"/>
      <c r="O511" s="80"/>
      <c r="P511" s="6"/>
      <c r="Q511" s="6"/>
      <c r="R511" s="6"/>
      <c r="S511" s="6"/>
      <c r="T511" s="6"/>
      <c r="U511" s="6"/>
      <c r="V511" s="6"/>
      <c r="W511" s="7"/>
      <c r="X511" s="7"/>
      <c r="Y511" s="7"/>
      <c r="Z511" s="7"/>
    </row>
    <row r="512">
      <c r="A512" s="6"/>
      <c r="B512" s="6"/>
      <c r="C512" s="6"/>
      <c r="D512" s="6"/>
      <c r="E512" s="6"/>
      <c r="F512" s="6"/>
      <c r="G512" s="6"/>
      <c r="H512" s="6"/>
      <c r="I512" s="6"/>
      <c r="J512" s="6"/>
      <c r="K512" s="6"/>
      <c r="L512" s="80"/>
      <c r="M512" s="80"/>
      <c r="N512" s="80"/>
      <c r="O512" s="80"/>
      <c r="P512" s="6"/>
      <c r="Q512" s="6"/>
      <c r="R512" s="6"/>
      <c r="S512" s="6"/>
      <c r="T512" s="6"/>
      <c r="U512" s="6"/>
      <c r="V512" s="6"/>
      <c r="W512" s="7"/>
      <c r="X512" s="7"/>
      <c r="Y512" s="7"/>
      <c r="Z512" s="7"/>
    </row>
    <row r="513">
      <c r="A513" s="6"/>
      <c r="B513" s="6"/>
      <c r="C513" s="6"/>
      <c r="D513" s="6"/>
      <c r="E513" s="6"/>
      <c r="F513" s="6"/>
      <c r="G513" s="6"/>
      <c r="H513" s="6"/>
      <c r="I513" s="6"/>
      <c r="J513" s="6"/>
      <c r="K513" s="6"/>
      <c r="L513" s="80"/>
      <c r="M513" s="80"/>
      <c r="N513" s="80"/>
      <c r="O513" s="80"/>
      <c r="P513" s="6"/>
      <c r="Q513" s="6"/>
      <c r="R513" s="6"/>
      <c r="S513" s="6"/>
      <c r="T513" s="6"/>
      <c r="U513" s="6"/>
      <c r="V513" s="6"/>
      <c r="W513" s="7"/>
      <c r="X513" s="7"/>
      <c r="Y513" s="7"/>
      <c r="Z513" s="7"/>
    </row>
    <row r="514">
      <c r="A514" s="6"/>
      <c r="B514" s="6"/>
      <c r="C514" s="6"/>
      <c r="D514" s="6"/>
      <c r="E514" s="6"/>
      <c r="F514" s="6"/>
      <c r="G514" s="6"/>
      <c r="H514" s="6"/>
      <c r="I514" s="6"/>
      <c r="J514" s="6"/>
      <c r="K514" s="6"/>
      <c r="L514" s="80"/>
      <c r="M514" s="80"/>
      <c r="N514" s="80"/>
      <c r="O514" s="80"/>
      <c r="P514" s="6"/>
      <c r="Q514" s="6"/>
      <c r="R514" s="6"/>
      <c r="S514" s="6"/>
      <c r="T514" s="6"/>
      <c r="U514" s="6"/>
      <c r="V514" s="6"/>
      <c r="W514" s="7"/>
      <c r="X514" s="7"/>
      <c r="Y514" s="7"/>
      <c r="Z514" s="7"/>
    </row>
    <row r="515">
      <c r="A515" s="6"/>
      <c r="B515" s="6"/>
      <c r="C515" s="6"/>
      <c r="D515" s="6"/>
      <c r="E515" s="6"/>
      <c r="F515" s="6"/>
      <c r="G515" s="6"/>
      <c r="H515" s="6"/>
      <c r="I515" s="6"/>
      <c r="J515" s="6"/>
      <c r="K515" s="6"/>
      <c r="L515" s="80"/>
      <c r="M515" s="80"/>
      <c r="N515" s="80"/>
      <c r="O515" s="80"/>
      <c r="P515" s="6"/>
      <c r="Q515" s="6"/>
      <c r="R515" s="6"/>
      <c r="S515" s="6"/>
      <c r="T515" s="6"/>
      <c r="U515" s="6"/>
      <c r="V515" s="6"/>
      <c r="W515" s="7"/>
      <c r="X515" s="7"/>
      <c r="Y515" s="7"/>
      <c r="Z515" s="7"/>
    </row>
    <row r="516">
      <c r="A516" s="6"/>
      <c r="B516" s="6"/>
      <c r="C516" s="6"/>
      <c r="D516" s="6"/>
      <c r="E516" s="6"/>
      <c r="F516" s="6"/>
      <c r="G516" s="6"/>
      <c r="H516" s="6"/>
      <c r="I516" s="6"/>
      <c r="J516" s="6"/>
      <c r="K516" s="6"/>
      <c r="L516" s="80"/>
      <c r="M516" s="80"/>
      <c r="N516" s="80"/>
      <c r="O516" s="80"/>
      <c r="P516" s="6"/>
      <c r="Q516" s="6"/>
      <c r="R516" s="6"/>
      <c r="S516" s="6"/>
      <c r="T516" s="6"/>
      <c r="U516" s="6"/>
      <c r="V516" s="6"/>
      <c r="W516" s="7"/>
      <c r="X516" s="7"/>
      <c r="Y516" s="7"/>
      <c r="Z516" s="7"/>
    </row>
    <row r="517">
      <c r="A517" s="6"/>
      <c r="B517" s="6"/>
      <c r="C517" s="6"/>
      <c r="D517" s="6"/>
      <c r="E517" s="6"/>
      <c r="F517" s="6"/>
      <c r="G517" s="6"/>
      <c r="H517" s="6"/>
      <c r="I517" s="6"/>
      <c r="J517" s="6"/>
      <c r="K517" s="6"/>
      <c r="L517" s="80"/>
      <c r="M517" s="80"/>
      <c r="N517" s="80"/>
      <c r="O517" s="80"/>
      <c r="P517" s="6"/>
      <c r="Q517" s="6"/>
      <c r="R517" s="6"/>
      <c r="S517" s="6"/>
      <c r="T517" s="6"/>
      <c r="U517" s="6"/>
      <c r="V517" s="6"/>
      <c r="W517" s="7"/>
      <c r="X517" s="7"/>
      <c r="Y517" s="7"/>
      <c r="Z517" s="7"/>
    </row>
    <row r="518">
      <c r="A518" s="6"/>
      <c r="B518" s="6"/>
      <c r="C518" s="6"/>
      <c r="D518" s="6"/>
      <c r="E518" s="6"/>
      <c r="F518" s="6"/>
      <c r="G518" s="6"/>
      <c r="H518" s="6"/>
      <c r="I518" s="6"/>
      <c r="J518" s="6"/>
      <c r="K518" s="6"/>
      <c r="L518" s="80"/>
      <c r="M518" s="80"/>
      <c r="N518" s="80"/>
      <c r="O518" s="80"/>
      <c r="P518" s="6"/>
      <c r="Q518" s="6"/>
      <c r="R518" s="6"/>
      <c r="S518" s="6"/>
      <c r="T518" s="6"/>
      <c r="U518" s="6"/>
      <c r="V518" s="6"/>
      <c r="W518" s="7"/>
      <c r="X518" s="7"/>
      <c r="Y518" s="7"/>
      <c r="Z518" s="7"/>
    </row>
    <row r="519">
      <c r="A519" s="6"/>
      <c r="B519" s="6"/>
      <c r="C519" s="6"/>
      <c r="D519" s="6"/>
      <c r="E519" s="6"/>
      <c r="F519" s="6"/>
      <c r="G519" s="6"/>
      <c r="H519" s="6"/>
      <c r="I519" s="6"/>
      <c r="J519" s="6"/>
      <c r="K519" s="6"/>
      <c r="L519" s="80"/>
      <c r="M519" s="80"/>
      <c r="N519" s="80"/>
      <c r="O519" s="80"/>
      <c r="P519" s="6"/>
      <c r="Q519" s="6"/>
      <c r="R519" s="6"/>
      <c r="S519" s="6"/>
      <c r="T519" s="6"/>
      <c r="U519" s="6"/>
      <c r="V519" s="6"/>
      <c r="W519" s="7"/>
      <c r="X519" s="7"/>
      <c r="Y519" s="7"/>
      <c r="Z519" s="7"/>
    </row>
    <row r="520">
      <c r="A520" s="6"/>
      <c r="B520" s="6"/>
      <c r="C520" s="6"/>
      <c r="D520" s="6"/>
      <c r="E520" s="6"/>
      <c r="F520" s="6"/>
      <c r="G520" s="6"/>
      <c r="H520" s="6"/>
      <c r="I520" s="6"/>
      <c r="J520" s="6"/>
      <c r="K520" s="6"/>
      <c r="L520" s="80"/>
      <c r="M520" s="80"/>
      <c r="N520" s="80"/>
      <c r="O520" s="80"/>
      <c r="P520" s="6"/>
      <c r="Q520" s="6"/>
      <c r="R520" s="6"/>
      <c r="S520" s="6"/>
      <c r="T520" s="6"/>
      <c r="U520" s="6"/>
      <c r="V520" s="6"/>
      <c r="W520" s="7"/>
      <c r="X520" s="7"/>
      <c r="Y520" s="7"/>
      <c r="Z520" s="7"/>
    </row>
    <row r="521">
      <c r="A521" s="6"/>
      <c r="B521" s="6"/>
      <c r="C521" s="6"/>
      <c r="D521" s="6"/>
      <c r="E521" s="6"/>
      <c r="F521" s="6"/>
      <c r="G521" s="6"/>
      <c r="H521" s="6"/>
      <c r="I521" s="6"/>
      <c r="J521" s="6"/>
      <c r="K521" s="6"/>
      <c r="L521" s="80"/>
      <c r="M521" s="80"/>
      <c r="N521" s="80"/>
      <c r="O521" s="80"/>
      <c r="P521" s="6"/>
      <c r="Q521" s="6"/>
      <c r="R521" s="6"/>
      <c r="S521" s="6"/>
      <c r="T521" s="6"/>
      <c r="U521" s="6"/>
      <c r="V521" s="6"/>
      <c r="W521" s="7"/>
      <c r="X521" s="7"/>
      <c r="Y521" s="7"/>
      <c r="Z521" s="7"/>
    </row>
    <row r="522">
      <c r="A522" s="6"/>
      <c r="B522" s="6"/>
      <c r="C522" s="6"/>
      <c r="D522" s="6"/>
      <c r="E522" s="6"/>
      <c r="F522" s="6"/>
      <c r="G522" s="6"/>
      <c r="H522" s="6"/>
      <c r="I522" s="6"/>
      <c r="J522" s="6"/>
      <c r="K522" s="6"/>
      <c r="L522" s="80"/>
      <c r="M522" s="80"/>
      <c r="N522" s="80"/>
      <c r="O522" s="80"/>
      <c r="P522" s="6"/>
      <c r="Q522" s="6"/>
      <c r="R522" s="6"/>
      <c r="S522" s="6"/>
      <c r="T522" s="6"/>
      <c r="U522" s="6"/>
      <c r="V522" s="6"/>
      <c r="W522" s="7"/>
      <c r="X522" s="7"/>
      <c r="Y522" s="7"/>
      <c r="Z522" s="7"/>
    </row>
    <row r="523">
      <c r="A523" s="6"/>
      <c r="B523" s="6"/>
      <c r="C523" s="6"/>
      <c r="D523" s="6"/>
      <c r="E523" s="6"/>
      <c r="F523" s="6"/>
      <c r="G523" s="6"/>
      <c r="H523" s="6"/>
      <c r="I523" s="6"/>
      <c r="J523" s="6"/>
      <c r="K523" s="6"/>
      <c r="L523" s="80"/>
      <c r="M523" s="80"/>
      <c r="N523" s="80"/>
      <c r="O523" s="80"/>
      <c r="P523" s="6"/>
      <c r="Q523" s="6"/>
      <c r="R523" s="6"/>
      <c r="S523" s="6"/>
      <c r="T523" s="6"/>
      <c r="U523" s="6"/>
      <c r="V523" s="6"/>
      <c r="W523" s="7"/>
      <c r="X523" s="7"/>
      <c r="Y523" s="7"/>
      <c r="Z523" s="7"/>
    </row>
    <row r="524">
      <c r="A524" s="6"/>
      <c r="B524" s="6"/>
      <c r="C524" s="6"/>
      <c r="D524" s="6"/>
      <c r="E524" s="6"/>
      <c r="F524" s="6"/>
      <c r="G524" s="6"/>
      <c r="H524" s="6"/>
      <c r="I524" s="6"/>
      <c r="J524" s="6"/>
      <c r="K524" s="6"/>
      <c r="L524" s="80"/>
      <c r="M524" s="80"/>
      <c r="N524" s="80"/>
      <c r="O524" s="80"/>
      <c r="P524" s="6"/>
      <c r="Q524" s="6"/>
      <c r="R524" s="6"/>
      <c r="S524" s="6"/>
      <c r="T524" s="6"/>
      <c r="U524" s="6"/>
      <c r="V524" s="6"/>
      <c r="W524" s="7"/>
      <c r="X524" s="7"/>
      <c r="Y524" s="7"/>
      <c r="Z524" s="7"/>
    </row>
    <row r="525">
      <c r="A525" s="6"/>
      <c r="B525" s="6"/>
      <c r="C525" s="6"/>
      <c r="D525" s="6"/>
      <c r="E525" s="6"/>
      <c r="F525" s="6"/>
      <c r="G525" s="6"/>
      <c r="H525" s="6"/>
      <c r="I525" s="6"/>
      <c r="J525" s="6"/>
      <c r="K525" s="6"/>
      <c r="L525" s="80"/>
      <c r="M525" s="80"/>
      <c r="N525" s="80"/>
      <c r="O525" s="80"/>
      <c r="P525" s="6"/>
      <c r="Q525" s="6"/>
      <c r="R525" s="6"/>
      <c r="S525" s="6"/>
      <c r="T525" s="6"/>
      <c r="U525" s="6"/>
      <c r="V525" s="6"/>
      <c r="W525" s="7"/>
      <c r="X525" s="7"/>
      <c r="Y525" s="7"/>
      <c r="Z525" s="7"/>
    </row>
    <row r="526">
      <c r="A526" s="6"/>
      <c r="B526" s="6"/>
      <c r="C526" s="6"/>
      <c r="D526" s="6"/>
      <c r="E526" s="6"/>
      <c r="F526" s="6"/>
      <c r="G526" s="6"/>
      <c r="H526" s="6"/>
      <c r="I526" s="6"/>
      <c r="J526" s="6"/>
      <c r="K526" s="6"/>
      <c r="L526" s="80"/>
      <c r="M526" s="80"/>
      <c r="N526" s="80"/>
      <c r="O526" s="80"/>
      <c r="P526" s="6"/>
      <c r="Q526" s="6"/>
      <c r="R526" s="6"/>
      <c r="S526" s="6"/>
      <c r="T526" s="6"/>
      <c r="U526" s="6"/>
      <c r="V526" s="6"/>
      <c r="W526" s="7"/>
      <c r="X526" s="7"/>
      <c r="Y526" s="7"/>
      <c r="Z526" s="7"/>
    </row>
    <row r="527">
      <c r="A527" s="6"/>
      <c r="B527" s="6"/>
      <c r="C527" s="6"/>
      <c r="D527" s="6"/>
      <c r="E527" s="6"/>
      <c r="F527" s="6"/>
      <c r="G527" s="6"/>
      <c r="H527" s="6"/>
      <c r="I527" s="6"/>
      <c r="J527" s="6"/>
      <c r="K527" s="6"/>
      <c r="L527" s="80"/>
      <c r="M527" s="80"/>
      <c r="N527" s="80"/>
      <c r="O527" s="80"/>
      <c r="P527" s="6"/>
      <c r="Q527" s="6"/>
      <c r="R527" s="6"/>
      <c r="S527" s="6"/>
      <c r="T527" s="6"/>
      <c r="U527" s="6"/>
      <c r="V527" s="6"/>
      <c r="W527" s="7"/>
      <c r="X527" s="7"/>
      <c r="Y527" s="7"/>
      <c r="Z527" s="7"/>
    </row>
    <row r="528">
      <c r="A528" s="6"/>
      <c r="B528" s="6"/>
      <c r="C528" s="6"/>
      <c r="D528" s="6"/>
      <c r="E528" s="6"/>
      <c r="F528" s="6"/>
      <c r="G528" s="6"/>
      <c r="H528" s="6"/>
      <c r="I528" s="6"/>
      <c r="J528" s="6"/>
      <c r="K528" s="6"/>
      <c r="L528" s="80"/>
      <c r="M528" s="80"/>
      <c r="N528" s="80"/>
      <c r="O528" s="80"/>
      <c r="P528" s="6"/>
      <c r="Q528" s="6"/>
      <c r="R528" s="6"/>
      <c r="S528" s="6"/>
      <c r="T528" s="6"/>
      <c r="U528" s="6"/>
      <c r="V528" s="6"/>
      <c r="W528" s="7"/>
      <c r="X528" s="7"/>
      <c r="Y528" s="7"/>
      <c r="Z528" s="7"/>
    </row>
    <row r="529">
      <c r="A529" s="6"/>
      <c r="B529" s="6"/>
      <c r="C529" s="6"/>
      <c r="D529" s="6"/>
      <c r="E529" s="6"/>
      <c r="F529" s="6"/>
      <c r="G529" s="6"/>
      <c r="H529" s="6"/>
      <c r="I529" s="6"/>
      <c r="J529" s="6"/>
      <c r="K529" s="6"/>
      <c r="L529" s="80"/>
      <c r="M529" s="80"/>
      <c r="N529" s="80"/>
      <c r="O529" s="80"/>
      <c r="P529" s="6"/>
      <c r="Q529" s="6"/>
      <c r="R529" s="6"/>
      <c r="S529" s="6"/>
      <c r="T529" s="6"/>
      <c r="U529" s="6"/>
      <c r="V529" s="6"/>
      <c r="W529" s="7"/>
      <c r="X529" s="7"/>
      <c r="Y529" s="7"/>
      <c r="Z529" s="7"/>
    </row>
    <row r="530">
      <c r="A530" s="6"/>
      <c r="B530" s="6"/>
      <c r="C530" s="6"/>
      <c r="D530" s="6"/>
      <c r="E530" s="6"/>
      <c r="F530" s="6"/>
      <c r="G530" s="6"/>
      <c r="H530" s="6"/>
      <c r="I530" s="6"/>
      <c r="J530" s="6"/>
      <c r="K530" s="6"/>
      <c r="L530" s="80"/>
      <c r="M530" s="80"/>
      <c r="N530" s="80"/>
      <c r="O530" s="80"/>
      <c r="P530" s="6"/>
      <c r="Q530" s="6"/>
      <c r="R530" s="6"/>
      <c r="S530" s="6"/>
      <c r="T530" s="6"/>
      <c r="U530" s="6"/>
      <c r="V530" s="6"/>
      <c r="W530" s="7"/>
      <c r="X530" s="7"/>
      <c r="Y530" s="7"/>
      <c r="Z530" s="7"/>
    </row>
    <row r="531">
      <c r="A531" s="6"/>
      <c r="B531" s="6"/>
      <c r="C531" s="6"/>
      <c r="D531" s="6"/>
      <c r="E531" s="6"/>
      <c r="F531" s="6"/>
      <c r="G531" s="6"/>
      <c r="H531" s="6"/>
      <c r="I531" s="6"/>
      <c r="J531" s="6"/>
      <c r="K531" s="6"/>
      <c r="L531" s="80"/>
      <c r="M531" s="80"/>
      <c r="N531" s="80"/>
      <c r="O531" s="80"/>
      <c r="P531" s="6"/>
      <c r="Q531" s="6"/>
      <c r="R531" s="6"/>
      <c r="S531" s="6"/>
      <c r="T531" s="6"/>
      <c r="U531" s="6"/>
      <c r="V531" s="6"/>
      <c r="W531" s="7"/>
      <c r="X531" s="7"/>
      <c r="Y531" s="7"/>
      <c r="Z531" s="7"/>
    </row>
    <row r="532">
      <c r="A532" s="6"/>
      <c r="B532" s="6"/>
      <c r="C532" s="6"/>
      <c r="D532" s="6"/>
      <c r="E532" s="6"/>
      <c r="F532" s="6"/>
      <c r="G532" s="6"/>
      <c r="H532" s="6"/>
      <c r="I532" s="6"/>
      <c r="J532" s="6"/>
      <c r="K532" s="6"/>
      <c r="L532" s="80"/>
      <c r="M532" s="80"/>
      <c r="N532" s="80"/>
      <c r="O532" s="80"/>
      <c r="P532" s="6"/>
      <c r="Q532" s="6"/>
      <c r="R532" s="6"/>
      <c r="S532" s="6"/>
      <c r="T532" s="6"/>
      <c r="U532" s="6"/>
      <c r="V532" s="6"/>
      <c r="W532" s="7"/>
      <c r="X532" s="7"/>
      <c r="Y532" s="7"/>
      <c r="Z532" s="7"/>
    </row>
    <row r="533">
      <c r="A533" s="6"/>
      <c r="B533" s="6"/>
      <c r="C533" s="6"/>
      <c r="D533" s="6"/>
      <c r="E533" s="6"/>
      <c r="F533" s="6"/>
      <c r="G533" s="6"/>
      <c r="H533" s="6"/>
      <c r="I533" s="6"/>
      <c r="J533" s="6"/>
      <c r="K533" s="6"/>
      <c r="L533" s="80"/>
      <c r="M533" s="80"/>
      <c r="N533" s="80"/>
      <c r="O533" s="80"/>
      <c r="P533" s="6"/>
      <c r="Q533" s="6"/>
      <c r="R533" s="6"/>
      <c r="S533" s="6"/>
      <c r="T533" s="6"/>
      <c r="U533" s="6"/>
      <c r="V533" s="6"/>
      <c r="W533" s="7"/>
      <c r="X533" s="7"/>
      <c r="Y533" s="7"/>
      <c r="Z533" s="7"/>
    </row>
    <row r="534">
      <c r="A534" s="6"/>
      <c r="B534" s="6"/>
      <c r="C534" s="6"/>
      <c r="D534" s="6"/>
      <c r="E534" s="6"/>
      <c r="F534" s="6"/>
      <c r="G534" s="6"/>
      <c r="H534" s="6"/>
      <c r="I534" s="6"/>
      <c r="J534" s="6"/>
      <c r="K534" s="6"/>
      <c r="L534" s="80"/>
      <c r="M534" s="80"/>
      <c r="N534" s="80"/>
      <c r="O534" s="80"/>
      <c r="P534" s="6"/>
      <c r="Q534" s="6"/>
      <c r="R534" s="6"/>
      <c r="S534" s="6"/>
      <c r="T534" s="6"/>
      <c r="U534" s="6"/>
      <c r="V534" s="6"/>
      <c r="W534" s="7"/>
      <c r="X534" s="7"/>
      <c r="Y534" s="7"/>
      <c r="Z534" s="7"/>
    </row>
    <row r="535">
      <c r="A535" s="6"/>
      <c r="B535" s="6"/>
      <c r="C535" s="6"/>
      <c r="D535" s="6"/>
      <c r="E535" s="6"/>
      <c r="F535" s="6"/>
      <c r="G535" s="6"/>
      <c r="H535" s="6"/>
      <c r="I535" s="6"/>
      <c r="J535" s="6"/>
      <c r="K535" s="6"/>
      <c r="L535" s="80"/>
      <c r="M535" s="80"/>
      <c r="N535" s="80"/>
      <c r="O535" s="80"/>
      <c r="P535" s="6"/>
      <c r="Q535" s="6"/>
      <c r="R535" s="6"/>
      <c r="S535" s="6"/>
      <c r="T535" s="6"/>
      <c r="U535" s="6"/>
      <c r="V535" s="6"/>
      <c r="W535" s="7"/>
      <c r="X535" s="7"/>
      <c r="Y535" s="7"/>
      <c r="Z535" s="7"/>
    </row>
    <row r="536">
      <c r="A536" s="6"/>
      <c r="B536" s="6"/>
      <c r="C536" s="6"/>
      <c r="D536" s="6"/>
      <c r="E536" s="6"/>
      <c r="F536" s="6"/>
      <c r="G536" s="6"/>
      <c r="H536" s="6"/>
      <c r="I536" s="6"/>
      <c r="J536" s="6"/>
      <c r="K536" s="6"/>
      <c r="L536" s="80"/>
      <c r="M536" s="80"/>
      <c r="N536" s="80"/>
      <c r="O536" s="80"/>
      <c r="P536" s="6"/>
      <c r="Q536" s="6"/>
      <c r="R536" s="6"/>
      <c r="S536" s="6"/>
      <c r="T536" s="6"/>
      <c r="U536" s="6"/>
      <c r="V536" s="6"/>
      <c r="W536" s="7"/>
      <c r="X536" s="7"/>
      <c r="Y536" s="7"/>
      <c r="Z536" s="7"/>
    </row>
    <row r="537">
      <c r="A537" s="6"/>
      <c r="B537" s="6"/>
      <c r="C537" s="6"/>
      <c r="D537" s="6"/>
      <c r="E537" s="6"/>
      <c r="F537" s="6"/>
      <c r="G537" s="6"/>
      <c r="H537" s="6"/>
      <c r="I537" s="6"/>
      <c r="J537" s="6"/>
      <c r="K537" s="6"/>
      <c r="L537" s="80"/>
      <c r="M537" s="80"/>
      <c r="N537" s="80"/>
      <c r="O537" s="80"/>
      <c r="P537" s="6"/>
      <c r="Q537" s="6"/>
      <c r="R537" s="6"/>
      <c r="S537" s="6"/>
      <c r="T537" s="6"/>
      <c r="U537" s="6"/>
      <c r="V537" s="6"/>
      <c r="W537" s="7"/>
      <c r="X537" s="7"/>
      <c r="Y537" s="7"/>
      <c r="Z537" s="7"/>
    </row>
    <row r="538">
      <c r="A538" s="6"/>
      <c r="B538" s="6"/>
      <c r="C538" s="6"/>
      <c r="D538" s="6"/>
      <c r="E538" s="6"/>
      <c r="F538" s="6"/>
      <c r="G538" s="6"/>
      <c r="H538" s="6"/>
      <c r="I538" s="6"/>
      <c r="J538" s="6"/>
      <c r="K538" s="6"/>
      <c r="L538" s="80"/>
      <c r="M538" s="80"/>
      <c r="N538" s="80"/>
      <c r="O538" s="80"/>
      <c r="P538" s="6"/>
      <c r="Q538" s="6"/>
      <c r="R538" s="6"/>
      <c r="S538" s="6"/>
      <c r="T538" s="6"/>
      <c r="U538" s="6"/>
      <c r="V538" s="6"/>
      <c r="W538" s="7"/>
      <c r="X538" s="7"/>
      <c r="Y538" s="7"/>
      <c r="Z538" s="7"/>
    </row>
    <row r="539">
      <c r="A539" s="6"/>
      <c r="B539" s="6"/>
      <c r="C539" s="6"/>
      <c r="D539" s="6"/>
      <c r="E539" s="6"/>
      <c r="F539" s="6"/>
      <c r="G539" s="6"/>
      <c r="H539" s="6"/>
      <c r="I539" s="6"/>
      <c r="J539" s="6"/>
      <c r="K539" s="6"/>
      <c r="L539" s="80"/>
      <c r="M539" s="80"/>
      <c r="N539" s="80"/>
      <c r="O539" s="80"/>
      <c r="P539" s="6"/>
      <c r="Q539" s="6"/>
      <c r="R539" s="6"/>
      <c r="S539" s="6"/>
      <c r="T539" s="6"/>
      <c r="U539" s="6"/>
      <c r="V539" s="6"/>
      <c r="W539" s="7"/>
      <c r="X539" s="7"/>
      <c r="Y539" s="7"/>
      <c r="Z539" s="7"/>
    </row>
    <row r="540">
      <c r="A540" s="6"/>
      <c r="B540" s="6"/>
      <c r="C540" s="6"/>
      <c r="D540" s="6"/>
      <c r="E540" s="6"/>
      <c r="F540" s="6"/>
      <c r="G540" s="6"/>
      <c r="H540" s="6"/>
      <c r="I540" s="6"/>
      <c r="J540" s="6"/>
      <c r="K540" s="6"/>
      <c r="L540" s="80"/>
      <c r="M540" s="80"/>
      <c r="N540" s="80"/>
      <c r="O540" s="80"/>
      <c r="P540" s="6"/>
      <c r="Q540" s="6"/>
      <c r="R540" s="6"/>
      <c r="S540" s="6"/>
      <c r="T540" s="6"/>
      <c r="U540" s="6"/>
      <c r="V540" s="6"/>
      <c r="W540" s="7"/>
      <c r="X540" s="7"/>
      <c r="Y540" s="7"/>
      <c r="Z540" s="7"/>
    </row>
    <row r="541">
      <c r="A541" s="6"/>
      <c r="B541" s="6"/>
      <c r="C541" s="6"/>
      <c r="D541" s="6"/>
      <c r="E541" s="6"/>
      <c r="F541" s="6"/>
      <c r="G541" s="6"/>
      <c r="H541" s="6"/>
      <c r="I541" s="6"/>
      <c r="J541" s="6"/>
      <c r="K541" s="6"/>
      <c r="L541" s="80"/>
      <c r="M541" s="80"/>
      <c r="N541" s="80"/>
      <c r="O541" s="80"/>
      <c r="P541" s="6"/>
      <c r="Q541" s="6"/>
      <c r="R541" s="6"/>
      <c r="S541" s="6"/>
      <c r="T541" s="6"/>
      <c r="U541" s="6"/>
      <c r="V541" s="6"/>
      <c r="W541" s="7"/>
      <c r="X541" s="7"/>
      <c r="Y541" s="7"/>
      <c r="Z541" s="7"/>
    </row>
    <row r="542">
      <c r="A542" s="6"/>
      <c r="B542" s="6"/>
      <c r="C542" s="6"/>
      <c r="D542" s="6"/>
      <c r="E542" s="6"/>
      <c r="F542" s="6"/>
      <c r="G542" s="6"/>
      <c r="H542" s="6"/>
      <c r="I542" s="6"/>
      <c r="J542" s="6"/>
      <c r="K542" s="6"/>
      <c r="L542" s="80"/>
      <c r="M542" s="80"/>
      <c r="N542" s="80"/>
      <c r="O542" s="80"/>
      <c r="P542" s="6"/>
      <c r="Q542" s="6"/>
      <c r="R542" s="6"/>
      <c r="S542" s="6"/>
      <c r="T542" s="6"/>
      <c r="U542" s="6"/>
      <c r="V542" s="6"/>
      <c r="W542" s="7"/>
      <c r="X542" s="7"/>
      <c r="Y542" s="7"/>
      <c r="Z542" s="7"/>
    </row>
    <row r="543">
      <c r="A543" s="6"/>
      <c r="B543" s="6"/>
      <c r="C543" s="6"/>
      <c r="D543" s="6"/>
      <c r="E543" s="6"/>
      <c r="F543" s="6"/>
      <c r="G543" s="6"/>
      <c r="H543" s="6"/>
      <c r="I543" s="6"/>
      <c r="J543" s="6"/>
      <c r="K543" s="6"/>
      <c r="L543" s="80"/>
      <c r="M543" s="80"/>
      <c r="N543" s="80"/>
      <c r="O543" s="80"/>
      <c r="P543" s="6"/>
      <c r="Q543" s="6"/>
      <c r="R543" s="6"/>
      <c r="S543" s="6"/>
      <c r="T543" s="6"/>
      <c r="U543" s="6"/>
      <c r="V543" s="6"/>
      <c r="W543" s="7"/>
      <c r="X543" s="7"/>
      <c r="Y543" s="7"/>
      <c r="Z543" s="7"/>
    </row>
    <row r="544">
      <c r="A544" s="6"/>
      <c r="B544" s="6"/>
      <c r="C544" s="6"/>
      <c r="D544" s="6"/>
      <c r="E544" s="6"/>
      <c r="F544" s="6"/>
      <c r="G544" s="6"/>
      <c r="H544" s="6"/>
      <c r="I544" s="6"/>
      <c r="J544" s="6"/>
      <c r="K544" s="6"/>
      <c r="L544" s="80"/>
      <c r="M544" s="80"/>
      <c r="N544" s="80"/>
      <c r="O544" s="80"/>
      <c r="P544" s="6"/>
      <c r="Q544" s="6"/>
      <c r="R544" s="6"/>
      <c r="S544" s="6"/>
      <c r="T544" s="6"/>
      <c r="U544" s="6"/>
      <c r="V544" s="6"/>
      <c r="W544" s="7"/>
      <c r="X544" s="7"/>
      <c r="Y544" s="7"/>
      <c r="Z544" s="7"/>
    </row>
    <row r="545">
      <c r="A545" s="6"/>
      <c r="B545" s="6"/>
      <c r="C545" s="6"/>
      <c r="D545" s="6"/>
      <c r="E545" s="6"/>
      <c r="F545" s="6"/>
      <c r="G545" s="6"/>
      <c r="H545" s="6"/>
      <c r="I545" s="6"/>
      <c r="J545" s="6"/>
      <c r="K545" s="6"/>
      <c r="L545" s="80"/>
      <c r="M545" s="80"/>
      <c r="N545" s="80"/>
      <c r="O545" s="80"/>
      <c r="P545" s="6"/>
      <c r="Q545" s="6"/>
      <c r="R545" s="6"/>
      <c r="S545" s="6"/>
      <c r="T545" s="6"/>
      <c r="U545" s="6"/>
      <c r="V545" s="6"/>
      <c r="W545" s="7"/>
      <c r="X545" s="7"/>
      <c r="Y545" s="7"/>
      <c r="Z545" s="7"/>
    </row>
    <row r="546">
      <c r="A546" s="6"/>
      <c r="B546" s="6"/>
      <c r="C546" s="6"/>
      <c r="D546" s="6"/>
      <c r="E546" s="6"/>
      <c r="F546" s="6"/>
      <c r="G546" s="6"/>
      <c r="H546" s="6"/>
      <c r="I546" s="6"/>
      <c r="J546" s="6"/>
      <c r="K546" s="6"/>
      <c r="L546" s="80"/>
      <c r="M546" s="80"/>
      <c r="N546" s="80"/>
      <c r="O546" s="80"/>
      <c r="P546" s="6"/>
      <c r="Q546" s="6"/>
      <c r="R546" s="6"/>
      <c r="S546" s="6"/>
      <c r="T546" s="6"/>
      <c r="U546" s="6"/>
      <c r="V546" s="6"/>
      <c r="W546" s="7"/>
      <c r="X546" s="7"/>
      <c r="Y546" s="7"/>
      <c r="Z546" s="7"/>
    </row>
    <row r="547">
      <c r="A547" s="6"/>
      <c r="B547" s="6"/>
      <c r="C547" s="6"/>
      <c r="D547" s="6"/>
      <c r="E547" s="6"/>
      <c r="F547" s="6"/>
      <c r="G547" s="6"/>
      <c r="H547" s="6"/>
      <c r="I547" s="6"/>
      <c r="J547" s="6"/>
      <c r="K547" s="6"/>
      <c r="L547" s="80"/>
      <c r="M547" s="80"/>
      <c r="N547" s="80"/>
      <c r="O547" s="80"/>
      <c r="P547" s="6"/>
      <c r="Q547" s="6"/>
      <c r="R547" s="6"/>
      <c r="S547" s="6"/>
      <c r="T547" s="6"/>
      <c r="U547" s="6"/>
      <c r="V547" s="6"/>
      <c r="W547" s="7"/>
      <c r="X547" s="7"/>
      <c r="Y547" s="7"/>
      <c r="Z547" s="7"/>
    </row>
    <row r="548">
      <c r="A548" s="6"/>
      <c r="B548" s="6"/>
      <c r="C548" s="6"/>
      <c r="D548" s="6"/>
      <c r="E548" s="6"/>
      <c r="F548" s="6"/>
      <c r="G548" s="6"/>
      <c r="H548" s="6"/>
      <c r="I548" s="6"/>
      <c r="J548" s="6"/>
      <c r="K548" s="6"/>
      <c r="L548" s="80"/>
      <c r="M548" s="80"/>
      <c r="N548" s="80"/>
      <c r="O548" s="80"/>
      <c r="P548" s="6"/>
      <c r="Q548" s="6"/>
      <c r="R548" s="6"/>
      <c r="S548" s="6"/>
      <c r="T548" s="6"/>
      <c r="U548" s="6"/>
      <c r="V548" s="6"/>
      <c r="W548" s="7"/>
      <c r="X548" s="7"/>
      <c r="Y548" s="7"/>
      <c r="Z548" s="7"/>
    </row>
    <row r="549">
      <c r="A549" s="6"/>
      <c r="B549" s="6"/>
      <c r="C549" s="6"/>
      <c r="D549" s="6"/>
      <c r="E549" s="6"/>
      <c r="F549" s="6"/>
      <c r="G549" s="6"/>
      <c r="H549" s="6"/>
      <c r="I549" s="6"/>
      <c r="J549" s="6"/>
      <c r="K549" s="6"/>
      <c r="L549" s="80"/>
      <c r="M549" s="80"/>
      <c r="N549" s="80"/>
      <c r="O549" s="80"/>
      <c r="P549" s="6"/>
      <c r="Q549" s="6"/>
      <c r="R549" s="6"/>
      <c r="S549" s="6"/>
      <c r="T549" s="6"/>
      <c r="U549" s="6"/>
      <c r="V549" s="6"/>
      <c r="W549" s="7"/>
      <c r="X549" s="7"/>
      <c r="Y549" s="7"/>
      <c r="Z549" s="7"/>
    </row>
    <row r="550">
      <c r="A550" s="6"/>
      <c r="B550" s="6"/>
      <c r="C550" s="6"/>
      <c r="D550" s="6"/>
      <c r="E550" s="6"/>
      <c r="F550" s="6"/>
      <c r="G550" s="6"/>
      <c r="H550" s="6"/>
      <c r="I550" s="6"/>
      <c r="J550" s="6"/>
      <c r="K550" s="6"/>
      <c r="L550" s="80"/>
      <c r="M550" s="80"/>
      <c r="N550" s="80"/>
      <c r="O550" s="80"/>
      <c r="P550" s="6"/>
      <c r="Q550" s="6"/>
      <c r="R550" s="6"/>
      <c r="S550" s="6"/>
      <c r="T550" s="6"/>
      <c r="U550" s="6"/>
      <c r="V550" s="6"/>
      <c r="W550" s="7"/>
      <c r="X550" s="7"/>
      <c r="Y550" s="7"/>
      <c r="Z550" s="7"/>
    </row>
    <row r="551">
      <c r="A551" s="6"/>
      <c r="B551" s="6"/>
      <c r="C551" s="6"/>
      <c r="D551" s="6"/>
      <c r="E551" s="6"/>
      <c r="F551" s="6"/>
      <c r="G551" s="6"/>
      <c r="H551" s="6"/>
      <c r="I551" s="6"/>
      <c r="J551" s="6"/>
      <c r="K551" s="6"/>
      <c r="L551" s="80"/>
      <c r="M551" s="80"/>
      <c r="N551" s="80"/>
      <c r="O551" s="80"/>
      <c r="P551" s="6"/>
      <c r="Q551" s="6"/>
      <c r="R551" s="6"/>
      <c r="S551" s="6"/>
      <c r="T551" s="6"/>
      <c r="U551" s="6"/>
      <c r="V551" s="6"/>
      <c r="W551" s="7"/>
      <c r="X551" s="7"/>
      <c r="Y551" s="7"/>
      <c r="Z551" s="7"/>
    </row>
    <row r="552">
      <c r="A552" s="6"/>
      <c r="B552" s="6"/>
      <c r="C552" s="6"/>
      <c r="D552" s="6"/>
      <c r="E552" s="6"/>
      <c r="F552" s="6"/>
      <c r="G552" s="6"/>
      <c r="H552" s="6"/>
      <c r="I552" s="6"/>
      <c r="J552" s="6"/>
      <c r="K552" s="6"/>
      <c r="L552" s="80"/>
      <c r="M552" s="80"/>
      <c r="N552" s="80"/>
      <c r="O552" s="80"/>
      <c r="P552" s="6"/>
      <c r="Q552" s="6"/>
      <c r="R552" s="6"/>
      <c r="S552" s="6"/>
      <c r="T552" s="6"/>
      <c r="U552" s="6"/>
      <c r="V552" s="6"/>
      <c r="W552" s="7"/>
      <c r="X552" s="7"/>
      <c r="Y552" s="7"/>
      <c r="Z552" s="7"/>
    </row>
    <row r="553">
      <c r="A553" s="6"/>
      <c r="B553" s="6"/>
      <c r="C553" s="6"/>
      <c r="D553" s="6"/>
      <c r="E553" s="6"/>
      <c r="F553" s="6"/>
      <c r="G553" s="6"/>
      <c r="H553" s="6"/>
      <c r="I553" s="6"/>
      <c r="J553" s="6"/>
      <c r="K553" s="6"/>
      <c r="L553" s="80"/>
      <c r="M553" s="80"/>
      <c r="N553" s="80"/>
      <c r="O553" s="80"/>
      <c r="P553" s="6"/>
      <c r="Q553" s="6"/>
      <c r="R553" s="6"/>
      <c r="S553" s="6"/>
      <c r="T553" s="6"/>
      <c r="U553" s="6"/>
      <c r="V553" s="6"/>
      <c r="W553" s="7"/>
      <c r="X553" s="7"/>
      <c r="Y553" s="7"/>
      <c r="Z553" s="7"/>
    </row>
    <row r="554">
      <c r="A554" s="6"/>
      <c r="B554" s="6"/>
      <c r="C554" s="6"/>
      <c r="D554" s="6"/>
      <c r="E554" s="6"/>
      <c r="F554" s="6"/>
      <c r="G554" s="6"/>
      <c r="H554" s="6"/>
      <c r="I554" s="6"/>
      <c r="J554" s="6"/>
      <c r="K554" s="6"/>
      <c r="L554" s="80"/>
      <c r="M554" s="80"/>
      <c r="N554" s="80"/>
      <c r="O554" s="80"/>
      <c r="P554" s="6"/>
      <c r="Q554" s="6"/>
      <c r="R554" s="6"/>
      <c r="S554" s="6"/>
      <c r="T554" s="6"/>
      <c r="U554" s="6"/>
      <c r="V554" s="6"/>
      <c r="W554" s="7"/>
      <c r="X554" s="7"/>
      <c r="Y554" s="7"/>
      <c r="Z554" s="7"/>
    </row>
    <row r="555">
      <c r="A555" s="6"/>
      <c r="B555" s="6"/>
      <c r="C555" s="6"/>
      <c r="D555" s="6"/>
      <c r="E555" s="6"/>
      <c r="F555" s="6"/>
      <c r="G555" s="6"/>
      <c r="H555" s="6"/>
      <c r="I555" s="6"/>
      <c r="J555" s="6"/>
      <c r="K555" s="6"/>
      <c r="L555" s="80"/>
      <c r="M555" s="80"/>
      <c r="N555" s="80"/>
      <c r="O555" s="80"/>
      <c r="P555" s="6"/>
      <c r="Q555" s="6"/>
      <c r="R555" s="6"/>
      <c r="S555" s="6"/>
      <c r="T555" s="6"/>
      <c r="U555" s="6"/>
      <c r="V555" s="6"/>
      <c r="W555" s="7"/>
      <c r="X555" s="7"/>
      <c r="Y555" s="7"/>
      <c r="Z555" s="7"/>
    </row>
    <row r="556">
      <c r="A556" s="6"/>
      <c r="B556" s="6"/>
      <c r="C556" s="6"/>
      <c r="D556" s="6"/>
      <c r="E556" s="6"/>
      <c r="F556" s="6"/>
      <c r="G556" s="6"/>
      <c r="H556" s="6"/>
      <c r="I556" s="6"/>
      <c r="J556" s="6"/>
      <c r="K556" s="6"/>
      <c r="L556" s="80"/>
      <c r="M556" s="80"/>
      <c r="N556" s="80"/>
      <c r="O556" s="80"/>
      <c r="P556" s="6"/>
      <c r="Q556" s="6"/>
      <c r="R556" s="6"/>
      <c r="S556" s="6"/>
      <c r="T556" s="6"/>
      <c r="U556" s="6"/>
      <c r="V556" s="6"/>
      <c r="W556" s="7"/>
      <c r="X556" s="7"/>
      <c r="Y556" s="7"/>
      <c r="Z556" s="7"/>
    </row>
    <row r="557">
      <c r="A557" s="6"/>
      <c r="B557" s="6"/>
      <c r="C557" s="6"/>
      <c r="D557" s="6"/>
      <c r="E557" s="6"/>
      <c r="F557" s="6"/>
      <c r="G557" s="6"/>
      <c r="H557" s="6"/>
      <c r="I557" s="6"/>
      <c r="J557" s="6"/>
      <c r="K557" s="6"/>
      <c r="L557" s="80"/>
      <c r="M557" s="80"/>
      <c r="N557" s="80"/>
      <c r="O557" s="80"/>
      <c r="P557" s="6"/>
      <c r="Q557" s="6"/>
      <c r="R557" s="6"/>
      <c r="S557" s="6"/>
      <c r="T557" s="6"/>
      <c r="U557" s="6"/>
      <c r="V557" s="6"/>
      <c r="W557" s="7"/>
      <c r="X557" s="7"/>
      <c r="Y557" s="7"/>
      <c r="Z557" s="7"/>
    </row>
    <row r="558">
      <c r="A558" s="6"/>
      <c r="B558" s="6"/>
      <c r="C558" s="6"/>
      <c r="D558" s="6"/>
      <c r="E558" s="6"/>
      <c r="F558" s="6"/>
      <c r="G558" s="6"/>
      <c r="H558" s="6"/>
      <c r="I558" s="6"/>
      <c r="J558" s="6"/>
      <c r="K558" s="6"/>
      <c r="L558" s="80"/>
      <c r="M558" s="80"/>
      <c r="N558" s="80"/>
      <c r="O558" s="80"/>
      <c r="P558" s="6"/>
      <c r="Q558" s="6"/>
      <c r="R558" s="6"/>
      <c r="S558" s="6"/>
      <c r="T558" s="6"/>
      <c r="U558" s="6"/>
      <c r="V558" s="6"/>
      <c r="W558" s="7"/>
      <c r="X558" s="7"/>
      <c r="Y558" s="7"/>
      <c r="Z558" s="7"/>
    </row>
    <row r="559">
      <c r="A559" s="6"/>
      <c r="B559" s="6"/>
      <c r="C559" s="6"/>
      <c r="D559" s="6"/>
      <c r="E559" s="6"/>
      <c r="F559" s="6"/>
      <c r="G559" s="6"/>
      <c r="H559" s="6"/>
      <c r="I559" s="6"/>
      <c r="J559" s="6"/>
      <c r="K559" s="6"/>
      <c r="L559" s="80"/>
      <c r="M559" s="80"/>
      <c r="N559" s="80"/>
      <c r="O559" s="80"/>
      <c r="P559" s="6"/>
      <c r="Q559" s="6"/>
      <c r="R559" s="6"/>
      <c r="S559" s="6"/>
      <c r="T559" s="6"/>
      <c r="U559" s="6"/>
      <c r="V559" s="6"/>
      <c r="W559" s="7"/>
      <c r="X559" s="7"/>
      <c r="Y559" s="7"/>
      <c r="Z559" s="7"/>
    </row>
    <row r="560">
      <c r="A560" s="6"/>
      <c r="B560" s="6"/>
      <c r="C560" s="6"/>
      <c r="D560" s="6"/>
      <c r="E560" s="6"/>
      <c r="F560" s="6"/>
      <c r="G560" s="6"/>
      <c r="H560" s="6"/>
      <c r="I560" s="6"/>
      <c r="J560" s="6"/>
      <c r="K560" s="6"/>
      <c r="L560" s="80"/>
      <c r="M560" s="80"/>
      <c r="N560" s="80"/>
      <c r="O560" s="80"/>
      <c r="P560" s="6"/>
      <c r="Q560" s="6"/>
      <c r="R560" s="6"/>
      <c r="S560" s="6"/>
      <c r="T560" s="6"/>
      <c r="U560" s="6"/>
      <c r="V560" s="6"/>
      <c r="W560" s="7"/>
      <c r="X560" s="7"/>
      <c r="Y560" s="7"/>
      <c r="Z560" s="7"/>
    </row>
    <row r="561">
      <c r="A561" s="6"/>
      <c r="B561" s="6"/>
      <c r="C561" s="6"/>
      <c r="D561" s="6"/>
      <c r="E561" s="6"/>
      <c r="F561" s="6"/>
      <c r="G561" s="6"/>
      <c r="H561" s="6"/>
      <c r="I561" s="6"/>
      <c r="J561" s="6"/>
      <c r="K561" s="6"/>
      <c r="L561" s="80"/>
      <c r="M561" s="80"/>
      <c r="N561" s="80"/>
      <c r="O561" s="80"/>
      <c r="P561" s="6"/>
      <c r="Q561" s="6"/>
      <c r="R561" s="6"/>
      <c r="S561" s="6"/>
      <c r="T561" s="6"/>
      <c r="U561" s="6"/>
      <c r="V561" s="6"/>
      <c r="W561" s="7"/>
      <c r="X561" s="7"/>
      <c r="Y561" s="7"/>
      <c r="Z561" s="7"/>
    </row>
    <row r="562">
      <c r="A562" s="6"/>
      <c r="B562" s="6"/>
      <c r="C562" s="6"/>
      <c r="D562" s="6"/>
      <c r="E562" s="6"/>
      <c r="F562" s="6"/>
      <c r="G562" s="6"/>
      <c r="H562" s="6"/>
      <c r="I562" s="6"/>
      <c r="J562" s="6"/>
      <c r="K562" s="6"/>
      <c r="L562" s="80"/>
      <c r="M562" s="80"/>
      <c r="N562" s="80"/>
      <c r="O562" s="80"/>
      <c r="P562" s="6"/>
      <c r="Q562" s="6"/>
      <c r="R562" s="6"/>
      <c r="S562" s="6"/>
      <c r="T562" s="6"/>
      <c r="U562" s="6"/>
      <c r="V562" s="6"/>
      <c r="W562" s="7"/>
      <c r="X562" s="7"/>
      <c r="Y562" s="7"/>
      <c r="Z562" s="7"/>
    </row>
    <row r="563">
      <c r="A563" s="6"/>
      <c r="B563" s="6"/>
      <c r="C563" s="6"/>
      <c r="D563" s="6"/>
      <c r="E563" s="6"/>
      <c r="F563" s="6"/>
      <c r="G563" s="6"/>
      <c r="H563" s="6"/>
      <c r="I563" s="6"/>
      <c r="J563" s="6"/>
      <c r="K563" s="6"/>
      <c r="L563" s="80"/>
      <c r="M563" s="80"/>
      <c r="N563" s="80"/>
      <c r="O563" s="80"/>
      <c r="P563" s="6"/>
      <c r="Q563" s="6"/>
      <c r="R563" s="6"/>
      <c r="S563" s="6"/>
      <c r="T563" s="6"/>
      <c r="U563" s="6"/>
      <c r="V563" s="6"/>
      <c r="W563" s="7"/>
      <c r="X563" s="7"/>
      <c r="Y563" s="7"/>
      <c r="Z563" s="7"/>
    </row>
    <row r="564">
      <c r="A564" s="6"/>
      <c r="B564" s="6"/>
      <c r="C564" s="6"/>
      <c r="D564" s="6"/>
      <c r="E564" s="6"/>
      <c r="F564" s="6"/>
      <c r="G564" s="6"/>
      <c r="H564" s="6"/>
      <c r="I564" s="6"/>
      <c r="J564" s="6"/>
      <c r="K564" s="6"/>
      <c r="L564" s="80"/>
      <c r="M564" s="80"/>
      <c r="N564" s="80"/>
      <c r="O564" s="80"/>
      <c r="P564" s="6"/>
      <c r="Q564" s="6"/>
      <c r="R564" s="6"/>
      <c r="S564" s="6"/>
      <c r="T564" s="6"/>
      <c r="U564" s="6"/>
      <c r="V564" s="6"/>
      <c r="W564" s="7"/>
      <c r="X564" s="7"/>
      <c r="Y564" s="7"/>
      <c r="Z564" s="7"/>
    </row>
    <row r="565">
      <c r="A565" s="6"/>
      <c r="B565" s="6"/>
      <c r="C565" s="6"/>
      <c r="D565" s="6"/>
      <c r="E565" s="6"/>
      <c r="F565" s="6"/>
      <c r="G565" s="6"/>
      <c r="H565" s="6"/>
      <c r="I565" s="6"/>
      <c r="J565" s="6"/>
      <c r="K565" s="6"/>
      <c r="L565" s="80"/>
      <c r="M565" s="80"/>
      <c r="N565" s="80"/>
      <c r="O565" s="80"/>
      <c r="P565" s="6"/>
      <c r="Q565" s="6"/>
      <c r="R565" s="6"/>
      <c r="S565" s="6"/>
      <c r="T565" s="6"/>
      <c r="U565" s="6"/>
      <c r="V565" s="6"/>
      <c r="W565" s="7"/>
      <c r="X565" s="7"/>
      <c r="Y565" s="7"/>
      <c r="Z565" s="7"/>
    </row>
    <row r="566">
      <c r="A566" s="6"/>
      <c r="B566" s="6"/>
      <c r="C566" s="6"/>
      <c r="D566" s="6"/>
      <c r="E566" s="6"/>
      <c r="F566" s="6"/>
      <c r="G566" s="6"/>
      <c r="H566" s="6"/>
      <c r="I566" s="6"/>
      <c r="J566" s="6"/>
      <c r="K566" s="6"/>
      <c r="L566" s="80"/>
      <c r="M566" s="80"/>
      <c r="N566" s="80"/>
      <c r="O566" s="80"/>
      <c r="P566" s="6"/>
      <c r="Q566" s="6"/>
      <c r="R566" s="6"/>
      <c r="S566" s="6"/>
      <c r="T566" s="6"/>
      <c r="U566" s="6"/>
      <c r="V566" s="6"/>
      <c r="W566" s="7"/>
      <c r="X566" s="7"/>
      <c r="Y566" s="7"/>
      <c r="Z566" s="7"/>
    </row>
    <row r="567">
      <c r="A567" s="6"/>
      <c r="B567" s="6"/>
      <c r="C567" s="6"/>
      <c r="D567" s="6"/>
      <c r="E567" s="6"/>
      <c r="F567" s="6"/>
      <c r="G567" s="6"/>
      <c r="H567" s="6"/>
      <c r="I567" s="6"/>
      <c r="J567" s="6"/>
      <c r="K567" s="6"/>
      <c r="L567" s="80"/>
      <c r="M567" s="80"/>
      <c r="N567" s="80"/>
      <c r="O567" s="80"/>
      <c r="P567" s="6"/>
      <c r="Q567" s="6"/>
      <c r="R567" s="6"/>
      <c r="S567" s="6"/>
      <c r="T567" s="6"/>
      <c r="U567" s="6"/>
      <c r="V567" s="6"/>
      <c r="W567" s="7"/>
      <c r="X567" s="7"/>
      <c r="Y567" s="7"/>
      <c r="Z567" s="7"/>
    </row>
    <row r="568">
      <c r="A568" s="6"/>
      <c r="B568" s="6"/>
      <c r="C568" s="6"/>
      <c r="D568" s="6"/>
      <c r="E568" s="6"/>
      <c r="F568" s="6"/>
      <c r="G568" s="6"/>
      <c r="H568" s="6"/>
      <c r="I568" s="6"/>
      <c r="J568" s="6"/>
      <c r="K568" s="6"/>
      <c r="L568" s="80"/>
      <c r="M568" s="80"/>
      <c r="N568" s="80"/>
      <c r="O568" s="80"/>
      <c r="P568" s="6"/>
      <c r="Q568" s="6"/>
      <c r="R568" s="6"/>
      <c r="S568" s="6"/>
      <c r="T568" s="6"/>
      <c r="U568" s="6"/>
      <c r="V568" s="6"/>
      <c r="W568" s="7"/>
      <c r="X568" s="7"/>
      <c r="Y568" s="7"/>
      <c r="Z568" s="7"/>
    </row>
    <row r="569">
      <c r="A569" s="6"/>
      <c r="B569" s="6"/>
      <c r="C569" s="6"/>
      <c r="D569" s="6"/>
      <c r="E569" s="6"/>
      <c r="F569" s="6"/>
      <c r="G569" s="6"/>
      <c r="H569" s="6"/>
      <c r="I569" s="6"/>
      <c r="J569" s="6"/>
      <c r="K569" s="6"/>
      <c r="L569" s="80"/>
      <c r="M569" s="80"/>
      <c r="N569" s="80"/>
      <c r="O569" s="80"/>
      <c r="P569" s="6"/>
      <c r="Q569" s="6"/>
      <c r="R569" s="6"/>
      <c r="S569" s="6"/>
      <c r="T569" s="6"/>
      <c r="U569" s="6"/>
      <c r="V569" s="6"/>
      <c r="W569" s="7"/>
      <c r="X569" s="7"/>
      <c r="Y569" s="7"/>
      <c r="Z569" s="7"/>
    </row>
    <row r="570">
      <c r="A570" s="6"/>
      <c r="B570" s="6"/>
      <c r="C570" s="6"/>
      <c r="D570" s="6"/>
      <c r="E570" s="6"/>
      <c r="F570" s="6"/>
      <c r="G570" s="6"/>
      <c r="H570" s="6"/>
      <c r="I570" s="6"/>
      <c r="J570" s="6"/>
      <c r="K570" s="6"/>
      <c r="L570" s="80"/>
      <c r="M570" s="80"/>
      <c r="N570" s="80"/>
      <c r="O570" s="80"/>
      <c r="P570" s="6"/>
      <c r="Q570" s="6"/>
      <c r="R570" s="6"/>
      <c r="S570" s="6"/>
      <c r="T570" s="6"/>
      <c r="U570" s="6"/>
      <c r="V570" s="6"/>
      <c r="W570" s="7"/>
      <c r="X570" s="7"/>
      <c r="Y570" s="7"/>
      <c r="Z570" s="7"/>
    </row>
    <row r="571">
      <c r="A571" s="6"/>
      <c r="B571" s="6"/>
      <c r="C571" s="6"/>
      <c r="D571" s="6"/>
      <c r="E571" s="6"/>
      <c r="F571" s="6"/>
      <c r="G571" s="6"/>
      <c r="H571" s="6"/>
      <c r="I571" s="6"/>
      <c r="J571" s="6"/>
      <c r="K571" s="6"/>
      <c r="L571" s="80"/>
      <c r="M571" s="80"/>
      <c r="N571" s="80"/>
      <c r="O571" s="80"/>
      <c r="P571" s="6"/>
      <c r="Q571" s="6"/>
      <c r="R571" s="6"/>
      <c r="S571" s="6"/>
      <c r="T571" s="6"/>
      <c r="U571" s="6"/>
      <c r="V571" s="6"/>
      <c r="W571" s="7"/>
      <c r="X571" s="7"/>
      <c r="Y571" s="7"/>
      <c r="Z571" s="7"/>
    </row>
    <row r="572">
      <c r="A572" s="6"/>
      <c r="B572" s="6"/>
      <c r="C572" s="6"/>
      <c r="D572" s="6"/>
      <c r="E572" s="6"/>
      <c r="F572" s="6"/>
      <c r="G572" s="6"/>
      <c r="H572" s="6"/>
      <c r="I572" s="6"/>
      <c r="J572" s="6"/>
      <c r="K572" s="6"/>
      <c r="L572" s="80"/>
      <c r="M572" s="80"/>
      <c r="N572" s="80"/>
      <c r="O572" s="80"/>
      <c r="P572" s="6"/>
      <c r="Q572" s="6"/>
      <c r="R572" s="6"/>
      <c r="S572" s="6"/>
      <c r="T572" s="6"/>
      <c r="U572" s="6"/>
      <c r="V572" s="6"/>
      <c r="W572" s="7"/>
      <c r="X572" s="7"/>
      <c r="Y572" s="7"/>
      <c r="Z572" s="7"/>
    </row>
    <row r="573">
      <c r="A573" s="6"/>
      <c r="B573" s="6"/>
      <c r="C573" s="6"/>
      <c r="D573" s="6"/>
      <c r="E573" s="6"/>
      <c r="F573" s="6"/>
      <c r="G573" s="6"/>
      <c r="H573" s="6"/>
      <c r="I573" s="6"/>
      <c r="J573" s="6"/>
      <c r="K573" s="6"/>
      <c r="L573" s="80"/>
      <c r="M573" s="80"/>
      <c r="N573" s="80"/>
      <c r="O573" s="80"/>
      <c r="P573" s="6"/>
      <c r="Q573" s="6"/>
      <c r="R573" s="6"/>
      <c r="S573" s="6"/>
      <c r="T573" s="6"/>
      <c r="U573" s="6"/>
      <c r="V573" s="6"/>
      <c r="W573" s="7"/>
      <c r="X573" s="7"/>
      <c r="Y573" s="7"/>
      <c r="Z573" s="7"/>
    </row>
    <row r="574">
      <c r="A574" s="6"/>
      <c r="B574" s="6"/>
      <c r="C574" s="6"/>
      <c r="D574" s="6"/>
      <c r="E574" s="6"/>
      <c r="F574" s="6"/>
      <c r="G574" s="6"/>
      <c r="H574" s="6"/>
      <c r="I574" s="6"/>
      <c r="J574" s="6"/>
      <c r="K574" s="6"/>
      <c r="L574" s="80"/>
      <c r="M574" s="80"/>
      <c r="N574" s="80"/>
      <c r="O574" s="80"/>
      <c r="P574" s="6"/>
      <c r="Q574" s="6"/>
      <c r="R574" s="6"/>
      <c r="S574" s="6"/>
      <c r="T574" s="6"/>
      <c r="U574" s="6"/>
      <c r="V574" s="6"/>
      <c r="W574" s="7"/>
      <c r="X574" s="7"/>
      <c r="Y574" s="7"/>
      <c r="Z574" s="7"/>
    </row>
    <row r="575">
      <c r="A575" s="6"/>
      <c r="B575" s="6"/>
      <c r="C575" s="6"/>
      <c r="D575" s="6"/>
      <c r="E575" s="6"/>
      <c r="F575" s="6"/>
      <c r="G575" s="6"/>
      <c r="H575" s="6"/>
      <c r="I575" s="6"/>
      <c r="J575" s="6"/>
      <c r="K575" s="6"/>
      <c r="L575" s="80"/>
      <c r="M575" s="80"/>
      <c r="N575" s="80"/>
      <c r="O575" s="80"/>
      <c r="P575" s="6"/>
      <c r="Q575" s="6"/>
      <c r="R575" s="6"/>
      <c r="S575" s="6"/>
      <c r="T575" s="6"/>
      <c r="U575" s="6"/>
      <c r="V575" s="6"/>
      <c r="W575" s="7"/>
      <c r="X575" s="7"/>
      <c r="Y575" s="7"/>
      <c r="Z575" s="7"/>
    </row>
    <row r="576">
      <c r="A576" s="6"/>
      <c r="B576" s="6"/>
      <c r="C576" s="6"/>
      <c r="D576" s="6"/>
      <c r="E576" s="6"/>
      <c r="F576" s="6"/>
      <c r="G576" s="6"/>
      <c r="H576" s="6"/>
      <c r="I576" s="6"/>
      <c r="J576" s="6"/>
      <c r="K576" s="6"/>
      <c r="L576" s="80"/>
      <c r="M576" s="80"/>
      <c r="N576" s="80"/>
      <c r="O576" s="80"/>
      <c r="P576" s="6"/>
      <c r="Q576" s="6"/>
      <c r="R576" s="6"/>
      <c r="S576" s="6"/>
      <c r="T576" s="6"/>
      <c r="U576" s="6"/>
      <c r="V576" s="6"/>
      <c r="W576" s="7"/>
      <c r="X576" s="7"/>
      <c r="Y576" s="7"/>
      <c r="Z576" s="7"/>
    </row>
    <row r="577">
      <c r="A577" s="6"/>
      <c r="B577" s="6"/>
      <c r="C577" s="6"/>
      <c r="D577" s="6"/>
      <c r="E577" s="6"/>
      <c r="F577" s="6"/>
      <c r="G577" s="6"/>
      <c r="H577" s="6"/>
      <c r="I577" s="6"/>
      <c r="J577" s="6"/>
      <c r="K577" s="6"/>
      <c r="L577" s="80"/>
      <c r="M577" s="80"/>
      <c r="N577" s="80"/>
      <c r="O577" s="80"/>
      <c r="P577" s="6"/>
      <c r="Q577" s="6"/>
      <c r="R577" s="6"/>
      <c r="S577" s="6"/>
      <c r="T577" s="6"/>
      <c r="U577" s="6"/>
      <c r="V577" s="6"/>
      <c r="W577" s="7"/>
      <c r="X577" s="7"/>
      <c r="Y577" s="7"/>
      <c r="Z577" s="7"/>
    </row>
    <row r="578">
      <c r="A578" s="6"/>
      <c r="B578" s="6"/>
      <c r="C578" s="6"/>
      <c r="D578" s="6"/>
      <c r="E578" s="6"/>
      <c r="F578" s="6"/>
      <c r="G578" s="6"/>
      <c r="H578" s="6"/>
      <c r="I578" s="6"/>
      <c r="J578" s="6"/>
      <c r="K578" s="6"/>
      <c r="L578" s="80"/>
      <c r="M578" s="80"/>
      <c r="N578" s="80"/>
      <c r="O578" s="80"/>
      <c r="P578" s="6"/>
      <c r="Q578" s="6"/>
      <c r="R578" s="6"/>
      <c r="S578" s="6"/>
      <c r="T578" s="6"/>
      <c r="U578" s="6"/>
      <c r="V578" s="6"/>
      <c r="W578" s="7"/>
      <c r="X578" s="7"/>
      <c r="Y578" s="7"/>
      <c r="Z578" s="7"/>
    </row>
    <row r="579">
      <c r="A579" s="6"/>
      <c r="B579" s="6"/>
      <c r="C579" s="6"/>
      <c r="D579" s="6"/>
      <c r="E579" s="6"/>
      <c r="F579" s="6"/>
      <c r="G579" s="6"/>
      <c r="H579" s="6"/>
      <c r="I579" s="6"/>
      <c r="J579" s="6"/>
      <c r="K579" s="6"/>
      <c r="L579" s="80"/>
      <c r="M579" s="80"/>
      <c r="N579" s="80"/>
      <c r="O579" s="80"/>
      <c r="P579" s="6"/>
      <c r="Q579" s="6"/>
      <c r="R579" s="6"/>
      <c r="S579" s="6"/>
      <c r="T579" s="6"/>
      <c r="U579" s="6"/>
      <c r="V579" s="6"/>
      <c r="W579" s="7"/>
      <c r="X579" s="7"/>
      <c r="Y579" s="7"/>
      <c r="Z579" s="7"/>
    </row>
    <row r="580">
      <c r="A580" s="6"/>
      <c r="B580" s="6"/>
      <c r="C580" s="6"/>
      <c r="D580" s="6"/>
      <c r="E580" s="6"/>
      <c r="F580" s="6"/>
      <c r="G580" s="6"/>
      <c r="H580" s="6"/>
      <c r="I580" s="6"/>
      <c r="J580" s="6"/>
      <c r="K580" s="6"/>
      <c r="L580" s="80"/>
      <c r="M580" s="80"/>
      <c r="N580" s="80"/>
      <c r="O580" s="80"/>
      <c r="P580" s="6"/>
      <c r="Q580" s="6"/>
      <c r="R580" s="6"/>
      <c r="S580" s="6"/>
      <c r="T580" s="6"/>
      <c r="U580" s="6"/>
      <c r="V580" s="6"/>
      <c r="W580" s="7"/>
      <c r="X580" s="7"/>
      <c r="Y580" s="7"/>
      <c r="Z580" s="7"/>
    </row>
    <row r="581">
      <c r="A581" s="6"/>
      <c r="B581" s="6"/>
      <c r="C581" s="6"/>
      <c r="D581" s="6"/>
      <c r="E581" s="6"/>
      <c r="F581" s="6"/>
      <c r="G581" s="6"/>
      <c r="H581" s="6"/>
      <c r="I581" s="6"/>
      <c r="J581" s="6"/>
      <c r="K581" s="6"/>
      <c r="L581" s="80"/>
      <c r="M581" s="80"/>
      <c r="N581" s="80"/>
      <c r="O581" s="80"/>
      <c r="P581" s="6"/>
      <c r="Q581" s="6"/>
      <c r="R581" s="6"/>
      <c r="S581" s="6"/>
      <c r="T581" s="6"/>
      <c r="U581" s="6"/>
      <c r="V581" s="6"/>
      <c r="W581" s="7"/>
      <c r="X581" s="7"/>
      <c r="Y581" s="7"/>
      <c r="Z581" s="7"/>
    </row>
    <row r="582">
      <c r="A582" s="6"/>
      <c r="B582" s="6"/>
      <c r="C582" s="6"/>
      <c r="D582" s="6"/>
      <c r="E582" s="6"/>
      <c r="F582" s="6"/>
      <c r="G582" s="6"/>
      <c r="H582" s="6"/>
      <c r="I582" s="6"/>
      <c r="J582" s="6"/>
      <c r="K582" s="6"/>
      <c r="L582" s="80"/>
      <c r="M582" s="80"/>
      <c r="N582" s="80"/>
      <c r="O582" s="80"/>
      <c r="P582" s="6"/>
      <c r="Q582" s="6"/>
      <c r="R582" s="6"/>
      <c r="S582" s="6"/>
      <c r="T582" s="6"/>
      <c r="U582" s="6"/>
      <c r="V582" s="6"/>
      <c r="W582" s="7"/>
      <c r="X582" s="7"/>
      <c r="Y582" s="7"/>
      <c r="Z582" s="7"/>
    </row>
    <row r="583">
      <c r="A583" s="6"/>
      <c r="B583" s="6"/>
      <c r="C583" s="6"/>
      <c r="D583" s="6"/>
      <c r="E583" s="6"/>
      <c r="F583" s="6"/>
      <c r="G583" s="6"/>
      <c r="H583" s="6"/>
      <c r="I583" s="6"/>
      <c r="J583" s="6"/>
      <c r="K583" s="6"/>
      <c r="L583" s="80"/>
      <c r="M583" s="80"/>
      <c r="N583" s="80"/>
      <c r="O583" s="80"/>
      <c r="P583" s="6"/>
      <c r="Q583" s="6"/>
      <c r="R583" s="6"/>
      <c r="S583" s="6"/>
      <c r="T583" s="6"/>
      <c r="U583" s="6"/>
      <c r="V583" s="6"/>
      <c r="W583" s="7"/>
      <c r="X583" s="7"/>
      <c r="Y583" s="7"/>
      <c r="Z583" s="7"/>
    </row>
    <row r="584">
      <c r="A584" s="6"/>
      <c r="B584" s="6"/>
      <c r="C584" s="6"/>
      <c r="D584" s="6"/>
      <c r="E584" s="6"/>
      <c r="F584" s="6"/>
      <c r="G584" s="6"/>
      <c r="H584" s="6"/>
      <c r="I584" s="6"/>
      <c r="J584" s="6"/>
      <c r="K584" s="6"/>
      <c r="L584" s="80"/>
      <c r="M584" s="80"/>
      <c r="N584" s="80"/>
      <c r="O584" s="80"/>
      <c r="P584" s="6"/>
      <c r="Q584" s="6"/>
      <c r="R584" s="6"/>
      <c r="S584" s="6"/>
      <c r="T584" s="6"/>
      <c r="U584" s="6"/>
      <c r="V584" s="6"/>
      <c r="W584" s="7"/>
      <c r="X584" s="7"/>
      <c r="Y584" s="7"/>
      <c r="Z584" s="7"/>
    </row>
    <row r="585">
      <c r="A585" s="6"/>
      <c r="B585" s="6"/>
      <c r="C585" s="6"/>
      <c r="D585" s="6"/>
      <c r="E585" s="6"/>
      <c r="F585" s="6"/>
      <c r="G585" s="6"/>
      <c r="H585" s="6"/>
      <c r="I585" s="6"/>
      <c r="J585" s="6"/>
      <c r="K585" s="6"/>
      <c r="L585" s="80"/>
      <c r="M585" s="80"/>
      <c r="N585" s="80"/>
      <c r="O585" s="80"/>
      <c r="P585" s="6"/>
      <c r="Q585" s="6"/>
      <c r="R585" s="6"/>
      <c r="S585" s="6"/>
      <c r="T585" s="6"/>
      <c r="U585" s="6"/>
      <c r="V585" s="6"/>
      <c r="W585" s="7"/>
      <c r="X585" s="7"/>
      <c r="Y585" s="7"/>
      <c r="Z585" s="7"/>
    </row>
    <row r="586">
      <c r="A586" s="6"/>
      <c r="B586" s="6"/>
      <c r="C586" s="6"/>
      <c r="D586" s="6"/>
      <c r="E586" s="6"/>
      <c r="F586" s="6"/>
      <c r="G586" s="6"/>
      <c r="H586" s="6"/>
      <c r="I586" s="6"/>
      <c r="J586" s="6"/>
      <c r="K586" s="6"/>
      <c r="L586" s="80"/>
      <c r="M586" s="80"/>
      <c r="N586" s="80"/>
      <c r="O586" s="80"/>
      <c r="P586" s="6"/>
      <c r="Q586" s="6"/>
      <c r="R586" s="6"/>
      <c r="S586" s="6"/>
      <c r="T586" s="6"/>
      <c r="U586" s="6"/>
      <c r="V586" s="6"/>
      <c r="W586" s="7"/>
      <c r="X586" s="7"/>
      <c r="Y586" s="7"/>
      <c r="Z586" s="7"/>
    </row>
    <row r="587">
      <c r="A587" s="6"/>
      <c r="B587" s="6"/>
      <c r="C587" s="6"/>
      <c r="D587" s="6"/>
      <c r="E587" s="6"/>
      <c r="F587" s="6"/>
      <c r="G587" s="6"/>
      <c r="H587" s="6"/>
      <c r="I587" s="6"/>
      <c r="J587" s="6"/>
      <c r="K587" s="6"/>
      <c r="L587" s="80"/>
      <c r="M587" s="80"/>
      <c r="N587" s="80"/>
      <c r="O587" s="80"/>
      <c r="P587" s="6"/>
      <c r="Q587" s="6"/>
      <c r="R587" s="6"/>
      <c r="S587" s="6"/>
      <c r="T587" s="6"/>
      <c r="U587" s="6"/>
      <c r="V587" s="6"/>
      <c r="W587" s="7"/>
      <c r="X587" s="7"/>
      <c r="Y587" s="7"/>
      <c r="Z587" s="7"/>
    </row>
    <row r="588">
      <c r="A588" s="6"/>
      <c r="B588" s="6"/>
      <c r="C588" s="6"/>
      <c r="D588" s="6"/>
      <c r="E588" s="6"/>
      <c r="F588" s="6"/>
      <c r="G588" s="6"/>
      <c r="H588" s="6"/>
      <c r="I588" s="6"/>
      <c r="J588" s="6"/>
      <c r="K588" s="6"/>
      <c r="L588" s="80"/>
      <c r="M588" s="80"/>
      <c r="N588" s="80"/>
      <c r="O588" s="80"/>
      <c r="P588" s="6"/>
      <c r="Q588" s="6"/>
      <c r="R588" s="6"/>
      <c r="S588" s="6"/>
      <c r="T588" s="6"/>
      <c r="U588" s="6"/>
      <c r="V588" s="6"/>
      <c r="W588" s="7"/>
      <c r="X588" s="7"/>
      <c r="Y588" s="7"/>
      <c r="Z588" s="7"/>
    </row>
    <row r="589">
      <c r="A589" s="6"/>
      <c r="B589" s="6"/>
      <c r="C589" s="6"/>
      <c r="D589" s="6"/>
      <c r="E589" s="6"/>
      <c r="F589" s="6"/>
      <c r="G589" s="6"/>
      <c r="H589" s="6"/>
      <c r="I589" s="6"/>
      <c r="J589" s="6"/>
      <c r="K589" s="6"/>
      <c r="L589" s="80"/>
      <c r="M589" s="80"/>
      <c r="N589" s="80"/>
      <c r="O589" s="80"/>
      <c r="P589" s="6"/>
      <c r="Q589" s="6"/>
      <c r="R589" s="6"/>
      <c r="S589" s="6"/>
      <c r="T589" s="6"/>
      <c r="U589" s="6"/>
      <c r="V589" s="6"/>
      <c r="W589" s="7"/>
      <c r="X589" s="7"/>
      <c r="Y589" s="7"/>
      <c r="Z589" s="7"/>
    </row>
    <row r="590">
      <c r="A590" s="6"/>
      <c r="B590" s="6"/>
      <c r="C590" s="6"/>
      <c r="D590" s="6"/>
      <c r="E590" s="6"/>
      <c r="F590" s="6"/>
      <c r="G590" s="6"/>
      <c r="H590" s="6"/>
      <c r="I590" s="6"/>
      <c r="J590" s="6"/>
      <c r="K590" s="6"/>
      <c r="L590" s="80"/>
      <c r="M590" s="80"/>
      <c r="N590" s="80"/>
      <c r="O590" s="80"/>
      <c r="P590" s="6"/>
      <c r="Q590" s="6"/>
      <c r="R590" s="6"/>
      <c r="S590" s="6"/>
      <c r="T590" s="6"/>
      <c r="U590" s="6"/>
      <c r="V590" s="6"/>
      <c r="W590" s="7"/>
      <c r="X590" s="7"/>
      <c r="Y590" s="7"/>
      <c r="Z590" s="7"/>
    </row>
    <row r="591">
      <c r="A591" s="6"/>
      <c r="B591" s="6"/>
      <c r="C591" s="6"/>
      <c r="D591" s="6"/>
      <c r="E591" s="6"/>
      <c r="F591" s="6"/>
      <c r="G591" s="6"/>
      <c r="H591" s="6"/>
      <c r="I591" s="6"/>
      <c r="J591" s="6"/>
      <c r="K591" s="6"/>
      <c r="L591" s="80"/>
      <c r="M591" s="80"/>
      <c r="N591" s="80"/>
      <c r="O591" s="80"/>
      <c r="P591" s="6"/>
      <c r="Q591" s="6"/>
      <c r="R591" s="6"/>
      <c r="S591" s="6"/>
      <c r="T591" s="6"/>
      <c r="U591" s="6"/>
      <c r="V591" s="6"/>
      <c r="W591" s="7"/>
      <c r="X591" s="7"/>
      <c r="Y591" s="7"/>
      <c r="Z591" s="7"/>
    </row>
    <row r="592">
      <c r="A592" s="6"/>
      <c r="B592" s="6"/>
      <c r="C592" s="6"/>
      <c r="D592" s="6"/>
      <c r="E592" s="6"/>
      <c r="F592" s="6"/>
      <c r="G592" s="6"/>
      <c r="H592" s="6"/>
      <c r="I592" s="6"/>
      <c r="J592" s="6"/>
      <c r="K592" s="6"/>
      <c r="L592" s="80"/>
      <c r="M592" s="80"/>
      <c r="N592" s="80"/>
      <c r="O592" s="80"/>
      <c r="P592" s="6"/>
      <c r="Q592" s="6"/>
      <c r="R592" s="6"/>
      <c r="S592" s="6"/>
      <c r="T592" s="6"/>
      <c r="U592" s="6"/>
      <c r="V592" s="6"/>
      <c r="W592" s="7"/>
      <c r="X592" s="7"/>
      <c r="Y592" s="7"/>
      <c r="Z592" s="7"/>
    </row>
    <row r="593">
      <c r="A593" s="6"/>
      <c r="B593" s="6"/>
      <c r="C593" s="6"/>
      <c r="D593" s="6"/>
      <c r="E593" s="6"/>
      <c r="F593" s="6"/>
      <c r="G593" s="6"/>
      <c r="H593" s="6"/>
      <c r="I593" s="6"/>
      <c r="J593" s="6"/>
      <c r="K593" s="6"/>
      <c r="L593" s="80"/>
      <c r="M593" s="80"/>
      <c r="N593" s="80"/>
      <c r="O593" s="80"/>
      <c r="P593" s="6"/>
      <c r="Q593" s="6"/>
      <c r="R593" s="6"/>
      <c r="S593" s="6"/>
      <c r="T593" s="6"/>
      <c r="U593" s="6"/>
      <c r="V593" s="6"/>
      <c r="W593" s="7"/>
      <c r="X593" s="7"/>
      <c r="Y593" s="7"/>
      <c r="Z593" s="7"/>
    </row>
    <row r="594">
      <c r="A594" s="6"/>
      <c r="B594" s="6"/>
      <c r="C594" s="6"/>
      <c r="D594" s="6"/>
      <c r="E594" s="6"/>
      <c r="F594" s="6"/>
      <c r="G594" s="6"/>
      <c r="H594" s="6"/>
      <c r="I594" s="6"/>
      <c r="J594" s="6"/>
      <c r="K594" s="6"/>
      <c r="L594" s="80"/>
      <c r="M594" s="80"/>
      <c r="N594" s="80"/>
      <c r="O594" s="80"/>
      <c r="P594" s="6"/>
      <c r="Q594" s="6"/>
      <c r="R594" s="6"/>
      <c r="S594" s="6"/>
      <c r="T594" s="6"/>
      <c r="U594" s="6"/>
      <c r="V594" s="6"/>
      <c r="W594" s="7"/>
      <c r="X594" s="7"/>
      <c r="Y594" s="7"/>
      <c r="Z594" s="7"/>
    </row>
    <row r="595">
      <c r="A595" s="6"/>
      <c r="B595" s="6"/>
      <c r="C595" s="6"/>
      <c r="D595" s="6"/>
      <c r="E595" s="6"/>
      <c r="F595" s="6"/>
      <c r="G595" s="6"/>
      <c r="H595" s="6"/>
      <c r="I595" s="6"/>
      <c r="J595" s="6"/>
      <c r="K595" s="6"/>
      <c r="L595" s="80"/>
      <c r="M595" s="80"/>
      <c r="N595" s="80"/>
      <c r="O595" s="80"/>
      <c r="P595" s="6"/>
      <c r="Q595" s="6"/>
      <c r="R595" s="6"/>
      <c r="S595" s="6"/>
      <c r="T595" s="6"/>
      <c r="U595" s="6"/>
      <c r="V595" s="6"/>
      <c r="W595" s="7"/>
      <c r="X595" s="7"/>
      <c r="Y595" s="7"/>
      <c r="Z595" s="7"/>
    </row>
    <row r="596">
      <c r="A596" s="6"/>
      <c r="B596" s="6"/>
      <c r="C596" s="6"/>
      <c r="D596" s="6"/>
      <c r="E596" s="6"/>
      <c r="F596" s="6"/>
      <c r="G596" s="6"/>
      <c r="H596" s="6"/>
      <c r="I596" s="6"/>
      <c r="J596" s="6"/>
      <c r="K596" s="6"/>
      <c r="L596" s="80"/>
      <c r="M596" s="80"/>
      <c r="N596" s="80"/>
      <c r="O596" s="80"/>
      <c r="P596" s="6"/>
      <c r="Q596" s="6"/>
      <c r="R596" s="6"/>
      <c r="S596" s="6"/>
      <c r="T596" s="6"/>
      <c r="U596" s="6"/>
      <c r="V596" s="6"/>
      <c r="W596" s="7"/>
      <c r="X596" s="7"/>
      <c r="Y596" s="7"/>
      <c r="Z596" s="7"/>
    </row>
    <row r="597">
      <c r="A597" s="6"/>
      <c r="B597" s="6"/>
      <c r="C597" s="6"/>
      <c r="D597" s="6"/>
      <c r="E597" s="6"/>
      <c r="F597" s="6"/>
      <c r="G597" s="6"/>
      <c r="H597" s="6"/>
      <c r="I597" s="6"/>
      <c r="J597" s="6"/>
      <c r="K597" s="6"/>
      <c r="L597" s="80"/>
      <c r="M597" s="80"/>
      <c r="N597" s="80"/>
      <c r="O597" s="80"/>
      <c r="P597" s="6"/>
      <c r="Q597" s="6"/>
      <c r="R597" s="6"/>
      <c r="S597" s="6"/>
      <c r="T597" s="6"/>
      <c r="U597" s="6"/>
      <c r="V597" s="6"/>
      <c r="W597" s="7"/>
      <c r="X597" s="7"/>
      <c r="Y597" s="7"/>
      <c r="Z597" s="7"/>
    </row>
    <row r="598">
      <c r="A598" s="6"/>
      <c r="B598" s="6"/>
      <c r="C598" s="6"/>
      <c r="D598" s="6"/>
      <c r="E598" s="6"/>
      <c r="F598" s="6"/>
      <c r="G598" s="6"/>
      <c r="H598" s="6"/>
      <c r="I598" s="6"/>
      <c r="J598" s="6"/>
      <c r="K598" s="6"/>
      <c r="L598" s="80"/>
      <c r="M598" s="80"/>
      <c r="N598" s="80"/>
      <c r="O598" s="80"/>
      <c r="P598" s="6"/>
      <c r="Q598" s="6"/>
      <c r="R598" s="6"/>
      <c r="S598" s="6"/>
      <c r="T598" s="6"/>
      <c r="U598" s="6"/>
      <c r="V598" s="6"/>
      <c r="W598" s="7"/>
      <c r="X598" s="7"/>
      <c r="Y598" s="7"/>
      <c r="Z598" s="7"/>
    </row>
    <row r="599">
      <c r="A599" s="6"/>
      <c r="B599" s="6"/>
      <c r="C599" s="6"/>
      <c r="D599" s="6"/>
      <c r="E599" s="6"/>
      <c r="F599" s="6"/>
      <c r="G599" s="6"/>
      <c r="H599" s="6"/>
      <c r="I599" s="6"/>
      <c r="J599" s="6"/>
      <c r="K599" s="6"/>
      <c r="L599" s="80"/>
      <c r="M599" s="80"/>
      <c r="N599" s="80"/>
      <c r="O599" s="80"/>
      <c r="P599" s="6"/>
      <c r="Q599" s="6"/>
      <c r="R599" s="6"/>
      <c r="S599" s="6"/>
      <c r="T599" s="6"/>
      <c r="U599" s="6"/>
      <c r="V599" s="6"/>
      <c r="W599" s="7"/>
      <c r="X599" s="7"/>
      <c r="Y599" s="7"/>
      <c r="Z599" s="7"/>
    </row>
    <row r="600">
      <c r="A600" s="6"/>
      <c r="B600" s="6"/>
      <c r="C600" s="6"/>
      <c r="D600" s="6"/>
      <c r="E600" s="6"/>
      <c r="F600" s="6"/>
      <c r="G600" s="6"/>
      <c r="H600" s="6"/>
      <c r="I600" s="6"/>
      <c r="J600" s="6"/>
      <c r="K600" s="6"/>
      <c r="L600" s="80"/>
      <c r="M600" s="80"/>
      <c r="N600" s="80"/>
      <c r="O600" s="80"/>
      <c r="P600" s="6"/>
      <c r="Q600" s="6"/>
      <c r="R600" s="6"/>
      <c r="S600" s="6"/>
      <c r="T600" s="6"/>
      <c r="U600" s="6"/>
      <c r="V600" s="6"/>
      <c r="W600" s="7"/>
      <c r="X600" s="7"/>
      <c r="Y600" s="7"/>
      <c r="Z600" s="7"/>
    </row>
    <row r="601">
      <c r="A601" s="6"/>
      <c r="B601" s="6"/>
      <c r="C601" s="6"/>
      <c r="D601" s="6"/>
      <c r="E601" s="6"/>
      <c r="F601" s="6"/>
      <c r="G601" s="6"/>
      <c r="H601" s="6"/>
      <c r="I601" s="6"/>
      <c r="J601" s="6"/>
      <c r="K601" s="6"/>
      <c r="L601" s="80"/>
      <c r="M601" s="80"/>
      <c r="N601" s="80"/>
      <c r="O601" s="80"/>
      <c r="P601" s="6"/>
      <c r="Q601" s="6"/>
      <c r="R601" s="6"/>
      <c r="S601" s="6"/>
      <c r="T601" s="6"/>
      <c r="U601" s="6"/>
      <c r="V601" s="6"/>
      <c r="W601" s="7"/>
      <c r="X601" s="7"/>
      <c r="Y601" s="7"/>
      <c r="Z601" s="7"/>
    </row>
    <row r="602">
      <c r="A602" s="6"/>
      <c r="B602" s="6"/>
      <c r="C602" s="6"/>
      <c r="D602" s="6"/>
      <c r="E602" s="6"/>
      <c r="F602" s="6"/>
      <c r="G602" s="6"/>
      <c r="H602" s="6"/>
      <c r="I602" s="6"/>
      <c r="J602" s="6"/>
      <c r="K602" s="6"/>
      <c r="L602" s="80"/>
      <c r="M602" s="80"/>
      <c r="N602" s="80"/>
      <c r="O602" s="80"/>
      <c r="P602" s="6"/>
      <c r="Q602" s="6"/>
      <c r="R602" s="6"/>
      <c r="S602" s="6"/>
      <c r="T602" s="6"/>
      <c r="U602" s="6"/>
      <c r="V602" s="6"/>
      <c r="W602" s="7"/>
      <c r="X602" s="7"/>
      <c r="Y602" s="7"/>
      <c r="Z602" s="7"/>
    </row>
    <row r="603">
      <c r="A603" s="6"/>
      <c r="B603" s="6"/>
      <c r="C603" s="6"/>
      <c r="D603" s="6"/>
      <c r="E603" s="6"/>
      <c r="F603" s="6"/>
      <c r="G603" s="6"/>
      <c r="H603" s="6"/>
      <c r="I603" s="6"/>
      <c r="J603" s="6"/>
      <c r="K603" s="6"/>
      <c r="L603" s="80"/>
      <c r="M603" s="80"/>
      <c r="N603" s="80"/>
      <c r="O603" s="80"/>
      <c r="P603" s="6"/>
      <c r="Q603" s="6"/>
      <c r="R603" s="6"/>
      <c r="S603" s="6"/>
      <c r="T603" s="6"/>
      <c r="U603" s="6"/>
      <c r="V603" s="6"/>
      <c r="W603" s="7"/>
      <c r="X603" s="7"/>
      <c r="Y603" s="7"/>
      <c r="Z603" s="7"/>
    </row>
    <row r="604">
      <c r="A604" s="6"/>
      <c r="B604" s="6"/>
      <c r="C604" s="6"/>
      <c r="D604" s="6"/>
      <c r="E604" s="6"/>
      <c r="F604" s="6"/>
      <c r="G604" s="6"/>
      <c r="H604" s="6"/>
      <c r="I604" s="6"/>
      <c r="J604" s="6"/>
      <c r="K604" s="6"/>
      <c r="L604" s="80"/>
      <c r="M604" s="80"/>
      <c r="N604" s="80"/>
      <c r="O604" s="80"/>
      <c r="P604" s="6"/>
      <c r="Q604" s="6"/>
      <c r="R604" s="6"/>
      <c r="S604" s="6"/>
      <c r="T604" s="6"/>
      <c r="U604" s="6"/>
      <c r="V604" s="6"/>
      <c r="W604" s="7"/>
      <c r="X604" s="7"/>
      <c r="Y604" s="7"/>
      <c r="Z604" s="7"/>
    </row>
    <row r="605">
      <c r="A605" s="6"/>
      <c r="B605" s="6"/>
      <c r="C605" s="6"/>
      <c r="D605" s="6"/>
      <c r="E605" s="6"/>
      <c r="F605" s="6"/>
      <c r="G605" s="6"/>
      <c r="H605" s="6"/>
      <c r="I605" s="6"/>
      <c r="J605" s="6"/>
      <c r="K605" s="6"/>
      <c r="L605" s="80"/>
      <c r="M605" s="80"/>
      <c r="N605" s="80"/>
      <c r="O605" s="80"/>
      <c r="P605" s="6"/>
      <c r="Q605" s="6"/>
      <c r="R605" s="6"/>
      <c r="S605" s="6"/>
      <c r="T605" s="6"/>
      <c r="U605" s="6"/>
      <c r="V605" s="6"/>
      <c r="W605" s="7"/>
      <c r="X605" s="7"/>
      <c r="Y605" s="7"/>
      <c r="Z605" s="7"/>
    </row>
    <row r="606">
      <c r="A606" s="6"/>
      <c r="B606" s="6"/>
      <c r="C606" s="6"/>
      <c r="D606" s="6"/>
      <c r="E606" s="6"/>
      <c r="F606" s="6"/>
      <c r="G606" s="6"/>
      <c r="H606" s="6"/>
      <c r="I606" s="6"/>
      <c r="J606" s="6"/>
      <c r="K606" s="6"/>
      <c r="L606" s="80"/>
      <c r="M606" s="80"/>
      <c r="N606" s="80"/>
      <c r="O606" s="80"/>
      <c r="P606" s="6"/>
      <c r="Q606" s="6"/>
      <c r="R606" s="6"/>
      <c r="S606" s="6"/>
      <c r="T606" s="6"/>
      <c r="U606" s="6"/>
      <c r="V606" s="6"/>
      <c r="W606" s="7"/>
      <c r="X606" s="7"/>
      <c r="Y606" s="7"/>
      <c r="Z606" s="7"/>
    </row>
    <row r="607">
      <c r="A607" s="6"/>
      <c r="B607" s="6"/>
      <c r="C607" s="6"/>
      <c r="D607" s="6"/>
      <c r="E607" s="6"/>
      <c r="F607" s="6"/>
      <c r="G607" s="6"/>
      <c r="H607" s="6"/>
      <c r="I607" s="6"/>
      <c r="J607" s="6"/>
      <c r="K607" s="6"/>
      <c r="L607" s="80"/>
      <c r="M607" s="80"/>
      <c r="N607" s="80"/>
      <c r="O607" s="80"/>
      <c r="P607" s="6"/>
      <c r="Q607" s="6"/>
      <c r="R607" s="6"/>
      <c r="S607" s="6"/>
      <c r="T607" s="6"/>
      <c r="U607" s="6"/>
      <c r="V607" s="6"/>
      <c r="W607" s="7"/>
      <c r="X607" s="7"/>
      <c r="Y607" s="7"/>
      <c r="Z607" s="7"/>
    </row>
    <row r="608">
      <c r="A608" s="6"/>
      <c r="B608" s="6"/>
      <c r="C608" s="6"/>
      <c r="D608" s="6"/>
      <c r="E608" s="6"/>
      <c r="F608" s="6"/>
      <c r="G608" s="6"/>
      <c r="H608" s="6"/>
      <c r="I608" s="6"/>
      <c r="J608" s="6"/>
      <c r="K608" s="6"/>
      <c r="L608" s="80"/>
      <c r="M608" s="80"/>
      <c r="N608" s="80"/>
      <c r="O608" s="80"/>
      <c r="P608" s="6"/>
      <c r="Q608" s="6"/>
      <c r="R608" s="6"/>
      <c r="S608" s="6"/>
      <c r="T608" s="6"/>
      <c r="U608" s="6"/>
      <c r="V608" s="6"/>
      <c r="W608" s="7"/>
      <c r="X608" s="7"/>
      <c r="Y608" s="7"/>
      <c r="Z608" s="7"/>
    </row>
    <row r="609">
      <c r="A609" s="6"/>
      <c r="B609" s="6"/>
      <c r="C609" s="6"/>
      <c r="D609" s="6"/>
      <c r="E609" s="6"/>
      <c r="F609" s="6"/>
      <c r="G609" s="6"/>
      <c r="H609" s="6"/>
      <c r="I609" s="6"/>
      <c r="J609" s="6"/>
      <c r="K609" s="6"/>
      <c r="L609" s="80"/>
      <c r="M609" s="80"/>
      <c r="N609" s="80"/>
      <c r="O609" s="80"/>
      <c r="P609" s="6"/>
      <c r="Q609" s="6"/>
      <c r="R609" s="6"/>
      <c r="S609" s="6"/>
      <c r="T609" s="6"/>
      <c r="U609" s="6"/>
      <c r="V609" s="6"/>
      <c r="W609" s="7"/>
      <c r="X609" s="7"/>
      <c r="Y609" s="7"/>
      <c r="Z609" s="7"/>
    </row>
    <row r="610">
      <c r="A610" s="6"/>
      <c r="B610" s="6"/>
      <c r="C610" s="6"/>
      <c r="D610" s="6"/>
      <c r="E610" s="6"/>
      <c r="F610" s="6"/>
      <c r="G610" s="6"/>
      <c r="H610" s="6"/>
      <c r="I610" s="6"/>
      <c r="J610" s="6"/>
      <c r="K610" s="6"/>
      <c r="L610" s="80"/>
      <c r="M610" s="80"/>
      <c r="N610" s="80"/>
      <c r="O610" s="80"/>
      <c r="P610" s="6"/>
      <c r="Q610" s="6"/>
      <c r="R610" s="6"/>
      <c r="S610" s="6"/>
      <c r="T610" s="6"/>
      <c r="U610" s="6"/>
      <c r="V610" s="6"/>
      <c r="W610" s="7"/>
      <c r="X610" s="7"/>
      <c r="Y610" s="7"/>
      <c r="Z610" s="7"/>
    </row>
    <row r="611">
      <c r="A611" s="6"/>
      <c r="B611" s="6"/>
      <c r="C611" s="6"/>
      <c r="D611" s="6"/>
      <c r="E611" s="6"/>
      <c r="F611" s="6"/>
      <c r="G611" s="6"/>
      <c r="H611" s="6"/>
      <c r="I611" s="6"/>
      <c r="J611" s="6"/>
      <c r="K611" s="6"/>
      <c r="L611" s="80"/>
      <c r="M611" s="80"/>
      <c r="N611" s="80"/>
      <c r="O611" s="80"/>
      <c r="P611" s="6"/>
      <c r="Q611" s="6"/>
      <c r="R611" s="6"/>
      <c r="S611" s="6"/>
      <c r="T611" s="6"/>
      <c r="U611" s="6"/>
      <c r="V611" s="6"/>
      <c r="W611" s="7"/>
      <c r="X611" s="7"/>
      <c r="Y611" s="7"/>
      <c r="Z611" s="7"/>
    </row>
    <row r="612">
      <c r="A612" s="6"/>
      <c r="B612" s="6"/>
      <c r="C612" s="6"/>
      <c r="D612" s="6"/>
      <c r="E612" s="6"/>
      <c r="F612" s="6"/>
      <c r="G612" s="6"/>
      <c r="H612" s="6"/>
      <c r="I612" s="6"/>
      <c r="J612" s="6"/>
      <c r="K612" s="6"/>
      <c r="L612" s="80"/>
      <c r="M612" s="80"/>
      <c r="N612" s="80"/>
      <c r="O612" s="80"/>
      <c r="P612" s="6"/>
      <c r="Q612" s="6"/>
      <c r="R612" s="6"/>
      <c r="S612" s="6"/>
      <c r="T612" s="6"/>
      <c r="U612" s="6"/>
      <c r="V612" s="6"/>
      <c r="W612" s="7"/>
      <c r="X612" s="7"/>
      <c r="Y612" s="7"/>
      <c r="Z612" s="7"/>
    </row>
    <row r="613">
      <c r="A613" s="6"/>
      <c r="B613" s="6"/>
      <c r="C613" s="6"/>
      <c r="D613" s="6"/>
      <c r="E613" s="6"/>
      <c r="F613" s="6"/>
      <c r="G613" s="6"/>
      <c r="H613" s="6"/>
      <c r="I613" s="6"/>
      <c r="J613" s="6"/>
      <c r="K613" s="6"/>
      <c r="L613" s="80"/>
      <c r="M613" s="80"/>
      <c r="N613" s="80"/>
      <c r="O613" s="80"/>
      <c r="P613" s="6"/>
      <c r="Q613" s="6"/>
      <c r="R613" s="6"/>
      <c r="S613" s="6"/>
      <c r="T613" s="6"/>
      <c r="U613" s="6"/>
      <c r="V613" s="6"/>
      <c r="W613" s="7"/>
      <c r="X613" s="7"/>
      <c r="Y613" s="7"/>
      <c r="Z613" s="7"/>
    </row>
    <row r="614">
      <c r="A614" s="6"/>
      <c r="B614" s="6"/>
      <c r="C614" s="6"/>
      <c r="D614" s="6"/>
      <c r="E614" s="6"/>
      <c r="F614" s="6"/>
      <c r="G614" s="6"/>
      <c r="H614" s="6"/>
      <c r="I614" s="6"/>
      <c r="J614" s="6"/>
      <c r="K614" s="6"/>
      <c r="L614" s="80"/>
      <c r="M614" s="80"/>
      <c r="N614" s="80"/>
      <c r="O614" s="80"/>
      <c r="P614" s="6"/>
      <c r="Q614" s="6"/>
      <c r="R614" s="6"/>
      <c r="S614" s="6"/>
      <c r="T614" s="6"/>
      <c r="U614" s="6"/>
      <c r="V614" s="6"/>
      <c r="W614" s="7"/>
      <c r="X614" s="7"/>
      <c r="Y614" s="7"/>
      <c r="Z614" s="7"/>
    </row>
    <row r="615">
      <c r="A615" s="6"/>
      <c r="B615" s="6"/>
      <c r="C615" s="6"/>
      <c r="D615" s="6"/>
      <c r="E615" s="6"/>
      <c r="F615" s="6"/>
      <c r="G615" s="6"/>
      <c r="H615" s="6"/>
      <c r="I615" s="6"/>
      <c r="J615" s="6"/>
      <c r="K615" s="6"/>
      <c r="L615" s="80"/>
      <c r="M615" s="80"/>
      <c r="N615" s="80"/>
      <c r="O615" s="80"/>
      <c r="P615" s="6"/>
      <c r="Q615" s="6"/>
      <c r="R615" s="6"/>
      <c r="S615" s="6"/>
      <c r="T615" s="6"/>
      <c r="U615" s="6"/>
      <c r="V615" s="6"/>
      <c r="W615" s="7"/>
      <c r="X615" s="7"/>
      <c r="Y615" s="7"/>
      <c r="Z615" s="7"/>
    </row>
    <row r="616">
      <c r="A616" s="6"/>
      <c r="B616" s="6"/>
      <c r="C616" s="6"/>
      <c r="D616" s="6"/>
      <c r="E616" s="6"/>
      <c r="F616" s="6"/>
      <c r="G616" s="6"/>
      <c r="H616" s="6"/>
      <c r="I616" s="6"/>
      <c r="J616" s="6"/>
      <c r="K616" s="6"/>
      <c r="L616" s="80"/>
      <c r="M616" s="80"/>
      <c r="N616" s="80"/>
      <c r="O616" s="80"/>
      <c r="P616" s="6"/>
      <c r="Q616" s="6"/>
      <c r="R616" s="6"/>
      <c r="S616" s="6"/>
      <c r="T616" s="6"/>
      <c r="U616" s="6"/>
      <c r="V616" s="6"/>
      <c r="W616" s="7"/>
      <c r="X616" s="7"/>
      <c r="Y616" s="7"/>
      <c r="Z616" s="7"/>
    </row>
    <row r="617">
      <c r="A617" s="6"/>
      <c r="B617" s="6"/>
      <c r="C617" s="6"/>
      <c r="D617" s="6"/>
      <c r="E617" s="6"/>
      <c r="F617" s="6"/>
      <c r="G617" s="6"/>
      <c r="H617" s="6"/>
      <c r="I617" s="6"/>
      <c r="J617" s="6"/>
      <c r="K617" s="6"/>
      <c r="L617" s="80"/>
      <c r="M617" s="80"/>
      <c r="N617" s="80"/>
      <c r="O617" s="80"/>
      <c r="P617" s="6"/>
      <c r="Q617" s="6"/>
      <c r="R617" s="6"/>
      <c r="S617" s="6"/>
      <c r="T617" s="6"/>
      <c r="U617" s="6"/>
      <c r="V617" s="6"/>
      <c r="W617" s="7"/>
      <c r="X617" s="7"/>
      <c r="Y617" s="7"/>
      <c r="Z617" s="7"/>
    </row>
    <row r="618">
      <c r="A618" s="6"/>
      <c r="B618" s="6"/>
      <c r="C618" s="6"/>
      <c r="D618" s="6"/>
      <c r="E618" s="6"/>
      <c r="F618" s="6"/>
      <c r="G618" s="6"/>
      <c r="H618" s="6"/>
      <c r="I618" s="6"/>
      <c r="J618" s="6"/>
      <c r="K618" s="6"/>
      <c r="L618" s="80"/>
      <c r="M618" s="80"/>
      <c r="N618" s="80"/>
      <c r="O618" s="80"/>
      <c r="P618" s="6"/>
      <c r="Q618" s="6"/>
      <c r="R618" s="6"/>
      <c r="S618" s="6"/>
      <c r="T618" s="6"/>
      <c r="U618" s="6"/>
      <c r="V618" s="6"/>
      <c r="W618" s="7"/>
      <c r="X618" s="7"/>
      <c r="Y618" s="7"/>
      <c r="Z618" s="7"/>
    </row>
    <row r="619">
      <c r="A619" s="6"/>
      <c r="B619" s="6"/>
      <c r="C619" s="6"/>
      <c r="D619" s="6"/>
      <c r="E619" s="6"/>
      <c r="F619" s="6"/>
      <c r="G619" s="6"/>
      <c r="H619" s="6"/>
      <c r="I619" s="6"/>
      <c r="J619" s="6"/>
      <c r="K619" s="6"/>
      <c r="L619" s="80"/>
      <c r="M619" s="80"/>
      <c r="N619" s="80"/>
      <c r="O619" s="80"/>
      <c r="P619" s="6"/>
      <c r="Q619" s="6"/>
      <c r="R619" s="6"/>
      <c r="S619" s="6"/>
      <c r="T619" s="6"/>
      <c r="U619" s="6"/>
      <c r="V619" s="6"/>
      <c r="W619" s="7"/>
      <c r="X619" s="7"/>
      <c r="Y619" s="7"/>
      <c r="Z619" s="7"/>
    </row>
    <row r="620">
      <c r="A620" s="6"/>
      <c r="B620" s="6"/>
      <c r="C620" s="6"/>
      <c r="D620" s="6"/>
      <c r="E620" s="6"/>
      <c r="F620" s="6"/>
      <c r="G620" s="6"/>
      <c r="H620" s="6"/>
      <c r="I620" s="6"/>
      <c r="J620" s="6"/>
      <c r="K620" s="6"/>
      <c r="L620" s="80"/>
      <c r="M620" s="80"/>
      <c r="N620" s="80"/>
      <c r="O620" s="80"/>
      <c r="P620" s="6"/>
      <c r="Q620" s="6"/>
      <c r="R620" s="6"/>
      <c r="S620" s="6"/>
      <c r="T620" s="6"/>
      <c r="U620" s="6"/>
      <c r="V620" s="6"/>
      <c r="W620" s="7"/>
      <c r="X620" s="7"/>
      <c r="Y620" s="7"/>
      <c r="Z620" s="7"/>
    </row>
    <row r="621">
      <c r="A621" s="6"/>
      <c r="B621" s="6"/>
      <c r="C621" s="6"/>
      <c r="D621" s="6"/>
      <c r="E621" s="6"/>
      <c r="F621" s="6"/>
      <c r="G621" s="6"/>
      <c r="H621" s="6"/>
      <c r="I621" s="6"/>
      <c r="J621" s="6"/>
      <c r="K621" s="6"/>
      <c r="L621" s="80"/>
      <c r="M621" s="80"/>
      <c r="N621" s="80"/>
      <c r="O621" s="80"/>
      <c r="P621" s="6"/>
      <c r="Q621" s="6"/>
      <c r="R621" s="6"/>
      <c r="S621" s="6"/>
      <c r="T621" s="6"/>
      <c r="U621" s="6"/>
      <c r="V621" s="6"/>
      <c r="W621" s="7"/>
      <c r="X621" s="7"/>
      <c r="Y621" s="7"/>
      <c r="Z621" s="7"/>
    </row>
    <row r="622">
      <c r="A622" s="6"/>
      <c r="B622" s="6"/>
      <c r="C622" s="6"/>
      <c r="D622" s="6"/>
      <c r="E622" s="6"/>
      <c r="F622" s="6"/>
      <c r="G622" s="6"/>
      <c r="H622" s="6"/>
      <c r="I622" s="6"/>
      <c r="J622" s="6"/>
      <c r="K622" s="6"/>
      <c r="L622" s="80"/>
      <c r="M622" s="80"/>
      <c r="N622" s="80"/>
      <c r="O622" s="80"/>
      <c r="P622" s="6"/>
      <c r="Q622" s="6"/>
      <c r="R622" s="6"/>
      <c r="S622" s="6"/>
      <c r="T622" s="6"/>
      <c r="U622" s="6"/>
      <c r="V622" s="6"/>
      <c r="W622" s="7"/>
      <c r="X622" s="7"/>
      <c r="Y622" s="7"/>
      <c r="Z622" s="7"/>
    </row>
    <row r="623">
      <c r="A623" s="6"/>
      <c r="B623" s="6"/>
      <c r="C623" s="6"/>
      <c r="D623" s="6"/>
      <c r="E623" s="6"/>
      <c r="F623" s="6"/>
      <c r="G623" s="6"/>
      <c r="H623" s="6"/>
      <c r="I623" s="6"/>
      <c r="J623" s="6"/>
      <c r="K623" s="6"/>
      <c r="L623" s="80"/>
      <c r="M623" s="80"/>
      <c r="N623" s="80"/>
      <c r="O623" s="80"/>
      <c r="P623" s="6"/>
      <c r="Q623" s="6"/>
      <c r="R623" s="6"/>
      <c r="S623" s="6"/>
      <c r="T623" s="6"/>
      <c r="U623" s="6"/>
      <c r="V623" s="6"/>
      <c r="W623" s="7"/>
      <c r="X623" s="7"/>
      <c r="Y623" s="7"/>
      <c r="Z623" s="7"/>
    </row>
    <row r="624">
      <c r="A624" s="6"/>
      <c r="B624" s="6"/>
      <c r="C624" s="6"/>
      <c r="D624" s="6"/>
      <c r="E624" s="6"/>
      <c r="F624" s="6"/>
      <c r="G624" s="6"/>
      <c r="H624" s="6"/>
      <c r="I624" s="6"/>
      <c r="J624" s="6"/>
      <c r="K624" s="6"/>
      <c r="L624" s="80"/>
      <c r="M624" s="80"/>
      <c r="N624" s="80"/>
      <c r="O624" s="80"/>
      <c r="P624" s="6"/>
      <c r="Q624" s="6"/>
      <c r="R624" s="6"/>
      <c r="S624" s="6"/>
      <c r="T624" s="6"/>
      <c r="U624" s="6"/>
      <c r="V624" s="6"/>
      <c r="W624" s="7"/>
      <c r="X624" s="7"/>
      <c r="Y624" s="7"/>
      <c r="Z624" s="7"/>
    </row>
    <row r="625">
      <c r="A625" s="6"/>
      <c r="B625" s="6"/>
      <c r="C625" s="6"/>
      <c r="D625" s="6"/>
      <c r="E625" s="6"/>
      <c r="F625" s="6"/>
      <c r="G625" s="6"/>
      <c r="H625" s="6"/>
      <c r="I625" s="6"/>
      <c r="J625" s="6"/>
      <c r="K625" s="6"/>
      <c r="L625" s="80"/>
      <c r="M625" s="80"/>
      <c r="N625" s="80"/>
      <c r="O625" s="80"/>
      <c r="P625" s="6"/>
      <c r="Q625" s="6"/>
      <c r="R625" s="6"/>
      <c r="S625" s="6"/>
      <c r="T625" s="6"/>
      <c r="U625" s="6"/>
      <c r="V625" s="6"/>
      <c r="W625" s="7"/>
      <c r="X625" s="7"/>
      <c r="Y625" s="7"/>
      <c r="Z625" s="7"/>
    </row>
    <row r="626">
      <c r="A626" s="6"/>
      <c r="B626" s="6"/>
      <c r="C626" s="6"/>
      <c r="D626" s="6"/>
      <c r="E626" s="6"/>
      <c r="F626" s="6"/>
      <c r="G626" s="6"/>
      <c r="H626" s="6"/>
      <c r="I626" s="6"/>
      <c r="J626" s="6"/>
      <c r="K626" s="6"/>
      <c r="L626" s="80"/>
      <c r="M626" s="80"/>
      <c r="N626" s="80"/>
      <c r="O626" s="80"/>
      <c r="P626" s="6"/>
      <c r="Q626" s="6"/>
      <c r="R626" s="6"/>
      <c r="S626" s="6"/>
      <c r="T626" s="6"/>
      <c r="U626" s="6"/>
      <c r="V626" s="6"/>
      <c r="W626" s="7"/>
      <c r="X626" s="7"/>
      <c r="Y626" s="7"/>
      <c r="Z626" s="7"/>
    </row>
    <row r="627">
      <c r="A627" s="6"/>
      <c r="B627" s="6"/>
      <c r="C627" s="6"/>
      <c r="D627" s="6"/>
      <c r="E627" s="6"/>
      <c r="F627" s="6"/>
      <c r="G627" s="6"/>
      <c r="H627" s="6"/>
      <c r="I627" s="6"/>
      <c r="J627" s="6"/>
      <c r="K627" s="6"/>
      <c r="L627" s="80"/>
      <c r="M627" s="80"/>
      <c r="N627" s="80"/>
      <c r="O627" s="80"/>
      <c r="P627" s="6"/>
      <c r="Q627" s="6"/>
      <c r="R627" s="6"/>
      <c r="S627" s="6"/>
      <c r="T627" s="6"/>
      <c r="U627" s="6"/>
      <c r="V627" s="6"/>
      <c r="W627" s="7"/>
      <c r="X627" s="7"/>
      <c r="Y627" s="7"/>
      <c r="Z627" s="7"/>
    </row>
    <row r="628">
      <c r="A628" s="6"/>
      <c r="B628" s="6"/>
      <c r="C628" s="6"/>
      <c r="D628" s="6"/>
      <c r="E628" s="6"/>
      <c r="F628" s="6"/>
      <c r="G628" s="6"/>
      <c r="H628" s="6"/>
      <c r="I628" s="6"/>
      <c r="J628" s="6"/>
      <c r="K628" s="6"/>
      <c r="L628" s="80"/>
      <c r="M628" s="80"/>
      <c r="N628" s="80"/>
      <c r="O628" s="80"/>
      <c r="P628" s="6"/>
      <c r="Q628" s="6"/>
      <c r="R628" s="6"/>
      <c r="S628" s="6"/>
      <c r="T628" s="6"/>
      <c r="U628" s="6"/>
      <c r="V628" s="6"/>
      <c r="W628" s="7"/>
      <c r="X628" s="7"/>
      <c r="Y628" s="7"/>
      <c r="Z628" s="7"/>
    </row>
    <row r="629">
      <c r="A629" s="6"/>
      <c r="B629" s="6"/>
      <c r="C629" s="6"/>
      <c r="D629" s="6"/>
      <c r="E629" s="6"/>
      <c r="F629" s="6"/>
      <c r="G629" s="6"/>
      <c r="H629" s="6"/>
      <c r="I629" s="6"/>
      <c r="J629" s="6"/>
      <c r="K629" s="6"/>
      <c r="L629" s="80"/>
      <c r="M629" s="80"/>
      <c r="N629" s="80"/>
      <c r="O629" s="80"/>
      <c r="P629" s="6"/>
      <c r="Q629" s="6"/>
      <c r="R629" s="6"/>
      <c r="S629" s="6"/>
      <c r="T629" s="6"/>
      <c r="U629" s="6"/>
      <c r="V629" s="6"/>
      <c r="W629" s="7"/>
      <c r="X629" s="7"/>
      <c r="Y629" s="7"/>
      <c r="Z629" s="7"/>
    </row>
    <row r="630">
      <c r="A630" s="6"/>
      <c r="B630" s="6"/>
      <c r="C630" s="6"/>
      <c r="D630" s="6"/>
      <c r="E630" s="6"/>
      <c r="F630" s="6"/>
      <c r="G630" s="6"/>
      <c r="H630" s="6"/>
      <c r="I630" s="6"/>
      <c r="J630" s="6"/>
      <c r="K630" s="6"/>
      <c r="L630" s="80"/>
      <c r="M630" s="80"/>
      <c r="N630" s="80"/>
      <c r="O630" s="80"/>
      <c r="P630" s="6"/>
      <c r="Q630" s="6"/>
      <c r="R630" s="6"/>
      <c r="S630" s="6"/>
      <c r="T630" s="6"/>
      <c r="U630" s="6"/>
      <c r="V630" s="6"/>
      <c r="W630" s="7"/>
      <c r="X630" s="7"/>
      <c r="Y630" s="7"/>
      <c r="Z630" s="7"/>
    </row>
    <row r="631">
      <c r="A631" s="6"/>
      <c r="B631" s="6"/>
      <c r="C631" s="6"/>
      <c r="D631" s="6"/>
      <c r="E631" s="6"/>
      <c r="F631" s="6"/>
      <c r="G631" s="6"/>
      <c r="H631" s="6"/>
      <c r="I631" s="6"/>
      <c r="J631" s="6"/>
      <c r="K631" s="6"/>
      <c r="L631" s="80"/>
      <c r="M631" s="80"/>
      <c r="N631" s="80"/>
      <c r="O631" s="80"/>
      <c r="P631" s="6"/>
      <c r="Q631" s="6"/>
      <c r="R631" s="6"/>
      <c r="S631" s="6"/>
      <c r="T631" s="6"/>
      <c r="U631" s="6"/>
      <c r="V631" s="6"/>
      <c r="W631" s="7"/>
      <c r="X631" s="7"/>
      <c r="Y631" s="7"/>
      <c r="Z631" s="7"/>
    </row>
    <row r="632">
      <c r="A632" s="6"/>
      <c r="B632" s="6"/>
      <c r="C632" s="6"/>
      <c r="D632" s="6"/>
      <c r="E632" s="6"/>
      <c r="F632" s="6"/>
      <c r="G632" s="6"/>
      <c r="H632" s="6"/>
      <c r="I632" s="6"/>
      <c r="J632" s="6"/>
      <c r="K632" s="6"/>
      <c r="L632" s="80"/>
      <c r="M632" s="80"/>
      <c r="N632" s="80"/>
      <c r="O632" s="80"/>
      <c r="P632" s="6"/>
      <c r="Q632" s="6"/>
      <c r="R632" s="6"/>
      <c r="S632" s="6"/>
      <c r="T632" s="6"/>
      <c r="U632" s="6"/>
      <c r="V632" s="6"/>
      <c r="W632" s="7"/>
      <c r="X632" s="7"/>
      <c r="Y632" s="7"/>
      <c r="Z632" s="7"/>
    </row>
    <row r="633">
      <c r="A633" s="6"/>
      <c r="B633" s="6"/>
      <c r="C633" s="6"/>
      <c r="D633" s="6"/>
      <c r="E633" s="6"/>
      <c r="F633" s="6"/>
      <c r="G633" s="6"/>
      <c r="H633" s="6"/>
      <c r="I633" s="6"/>
      <c r="J633" s="6"/>
      <c r="K633" s="6"/>
      <c r="L633" s="80"/>
      <c r="M633" s="80"/>
      <c r="N633" s="80"/>
      <c r="O633" s="80"/>
      <c r="P633" s="6"/>
      <c r="Q633" s="6"/>
      <c r="R633" s="6"/>
      <c r="S633" s="6"/>
      <c r="T633" s="6"/>
      <c r="U633" s="6"/>
      <c r="V633" s="6"/>
      <c r="W633" s="7"/>
      <c r="X633" s="7"/>
      <c r="Y633" s="7"/>
      <c r="Z633" s="7"/>
    </row>
    <row r="634">
      <c r="A634" s="6"/>
      <c r="B634" s="6"/>
      <c r="C634" s="6"/>
      <c r="D634" s="6"/>
      <c r="E634" s="6"/>
      <c r="F634" s="6"/>
      <c r="G634" s="6"/>
      <c r="H634" s="6"/>
      <c r="I634" s="6"/>
      <c r="J634" s="6"/>
      <c r="K634" s="6"/>
      <c r="L634" s="80"/>
      <c r="M634" s="80"/>
      <c r="N634" s="80"/>
      <c r="O634" s="80"/>
      <c r="P634" s="6"/>
      <c r="Q634" s="6"/>
      <c r="R634" s="6"/>
      <c r="S634" s="6"/>
      <c r="T634" s="6"/>
      <c r="U634" s="6"/>
      <c r="V634" s="6"/>
      <c r="W634" s="7"/>
      <c r="X634" s="7"/>
      <c r="Y634" s="7"/>
      <c r="Z634" s="7"/>
    </row>
    <row r="635">
      <c r="A635" s="6"/>
      <c r="B635" s="6"/>
      <c r="C635" s="6"/>
      <c r="D635" s="6"/>
      <c r="E635" s="6"/>
      <c r="F635" s="6"/>
      <c r="G635" s="6"/>
      <c r="H635" s="6"/>
      <c r="I635" s="6"/>
      <c r="J635" s="6"/>
      <c r="K635" s="6"/>
      <c r="L635" s="80"/>
      <c r="M635" s="80"/>
      <c r="N635" s="80"/>
      <c r="O635" s="80"/>
      <c r="P635" s="6"/>
      <c r="Q635" s="6"/>
      <c r="R635" s="6"/>
      <c r="S635" s="6"/>
      <c r="T635" s="6"/>
      <c r="U635" s="6"/>
      <c r="V635" s="6"/>
      <c r="W635" s="7"/>
      <c r="X635" s="7"/>
      <c r="Y635" s="7"/>
      <c r="Z635" s="7"/>
    </row>
    <row r="636">
      <c r="A636" s="6"/>
      <c r="B636" s="6"/>
      <c r="C636" s="6"/>
      <c r="D636" s="6"/>
      <c r="E636" s="6"/>
      <c r="F636" s="6"/>
      <c r="G636" s="6"/>
      <c r="H636" s="6"/>
      <c r="I636" s="6"/>
      <c r="J636" s="6"/>
      <c r="K636" s="6"/>
      <c r="L636" s="80"/>
      <c r="M636" s="80"/>
      <c r="N636" s="80"/>
      <c r="O636" s="80"/>
      <c r="P636" s="6"/>
      <c r="Q636" s="6"/>
      <c r="R636" s="6"/>
      <c r="S636" s="6"/>
      <c r="T636" s="6"/>
      <c r="U636" s="6"/>
      <c r="V636" s="6"/>
      <c r="W636" s="7"/>
      <c r="X636" s="7"/>
      <c r="Y636" s="7"/>
      <c r="Z636" s="7"/>
    </row>
    <row r="637">
      <c r="A637" s="6"/>
      <c r="B637" s="6"/>
      <c r="C637" s="6"/>
      <c r="D637" s="6"/>
      <c r="E637" s="6"/>
      <c r="F637" s="6"/>
      <c r="G637" s="6"/>
      <c r="H637" s="6"/>
      <c r="I637" s="6"/>
      <c r="J637" s="6"/>
      <c r="K637" s="6"/>
      <c r="L637" s="80"/>
      <c r="M637" s="80"/>
      <c r="N637" s="80"/>
      <c r="O637" s="80"/>
      <c r="P637" s="6"/>
      <c r="Q637" s="6"/>
      <c r="R637" s="6"/>
      <c r="S637" s="6"/>
      <c r="T637" s="6"/>
      <c r="U637" s="6"/>
      <c r="V637" s="6"/>
      <c r="W637" s="7"/>
      <c r="X637" s="7"/>
      <c r="Y637" s="7"/>
      <c r="Z637" s="7"/>
    </row>
    <row r="638">
      <c r="A638" s="6"/>
      <c r="B638" s="6"/>
      <c r="C638" s="6"/>
      <c r="D638" s="6"/>
      <c r="E638" s="6"/>
      <c r="F638" s="6"/>
      <c r="G638" s="6"/>
      <c r="H638" s="6"/>
      <c r="I638" s="6"/>
      <c r="J638" s="6"/>
      <c r="K638" s="6"/>
      <c r="L638" s="80"/>
      <c r="M638" s="80"/>
      <c r="N638" s="80"/>
      <c r="O638" s="80"/>
      <c r="P638" s="6"/>
      <c r="Q638" s="6"/>
      <c r="R638" s="6"/>
      <c r="S638" s="6"/>
      <c r="T638" s="6"/>
      <c r="U638" s="6"/>
      <c r="V638" s="6"/>
      <c r="W638" s="7"/>
      <c r="X638" s="7"/>
      <c r="Y638" s="7"/>
      <c r="Z638" s="7"/>
    </row>
    <row r="639">
      <c r="A639" s="6"/>
      <c r="B639" s="6"/>
      <c r="C639" s="6"/>
      <c r="D639" s="6"/>
      <c r="E639" s="6"/>
      <c r="F639" s="6"/>
      <c r="G639" s="6"/>
      <c r="H639" s="6"/>
      <c r="I639" s="6"/>
      <c r="J639" s="6"/>
      <c r="K639" s="6"/>
      <c r="L639" s="80"/>
      <c r="M639" s="80"/>
      <c r="N639" s="80"/>
      <c r="O639" s="80"/>
      <c r="P639" s="6"/>
      <c r="Q639" s="6"/>
      <c r="R639" s="6"/>
      <c r="S639" s="6"/>
      <c r="T639" s="6"/>
      <c r="U639" s="6"/>
      <c r="V639" s="6"/>
      <c r="W639" s="7"/>
      <c r="X639" s="7"/>
      <c r="Y639" s="7"/>
      <c r="Z639" s="7"/>
    </row>
    <row r="640">
      <c r="A640" s="6"/>
      <c r="B640" s="6"/>
      <c r="C640" s="6"/>
      <c r="D640" s="6"/>
      <c r="E640" s="6"/>
      <c r="F640" s="6"/>
      <c r="G640" s="6"/>
      <c r="H640" s="6"/>
      <c r="I640" s="6"/>
      <c r="J640" s="6"/>
      <c r="K640" s="6"/>
      <c r="L640" s="80"/>
      <c r="M640" s="80"/>
      <c r="N640" s="80"/>
      <c r="O640" s="80"/>
      <c r="P640" s="6"/>
      <c r="Q640" s="6"/>
      <c r="R640" s="6"/>
      <c r="S640" s="6"/>
      <c r="T640" s="6"/>
      <c r="U640" s="6"/>
      <c r="V640" s="6"/>
      <c r="W640" s="7"/>
      <c r="X640" s="7"/>
      <c r="Y640" s="7"/>
      <c r="Z640" s="7"/>
    </row>
    <row r="641">
      <c r="A641" s="6"/>
      <c r="B641" s="6"/>
      <c r="C641" s="6"/>
      <c r="D641" s="6"/>
      <c r="E641" s="6"/>
      <c r="F641" s="6"/>
      <c r="G641" s="6"/>
      <c r="H641" s="6"/>
      <c r="I641" s="6"/>
      <c r="J641" s="6"/>
      <c r="K641" s="6"/>
      <c r="L641" s="80"/>
      <c r="M641" s="80"/>
      <c r="N641" s="80"/>
      <c r="O641" s="80"/>
      <c r="P641" s="6"/>
      <c r="Q641" s="6"/>
      <c r="R641" s="6"/>
      <c r="S641" s="6"/>
      <c r="T641" s="6"/>
      <c r="U641" s="6"/>
      <c r="V641" s="6"/>
      <c r="W641" s="7"/>
      <c r="X641" s="7"/>
      <c r="Y641" s="7"/>
      <c r="Z641" s="7"/>
    </row>
    <row r="642">
      <c r="A642" s="6"/>
      <c r="B642" s="6"/>
      <c r="C642" s="6"/>
      <c r="D642" s="6"/>
      <c r="E642" s="6"/>
      <c r="F642" s="6"/>
      <c r="G642" s="6"/>
      <c r="H642" s="6"/>
      <c r="I642" s="6"/>
      <c r="J642" s="6"/>
      <c r="K642" s="6"/>
      <c r="L642" s="80"/>
      <c r="M642" s="80"/>
      <c r="N642" s="80"/>
      <c r="O642" s="80"/>
      <c r="P642" s="6"/>
      <c r="Q642" s="6"/>
      <c r="R642" s="6"/>
      <c r="S642" s="6"/>
      <c r="T642" s="6"/>
      <c r="U642" s="6"/>
      <c r="V642" s="6"/>
      <c r="W642" s="7"/>
      <c r="X642" s="7"/>
      <c r="Y642" s="7"/>
      <c r="Z642" s="7"/>
    </row>
    <row r="643">
      <c r="A643" s="6"/>
      <c r="B643" s="6"/>
      <c r="C643" s="6"/>
      <c r="D643" s="6"/>
      <c r="E643" s="6"/>
      <c r="F643" s="6"/>
      <c r="G643" s="6"/>
      <c r="H643" s="6"/>
      <c r="I643" s="6"/>
      <c r="J643" s="6"/>
      <c r="K643" s="6"/>
      <c r="L643" s="80"/>
      <c r="M643" s="80"/>
      <c r="N643" s="80"/>
      <c r="O643" s="80"/>
      <c r="P643" s="6"/>
      <c r="Q643" s="6"/>
      <c r="R643" s="6"/>
      <c r="S643" s="6"/>
      <c r="T643" s="6"/>
      <c r="U643" s="6"/>
      <c r="V643" s="6"/>
      <c r="W643" s="7"/>
      <c r="X643" s="7"/>
      <c r="Y643" s="7"/>
      <c r="Z643" s="7"/>
    </row>
    <row r="644">
      <c r="A644" s="6"/>
      <c r="B644" s="6"/>
      <c r="C644" s="6"/>
      <c r="D644" s="6"/>
      <c r="E644" s="6"/>
      <c r="F644" s="6"/>
      <c r="G644" s="6"/>
      <c r="H644" s="6"/>
      <c r="I644" s="6"/>
      <c r="J644" s="6"/>
      <c r="K644" s="6"/>
      <c r="L644" s="80"/>
      <c r="M644" s="80"/>
      <c r="N644" s="80"/>
      <c r="O644" s="80"/>
      <c r="P644" s="6"/>
      <c r="Q644" s="6"/>
      <c r="R644" s="6"/>
      <c r="S644" s="6"/>
      <c r="T644" s="6"/>
      <c r="U644" s="6"/>
      <c r="V644" s="6"/>
      <c r="W644" s="7"/>
      <c r="X644" s="7"/>
      <c r="Y644" s="7"/>
      <c r="Z644" s="7"/>
    </row>
    <row r="645">
      <c r="A645" s="6"/>
      <c r="B645" s="6"/>
      <c r="C645" s="6"/>
      <c r="D645" s="6"/>
      <c r="E645" s="6"/>
      <c r="F645" s="6"/>
      <c r="G645" s="6"/>
      <c r="H645" s="6"/>
      <c r="I645" s="6"/>
      <c r="J645" s="6"/>
      <c r="K645" s="6"/>
      <c r="L645" s="80"/>
      <c r="M645" s="80"/>
      <c r="N645" s="80"/>
      <c r="O645" s="80"/>
      <c r="P645" s="6"/>
      <c r="Q645" s="6"/>
      <c r="R645" s="6"/>
      <c r="S645" s="6"/>
      <c r="T645" s="6"/>
      <c r="U645" s="6"/>
      <c r="V645" s="6"/>
      <c r="W645" s="7"/>
      <c r="X645" s="7"/>
      <c r="Y645" s="7"/>
      <c r="Z645" s="7"/>
    </row>
    <row r="646">
      <c r="A646" s="6"/>
      <c r="B646" s="6"/>
      <c r="C646" s="6"/>
      <c r="D646" s="6"/>
      <c r="E646" s="6"/>
      <c r="F646" s="6"/>
      <c r="G646" s="6"/>
      <c r="H646" s="6"/>
      <c r="I646" s="6"/>
      <c r="J646" s="6"/>
      <c r="K646" s="6"/>
      <c r="L646" s="80"/>
      <c r="M646" s="80"/>
      <c r="N646" s="80"/>
      <c r="O646" s="80"/>
      <c r="P646" s="6"/>
      <c r="Q646" s="6"/>
      <c r="R646" s="6"/>
      <c r="S646" s="6"/>
      <c r="T646" s="6"/>
      <c r="U646" s="6"/>
      <c r="V646" s="6"/>
      <c r="W646" s="7"/>
      <c r="X646" s="7"/>
      <c r="Y646" s="7"/>
      <c r="Z646" s="7"/>
    </row>
    <row r="647">
      <c r="A647" s="6"/>
      <c r="B647" s="6"/>
      <c r="C647" s="6"/>
      <c r="D647" s="6"/>
      <c r="E647" s="6"/>
      <c r="F647" s="6"/>
      <c r="G647" s="6"/>
      <c r="H647" s="6"/>
      <c r="I647" s="6"/>
      <c r="J647" s="6"/>
      <c r="K647" s="6"/>
      <c r="L647" s="80"/>
      <c r="M647" s="80"/>
      <c r="N647" s="80"/>
      <c r="O647" s="80"/>
      <c r="P647" s="6"/>
      <c r="Q647" s="6"/>
      <c r="R647" s="6"/>
      <c r="S647" s="6"/>
      <c r="T647" s="6"/>
      <c r="U647" s="6"/>
      <c r="V647" s="6"/>
      <c r="W647" s="7"/>
      <c r="X647" s="7"/>
      <c r="Y647" s="7"/>
      <c r="Z647" s="7"/>
    </row>
    <row r="648">
      <c r="A648" s="6"/>
      <c r="B648" s="6"/>
      <c r="C648" s="6"/>
      <c r="D648" s="6"/>
      <c r="E648" s="6"/>
      <c r="F648" s="6"/>
      <c r="G648" s="6"/>
      <c r="H648" s="6"/>
      <c r="I648" s="6"/>
      <c r="J648" s="6"/>
      <c r="K648" s="6"/>
      <c r="L648" s="80"/>
      <c r="M648" s="80"/>
      <c r="N648" s="80"/>
      <c r="O648" s="80"/>
      <c r="P648" s="6"/>
      <c r="Q648" s="6"/>
      <c r="R648" s="6"/>
      <c r="S648" s="6"/>
      <c r="T648" s="6"/>
      <c r="U648" s="6"/>
      <c r="V648" s="6"/>
      <c r="W648" s="7"/>
      <c r="X648" s="7"/>
      <c r="Y648" s="7"/>
      <c r="Z648" s="7"/>
    </row>
    <row r="649">
      <c r="A649" s="6"/>
      <c r="B649" s="6"/>
      <c r="C649" s="6"/>
      <c r="D649" s="6"/>
      <c r="E649" s="6"/>
      <c r="F649" s="6"/>
      <c r="G649" s="6"/>
      <c r="H649" s="6"/>
      <c r="I649" s="6"/>
      <c r="J649" s="6"/>
      <c r="K649" s="6"/>
      <c r="L649" s="80"/>
      <c r="M649" s="80"/>
      <c r="N649" s="80"/>
      <c r="O649" s="80"/>
      <c r="P649" s="6"/>
      <c r="Q649" s="6"/>
      <c r="R649" s="6"/>
      <c r="S649" s="6"/>
      <c r="T649" s="6"/>
      <c r="U649" s="6"/>
      <c r="V649" s="6"/>
      <c r="W649" s="7"/>
      <c r="X649" s="7"/>
      <c r="Y649" s="7"/>
      <c r="Z649" s="7"/>
    </row>
    <row r="650">
      <c r="A650" s="6"/>
      <c r="B650" s="6"/>
      <c r="C650" s="6"/>
      <c r="D650" s="6"/>
      <c r="E650" s="6"/>
      <c r="F650" s="6"/>
      <c r="G650" s="6"/>
      <c r="H650" s="6"/>
      <c r="I650" s="6"/>
      <c r="J650" s="6"/>
      <c r="K650" s="6"/>
      <c r="L650" s="80"/>
      <c r="M650" s="80"/>
      <c r="N650" s="80"/>
      <c r="O650" s="80"/>
      <c r="P650" s="6"/>
      <c r="Q650" s="6"/>
      <c r="R650" s="6"/>
      <c r="S650" s="6"/>
      <c r="T650" s="6"/>
      <c r="U650" s="6"/>
      <c r="V650" s="6"/>
      <c r="W650" s="7"/>
      <c r="X650" s="7"/>
      <c r="Y650" s="7"/>
      <c r="Z650" s="7"/>
    </row>
    <row r="651">
      <c r="A651" s="6"/>
      <c r="B651" s="6"/>
      <c r="C651" s="6"/>
      <c r="D651" s="6"/>
      <c r="E651" s="6"/>
      <c r="F651" s="6"/>
      <c r="G651" s="6"/>
      <c r="H651" s="6"/>
      <c r="I651" s="6"/>
      <c r="J651" s="6"/>
      <c r="K651" s="6"/>
      <c r="L651" s="80"/>
      <c r="M651" s="80"/>
      <c r="N651" s="80"/>
      <c r="O651" s="80"/>
      <c r="P651" s="6"/>
      <c r="Q651" s="6"/>
      <c r="R651" s="6"/>
      <c r="S651" s="6"/>
      <c r="T651" s="6"/>
      <c r="U651" s="6"/>
      <c r="V651" s="6"/>
      <c r="W651" s="7"/>
      <c r="X651" s="7"/>
      <c r="Y651" s="7"/>
      <c r="Z651" s="7"/>
    </row>
    <row r="652">
      <c r="A652" s="6"/>
      <c r="B652" s="6"/>
      <c r="C652" s="6"/>
      <c r="D652" s="6"/>
      <c r="E652" s="6"/>
      <c r="F652" s="6"/>
      <c r="G652" s="6"/>
      <c r="H652" s="6"/>
      <c r="I652" s="6"/>
      <c r="J652" s="6"/>
      <c r="K652" s="6"/>
      <c r="L652" s="80"/>
      <c r="M652" s="80"/>
      <c r="N652" s="80"/>
      <c r="O652" s="80"/>
      <c r="P652" s="6"/>
      <c r="Q652" s="6"/>
      <c r="R652" s="6"/>
      <c r="S652" s="6"/>
      <c r="T652" s="6"/>
      <c r="U652" s="6"/>
      <c r="V652" s="6"/>
      <c r="W652" s="7"/>
      <c r="X652" s="7"/>
      <c r="Y652" s="7"/>
      <c r="Z652" s="7"/>
    </row>
    <row r="653">
      <c r="A653" s="6"/>
      <c r="B653" s="6"/>
      <c r="C653" s="6"/>
      <c r="D653" s="6"/>
      <c r="E653" s="6"/>
      <c r="F653" s="6"/>
      <c r="G653" s="6"/>
      <c r="H653" s="6"/>
      <c r="I653" s="6"/>
      <c r="J653" s="6"/>
      <c r="K653" s="6"/>
      <c r="L653" s="80"/>
      <c r="M653" s="80"/>
      <c r="N653" s="80"/>
      <c r="O653" s="80"/>
      <c r="P653" s="6"/>
      <c r="Q653" s="6"/>
      <c r="R653" s="6"/>
      <c r="S653" s="6"/>
      <c r="T653" s="6"/>
      <c r="U653" s="6"/>
      <c r="V653" s="6"/>
      <c r="W653" s="7"/>
      <c r="X653" s="7"/>
      <c r="Y653" s="7"/>
      <c r="Z653" s="7"/>
    </row>
    <row r="654">
      <c r="A654" s="6"/>
      <c r="B654" s="6"/>
      <c r="C654" s="6"/>
      <c r="D654" s="6"/>
      <c r="E654" s="6"/>
      <c r="F654" s="6"/>
      <c r="G654" s="6"/>
      <c r="H654" s="6"/>
      <c r="I654" s="6"/>
      <c r="J654" s="6"/>
      <c r="K654" s="6"/>
      <c r="L654" s="80"/>
      <c r="M654" s="80"/>
      <c r="N654" s="80"/>
      <c r="O654" s="80"/>
      <c r="P654" s="6"/>
      <c r="Q654" s="6"/>
      <c r="R654" s="6"/>
      <c r="S654" s="6"/>
      <c r="T654" s="6"/>
      <c r="U654" s="6"/>
      <c r="V654" s="6"/>
      <c r="W654" s="7"/>
      <c r="X654" s="7"/>
      <c r="Y654" s="7"/>
      <c r="Z654" s="7"/>
    </row>
    <row r="655">
      <c r="A655" s="6"/>
      <c r="B655" s="6"/>
      <c r="C655" s="6"/>
      <c r="D655" s="6"/>
      <c r="E655" s="6"/>
      <c r="F655" s="6"/>
      <c r="G655" s="6"/>
      <c r="H655" s="6"/>
      <c r="I655" s="6"/>
      <c r="J655" s="6"/>
      <c r="K655" s="6"/>
      <c r="L655" s="80"/>
      <c r="M655" s="80"/>
      <c r="N655" s="80"/>
      <c r="O655" s="80"/>
      <c r="P655" s="6"/>
      <c r="Q655" s="6"/>
      <c r="R655" s="6"/>
      <c r="S655" s="6"/>
      <c r="T655" s="6"/>
      <c r="U655" s="6"/>
      <c r="V655" s="6"/>
      <c r="W655" s="7"/>
      <c r="X655" s="7"/>
      <c r="Y655" s="7"/>
      <c r="Z655" s="7"/>
    </row>
    <row r="656">
      <c r="A656" s="6"/>
      <c r="B656" s="6"/>
      <c r="C656" s="6"/>
      <c r="D656" s="6"/>
      <c r="E656" s="6"/>
      <c r="F656" s="6"/>
      <c r="G656" s="6"/>
      <c r="H656" s="6"/>
      <c r="I656" s="6"/>
      <c r="J656" s="6"/>
      <c r="K656" s="6"/>
      <c r="L656" s="80"/>
      <c r="M656" s="80"/>
      <c r="N656" s="80"/>
      <c r="O656" s="80"/>
      <c r="P656" s="6"/>
      <c r="Q656" s="6"/>
      <c r="R656" s="6"/>
      <c r="S656" s="6"/>
      <c r="T656" s="6"/>
      <c r="U656" s="6"/>
      <c r="V656" s="6"/>
      <c r="W656" s="7"/>
      <c r="X656" s="7"/>
      <c r="Y656" s="7"/>
      <c r="Z656" s="7"/>
    </row>
    <row r="657">
      <c r="A657" s="6"/>
      <c r="B657" s="6"/>
      <c r="C657" s="6"/>
      <c r="D657" s="6"/>
      <c r="E657" s="6"/>
      <c r="F657" s="6"/>
      <c r="G657" s="6"/>
      <c r="H657" s="6"/>
      <c r="I657" s="6"/>
      <c r="J657" s="6"/>
      <c r="K657" s="6"/>
      <c r="L657" s="80"/>
      <c r="M657" s="80"/>
      <c r="N657" s="80"/>
      <c r="O657" s="80"/>
      <c r="P657" s="6"/>
      <c r="Q657" s="6"/>
      <c r="R657" s="6"/>
      <c r="S657" s="6"/>
      <c r="T657" s="6"/>
      <c r="U657" s="6"/>
      <c r="V657" s="6"/>
      <c r="W657" s="7"/>
      <c r="X657" s="7"/>
      <c r="Y657" s="7"/>
      <c r="Z657" s="7"/>
    </row>
    <row r="658">
      <c r="A658" s="6"/>
      <c r="B658" s="6"/>
      <c r="C658" s="6"/>
      <c r="D658" s="6"/>
      <c r="E658" s="6"/>
      <c r="F658" s="6"/>
      <c r="G658" s="6"/>
      <c r="H658" s="6"/>
      <c r="I658" s="6"/>
      <c r="J658" s="6"/>
      <c r="K658" s="6"/>
      <c r="L658" s="80"/>
      <c r="M658" s="80"/>
      <c r="N658" s="80"/>
      <c r="O658" s="80"/>
      <c r="P658" s="6"/>
      <c r="Q658" s="6"/>
      <c r="R658" s="6"/>
      <c r="S658" s="6"/>
      <c r="T658" s="6"/>
      <c r="U658" s="6"/>
      <c r="V658" s="6"/>
      <c r="W658" s="7"/>
      <c r="X658" s="7"/>
      <c r="Y658" s="7"/>
      <c r="Z658" s="7"/>
    </row>
    <row r="659">
      <c r="A659" s="6"/>
      <c r="B659" s="6"/>
      <c r="C659" s="6"/>
      <c r="D659" s="6"/>
      <c r="E659" s="6"/>
      <c r="F659" s="6"/>
      <c r="G659" s="6"/>
      <c r="H659" s="6"/>
      <c r="I659" s="6"/>
      <c r="J659" s="6"/>
      <c r="K659" s="6"/>
      <c r="L659" s="80"/>
      <c r="M659" s="80"/>
      <c r="N659" s="80"/>
      <c r="O659" s="80"/>
      <c r="P659" s="6"/>
      <c r="Q659" s="6"/>
      <c r="R659" s="6"/>
      <c r="S659" s="6"/>
      <c r="T659" s="6"/>
      <c r="U659" s="6"/>
      <c r="V659" s="6"/>
      <c r="W659" s="7"/>
      <c r="X659" s="7"/>
      <c r="Y659" s="7"/>
      <c r="Z659" s="7"/>
    </row>
    <row r="660">
      <c r="A660" s="6"/>
      <c r="B660" s="6"/>
      <c r="C660" s="6"/>
      <c r="D660" s="6"/>
      <c r="E660" s="6"/>
      <c r="F660" s="6"/>
      <c r="G660" s="6"/>
      <c r="H660" s="6"/>
      <c r="I660" s="6"/>
      <c r="J660" s="6"/>
      <c r="K660" s="6"/>
      <c r="L660" s="80"/>
      <c r="M660" s="80"/>
      <c r="N660" s="80"/>
      <c r="O660" s="80"/>
      <c r="P660" s="6"/>
      <c r="Q660" s="6"/>
      <c r="R660" s="6"/>
      <c r="S660" s="6"/>
      <c r="T660" s="6"/>
      <c r="U660" s="6"/>
      <c r="V660" s="6"/>
      <c r="W660" s="7"/>
      <c r="X660" s="7"/>
      <c r="Y660" s="7"/>
      <c r="Z660" s="7"/>
    </row>
    <row r="661">
      <c r="A661" s="6"/>
      <c r="B661" s="6"/>
      <c r="C661" s="6"/>
      <c r="D661" s="6"/>
      <c r="E661" s="6"/>
      <c r="F661" s="6"/>
      <c r="G661" s="6"/>
      <c r="H661" s="6"/>
      <c r="I661" s="6"/>
      <c r="J661" s="6"/>
      <c r="K661" s="6"/>
      <c r="L661" s="80"/>
      <c r="M661" s="80"/>
      <c r="N661" s="80"/>
      <c r="O661" s="80"/>
      <c r="P661" s="6"/>
      <c r="Q661" s="6"/>
      <c r="R661" s="6"/>
      <c r="S661" s="6"/>
      <c r="T661" s="6"/>
      <c r="U661" s="6"/>
      <c r="V661" s="6"/>
      <c r="W661" s="7"/>
      <c r="X661" s="7"/>
      <c r="Y661" s="7"/>
      <c r="Z661" s="7"/>
    </row>
    <row r="662">
      <c r="A662" s="6"/>
      <c r="B662" s="6"/>
      <c r="C662" s="6"/>
      <c r="D662" s="6"/>
      <c r="E662" s="6"/>
      <c r="F662" s="6"/>
      <c r="G662" s="6"/>
      <c r="H662" s="6"/>
      <c r="I662" s="6"/>
      <c r="J662" s="6"/>
      <c r="K662" s="6"/>
      <c r="L662" s="80"/>
      <c r="M662" s="80"/>
      <c r="N662" s="80"/>
      <c r="O662" s="80"/>
      <c r="P662" s="6"/>
      <c r="Q662" s="6"/>
      <c r="R662" s="6"/>
      <c r="S662" s="6"/>
      <c r="T662" s="6"/>
      <c r="U662" s="6"/>
      <c r="V662" s="6"/>
      <c r="W662" s="7"/>
      <c r="X662" s="7"/>
      <c r="Y662" s="7"/>
      <c r="Z662" s="7"/>
    </row>
    <row r="663">
      <c r="A663" s="6"/>
      <c r="B663" s="6"/>
      <c r="C663" s="6"/>
      <c r="D663" s="6"/>
      <c r="E663" s="6"/>
      <c r="F663" s="6"/>
      <c r="G663" s="6"/>
      <c r="H663" s="6"/>
      <c r="I663" s="6"/>
      <c r="J663" s="6"/>
      <c r="K663" s="6"/>
      <c r="L663" s="80"/>
      <c r="M663" s="80"/>
      <c r="N663" s="80"/>
      <c r="O663" s="80"/>
      <c r="P663" s="6"/>
      <c r="Q663" s="6"/>
      <c r="R663" s="6"/>
      <c r="S663" s="6"/>
      <c r="T663" s="6"/>
      <c r="U663" s="6"/>
      <c r="V663" s="6"/>
      <c r="W663" s="7"/>
      <c r="X663" s="7"/>
      <c r="Y663" s="7"/>
      <c r="Z663" s="7"/>
    </row>
    <row r="664">
      <c r="A664" s="6"/>
      <c r="B664" s="6"/>
      <c r="C664" s="6"/>
      <c r="D664" s="6"/>
      <c r="E664" s="6"/>
      <c r="F664" s="6"/>
      <c r="G664" s="6"/>
      <c r="H664" s="6"/>
      <c r="I664" s="6"/>
      <c r="J664" s="6"/>
      <c r="K664" s="6"/>
      <c r="L664" s="80"/>
      <c r="M664" s="80"/>
      <c r="N664" s="80"/>
      <c r="O664" s="80"/>
      <c r="P664" s="6"/>
      <c r="Q664" s="6"/>
      <c r="R664" s="6"/>
      <c r="S664" s="6"/>
      <c r="T664" s="6"/>
      <c r="U664" s="6"/>
      <c r="V664" s="6"/>
      <c r="W664" s="7"/>
      <c r="X664" s="7"/>
      <c r="Y664" s="7"/>
      <c r="Z664" s="7"/>
    </row>
    <row r="665">
      <c r="A665" s="6"/>
      <c r="B665" s="6"/>
      <c r="C665" s="6"/>
      <c r="D665" s="6"/>
      <c r="E665" s="6"/>
      <c r="F665" s="6"/>
      <c r="G665" s="6"/>
      <c r="H665" s="6"/>
      <c r="I665" s="6"/>
      <c r="J665" s="6"/>
      <c r="K665" s="6"/>
      <c r="L665" s="80"/>
      <c r="M665" s="80"/>
      <c r="N665" s="80"/>
      <c r="O665" s="80"/>
      <c r="P665" s="6"/>
      <c r="Q665" s="6"/>
      <c r="R665" s="6"/>
      <c r="S665" s="6"/>
      <c r="T665" s="6"/>
      <c r="U665" s="6"/>
      <c r="V665" s="6"/>
      <c r="W665" s="7"/>
      <c r="X665" s="7"/>
      <c r="Y665" s="7"/>
      <c r="Z665" s="7"/>
    </row>
    <row r="666">
      <c r="A666" s="6"/>
      <c r="B666" s="6"/>
      <c r="C666" s="6"/>
      <c r="D666" s="6"/>
      <c r="E666" s="6"/>
      <c r="F666" s="6"/>
      <c r="G666" s="6"/>
      <c r="H666" s="6"/>
      <c r="I666" s="6"/>
      <c r="J666" s="6"/>
      <c r="K666" s="6"/>
      <c r="L666" s="80"/>
      <c r="M666" s="80"/>
      <c r="N666" s="80"/>
      <c r="O666" s="80"/>
      <c r="P666" s="6"/>
      <c r="Q666" s="6"/>
      <c r="R666" s="6"/>
      <c r="S666" s="6"/>
      <c r="T666" s="6"/>
      <c r="U666" s="6"/>
      <c r="V666" s="6"/>
      <c r="W666" s="7"/>
      <c r="X666" s="7"/>
      <c r="Y666" s="7"/>
      <c r="Z666" s="7"/>
    </row>
    <row r="667">
      <c r="A667" s="6"/>
      <c r="B667" s="6"/>
      <c r="C667" s="6"/>
      <c r="D667" s="6"/>
      <c r="E667" s="6"/>
      <c r="F667" s="6"/>
      <c r="G667" s="6"/>
      <c r="H667" s="6"/>
      <c r="I667" s="6"/>
      <c r="J667" s="6"/>
      <c r="K667" s="6"/>
      <c r="L667" s="80"/>
      <c r="M667" s="80"/>
      <c r="N667" s="80"/>
      <c r="O667" s="80"/>
      <c r="P667" s="6"/>
      <c r="Q667" s="6"/>
      <c r="R667" s="6"/>
      <c r="S667" s="6"/>
      <c r="T667" s="6"/>
      <c r="U667" s="6"/>
      <c r="V667" s="6"/>
      <c r="W667" s="7"/>
      <c r="X667" s="7"/>
      <c r="Y667" s="7"/>
      <c r="Z667" s="7"/>
    </row>
    <row r="668">
      <c r="A668" s="6"/>
      <c r="B668" s="6"/>
      <c r="C668" s="6"/>
      <c r="D668" s="6"/>
      <c r="E668" s="6"/>
      <c r="F668" s="6"/>
      <c r="G668" s="6"/>
      <c r="H668" s="6"/>
      <c r="I668" s="6"/>
      <c r="J668" s="6"/>
      <c r="K668" s="6"/>
      <c r="L668" s="80"/>
      <c r="M668" s="80"/>
      <c r="N668" s="80"/>
      <c r="O668" s="80"/>
      <c r="P668" s="6"/>
      <c r="Q668" s="6"/>
      <c r="R668" s="6"/>
      <c r="S668" s="6"/>
      <c r="T668" s="6"/>
      <c r="U668" s="6"/>
      <c r="V668" s="6"/>
      <c r="W668" s="7"/>
      <c r="X668" s="7"/>
      <c r="Y668" s="7"/>
      <c r="Z668" s="7"/>
    </row>
    <row r="669">
      <c r="A669" s="6"/>
      <c r="B669" s="6"/>
      <c r="C669" s="6"/>
      <c r="D669" s="6"/>
      <c r="E669" s="6"/>
      <c r="F669" s="6"/>
      <c r="G669" s="6"/>
      <c r="H669" s="6"/>
      <c r="I669" s="6"/>
      <c r="J669" s="6"/>
      <c r="K669" s="6"/>
      <c r="L669" s="80"/>
      <c r="M669" s="80"/>
      <c r="N669" s="80"/>
      <c r="O669" s="80"/>
      <c r="P669" s="6"/>
      <c r="Q669" s="6"/>
      <c r="R669" s="6"/>
      <c r="S669" s="6"/>
      <c r="T669" s="6"/>
      <c r="U669" s="6"/>
      <c r="V669" s="6"/>
      <c r="W669" s="7"/>
      <c r="X669" s="7"/>
      <c r="Y669" s="7"/>
      <c r="Z669" s="7"/>
    </row>
    <row r="670">
      <c r="A670" s="6"/>
      <c r="B670" s="6"/>
      <c r="C670" s="6"/>
      <c r="D670" s="6"/>
      <c r="E670" s="6"/>
      <c r="F670" s="6"/>
      <c r="G670" s="6"/>
      <c r="H670" s="6"/>
      <c r="I670" s="6"/>
      <c r="J670" s="6"/>
      <c r="K670" s="6"/>
      <c r="L670" s="80"/>
      <c r="M670" s="80"/>
      <c r="N670" s="80"/>
      <c r="O670" s="80"/>
      <c r="P670" s="6"/>
      <c r="Q670" s="6"/>
      <c r="R670" s="6"/>
      <c r="S670" s="6"/>
      <c r="T670" s="6"/>
      <c r="U670" s="6"/>
      <c r="V670" s="6"/>
      <c r="W670" s="7"/>
      <c r="X670" s="7"/>
      <c r="Y670" s="7"/>
      <c r="Z670" s="7"/>
    </row>
    <row r="671">
      <c r="A671" s="6"/>
      <c r="B671" s="6"/>
      <c r="C671" s="6"/>
      <c r="D671" s="6"/>
      <c r="E671" s="6"/>
      <c r="F671" s="6"/>
      <c r="G671" s="6"/>
      <c r="H671" s="6"/>
      <c r="I671" s="6"/>
      <c r="J671" s="6"/>
      <c r="K671" s="6"/>
      <c r="L671" s="80"/>
      <c r="M671" s="80"/>
      <c r="N671" s="80"/>
      <c r="O671" s="80"/>
      <c r="P671" s="6"/>
      <c r="Q671" s="6"/>
      <c r="R671" s="6"/>
      <c r="S671" s="6"/>
      <c r="T671" s="6"/>
      <c r="U671" s="6"/>
      <c r="V671" s="6"/>
      <c r="W671" s="7"/>
      <c r="X671" s="7"/>
      <c r="Y671" s="7"/>
      <c r="Z671" s="7"/>
    </row>
    <row r="672">
      <c r="A672" s="6"/>
      <c r="B672" s="6"/>
      <c r="C672" s="6"/>
      <c r="D672" s="6"/>
      <c r="E672" s="6"/>
      <c r="F672" s="6"/>
      <c r="G672" s="6"/>
      <c r="H672" s="6"/>
      <c r="I672" s="6"/>
      <c r="J672" s="6"/>
      <c r="K672" s="6"/>
      <c r="L672" s="80"/>
      <c r="M672" s="80"/>
      <c r="N672" s="80"/>
      <c r="O672" s="80"/>
      <c r="P672" s="6"/>
      <c r="Q672" s="6"/>
      <c r="R672" s="6"/>
      <c r="S672" s="6"/>
      <c r="T672" s="6"/>
      <c r="U672" s="6"/>
      <c r="V672" s="6"/>
      <c r="W672" s="7"/>
      <c r="X672" s="7"/>
      <c r="Y672" s="7"/>
      <c r="Z672" s="7"/>
    </row>
    <row r="673">
      <c r="A673" s="6"/>
      <c r="B673" s="6"/>
      <c r="C673" s="6"/>
      <c r="D673" s="6"/>
      <c r="E673" s="6"/>
      <c r="F673" s="6"/>
      <c r="G673" s="6"/>
      <c r="H673" s="6"/>
      <c r="I673" s="6"/>
      <c r="J673" s="6"/>
      <c r="K673" s="6"/>
      <c r="L673" s="80"/>
      <c r="M673" s="80"/>
      <c r="N673" s="80"/>
      <c r="O673" s="80"/>
      <c r="P673" s="6"/>
      <c r="Q673" s="6"/>
      <c r="R673" s="6"/>
      <c r="S673" s="6"/>
      <c r="T673" s="6"/>
      <c r="U673" s="6"/>
      <c r="V673" s="6"/>
      <c r="W673" s="7"/>
      <c r="X673" s="7"/>
      <c r="Y673" s="7"/>
      <c r="Z673" s="7"/>
    </row>
    <row r="674">
      <c r="A674" s="6"/>
      <c r="B674" s="6"/>
      <c r="C674" s="6"/>
      <c r="D674" s="6"/>
      <c r="E674" s="6"/>
      <c r="F674" s="6"/>
      <c r="G674" s="6"/>
      <c r="H674" s="6"/>
      <c r="I674" s="6"/>
      <c r="J674" s="6"/>
      <c r="K674" s="6"/>
      <c r="L674" s="80"/>
      <c r="M674" s="80"/>
      <c r="N674" s="80"/>
      <c r="O674" s="80"/>
      <c r="P674" s="6"/>
      <c r="Q674" s="6"/>
      <c r="R674" s="6"/>
      <c r="S674" s="6"/>
      <c r="T674" s="6"/>
      <c r="U674" s="6"/>
      <c r="V674" s="6"/>
      <c r="W674" s="7"/>
      <c r="X674" s="7"/>
      <c r="Y674" s="7"/>
      <c r="Z674" s="7"/>
    </row>
    <row r="675">
      <c r="A675" s="6"/>
      <c r="B675" s="6"/>
      <c r="C675" s="6"/>
      <c r="D675" s="6"/>
      <c r="E675" s="6"/>
      <c r="F675" s="6"/>
      <c r="G675" s="6"/>
      <c r="H675" s="6"/>
      <c r="I675" s="6"/>
      <c r="J675" s="6"/>
      <c r="K675" s="6"/>
      <c r="L675" s="80"/>
      <c r="M675" s="80"/>
      <c r="N675" s="80"/>
      <c r="O675" s="80"/>
      <c r="P675" s="6"/>
      <c r="Q675" s="6"/>
      <c r="R675" s="6"/>
      <c r="S675" s="6"/>
      <c r="T675" s="6"/>
      <c r="U675" s="6"/>
      <c r="V675" s="6"/>
      <c r="W675" s="7"/>
      <c r="X675" s="7"/>
      <c r="Y675" s="7"/>
      <c r="Z675" s="7"/>
    </row>
    <row r="676">
      <c r="A676" s="6"/>
      <c r="B676" s="6"/>
      <c r="C676" s="6"/>
      <c r="D676" s="6"/>
      <c r="E676" s="6"/>
      <c r="F676" s="6"/>
      <c r="G676" s="6"/>
      <c r="H676" s="6"/>
      <c r="I676" s="6"/>
      <c r="J676" s="6"/>
      <c r="K676" s="6"/>
      <c r="L676" s="80"/>
      <c r="M676" s="80"/>
      <c r="N676" s="80"/>
      <c r="O676" s="80"/>
      <c r="P676" s="6"/>
      <c r="Q676" s="6"/>
      <c r="R676" s="6"/>
      <c r="S676" s="6"/>
      <c r="T676" s="6"/>
      <c r="U676" s="6"/>
      <c r="V676" s="6"/>
      <c r="W676" s="7"/>
      <c r="X676" s="7"/>
      <c r="Y676" s="7"/>
      <c r="Z676" s="7"/>
    </row>
    <row r="677">
      <c r="A677" s="6"/>
      <c r="B677" s="6"/>
      <c r="C677" s="6"/>
      <c r="D677" s="6"/>
      <c r="E677" s="6"/>
      <c r="F677" s="6"/>
      <c r="G677" s="6"/>
      <c r="H677" s="6"/>
      <c r="I677" s="6"/>
      <c r="J677" s="6"/>
      <c r="K677" s="6"/>
      <c r="L677" s="80"/>
      <c r="M677" s="80"/>
      <c r="N677" s="80"/>
      <c r="O677" s="80"/>
      <c r="P677" s="6"/>
      <c r="Q677" s="6"/>
      <c r="R677" s="6"/>
      <c r="S677" s="6"/>
      <c r="T677" s="6"/>
      <c r="U677" s="6"/>
      <c r="V677" s="6"/>
      <c r="W677" s="7"/>
      <c r="X677" s="7"/>
      <c r="Y677" s="7"/>
      <c r="Z677" s="7"/>
    </row>
    <row r="678">
      <c r="A678" s="6"/>
      <c r="B678" s="6"/>
      <c r="C678" s="6"/>
      <c r="D678" s="6"/>
      <c r="E678" s="6"/>
      <c r="F678" s="6"/>
      <c r="G678" s="6"/>
      <c r="H678" s="6"/>
      <c r="I678" s="6"/>
      <c r="J678" s="6"/>
      <c r="K678" s="6"/>
      <c r="L678" s="80"/>
      <c r="M678" s="80"/>
      <c r="N678" s="80"/>
      <c r="O678" s="80"/>
      <c r="P678" s="6"/>
      <c r="Q678" s="6"/>
      <c r="R678" s="6"/>
      <c r="S678" s="6"/>
      <c r="T678" s="6"/>
      <c r="U678" s="6"/>
      <c r="V678" s="6"/>
      <c r="W678" s="7"/>
      <c r="X678" s="7"/>
      <c r="Y678" s="7"/>
      <c r="Z678" s="7"/>
    </row>
    <row r="679">
      <c r="A679" s="6"/>
      <c r="B679" s="6"/>
      <c r="C679" s="6"/>
      <c r="D679" s="6"/>
      <c r="E679" s="6"/>
      <c r="F679" s="6"/>
      <c r="G679" s="6"/>
      <c r="H679" s="6"/>
      <c r="I679" s="6"/>
      <c r="J679" s="6"/>
      <c r="K679" s="6"/>
      <c r="L679" s="80"/>
      <c r="M679" s="80"/>
      <c r="N679" s="80"/>
      <c r="O679" s="80"/>
      <c r="P679" s="6"/>
      <c r="Q679" s="6"/>
      <c r="R679" s="6"/>
      <c r="S679" s="6"/>
      <c r="T679" s="6"/>
      <c r="U679" s="6"/>
      <c r="V679" s="6"/>
      <c r="W679" s="7"/>
      <c r="X679" s="7"/>
      <c r="Y679" s="7"/>
      <c r="Z679" s="7"/>
    </row>
    <row r="680">
      <c r="A680" s="6"/>
      <c r="B680" s="6"/>
      <c r="C680" s="6"/>
      <c r="D680" s="6"/>
      <c r="E680" s="6"/>
      <c r="F680" s="6"/>
      <c r="G680" s="6"/>
      <c r="H680" s="6"/>
      <c r="I680" s="6"/>
      <c r="J680" s="6"/>
      <c r="K680" s="6"/>
      <c r="L680" s="80"/>
      <c r="M680" s="80"/>
      <c r="N680" s="80"/>
      <c r="O680" s="80"/>
      <c r="P680" s="6"/>
      <c r="Q680" s="6"/>
      <c r="R680" s="6"/>
      <c r="S680" s="6"/>
      <c r="T680" s="6"/>
      <c r="U680" s="6"/>
      <c r="V680" s="6"/>
      <c r="W680" s="7"/>
      <c r="X680" s="7"/>
      <c r="Y680" s="7"/>
      <c r="Z680" s="7"/>
    </row>
    <row r="681">
      <c r="A681" s="6"/>
      <c r="B681" s="6"/>
      <c r="C681" s="6"/>
      <c r="D681" s="6"/>
      <c r="E681" s="6"/>
      <c r="F681" s="6"/>
      <c r="G681" s="6"/>
      <c r="H681" s="6"/>
      <c r="I681" s="6"/>
      <c r="J681" s="6"/>
      <c r="K681" s="6"/>
      <c r="L681" s="80"/>
      <c r="M681" s="80"/>
      <c r="N681" s="80"/>
      <c r="O681" s="80"/>
      <c r="P681" s="6"/>
      <c r="Q681" s="6"/>
      <c r="R681" s="6"/>
      <c r="S681" s="6"/>
      <c r="T681" s="6"/>
      <c r="U681" s="6"/>
      <c r="V681" s="6"/>
      <c r="W681" s="7"/>
      <c r="X681" s="7"/>
      <c r="Y681" s="7"/>
      <c r="Z681" s="7"/>
    </row>
    <row r="682">
      <c r="A682" s="6"/>
      <c r="B682" s="6"/>
      <c r="C682" s="6"/>
      <c r="D682" s="6"/>
      <c r="E682" s="6"/>
      <c r="F682" s="6"/>
      <c r="G682" s="6"/>
      <c r="H682" s="6"/>
      <c r="I682" s="6"/>
      <c r="J682" s="6"/>
      <c r="K682" s="6"/>
      <c r="L682" s="80"/>
      <c r="M682" s="80"/>
      <c r="N682" s="80"/>
      <c r="O682" s="80"/>
      <c r="P682" s="6"/>
      <c r="Q682" s="6"/>
      <c r="R682" s="6"/>
      <c r="S682" s="6"/>
      <c r="T682" s="6"/>
      <c r="U682" s="6"/>
      <c r="V682" s="6"/>
      <c r="W682" s="7"/>
      <c r="X682" s="7"/>
      <c r="Y682" s="7"/>
      <c r="Z682" s="7"/>
    </row>
    <row r="683">
      <c r="A683" s="6"/>
      <c r="B683" s="6"/>
      <c r="C683" s="6"/>
      <c r="D683" s="6"/>
      <c r="E683" s="6"/>
      <c r="F683" s="6"/>
      <c r="G683" s="6"/>
      <c r="H683" s="6"/>
      <c r="I683" s="6"/>
      <c r="J683" s="6"/>
      <c r="K683" s="6"/>
      <c r="L683" s="80"/>
      <c r="M683" s="80"/>
      <c r="N683" s="80"/>
      <c r="O683" s="80"/>
      <c r="P683" s="6"/>
      <c r="Q683" s="6"/>
      <c r="R683" s="6"/>
      <c r="S683" s="6"/>
      <c r="T683" s="6"/>
      <c r="U683" s="6"/>
      <c r="V683" s="6"/>
      <c r="W683" s="7"/>
      <c r="X683" s="7"/>
      <c r="Y683" s="7"/>
      <c r="Z683" s="7"/>
    </row>
    <row r="684">
      <c r="A684" s="6"/>
      <c r="B684" s="6"/>
      <c r="C684" s="6"/>
      <c r="D684" s="6"/>
      <c r="E684" s="6"/>
      <c r="F684" s="6"/>
      <c r="G684" s="6"/>
      <c r="H684" s="6"/>
      <c r="I684" s="6"/>
      <c r="J684" s="6"/>
      <c r="K684" s="6"/>
      <c r="L684" s="80"/>
      <c r="M684" s="80"/>
      <c r="N684" s="80"/>
      <c r="O684" s="80"/>
      <c r="P684" s="6"/>
      <c r="Q684" s="6"/>
      <c r="R684" s="6"/>
      <c r="S684" s="6"/>
      <c r="T684" s="6"/>
      <c r="U684" s="6"/>
      <c r="V684" s="6"/>
      <c r="W684" s="7"/>
      <c r="X684" s="7"/>
      <c r="Y684" s="7"/>
      <c r="Z684" s="7"/>
    </row>
    <row r="685">
      <c r="A685" s="6"/>
      <c r="B685" s="6"/>
      <c r="C685" s="6"/>
      <c r="D685" s="6"/>
      <c r="E685" s="6"/>
      <c r="F685" s="6"/>
      <c r="G685" s="6"/>
      <c r="H685" s="6"/>
      <c r="I685" s="6"/>
      <c r="J685" s="6"/>
      <c r="K685" s="6"/>
      <c r="L685" s="80"/>
      <c r="M685" s="80"/>
      <c r="N685" s="80"/>
      <c r="O685" s="80"/>
      <c r="P685" s="6"/>
      <c r="Q685" s="6"/>
      <c r="R685" s="6"/>
      <c r="S685" s="6"/>
      <c r="T685" s="6"/>
      <c r="U685" s="6"/>
      <c r="V685" s="6"/>
      <c r="W685" s="7"/>
      <c r="X685" s="7"/>
      <c r="Y685" s="7"/>
      <c r="Z685" s="7"/>
    </row>
    <row r="686">
      <c r="A686" s="6"/>
      <c r="B686" s="6"/>
      <c r="C686" s="6"/>
      <c r="D686" s="6"/>
      <c r="E686" s="6"/>
      <c r="F686" s="6"/>
      <c r="G686" s="6"/>
      <c r="H686" s="6"/>
      <c r="I686" s="6"/>
      <c r="J686" s="6"/>
      <c r="K686" s="6"/>
      <c r="L686" s="80"/>
      <c r="M686" s="80"/>
      <c r="N686" s="80"/>
      <c r="O686" s="80"/>
      <c r="P686" s="6"/>
      <c r="Q686" s="6"/>
      <c r="R686" s="6"/>
      <c r="S686" s="6"/>
      <c r="T686" s="6"/>
      <c r="U686" s="6"/>
      <c r="V686" s="6"/>
      <c r="W686" s="7"/>
      <c r="X686" s="7"/>
      <c r="Y686" s="7"/>
      <c r="Z686" s="7"/>
    </row>
    <row r="687">
      <c r="A687" s="6"/>
      <c r="B687" s="6"/>
      <c r="C687" s="6"/>
      <c r="D687" s="6"/>
      <c r="E687" s="6"/>
      <c r="F687" s="6"/>
      <c r="G687" s="6"/>
      <c r="H687" s="6"/>
      <c r="I687" s="6"/>
      <c r="J687" s="6"/>
      <c r="K687" s="6"/>
      <c r="L687" s="80"/>
      <c r="M687" s="80"/>
      <c r="N687" s="80"/>
      <c r="O687" s="80"/>
      <c r="P687" s="6"/>
      <c r="Q687" s="6"/>
      <c r="R687" s="6"/>
      <c r="S687" s="6"/>
      <c r="T687" s="6"/>
      <c r="U687" s="6"/>
      <c r="V687" s="6"/>
      <c r="W687" s="7"/>
      <c r="X687" s="7"/>
      <c r="Y687" s="7"/>
      <c r="Z687" s="7"/>
    </row>
    <row r="688">
      <c r="A688" s="6"/>
      <c r="B688" s="6"/>
      <c r="C688" s="6"/>
      <c r="D688" s="6"/>
      <c r="E688" s="6"/>
      <c r="F688" s="6"/>
      <c r="G688" s="6"/>
      <c r="H688" s="6"/>
      <c r="I688" s="6"/>
      <c r="J688" s="6"/>
      <c r="K688" s="6"/>
      <c r="L688" s="80"/>
      <c r="M688" s="80"/>
      <c r="N688" s="80"/>
      <c r="O688" s="80"/>
      <c r="P688" s="6"/>
      <c r="Q688" s="6"/>
      <c r="R688" s="6"/>
      <c r="S688" s="6"/>
      <c r="T688" s="6"/>
      <c r="U688" s="6"/>
      <c r="V688" s="6"/>
      <c r="W688" s="7"/>
      <c r="X688" s="7"/>
      <c r="Y688" s="7"/>
      <c r="Z688" s="7"/>
    </row>
    <row r="689">
      <c r="A689" s="6"/>
      <c r="B689" s="6"/>
      <c r="C689" s="6"/>
      <c r="D689" s="6"/>
      <c r="E689" s="6"/>
      <c r="F689" s="6"/>
      <c r="G689" s="6"/>
      <c r="H689" s="6"/>
      <c r="I689" s="6"/>
      <c r="J689" s="6"/>
      <c r="K689" s="6"/>
      <c r="L689" s="80"/>
      <c r="M689" s="80"/>
      <c r="N689" s="80"/>
      <c r="O689" s="80"/>
      <c r="P689" s="6"/>
      <c r="Q689" s="6"/>
      <c r="R689" s="6"/>
      <c r="S689" s="6"/>
      <c r="T689" s="6"/>
      <c r="U689" s="6"/>
      <c r="V689" s="6"/>
      <c r="W689" s="7"/>
      <c r="X689" s="7"/>
      <c r="Y689" s="7"/>
      <c r="Z689" s="7"/>
    </row>
    <row r="690">
      <c r="A690" s="6"/>
      <c r="B690" s="6"/>
      <c r="C690" s="6"/>
      <c r="D690" s="6"/>
      <c r="E690" s="6"/>
      <c r="F690" s="6"/>
      <c r="G690" s="6"/>
      <c r="H690" s="6"/>
      <c r="I690" s="6"/>
      <c r="J690" s="6"/>
      <c r="K690" s="6"/>
      <c r="L690" s="80"/>
      <c r="M690" s="80"/>
      <c r="N690" s="80"/>
      <c r="O690" s="80"/>
      <c r="P690" s="6"/>
      <c r="Q690" s="6"/>
      <c r="R690" s="6"/>
      <c r="S690" s="6"/>
      <c r="T690" s="6"/>
      <c r="U690" s="6"/>
      <c r="V690" s="6"/>
      <c r="W690" s="7"/>
      <c r="X690" s="7"/>
      <c r="Y690" s="7"/>
      <c r="Z690" s="7"/>
    </row>
    <row r="691">
      <c r="A691" s="6"/>
      <c r="B691" s="6"/>
      <c r="C691" s="6"/>
      <c r="D691" s="6"/>
      <c r="E691" s="6"/>
      <c r="F691" s="6"/>
      <c r="G691" s="6"/>
      <c r="H691" s="6"/>
      <c r="I691" s="6"/>
      <c r="J691" s="6"/>
      <c r="K691" s="6"/>
      <c r="L691" s="80"/>
      <c r="M691" s="80"/>
      <c r="N691" s="80"/>
      <c r="O691" s="80"/>
      <c r="P691" s="6"/>
      <c r="Q691" s="6"/>
      <c r="R691" s="6"/>
      <c r="S691" s="6"/>
      <c r="T691" s="6"/>
      <c r="U691" s="6"/>
      <c r="V691" s="6"/>
      <c r="W691" s="7"/>
      <c r="X691" s="7"/>
      <c r="Y691" s="7"/>
      <c r="Z691" s="7"/>
    </row>
    <row r="692">
      <c r="A692" s="6"/>
      <c r="B692" s="6"/>
      <c r="C692" s="6"/>
      <c r="D692" s="6"/>
      <c r="E692" s="6"/>
      <c r="F692" s="6"/>
      <c r="G692" s="6"/>
      <c r="H692" s="6"/>
      <c r="I692" s="6"/>
      <c r="J692" s="6"/>
      <c r="K692" s="6"/>
      <c r="L692" s="80"/>
      <c r="M692" s="80"/>
      <c r="N692" s="80"/>
      <c r="O692" s="80"/>
      <c r="P692" s="6"/>
      <c r="Q692" s="6"/>
      <c r="R692" s="6"/>
      <c r="S692" s="6"/>
      <c r="T692" s="6"/>
      <c r="U692" s="6"/>
      <c r="V692" s="6"/>
      <c r="W692" s="7"/>
      <c r="X692" s="7"/>
      <c r="Y692" s="7"/>
      <c r="Z692" s="7"/>
    </row>
    <row r="693">
      <c r="A693" s="6"/>
      <c r="B693" s="6"/>
      <c r="C693" s="6"/>
      <c r="D693" s="6"/>
      <c r="E693" s="6"/>
      <c r="F693" s="6"/>
      <c r="G693" s="6"/>
      <c r="H693" s="6"/>
      <c r="I693" s="6"/>
      <c r="J693" s="6"/>
      <c r="K693" s="6"/>
      <c r="L693" s="80"/>
      <c r="M693" s="80"/>
      <c r="N693" s="80"/>
      <c r="O693" s="80"/>
      <c r="P693" s="6"/>
      <c r="Q693" s="6"/>
      <c r="R693" s="6"/>
      <c r="S693" s="6"/>
      <c r="T693" s="6"/>
      <c r="U693" s="6"/>
      <c r="V693" s="6"/>
      <c r="W693" s="7"/>
      <c r="X693" s="7"/>
      <c r="Y693" s="7"/>
      <c r="Z693" s="7"/>
    </row>
    <row r="694">
      <c r="A694" s="6"/>
      <c r="B694" s="6"/>
      <c r="C694" s="6"/>
      <c r="D694" s="6"/>
      <c r="E694" s="6"/>
      <c r="F694" s="6"/>
      <c r="G694" s="6"/>
      <c r="H694" s="6"/>
      <c r="I694" s="6"/>
      <c r="J694" s="6"/>
      <c r="K694" s="6"/>
      <c r="L694" s="80"/>
      <c r="M694" s="80"/>
      <c r="N694" s="80"/>
      <c r="O694" s="80"/>
      <c r="P694" s="6"/>
      <c r="Q694" s="6"/>
      <c r="R694" s="6"/>
      <c r="S694" s="6"/>
      <c r="T694" s="6"/>
      <c r="U694" s="6"/>
      <c r="V694" s="6"/>
      <c r="W694" s="7"/>
      <c r="X694" s="7"/>
      <c r="Y694" s="7"/>
      <c r="Z694" s="7"/>
    </row>
    <row r="695">
      <c r="A695" s="6"/>
      <c r="B695" s="6"/>
      <c r="C695" s="6"/>
      <c r="D695" s="6"/>
      <c r="E695" s="6"/>
      <c r="F695" s="6"/>
      <c r="G695" s="6"/>
      <c r="H695" s="6"/>
      <c r="I695" s="6"/>
      <c r="J695" s="6"/>
      <c r="K695" s="6"/>
      <c r="L695" s="80"/>
      <c r="M695" s="80"/>
      <c r="N695" s="80"/>
      <c r="O695" s="80"/>
      <c r="P695" s="6"/>
      <c r="Q695" s="6"/>
      <c r="R695" s="6"/>
      <c r="S695" s="6"/>
      <c r="T695" s="6"/>
      <c r="U695" s="6"/>
      <c r="V695" s="6"/>
      <c r="W695" s="7"/>
      <c r="X695" s="7"/>
      <c r="Y695" s="7"/>
      <c r="Z695" s="7"/>
    </row>
    <row r="696">
      <c r="A696" s="6"/>
      <c r="B696" s="6"/>
      <c r="C696" s="6"/>
      <c r="D696" s="6"/>
      <c r="E696" s="6"/>
      <c r="F696" s="6"/>
      <c r="G696" s="6"/>
      <c r="H696" s="6"/>
      <c r="I696" s="6"/>
      <c r="J696" s="6"/>
      <c r="K696" s="6"/>
      <c r="L696" s="80"/>
      <c r="M696" s="80"/>
      <c r="N696" s="80"/>
      <c r="O696" s="80"/>
      <c r="P696" s="6"/>
      <c r="Q696" s="6"/>
      <c r="R696" s="6"/>
      <c r="S696" s="6"/>
      <c r="T696" s="6"/>
      <c r="U696" s="6"/>
      <c r="V696" s="6"/>
      <c r="W696" s="7"/>
      <c r="X696" s="7"/>
      <c r="Y696" s="7"/>
      <c r="Z696" s="7"/>
    </row>
    <row r="697">
      <c r="A697" s="6"/>
      <c r="B697" s="6"/>
      <c r="C697" s="6"/>
      <c r="D697" s="6"/>
      <c r="E697" s="6"/>
      <c r="F697" s="6"/>
      <c r="G697" s="6"/>
      <c r="H697" s="6"/>
      <c r="I697" s="6"/>
      <c r="J697" s="6"/>
      <c r="K697" s="6"/>
      <c r="L697" s="80"/>
      <c r="M697" s="80"/>
      <c r="N697" s="80"/>
      <c r="O697" s="80"/>
      <c r="P697" s="6"/>
      <c r="Q697" s="6"/>
      <c r="R697" s="6"/>
      <c r="S697" s="6"/>
      <c r="T697" s="6"/>
      <c r="U697" s="6"/>
      <c r="V697" s="6"/>
      <c r="W697" s="7"/>
      <c r="X697" s="7"/>
      <c r="Y697" s="7"/>
      <c r="Z697" s="7"/>
    </row>
    <row r="698">
      <c r="A698" s="6"/>
      <c r="B698" s="6"/>
      <c r="C698" s="6"/>
      <c r="D698" s="6"/>
      <c r="E698" s="6"/>
      <c r="F698" s="6"/>
      <c r="G698" s="6"/>
      <c r="H698" s="6"/>
      <c r="I698" s="6"/>
      <c r="J698" s="6"/>
      <c r="K698" s="6"/>
      <c r="L698" s="80"/>
      <c r="M698" s="80"/>
      <c r="N698" s="80"/>
      <c r="O698" s="80"/>
      <c r="P698" s="6"/>
      <c r="Q698" s="6"/>
      <c r="R698" s="6"/>
      <c r="S698" s="6"/>
      <c r="T698" s="6"/>
      <c r="U698" s="6"/>
      <c r="V698" s="6"/>
      <c r="W698" s="7"/>
      <c r="X698" s="7"/>
      <c r="Y698" s="7"/>
      <c r="Z698" s="7"/>
    </row>
    <row r="699">
      <c r="A699" s="6"/>
      <c r="B699" s="6"/>
      <c r="C699" s="6"/>
      <c r="D699" s="6"/>
      <c r="E699" s="6"/>
      <c r="F699" s="6"/>
      <c r="G699" s="6"/>
      <c r="H699" s="6"/>
      <c r="I699" s="6"/>
      <c r="J699" s="6"/>
      <c r="K699" s="6"/>
      <c r="L699" s="80"/>
      <c r="M699" s="80"/>
      <c r="N699" s="80"/>
      <c r="O699" s="80"/>
      <c r="P699" s="6"/>
      <c r="Q699" s="6"/>
      <c r="R699" s="6"/>
      <c r="S699" s="6"/>
      <c r="T699" s="6"/>
      <c r="U699" s="6"/>
      <c r="V699" s="6"/>
      <c r="W699" s="7"/>
      <c r="X699" s="7"/>
      <c r="Y699" s="7"/>
      <c r="Z699" s="7"/>
    </row>
    <row r="700">
      <c r="A700" s="6"/>
      <c r="B700" s="6"/>
      <c r="C700" s="6"/>
      <c r="D700" s="6"/>
      <c r="E700" s="6"/>
      <c r="F700" s="6"/>
      <c r="G700" s="6"/>
      <c r="H700" s="6"/>
      <c r="I700" s="6"/>
      <c r="J700" s="6"/>
      <c r="K700" s="6"/>
      <c r="L700" s="80"/>
      <c r="M700" s="80"/>
      <c r="N700" s="80"/>
      <c r="O700" s="80"/>
      <c r="P700" s="6"/>
      <c r="Q700" s="6"/>
      <c r="R700" s="6"/>
      <c r="S700" s="6"/>
      <c r="T700" s="6"/>
      <c r="U700" s="6"/>
      <c r="V700" s="6"/>
      <c r="W700" s="7"/>
      <c r="X700" s="7"/>
      <c r="Y700" s="7"/>
      <c r="Z700" s="7"/>
    </row>
    <row r="701">
      <c r="A701" s="6"/>
      <c r="B701" s="6"/>
      <c r="C701" s="6"/>
      <c r="D701" s="6"/>
      <c r="E701" s="6"/>
      <c r="F701" s="6"/>
      <c r="G701" s="6"/>
      <c r="H701" s="6"/>
      <c r="I701" s="6"/>
      <c r="J701" s="6"/>
      <c r="K701" s="6"/>
      <c r="L701" s="80"/>
      <c r="M701" s="80"/>
      <c r="N701" s="80"/>
      <c r="O701" s="80"/>
      <c r="P701" s="6"/>
      <c r="Q701" s="6"/>
      <c r="R701" s="6"/>
      <c r="S701" s="6"/>
      <c r="T701" s="6"/>
      <c r="U701" s="6"/>
      <c r="V701" s="6"/>
      <c r="W701" s="7"/>
      <c r="X701" s="7"/>
      <c r="Y701" s="7"/>
      <c r="Z701" s="7"/>
    </row>
    <row r="702">
      <c r="A702" s="6"/>
      <c r="B702" s="6"/>
      <c r="C702" s="6"/>
      <c r="D702" s="6"/>
      <c r="E702" s="6"/>
      <c r="F702" s="6"/>
      <c r="G702" s="6"/>
      <c r="H702" s="6"/>
      <c r="I702" s="6"/>
      <c r="J702" s="6"/>
      <c r="K702" s="6"/>
      <c r="L702" s="80"/>
      <c r="M702" s="80"/>
      <c r="N702" s="80"/>
      <c r="O702" s="80"/>
      <c r="P702" s="6"/>
      <c r="Q702" s="6"/>
      <c r="R702" s="6"/>
      <c r="S702" s="6"/>
      <c r="T702" s="6"/>
      <c r="U702" s="6"/>
      <c r="V702" s="6"/>
      <c r="W702" s="7"/>
      <c r="X702" s="7"/>
      <c r="Y702" s="7"/>
      <c r="Z702" s="7"/>
    </row>
    <row r="703">
      <c r="A703" s="6"/>
      <c r="B703" s="6"/>
      <c r="C703" s="6"/>
      <c r="D703" s="6"/>
      <c r="E703" s="6"/>
      <c r="F703" s="6"/>
      <c r="G703" s="6"/>
      <c r="H703" s="6"/>
      <c r="I703" s="6"/>
      <c r="J703" s="6"/>
      <c r="K703" s="6"/>
      <c r="L703" s="80"/>
      <c r="M703" s="80"/>
      <c r="N703" s="80"/>
      <c r="O703" s="80"/>
      <c r="P703" s="6"/>
      <c r="Q703" s="6"/>
      <c r="R703" s="6"/>
      <c r="S703" s="6"/>
      <c r="T703" s="6"/>
      <c r="U703" s="6"/>
      <c r="V703" s="6"/>
      <c r="W703" s="7"/>
      <c r="X703" s="7"/>
      <c r="Y703" s="7"/>
      <c r="Z703" s="7"/>
    </row>
    <row r="704">
      <c r="A704" s="6"/>
      <c r="B704" s="6"/>
      <c r="C704" s="6"/>
      <c r="D704" s="6"/>
      <c r="E704" s="6"/>
      <c r="F704" s="6"/>
      <c r="G704" s="6"/>
      <c r="H704" s="6"/>
      <c r="I704" s="6"/>
      <c r="J704" s="6"/>
      <c r="K704" s="6"/>
      <c r="L704" s="80"/>
      <c r="M704" s="80"/>
      <c r="N704" s="80"/>
      <c r="O704" s="80"/>
      <c r="P704" s="6"/>
      <c r="Q704" s="6"/>
      <c r="R704" s="6"/>
      <c r="S704" s="6"/>
      <c r="T704" s="6"/>
      <c r="U704" s="6"/>
      <c r="V704" s="6"/>
      <c r="W704" s="7"/>
      <c r="X704" s="7"/>
      <c r="Y704" s="7"/>
      <c r="Z704" s="7"/>
    </row>
    <row r="705">
      <c r="A705" s="6"/>
      <c r="B705" s="6"/>
      <c r="C705" s="6"/>
      <c r="D705" s="6"/>
      <c r="E705" s="6"/>
      <c r="F705" s="6"/>
      <c r="G705" s="6"/>
      <c r="H705" s="6"/>
      <c r="I705" s="6"/>
      <c r="J705" s="6"/>
      <c r="K705" s="6"/>
      <c r="L705" s="80"/>
      <c r="M705" s="80"/>
      <c r="N705" s="80"/>
      <c r="O705" s="80"/>
      <c r="P705" s="6"/>
      <c r="Q705" s="6"/>
      <c r="R705" s="6"/>
      <c r="S705" s="6"/>
      <c r="T705" s="6"/>
      <c r="U705" s="6"/>
      <c r="V705" s="6"/>
      <c r="W705" s="7"/>
      <c r="X705" s="7"/>
      <c r="Y705" s="7"/>
      <c r="Z705" s="7"/>
    </row>
    <row r="706">
      <c r="A706" s="6"/>
      <c r="B706" s="6"/>
      <c r="C706" s="6"/>
      <c r="D706" s="6"/>
      <c r="E706" s="6"/>
      <c r="F706" s="6"/>
      <c r="G706" s="6"/>
      <c r="H706" s="6"/>
      <c r="I706" s="6"/>
      <c r="J706" s="6"/>
      <c r="K706" s="6"/>
      <c r="L706" s="80"/>
      <c r="M706" s="80"/>
      <c r="N706" s="80"/>
      <c r="O706" s="80"/>
      <c r="P706" s="6"/>
      <c r="Q706" s="6"/>
      <c r="R706" s="6"/>
      <c r="S706" s="6"/>
      <c r="T706" s="6"/>
      <c r="U706" s="6"/>
      <c r="V706" s="6"/>
      <c r="W706" s="7"/>
      <c r="X706" s="7"/>
      <c r="Y706" s="7"/>
      <c r="Z706" s="7"/>
    </row>
    <row r="707">
      <c r="A707" s="6"/>
      <c r="B707" s="6"/>
      <c r="C707" s="6"/>
      <c r="D707" s="6"/>
      <c r="E707" s="6"/>
      <c r="F707" s="6"/>
      <c r="G707" s="6"/>
      <c r="H707" s="6"/>
      <c r="I707" s="6"/>
      <c r="J707" s="6"/>
      <c r="K707" s="6"/>
      <c r="L707" s="80"/>
      <c r="M707" s="80"/>
      <c r="N707" s="80"/>
      <c r="O707" s="80"/>
      <c r="P707" s="6"/>
      <c r="Q707" s="6"/>
      <c r="R707" s="6"/>
      <c r="S707" s="6"/>
      <c r="T707" s="6"/>
      <c r="U707" s="6"/>
      <c r="V707" s="6"/>
      <c r="W707" s="7"/>
      <c r="X707" s="7"/>
      <c r="Y707" s="7"/>
      <c r="Z707" s="7"/>
    </row>
    <row r="708">
      <c r="A708" s="6"/>
      <c r="B708" s="6"/>
      <c r="C708" s="6"/>
      <c r="D708" s="6"/>
      <c r="E708" s="6"/>
      <c r="F708" s="6"/>
      <c r="G708" s="6"/>
      <c r="H708" s="6"/>
      <c r="I708" s="6"/>
      <c r="J708" s="6"/>
      <c r="K708" s="6"/>
      <c r="L708" s="80"/>
      <c r="M708" s="80"/>
      <c r="N708" s="80"/>
      <c r="O708" s="80"/>
      <c r="P708" s="6"/>
      <c r="Q708" s="6"/>
      <c r="R708" s="6"/>
      <c r="S708" s="6"/>
      <c r="T708" s="6"/>
      <c r="U708" s="6"/>
      <c r="V708" s="6"/>
      <c r="W708" s="7"/>
      <c r="X708" s="7"/>
      <c r="Y708" s="7"/>
      <c r="Z708" s="7"/>
    </row>
    <row r="709">
      <c r="A709" s="6"/>
      <c r="B709" s="6"/>
      <c r="C709" s="6"/>
      <c r="D709" s="6"/>
      <c r="E709" s="6"/>
      <c r="F709" s="6"/>
      <c r="G709" s="6"/>
      <c r="H709" s="6"/>
      <c r="I709" s="6"/>
      <c r="J709" s="6"/>
      <c r="K709" s="6"/>
      <c r="L709" s="80"/>
      <c r="M709" s="80"/>
      <c r="N709" s="80"/>
      <c r="O709" s="80"/>
      <c r="P709" s="6"/>
      <c r="Q709" s="6"/>
      <c r="R709" s="6"/>
      <c r="S709" s="6"/>
      <c r="T709" s="6"/>
      <c r="U709" s="6"/>
      <c r="V709" s="6"/>
      <c r="W709" s="7"/>
      <c r="X709" s="7"/>
      <c r="Y709" s="7"/>
      <c r="Z709" s="7"/>
    </row>
    <row r="710">
      <c r="A710" s="6"/>
      <c r="B710" s="6"/>
      <c r="C710" s="6"/>
      <c r="D710" s="6"/>
      <c r="E710" s="6"/>
      <c r="F710" s="6"/>
      <c r="G710" s="6"/>
      <c r="H710" s="6"/>
      <c r="I710" s="6"/>
      <c r="J710" s="6"/>
      <c r="K710" s="6"/>
      <c r="L710" s="80"/>
      <c r="M710" s="80"/>
      <c r="N710" s="80"/>
      <c r="O710" s="80"/>
      <c r="P710" s="6"/>
      <c r="Q710" s="6"/>
      <c r="R710" s="6"/>
      <c r="S710" s="6"/>
      <c r="T710" s="6"/>
      <c r="U710" s="6"/>
      <c r="V710" s="6"/>
      <c r="W710" s="7"/>
      <c r="X710" s="7"/>
      <c r="Y710" s="7"/>
      <c r="Z710" s="7"/>
    </row>
    <row r="711">
      <c r="A711" s="6"/>
      <c r="B711" s="6"/>
      <c r="C711" s="6"/>
      <c r="D711" s="6"/>
      <c r="E711" s="6"/>
      <c r="F711" s="6"/>
      <c r="G711" s="6"/>
      <c r="H711" s="6"/>
      <c r="I711" s="6"/>
      <c r="J711" s="6"/>
      <c r="K711" s="6"/>
      <c r="L711" s="80"/>
      <c r="M711" s="80"/>
      <c r="N711" s="80"/>
      <c r="O711" s="80"/>
      <c r="P711" s="6"/>
      <c r="Q711" s="6"/>
      <c r="R711" s="6"/>
      <c r="S711" s="6"/>
      <c r="T711" s="6"/>
      <c r="U711" s="6"/>
      <c r="V711" s="6"/>
      <c r="W711" s="7"/>
      <c r="X711" s="7"/>
      <c r="Y711" s="7"/>
      <c r="Z711" s="7"/>
    </row>
    <row r="712">
      <c r="A712" s="6"/>
      <c r="B712" s="6"/>
      <c r="C712" s="6"/>
      <c r="D712" s="6"/>
      <c r="E712" s="6"/>
      <c r="F712" s="6"/>
      <c r="G712" s="6"/>
      <c r="H712" s="6"/>
      <c r="I712" s="6"/>
      <c r="J712" s="6"/>
      <c r="K712" s="6"/>
      <c r="L712" s="80"/>
      <c r="M712" s="80"/>
      <c r="N712" s="80"/>
      <c r="O712" s="80"/>
      <c r="P712" s="6"/>
      <c r="Q712" s="6"/>
      <c r="R712" s="6"/>
      <c r="S712" s="6"/>
      <c r="T712" s="6"/>
      <c r="U712" s="6"/>
      <c r="V712" s="6"/>
      <c r="W712" s="7"/>
      <c r="X712" s="7"/>
      <c r="Y712" s="7"/>
      <c r="Z712" s="7"/>
    </row>
    <row r="713">
      <c r="A713" s="6"/>
      <c r="B713" s="6"/>
      <c r="C713" s="6"/>
      <c r="D713" s="6"/>
      <c r="E713" s="6"/>
      <c r="F713" s="6"/>
      <c r="G713" s="6"/>
      <c r="H713" s="6"/>
      <c r="I713" s="6"/>
      <c r="J713" s="6"/>
      <c r="K713" s="6"/>
      <c r="L713" s="80"/>
      <c r="M713" s="80"/>
      <c r="N713" s="80"/>
      <c r="O713" s="80"/>
      <c r="P713" s="6"/>
      <c r="Q713" s="6"/>
      <c r="R713" s="6"/>
      <c r="S713" s="6"/>
      <c r="T713" s="6"/>
      <c r="U713" s="6"/>
      <c r="V713" s="6"/>
      <c r="W713" s="7"/>
      <c r="X713" s="7"/>
      <c r="Y713" s="7"/>
      <c r="Z713" s="7"/>
    </row>
    <row r="714">
      <c r="A714" s="6"/>
      <c r="B714" s="6"/>
      <c r="C714" s="6"/>
      <c r="D714" s="6"/>
      <c r="E714" s="6"/>
      <c r="F714" s="6"/>
      <c r="G714" s="6"/>
      <c r="H714" s="6"/>
      <c r="I714" s="6"/>
      <c r="J714" s="6"/>
      <c r="K714" s="6"/>
      <c r="L714" s="80"/>
      <c r="M714" s="80"/>
      <c r="N714" s="80"/>
      <c r="O714" s="80"/>
      <c r="P714" s="6"/>
      <c r="Q714" s="6"/>
      <c r="R714" s="6"/>
      <c r="S714" s="6"/>
      <c r="T714" s="6"/>
      <c r="U714" s="6"/>
      <c r="V714" s="6"/>
      <c r="W714" s="7"/>
      <c r="X714" s="7"/>
      <c r="Y714" s="7"/>
      <c r="Z714" s="7"/>
    </row>
    <row r="715">
      <c r="A715" s="6"/>
      <c r="B715" s="6"/>
      <c r="C715" s="6"/>
      <c r="D715" s="6"/>
      <c r="E715" s="6"/>
      <c r="F715" s="6"/>
      <c r="G715" s="6"/>
      <c r="H715" s="6"/>
      <c r="I715" s="6"/>
      <c r="J715" s="6"/>
      <c r="K715" s="6"/>
      <c r="L715" s="80"/>
      <c r="M715" s="80"/>
      <c r="N715" s="80"/>
      <c r="O715" s="80"/>
      <c r="P715" s="6"/>
      <c r="Q715" s="6"/>
      <c r="R715" s="6"/>
      <c r="S715" s="6"/>
      <c r="T715" s="6"/>
      <c r="U715" s="6"/>
      <c r="V715" s="6"/>
      <c r="W715" s="7"/>
      <c r="X715" s="7"/>
      <c r="Y715" s="7"/>
      <c r="Z715" s="7"/>
    </row>
    <row r="716">
      <c r="A716" s="6"/>
      <c r="B716" s="6"/>
      <c r="C716" s="6"/>
      <c r="D716" s="6"/>
      <c r="E716" s="6"/>
      <c r="F716" s="6"/>
      <c r="G716" s="6"/>
      <c r="H716" s="6"/>
      <c r="I716" s="6"/>
      <c r="J716" s="6"/>
      <c r="K716" s="6"/>
      <c r="L716" s="80"/>
      <c r="M716" s="80"/>
      <c r="N716" s="80"/>
      <c r="O716" s="80"/>
      <c r="P716" s="6"/>
      <c r="Q716" s="6"/>
      <c r="R716" s="6"/>
      <c r="S716" s="6"/>
      <c r="T716" s="6"/>
      <c r="U716" s="6"/>
      <c r="V716" s="6"/>
      <c r="W716" s="7"/>
      <c r="X716" s="7"/>
      <c r="Y716" s="7"/>
      <c r="Z716" s="7"/>
    </row>
    <row r="717">
      <c r="A717" s="6"/>
      <c r="B717" s="6"/>
      <c r="C717" s="6"/>
      <c r="D717" s="6"/>
      <c r="E717" s="6"/>
      <c r="F717" s="6"/>
      <c r="G717" s="6"/>
      <c r="H717" s="6"/>
      <c r="I717" s="6"/>
      <c r="J717" s="6"/>
      <c r="K717" s="6"/>
      <c r="L717" s="80"/>
      <c r="M717" s="80"/>
      <c r="N717" s="80"/>
      <c r="O717" s="80"/>
      <c r="P717" s="6"/>
      <c r="Q717" s="6"/>
      <c r="R717" s="6"/>
      <c r="S717" s="6"/>
      <c r="T717" s="6"/>
      <c r="U717" s="6"/>
      <c r="V717" s="6"/>
      <c r="W717" s="7"/>
      <c r="X717" s="7"/>
      <c r="Y717" s="7"/>
      <c r="Z717" s="7"/>
    </row>
    <row r="718">
      <c r="A718" s="6"/>
      <c r="B718" s="6"/>
      <c r="C718" s="6"/>
      <c r="D718" s="6"/>
      <c r="E718" s="6"/>
      <c r="F718" s="6"/>
      <c r="G718" s="6"/>
      <c r="H718" s="6"/>
      <c r="I718" s="6"/>
      <c r="J718" s="6"/>
      <c r="K718" s="6"/>
      <c r="L718" s="80"/>
      <c r="M718" s="80"/>
      <c r="N718" s="80"/>
      <c r="O718" s="80"/>
      <c r="P718" s="6"/>
      <c r="Q718" s="6"/>
      <c r="R718" s="6"/>
      <c r="S718" s="6"/>
      <c r="T718" s="6"/>
      <c r="U718" s="6"/>
      <c r="V718" s="6"/>
      <c r="W718" s="7"/>
      <c r="X718" s="7"/>
      <c r="Y718" s="7"/>
      <c r="Z718" s="7"/>
    </row>
    <row r="719">
      <c r="A719" s="6"/>
      <c r="B719" s="6"/>
      <c r="C719" s="6"/>
      <c r="D719" s="6"/>
      <c r="E719" s="6"/>
      <c r="F719" s="6"/>
      <c r="G719" s="6"/>
      <c r="H719" s="6"/>
      <c r="I719" s="6"/>
      <c r="J719" s="6"/>
      <c r="K719" s="6"/>
      <c r="L719" s="80"/>
      <c r="M719" s="80"/>
      <c r="N719" s="80"/>
      <c r="O719" s="80"/>
      <c r="P719" s="6"/>
      <c r="Q719" s="6"/>
      <c r="R719" s="6"/>
      <c r="S719" s="6"/>
      <c r="T719" s="6"/>
      <c r="U719" s="6"/>
      <c r="V719" s="6"/>
      <c r="W719" s="7"/>
      <c r="X719" s="7"/>
      <c r="Y719" s="7"/>
      <c r="Z719" s="7"/>
    </row>
    <row r="720">
      <c r="A720" s="6"/>
      <c r="B720" s="6"/>
      <c r="C720" s="6"/>
      <c r="D720" s="6"/>
      <c r="E720" s="6"/>
      <c r="F720" s="6"/>
      <c r="G720" s="6"/>
      <c r="H720" s="6"/>
      <c r="I720" s="6"/>
      <c r="J720" s="6"/>
      <c r="K720" s="6"/>
      <c r="L720" s="80"/>
      <c r="M720" s="80"/>
      <c r="N720" s="80"/>
      <c r="O720" s="80"/>
      <c r="P720" s="6"/>
      <c r="Q720" s="6"/>
      <c r="R720" s="6"/>
      <c r="S720" s="6"/>
      <c r="T720" s="6"/>
      <c r="U720" s="6"/>
      <c r="V720" s="6"/>
      <c r="W720" s="7"/>
      <c r="X720" s="7"/>
      <c r="Y720" s="7"/>
      <c r="Z720" s="7"/>
    </row>
    <row r="721">
      <c r="A721" s="6"/>
      <c r="B721" s="6"/>
      <c r="C721" s="6"/>
      <c r="D721" s="6"/>
      <c r="E721" s="6"/>
      <c r="F721" s="6"/>
      <c r="G721" s="6"/>
      <c r="H721" s="6"/>
      <c r="I721" s="6"/>
      <c r="J721" s="6"/>
      <c r="K721" s="6"/>
      <c r="L721" s="80"/>
      <c r="M721" s="80"/>
      <c r="N721" s="80"/>
      <c r="O721" s="80"/>
      <c r="P721" s="6"/>
      <c r="Q721" s="6"/>
      <c r="R721" s="6"/>
      <c r="S721" s="6"/>
      <c r="T721" s="6"/>
      <c r="U721" s="6"/>
      <c r="V721" s="6"/>
      <c r="W721" s="7"/>
      <c r="X721" s="7"/>
      <c r="Y721" s="7"/>
      <c r="Z721" s="7"/>
    </row>
    <row r="722">
      <c r="A722" s="6"/>
      <c r="B722" s="6"/>
      <c r="C722" s="6"/>
      <c r="D722" s="6"/>
      <c r="E722" s="6"/>
      <c r="F722" s="6"/>
      <c r="G722" s="6"/>
      <c r="H722" s="6"/>
      <c r="I722" s="6"/>
      <c r="J722" s="6"/>
      <c r="K722" s="6"/>
      <c r="L722" s="80"/>
      <c r="M722" s="80"/>
      <c r="N722" s="80"/>
      <c r="O722" s="80"/>
      <c r="P722" s="6"/>
      <c r="Q722" s="6"/>
      <c r="R722" s="6"/>
      <c r="S722" s="6"/>
      <c r="T722" s="6"/>
      <c r="U722" s="6"/>
      <c r="V722" s="6"/>
      <c r="W722" s="7"/>
      <c r="X722" s="7"/>
      <c r="Y722" s="7"/>
      <c r="Z722" s="7"/>
    </row>
    <row r="723">
      <c r="A723" s="6"/>
      <c r="B723" s="6"/>
      <c r="C723" s="6"/>
      <c r="D723" s="6"/>
      <c r="E723" s="6"/>
      <c r="F723" s="6"/>
      <c r="G723" s="6"/>
      <c r="H723" s="6"/>
      <c r="I723" s="6"/>
      <c r="J723" s="6"/>
      <c r="K723" s="6"/>
      <c r="L723" s="80"/>
      <c r="M723" s="80"/>
      <c r="N723" s="80"/>
      <c r="O723" s="80"/>
      <c r="P723" s="6"/>
      <c r="Q723" s="6"/>
      <c r="R723" s="6"/>
      <c r="S723" s="6"/>
      <c r="T723" s="6"/>
      <c r="U723" s="6"/>
      <c r="V723" s="6"/>
      <c r="W723" s="7"/>
      <c r="X723" s="7"/>
      <c r="Y723" s="7"/>
      <c r="Z723" s="7"/>
    </row>
    <row r="724">
      <c r="A724" s="6"/>
      <c r="B724" s="6"/>
      <c r="C724" s="6"/>
      <c r="D724" s="6"/>
      <c r="E724" s="6"/>
      <c r="F724" s="6"/>
      <c r="G724" s="6"/>
      <c r="H724" s="6"/>
      <c r="I724" s="6"/>
      <c r="J724" s="6"/>
      <c r="K724" s="6"/>
      <c r="L724" s="80"/>
      <c r="M724" s="80"/>
      <c r="N724" s="80"/>
      <c r="O724" s="80"/>
      <c r="P724" s="6"/>
      <c r="Q724" s="6"/>
      <c r="R724" s="6"/>
      <c r="S724" s="6"/>
      <c r="T724" s="6"/>
      <c r="U724" s="6"/>
      <c r="V724" s="6"/>
      <c r="W724" s="7"/>
      <c r="X724" s="7"/>
      <c r="Y724" s="7"/>
      <c r="Z724" s="7"/>
    </row>
    <row r="725">
      <c r="A725" s="6"/>
      <c r="B725" s="6"/>
      <c r="C725" s="6"/>
      <c r="D725" s="6"/>
      <c r="E725" s="6"/>
      <c r="F725" s="6"/>
      <c r="G725" s="6"/>
      <c r="H725" s="6"/>
      <c r="I725" s="6"/>
      <c r="J725" s="6"/>
      <c r="K725" s="6"/>
      <c r="L725" s="80"/>
      <c r="M725" s="80"/>
      <c r="N725" s="80"/>
      <c r="O725" s="80"/>
      <c r="P725" s="6"/>
      <c r="Q725" s="6"/>
      <c r="R725" s="6"/>
      <c r="S725" s="6"/>
      <c r="T725" s="6"/>
      <c r="U725" s="6"/>
      <c r="V725" s="6"/>
      <c r="W725" s="7"/>
      <c r="X725" s="7"/>
      <c r="Y725" s="7"/>
      <c r="Z725" s="7"/>
    </row>
    <row r="726">
      <c r="A726" s="6"/>
      <c r="B726" s="6"/>
      <c r="C726" s="6"/>
      <c r="D726" s="6"/>
      <c r="E726" s="6"/>
      <c r="F726" s="6"/>
      <c r="G726" s="6"/>
      <c r="H726" s="6"/>
      <c r="I726" s="6"/>
      <c r="J726" s="6"/>
      <c r="K726" s="6"/>
      <c r="L726" s="80"/>
      <c r="M726" s="80"/>
      <c r="N726" s="80"/>
      <c r="O726" s="80"/>
      <c r="P726" s="6"/>
      <c r="Q726" s="6"/>
      <c r="R726" s="6"/>
      <c r="S726" s="6"/>
      <c r="T726" s="6"/>
      <c r="U726" s="6"/>
      <c r="V726" s="6"/>
      <c r="W726" s="7"/>
      <c r="X726" s="7"/>
      <c r="Y726" s="7"/>
      <c r="Z726" s="7"/>
    </row>
    <row r="727">
      <c r="A727" s="6"/>
      <c r="B727" s="6"/>
      <c r="C727" s="6"/>
      <c r="D727" s="6"/>
      <c r="E727" s="6"/>
      <c r="F727" s="6"/>
      <c r="G727" s="6"/>
      <c r="H727" s="6"/>
      <c r="I727" s="6"/>
      <c r="J727" s="6"/>
      <c r="K727" s="6"/>
      <c r="L727" s="80"/>
      <c r="M727" s="80"/>
      <c r="N727" s="80"/>
      <c r="O727" s="80"/>
      <c r="P727" s="6"/>
      <c r="Q727" s="6"/>
      <c r="R727" s="6"/>
      <c r="S727" s="6"/>
      <c r="T727" s="6"/>
      <c r="U727" s="6"/>
      <c r="V727" s="6"/>
      <c r="W727" s="7"/>
      <c r="X727" s="7"/>
      <c r="Y727" s="7"/>
      <c r="Z727" s="7"/>
    </row>
    <row r="728">
      <c r="A728" s="6"/>
      <c r="B728" s="6"/>
      <c r="C728" s="6"/>
      <c r="D728" s="6"/>
      <c r="E728" s="6"/>
      <c r="F728" s="6"/>
      <c r="G728" s="6"/>
      <c r="H728" s="6"/>
      <c r="I728" s="6"/>
      <c r="J728" s="6"/>
      <c r="K728" s="6"/>
      <c r="L728" s="80"/>
      <c r="M728" s="80"/>
      <c r="N728" s="80"/>
      <c r="O728" s="80"/>
      <c r="P728" s="6"/>
      <c r="Q728" s="6"/>
      <c r="R728" s="6"/>
      <c r="S728" s="6"/>
      <c r="T728" s="6"/>
      <c r="U728" s="6"/>
      <c r="V728" s="6"/>
      <c r="W728" s="7"/>
      <c r="X728" s="7"/>
      <c r="Y728" s="7"/>
      <c r="Z728" s="7"/>
    </row>
    <row r="729">
      <c r="A729" s="6"/>
      <c r="B729" s="6"/>
      <c r="C729" s="6"/>
      <c r="D729" s="6"/>
      <c r="E729" s="6"/>
      <c r="F729" s="6"/>
      <c r="G729" s="6"/>
      <c r="H729" s="6"/>
      <c r="I729" s="6"/>
      <c r="J729" s="6"/>
      <c r="K729" s="6"/>
      <c r="L729" s="80"/>
      <c r="M729" s="80"/>
      <c r="N729" s="80"/>
      <c r="O729" s="80"/>
      <c r="P729" s="6"/>
      <c r="Q729" s="6"/>
      <c r="R729" s="6"/>
      <c r="S729" s="6"/>
      <c r="T729" s="6"/>
      <c r="U729" s="6"/>
      <c r="V729" s="6"/>
      <c r="W729" s="7"/>
      <c r="X729" s="7"/>
      <c r="Y729" s="7"/>
      <c r="Z729" s="7"/>
    </row>
    <row r="730">
      <c r="A730" s="6"/>
      <c r="B730" s="6"/>
      <c r="C730" s="6"/>
      <c r="D730" s="6"/>
      <c r="E730" s="6"/>
      <c r="F730" s="6"/>
      <c r="G730" s="6"/>
      <c r="H730" s="6"/>
      <c r="I730" s="6"/>
      <c r="J730" s="6"/>
      <c r="K730" s="6"/>
      <c r="L730" s="80"/>
      <c r="M730" s="80"/>
      <c r="N730" s="80"/>
      <c r="O730" s="80"/>
      <c r="P730" s="6"/>
      <c r="Q730" s="6"/>
      <c r="R730" s="6"/>
      <c r="S730" s="6"/>
      <c r="T730" s="6"/>
      <c r="U730" s="6"/>
      <c r="V730" s="6"/>
      <c r="W730" s="7"/>
      <c r="X730" s="7"/>
      <c r="Y730" s="7"/>
      <c r="Z730" s="7"/>
    </row>
    <row r="731">
      <c r="A731" s="6"/>
      <c r="B731" s="6"/>
      <c r="C731" s="6"/>
      <c r="D731" s="6"/>
      <c r="E731" s="6"/>
      <c r="F731" s="6"/>
      <c r="G731" s="6"/>
      <c r="H731" s="6"/>
      <c r="I731" s="6"/>
      <c r="J731" s="6"/>
      <c r="K731" s="6"/>
      <c r="L731" s="80"/>
      <c r="M731" s="80"/>
      <c r="N731" s="80"/>
      <c r="O731" s="80"/>
      <c r="P731" s="6"/>
      <c r="Q731" s="6"/>
      <c r="R731" s="6"/>
      <c r="S731" s="6"/>
      <c r="T731" s="6"/>
      <c r="U731" s="6"/>
      <c r="V731" s="6"/>
      <c r="W731" s="7"/>
      <c r="X731" s="7"/>
      <c r="Y731" s="7"/>
      <c r="Z731" s="7"/>
    </row>
    <row r="732">
      <c r="A732" s="6"/>
      <c r="B732" s="6"/>
      <c r="C732" s="6"/>
      <c r="D732" s="6"/>
      <c r="E732" s="6"/>
      <c r="F732" s="6"/>
      <c r="G732" s="6"/>
      <c r="H732" s="6"/>
      <c r="I732" s="6"/>
      <c r="J732" s="6"/>
      <c r="K732" s="6"/>
      <c r="L732" s="80"/>
      <c r="M732" s="80"/>
      <c r="N732" s="80"/>
      <c r="O732" s="80"/>
      <c r="P732" s="6"/>
      <c r="Q732" s="6"/>
      <c r="R732" s="6"/>
      <c r="S732" s="6"/>
      <c r="T732" s="6"/>
      <c r="U732" s="6"/>
      <c r="V732" s="6"/>
      <c r="W732" s="7"/>
      <c r="X732" s="7"/>
      <c r="Y732" s="7"/>
      <c r="Z732" s="7"/>
    </row>
    <row r="733">
      <c r="A733" s="6"/>
      <c r="B733" s="6"/>
      <c r="C733" s="6"/>
      <c r="D733" s="6"/>
      <c r="E733" s="6"/>
      <c r="F733" s="6"/>
      <c r="G733" s="6"/>
      <c r="H733" s="6"/>
      <c r="I733" s="6"/>
      <c r="J733" s="6"/>
      <c r="K733" s="6"/>
      <c r="L733" s="80"/>
      <c r="M733" s="80"/>
      <c r="N733" s="80"/>
      <c r="O733" s="80"/>
      <c r="P733" s="6"/>
      <c r="Q733" s="6"/>
      <c r="R733" s="6"/>
      <c r="S733" s="6"/>
      <c r="T733" s="6"/>
      <c r="U733" s="6"/>
      <c r="V733" s="6"/>
      <c r="W733" s="7"/>
      <c r="X733" s="7"/>
      <c r="Y733" s="7"/>
      <c r="Z733" s="7"/>
    </row>
    <row r="734">
      <c r="A734" s="6"/>
      <c r="B734" s="6"/>
      <c r="C734" s="6"/>
      <c r="D734" s="6"/>
      <c r="E734" s="6"/>
      <c r="F734" s="6"/>
      <c r="G734" s="6"/>
      <c r="H734" s="6"/>
      <c r="I734" s="6"/>
      <c r="J734" s="6"/>
      <c r="K734" s="6"/>
      <c r="L734" s="80"/>
      <c r="M734" s="80"/>
      <c r="N734" s="80"/>
      <c r="O734" s="80"/>
      <c r="P734" s="6"/>
      <c r="Q734" s="6"/>
      <c r="R734" s="6"/>
      <c r="S734" s="6"/>
      <c r="T734" s="6"/>
      <c r="U734" s="6"/>
      <c r="V734" s="6"/>
      <c r="W734" s="7"/>
      <c r="X734" s="7"/>
      <c r="Y734" s="7"/>
      <c r="Z734" s="7"/>
    </row>
    <row r="735">
      <c r="A735" s="6"/>
      <c r="B735" s="6"/>
      <c r="C735" s="6"/>
      <c r="D735" s="6"/>
      <c r="E735" s="6"/>
      <c r="F735" s="6"/>
      <c r="G735" s="6"/>
      <c r="H735" s="6"/>
      <c r="I735" s="6"/>
      <c r="J735" s="6"/>
      <c r="K735" s="6"/>
      <c r="L735" s="80"/>
      <c r="M735" s="80"/>
      <c r="N735" s="80"/>
      <c r="O735" s="80"/>
      <c r="P735" s="6"/>
      <c r="Q735" s="6"/>
      <c r="R735" s="6"/>
      <c r="S735" s="6"/>
      <c r="T735" s="6"/>
      <c r="U735" s="6"/>
      <c r="V735" s="6"/>
      <c r="W735" s="7"/>
      <c r="X735" s="7"/>
      <c r="Y735" s="7"/>
      <c r="Z735" s="7"/>
    </row>
    <row r="736">
      <c r="A736" s="6"/>
      <c r="B736" s="6"/>
      <c r="C736" s="6"/>
      <c r="D736" s="6"/>
      <c r="E736" s="6"/>
      <c r="F736" s="6"/>
      <c r="G736" s="6"/>
      <c r="H736" s="6"/>
      <c r="I736" s="6"/>
      <c r="J736" s="6"/>
      <c r="K736" s="6"/>
      <c r="L736" s="80"/>
      <c r="M736" s="80"/>
      <c r="N736" s="80"/>
      <c r="O736" s="80"/>
      <c r="P736" s="6"/>
      <c r="Q736" s="6"/>
      <c r="R736" s="6"/>
      <c r="S736" s="6"/>
      <c r="T736" s="6"/>
      <c r="U736" s="6"/>
      <c r="V736" s="6"/>
      <c r="W736" s="7"/>
      <c r="X736" s="7"/>
      <c r="Y736" s="7"/>
      <c r="Z736" s="7"/>
    </row>
    <row r="737">
      <c r="A737" s="6"/>
      <c r="B737" s="6"/>
      <c r="C737" s="6"/>
      <c r="D737" s="6"/>
      <c r="E737" s="6"/>
      <c r="F737" s="6"/>
      <c r="G737" s="6"/>
      <c r="H737" s="6"/>
      <c r="I737" s="6"/>
      <c r="J737" s="6"/>
      <c r="K737" s="6"/>
      <c r="L737" s="80"/>
      <c r="M737" s="80"/>
      <c r="N737" s="80"/>
      <c r="O737" s="80"/>
      <c r="P737" s="6"/>
      <c r="Q737" s="6"/>
      <c r="R737" s="6"/>
      <c r="S737" s="6"/>
      <c r="T737" s="6"/>
      <c r="U737" s="6"/>
      <c r="V737" s="6"/>
      <c r="W737" s="7"/>
      <c r="X737" s="7"/>
      <c r="Y737" s="7"/>
      <c r="Z737" s="7"/>
    </row>
    <row r="738">
      <c r="A738" s="6"/>
      <c r="B738" s="6"/>
      <c r="C738" s="6"/>
      <c r="D738" s="6"/>
      <c r="E738" s="6"/>
      <c r="F738" s="6"/>
      <c r="G738" s="6"/>
      <c r="H738" s="6"/>
      <c r="I738" s="6"/>
      <c r="J738" s="6"/>
      <c r="K738" s="6"/>
      <c r="L738" s="80"/>
      <c r="M738" s="80"/>
      <c r="N738" s="80"/>
      <c r="O738" s="80"/>
      <c r="P738" s="6"/>
      <c r="Q738" s="6"/>
      <c r="R738" s="6"/>
      <c r="S738" s="6"/>
      <c r="T738" s="6"/>
      <c r="U738" s="6"/>
      <c r="V738" s="6"/>
      <c r="W738" s="7"/>
      <c r="X738" s="7"/>
      <c r="Y738" s="7"/>
      <c r="Z738" s="7"/>
    </row>
    <row r="739">
      <c r="A739" s="6"/>
      <c r="B739" s="6"/>
      <c r="C739" s="6"/>
      <c r="D739" s="6"/>
      <c r="E739" s="6"/>
      <c r="F739" s="6"/>
      <c r="G739" s="6"/>
      <c r="H739" s="6"/>
      <c r="I739" s="6"/>
      <c r="J739" s="6"/>
      <c r="K739" s="6"/>
      <c r="L739" s="80"/>
      <c r="M739" s="80"/>
      <c r="N739" s="80"/>
      <c r="O739" s="80"/>
      <c r="P739" s="6"/>
      <c r="Q739" s="6"/>
      <c r="R739" s="6"/>
      <c r="S739" s="6"/>
      <c r="T739" s="6"/>
      <c r="U739" s="6"/>
      <c r="V739" s="6"/>
      <c r="W739" s="7"/>
      <c r="X739" s="7"/>
      <c r="Y739" s="7"/>
      <c r="Z739" s="7"/>
    </row>
    <row r="740">
      <c r="A740" s="6"/>
      <c r="B740" s="6"/>
      <c r="C740" s="6"/>
      <c r="D740" s="6"/>
      <c r="E740" s="6"/>
      <c r="F740" s="6"/>
      <c r="G740" s="6"/>
      <c r="H740" s="6"/>
      <c r="I740" s="6"/>
      <c r="J740" s="6"/>
      <c r="K740" s="6"/>
      <c r="L740" s="80"/>
      <c r="M740" s="80"/>
      <c r="N740" s="80"/>
      <c r="O740" s="80"/>
      <c r="P740" s="6"/>
      <c r="Q740" s="6"/>
      <c r="R740" s="6"/>
      <c r="S740" s="6"/>
      <c r="T740" s="6"/>
      <c r="U740" s="6"/>
      <c r="V740" s="6"/>
      <c r="W740" s="7"/>
      <c r="X740" s="7"/>
      <c r="Y740" s="7"/>
      <c r="Z740" s="7"/>
    </row>
    <row r="741">
      <c r="A741" s="6"/>
      <c r="B741" s="6"/>
      <c r="C741" s="6"/>
      <c r="D741" s="6"/>
      <c r="E741" s="6"/>
      <c r="F741" s="6"/>
      <c r="G741" s="6"/>
      <c r="H741" s="6"/>
      <c r="I741" s="6"/>
      <c r="J741" s="6"/>
      <c r="K741" s="6"/>
      <c r="L741" s="80"/>
      <c r="M741" s="80"/>
      <c r="N741" s="80"/>
      <c r="O741" s="80"/>
      <c r="P741" s="6"/>
      <c r="Q741" s="6"/>
      <c r="R741" s="6"/>
      <c r="S741" s="6"/>
      <c r="T741" s="6"/>
      <c r="U741" s="6"/>
      <c r="V741" s="6"/>
      <c r="W741" s="7"/>
      <c r="X741" s="7"/>
      <c r="Y741" s="7"/>
      <c r="Z741" s="7"/>
    </row>
    <row r="742">
      <c r="A742" s="6"/>
      <c r="B742" s="6"/>
      <c r="C742" s="6"/>
      <c r="D742" s="6"/>
      <c r="E742" s="6"/>
      <c r="F742" s="6"/>
      <c r="G742" s="6"/>
      <c r="H742" s="6"/>
      <c r="I742" s="6"/>
      <c r="J742" s="6"/>
      <c r="K742" s="6"/>
      <c r="L742" s="80"/>
      <c r="M742" s="80"/>
      <c r="N742" s="80"/>
      <c r="O742" s="80"/>
      <c r="P742" s="6"/>
      <c r="Q742" s="6"/>
      <c r="R742" s="6"/>
      <c r="S742" s="6"/>
      <c r="T742" s="6"/>
      <c r="U742" s="6"/>
      <c r="V742" s="6"/>
      <c r="W742" s="7"/>
      <c r="X742" s="7"/>
      <c r="Y742" s="7"/>
      <c r="Z742" s="7"/>
    </row>
    <row r="743">
      <c r="A743" s="6"/>
      <c r="B743" s="6"/>
      <c r="C743" s="6"/>
      <c r="D743" s="6"/>
      <c r="E743" s="6"/>
      <c r="F743" s="6"/>
      <c r="G743" s="6"/>
      <c r="H743" s="6"/>
      <c r="I743" s="6"/>
      <c r="J743" s="6"/>
      <c r="K743" s="6"/>
      <c r="L743" s="80"/>
      <c r="M743" s="80"/>
      <c r="N743" s="80"/>
      <c r="O743" s="80"/>
      <c r="P743" s="6"/>
      <c r="Q743" s="6"/>
      <c r="R743" s="6"/>
      <c r="S743" s="6"/>
      <c r="T743" s="6"/>
      <c r="U743" s="6"/>
      <c r="V743" s="6"/>
      <c r="W743" s="7"/>
      <c r="X743" s="7"/>
      <c r="Y743" s="7"/>
      <c r="Z743" s="7"/>
    </row>
    <row r="744">
      <c r="A744" s="6"/>
      <c r="B744" s="6"/>
      <c r="C744" s="6"/>
      <c r="D744" s="6"/>
      <c r="E744" s="6"/>
      <c r="F744" s="6"/>
      <c r="G744" s="6"/>
      <c r="H744" s="6"/>
      <c r="I744" s="6"/>
      <c r="J744" s="6"/>
      <c r="K744" s="6"/>
      <c r="L744" s="80"/>
      <c r="M744" s="80"/>
      <c r="N744" s="80"/>
      <c r="O744" s="80"/>
      <c r="P744" s="6"/>
      <c r="Q744" s="6"/>
      <c r="R744" s="6"/>
      <c r="S744" s="6"/>
      <c r="T744" s="6"/>
      <c r="U744" s="6"/>
      <c r="V744" s="6"/>
      <c r="W744" s="7"/>
      <c r="X744" s="7"/>
      <c r="Y744" s="7"/>
      <c r="Z744" s="7"/>
    </row>
    <row r="745">
      <c r="A745" s="6"/>
      <c r="B745" s="6"/>
      <c r="C745" s="6"/>
      <c r="D745" s="6"/>
      <c r="E745" s="6"/>
      <c r="F745" s="6"/>
      <c r="G745" s="6"/>
      <c r="H745" s="6"/>
      <c r="I745" s="6"/>
      <c r="J745" s="6"/>
      <c r="K745" s="6"/>
      <c r="L745" s="80"/>
      <c r="M745" s="80"/>
      <c r="N745" s="80"/>
      <c r="O745" s="80"/>
      <c r="P745" s="6"/>
      <c r="Q745" s="6"/>
      <c r="R745" s="6"/>
      <c r="S745" s="6"/>
      <c r="T745" s="6"/>
      <c r="U745" s="6"/>
      <c r="V745" s="6"/>
      <c r="W745" s="7"/>
      <c r="X745" s="7"/>
      <c r="Y745" s="7"/>
      <c r="Z745" s="7"/>
    </row>
    <row r="746">
      <c r="A746" s="6"/>
      <c r="B746" s="6"/>
      <c r="C746" s="6"/>
      <c r="D746" s="6"/>
      <c r="E746" s="6"/>
      <c r="F746" s="6"/>
      <c r="G746" s="6"/>
      <c r="H746" s="6"/>
      <c r="I746" s="6"/>
      <c r="J746" s="6"/>
      <c r="K746" s="6"/>
      <c r="L746" s="80"/>
      <c r="M746" s="80"/>
      <c r="N746" s="80"/>
      <c r="O746" s="80"/>
      <c r="P746" s="6"/>
      <c r="Q746" s="6"/>
      <c r="R746" s="6"/>
      <c r="S746" s="6"/>
      <c r="T746" s="6"/>
      <c r="U746" s="6"/>
      <c r="V746" s="6"/>
      <c r="W746" s="7"/>
      <c r="X746" s="7"/>
      <c r="Y746" s="7"/>
      <c r="Z746" s="7"/>
    </row>
    <row r="747">
      <c r="A747" s="6"/>
      <c r="B747" s="6"/>
      <c r="C747" s="6"/>
      <c r="D747" s="6"/>
      <c r="E747" s="6"/>
      <c r="F747" s="6"/>
      <c r="G747" s="6"/>
      <c r="H747" s="6"/>
      <c r="I747" s="6"/>
      <c r="J747" s="6"/>
      <c r="K747" s="6"/>
      <c r="L747" s="80"/>
      <c r="M747" s="80"/>
      <c r="N747" s="80"/>
      <c r="O747" s="80"/>
      <c r="P747" s="6"/>
      <c r="Q747" s="6"/>
      <c r="R747" s="6"/>
      <c r="S747" s="6"/>
      <c r="T747" s="6"/>
      <c r="U747" s="6"/>
      <c r="V747" s="6"/>
      <c r="W747" s="7"/>
      <c r="X747" s="7"/>
      <c r="Y747" s="7"/>
      <c r="Z747" s="7"/>
    </row>
    <row r="748">
      <c r="A748" s="6"/>
      <c r="B748" s="6"/>
      <c r="C748" s="6"/>
      <c r="D748" s="6"/>
      <c r="E748" s="6"/>
      <c r="F748" s="6"/>
      <c r="G748" s="6"/>
      <c r="H748" s="6"/>
      <c r="I748" s="6"/>
      <c r="J748" s="6"/>
      <c r="K748" s="6"/>
      <c r="L748" s="80"/>
      <c r="M748" s="80"/>
      <c r="N748" s="80"/>
      <c r="O748" s="80"/>
      <c r="P748" s="6"/>
      <c r="Q748" s="6"/>
      <c r="R748" s="6"/>
      <c r="S748" s="6"/>
      <c r="T748" s="6"/>
      <c r="U748" s="6"/>
      <c r="V748" s="6"/>
      <c r="W748" s="7"/>
      <c r="X748" s="7"/>
      <c r="Y748" s="7"/>
      <c r="Z748" s="7"/>
    </row>
    <row r="749">
      <c r="A749" s="6"/>
      <c r="B749" s="6"/>
      <c r="C749" s="6"/>
      <c r="D749" s="6"/>
      <c r="E749" s="6"/>
      <c r="F749" s="6"/>
      <c r="G749" s="6"/>
      <c r="H749" s="6"/>
      <c r="I749" s="6"/>
      <c r="J749" s="6"/>
      <c r="K749" s="6"/>
      <c r="L749" s="80"/>
      <c r="M749" s="80"/>
      <c r="N749" s="80"/>
      <c r="O749" s="80"/>
      <c r="P749" s="6"/>
      <c r="Q749" s="6"/>
      <c r="R749" s="6"/>
      <c r="S749" s="6"/>
      <c r="T749" s="6"/>
      <c r="U749" s="6"/>
      <c r="V749" s="6"/>
      <c r="W749" s="7"/>
      <c r="X749" s="7"/>
      <c r="Y749" s="7"/>
      <c r="Z749" s="7"/>
    </row>
    <row r="750">
      <c r="A750" s="6"/>
      <c r="B750" s="6"/>
      <c r="C750" s="6"/>
      <c r="D750" s="6"/>
      <c r="E750" s="6"/>
      <c r="F750" s="6"/>
      <c r="G750" s="6"/>
      <c r="H750" s="6"/>
      <c r="I750" s="6"/>
      <c r="J750" s="6"/>
      <c r="K750" s="6"/>
      <c r="L750" s="80"/>
      <c r="M750" s="80"/>
      <c r="N750" s="80"/>
      <c r="O750" s="80"/>
      <c r="P750" s="6"/>
      <c r="Q750" s="6"/>
      <c r="R750" s="6"/>
      <c r="S750" s="6"/>
      <c r="T750" s="6"/>
      <c r="U750" s="6"/>
      <c r="V750" s="6"/>
      <c r="W750" s="7"/>
      <c r="X750" s="7"/>
      <c r="Y750" s="7"/>
      <c r="Z750" s="7"/>
    </row>
    <row r="751">
      <c r="A751" s="6"/>
      <c r="B751" s="6"/>
      <c r="C751" s="6"/>
      <c r="D751" s="6"/>
      <c r="E751" s="6"/>
      <c r="F751" s="6"/>
      <c r="G751" s="6"/>
      <c r="H751" s="6"/>
      <c r="I751" s="6"/>
      <c r="J751" s="6"/>
      <c r="K751" s="6"/>
      <c r="L751" s="80"/>
      <c r="M751" s="80"/>
      <c r="N751" s="80"/>
      <c r="O751" s="80"/>
      <c r="P751" s="6"/>
      <c r="Q751" s="6"/>
      <c r="R751" s="6"/>
      <c r="S751" s="6"/>
      <c r="T751" s="6"/>
      <c r="U751" s="6"/>
      <c r="V751" s="6"/>
      <c r="W751" s="7"/>
      <c r="X751" s="7"/>
      <c r="Y751" s="7"/>
      <c r="Z751" s="7"/>
    </row>
    <row r="752">
      <c r="A752" s="6"/>
      <c r="B752" s="6"/>
      <c r="C752" s="6"/>
      <c r="D752" s="6"/>
      <c r="E752" s="6"/>
      <c r="F752" s="6"/>
      <c r="G752" s="6"/>
      <c r="H752" s="6"/>
      <c r="I752" s="6"/>
      <c r="J752" s="6"/>
      <c r="K752" s="6"/>
      <c r="L752" s="80"/>
      <c r="M752" s="80"/>
      <c r="N752" s="80"/>
      <c r="O752" s="80"/>
      <c r="P752" s="6"/>
      <c r="Q752" s="6"/>
      <c r="R752" s="6"/>
      <c r="S752" s="6"/>
      <c r="T752" s="6"/>
      <c r="U752" s="6"/>
      <c r="V752" s="6"/>
      <c r="W752" s="7"/>
      <c r="X752" s="7"/>
      <c r="Y752" s="7"/>
      <c r="Z752" s="7"/>
    </row>
    <row r="753">
      <c r="A753" s="6"/>
      <c r="B753" s="6"/>
      <c r="C753" s="6"/>
      <c r="D753" s="6"/>
      <c r="E753" s="6"/>
      <c r="F753" s="6"/>
      <c r="G753" s="6"/>
      <c r="H753" s="6"/>
      <c r="I753" s="6"/>
      <c r="J753" s="6"/>
      <c r="K753" s="6"/>
      <c r="L753" s="80"/>
      <c r="M753" s="80"/>
      <c r="N753" s="80"/>
      <c r="O753" s="80"/>
      <c r="P753" s="6"/>
      <c r="Q753" s="6"/>
      <c r="R753" s="6"/>
      <c r="S753" s="6"/>
      <c r="T753" s="6"/>
      <c r="U753" s="6"/>
      <c r="V753" s="6"/>
      <c r="W753" s="7"/>
      <c r="X753" s="7"/>
      <c r="Y753" s="7"/>
      <c r="Z753" s="7"/>
    </row>
    <row r="754">
      <c r="A754" s="6"/>
      <c r="B754" s="6"/>
      <c r="C754" s="6"/>
      <c r="D754" s="6"/>
      <c r="E754" s="6"/>
      <c r="F754" s="6"/>
      <c r="G754" s="6"/>
      <c r="H754" s="6"/>
      <c r="I754" s="6"/>
      <c r="J754" s="6"/>
      <c r="K754" s="6"/>
      <c r="L754" s="80"/>
      <c r="M754" s="80"/>
      <c r="N754" s="80"/>
      <c r="O754" s="80"/>
      <c r="P754" s="6"/>
      <c r="Q754" s="6"/>
      <c r="R754" s="6"/>
      <c r="S754" s="6"/>
      <c r="T754" s="6"/>
      <c r="U754" s="6"/>
      <c r="V754" s="6"/>
      <c r="W754" s="7"/>
      <c r="X754" s="7"/>
      <c r="Y754" s="7"/>
      <c r="Z754" s="7"/>
    </row>
    <row r="755">
      <c r="A755" s="6"/>
      <c r="B755" s="6"/>
      <c r="C755" s="6"/>
      <c r="D755" s="6"/>
      <c r="E755" s="6"/>
      <c r="F755" s="6"/>
      <c r="G755" s="6"/>
      <c r="H755" s="6"/>
      <c r="I755" s="6"/>
      <c r="J755" s="6"/>
      <c r="K755" s="6"/>
      <c r="L755" s="80"/>
      <c r="M755" s="80"/>
      <c r="N755" s="80"/>
      <c r="O755" s="80"/>
      <c r="P755" s="6"/>
      <c r="Q755" s="6"/>
      <c r="R755" s="6"/>
      <c r="S755" s="6"/>
      <c r="T755" s="6"/>
      <c r="U755" s="6"/>
      <c r="V755" s="6"/>
      <c r="W755" s="7"/>
      <c r="X755" s="7"/>
      <c r="Y755" s="7"/>
      <c r="Z755" s="7"/>
    </row>
    <row r="756">
      <c r="A756" s="6"/>
      <c r="B756" s="6"/>
      <c r="C756" s="6"/>
      <c r="D756" s="6"/>
      <c r="E756" s="6"/>
      <c r="F756" s="6"/>
      <c r="G756" s="6"/>
      <c r="H756" s="6"/>
      <c r="I756" s="6"/>
      <c r="J756" s="6"/>
      <c r="K756" s="6"/>
      <c r="L756" s="80"/>
      <c r="M756" s="80"/>
      <c r="N756" s="80"/>
      <c r="O756" s="80"/>
      <c r="P756" s="6"/>
      <c r="Q756" s="6"/>
      <c r="R756" s="6"/>
      <c r="S756" s="6"/>
      <c r="T756" s="6"/>
      <c r="U756" s="6"/>
      <c r="V756" s="6"/>
      <c r="W756" s="7"/>
      <c r="X756" s="7"/>
      <c r="Y756" s="7"/>
      <c r="Z756" s="7"/>
    </row>
    <row r="757">
      <c r="A757" s="6"/>
      <c r="B757" s="6"/>
      <c r="C757" s="6"/>
      <c r="D757" s="6"/>
      <c r="E757" s="6"/>
      <c r="F757" s="6"/>
      <c r="G757" s="6"/>
      <c r="H757" s="6"/>
      <c r="I757" s="6"/>
      <c r="J757" s="6"/>
      <c r="K757" s="6"/>
      <c r="L757" s="80"/>
      <c r="M757" s="80"/>
      <c r="N757" s="80"/>
      <c r="O757" s="80"/>
      <c r="P757" s="6"/>
      <c r="Q757" s="6"/>
      <c r="R757" s="6"/>
      <c r="S757" s="6"/>
      <c r="T757" s="6"/>
      <c r="U757" s="6"/>
      <c r="V757" s="6"/>
      <c r="W757" s="7"/>
      <c r="X757" s="7"/>
      <c r="Y757" s="7"/>
      <c r="Z757" s="7"/>
    </row>
    <row r="758">
      <c r="A758" s="6"/>
      <c r="B758" s="6"/>
      <c r="C758" s="6"/>
      <c r="D758" s="6"/>
      <c r="E758" s="6"/>
      <c r="F758" s="6"/>
      <c r="G758" s="6"/>
      <c r="H758" s="6"/>
      <c r="I758" s="6"/>
      <c r="J758" s="6"/>
      <c r="K758" s="6"/>
      <c r="L758" s="80"/>
      <c r="M758" s="80"/>
      <c r="N758" s="80"/>
      <c r="O758" s="80"/>
      <c r="P758" s="6"/>
      <c r="Q758" s="6"/>
      <c r="R758" s="6"/>
      <c r="S758" s="6"/>
      <c r="T758" s="6"/>
      <c r="U758" s="6"/>
      <c r="V758" s="6"/>
      <c r="W758" s="7"/>
      <c r="X758" s="7"/>
      <c r="Y758" s="7"/>
      <c r="Z758" s="7"/>
    </row>
    <row r="759">
      <c r="A759" s="6"/>
      <c r="B759" s="6"/>
      <c r="C759" s="6"/>
      <c r="D759" s="6"/>
      <c r="E759" s="6"/>
      <c r="F759" s="6"/>
      <c r="G759" s="6"/>
      <c r="H759" s="6"/>
      <c r="I759" s="6"/>
      <c r="J759" s="6"/>
      <c r="K759" s="6"/>
      <c r="L759" s="80"/>
      <c r="M759" s="80"/>
      <c r="N759" s="80"/>
      <c r="O759" s="80"/>
      <c r="P759" s="6"/>
      <c r="Q759" s="6"/>
      <c r="R759" s="6"/>
      <c r="S759" s="6"/>
      <c r="T759" s="6"/>
      <c r="U759" s="6"/>
      <c r="V759" s="6"/>
      <c r="W759" s="7"/>
      <c r="X759" s="7"/>
      <c r="Y759" s="7"/>
      <c r="Z759" s="7"/>
    </row>
    <row r="760">
      <c r="A760" s="6"/>
      <c r="B760" s="6"/>
      <c r="C760" s="6"/>
      <c r="D760" s="6"/>
      <c r="E760" s="6"/>
      <c r="F760" s="6"/>
      <c r="G760" s="6"/>
      <c r="H760" s="6"/>
      <c r="I760" s="6"/>
      <c r="J760" s="6"/>
      <c r="K760" s="6"/>
      <c r="L760" s="80"/>
      <c r="M760" s="80"/>
      <c r="N760" s="80"/>
      <c r="O760" s="80"/>
      <c r="P760" s="6"/>
      <c r="Q760" s="6"/>
      <c r="R760" s="6"/>
      <c r="S760" s="6"/>
      <c r="T760" s="6"/>
      <c r="U760" s="6"/>
      <c r="V760" s="6"/>
      <c r="W760" s="7"/>
      <c r="X760" s="7"/>
      <c r="Y760" s="7"/>
      <c r="Z760" s="7"/>
    </row>
    <row r="761">
      <c r="A761" s="6"/>
      <c r="B761" s="6"/>
      <c r="C761" s="6"/>
      <c r="D761" s="6"/>
      <c r="E761" s="6"/>
      <c r="F761" s="6"/>
      <c r="G761" s="6"/>
      <c r="H761" s="6"/>
      <c r="I761" s="6"/>
      <c r="J761" s="6"/>
      <c r="K761" s="6"/>
      <c r="L761" s="80"/>
      <c r="M761" s="80"/>
      <c r="N761" s="80"/>
      <c r="O761" s="80"/>
      <c r="P761" s="6"/>
      <c r="Q761" s="6"/>
      <c r="R761" s="6"/>
      <c r="S761" s="6"/>
      <c r="T761" s="6"/>
      <c r="U761" s="6"/>
      <c r="V761" s="6"/>
      <c r="W761" s="7"/>
      <c r="X761" s="7"/>
      <c r="Y761" s="7"/>
      <c r="Z761" s="7"/>
    </row>
    <row r="762">
      <c r="A762" s="6"/>
      <c r="B762" s="6"/>
      <c r="C762" s="6"/>
      <c r="D762" s="6"/>
      <c r="E762" s="6"/>
      <c r="F762" s="6"/>
      <c r="G762" s="6"/>
      <c r="H762" s="6"/>
      <c r="I762" s="6"/>
      <c r="J762" s="6"/>
      <c r="K762" s="6"/>
      <c r="L762" s="80"/>
      <c r="M762" s="80"/>
      <c r="N762" s="80"/>
      <c r="O762" s="80"/>
      <c r="P762" s="6"/>
      <c r="Q762" s="6"/>
      <c r="R762" s="6"/>
      <c r="S762" s="6"/>
      <c r="T762" s="6"/>
      <c r="U762" s="6"/>
      <c r="V762" s="6"/>
      <c r="W762" s="7"/>
      <c r="X762" s="7"/>
      <c r="Y762" s="7"/>
      <c r="Z762" s="7"/>
    </row>
    <row r="763">
      <c r="A763" s="6"/>
      <c r="B763" s="6"/>
      <c r="C763" s="6"/>
      <c r="D763" s="6"/>
      <c r="E763" s="6"/>
      <c r="F763" s="6"/>
      <c r="G763" s="6"/>
      <c r="H763" s="6"/>
      <c r="I763" s="6"/>
      <c r="J763" s="6"/>
      <c r="K763" s="6"/>
      <c r="L763" s="80"/>
      <c r="M763" s="80"/>
      <c r="N763" s="80"/>
      <c r="O763" s="80"/>
      <c r="P763" s="6"/>
      <c r="Q763" s="6"/>
      <c r="R763" s="6"/>
      <c r="S763" s="6"/>
      <c r="T763" s="6"/>
      <c r="U763" s="6"/>
      <c r="V763" s="6"/>
      <c r="W763" s="7"/>
      <c r="X763" s="7"/>
      <c r="Y763" s="7"/>
      <c r="Z763" s="7"/>
    </row>
    <row r="764">
      <c r="A764" s="6"/>
      <c r="B764" s="6"/>
      <c r="C764" s="6"/>
      <c r="D764" s="6"/>
      <c r="E764" s="6"/>
      <c r="F764" s="6"/>
      <c r="G764" s="6"/>
      <c r="H764" s="6"/>
      <c r="I764" s="6"/>
      <c r="J764" s="6"/>
      <c r="K764" s="6"/>
      <c r="L764" s="80"/>
      <c r="M764" s="80"/>
      <c r="N764" s="80"/>
      <c r="O764" s="80"/>
      <c r="P764" s="6"/>
      <c r="Q764" s="6"/>
      <c r="R764" s="6"/>
      <c r="S764" s="6"/>
      <c r="T764" s="6"/>
      <c r="U764" s="6"/>
      <c r="V764" s="6"/>
      <c r="W764" s="7"/>
      <c r="X764" s="7"/>
      <c r="Y764" s="7"/>
      <c r="Z764" s="7"/>
    </row>
    <row r="765">
      <c r="A765" s="6"/>
      <c r="B765" s="6"/>
      <c r="C765" s="6"/>
      <c r="D765" s="6"/>
      <c r="E765" s="6"/>
      <c r="F765" s="6"/>
      <c r="G765" s="6"/>
      <c r="H765" s="6"/>
      <c r="I765" s="6"/>
      <c r="J765" s="6"/>
      <c r="K765" s="6"/>
      <c r="L765" s="80"/>
      <c r="M765" s="80"/>
      <c r="N765" s="80"/>
      <c r="O765" s="80"/>
      <c r="P765" s="6"/>
      <c r="Q765" s="6"/>
      <c r="R765" s="6"/>
      <c r="S765" s="6"/>
      <c r="T765" s="6"/>
      <c r="U765" s="6"/>
      <c r="V765" s="6"/>
      <c r="W765" s="7"/>
      <c r="X765" s="7"/>
      <c r="Y765" s="7"/>
      <c r="Z765" s="7"/>
    </row>
    <row r="766">
      <c r="A766" s="6"/>
      <c r="B766" s="6"/>
      <c r="C766" s="6"/>
      <c r="D766" s="6"/>
      <c r="E766" s="6"/>
      <c r="F766" s="6"/>
      <c r="G766" s="6"/>
      <c r="H766" s="6"/>
      <c r="I766" s="6"/>
      <c r="J766" s="6"/>
      <c r="K766" s="6"/>
      <c r="L766" s="80"/>
      <c r="M766" s="80"/>
      <c r="N766" s="80"/>
      <c r="O766" s="80"/>
      <c r="P766" s="6"/>
      <c r="Q766" s="6"/>
      <c r="R766" s="6"/>
      <c r="S766" s="6"/>
      <c r="T766" s="6"/>
      <c r="U766" s="6"/>
      <c r="V766" s="6"/>
      <c r="W766" s="7"/>
      <c r="X766" s="7"/>
      <c r="Y766" s="7"/>
      <c r="Z766" s="7"/>
    </row>
    <row r="767">
      <c r="A767" s="6"/>
      <c r="B767" s="6"/>
      <c r="C767" s="6"/>
      <c r="D767" s="6"/>
      <c r="E767" s="6"/>
      <c r="F767" s="6"/>
      <c r="G767" s="6"/>
      <c r="H767" s="6"/>
      <c r="I767" s="6"/>
      <c r="J767" s="6"/>
      <c r="K767" s="6"/>
      <c r="L767" s="80"/>
      <c r="M767" s="80"/>
      <c r="N767" s="80"/>
      <c r="O767" s="80"/>
      <c r="P767" s="6"/>
      <c r="Q767" s="6"/>
      <c r="R767" s="6"/>
      <c r="S767" s="6"/>
      <c r="T767" s="6"/>
      <c r="U767" s="6"/>
      <c r="V767" s="6"/>
      <c r="W767" s="7"/>
      <c r="X767" s="7"/>
      <c r="Y767" s="7"/>
      <c r="Z767" s="7"/>
    </row>
    <row r="768">
      <c r="A768" s="6"/>
      <c r="B768" s="6"/>
      <c r="C768" s="6"/>
      <c r="D768" s="6"/>
      <c r="E768" s="6"/>
      <c r="F768" s="6"/>
      <c r="G768" s="6"/>
      <c r="H768" s="6"/>
      <c r="I768" s="6"/>
      <c r="J768" s="6"/>
      <c r="K768" s="6"/>
      <c r="L768" s="80"/>
      <c r="M768" s="80"/>
      <c r="N768" s="80"/>
      <c r="O768" s="80"/>
      <c r="P768" s="6"/>
      <c r="Q768" s="6"/>
      <c r="R768" s="6"/>
      <c r="S768" s="6"/>
      <c r="T768" s="6"/>
      <c r="U768" s="6"/>
      <c r="V768" s="6"/>
      <c r="W768" s="7"/>
      <c r="X768" s="7"/>
      <c r="Y768" s="7"/>
      <c r="Z768" s="7"/>
    </row>
    <row r="769">
      <c r="A769" s="6"/>
      <c r="B769" s="6"/>
      <c r="C769" s="6"/>
      <c r="D769" s="6"/>
      <c r="E769" s="6"/>
      <c r="F769" s="6"/>
      <c r="G769" s="6"/>
      <c r="H769" s="6"/>
      <c r="I769" s="6"/>
      <c r="J769" s="6"/>
      <c r="K769" s="6"/>
      <c r="L769" s="80"/>
      <c r="M769" s="80"/>
      <c r="N769" s="80"/>
      <c r="O769" s="80"/>
      <c r="P769" s="6"/>
      <c r="Q769" s="6"/>
      <c r="R769" s="6"/>
      <c r="S769" s="6"/>
      <c r="T769" s="6"/>
      <c r="U769" s="6"/>
      <c r="V769" s="6"/>
      <c r="W769" s="7"/>
      <c r="X769" s="7"/>
      <c r="Y769" s="7"/>
      <c r="Z769" s="7"/>
    </row>
    <row r="770">
      <c r="A770" s="6"/>
      <c r="B770" s="6"/>
      <c r="C770" s="6"/>
      <c r="D770" s="6"/>
      <c r="E770" s="6"/>
      <c r="F770" s="6"/>
      <c r="G770" s="6"/>
      <c r="H770" s="6"/>
      <c r="I770" s="6"/>
      <c r="J770" s="6"/>
      <c r="K770" s="6"/>
      <c r="L770" s="80"/>
      <c r="M770" s="80"/>
      <c r="N770" s="80"/>
      <c r="O770" s="80"/>
      <c r="P770" s="6"/>
      <c r="Q770" s="6"/>
      <c r="R770" s="6"/>
      <c r="S770" s="6"/>
      <c r="T770" s="6"/>
      <c r="U770" s="6"/>
      <c r="V770" s="6"/>
      <c r="W770" s="7"/>
      <c r="X770" s="7"/>
      <c r="Y770" s="7"/>
      <c r="Z770" s="7"/>
    </row>
    <row r="771">
      <c r="A771" s="6"/>
      <c r="B771" s="6"/>
      <c r="C771" s="6"/>
      <c r="D771" s="6"/>
      <c r="E771" s="6"/>
      <c r="F771" s="6"/>
      <c r="G771" s="6"/>
      <c r="H771" s="6"/>
      <c r="I771" s="6"/>
      <c r="J771" s="6"/>
      <c r="K771" s="6"/>
      <c r="L771" s="80"/>
      <c r="M771" s="80"/>
      <c r="N771" s="80"/>
      <c r="O771" s="80"/>
      <c r="P771" s="6"/>
      <c r="Q771" s="6"/>
      <c r="R771" s="6"/>
      <c r="S771" s="6"/>
      <c r="T771" s="6"/>
      <c r="U771" s="6"/>
      <c r="V771" s="6"/>
      <c r="W771" s="7"/>
      <c r="X771" s="7"/>
      <c r="Y771" s="7"/>
      <c r="Z771" s="7"/>
    </row>
    <row r="772">
      <c r="A772" s="6"/>
      <c r="B772" s="6"/>
      <c r="C772" s="6"/>
      <c r="D772" s="6"/>
      <c r="E772" s="6"/>
      <c r="F772" s="6"/>
      <c r="G772" s="6"/>
      <c r="H772" s="6"/>
      <c r="I772" s="6"/>
      <c r="J772" s="6"/>
      <c r="K772" s="6"/>
      <c r="L772" s="80"/>
      <c r="M772" s="80"/>
      <c r="N772" s="80"/>
      <c r="O772" s="80"/>
      <c r="P772" s="6"/>
      <c r="Q772" s="6"/>
      <c r="R772" s="6"/>
      <c r="S772" s="6"/>
      <c r="T772" s="6"/>
      <c r="U772" s="6"/>
      <c r="V772" s="6"/>
      <c r="W772" s="7"/>
      <c r="X772" s="7"/>
      <c r="Y772" s="7"/>
      <c r="Z772" s="7"/>
    </row>
    <row r="773">
      <c r="A773" s="6"/>
      <c r="B773" s="6"/>
      <c r="C773" s="6"/>
      <c r="D773" s="6"/>
      <c r="E773" s="6"/>
      <c r="F773" s="6"/>
      <c r="G773" s="6"/>
      <c r="H773" s="6"/>
      <c r="I773" s="6"/>
      <c r="J773" s="6"/>
      <c r="K773" s="6"/>
      <c r="L773" s="80"/>
      <c r="M773" s="80"/>
      <c r="N773" s="80"/>
      <c r="O773" s="80"/>
      <c r="P773" s="6"/>
      <c r="Q773" s="6"/>
      <c r="R773" s="6"/>
      <c r="S773" s="6"/>
      <c r="T773" s="6"/>
      <c r="U773" s="6"/>
      <c r="V773" s="6"/>
      <c r="W773" s="7"/>
      <c r="X773" s="7"/>
      <c r="Y773" s="7"/>
      <c r="Z773" s="7"/>
    </row>
    <row r="774">
      <c r="A774" s="6"/>
      <c r="B774" s="6"/>
      <c r="C774" s="6"/>
      <c r="D774" s="6"/>
      <c r="E774" s="6"/>
      <c r="F774" s="6"/>
      <c r="G774" s="6"/>
      <c r="H774" s="6"/>
      <c r="I774" s="6"/>
      <c r="J774" s="6"/>
      <c r="K774" s="6"/>
      <c r="L774" s="80"/>
      <c r="M774" s="80"/>
      <c r="N774" s="80"/>
      <c r="O774" s="80"/>
      <c r="P774" s="6"/>
      <c r="Q774" s="6"/>
      <c r="R774" s="6"/>
      <c r="S774" s="6"/>
      <c r="T774" s="6"/>
      <c r="U774" s="6"/>
      <c r="V774" s="6"/>
      <c r="W774" s="7"/>
      <c r="X774" s="7"/>
      <c r="Y774" s="7"/>
      <c r="Z774" s="7"/>
    </row>
    <row r="775">
      <c r="A775" s="6"/>
      <c r="B775" s="6"/>
      <c r="C775" s="6"/>
      <c r="D775" s="6"/>
      <c r="E775" s="6"/>
      <c r="F775" s="6"/>
      <c r="G775" s="6"/>
      <c r="H775" s="6"/>
      <c r="I775" s="6"/>
      <c r="J775" s="6"/>
      <c r="K775" s="6"/>
      <c r="L775" s="80"/>
      <c r="M775" s="80"/>
      <c r="N775" s="80"/>
      <c r="O775" s="80"/>
      <c r="P775" s="6"/>
      <c r="Q775" s="6"/>
      <c r="R775" s="6"/>
      <c r="S775" s="6"/>
      <c r="T775" s="6"/>
      <c r="U775" s="6"/>
      <c r="V775" s="6"/>
      <c r="W775" s="7"/>
      <c r="X775" s="7"/>
      <c r="Y775" s="7"/>
      <c r="Z775" s="7"/>
    </row>
    <row r="776">
      <c r="A776" s="6"/>
      <c r="B776" s="6"/>
      <c r="C776" s="6"/>
      <c r="D776" s="6"/>
      <c r="E776" s="6"/>
      <c r="F776" s="6"/>
      <c r="G776" s="6"/>
      <c r="H776" s="6"/>
      <c r="I776" s="6"/>
      <c r="J776" s="6"/>
      <c r="K776" s="6"/>
      <c r="L776" s="80"/>
      <c r="M776" s="80"/>
      <c r="N776" s="80"/>
      <c r="O776" s="80"/>
      <c r="P776" s="6"/>
      <c r="Q776" s="6"/>
      <c r="R776" s="6"/>
      <c r="S776" s="6"/>
      <c r="T776" s="6"/>
      <c r="U776" s="6"/>
      <c r="V776" s="6"/>
      <c r="W776" s="7"/>
      <c r="X776" s="7"/>
      <c r="Y776" s="7"/>
      <c r="Z776" s="7"/>
    </row>
    <row r="777">
      <c r="A777" s="6"/>
      <c r="B777" s="6"/>
      <c r="C777" s="6"/>
      <c r="D777" s="6"/>
      <c r="E777" s="6"/>
      <c r="F777" s="6"/>
      <c r="G777" s="6"/>
      <c r="H777" s="6"/>
      <c r="I777" s="6"/>
      <c r="J777" s="6"/>
      <c r="K777" s="6"/>
      <c r="L777" s="80"/>
      <c r="M777" s="80"/>
      <c r="N777" s="80"/>
      <c r="O777" s="80"/>
      <c r="P777" s="6"/>
      <c r="Q777" s="6"/>
      <c r="R777" s="6"/>
      <c r="S777" s="6"/>
      <c r="T777" s="6"/>
      <c r="U777" s="6"/>
      <c r="V777" s="6"/>
      <c r="W777" s="7"/>
      <c r="X777" s="7"/>
      <c r="Y777" s="7"/>
      <c r="Z777" s="7"/>
    </row>
    <row r="778">
      <c r="A778" s="6"/>
      <c r="B778" s="6"/>
      <c r="C778" s="6"/>
      <c r="D778" s="6"/>
      <c r="E778" s="6"/>
      <c r="F778" s="6"/>
      <c r="G778" s="6"/>
      <c r="H778" s="6"/>
      <c r="I778" s="6"/>
      <c r="J778" s="6"/>
      <c r="K778" s="6"/>
      <c r="L778" s="80"/>
      <c r="M778" s="80"/>
      <c r="N778" s="80"/>
      <c r="O778" s="80"/>
      <c r="P778" s="6"/>
      <c r="Q778" s="6"/>
      <c r="R778" s="6"/>
      <c r="S778" s="6"/>
      <c r="T778" s="6"/>
      <c r="U778" s="6"/>
      <c r="V778" s="6"/>
      <c r="W778" s="7"/>
      <c r="X778" s="7"/>
      <c r="Y778" s="7"/>
      <c r="Z778" s="7"/>
    </row>
    <row r="779">
      <c r="A779" s="6"/>
      <c r="B779" s="6"/>
      <c r="C779" s="6"/>
      <c r="D779" s="6"/>
      <c r="E779" s="6"/>
      <c r="F779" s="6"/>
      <c r="G779" s="6"/>
      <c r="H779" s="6"/>
      <c r="I779" s="6"/>
      <c r="J779" s="6"/>
      <c r="K779" s="6"/>
      <c r="L779" s="80"/>
      <c r="M779" s="80"/>
      <c r="N779" s="80"/>
      <c r="O779" s="80"/>
      <c r="P779" s="6"/>
      <c r="Q779" s="6"/>
      <c r="R779" s="6"/>
      <c r="S779" s="6"/>
      <c r="T779" s="6"/>
      <c r="U779" s="6"/>
      <c r="V779" s="6"/>
      <c r="W779" s="7"/>
      <c r="X779" s="7"/>
      <c r="Y779" s="7"/>
      <c r="Z779" s="7"/>
    </row>
    <row r="780">
      <c r="A780" s="6"/>
      <c r="B780" s="6"/>
      <c r="C780" s="6"/>
      <c r="D780" s="6"/>
      <c r="E780" s="6"/>
      <c r="F780" s="6"/>
      <c r="G780" s="6"/>
      <c r="H780" s="6"/>
      <c r="I780" s="6"/>
      <c r="J780" s="6"/>
      <c r="K780" s="6"/>
      <c r="L780" s="80"/>
      <c r="M780" s="80"/>
      <c r="N780" s="80"/>
      <c r="O780" s="80"/>
      <c r="P780" s="6"/>
      <c r="Q780" s="6"/>
      <c r="R780" s="6"/>
      <c r="S780" s="6"/>
      <c r="T780" s="6"/>
      <c r="U780" s="6"/>
      <c r="V780" s="6"/>
      <c r="W780" s="7"/>
      <c r="X780" s="7"/>
      <c r="Y780" s="7"/>
      <c r="Z780" s="7"/>
    </row>
    <row r="781">
      <c r="A781" s="6"/>
      <c r="B781" s="6"/>
      <c r="C781" s="6"/>
      <c r="D781" s="6"/>
      <c r="E781" s="6"/>
      <c r="F781" s="6"/>
      <c r="G781" s="6"/>
      <c r="H781" s="6"/>
      <c r="I781" s="6"/>
      <c r="J781" s="6"/>
      <c r="K781" s="6"/>
      <c r="L781" s="80"/>
      <c r="M781" s="80"/>
      <c r="N781" s="80"/>
      <c r="O781" s="80"/>
      <c r="P781" s="6"/>
      <c r="Q781" s="6"/>
      <c r="R781" s="6"/>
      <c r="S781" s="6"/>
      <c r="T781" s="6"/>
      <c r="U781" s="6"/>
      <c r="V781" s="6"/>
      <c r="W781" s="7"/>
      <c r="X781" s="7"/>
      <c r="Y781" s="7"/>
      <c r="Z781" s="7"/>
    </row>
    <row r="782">
      <c r="A782" s="6"/>
      <c r="B782" s="6"/>
      <c r="C782" s="6"/>
      <c r="D782" s="6"/>
      <c r="E782" s="6"/>
      <c r="F782" s="6"/>
      <c r="G782" s="6"/>
      <c r="H782" s="6"/>
      <c r="I782" s="6"/>
      <c r="J782" s="6"/>
      <c r="K782" s="6"/>
      <c r="L782" s="80"/>
      <c r="M782" s="80"/>
      <c r="N782" s="80"/>
      <c r="O782" s="80"/>
      <c r="P782" s="6"/>
      <c r="Q782" s="6"/>
      <c r="R782" s="6"/>
      <c r="S782" s="6"/>
      <c r="T782" s="6"/>
      <c r="U782" s="6"/>
      <c r="V782" s="6"/>
      <c r="W782" s="7"/>
      <c r="X782" s="7"/>
      <c r="Y782" s="7"/>
      <c r="Z782" s="7"/>
    </row>
    <row r="783">
      <c r="A783" s="6"/>
      <c r="B783" s="6"/>
      <c r="C783" s="6"/>
      <c r="D783" s="6"/>
      <c r="E783" s="6"/>
      <c r="F783" s="6"/>
      <c r="G783" s="6"/>
      <c r="H783" s="6"/>
      <c r="I783" s="6"/>
      <c r="J783" s="6"/>
      <c r="K783" s="6"/>
      <c r="L783" s="80"/>
      <c r="M783" s="80"/>
      <c r="N783" s="80"/>
      <c r="O783" s="80"/>
      <c r="P783" s="6"/>
      <c r="Q783" s="6"/>
      <c r="R783" s="6"/>
      <c r="S783" s="6"/>
      <c r="T783" s="6"/>
      <c r="U783" s="6"/>
      <c r="V783" s="6"/>
      <c r="W783" s="7"/>
      <c r="X783" s="7"/>
      <c r="Y783" s="7"/>
      <c r="Z783" s="7"/>
    </row>
    <row r="784">
      <c r="A784" s="6"/>
      <c r="B784" s="6"/>
      <c r="C784" s="6"/>
      <c r="D784" s="6"/>
      <c r="E784" s="6"/>
      <c r="F784" s="6"/>
      <c r="G784" s="6"/>
      <c r="H784" s="6"/>
      <c r="I784" s="6"/>
      <c r="J784" s="6"/>
      <c r="K784" s="6"/>
      <c r="L784" s="80"/>
      <c r="M784" s="80"/>
      <c r="N784" s="80"/>
      <c r="O784" s="80"/>
      <c r="P784" s="6"/>
      <c r="Q784" s="6"/>
      <c r="R784" s="6"/>
      <c r="S784" s="6"/>
      <c r="T784" s="6"/>
      <c r="U784" s="6"/>
      <c r="V784" s="6"/>
      <c r="W784" s="7"/>
      <c r="X784" s="7"/>
      <c r="Y784" s="7"/>
      <c r="Z784" s="7"/>
    </row>
    <row r="785">
      <c r="A785" s="6"/>
      <c r="B785" s="6"/>
      <c r="C785" s="6"/>
      <c r="D785" s="6"/>
      <c r="E785" s="6"/>
      <c r="F785" s="6"/>
      <c r="G785" s="6"/>
      <c r="H785" s="6"/>
      <c r="I785" s="6"/>
      <c r="J785" s="6"/>
      <c r="K785" s="6"/>
      <c r="L785" s="80"/>
      <c r="M785" s="80"/>
      <c r="N785" s="80"/>
      <c r="O785" s="80"/>
      <c r="P785" s="6"/>
      <c r="Q785" s="6"/>
      <c r="R785" s="6"/>
      <c r="S785" s="6"/>
      <c r="T785" s="6"/>
      <c r="U785" s="6"/>
      <c r="V785" s="6"/>
      <c r="W785" s="7"/>
      <c r="X785" s="7"/>
      <c r="Y785" s="7"/>
      <c r="Z785" s="7"/>
    </row>
    <row r="786">
      <c r="A786" s="6"/>
      <c r="B786" s="6"/>
      <c r="C786" s="6"/>
      <c r="D786" s="6"/>
      <c r="E786" s="6"/>
      <c r="F786" s="6"/>
      <c r="G786" s="6"/>
      <c r="H786" s="6"/>
      <c r="I786" s="6"/>
      <c r="J786" s="6"/>
      <c r="K786" s="6"/>
      <c r="L786" s="80"/>
      <c r="M786" s="80"/>
      <c r="N786" s="80"/>
      <c r="O786" s="80"/>
      <c r="P786" s="6"/>
      <c r="Q786" s="6"/>
      <c r="R786" s="6"/>
      <c r="S786" s="6"/>
      <c r="T786" s="6"/>
      <c r="U786" s="6"/>
      <c r="V786" s="6"/>
      <c r="W786" s="7"/>
      <c r="X786" s="7"/>
      <c r="Y786" s="7"/>
      <c r="Z786" s="7"/>
    </row>
    <row r="787">
      <c r="A787" s="6"/>
      <c r="B787" s="6"/>
      <c r="C787" s="6"/>
      <c r="D787" s="6"/>
      <c r="E787" s="6"/>
      <c r="F787" s="6"/>
      <c r="G787" s="6"/>
      <c r="H787" s="6"/>
      <c r="I787" s="6"/>
      <c r="J787" s="6"/>
      <c r="K787" s="6"/>
      <c r="L787" s="80"/>
      <c r="M787" s="80"/>
      <c r="N787" s="80"/>
      <c r="O787" s="80"/>
      <c r="P787" s="6"/>
      <c r="Q787" s="6"/>
      <c r="R787" s="6"/>
      <c r="S787" s="6"/>
      <c r="T787" s="6"/>
      <c r="U787" s="6"/>
      <c r="V787" s="6"/>
      <c r="W787" s="7"/>
      <c r="X787" s="7"/>
      <c r="Y787" s="7"/>
      <c r="Z787" s="7"/>
    </row>
    <row r="788">
      <c r="A788" s="6"/>
      <c r="B788" s="6"/>
      <c r="C788" s="6"/>
      <c r="D788" s="6"/>
      <c r="E788" s="6"/>
      <c r="F788" s="6"/>
      <c r="G788" s="6"/>
      <c r="H788" s="6"/>
      <c r="I788" s="6"/>
      <c r="J788" s="6"/>
      <c r="K788" s="6"/>
      <c r="L788" s="80"/>
      <c r="M788" s="80"/>
      <c r="N788" s="80"/>
      <c r="O788" s="80"/>
      <c r="P788" s="6"/>
      <c r="Q788" s="6"/>
      <c r="R788" s="6"/>
      <c r="S788" s="6"/>
      <c r="T788" s="6"/>
      <c r="U788" s="6"/>
      <c r="V788" s="6"/>
      <c r="W788" s="7"/>
      <c r="X788" s="7"/>
      <c r="Y788" s="7"/>
      <c r="Z788" s="7"/>
    </row>
    <row r="789">
      <c r="A789" s="6"/>
      <c r="B789" s="6"/>
      <c r="C789" s="6"/>
      <c r="D789" s="6"/>
      <c r="E789" s="6"/>
      <c r="F789" s="6"/>
      <c r="G789" s="6"/>
      <c r="H789" s="6"/>
      <c r="I789" s="6"/>
      <c r="J789" s="6"/>
      <c r="K789" s="6"/>
      <c r="L789" s="80"/>
      <c r="M789" s="80"/>
      <c r="N789" s="80"/>
      <c r="O789" s="80"/>
      <c r="P789" s="6"/>
      <c r="Q789" s="6"/>
      <c r="R789" s="6"/>
      <c r="S789" s="6"/>
      <c r="T789" s="6"/>
      <c r="U789" s="6"/>
      <c r="V789" s="6"/>
      <c r="W789" s="7"/>
      <c r="X789" s="7"/>
      <c r="Y789" s="7"/>
      <c r="Z789" s="7"/>
    </row>
    <row r="790">
      <c r="A790" s="6"/>
      <c r="B790" s="6"/>
      <c r="C790" s="6"/>
      <c r="D790" s="6"/>
      <c r="E790" s="6"/>
      <c r="F790" s="6"/>
      <c r="G790" s="6"/>
      <c r="H790" s="6"/>
      <c r="I790" s="6"/>
      <c r="J790" s="6"/>
      <c r="K790" s="6"/>
      <c r="L790" s="80"/>
      <c r="M790" s="80"/>
      <c r="N790" s="80"/>
      <c r="O790" s="80"/>
      <c r="P790" s="6"/>
      <c r="Q790" s="6"/>
      <c r="R790" s="6"/>
      <c r="S790" s="6"/>
      <c r="T790" s="6"/>
      <c r="U790" s="6"/>
      <c r="V790" s="6"/>
      <c r="W790" s="7"/>
      <c r="X790" s="7"/>
      <c r="Y790" s="7"/>
      <c r="Z790" s="7"/>
    </row>
    <row r="791">
      <c r="A791" s="6"/>
      <c r="B791" s="6"/>
      <c r="C791" s="6"/>
      <c r="D791" s="6"/>
      <c r="E791" s="6"/>
      <c r="F791" s="6"/>
      <c r="G791" s="6"/>
      <c r="H791" s="6"/>
      <c r="I791" s="6"/>
      <c r="J791" s="6"/>
      <c r="K791" s="6"/>
      <c r="L791" s="80"/>
      <c r="M791" s="80"/>
      <c r="N791" s="80"/>
      <c r="O791" s="80"/>
      <c r="P791" s="6"/>
      <c r="Q791" s="6"/>
      <c r="R791" s="6"/>
      <c r="S791" s="6"/>
      <c r="T791" s="6"/>
      <c r="U791" s="6"/>
      <c r="V791" s="6"/>
      <c r="W791" s="7"/>
      <c r="X791" s="7"/>
      <c r="Y791" s="7"/>
      <c r="Z791" s="7"/>
    </row>
    <row r="792">
      <c r="A792" s="6"/>
      <c r="B792" s="6"/>
      <c r="C792" s="6"/>
      <c r="D792" s="6"/>
      <c r="E792" s="6"/>
      <c r="F792" s="6"/>
      <c r="G792" s="6"/>
      <c r="H792" s="6"/>
      <c r="I792" s="6"/>
      <c r="J792" s="6"/>
      <c r="K792" s="6"/>
      <c r="L792" s="80"/>
      <c r="M792" s="80"/>
      <c r="N792" s="80"/>
      <c r="O792" s="80"/>
      <c r="P792" s="6"/>
      <c r="Q792" s="6"/>
      <c r="R792" s="6"/>
      <c r="S792" s="6"/>
      <c r="T792" s="6"/>
      <c r="U792" s="6"/>
      <c r="V792" s="6"/>
      <c r="W792" s="7"/>
      <c r="X792" s="7"/>
      <c r="Y792" s="7"/>
      <c r="Z792" s="7"/>
    </row>
    <row r="793">
      <c r="A793" s="6"/>
      <c r="B793" s="6"/>
      <c r="C793" s="6"/>
      <c r="D793" s="6"/>
      <c r="E793" s="6"/>
      <c r="F793" s="6"/>
      <c r="G793" s="6"/>
      <c r="H793" s="6"/>
      <c r="I793" s="6"/>
      <c r="J793" s="6"/>
      <c r="K793" s="6"/>
      <c r="L793" s="80"/>
      <c r="M793" s="80"/>
      <c r="N793" s="80"/>
      <c r="O793" s="80"/>
      <c r="P793" s="6"/>
      <c r="Q793" s="6"/>
      <c r="R793" s="6"/>
      <c r="S793" s="6"/>
      <c r="T793" s="6"/>
      <c r="U793" s="6"/>
      <c r="V793" s="6"/>
      <c r="W793" s="7"/>
      <c r="X793" s="7"/>
      <c r="Y793" s="7"/>
      <c r="Z793" s="7"/>
    </row>
    <row r="794">
      <c r="A794" s="6"/>
      <c r="B794" s="6"/>
      <c r="C794" s="6"/>
      <c r="D794" s="6"/>
      <c r="E794" s="6"/>
      <c r="F794" s="6"/>
      <c r="G794" s="6"/>
      <c r="H794" s="6"/>
      <c r="I794" s="6"/>
      <c r="J794" s="6"/>
      <c r="K794" s="6"/>
      <c r="L794" s="80"/>
      <c r="M794" s="80"/>
      <c r="N794" s="80"/>
      <c r="O794" s="80"/>
      <c r="P794" s="6"/>
      <c r="Q794" s="6"/>
      <c r="R794" s="6"/>
      <c r="S794" s="6"/>
      <c r="T794" s="6"/>
      <c r="U794" s="6"/>
      <c r="V794" s="6"/>
      <c r="W794" s="7"/>
      <c r="X794" s="7"/>
      <c r="Y794" s="7"/>
      <c r="Z794" s="7"/>
    </row>
    <row r="795">
      <c r="A795" s="6"/>
      <c r="B795" s="6"/>
      <c r="C795" s="6"/>
      <c r="D795" s="6"/>
      <c r="E795" s="6"/>
      <c r="F795" s="6"/>
      <c r="G795" s="6"/>
      <c r="H795" s="6"/>
      <c r="I795" s="6"/>
      <c r="J795" s="6"/>
      <c r="K795" s="6"/>
      <c r="L795" s="80"/>
      <c r="M795" s="80"/>
      <c r="N795" s="80"/>
      <c r="O795" s="80"/>
      <c r="P795" s="6"/>
      <c r="Q795" s="6"/>
      <c r="R795" s="6"/>
      <c r="S795" s="6"/>
      <c r="T795" s="6"/>
      <c r="U795" s="6"/>
      <c r="V795" s="6"/>
      <c r="W795" s="7"/>
      <c r="X795" s="7"/>
      <c r="Y795" s="7"/>
      <c r="Z795" s="7"/>
    </row>
    <row r="796">
      <c r="A796" s="6"/>
      <c r="B796" s="6"/>
      <c r="C796" s="6"/>
      <c r="D796" s="6"/>
      <c r="E796" s="6"/>
      <c r="F796" s="6"/>
      <c r="G796" s="6"/>
      <c r="H796" s="6"/>
      <c r="I796" s="6"/>
      <c r="J796" s="6"/>
      <c r="K796" s="6"/>
      <c r="L796" s="80"/>
      <c r="M796" s="80"/>
      <c r="N796" s="80"/>
      <c r="O796" s="80"/>
      <c r="P796" s="6"/>
      <c r="Q796" s="6"/>
      <c r="R796" s="6"/>
      <c r="S796" s="6"/>
      <c r="T796" s="6"/>
      <c r="U796" s="6"/>
      <c r="V796" s="6"/>
      <c r="W796" s="7"/>
      <c r="X796" s="7"/>
      <c r="Y796" s="7"/>
      <c r="Z796" s="7"/>
    </row>
    <row r="797">
      <c r="A797" s="6"/>
      <c r="B797" s="6"/>
      <c r="C797" s="6"/>
      <c r="D797" s="6"/>
      <c r="E797" s="6"/>
      <c r="F797" s="6"/>
      <c r="G797" s="6"/>
      <c r="H797" s="6"/>
      <c r="I797" s="6"/>
      <c r="J797" s="6"/>
      <c r="K797" s="6"/>
      <c r="L797" s="80"/>
      <c r="M797" s="80"/>
      <c r="N797" s="80"/>
      <c r="O797" s="80"/>
      <c r="P797" s="6"/>
      <c r="Q797" s="6"/>
      <c r="R797" s="6"/>
      <c r="S797" s="6"/>
      <c r="T797" s="6"/>
      <c r="U797" s="6"/>
      <c r="V797" s="6"/>
      <c r="W797" s="7"/>
      <c r="X797" s="7"/>
      <c r="Y797" s="7"/>
      <c r="Z797" s="7"/>
    </row>
    <row r="798">
      <c r="A798" s="6"/>
      <c r="B798" s="6"/>
      <c r="C798" s="6"/>
      <c r="D798" s="6"/>
      <c r="E798" s="6"/>
      <c r="F798" s="6"/>
      <c r="G798" s="6"/>
      <c r="H798" s="6"/>
      <c r="I798" s="6"/>
      <c r="J798" s="6"/>
      <c r="K798" s="6"/>
      <c r="L798" s="80"/>
      <c r="M798" s="80"/>
      <c r="N798" s="80"/>
      <c r="O798" s="80"/>
      <c r="P798" s="6"/>
      <c r="Q798" s="6"/>
      <c r="R798" s="6"/>
      <c r="S798" s="6"/>
      <c r="T798" s="6"/>
      <c r="U798" s="6"/>
      <c r="V798" s="6"/>
      <c r="W798" s="7"/>
      <c r="X798" s="7"/>
      <c r="Y798" s="7"/>
      <c r="Z798" s="7"/>
    </row>
    <row r="799">
      <c r="A799" s="6"/>
      <c r="B799" s="6"/>
      <c r="C799" s="6"/>
      <c r="D799" s="6"/>
      <c r="E799" s="6"/>
      <c r="F799" s="6"/>
      <c r="G799" s="6"/>
      <c r="H799" s="6"/>
      <c r="I799" s="6"/>
      <c r="J799" s="6"/>
      <c r="K799" s="6"/>
      <c r="L799" s="80"/>
      <c r="M799" s="80"/>
      <c r="N799" s="80"/>
      <c r="O799" s="80"/>
      <c r="P799" s="6"/>
      <c r="Q799" s="6"/>
      <c r="R799" s="6"/>
      <c r="S799" s="6"/>
      <c r="T799" s="6"/>
      <c r="U799" s="6"/>
      <c r="V799" s="6"/>
      <c r="W799" s="7"/>
      <c r="X799" s="7"/>
      <c r="Y799" s="7"/>
      <c r="Z799" s="7"/>
    </row>
    <row r="800">
      <c r="A800" s="6"/>
      <c r="B800" s="6"/>
      <c r="C800" s="6"/>
      <c r="D800" s="6"/>
      <c r="E800" s="6"/>
      <c r="F800" s="6"/>
      <c r="G800" s="6"/>
      <c r="H800" s="6"/>
      <c r="I800" s="6"/>
      <c r="J800" s="6"/>
      <c r="K800" s="6"/>
      <c r="L800" s="80"/>
      <c r="M800" s="80"/>
      <c r="N800" s="80"/>
      <c r="O800" s="80"/>
      <c r="P800" s="6"/>
      <c r="Q800" s="6"/>
      <c r="R800" s="6"/>
      <c r="S800" s="6"/>
      <c r="T800" s="6"/>
      <c r="U800" s="6"/>
      <c r="V800" s="6"/>
      <c r="W800" s="7"/>
      <c r="X800" s="7"/>
      <c r="Y800" s="7"/>
      <c r="Z800" s="7"/>
    </row>
    <row r="801">
      <c r="A801" s="6"/>
      <c r="B801" s="6"/>
      <c r="C801" s="6"/>
      <c r="D801" s="6"/>
      <c r="E801" s="6"/>
      <c r="F801" s="6"/>
      <c r="G801" s="6"/>
      <c r="H801" s="6"/>
      <c r="I801" s="6"/>
      <c r="J801" s="6"/>
      <c r="K801" s="6"/>
      <c r="L801" s="80"/>
      <c r="M801" s="80"/>
      <c r="N801" s="80"/>
      <c r="O801" s="80"/>
      <c r="P801" s="6"/>
      <c r="Q801" s="6"/>
      <c r="R801" s="6"/>
      <c r="S801" s="6"/>
      <c r="T801" s="6"/>
      <c r="U801" s="6"/>
      <c r="V801" s="6"/>
      <c r="W801" s="7"/>
      <c r="X801" s="7"/>
      <c r="Y801" s="7"/>
      <c r="Z801" s="7"/>
    </row>
    <row r="802">
      <c r="A802" s="6"/>
      <c r="B802" s="6"/>
      <c r="C802" s="6"/>
      <c r="D802" s="6"/>
      <c r="E802" s="6"/>
      <c r="F802" s="6"/>
      <c r="G802" s="6"/>
      <c r="H802" s="6"/>
      <c r="I802" s="6"/>
      <c r="J802" s="6"/>
      <c r="K802" s="6"/>
      <c r="L802" s="80"/>
      <c r="M802" s="80"/>
      <c r="N802" s="80"/>
      <c r="O802" s="80"/>
      <c r="P802" s="6"/>
      <c r="Q802" s="6"/>
      <c r="R802" s="6"/>
      <c r="S802" s="6"/>
      <c r="T802" s="6"/>
      <c r="U802" s="6"/>
      <c r="V802" s="6"/>
      <c r="W802" s="7"/>
      <c r="X802" s="7"/>
      <c r="Y802" s="7"/>
      <c r="Z802" s="7"/>
    </row>
    <row r="803">
      <c r="A803" s="6"/>
      <c r="B803" s="6"/>
      <c r="C803" s="6"/>
      <c r="D803" s="6"/>
      <c r="E803" s="6"/>
      <c r="F803" s="6"/>
      <c r="G803" s="6"/>
      <c r="H803" s="6"/>
      <c r="I803" s="6"/>
      <c r="J803" s="6"/>
      <c r="K803" s="6"/>
      <c r="L803" s="80"/>
      <c r="M803" s="80"/>
      <c r="N803" s="80"/>
      <c r="O803" s="80"/>
      <c r="P803" s="6"/>
      <c r="Q803" s="6"/>
      <c r="R803" s="6"/>
      <c r="S803" s="6"/>
      <c r="T803" s="6"/>
      <c r="U803" s="6"/>
      <c r="V803" s="6"/>
      <c r="W803" s="7"/>
      <c r="X803" s="7"/>
      <c r="Y803" s="7"/>
      <c r="Z803" s="7"/>
    </row>
    <row r="804">
      <c r="A804" s="6"/>
      <c r="B804" s="6"/>
      <c r="C804" s="6"/>
      <c r="D804" s="6"/>
      <c r="E804" s="6"/>
      <c r="F804" s="6"/>
      <c r="G804" s="6"/>
      <c r="H804" s="6"/>
      <c r="I804" s="6"/>
      <c r="J804" s="6"/>
      <c r="K804" s="6"/>
      <c r="L804" s="80"/>
      <c r="M804" s="80"/>
      <c r="N804" s="80"/>
      <c r="O804" s="80"/>
      <c r="P804" s="6"/>
      <c r="Q804" s="6"/>
      <c r="R804" s="6"/>
      <c r="S804" s="6"/>
      <c r="T804" s="6"/>
      <c r="U804" s="6"/>
      <c r="V804" s="6"/>
      <c r="W804" s="7"/>
      <c r="X804" s="7"/>
      <c r="Y804" s="7"/>
      <c r="Z804" s="7"/>
    </row>
    <row r="805">
      <c r="A805" s="6"/>
      <c r="B805" s="6"/>
      <c r="C805" s="6"/>
      <c r="D805" s="6"/>
      <c r="E805" s="6"/>
      <c r="F805" s="6"/>
      <c r="G805" s="6"/>
      <c r="H805" s="6"/>
      <c r="I805" s="6"/>
      <c r="J805" s="6"/>
      <c r="K805" s="6"/>
      <c r="L805" s="80"/>
      <c r="M805" s="80"/>
      <c r="N805" s="80"/>
      <c r="O805" s="80"/>
      <c r="P805" s="6"/>
      <c r="Q805" s="6"/>
      <c r="R805" s="6"/>
      <c r="S805" s="6"/>
      <c r="T805" s="6"/>
      <c r="U805" s="6"/>
      <c r="V805" s="6"/>
      <c r="W805" s="7"/>
      <c r="X805" s="7"/>
      <c r="Y805" s="7"/>
      <c r="Z805" s="7"/>
    </row>
    <row r="806">
      <c r="A806" s="6"/>
      <c r="B806" s="6"/>
      <c r="C806" s="6"/>
      <c r="D806" s="6"/>
      <c r="E806" s="6"/>
      <c r="F806" s="6"/>
      <c r="G806" s="6"/>
      <c r="H806" s="6"/>
      <c r="I806" s="6"/>
      <c r="J806" s="6"/>
      <c r="K806" s="6"/>
      <c r="L806" s="80"/>
      <c r="M806" s="80"/>
      <c r="N806" s="80"/>
      <c r="O806" s="80"/>
      <c r="P806" s="6"/>
      <c r="Q806" s="6"/>
      <c r="R806" s="6"/>
      <c r="S806" s="6"/>
      <c r="T806" s="6"/>
      <c r="U806" s="6"/>
      <c r="V806" s="6"/>
      <c r="W806" s="7"/>
      <c r="X806" s="7"/>
      <c r="Y806" s="7"/>
      <c r="Z806" s="7"/>
    </row>
    <row r="807">
      <c r="A807" s="6"/>
      <c r="B807" s="6"/>
      <c r="C807" s="6"/>
      <c r="D807" s="6"/>
      <c r="E807" s="6"/>
      <c r="F807" s="6"/>
      <c r="G807" s="6"/>
      <c r="H807" s="6"/>
      <c r="I807" s="6"/>
      <c r="J807" s="6"/>
      <c r="K807" s="6"/>
      <c r="L807" s="80"/>
      <c r="M807" s="80"/>
      <c r="N807" s="80"/>
      <c r="O807" s="80"/>
      <c r="P807" s="6"/>
      <c r="Q807" s="6"/>
      <c r="R807" s="6"/>
      <c r="S807" s="6"/>
      <c r="T807" s="6"/>
      <c r="U807" s="6"/>
      <c r="V807" s="6"/>
      <c r="W807" s="7"/>
      <c r="X807" s="7"/>
      <c r="Y807" s="7"/>
      <c r="Z807" s="7"/>
    </row>
    <row r="808">
      <c r="A808" s="6"/>
      <c r="B808" s="6"/>
      <c r="C808" s="6"/>
      <c r="D808" s="6"/>
      <c r="E808" s="6"/>
      <c r="F808" s="6"/>
      <c r="G808" s="6"/>
      <c r="H808" s="6"/>
      <c r="I808" s="6"/>
      <c r="J808" s="6"/>
      <c r="K808" s="6"/>
      <c r="L808" s="80"/>
      <c r="M808" s="80"/>
      <c r="N808" s="80"/>
      <c r="O808" s="80"/>
      <c r="P808" s="6"/>
      <c r="Q808" s="6"/>
      <c r="R808" s="6"/>
      <c r="S808" s="6"/>
      <c r="T808" s="6"/>
      <c r="U808" s="6"/>
      <c r="V808" s="6"/>
      <c r="W808" s="7"/>
      <c r="X808" s="7"/>
      <c r="Y808" s="7"/>
      <c r="Z808" s="7"/>
    </row>
    <row r="809">
      <c r="A809" s="6"/>
      <c r="B809" s="6"/>
      <c r="C809" s="6"/>
      <c r="D809" s="6"/>
      <c r="E809" s="6"/>
      <c r="F809" s="6"/>
      <c r="G809" s="6"/>
      <c r="H809" s="6"/>
      <c r="I809" s="6"/>
      <c r="J809" s="6"/>
      <c r="K809" s="6"/>
      <c r="L809" s="80"/>
      <c r="M809" s="80"/>
      <c r="N809" s="80"/>
      <c r="O809" s="80"/>
      <c r="P809" s="6"/>
      <c r="Q809" s="6"/>
      <c r="R809" s="6"/>
      <c r="S809" s="6"/>
      <c r="T809" s="6"/>
      <c r="U809" s="6"/>
      <c r="V809" s="6"/>
      <c r="W809" s="7"/>
      <c r="X809" s="7"/>
      <c r="Y809" s="7"/>
      <c r="Z809" s="7"/>
    </row>
    <row r="810">
      <c r="A810" s="6"/>
      <c r="B810" s="6"/>
      <c r="C810" s="6"/>
      <c r="D810" s="6"/>
      <c r="E810" s="6"/>
      <c r="F810" s="6"/>
      <c r="G810" s="6"/>
      <c r="H810" s="6"/>
      <c r="I810" s="6"/>
      <c r="J810" s="6"/>
      <c r="K810" s="6"/>
      <c r="L810" s="80"/>
      <c r="M810" s="80"/>
      <c r="N810" s="80"/>
      <c r="O810" s="80"/>
      <c r="P810" s="6"/>
      <c r="Q810" s="6"/>
      <c r="R810" s="6"/>
      <c r="S810" s="6"/>
      <c r="T810" s="6"/>
      <c r="U810" s="6"/>
      <c r="V810" s="6"/>
      <c r="W810" s="7"/>
      <c r="X810" s="7"/>
      <c r="Y810" s="7"/>
      <c r="Z810" s="7"/>
    </row>
    <row r="811">
      <c r="A811" s="6"/>
      <c r="B811" s="6"/>
      <c r="C811" s="6"/>
      <c r="D811" s="6"/>
      <c r="E811" s="6"/>
      <c r="F811" s="6"/>
      <c r="G811" s="6"/>
      <c r="H811" s="6"/>
      <c r="I811" s="6"/>
      <c r="J811" s="6"/>
      <c r="K811" s="6"/>
      <c r="L811" s="80"/>
      <c r="M811" s="80"/>
      <c r="N811" s="80"/>
      <c r="O811" s="80"/>
      <c r="P811" s="6"/>
      <c r="Q811" s="6"/>
      <c r="R811" s="6"/>
      <c r="S811" s="6"/>
      <c r="T811" s="6"/>
      <c r="U811" s="6"/>
      <c r="V811" s="6"/>
      <c r="W811" s="7"/>
      <c r="X811" s="7"/>
      <c r="Y811" s="7"/>
      <c r="Z811" s="7"/>
    </row>
    <row r="812">
      <c r="A812" s="6"/>
      <c r="B812" s="6"/>
      <c r="C812" s="6"/>
      <c r="D812" s="6"/>
      <c r="E812" s="6"/>
      <c r="F812" s="6"/>
      <c r="G812" s="6"/>
      <c r="H812" s="6"/>
      <c r="I812" s="6"/>
      <c r="J812" s="6"/>
      <c r="K812" s="6"/>
      <c r="L812" s="80"/>
      <c r="M812" s="80"/>
      <c r="N812" s="80"/>
      <c r="O812" s="80"/>
      <c r="P812" s="6"/>
      <c r="Q812" s="6"/>
      <c r="R812" s="6"/>
      <c r="S812" s="6"/>
      <c r="T812" s="6"/>
      <c r="U812" s="6"/>
      <c r="V812" s="6"/>
      <c r="W812" s="7"/>
      <c r="X812" s="7"/>
      <c r="Y812" s="7"/>
      <c r="Z812" s="7"/>
    </row>
    <row r="813">
      <c r="A813" s="6"/>
      <c r="B813" s="6"/>
      <c r="C813" s="6"/>
      <c r="D813" s="6"/>
      <c r="E813" s="6"/>
      <c r="F813" s="6"/>
      <c r="G813" s="6"/>
      <c r="H813" s="6"/>
      <c r="I813" s="6"/>
      <c r="J813" s="6"/>
      <c r="K813" s="6"/>
      <c r="L813" s="80"/>
      <c r="M813" s="80"/>
      <c r="N813" s="80"/>
      <c r="O813" s="80"/>
      <c r="P813" s="6"/>
      <c r="Q813" s="6"/>
      <c r="R813" s="6"/>
      <c r="S813" s="6"/>
      <c r="T813" s="6"/>
      <c r="U813" s="6"/>
      <c r="V813" s="6"/>
      <c r="W813" s="7"/>
      <c r="X813" s="7"/>
      <c r="Y813" s="7"/>
      <c r="Z813" s="7"/>
    </row>
    <row r="814">
      <c r="A814" s="6"/>
      <c r="B814" s="6"/>
      <c r="C814" s="6"/>
      <c r="D814" s="6"/>
      <c r="E814" s="6"/>
      <c r="F814" s="6"/>
      <c r="G814" s="6"/>
      <c r="H814" s="6"/>
      <c r="I814" s="6"/>
      <c r="J814" s="6"/>
      <c r="K814" s="6"/>
      <c r="L814" s="80"/>
      <c r="M814" s="80"/>
      <c r="N814" s="80"/>
      <c r="O814" s="80"/>
      <c r="P814" s="6"/>
      <c r="Q814" s="6"/>
      <c r="R814" s="6"/>
      <c r="S814" s="6"/>
      <c r="T814" s="6"/>
      <c r="U814" s="6"/>
      <c r="V814" s="6"/>
      <c r="W814" s="7"/>
      <c r="X814" s="7"/>
      <c r="Y814" s="7"/>
      <c r="Z814" s="7"/>
    </row>
    <row r="815">
      <c r="A815" s="6"/>
      <c r="B815" s="6"/>
      <c r="C815" s="6"/>
      <c r="D815" s="6"/>
      <c r="E815" s="6"/>
      <c r="F815" s="6"/>
      <c r="G815" s="6"/>
      <c r="H815" s="6"/>
      <c r="I815" s="6"/>
      <c r="J815" s="6"/>
      <c r="K815" s="6"/>
      <c r="L815" s="80"/>
      <c r="M815" s="80"/>
      <c r="N815" s="80"/>
      <c r="O815" s="80"/>
      <c r="P815" s="6"/>
      <c r="Q815" s="6"/>
      <c r="R815" s="6"/>
      <c r="S815" s="6"/>
      <c r="T815" s="6"/>
      <c r="U815" s="6"/>
      <c r="V815" s="6"/>
      <c r="W815" s="7"/>
      <c r="X815" s="7"/>
      <c r="Y815" s="7"/>
      <c r="Z815" s="7"/>
    </row>
    <row r="816">
      <c r="A816" s="6"/>
      <c r="B816" s="6"/>
      <c r="C816" s="6"/>
      <c r="D816" s="6"/>
      <c r="E816" s="6"/>
      <c r="F816" s="6"/>
      <c r="G816" s="6"/>
      <c r="H816" s="6"/>
      <c r="I816" s="6"/>
      <c r="J816" s="6"/>
      <c r="K816" s="6"/>
      <c r="L816" s="80"/>
      <c r="M816" s="80"/>
      <c r="N816" s="80"/>
      <c r="O816" s="80"/>
      <c r="P816" s="6"/>
      <c r="Q816" s="6"/>
      <c r="R816" s="6"/>
      <c r="S816" s="6"/>
      <c r="T816" s="6"/>
      <c r="U816" s="6"/>
      <c r="V816" s="6"/>
      <c r="W816" s="7"/>
      <c r="X816" s="7"/>
      <c r="Y816" s="7"/>
      <c r="Z816" s="7"/>
    </row>
    <row r="817">
      <c r="A817" s="6"/>
      <c r="B817" s="6"/>
      <c r="C817" s="6"/>
      <c r="D817" s="6"/>
      <c r="E817" s="6"/>
      <c r="F817" s="6"/>
      <c r="G817" s="6"/>
      <c r="H817" s="6"/>
      <c r="I817" s="6"/>
      <c r="J817" s="6"/>
      <c r="K817" s="6"/>
      <c r="L817" s="80"/>
      <c r="M817" s="80"/>
      <c r="N817" s="80"/>
      <c r="O817" s="80"/>
      <c r="P817" s="6"/>
      <c r="Q817" s="6"/>
      <c r="R817" s="6"/>
      <c r="S817" s="6"/>
      <c r="T817" s="6"/>
      <c r="U817" s="6"/>
      <c r="V817" s="6"/>
      <c r="W817" s="7"/>
      <c r="X817" s="7"/>
      <c r="Y817" s="7"/>
      <c r="Z817" s="7"/>
    </row>
    <row r="818">
      <c r="A818" s="6"/>
      <c r="B818" s="6"/>
      <c r="C818" s="6"/>
      <c r="D818" s="6"/>
      <c r="E818" s="6"/>
      <c r="F818" s="6"/>
      <c r="G818" s="6"/>
      <c r="H818" s="6"/>
      <c r="I818" s="6"/>
      <c r="J818" s="6"/>
      <c r="K818" s="6"/>
      <c r="L818" s="80"/>
      <c r="M818" s="80"/>
      <c r="N818" s="80"/>
      <c r="O818" s="80"/>
      <c r="P818" s="6"/>
      <c r="Q818" s="6"/>
      <c r="R818" s="6"/>
      <c r="S818" s="6"/>
      <c r="T818" s="6"/>
      <c r="U818" s="6"/>
      <c r="V818" s="6"/>
      <c r="W818" s="7"/>
      <c r="X818" s="7"/>
      <c r="Y818" s="7"/>
      <c r="Z818" s="7"/>
    </row>
    <row r="819">
      <c r="A819" s="6"/>
      <c r="B819" s="6"/>
      <c r="C819" s="6"/>
      <c r="D819" s="6"/>
      <c r="E819" s="6"/>
      <c r="F819" s="6"/>
      <c r="G819" s="6"/>
      <c r="H819" s="6"/>
      <c r="I819" s="6"/>
      <c r="J819" s="6"/>
      <c r="K819" s="6"/>
      <c r="L819" s="80"/>
      <c r="M819" s="80"/>
      <c r="N819" s="80"/>
      <c r="O819" s="80"/>
      <c r="P819" s="6"/>
      <c r="Q819" s="6"/>
      <c r="R819" s="6"/>
      <c r="S819" s="6"/>
      <c r="T819" s="6"/>
      <c r="U819" s="6"/>
      <c r="V819" s="6"/>
      <c r="W819" s="7"/>
      <c r="X819" s="7"/>
      <c r="Y819" s="7"/>
      <c r="Z819" s="7"/>
    </row>
    <row r="820">
      <c r="A820" s="6"/>
      <c r="B820" s="6"/>
      <c r="C820" s="6"/>
      <c r="D820" s="6"/>
      <c r="E820" s="6"/>
      <c r="F820" s="6"/>
      <c r="G820" s="6"/>
      <c r="H820" s="6"/>
      <c r="I820" s="6"/>
      <c r="J820" s="6"/>
      <c r="K820" s="6"/>
      <c r="L820" s="80"/>
      <c r="M820" s="80"/>
      <c r="N820" s="80"/>
      <c r="O820" s="80"/>
      <c r="P820" s="6"/>
      <c r="Q820" s="6"/>
      <c r="R820" s="6"/>
      <c r="S820" s="6"/>
      <c r="T820" s="6"/>
      <c r="U820" s="6"/>
      <c r="V820" s="6"/>
      <c r="W820" s="7"/>
      <c r="X820" s="7"/>
      <c r="Y820" s="7"/>
      <c r="Z820" s="7"/>
    </row>
    <row r="821">
      <c r="A821" s="6"/>
      <c r="B821" s="6"/>
      <c r="C821" s="6"/>
      <c r="D821" s="6"/>
      <c r="E821" s="6"/>
      <c r="F821" s="6"/>
      <c r="G821" s="6"/>
      <c r="H821" s="6"/>
      <c r="I821" s="6"/>
      <c r="J821" s="6"/>
      <c r="K821" s="6"/>
      <c r="L821" s="80"/>
      <c r="M821" s="80"/>
      <c r="N821" s="80"/>
      <c r="O821" s="80"/>
      <c r="P821" s="6"/>
      <c r="Q821" s="6"/>
      <c r="R821" s="6"/>
      <c r="S821" s="6"/>
      <c r="T821" s="6"/>
      <c r="U821" s="6"/>
      <c r="V821" s="6"/>
      <c r="W821" s="7"/>
      <c r="X821" s="7"/>
      <c r="Y821" s="7"/>
      <c r="Z821" s="7"/>
    </row>
    <row r="822">
      <c r="A822" s="6"/>
      <c r="B822" s="6"/>
      <c r="C822" s="6"/>
      <c r="D822" s="6"/>
      <c r="E822" s="6"/>
      <c r="F822" s="6"/>
      <c r="G822" s="6"/>
      <c r="H822" s="6"/>
      <c r="I822" s="6"/>
      <c r="J822" s="6"/>
      <c r="K822" s="6"/>
      <c r="L822" s="80"/>
      <c r="M822" s="80"/>
      <c r="N822" s="80"/>
      <c r="O822" s="80"/>
      <c r="P822" s="6"/>
      <c r="Q822" s="6"/>
      <c r="R822" s="6"/>
      <c r="S822" s="6"/>
      <c r="T822" s="6"/>
      <c r="U822" s="6"/>
      <c r="V822" s="6"/>
      <c r="W822" s="7"/>
      <c r="X822" s="7"/>
      <c r="Y822" s="7"/>
      <c r="Z822" s="7"/>
    </row>
    <row r="823">
      <c r="A823" s="6"/>
      <c r="B823" s="6"/>
      <c r="C823" s="6"/>
      <c r="D823" s="6"/>
      <c r="E823" s="6"/>
      <c r="F823" s="6"/>
      <c r="G823" s="6"/>
      <c r="H823" s="6"/>
      <c r="I823" s="6"/>
      <c r="J823" s="6"/>
      <c r="K823" s="6"/>
      <c r="L823" s="80"/>
      <c r="M823" s="80"/>
      <c r="N823" s="80"/>
      <c r="O823" s="80"/>
      <c r="P823" s="6"/>
      <c r="Q823" s="6"/>
      <c r="R823" s="6"/>
      <c r="S823" s="6"/>
      <c r="T823" s="6"/>
      <c r="U823" s="6"/>
      <c r="V823" s="6"/>
      <c r="W823" s="7"/>
      <c r="X823" s="7"/>
      <c r="Y823" s="7"/>
      <c r="Z823" s="7"/>
    </row>
    <row r="824">
      <c r="A824" s="6"/>
      <c r="B824" s="6"/>
      <c r="C824" s="6"/>
      <c r="D824" s="6"/>
      <c r="E824" s="6"/>
      <c r="F824" s="6"/>
      <c r="G824" s="6"/>
      <c r="H824" s="6"/>
      <c r="I824" s="6"/>
      <c r="J824" s="6"/>
      <c r="K824" s="6"/>
      <c r="L824" s="80"/>
      <c r="M824" s="80"/>
      <c r="N824" s="80"/>
      <c r="O824" s="80"/>
      <c r="P824" s="6"/>
      <c r="Q824" s="6"/>
      <c r="R824" s="6"/>
      <c r="S824" s="6"/>
      <c r="T824" s="6"/>
      <c r="U824" s="6"/>
      <c r="V824" s="6"/>
      <c r="W824" s="7"/>
      <c r="X824" s="7"/>
      <c r="Y824" s="7"/>
      <c r="Z824" s="7"/>
    </row>
    <row r="825">
      <c r="A825" s="6"/>
      <c r="B825" s="6"/>
      <c r="C825" s="6"/>
      <c r="D825" s="6"/>
      <c r="E825" s="6"/>
      <c r="F825" s="6"/>
      <c r="G825" s="6"/>
      <c r="H825" s="6"/>
      <c r="I825" s="6"/>
      <c r="J825" s="6"/>
      <c r="K825" s="6"/>
      <c r="L825" s="80"/>
      <c r="M825" s="80"/>
      <c r="N825" s="80"/>
      <c r="O825" s="80"/>
      <c r="P825" s="6"/>
      <c r="Q825" s="6"/>
      <c r="R825" s="6"/>
      <c r="S825" s="6"/>
      <c r="T825" s="6"/>
      <c r="U825" s="6"/>
      <c r="V825" s="6"/>
      <c r="W825" s="7"/>
      <c r="X825" s="7"/>
      <c r="Y825" s="7"/>
      <c r="Z825" s="7"/>
    </row>
    <row r="826">
      <c r="A826" s="6"/>
      <c r="B826" s="6"/>
      <c r="C826" s="6"/>
      <c r="D826" s="6"/>
      <c r="E826" s="6"/>
      <c r="F826" s="6"/>
      <c r="G826" s="6"/>
      <c r="H826" s="6"/>
      <c r="I826" s="6"/>
      <c r="J826" s="6"/>
      <c r="K826" s="6"/>
      <c r="L826" s="80"/>
      <c r="M826" s="80"/>
      <c r="N826" s="80"/>
      <c r="O826" s="80"/>
      <c r="P826" s="6"/>
      <c r="Q826" s="6"/>
      <c r="R826" s="6"/>
      <c r="S826" s="6"/>
      <c r="T826" s="6"/>
      <c r="U826" s="6"/>
      <c r="V826" s="6"/>
      <c r="W826" s="7"/>
      <c r="X826" s="7"/>
      <c r="Y826" s="7"/>
      <c r="Z826" s="7"/>
    </row>
    <row r="827">
      <c r="A827" s="6"/>
      <c r="B827" s="6"/>
      <c r="C827" s="6"/>
      <c r="D827" s="6"/>
      <c r="E827" s="6"/>
      <c r="F827" s="6"/>
      <c r="G827" s="6"/>
      <c r="H827" s="6"/>
      <c r="I827" s="6"/>
      <c r="J827" s="6"/>
      <c r="K827" s="6"/>
      <c r="L827" s="80"/>
      <c r="M827" s="80"/>
      <c r="N827" s="80"/>
      <c r="O827" s="80"/>
      <c r="P827" s="6"/>
      <c r="Q827" s="6"/>
      <c r="R827" s="6"/>
      <c r="S827" s="6"/>
      <c r="T827" s="6"/>
      <c r="U827" s="6"/>
      <c r="V827" s="6"/>
      <c r="W827" s="7"/>
      <c r="X827" s="7"/>
      <c r="Y827" s="7"/>
      <c r="Z827" s="7"/>
    </row>
    <row r="828">
      <c r="A828" s="6"/>
      <c r="B828" s="6"/>
      <c r="C828" s="6"/>
      <c r="D828" s="6"/>
      <c r="E828" s="6"/>
      <c r="F828" s="6"/>
      <c r="G828" s="6"/>
      <c r="H828" s="6"/>
      <c r="I828" s="6"/>
      <c r="J828" s="6"/>
      <c r="K828" s="6"/>
      <c r="L828" s="80"/>
      <c r="M828" s="80"/>
      <c r="N828" s="80"/>
      <c r="O828" s="80"/>
      <c r="P828" s="6"/>
      <c r="Q828" s="6"/>
      <c r="R828" s="6"/>
      <c r="S828" s="6"/>
      <c r="T828" s="6"/>
      <c r="U828" s="6"/>
      <c r="V828" s="6"/>
      <c r="W828" s="7"/>
      <c r="X828" s="7"/>
      <c r="Y828" s="7"/>
      <c r="Z828" s="7"/>
    </row>
    <row r="829">
      <c r="A829" s="6"/>
      <c r="B829" s="6"/>
      <c r="C829" s="6"/>
      <c r="D829" s="6"/>
      <c r="E829" s="6"/>
      <c r="F829" s="6"/>
      <c r="G829" s="6"/>
      <c r="H829" s="6"/>
      <c r="I829" s="6"/>
      <c r="J829" s="6"/>
      <c r="K829" s="6"/>
      <c r="L829" s="80"/>
      <c r="M829" s="80"/>
      <c r="N829" s="80"/>
      <c r="O829" s="80"/>
      <c r="P829" s="6"/>
      <c r="Q829" s="6"/>
      <c r="R829" s="6"/>
      <c r="S829" s="6"/>
      <c r="T829" s="6"/>
      <c r="U829" s="6"/>
      <c r="V829" s="6"/>
      <c r="W829" s="7"/>
      <c r="X829" s="7"/>
      <c r="Y829" s="7"/>
      <c r="Z829" s="7"/>
    </row>
    <row r="830">
      <c r="A830" s="6"/>
      <c r="B830" s="6"/>
      <c r="C830" s="6"/>
      <c r="D830" s="6"/>
      <c r="E830" s="6"/>
      <c r="F830" s="6"/>
      <c r="G830" s="6"/>
      <c r="H830" s="6"/>
      <c r="I830" s="6"/>
      <c r="J830" s="6"/>
      <c r="K830" s="6"/>
      <c r="L830" s="80"/>
      <c r="M830" s="80"/>
      <c r="N830" s="80"/>
      <c r="O830" s="80"/>
      <c r="P830" s="6"/>
      <c r="Q830" s="6"/>
      <c r="R830" s="6"/>
      <c r="S830" s="6"/>
      <c r="T830" s="6"/>
      <c r="U830" s="6"/>
      <c r="V830" s="6"/>
      <c r="W830" s="7"/>
      <c r="X830" s="7"/>
      <c r="Y830" s="7"/>
      <c r="Z830" s="7"/>
    </row>
    <row r="831">
      <c r="A831" s="6"/>
      <c r="B831" s="6"/>
      <c r="C831" s="6"/>
      <c r="D831" s="6"/>
      <c r="E831" s="6"/>
      <c r="F831" s="6"/>
      <c r="G831" s="6"/>
      <c r="H831" s="6"/>
      <c r="I831" s="6"/>
      <c r="J831" s="6"/>
      <c r="K831" s="6"/>
      <c r="L831" s="80"/>
      <c r="M831" s="80"/>
      <c r="N831" s="80"/>
      <c r="O831" s="80"/>
      <c r="P831" s="6"/>
      <c r="Q831" s="6"/>
      <c r="R831" s="6"/>
      <c r="S831" s="6"/>
      <c r="T831" s="6"/>
      <c r="U831" s="6"/>
      <c r="V831" s="6"/>
      <c r="W831" s="7"/>
      <c r="X831" s="7"/>
      <c r="Y831" s="7"/>
      <c r="Z831" s="7"/>
    </row>
    <row r="832">
      <c r="A832" s="6"/>
      <c r="B832" s="6"/>
      <c r="C832" s="6"/>
      <c r="D832" s="6"/>
      <c r="E832" s="6"/>
      <c r="F832" s="6"/>
      <c r="G832" s="6"/>
      <c r="H832" s="6"/>
      <c r="I832" s="6"/>
      <c r="J832" s="6"/>
      <c r="K832" s="6"/>
      <c r="L832" s="80"/>
      <c r="M832" s="80"/>
      <c r="N832" s="80"/>
      <c r="O832" s="80"/>
      <c r="P832" s="6"/>
      <c r="Q832" s="6"/>
      <c r="R832" s="6"/>
      <c r="S832" s="6"/>
      <c r="T832" s="6"/>
      <c r="U832" s="6"/>
      <c r="V832" s="6"/>
      <c r="W832" s="7"/>
      <c r="X832" s="7"/>
      <c r="Y832" s="7"/>
      <c r="Z832" s="7"/>
    </row>
    <row r="833">
      <c r="A833" s="6"/>
      <c r="B833" s="6"/>
      <c r="C833" s="6"/>
      <c r="D833" s="6"/>
      <c r="E833" s="6"/>
      <c r="F833" s="6"/>
      <c r="G833" s="6"/>
      <c r="H833" s="6"/>
      <c r="I833" s="6"/>
      <c r="J833" s="6"/>
      <c r="K833" s="6"/>
      <c r="L833" s="80"/>
      <c r="M833" s="80"/>
      <c r="N833" s="80"/>
      <c r="O833" s="80"/>
      <c r="P833" s="6"/>
      <c r="Q833" s="6"/>
      <c r="R833" s="6"/>
      <c r="S833" s="6"/>
      <c r="T833" s="6"/>
      <c r="U833" s="6"/>
      <c r="V833" s="6"/>
      <c r="W833" s="7"/>
      <c r="X833" s="7"/>
      <c r="Y833" s="7"/>
      <c r="Z833" s="7"/>
    </row>
    <row r="834">
      <c r="A834" s="6"/>
      <c r="B834" s="6"/>
      <c r="C834" s="6"/>
      <c r="D834" s="6"/>
      <c r="E834" s="6"/>
      <c r="F834" s="6"/>
      <c r="G834" s="6"/>
      <c r="H834" s="6"/>
      <c r="I834" s="6"/>
      <c r="J834" s="6"/>
      <c r="K834" s="6"/>
      <c r="L834" s="80"/>
      <c r="M834" s="80"/>
      <c r="N834" s="80"/>
      <c r="O834" s="80"/>
      <c r="P834" s="6"/>
      <c r="Q834" s="6"/>
      <c r="R834" s="6"/>
      <c r="S834" s="6"/>
      <c r="T834" s="6"/>
      <c r="U834" s="6"/>
      <c r="V834" s="6"/>
      <c r="W834" s="7"/>
      <c r="X834" s="7"/>
      <c r="Y834" s="7"/>
      <c r="Z834" s="7"/>
    </row>
    <row r="835">
      <c r="A835" s="6"/>
      <c r="B835" s="6"/>
      <c r="C835" s="6"/>
      <c r="D835" s="6"/>
      <c r="E835" s="6"/>
      <c r="F835" s="6"/>
      <c r="G835" s="6"/>
      <c r="H835" s="6"/>
      <c r="I835" s="6"/>
      <c r="J835" s="6"/>
      <c r="K835" s="6"/>
      <c r="L835" s="80"/>
      <c r="M835" s="80"/>
      <c r="N835" s="80"/>
      <c r="O835" s="80"/>
      <c r="P835" s="6"/>
      <c r="Q835" s="6"/>
      <c r="R835" s="6"/>
      <c r="S835" s="6"/>
      <c r="T835" s="6"/>
      <c r="U835" s="6"/>
      <c r="V835" s="6"/>
      <c r="W835" s="7"/>
      <c r="X835" s="7"/>
      <c r="Y835" s="7"/>
      <c r="Z835" s="7"/>
    </row>
    <row r="836">
      <c r="A836" s="6"/>
      <c r="B836" s="6"/>
      <c r="C836" s="6"/>
      <c r="D836" s="6"/>
      <c r="E836" s="6"/>
      <c r="F836" s="6"/>
      <c r="G836" s="6"/>
      <c r="H836" s="6"/>
      <c r="I836" s="6"/>
      <c r="J836" s="6"/>
      <c r="K836" s="6"/>
      <c r="L836" s="80"/>
      <c r="M836" s="80"/>
      <c r="N836" s="80"/>
      <c r="O836" s="80"/>
      <c r="P836" s="6"/>
      <c r="Q836" s="6"/>
      <c r="R836" s="6"/>
      <c r="S836" s="6"/>
      <c r="T836" s="6"/>
      <c r="U836" s="6"/>
      <c r="V836" s="6"/>
      <c r="W836" s="7"/>
      <c r="X836" s="7"/>
      <c r="Y836" s="7"/>
      <c r="Z836" s="7"/>
    </row>
    <row r="837">
      <c r="A837" s="6"/>
      <c r="B837" s="6"/>
      <c r="C837" s="6"/>
      <c r="D837" s="6"/>
      <c r="E837" s="6"/>
      <c r="F837" s="6"/>
      <c r="G837" s="6"/>
      <c r="H837" s="6"/>
      <c r="I837" s="6"/>
      <c r="J837" s="6"/>
      <c r="K837" s="6"/>
      <c r="L837" s="80"/>
      <c r="M837" s="80"/>
      <c r="N837" s="80"/>
      <c r="O837" s="80"/>
      <c r="P837" s="6"/>
      <c r="Q837" s="6"/>
      <c r="R837" s="6"/>
      <c r="S837" s="6"/>
      <c r="T837" s="6"/>
      <c r="U837" s="6"/>
      <c r="V837" s="6"/>
      <c r="W837" s="7"/>
      <c r="X837" s="7"/>
      <c r="Y837" s="7"/>
      <c r="Z837" s="7"/>
    </row>
    <row r="838">
      <c r="A838" s="6"/>
      <c r="B838" s="6"/>
      <c r="C838" s="6"/>
      <c r="D838" s="6"/>
      <c r="E838" s="6"/>
      <c r="F838" s="6"/>
      <c r="G838" s="6"/>
      <c r="H838" s="6"/>
      <c r="I838" s="6"/>
      <c r="J838" s="6"/>
      <c r="K838" s="6"/>
      <c r="L838" s="80"/>
      <c r="M838" s="80"/>
      <c r="N838" s="80"/>
      <c r="O838" s="80"/>
      <c r="P838" s="6"/>
      <c r="Q838" s="6"/>
      <c r="R838" s="6"/>
      <c r="S838" s="6"/>
      <c r="T838" s="6"/>
      <c r="U838" s="6"/>
      <c r="V838" s="6"/>
      <c r="W838" s="7"/>
      <c r="X838" s="7"/>
      <c r="Y838" s="7"/>
      <c r="Z838" s="7"/>
    </row>
    <row r="839">
      <c r="A839" s="6"/>
      <c r="B839" s="6"/>
      <c r="C839" s="6"/>
      <c r="D839" s="6"/>
      <c r="E839" s="6"/>
      <c r="F839" s="6"/>
      <c r="G839" s="6"/>
      <c r="H839" s="6"/>
      <c r="I839" s="6"/>
      <c r="J839" s="6"/>
      <c r="K839" s="6"/>
      <c r="L839" s="80"/>
      <c r="M839" s="80"/>
      <c r="N839" s="80"/>
      <c r="O839" s="80"/>
      <c r="P839" s="6"/>
      <c r="Q839" s="6"/>
      <c r="R839" s="6"/>
      <c r="S839" s="6"/>
      <c r="T839" s="6"/>
      <c r="U839" s="6"/>
      <c r="V839" s="6"/>
      <c r="W839" s="7"/>
      <c r="X839" s="7"/>
      <c r="Y839" s="7"/>
      <c r="Z839" s="7"/>
    </row>
    <row r="840">
      <c r="A840" s="6"/>
      <c r="B840" s="6"/>
      <c r="C840" s="6"/>
      <c r="D840" s="6"/>
      <c r="E840" s="6"/>
      <c r="F840" s="6"/>
      <c r="G840" s="6"/>
      <c r="H840" s="6"/>
      <c r="I840" s="6"/>
      <c r="J840" s="6"/>
      <c r="K840" s="6"/>
      <c r="L840" s="80"/>
      <c r="M840" s="80"/>
      <c r="N840" s="80"/>
      <c r="O840" s="80"/>
      <c r="P840" s="6"/>
      <c r="Q840" s="6"/>
      <c r="R840" s="6"/>
      <c r="S840" s="6"/>
      <c r="T840" s="6"/>
      <c r="U840" s="6"/>
      <c r="V840" s="6"/>
      <c r="W840" s="7"/>
      <c r="X840" s="7"/>
      <c r="Y840" s="7"/>
      <c r="Z840" s="7"/>
    </row>
    <row r="841">
      <c r="A841" s="6"/>
      <c r="B841" s="6"/>
      <c r="C841" s="6"/>
      <c r="D841" s="6"/>
      <c r="E841" s="6"/>
      <c r="F841" s="6"/>
      <c r="G841" s="6"/>
      <c r="H841" s="6"/>
      <c r="I841" s="6"/>
      <c r="J841" s="6"/>
      <c r="K841" s="6"/>
      <c r="L841" s="80"/>
      <c r="M841" s="80"/>
      <c r="N841" s="80"/>
      <c r="O841" s="80"/>
      <c r="P841" s="6"/>
      <c r="Q841" s="6"/>
      <c r="R841" s="6"/>
      <c r="S841" s="6"/>
      <c r="T841" s="6"/>
      <c r="U841" s="6"/>
      <c r="V841" s="6"/>
      <c r="W841" s="7"/>
      <c r="X841" s="7"/>
      <c r="Y841" s="7"/>
      <c r="Z841" s="7"/>
    </row>
    <row r="842">
      <c r="A842" s="6"/>
      <c r="B842" s="6"/>
      <c r="C842" s="6"/>
      <c r="D842" s="6"/>
      <c r="E842" s="6"/>
      <c r="F842" s="6"/>
      <c r="G842" s="6"/>
      <c r="H842" s="6"/>
      <c r="I842" s="6"/>
      <c r="J842" s="6"/>
      <c r="K842" s="6"/>
      <c r="L842" s="80"/>
      <c r="M842" s="80"/>
      <c r="N842" s="80"/>
      <c r="O842" s="80"/>
      <c r="P842" s="6"/>
      <c r="Q842" s="6"/>
      <c r="R842" s="6"/>
      <c r="S842" s="6"/>
      <c r="T842" s="6"/>
      <c r="U842" s="6"/>
      <c r="V842" s="6"/>
      <c r="W842" s="7"/>
      <c r="X842" s="7"/>
      <c r="Y842" s="7"/>
      <c r="Z842" s="7"/>
    </row>
    <row r="843">
      <c r="A843" s="6"/>
      <c r="B843" s="6"/>
      <c r="C843" s="6"/>
      <c r="D843" s="6"/>
      <c r="E843" s="6"/>
      <c r="F843" s="6"/>
      <c r="G843" s="6"/>
      <c r="H843" s="6"/>
      <c r="I843" s="6"/>
      <c r="J843" s="6"/>
      <c r="K843" s="6"/>
      <c r="L843" s="80"/>
      <c r="M843" s="80"/>
      <c r="N843" s="80"/>
      <c r="O843" s="80"/>
      <c r="P843" s="6"/>
      <c r="Q843" s="6"/>
      <c r="R843" s="6"/>
      <c r="S843" s="6"/>
      <c r="T843" s="6"/>
      <c r="U843" s="6"/>
      <c r="V843" s="6"/>
      <c r="W843" s="7"/>
      <c r="X843" s="7"/>
      <c r="Y843" s="7"/>
      <c r="Z843" s="7"/>
    </row>
    <row r="844">
      <c r="A844" s="6"/>
      <c r="B844" s="6"/>
      <c r="C844" s="6"/>
      <c r="D844" s="6"/>
      <c r="E844" s="6"/>
      <c r="F844" s="6"/>
      <c r="G844" s="6"/>
      <c r="H844" s="6"/>
      <c r="I844" s="6"/>
      <c r="J844" s="6"/>
      <c r="K844" s="6"/>
      <c r="L844" s="80"/>
      <c r="M844" s="80"/>
      <c r="N844" s="80"/>
      <c r="O844" s="80"/>
      <c r="P844" s="6"/>
      <c r="Q844" s="6"/>
      <c r="R844" s="6"/>
      <c r="S844" s="6"/>
      <c r="T844" s="6"/>
      <c r="U844" s="6"/>
      <c r="V844" s="6"/>
      <c r="W844" s="7"/>
      <c r="X844" s="7"/>
      <c r="Y844" s="7"/>
      <c r="Z844" s="7"/>
    </row>
    <row r="845">
      <c r="A845" s="6"/>
      <c r="B845" s="6"/>
      <c r="C845" s="6"/>
      <c r="D845" s="6"/>
      <c r="E845" s="6"/>
      <c r="F845" s="6"/>
      <c r="G845" s="6"/>
      <c r="H845" s="6"/>
      <c r="I845" s="6"/>
      <c r="J845" s="6"/>
      <c r="K845" s="6"/>
      <c r="L845" s="80"/>
      <c r="M845" s="80"/>
      <c r="N845" s="80"/>
      <c r="O845" s="80"/>
      <c r="P845" s="6"/>
      <c r="Q845" s="6"/>
      <c r="R845" s="6"/>
      <c r="S845" s="6"/>
      <c r="T845" s="6"/>
      <c r="U845" s="6"/>
      <c r="V845" s="6"/>
      <c r="W845" s="7"/>
      <c r="X845" s="7"/>
      <c r="Y845" s="7"/>
      <c r="Z845" s="7"/>
    </row>
    <row r="846">
      <c r="A846" s="6"/>
      <c r="B846" s="6"/>
      <c r="C846" s="6"/>
      <c r="D846" s="6"/>
      <c r="E846" s="6"/>
      <c r="F846" s="6"/>
      <c r="G846" s="6"/>
      <c r="H846" s="6"/>
      <c r="I846" s="6"/>
      <c r="J846" s="6"/>
      <c r="K846" s="6"/>
      <c r="L846" s="80"/>
      <c r="M846" s="80"/>
      <c r="N846" s="80"/>
      <c r="O846" s="80"/>
      <c r="P846" s="6"/>
      <c r="Q846" s="6"/>
      <c r="R846" s="6"/>
      <c r="S846" s="6"/>
      <c r="T846" s="6"/>
      <c r="U846" s="6"/>
      <c r="V846" s="6"/>
      <c r="W846" s="7"/>
      <c r="X846" s="7"/>
      <c r="Y846" s="7"/>
      <c r="Z846" s="7"/>
    </row>
    <row r="847">
      <c r="A847" s="6"/>
      <c r="B847" s="6"/>
      <c r="C847" s="6"/>
      <c r="D847" s="6"/>
      <c r="E847" s="6"/>
      <c r="F847" s="6"/>
      <c r="G847" s="6"/>
      <c r="H847" s="6"/>
      <c r="I847" s="6"/>
      <c r="J847" s="6"/>
      <c r="K847" s="6"/>
      <c r="L847" s="80"/>
      <c r="M847" s="80"/>
      <c r="N847" s="80"/>
      <c r="O847" s="80"/>
      <c r="P847" s="6"/>
      <c r="Q847" s="6"/>
      <c r="R847" s="6"/>
      <c r="S847" s="6"/>
      <c r="T847" s="6"/>
      <c r="U847" s="6"/>
      <c r="V847" s="6"/>
      <c r="W847" s="7"/>
      <c r="X847" s="7"/>
      <c r="Y847" s="7"/>
      <c r="Z847" s="7"/>
    </row>
    <row r="848">
      <c r="A848" s="6"/>
      <c r="B848" s="6"/>
      <c r="C848" s="6"/>
      <c r="D848" s="6"/>
      <c r="E848" s="6"/>
      <c r="F848" s="6"/>
      <c r="G848" s="6"/>
      <c r="H848" s="6"/>
      <c r="I848" s="6"/>
      <c r="J848" s="6"/>
      <c r="K848" s="6"/>
      <c r="L848" s="80"/>
      <c r="M848" s="80"/>
      <c r="N848" s="80"/>
      <c r="O848" s="80"/>
      <c r="P848" s="6"/>
      <c r="Q848" s="6"/>
      <c r="R848" s="6"/>
      <c r="S848" s="6"/>
      <c r="T848" s="6"/>
      <c r="U848" s="6"/>
      <c r="V848" s="6"/>
      <c r="W848" s="7"/>
      <c r="X848" s="7"/>
      <c r="Y848" s="7"/>
      <c r="Z848" s="7"/>
    </row>
    <row r="849">
      <c r="A849" s="6"/>
      <c r="B849" s="6"/>
      <c r="C849" s="6"/>
      <c r="D849" s="6"/>
      <c r="E849" s="6"/>
      <c r="F849" s="6"/>
      <c r="G849" s="6"/>
      <c r="H849" s="6"/>
      <c r="I849" s="6"/>
      <c r="J849" s="6"/>
      <c r="K849" s="6"/>
      <c r="L849" s="80"/>
      <c r="M849" s="80"/>
      <c r="N849" s="80"/>
      <c r="O849" s="80"/>
      <c r="P849" s="6"/>
      <c r="Q849" s="6"/>
      <c r="R849" s="6"/>
      <c r="S849" s="6"/>
      <c r="T849" s="6"/>
      <c r="U849" s="6"/>
      <c r="V849" s="6"/>
      <c r="W849" s="7"/>
      <c r="X849" s="7"/>
      <c r="Y849" s="7"/>
      <c r="Z849" s="7"/>
    </row>
    <row r="850">
      <c r="A850" s="6"/>
      <c r="B850" s="6"/>
      <c r="C850" s="6"/>
      <c r="D850" s="6"/>
      <c r="E850" s="6"/>
      <c r="F850" s="6"/>
      <c r="G850" s="6"/>
      <c r="H850" s="6"/>
      <c r="I850" s="6"/>
      <c r="J850" s="6"/>
      <c r="K850" s="6"/>
      <c r="L850" s="80"/>
      <c r="M850" s="80"/>
      <c r="N850" s="80"/>
      <c r="O850" s="80"/>
      <c r="P850" s="6"/>
      <c r="Q850" s="6"/>
      <c r="R850" s="6"/>
      <c r="S850" s="6"/>
      <c r="T850" s="6"/>
      <c r="U850" s="6"/>
      <c r="V850" s="6"/>
      <c r="W850" s="7"/>
      <c r="X850" s="7"/>
      <c r="Y850" s="7"/>
      <c r="Z850" s="7"/>
    </row>
    <row r="851">
      <c r="A851" s="6"/>
      <c r="B851" s="6"/>
      <c r="C851" s="6"/>
      <c r="D851" s="6"/>
      <c r="E851" s="6"/>
      <c r="F851" s="6"/>
      <c r="G851" s="6"/>
      <c r="H851" s="6"/>
      <c r="I851" s="6"/>
      <c r="J851" s="6"/>
      <c r="K851" s="6"/>
      <c r="L851" s="80"/>
      <c r="M851" s="80"/>
      <c r="N851" s="80"/>
      <c r="O851" s="80"/>
      <c r="P851" s="6"/>
      <c r="Q851" s="6"/>
      <c r="R851" s="6"/>
      <c r="S851" s="6"/>
      <c r="T851" s="6"/>
      <c r="U851" s="6"/>
      <c r="V851" s="6"/>
      <c r="W851" s="7"/>
      <c r="X851" s="7"/>
      <c r="Y851" s="7"/>
      <c r="Z851" s="7"/>
    </row>
    <row r="852">
      <c r="A852" s="6"/>
      <c r="B852" s="6"/>
      <c r="C852" s="6"/>
      <c r="D852" s="6"/>
      <c r="E852" s="6"/>
      <c r="F852" s="6"/>
      <c r="G852" s="6"/>
      <c r="H852" s="6"/>
      <c r="I852" s="6"/>
      <c r="J852" s="6"/>
      <c r="K852" s="6"/>
      <c r="L852" s="80"/>
      <c r="M852" s="80"/>
      <c r="N852" s="80"/>
      <c r="O852" s="80"/>
      <c r="P852" s="6"/>
      <c r="Q852" s="6"/>
      <c r="R852" s="6"/>
      <c r="S852" s="6"/>
      <c r="T852" s="6"/>
      <c r="U852" s="6"/>
      <c r="V852" s="6"/>
      <c r="W852" s="7"/>
      <c r="X852" s="7"/>
      <c r="Y852" s="7"/>
      <c r="Z852" s="7"/>
    </row>
    <row r="853">
      <c r="A853" s="6"/>
      <c r="B853" s="6"/>
      <c r="C853" s="6"/>
      <c r="D853" s="6"/>
      <c r="E853" s="6"/>
      <c r="F853" s="6"/>
      <c r="G853" s="6"/>
      <c r="H853" s="6"/>
      <c r="I853" s="6"/>
      <c r="J853" s="6"/>
      <c r="K853" s="6"/>
      <c r="L853" s="80"/>
      <c r="M853" s="80"/>
      <c r="N853" s="80"/>
      <c r="O853" s="80"/>
      <c r="P853" s="6"/>
      <c r="Q853" s="6"/>
      <c r="R853" s="6"/>
      <c r="S853" s="6"/>
      <c r="T853" s="6"/>
      <c r="U853" s="6"/>
      <c r="V853" s="6"/>
      <c r="W853" s="7"/>
      <c r="X853" s="7"/>
      <c r="Y853" s="7"/>
      <c r="Z853" s="7"/>
    </row>
    <row r="854">
      <c r="A854" s="6"/>
      <c r="B854" s="6"/>
      <c r="C854" s="6"/>
      <c r="D854" s="6"/>
      <c r="E854" s="6"/>
      <c r="F854" s="6"/>
      <c r="G854" s="6"/>
      <c r="H854" s="6"/>
      <c r="I854" s="6"/>
      <c r="J854" s="6"/>
      <c r="K854" s="6"/>
      <c r="L854" s="80"/>
      <c r="M854" s="80"/>
      <c r="N854" s="80"/>
      <c r="O854" s="80"/>
      <c r="P854" s="6"/>
      <c r="Q854" s="6"/>
      <c r="R854" s="6"/>
      <c r="S854" s="6"/>
      <c r="T854" s="6"/>
      <c r="U854" s="6"/>
      <c r="V854" s="6"/>
      <c r="W854" s="7"/>
      <c r="X854" s="7"/>
      <c r="Y854" s="7"/>
      <c r="Z854" s="7"/>
    </row>
    <row r="855">
      <c r="A855" s="6"/>
      <c r="B855" s="6"/>
      <c r="C855" s="6"/>
      <c r="D855" s="6"/>
      <c r="E855" s="6"/>
      <c r="F855" s="6"/>
      <c r="G855" s="6"/>
      <c r="H855" s="6"/>
      <c r="I855" s="6"/>
      <c r="J855" s="6"/>
      <c r="K855" s="6"/>
      <c r="L855" s="80"/>
      <c r="M855" s="80"/>
      <c r="N855" s="80"/>
      <c r="O855" s="80"/>
      <c r="P855" s="6"/>
      <c r="Q855" s="6"/>
      <c r="R855" s="6"/>
      <c r="S855" s="6"/>
      <c r="T855" s="6"/>
      <c r="U855" s="6"/>
      <c r="V855" s="6"/>
      <c r="W855" s="7"/>
      <c r="X855" s="7"/>
      <c r="Y855" s="7"/>
      <c r="Z855" s="7"/>
    </row>
    <row r="856">
      <c r="A856" s="6"/>
      <c r="B856" s="6"/>
      <c r="C856" s="6"/>
      <c r="D856" s="6"/>
      <c r="E856" s="6"/>
      <c r="F856" s="6"/>
      <c r="G856" s="6"/>
      <c r="H856" s="6"/>
      <c r="I856" s="6"/>
      <c r="J856" s="6"/>
      <c r="K856" s="6"/>
      <c r="L856" s="80"/>
      <c r="M856" s="80"/>
      <c r="N856" s="80"/>
      <c r="O856" s="80"/>
      <c r="P856" s="6"/>
      <c r="Q856" s="6"/>
      <c r="R856" s="6"/>
      <c r="S856" s="6"/>
      <c r="T856" s="6"/>
      <c r="U856" s="6"/>
      <c r="V856" s="6"/>
      <c r="W856" s="7"/>
      <c r="X856" s="7"/>
      <c r="Y856" s="7"/>
      <c r="Z856" s="7"/>
    </row>
    <row r="857">
      <c r="A857" s="6"/>
      <c r="B857" s="6"/>
      <c r="C857" s="6"/>
      <c r="D857" s="6"/>
      <c r="E857" s="6"/>
      <c r="F857" s="6"/>
      <c r="G857" s="6"/>
      <c r="H857" s="6"/>
      <c r="I857" s="6"/>
      <c r="J857" s="6"/>
      <c r="K857" s="6"/>
      <c r="L857" s="80"/>
      <c r="M857" s="80"/>
      <c r="N857" s="80"/>
      <c r="O857" s="80"/>
      <c r="P857" s="6"/>
      <c r="Q857" s="6"/>
      <c r="R857" s="6"/>
      <c r="S857" s="6"/>
      <c r="T857" s="6"/>
      <c r="U857" s="6"/>
      <c r="V857" s="6"/>
      <c r="W857" s="7"/>
      <c r="X857" s="7"/>
      <c r="Y857" s="7"/>
      <c r="Z857" s="7"/>
    </row>
    <row r="858">
      <c r="A858" s="6"/>
      <c r="B858" s="6"/>
      <c r="C858" s="6"/>
      <c r="D858" s="6"/>
      <c r="E858" s="6"/>
      <c r="F858" s="6"/>
      <c r="G858" s="6"/>
      <c r="H858" s="6"/>
      <c r="I858" s="6"/>
      <c r="J858" s="6"/>
      <c r="K858" s="6"/>
      <c r="L858" s="80"/>
      <c r="M858" s="80"/>
      <c r="N858" s="80"/>
      <c r="O858" s="80"/>
      <c r="P858" s="6"/>
      <c r="Q858" s="6"/>
      <c r="R858" s="6"/>
      <c r="S858" s="6"/>
      <c r="T858" s="6"/>
      <c r="U858" s="6"/>
      <c r="V858" s="6"/>
      <c r="W858" s="7"/>
      <c r="X858" s="7"/>
      <c r="Y858" s="7"/>
      <c r="Z858" s="7"/>
    </row>
    <row r="859">
      <c r="A859" s="6"/>
      <c r="B859" s="6"/>
      <c r="C859" s="6"/>
      <c r="D859" s="6"/>
      <c r="E859" s="6"/>
      <c r="F859" s="6"/>
      <c r="G859" s="6"/>
      <c r="H859" s="6"/>
      <c r="I859" s="6"/>
      <c r="J859" s="6"/>
      <c r="K859" s="6"/>
      <c r="L859" s="80"/>
      <c r="M859" s="80"/>
      <c r="N859" s="80"/>
      <c r="O859" s="80"/>
      <c r="P859" s="6"/>
      <c r="Q859" s="6"/>
      <c r="R859" s="6"/>
      <c r="S859" s="6"/>
      <c r="T859" s="6"/>
      <c r="U859" s="6"/>
      <c r="V859" s="6"/>
      <c r="W859" s="7"/>
      <c r="X859" s="7"/>
      <c r="Y859" s="7"/>
      <c r="Z859" s="7"/>
    </row>
    <row r="860">
      <c r="A860" s="6"/>
      <c r="B860" s="6"/>
      <c r="C860" s="6"/>
      <c r="D860" s="6"/>
      <c r="E860" s="6"/>
      <c r="F860" s="6"/>
      <c r="G860" s="6"/>
      <c r="H860" s="6"/>
      <c r="I860" s="6"/>
      <c r="J860" s="6"/>
      <c r="K860" s="6"/>
      <c r="L860" s="80"/>
      <c r="M860" s="80"/>
      <c r="N860" s="80"/>
      <c r="O860" s="80"/>
      <c r="P860" s="6"/>
      <c r="Q860" s="6"/>
      <c r="R860" s="6"/>
      <c r="S860" s="6"/>
      <c r="T860" s="6"/>
      <c r="U860" s="6"/>
      <c r="V860" s="6"/>
      <c r="W860" s="7"/>
      <c r="X860" s="7"/>
      <c r="Y860" s="7"/>
      <c r="Z860" s="7"/>
    </row>
    <row r="861">
      <c r="A861" s="6"/>
      <c r="B861" s="6"/>
      <c r="C861" s="6"/>
      <c r="D861" s="6"/>
      <c r="E861" s="6"/>
      <c r="F861" s="6"/>
      <c r="G861" s="6"/>
      <c r="H861" s="6"/>
      <c r="I861" s="6"/>
      <c r="J861" s="6"/>
      <c r="K861" s="6"/>
      <c r="L861" s="80"/>
      <c r="M861" s="80"/>
      <c r="N861" s="80"/>
      <c r="O861" s="80"/>
      <c r="P861" s="6"/>
      <c r="Q861" s="6"/>
      <c r="R861" s="6"/>
      <c r="S861" s="6"/>
      <c r="T861" s="6"/>
      <c r="U861" s="6"/>
      <c r="V861" s="6"/>
      <c r="W861" s="7"/>
      <c r="X861" s="7"/>
      <c r="Y861" s="7"/>
      <c r="Z861" s="7"/>
    </row>
    <row r="862">
      <c r="A862" s="6"/>
      <c r="B862" s="6"/>
      <c r="C862" s="6"/>
      <c r="D862" s="6"/>
      <c r="E862" s="6"/>
      <c r="F862" s="6"/>
      <c r="G862" s="6"/>
      <c r="H862" s="6"/>
      <c r="I862" s="6"/>
      <c r="J862" s="6"/>
      <c r="K862" s="6"/>
      <c r="L862" s="80"/>
      <c r="M862" s="80"/>
      <c r="N862" s="80"/>
      <c r="O862" s="80"/>
      <c r="P862" s="6"/>
      <c r="Q862" s="6"/>
      <c r="R862" s="6"/>
      <c r="S862" s="6"/>
      <c r="T862" s="6"/>
      <c r="U862" s="6"/>
      <c r="V862" s="6"/>
      <c r="W862" s="7"/>
      <c r="X862" s="7"/>
      <c r="Y862" s="7"/>
      <c r="Z862" s="7"/>
    </row>
    <row r="863">
      <c r="A863" s="6"/>
      <c r="B863" s="6"/>
      <c r="C863" s="6"/>
      <c r="D863" s="6"/>
      <c r="E863" s="6"/>
      <c r="F863" s="6"/>
      <c r="G863" s="6"/>
      <c r="H863" s="6"/>
      <c r="I863" s="6"/>
      <c r="J863" s="6"/>
      <c r="K863" s="6"/>
      <c r="L863" s="80"/>
      <c r="M863" s="80"/>
      <c r="N863" s="80"/>
      <c r="O863" s="80"/>
      <c r="P863" s="6"/>
      <c r="Q863" s="6"/>
      <c r="R863" s="6"/>
      <c r="S863" s="6"/>
      <c r="T863" s="6"/>
      <c r="U863" s="6"/>
      <c r="V863" s="6"/>
      <c r="W863" s="7"/>
      <c r="X863" s="7"/>
      <c r="Y863" s="7"/>
      <c r="Z863" s="7"/>
    </row>
    <row r="864">
      <c r="A864" s="6"/>
      <c r="B864" s="6"/>
      <c r="C864" s="6"/>
      <c r="D864" s="6"/>
      <c r="E864" s="6"/>
      <c r="F864" s="6"/>
      <c r="G864" s="6"/>
      <c r="H864" s="6"/>
      <c r="I864" s="6"/>
      <c r="J864" s="6"/>
      <c r="K864" s="6"/>
      <c r="L864" s="80"/>
      <c r="M864" s="80"/>
      <c r="N864" s="80"/>
      <c r="O864" s="80"/>
      <c r="P864" s="6"/>
      <c r="Q864" s="6"/>
      <c r="R864" s="6"/>
      <c r="S864" s="6"/>
      <c r="T864" s="6"/>
      <c r="U864" s="6"/>
      <c r="V864" s="6"/>
      <c r="W864" s="7"/>
      <c r="X864" s="7"/>
      <c r="Y864" s="7"/>
      <c r="Z864" s="7"/>
    </row>
    <row r="865">
      <c r="A865" s="6"/>
      <c r="B865" s="6"/>
      <c r="C865" s="6"/>
      <c r="D865" s="6"/>
      <c r="E865" s="6"/>
      <c r="F865" s="6"/>
      <c r="G865" s="6"/>
      <c r="H865" s="6"/>
      <c r="I865" s="6"/>
      <c r="J865" s="6"/>
      <c r="K865" s="6"/>
      <c r="L865" s="80"/>
      <c r="M865" s="80"/>
      <c r="N865" s="80"/>
      <c r="O865" s="80"/>
      <c r="P865" s="6"/>
      <c r="Q865" s="6"/>
      <c r="R865" s="6"/>
      <c r="S865" s="6"/>
      <c r="T865" s="6"/>
      <c r="U865" s="6"/>
      <c r="V865" s="6"/>
      <c r="W865" s="7"/>
      <c r="X865" s="7"/>
      <c r="Y865" s="7"/>
      <c r="Z865" s="7"/>
    </row>
    <row r="866">
      <c r="A866" s="6"/>
      <c r="B866" s="6"/>
      <c r="C866" s="6"/>
      <c r="D866" s="6"/>
      <c r="E866" s="6"/>
      <c r="F866" s="6"/>
      <c r="G866" s="6"/>
      <c r="H866" s="6"/>
      <c r="I866" s="6"/>
      <c r="J866" s="6"/>
      <c r="K866" s="6"/>
      <c r="L866" s="80"/>
      <c r="M866" s="80"/>
      <c r="N866" s="80"/>
      <c r="O866" s="80"/>
      <c r="P866" s="6"/>
      <c r="Q866" s="6"/>
      <c r="R866" s="6"/>
      <c r="S866" s="6"/>
      <c r="T866" s="6"/>
      <c r="U866" s="6"/>
      <c r="V866" s="6"/>
      <c r="W866" s="7"/>
      <c r="X866" s="7"/>
      <c r="Y866" s="7"/>
      <c r="Z866" s="7"/>
    </row>
    <row r="867">
      <c r="A867" s="6"/>
      <c r="B867" s="6"/>
      <c r="C867" s="6"/>
      <c r="D867" s="6"/>
      <c r="E867" s="6"/>
      <c r="F867" s="6"/>
      <c r="G867" s="6"/>
      <c r="H867" s="6"/>
      <c r="I867" s="6"/>
      <c r="J867" s="6"/>
      <c r="K867" s="6"/>
      <c r="L867" s="80"/>
      <c r="M867" s="80"/>
      <c r="N867" s="80"/>
      <c r="O867" s="80"/>
      <c r="P867" s="6"/>
      <c r="Q867" s="6"/>
      <c r="R867" s="6"/>
      <c r="S867" s="6"/>
      <c r="T867" s="6"/>
      <c r="U867" s="6"/>
      <c r="V867" s="6"/>
      <c r="W867" s="7"/>
      <c r="X867" s="7"/>
      <c r="Y867" s="7"/>
      <c r="Z867" s="7"/>
    </row>
    <row r="868">
      <c r="A868" s="6"/>
      <c r="B868" s="6"/>
      <c r="C868" s="6"/>
      <c r="D868" s="6"/>
      <c r="E868" s="6"/>
      <c r="F868" s="6"/>
      <c r="G868" s="6"/>
      <c r="H868" s="6"/>
      <c r="I868" s="6"/>
      <c r="J868" s="6"/>
      <c r="K868" s="6"/>
      <c r="L868" s="80"/>
      <c r="M868" s="80"/>
      <c r="N868" s="80"/>
      <c r="O868" s="80"/>
      <c r="P868" s="6"/>
      <c r="Q868" s="6"/>
      <c r="R868" s="6"/>
      <c r="S868" s="6"/>
      <c r="T868" s="6"/>
      <c r="U868" s="6"/>
      <c r="V868" s="6"/>
      <c r="W868" s="7"/>
      <c r="X868" s="7"/>
      <c r="Y868" s="7"/>
      <c r="Z868" s="7"/>
    </row>
    <row r="869">
      <c r="A869" s="6"/>
      <c r="B869" s="6"/>
      <c r="C869" s="6"/>
      <c r="D869" s="6"/>
      <c r="E869" s="6"/>
      <c r="F869" s="6"/>
      <c r="G869" s="6"/>
      <c r="H869" s="6"/>
      <c r="I869" s="6"/>
      <c r="J869" s="6"/>
      <c r="K869" s="6"/>
      <c r="L869" s="80"/>
      <c r="M869" s="80"/>
      <c r="N869" s="80"/>
      <c r="O869" s="80"/>
      <c r="P869" s="6"/>
      <c r="Q869" s="6"/>
      <c r="R869" s="6"/>
      <c r="S869" s="6"/>
      <c r="T869" s="6"/>
      <c r="U869" s="6"/>
      <c r="V869" s="6"/>
      <c r="W869" s="7"/>
      <c r="X869" s="7"/>
      <c r="Y869" s="7"/>
      <c r="Z869" s="7"/>
    </row>
    <row r="870">
      <c r="A870" s="6"/>
      <c r="B870" s="6"/>
      <c r="C870" s="6"/>
      <c r="D870" s="6"/>
      <c r="E870" s="6"/>
      <c r="F870" s="6"/>
      <c r="G870" s="6"/>
      <c r="H870" s="6"/>
      <c r="I870" s="6"/>
      <c r="J870" s="6"/>
      <c r="K870" s="6"/>
      <c r="L870" s="80"/>
      <c r="M870" s="80"/>
      <c r="N870" s="80"/>
      <c r="O870" s="80"/>
      <c r="P870" s="6"/>
      <c r="Q870" s="6"/>
      <c r="R870" s="6"/>
      <c r="S870" s="6"/>
      <c r="T870" s="6"/>
      <c r="U870" s="6"/>
      <c r="V870" s="6"/>
      <c r="W870" s="7"/>
      <c r="X870" s="7"/>
      <c r="Y870" s="7"/>
      <c r="Z870" s="7"/>
    </row>
    <row r="871">
      <c r="A871" s="6"/>
      <c r="B871" s="6"/>
      <c r="C871" s="6"/>
      <c r="D871" s="6"/>
      <c r="E871" s="6"/>
      <c r="F871" s="6"/>
      <c r="G871" s="6"/>
      <c r="H871" s="6"/>
      <c r="I871" s="6"/>
      <c r="J871" s="6"/>
      <c r="K871" s="6"/>
      <c r="L871" s="80"/>
      <c r="M871" s="80"/>
      <c r="N871" s="80"/>
      <c r="O871" s="80"/>
      <c r="P871" s="6"/>
      <c r="Q871" s="6"/>
      <c r="R871" s="6"/>
      <c r="S871" s="6"/>
      <c r="T871" s="6"/>
      <c r="U871" s="6"/>
      <c r="V871" s="6"/>
      <c r="W871" s="7"/>
      <c r="X871" s="7"/>
      <c r="Y871" s="7"/>
      <c r="Z871" s="7"/>
    </row>
    <row r="872">
      <c r="A872" s="6"/>
      <c r="B872" s="6"/>
      <c r="C872" s="6"/>
      <c r="D872" s="6"/>
      <c r="E872" s="6"/>
      <c r="F872" s="6"/>
      <c r="G872" s="6"/>
      <c r="H872" s="6"/>
      <c r="I872" s="6"/>
      <c r="J872" s="6"/>
      <c r="K872" s="6"/>
      <c r="L872" s="80"/>
      <c r="M872" s="80"/>
      <c r="N872" s="80"/>
      <c r="O872" s="80"/>
      <c r="P872" s="6"/>
      <c r="Q872" s="6"/>
      <c r="R872" s="6"/>
      <c r="S872" s="6"/>
      <c r="T872" s="6"/>
      <c r="U872" s="6"/>
      <c r="V872" s="6"/>
      <c r="W872" s="7"/>
      <c r="X872" s="7"/>
      <c r="Y872" s="7"/>
      <c r="Z872" s="7"/>
    </row>
    <row r="873">
      <c r="A873" s="6"/>
      <c r="B873" s="6"/>
      <c r="C873" s="6"/>
      <c r="D873" s="6"/>
      <c r="E873" s="6"/>
      <c r="F873" s="6"/>
      <c r="G873" s="6"/>
      <c r="H873" s="6"/>
      <c r="I873" s="6"/>
      <c r="J873" s="6"/>
      <c r="K873" s="6"/>
      <c r="L873" s="80"/>
      <c r="M873" s="80"/>
      <c r="N873" s="80"/>
      <c r="O873" s="80"/>
      <c r="P873" s="6"/>
      <c r="Q873" s="6"/>
      <c r="R873" s="6"/>
      <c r="S873" s="6"/>
      <c r="T873" s="6"/>
      <c r="U873" s="6"/>
      <c r="V873" s="6"/>
      <c r="W873" s="7"/>
      <c r="X873" s="7"/>
      <c r="Y873" s="7"/>
      <c r="Z873" s="7"/>
    </row>
    <row r="874">
      <c r="A874" s="6"/>
      <c r="B874" s="6"/>
      <c r="C874" s="6"/>
      <c r="D874" s="6"/>
      <c r="E874" s="6"/>
      <c r="F874" s="6"/>
      <c r="G874" s="6"/>
      <c r="H874" s="6"/>
      <c r="I874" s="6"/>
      <c r="J874" s="6"/>
      <c r="K874" s="6"/>
      <c r="L874" s="80"/>
      <c r="M874" s="80"/>
      <c r="N874" s="80"/>
      <c r="O874" s="80"/>
      <c r="P874" s="6"/>
      <c r="Q874" s="6"/>
      <c r="R874" s="6"/>
      <c r="S874" s="6"/>
      <c r="T874" s="6"/>
      <c r="U874" s="6"/>
      <c r="V874" s="6"/>
      <c r="W874" s="7"/>
      <c r="X874" s="7"/>
      <c r="Y874" s="7"/>
      <c r="Z874" s="7"/>
    </row>
    <row r="875">
      <c r="A875" s="6"/>
      <c r="B875" s="6"/>
      <c r="C875" s="6"/>
      <c r="D875" s="6"/>
      <c r="E875" s="6"/>
      <c r="F875" s="6"/>
      <c r="G875" s="6"/>
      <c r="H875" s="6"/>
      <c r="I875" s="6"/>
      <c r="J875" s="6"/>
      <c r="K875" s="6"/>
      <c r="L875" s="80"/>
      <c r="M875" s="80"/>
      <c r="N875" s="80"/>
      <c r="O875" s="80"/>
      <c r="P875" s="6"/>
      <c r="Q875" s="6"/>
      <c r="R875" s="6"/>
      <c r="S875" s="6"/>
      <c r="T875" s="6"/>
      <c r="U875" s="6"/>
      <c r="V875" s="6"/>
      <c r="W875" s="7"/>
      <c r="X875" s="7"/>
      <c r="Y875" s="7"/>
      <c r="Z875" s="7"/>
    </row>
    <row r="876">
      <c r="A876" s="6"/>
      <c r="B876" s="6"/>
      <c r="C876" s="6"/>
      <c r="D876" s="6"/>
      <c r="E876" s="6"/>
      <c r="F876" s="6"/>
      <c r="G876" s="6"/>
      <c r="H876" s="6"/>
      <c r="I876" s="6"/>
      <c r="J876" s="6"/>
      <c r="K876" s="6"/>
      <c r="L876" s="80"/>
      <c r="M876" s="80"/>
      <c r="N876" s="80"/>
      <c r="O876" s="80"/>
      <c r="P876" s="6"/>
      <c r="Q876" s="6"/>
      <c r="R876" s="6"/>
      <c r="S876" s="6"/>
      <c r="T876" s="6"/>
      <c r="U876" s="6"/>
      <c r="V876" s="6"/>
      <c r="W876" s="7"/>
      <c r="X876" s="7"/>
      <c r="Y876" s="7"/>
      <c r="Z876" s="7"/>
    </row>
    <row r="877">
      <c r="A877" s="6"/>
      <c r="B877" s="6"/>
      <c r="C877" s="6"/>
      <c r="D877" s="6"/>
      <c r="E877" s="6"/>
      <c r="F877" s="6"/>
      <c r="G877" s="6"/>
      <c r="H877" s="6"/>
      <c r="I877" s="6"/>
      <c r="J877" s="6"/>
      <c r="K877" s="6"/>
      <c r="L877" s="80"/>
      <c r="M877" s="80"/>
      <c r="N877" s="80"/>
      <c r="O877" s="80"/>
      <c r="P877" s="6"/>
      <c r="Q877" s="6"/>
      <c r="R877" s="6"/>
      <c r="S877" s="6"/>
      <c r="T877" s="6"/>
      <c r="U877" s="6"/>
      <c r="V877" s="6"/>
      <c r="W877" s="7"/>
      <c r="X877" s="7"/>
      <c r="Y877" s="7"/>
      <c r="Z877" s="7"/>
    </row>
    <row r="878">
      <c r="A878" s="6"/>
      <c r="B878" s="6"/>
      <c r="C878" s="6"/>
      <c r="D878" s="6"/>
      <c r="E878" s="6"/>
      <c r="F878" s="6"/>
      <c r="G878" s="6"/>
      <c r="H878" s="6"/>
      <c r="I878" s="6"/>
      <c r="J878" s="6"/>
      <c r="K878" s="6"/>
      <c r="L878" s="80"/>
      <c r="M878" s="80"/>
      <c r="N878" s="80"/>
      <c r="O878" s="80"/>
      <c r="P878" s="6"/>
      <c r="Q878" s="6"/>
      <c r="R878" s="6"/>
      <c r="S878" s="6"/>
      <c r="T878" s="6"/>
      <c r="U878" s="6"/>
      <c r="V878" s="6"/>
      <c r="W878" s="7"/>
      <c r="X878" s="7"/>
      <c r="Y878" s="7"/>
      <c r="Z878" s="7"/>
    </row>
    <row r="879">
      <c r="A879" s="6"/>
      <c r="B879" s="6"/>
      <c r="C879" s="6"/>
      <c r="D879" s="6"/>
      <c r="E879" s="6"/>
      <c r="F879" s="6"/>
      <c r="G879" s="6"/>
      <c r="H879" s="6"/>
      <c r="I879" s="6"/>
      <c r="J879" s="6"/>
      <c r="K879" s="6"/>
      <c r="L879" s="80"/>
      <c r="M879" s="80"/>
      <c r="N879" s="80"/>
      <c r="O879" s="80"/>
      <c r="P879" s="6"/>
      <c r="Q879" s="6"/>
      <c r="R879" s="6"/>
      <c r="S879" s="6"/>
      <c r="T879" s="6"/>
      <c r="U879" s="6"/>
      <c r="V879" s="6"/>
      <c r="W879" s="7"/>
      <c r="X879" s="7"/>
      <c r="Y879" s="7"/>
      <c r="Z879" s="7"/>
    </row>
    <row r="880">
      <c r="A880" s="6"/>
      <c r="B880" s="6"/>
      <c r="C880" s="6"/>
      <c r="D880" s="6"/>
      <c r="E880" s="6"/>
      <c r="F880" s="6"/>
      <c r="G880" s="6"/>
      <c r="H880" s="6"/>
      <c r="I880" s="6"/>
      <c r="J880" s="6"/>
      <c r="K880" s="6"/>
      <c r="L880" s="80"/>
      <c r="M880" s="80"/>
      <c r="N880" s="80"/>
      <c r="O880" s="80"/>
      <c r="P880" s="6"/>
      <c r="Q880" s="6"/>
      <c r="R880" s="6"/>
      <c r="S880" s="6"/>
      <c r="T880" s="6"/>
      <c r="U880" s="6"/>
      <c r="V880" s="6"/>
      <c r="W880" s="7"/>
      <c r="X880" s="7"/>
      <c r="Y880" s="7"/>
      <c r="Z880" s="7"/>
    </row>
    <row r="881">
      <c r="A881" s="6"/>
      <c r="B881" s="6"/>
      <c r="C881" s="6"/>
      <c r="D881" s="6"/>
      <c r="E881" s="6"/>
      <c r="F881" s="6"/>
      <c r="G881" s="6"/>
      <c r="H881" s="6"/>
      <c r="I881" s="6"/>
      <c r="J881" s="6"/>
      <c r="K881" s="6"/>
      <c r="L881" s="80"/>
      <c r="M881" s="80"/>
      <c r="N881" s="80"/>
      <c r="O881" s="80"/>
      <c r="P881" s="6"/>
      <c r="Q881" s="6"/>
      <c r="R881" s="6"/>
      <c r="S881" s="6"/>
      <c r="T881" s="6"/>
      <c r="U881" s="6"/>
      <c r="V881" s="6"/>
      <c r="W881" s="7"/>
      <c r="X881" s="7"/>
      <c r="Y881" s="7"/>
      <c r="Z881" s="7"/>
    </row>
    <row r="882">
      <c r="A882" s="6"/>
      <c r="B882" s="6"/>
      <c r="C882" s="6"/>
      <c r="D882" s="6"/>
      <c r="E882" s="6"/>
      <c r="F882" s="6"/>
      <c r="G882" s="6"/>
      <c r="H882" s="6"/>
      <c r="I882" s="6"/>
      <c r="J882" s="6"/>
      <c r="K882" s="6"/>
      <c r="L882" s="80"/>
      <c r="M882" s="80"/>
      <c r="N882" s="80"/>
      <c r="O882" s="80"/>
      <c r="P882" s="6"/>
      <c r="Q882" s="6"/>
      <c r="R882" s="6"/>
      <c r="S882" s="6"/>
      <c r="T882" s="6"/>
      <c r="U882" s="6"/>
      <c r="V882" s="6"/>
      <c r="W882" s="7"/>
      <c r="X882" s="7"/>
      <c r="Y882" s="7"/>
      <c r="Z882" s="7"/>
    </row>
    <row r="883">
      <c r="A883" s="6"/>
      <c r="B883" s="6"/>
      <c r="C883" s="6"/>
      <c r="D883" s="6"/>
      <c r="E883" s="6"/>
      <c r="F883" s="6"/>
      <c r="G883" s="6"/>
      <c r="H883" s="6"/>
      <c r="I883" s="6"/>
      <c r="J883" s="6"/>
      <c r="K883" s="6"/>
      <c r="L883" s="80"/>
      <c r="M883" s="80"/>
      <c r="N883" s="80"/>
      <c r="O883" s="80"/>
      <c r="P883" s="6"/>
      <c r="Q883" s="6"/>
      <c r="R883" s="6"/>
      <c r="S883" s="6"/>
      <c r="T883" s="6"/>
      <c r="U883" s="6"/>
      <c r="V883" s="6"/>
      <c r="W883" s="7"/>
      <c r="X883" s="7"/>
      <c r="Y883" s="7"/>
      <c r="Z883" s="7"/>
    </row>
    <row r="884">
      <c r="A884" s="6"/>
      <c r="B884" s="6"/>
      <c r="C884" s="6"/>
      <c r="D884" s="6"/>
      <c r="E884" s="6"/>
      <c r="F884" s="6"/>
      <c r="G884" s="6"/>
      <c r="H884" s="6"/>
      <c r="I884" s="6"/>
      <c r="J884" s="6"/>
      <c r="K884" s="6"/>
      <c r="L884" s="80"/>
      <c r="M884" s="80"/>
      <c r="N884" s="80"/>
      <c r="O884" s="80"/>
      <c r="P884" s="6"/>
      <c r="Q884" s="6"/>
      <c r="R884" s="6"/>
      <c r="S884" s="6"/>
      <c r="T884" s="6"/>
      <c r="U884" s="6"/>
      <c r="V884" s="6"/>
      <c r="W884" s="7"/>
      <c r="X884" s="7"/>
      <c r="Y884" s="7"/>
      <c r="Z884" s="7"/>
    </row>
    <row r="885">
      <c r="A885" s="6"/>
      <c r="B885" s="6"/>
      <c r="C885" s="6"/>
      <c r="D885" s="6"/>
      <c r="E885" s="6"/>
      <c r="F885" s="6"/>
      <c r="G885" s="6"/>
      <c r="H885" s="6"/>
      <c r="I885" s="6"/>
      <c r="J885" s="6"/>
      <c r="K885" s="6"/>
      <c r="L885" s="80"/>
      <c r="M885" s="80"/>
      <c r="N885" s="80"/>
      <c r="O885" s="80"/>
      <c r="P885" s="6"/>
      <c r="Q885" s="6"/>
      <c r="R885" s="6"/>
      <c r="S885" s="6"/>
      <c r="T885" s="6"/>
      <c r="U885" s="6"/>
      <c r="V885" s="6"/>
      <c r="W885" s="7"/>
      <c r="X885" s="7"/>
      <c r="Y885" s="7"/>
      <c r="Z885" s="7"/>
    </row>
    <row r="886">
      <c r="A886" s="6"/>
      <c r="B886" s="6"/>
      <c r="C886" s="6"/>
      <c r="D886" s="6"/>
      <c r="E886" s="6"/>
      <c r="F886" s="6"/>
      <c r="G886" s="6"/>
      <c r="H886" s="6"/>
      <c r="I886" s="6"/>
      <c r="J886" s="6"/>
      <c r="K886" s="6"/>
      <c r="L886" s="80"/>
      <c r="M886" s="80"/>
      <c r="N886" s="80"/>
      <c r="O886" s="80"/>
      <c r="P886" s="6"/>
      <c r="Q886" s="6"/>
      <c r="R886" s="6"/>
      <c r="S886" s="6"/>
      <c r="T886" s="6"/>
      <c r="U886" s="6"/>
      <c r="V886" s="6"/>
      <c r="W886" s="7"/>
      <c r="X886" s="7"/>
      <c r="Y886" s="7"/>
      <c r="Z886" s="7"/>
    </row>
    <row r="887">
      <c r="A887" s="6"/>
      <c r="B887" s="6"/>
      <c r="C887" s="6"/>
      <c r="D887" s="6"/>
      <c r="E887" s="6"/>
      <c r="F887" s="6"/>
      <c r="G887" s="6"/>
      <c r="H887" s="6"/>
      <c r="I887" s="6"/>
      <c r="J887" s="6"/>
      <c r="K887" s="6"/>
      <c r="L887" s="80"/>
      <c r="M887" s="80"/>
      <c r="N887" s="80"/>
      <c r="O887" s="80"/>
      <c r="P887" s="6"/>
      <c r="Q887" s="6"/>
      <c r="R887" s="6"/>
      <c r="S887" s="6"/>
      <c r="T887" s="6"/>
      <c r="U887" s="6"/>
      <c r="V887" s="6"/>
      <c r="W887" s="7"/>
      <c r="X887" s="7"/>
      <c r="Y887" s="7"/>
      <c r="Z887" s="7"/>
    </row>
    <row r="888">
      <c r="A888" s="6"/>
      <c r="B888" s="6"/>
      <c r="C888" s="6"/>
      <c r="D888" s="6"/>
      <c r="E888" s="6"/>
      <c r="F888" s="6"/>
      <c r="G888" s="6"/>
      <c r="H888" s="6"/>
      <c r="I888" s="6"/>
      <c r="J888" s="6"/>
      <c r="K888" s="6"/>
      <c r="L888" s="80"/>
      <c r="M888" s="80"/>
      <c r="N888" s="80"/>
      <c r="O888" s="80"/>
      <c r="P888" s="6"/>
      <c r="Q888" s="6"/>
      <c r="R888" s="6"/>
      <c r="S888" s="6"/>
      <c r="T888" s="6"/>
      <c r="U888" s="6"/>
      <c r="V888" s="6"/>
      <c r="W888" s="7"/>
      <c r="X888" s="7"/>
      <c r="Y888" s="7"/>
      <c r="Z888" s="7"/>
    </row>
    <row r="889">
      <c r="A889" s="6"/>
      <c r="B889" s="6"/>
      <c r="C889" s="6"/>
      <c r="D889" s="6"/>
      <c r="E889" s="6"/>
      <c r="F889" s="6"/>
      <c r="G889" s="6"/>
      <c r="H889" s="6"/>
      <c r="I889" s="6"/>
      <c r="J889" s="6"/>
      <c r="K889" s="6"/>
      <c r="L889" s="80"/>
      <c r="M889" s="80"/>
      <c r="N889" s="80"/>
      <c r="O889" s="80"/>
      <c r="P889" s="6"/>
      <c r="Q889" s="6"/>
      <c r="R889" s="6"/>
      <c r="S889" s="6"/>
      <c r="T889" s="6"/>
      <c r="U889" s="6"/>
      <c r="V889" s="6"/>
      <c r="W889" s="7"/>
      <c r="X889" s="7"/>
      <c r="Y889" s="7"/>
      <c r="Z889" s="7"/>
    </row>
    <row r="890">
      <c r="A890" s="6"/>
      <c r="B890" s="6"/>
      <c r="C890" s="6"/>
      <c r="D890" s="6"/>
      <c r="E890" s="6"/>
      <c r="F890" s="6"/>
      <c r="G890" s="6"/>
      <c r="H890" s="6"/>
      <c r="I890" s="6"/>
      <c r="J890" s="6"/>
      <c r="K890" s="6"/>
      <c r="L890" s="80"/>
      <c r="M890" s="80"/>
      <c r="N890" s="80"/>
      <c r="O890" s="80"/>
      <c r="P890" s="6"/>
      <c r="Q890" s="6"/>
      <c r="R890" s="6"/>
      <c r="S890" s="6"/>
      <c r="T890" s="6"/>
      <c r="U890" s="6"/>
      <c r="V890" s="6"/>
      <c r="W890" s="7"/>
      <c r="X890" s="7"/>
      <c r="Y890" s="7"/>
      <c r="Z890" s="7"/>
    </row>
    <row r="891">
      <c r="A891" s="6"/>
      <c r="B891" s="6"/>
      <c r="C891" s="6"/>
      <c r="D891" s="6"/>
      <c r="E891" s="6"/>
      <c r="F891" s="6"/>
      <c r="G891" s="6"/>
      <c r="H891" s="6"/>
      <c r="I891" s="6"/>
      <c r="J891" s="6"/>
      <c r="K891" s="6"/>
      <c r="L891" s="80"/>
      <c r="M891" s="80"/>
      <c r="N891" s="80"/>
      <c r="O891" s="80"/>
      <c r="P891" s="6"/>
      <c r="Q891" s="6"/>
      <c r="R891" s="6"/>
      <c r="S891" s="6"/>
      <c r="T891" s="6"/>
      <c r="U891" s="6"/>
      <c r="V891" s="6"/>
      <c r="W891" s="7"/>
      <c r="X891" s="7"/>
      <c r="Y891" s="7"/>
      <c r="Z891" s="7"/>
    </row>
    <row r="892">
      <c r="A892" s="6"/>
      <c r="B892" s="6"/>
      <c r="C892" s="6"/>
      <c r="D892" s="6"/>
      <c r="E892" s="6"/>
      <c r="F892" s="6"/>
      <c r="G892" s="6"/>
      <c r="H892" s="6"/>
      <c r="I892" s="6"/>
      <c r="J892" s="6"/>
      <c r="K892" s="6"/>
      <c r="L892" s="80"/>
      <c r="M892" s="80"/>
      <c r="N892" s="80"/>
      <c r="O892" s="80"/>
      <c r="P892" s="6"/>
      <c r="Q892" s="6"/>
      <c r="R892" s="6"/>
      <c r="S892" s="6"/>
      <c r="T892" s="6"/>
      <c r="U892" s="6"/>
      <c r="V892" s="6"/>
      <c r="W892" s="7"/>
      <c r="X892" s="7"/>
      <c r="Y892" s="7"/>
      <c r="Z892" s="7"/>
    </row>
    <row r="893">
      <c r="A893" s="6"/>
      <c r="B893" s="6"/>
      <c r="C893" s="6"/>
      <c r="D893" s="6"/>
      <c r="E893" s="6"/>
      <c r="F893" s="6"/>
      <c r="G893" s="6"/>
      <c r="H893" s="6"/>
      <c r="I893" s="6"/>
      <c r="J893" s="6"/>
      <c r="K893" s="6"/>
      <c r="L893" s="80"/>
      <c r="M893" s="80"/>
      <c r="N893" s="80"/>
      <c r="O893" s="80"/>
      <c r="P893" s="6"/>
      <c r="Q893" s="6"/>
      <c r="R893" s="6"/>
      <c r="S893" s="6"/>
      <c r="T893" s="6"/>
      <c r="U893" s="6"/>
      <c r="V893" s="6"/>
      <c r="W893" s="7"/>
      <c r="X893" s="7"/>
      <c r="Y893" s="7"/>
      <c r="Z893" s="7"/>
    </row>
    <row r="894">
      <c r="A894" s="6"/>
      <c r="B894" s="6"/>
      <c r="C894" s="6"/>
      <c r="D894" s="6"/>
      <c r="E894" s="6"/>
      <c r="F894" s="6"/>
      <c r="G894" s="6"/>
      <c r="H894" s="6"/>
      <c r="I894" s="6"/>
      <c r="J894" s="6"/>
      <c r="K894" s="6"/>
      <c r="L894" s="80"/>
      <c r="M894" s="80"/>
      <c r="N894" s="80"/>
      <c r="O894" s="80"/>
      <c r="P894" s="6"/>
      <c r="Q894" s="6"/>
      <c r="R894" s="6"/>
      <c r="S894" s="6"/>
      <c r="T894" s="6"/>
      <c r="U894" s="6"/>
      <c r="V894" s="6"/>
      <c r="W894" s="7"/>
      <c r="X894" s="7"/>
      <c r="Y894" s="7"/>
      <c r="Z894" s="7"/>
    </row>
    <row r="895">
      <c r="A895" s="6"/>
      <c r="B895" s="6"/>
      <c r="C895" s="6"/>
      <c r="D895" s="6"/>
      <c r="E895" s="6"/>
      <c r="F895" s="6"/>
      <c r="G895" s="6"/>
      <c r="H895" s="6"/>
      <c r="I895" s="6"/>
      <c r="J895" s="6"/>
      <c r="K895" s="6"/>
      <c r="L895" s="80"/>
      <c r="M895" s="80"/>
      <c r="N895" s="80"/>
      <c r="O895" s="80"/>
      <c r="P895" s="6"/>
      <c r="Q895" s="6"/>
      <c r="R895" s="6"/>
      <c r="S895" s="6"/>
      <c r="T895" s="6"/>
      <c r="U895" s="6"/>
      <c r="V895" s="6"/>
      <c r="W895" s="7"/>
      <c r="X895" s="7"/>
      <c r="Y895" s="7"/>
      <c r="Z895" s="7"/>
    </row>
    <row r="896">
      <c r="A896" s="6"/>
      <c r="B896" s="6"/>
      <c r="C896" s="6"/>
      <c r="D896" s="6"/>
      <c r="E896" s="6"/>
      <c r="F896" s="6"/>
      <c r="G896" s="6"/>
      <c r="H896" s="6"/>
      <c r="I896" s="6"/>
      <c r="J896" s="6"/>
      <c r="K896" s="6"/>
      <c r="L896" s="80"/>
      <c r="M896" s="80"/>
      <c r="N896" s="80"/>
      <c r="O896" s="80"/>
      <c r="P896" s="6"/>
      <c r="Q896" s="6"/>
      <c r="R896" s="6"/>
      <c r="S896" s="6"/>
      <c r="T896" s="6"/>
      <c r="U896" s="6"/>
      <c r="V896" s="6"/>
      <c r="W896" s="7"/>
      <c r="X896" s="7"/>
      <c r="Y896" s="7"/>
      <c r="Z896" s="7"/>
    </row>
    <row r="897">
      <c r="A897" s="6"/>
      <c r="B897" s="6"/>
      <c r="C897" s="6"/>
      <c r="D897" s="6"/>
      <c r="E897" s="6"/>
      <c r="F897" s="6"/>
      <c r="G897" s="6"/>
      <c r="H897" s="6"/>
      <c r="I897" s="6"/>
      <c r="J897" s="6"/>
      <c r="K897" s="6"/>
      <c r="L897" s="80"/>
      <c r="M897" s="80"/>
      <c r="N897" s="80"/>
      <c r="O897" s="80"/>
      <c r="P897" s="6"/>
      <c r="Q897" s="6"/>
      <c r="R897" s="6"/>
      <c r="S897" s="6"/>
      <c r="T897" s="6"/>
      <c r="U897" s="6"/>
      <c r="V897" s="6"/>
      <c r="W897" s="7"/>
      <c r="X897" s="7"/>
      <c r="Y897" s="7"/>
      <c r="Z897" s="7"/>
    </row>
    <row r="898">
      <c r="A898" s="6"/>
      <c r="B898" s="6"/>
      <c r="C898" s="6"/>
      <c r="D898" s="6"/>
      <c r="E898" s="6"/>
      <c r="F898" s="6"/>
      <c r="G898" s="6"/>
      <c r="H898" s="6"/>
      <c r="I898" s="6"/>
      <c r="J898" s="6"/>
      <c r="K898" s="6"/>
      <c r="L898" s="80"/>
      <c r="M898" s="80"/>
      <c r="N898" s="80"/>
      <c r="O898" s="80"/>
      <c r="P898" s="6"/>
      <c r="Q898" s="6"/>
      <c r="R898" s="6"/>
      <c r="S898" s="6"/>
      <c r="T898" s="6"/>
      <c r="U898" s="6"/>
      <c r="V898" s="6"/>
      <c r="W898" s="7"/>
      <c r="X898" s="7"/>
      <c r="Y898" s="7"/>
      <c r="Z898" s="7"/>
    </row>
    <row r="899">
      <c r="A899" s="6"/>
      <c r="B899" s="6"/>
      <c r="C899" s="6"/>
      <c r="D899" s="6"/>
      <c r="E899" s="6"/>
      <c r="F899" s="6"/>
      <c r="G899" s="6"/>
      <c r="H899" s="6"/>
      <c r="I899" s="6"/>
      <c r="J899" s="6"/>
      <c r="K899" s="6"/>
      <c r="L899" s="80"/>
      <c r="M899" s="80"/>
      <c r="N899" s="80"/>
      <c r="O899" s="80"/>
      <c r="P899" s="6"/>
      <c r="Q899" s="6"/>
      <c r="R899" s="6"/>
      <c r="S899" s="6"/>
      <c r="T899" s="6"/>
      <c r="U899" s="6"/>
      <c r="V899" s="6"/>
      <c r="W899" s="7"/>
      <c r="X899" s="7"/>
      <c r="Y899" s="7"/>
      <c r="Z899" s="7"/>
    </row>
    <row r="900">
      <c r="A900" s="6"/>
      <c r="B900" s="6"/>
      <c r="C900" s="6"/>
      <c r="D900" s="6"/>
      <c r="E900" s="6"/>
      <c r="F900" s="6"/>
      <c r="G900" s="6"/>
      <c r="H900" s="6"/>
      <c r="I900" s="6"/>
      <c r="J900" s="6"/>
      <c r="K900" s="6"/>
      <c r="L900" s="80"/>
      <c r="M900" s="80"/>
      <c r="N900" s="80"/>
      <c r="O900" s="80"/>
      <c r="P900" s="6"/>
      <c r="Q900" s="6"/>
      <c r="R900" s="6"/>
      <c r="S900" s="6"/>
      <c r="T900" s="6"/>
      <c r="U900" s="6"/>
      <c r="V900" s="6"/>
      <c r="W900" s="7"/>
      <c r="X900" s="7"/>
      <c r="Y900" s="7"/>
      <c r="Z900" s="7"/>
    </row>
    <row r="901">
      <c r="A901" s="6"/>
      <c r="B901" s="6"/>
      <c r="C901" s="6"/>
      <c r="D901" s="6"/>
      <c r="E901" s="6"/>
      <c r="F901" s="6"/>
      <c r="G901" s="6"/>
      <c r="H901" s="6"/>
      <c r="I901" s="6"/>
      <c r="J901" s="6"/>
      <c r="K901" s="6"/>
      <c r="L901" s="80"/>
      <c r="M901" s="80"/>
      <c r="N901" s="80"/>
      <c r="O901" s="80"/>
      <c r="P901" s="6"/>
      <c r="Q901" s="6"/>
      <c r="R901" s="6"/>
      <c r="S901" s="6"/>
      <c r="T901" s="6"/>
      <c r="U901" s="6"/>
      <c r="V901" s="6"/>
      <c r="W901" s="7"/>
      <c r="X901" s="7"/>
      <c r="Y901" s="7"/>
      <c r="Z901" s="7"/>
    </row>
    <row r="902">
      <c r="A902" s="6"/>
      <c r="B902" s="6"/>
      <c r="C902" s="6"/>
      <c r="D902" s="6"/>
      <c r="E902" s="6"/>
      <c r="F902" s="6"/>
      <c r="G902" s="6"/>
      <c r="H902" s="6"/>
      <c r="I902" s="6"/>
      <c r="J902" s="6"/>
      <c r="K902" s="6"/>
      <c r="L902" s="80"/>
      <c r="M902" s="80"/>
      <c r="N902" s="80"/>
      <c r="O902" s="80"/>
      <c r="P902" s="6"/>
      <c r="Q902" s="6"/>
      <c r="R902" s="6"/>
      <c r="S902" s="6"/>
      <c r="T902" s="6"/>
      <c r="U902" s="6"/>
      <c r="V902" s="6"/>
      <c r="W902" s="7"/>
      <c r="X902" s="7"/>
      <c r="Y902" s="7"/>
      <c r="Z902" s="7"/>
    </row>
    <row r="903">
      <c r="A903" s="6"/>
      <c r="B903" s="6"/>
      <c r="C903" s="6"/>
      <c r="D903" s="6"/>
      <c r="E903" s="6"/>
      <c r="F903" s="6"/>
      <c r="G903" s="6"/>
      <c r="H903" s="6"/>
      <c r="I903" s="6"/>
      <c r="J903" s="6"/>
      <c r="K903" s="6"/>
      <c r="L903" s="80"/>
      <c r="M903" s="80"/>
      <c r="N903" s="80"/>
      <c r="O903" s="80"/>
      <c r="P903" s="6"/>
      <c r="Q903" s="6"/>
      <c r="R903" s="6"/>
      <c r="S903" s="6"/>
      <c r="T903" s="6"/>
      <c r="U903" s="6"/>
      <c r="V903" s="6"/>
      <c r="W903" s="7"/>
      <c r="X903" s="7"/>
      <c r="Y903" s="7"/>
      <c r="Z903" s="7"/>
    </row>
    <row r="904">
      <c r="A904" s="6"/>
      <c r="B904" s="6"/>
      <c r="C904" s="6"/>
      <c r="D904" s="6"/>
      <c r="E904" s="6"/>
      <c r="F904" s="6"/>
      <c r="G904" s="6"/>
      <c r="H904" s="6"/>
      <c r="I904" s="6"/>
      <c r="J904" s="6"/>
      <c r="K904" s="6"/>
      <c r="L904" s="80"/>
      <c r="M904" s="80"/>
      <c r="N904" s="80"/>
      <c r="O904" s="80"/>
      <c r="P904" s="6"/>
      <c r="Q904" s="6"/>
      <c r="R904" s="6"/>
      <c r="S904" s="6"/>
      <c r="T904" s="6"/>
      <c r="U904" s="6"/>
      <c r="V904" s="6"/>
      <c r="W904" s="7"/>
      <c r="X904" s="7"/>
      <c r="Y904" s="7"/>
      <c r="Z904" s="7"/>
    </row>
    <row r="905">
      <c r="A905" s="6"/>
      <c r="B905" s="6"/>
      <c r="C905" s="6"/>
      <c r="D905" s="6"/>
      <c r="E905" s="6"/>
      <c r="F905" s="6"/>
      <c r="G905" s="6"/>
      <c r="H905" s="6"/>
      <c r="I905" s="6"/>
      <c r="J905" s="6"/>
      <c r="K905" s="6"/>
      <c r="L905" s="80"/>
      <c r="M905" s="80"/>
      <c r="N905" s="80"/>
      <c r="O905" s="80"/>
      <c r="P905" s="6"/>
      <c r="Q905" s="6"/>
      <c r="R905" s="6"/>
      <c r="S905" s="6"/>
      <c r="T905" s="6"/>
      <c r="U905" s="6"/>
      <c r="V905" s="6"/>
      <c r="W905" s="7"/>
      <c r="X905" s="7"/>
      <c r="Y905" s="7"/>
      <c r="Z905" s="7"/>
    </row>
    <row r="906">
      <c r="A906" s="6"/>
      <c r="B906" s="6"/>
      <c r="C906" s="6"/>
      <c r="D906" s="6"/>
      <c r="E906" s="6"/>
      <c r="F906" s="6"/>
      <c r="G906" s="6"/>
      <c r="H906" s="6"/>
      <c r="I906" s="6"/>
      <c r="J906" s="6"/>
      <c r="K906" s="6"/>
      <c r="L906" s="80"/>
      <c r="M906" s="80"/>
      <c r="N906" s="80"/>
      <c r="O906" s="80"/>
      <c r="P906" s="6"/>
      <c r="Q906" s="6"/>
      <c r="R906" s="6"/>
      <c r="S906" s="6"/>
      <c r="T906" s="6"/>
      <c r="U906" s="6"/>
      <c r="V906" s="6"/>
      <c r="W906" s="7"/>
      <c r="X906" s="7"/>
      <c r="Y906" s="7"/>
      <c r="Z906" s="7"/>
    </row>
    <row r="907">
      <c r="A907" s="6"/>
      <c r="B907" s="6"/>
      <c r="C907" s="6"/>
      <c r="D907" s="6"/>
      <c r="E907" s="6"/>
      <c r="F907" s="6"/>
      <c r="G907" s="6"/>
      <c r="H907" s="6"/>
      <c r="I907" s="6"/>
      <c r="J907" s="6"/>
      <c r="K907" s="6"/>
      <c r="L907" s="80"/>
      <c r="M907" s="80"/>
      <c r="N907" s="80"/>
      <c r="O907" s="80"/>
      <c r="P907" s="6"/>
      <c r="Q907" s="6"/>
      <c r="R907" s="6"/>
      <c r="S907" s="6"/>
      <c r="T907" s="6"/>
      <c r="U907" s="6"/>
      <c r="V907" s="6"/>
      <c r="W907" s="7"/>
      <c r="X907" s="7"/>
      <c r="Y907" s="7"/>
      <c r="Z907" s="7"/>
    </row>
    <row r="908">
      <c r="A908" s="6"/>
      <c r="B908" s="6"/>
      <c r="C908" s="6"/>
      <c r="D908" s="6"/>
      <c r="E908" s="6"/>
      <c r="F908" s="6"/>
      <c r="G908" s="6"/>
      <c r="H908" s="6"/>
      <c r="I908" s="6"/>
      <c r="J908" s="6"/>
      <c r="K908" s="6"/>
      <c r="L908" s="80"/>
      <c r="M908" s="80"/>
      <c r="N908" s="80"/>
      <c r="O908" s="80"/>
      <c r="P908" s="6"/>
      <c r="Q908" s="6"/>
      <c r="R908" s="6"/>
      <c r="S908" s="6"/>
      <c r="T908" s="6"/>
      <c r="U908" s="6"/>
      <c r="V908" s="6"/>
      <c r="W908" s="7"/>
      <c r="X908" s="7"/>
      <c r="Y908" s="7"/>
      <c r="Z908" s="7"/>
    </row>
    <row r="909">
      <c r="A909" s="6"/>
      <c r="B909" s="6"/>
      <c r="C909" s="6"/>
      <c r="D909" s="6"/>
      <c r="E909" s="6"/>
      <c r="F909" s="6"/>
      <c r="G909" s="6"/>
      <c r="H909" s="6"/>
      <c r="I909" s="6"/>
      <c r="J909" s="6"/>
      <c r="K909" s="6"/>
      <c r="L909" s="80"/>
      <c r="M909" s="80"/>
      <c r="N909" s="80"/>
      <c r="O909" s="80"/>
      <c r="P909" s="6"/>
      <c r="Q909" s="6"/>
      <c r="R909" s="6"/>
      <c r="S909" s="6"/>
      <c r="T909" s="6"/>
      <c r="U909" s="6"/>
      <c r="V909" s="6"/>
      <c r="W909" s="7"/>
      <c r="X909" s="7"/>
      <c r="Y909" s="7"/>
      <c r="Z909" s="7"/>
    </row>
    <row r="910">
      <c r="A910" s="6"/>
      <c r="B910" s="6"/>
      <c r="C910" s="6"/>
      <c r="D910" s="6"/>
      <c r="E910" s="6"/>
      <c r="F910" s="6"/>
      <c r="G910" s="6"/>
      <c r="H910" s="6"/>
      <c r="I910" s="6"/>
      <c r="J910" s="6"/>
      <c r="K910" s="6"/>
      <c r="L910" s="80"/>
      <c r="M910" s="80"/>
      <c r="N910" s="80"/>
      <c r="O910" s="80"/>
      <c r="P910" s="6"/>
      <c r="Q910" s="6"/>
      <c r="R910" s="6"/>
      <c r="S910" s="6"/>
      <c r="T910" s="6"/>
      <c r="U910" s="6"/>
      <c r="V910" s="6"/>
      <c r="W910" s="7"/>
      <c r="X910" s="7"/>
      <c r="Y910" s="7"/>
      <c r="Z910" s="7"/>
    </row>
    <row r="911">
      <c r="A911" s="6"/>
      <c r="B911" s="6"/>
      <c r="C911" s="6"/>
      <c r="D911" s="6"/>
      <c r="E911" s="6"/>
      <c r="F911" s="6"/>
      <c r="G911" s="6"/>
      <c r="H911" s="6"/>
      <c r="I911" s="6"/>
      <c r="J911" s="6"/>
      <c r="K911" s="6"/>
      <c r="L911" s="80"/>
      <c r="M911" s="80"/>
      <c r="N911" s="80"/>
      <c r="O911" s="80"/>
      <c r="P911" s="6"/>
      <c r="Q911" s="6"/>
      <c r="R911" s="6"/>
      <c r="S911" s="6"/>
      <c r="T911" s="6"/>
      <c r="U911" s="6"/>
      <c r="V911" s="6"/>
      <c r="W911" s="7"/>
      <c r="X911" s="7"/>
      <c r="Y911" s="7"/>
      <c r="Z911" s="7"/>
    </row>
    <row r="912">
      <c r="A912" s="6"/>
      <c r="B912" s="6"/>
      <c r="C912" s="6"/>
      <c r="D912" s="6"/>
      <c r="E912" s="6"/>
      <c r="F912" s="6"/>
      <c r="G912" s="6"/>
      <c r="H912" s="6"/>
      <c r="I912" s="6"/>
      <c r="J912" s="6"/>
      <c r="K912" s="6"/>
      <c r="L912" s="80"/>
      <c r="M912" s="80"/>
      <c r="N912" s="80"/>
      <c r="O912" s="80"/>
      <c r="P912" s="6"/>
      <c r="Q912" s="6"/>
      <c r="R912" s="6"/>
      <c r="S912" s="6"/>
      <c r="T912" s="6"/>
      <c r="U912" s="6"/>
      <c r="V912" s="6"/>
      <c r="W912" s="7"/>
      <c r="X912" s="7"/>
      <c r="Y912" s="7"/>
      <c r="Z912" s="7"/>
    </row>
    <row r="913">
      <c r="A913" s="6"/>
      <c r="B913" s="6"/>
      <c r="C913" s="6"/>
      <c r="D913" s="6"/>
      <c r="E913" s="6"/>
      <c r="F913" s="6"/>
      <c r="G913" s="6"/>
      <c r="H913" s="6"/>
      <c r="I913" s="6"/>
      <c r="J913" s="6"/>
      <c r="K913" s="6"/>
      <c r="L913" s="80"/>
      <c r="M913" s="80"/>
      <c r="N913" s="80"/>
      <c r="O913" s="80"/>
      <c r="P913" s="6"/>
      <c r="Q913" s="6"/>
      <c r="R913" s="6"/>
      <c r="S913" s="6"/>
      <c r="T913" s="6"/>
      <c r="U913" s="6"/>
      <c r="V913" s="6"/>
      <c r="W913" s="7"/>
      <c r="X913" s="7"/>
      <c r="Y913" s="7"/>
      <c r="Z913" s="7"/>
    </row>
    <row r="914">
      <c r="A914" s="6"/>
      <c r="B914" s="6"/>
      <c r="C914" s="6"/>
      <c r="D914" s="6"/>
      <c r="E914" s="6"/>
      <c r="F914" s="6"/>
      <c r="G914" s="6"/>
      <c r="H914" s="6"/>
      <c r="I914" s="6"/>
      <c r="J914" s="6"/>
      <c r="K914" s="6"/>
      <c r="L914" s="80"/>
      <c r="M914" s="80"/>
      <c r="N914" s="80"/>
      <c r="O914" s="80"/>
      <c r="P914" s="6"/>
      <c r="Q914" s="6"/>
      <c r="R914" s="6"/>
      <c r="S914" s="6"/>
      <c r="T914" s="6"/>
      <c r="U914" s="6"/>
      <c r="V914" s="6"/>
      <c r="W914" s="7"/>
      <c r="X914" s="7"/>
      <c r="Y914" s="7"/>
      <c r="Z914" s="7"/>
    </row>
    <row r="915">
      <c r="A915" s="6"/>
      <c r="B915" s="6"/>
      <c r="C915" s="6"/>
      <c r="D915" s="6"/>
      <c r="E915" s="6"/>
      <c r="F915" s="6"/>
      <c r="G915" s="6"/>
      <c r="H915" s="6"/>
      <c r="I915" s="6"/>
      <c r="J915" s="6"/>
      <c r="K915" s="6"/>
      <c r="L915" s="80"/>
      <c r="M915" s="80"/>
      <c r="N915" s="80"/>
      <c r="O915" s="80"/>
      <c r="P915" s="6"/>
      <c r="Q915" s="6"/>
      <c r="R915" s="6"/>
      <c r="S915" s="6"/>
      <c r="T915" s="6"/>
      <c r="U915" s="6"/>
      <c r="V915" s="6"/>
      <c r="W915" s="7"/>
      <c r="X915" s="7"/>
      <c r="Y915" s="7"/>
      <c r="Z915" s="7"/>
    </row>
    <row r="916">
      <c r="A916" s="6"/>
      <c r="B916" s="6"/>
      <c r="C916" s="6"/>
      <c r="D916" s="6"/>
      <c r="E916" s="6"/>
      <c r="F916" s="6"/>
      <c r="G916" s="6"/>
      <c r="H916" s="6"/>
      <c r="I916" s="6"/>
      <c r="J916" s="6"/>
      <c r="K916" s="6"/>
      <c r="L916" s="80"/>
      <c r="M916" s="80"/>
      <c r="N916" s="80"/>
      <c r="O916" s="80"/>
      <c r="P916" s="6"/>
      <c r="Q916" s="6"/>
      <c r="R916" s="6"/>
      <c r="S916" s="6"/>
      <c r="T916" s="6"/>
      <c r="U916" s="6"/>
      <c r="V916" s="6"/>
      <c r="W916" s="7"/>
      <c r="X916" s="7"/>
      <c r="Y916" s="7"/>
      <c r="Z916" s="7"/>
    </row>
    <row r="917">
      <c r="A917" s="6"/>
      <c r="B917" s="6"/>
      <c r="C917" s="6"/>
      <c r="D917" s="6"/>
      <c r="E917" s="6"/>
      <c r="F917" s="6"/>
      <c r="G917" s="6"/>
      <c r="H917" s="6"/>
      <c r="I917" s="6"/>
      <c r="J917" s="6"/>
      <c r="K917" s="6"/>
      <c r="L917" s="80"/>
      <c r="M917" s="80"/>
      <c r="N917" s="80"/>
      <c r="O917" s="80"/>
      <c r="P917" s="6"/>
      <c r="Q917" s="6"/>
      <c r="R917" s="6"/>
      <c r="S917" s="6"/>
      <c r="T917" s="6"/>
      <c r="U917" s="6"/>
      <c r="V917" s="6"/>
      <c r="W917" s="7"/>
      <c r="X917" s="7"/>
      <c r="Y917" s="7"/>
      <c r="Z917" s="7"/>
    </row>
    <row r="918">
      <c r="A918" s="6"/>
      <c r="B918" s="6"/>
      <c r="C918" s="6"/>
      <c r="D918" s="6"/>
      <c r="E918" s="6"/>
      <c r="F918" s="6"/>
      <c r="G918" s="6"/>
      <c r="H918" s="6"/>
      <c r="I918" s="6"/>
      <c r="J918" s="6"/>
      <c r="K918" s="6"/>
      <c r="L918" s="80"/>
      <c r="M918" s="80"/>
      <c r="N918" s="80"/>
      <c r="O918" s="80"/>
      <c r="P918" s="6"/>
      <c r="Q918" s="6"/>
      <c r="R918" s="6"/>
      <c r="S918" s="6"/>
      <c r="T918" s="6"/>
      <c r="U918" s="6"/>
      <c r="V918" s="6"/>
      <c r="W918" s="7"/>
      <c r="X918" s="7"/>
      <c r="Y918" s="7"/>
      <c r="Z918" s="7"/>
    </row>
    <row r="919">
      <c r="A919" s="6"/>
      <c r="B919" s="6"/>
      <c r="C919" s="6"/>
      <c r="D919" s="6"/>
      <c r="E919" s="6"/>
      <c r="F919" s="6"/>
      <c r="G919" s="6"/>
      <c r="H919" s="6"/>
      <c r="I919" s="6"/>
      <c r="J919" s="6"/>
      <c r="K919" s="6"/>
      <c r="L919" s="80"/>
      <c r="M919" s="80"/>
      <c r="N919" s="80"/>
      <c r="O919" s="80"/>
      <c r="P919" s="6"/>
      <c r="Q919" s="6"/>
      <c r="R919" s="6"/>
      <c r="S919" s="6"/>
      <c r="T919" s="6"/>
      <c r="U919" s="6"/>
      <c r="V919" s="6"/>
      <c r="W919" s="7"/>
      <c r="X919" s="7"/>
      <c r="Y919" s="7"/>
      <c r="Z919" s="7"/>
    </row>
    <row r="920">
      <c r="A920" s="6"/>
      <c r="B920" s="6"/>
      <c r="C920" s="6"/>
      <c r="D920" s="6"/>
      <c r="E920" s="6"/>
      <c r="F920" s="6"/>
      <c r="G920" s="6"/>
      <c r="H920" s="6"/>
      <c r="I920" s="6"/>
      <c r="J920" s="6"/>
      <c r="K920" s="6"/>
      <c r="L920" s="80"/>
      <c r="M920" s="80"/>
      <c r="N920" s="80"/>
      <c r="O920" s="80"/>
      <c r="P920" s="6"/>
      <c r="Q920" s="6"/>
      <c r="R920" s="6"/>
      <c r="S920" s="6"/>
      <c r="T920" s="6"/>
      <c r="U920" s="6"/>
      <c r="V920" s="6"/>
      <c r="W920" s="7"/>
      <c r="X920" s="7"/>
      <c r="Y920" s="7"/>
      <c r="Z920" s="7"/>
    </row>
    <row r="921">
      <c r="A921" s="6"/>
      <c r="B921" s="6"/>
      <c r="C921" s="6"/>
      <c r="D921" s="6"/>
      <c r="E921" s="6"/>
      <c r="F921" s="6"/>
      <c r="G921" s="6"/>
      <c r="H921" s="6"/>
      <c r="I921" s="6"/>
      <c r="J921" s="6"/>
      <c r="K921" s="6"/>
      <c r="L921" s="80"/>
      <c r="M921" s="80"/>
      <c r="N921" s="80"/>
      <c r="O921" s="80"/>
      <c r="P921" s="6"/>
      <c r="Q921" s="6"/>
      <c r="R921" s="6"/>
      <c r="S921" s="6"/>
      <c r="T921" s="6"/>
      <c r="U921" s="6"/>
      <c r="V921" s="6"/>
      <c r="W921" s="7"/>
      <c r="X921" s="7"/>
      <c r="Y921" s="7"/>
      <c r="Z921" s="7"/>
    </row>
    <row r="922">
      <c r="A922" s="6"/>
      <c r="B922" s="6"/>
      <c r="C922" s="6"/>
      <c r="D922" s="6"/>
      <c r="E922" s="6"/>
      <c r="F922" s="6"/>
      <c r="G922" s="6"/>
      <c r="H922" s="6"/>
      <c r="I922" s="6"/>
      <c r="J922" s="6"/>
      <c r="K922" s="6"/>
      <c r="L922" s="80"/>
      <c r="M922" s="80"/>
      <c r="N922" s="80"/>
      <c r="O922" s="80"/>
      <c r="P922" s="6"/>
      <c r="Q922" s="6"/>
      <c r="R922" s="6"/>
      <c r="S922" s="6"/>
      <c r="T922" s="6"/>
      <c r="U922" s="6"/>
      <c r="V922" s="6"/>
      <c r="W922" s="7"/>
      <c r="X922" s="7"/>
      <c r="Y922" s="7"/>
      <c r="Z922" s="7"/>
    </row>
    <row r="923">
      <c r="A923" s="6"/>
      <c r="B923" s="6"/>
      <c r="C923" s="6"/>
      <c r="D923" s="6"/>
      <c r="E923" s="6"/>
      <c r="F923" s="6"/>
      <c r="G923" s="6"/>
      <c r="H923" s="6"/>
      <c r="I923" s="6"/>
      <c r="J923" s="6"/>
      <c r="K923" s="6"/>
      <c r="L923" s="80"/>
      <c r="M923" s="80"/>
      <c r="N923" s="80"/>
      <c r="O923" s="80"/>
      <c r="P923" s="6"/>
      <c r="Q923" s="6"/>
      <c r="R923" s="6"/>
      <c r="S923" s="6"/>
      <c r="T923" s="6"/>
      <c r="U923" s="6"/>
      <c r="V923" s="6"/>
      <c r="W923" s="7"/>
      <c r="X923" s="7"/>
      <c r="Y923" s="7"/>
      <c r="Z923" s="7"/>
    </row>
    <row r="924">
      <c r="A924" s="6"/>
      <c r="B924" s="6"/>
      <c r="C924" s="6"/>
      <c r="D924" s="6"/>
      <c r="E924" s="6"/>
      <c r="F924" s="6"/>
      <c r="G924" s="6"/>
      <c r="H924" s="6"/>
      <c r="I924" s="6"/>
      <c r="J924" s="6"/>
      <c r="K924" s="6"/>
      <c r="L924" s="80"/>
      <c r="M924" s="80"/>
      <c r="N924" s="80"/>
      <c r="O924" s="80"/>
      <c r="P924" s="6"/>
      <c r="Q924" s="6"/>
      <c r="R924" s="6"/>
      <c r="S924" s="6"/>
      <c r="T924" s="6"/>
      <c r="U924" s="6"/>
      <c r="V924" s="6"/>
      <c r="W924" s="7"/>
      <c r="X924" s="7"/>
      <c r="Y924" s="7"/>
      <c r="Z924" s="7"/>
    </row>
    <row r="925">
      <c r="A925" s="6"/>
      <c r="B925" s="6"/>
      <c r="C925" s="6"/>
      <c r="D925" s="6"/>
      <c r="E925" s="6"/>
      <c r="F925" s="6"/>
      <c r="G925" s="6"/>
      <c r="H925" s="6"/>
      <c r="I925" s="6"/>
      <c r="J925" s="6"/>
      <c r="K925" s="6"/>
      <c r="L925" s="80"/>
      <c r="M925" s="80"/>
      <c r="N925" s="80"/>
      <c r="O925" s="80"/>
      <c r="P925" s="6"/>
      <c r="Q925" s="6"/>
      <c r="R925" s="6"/>
      <c r="S925" s="6"/>
      <c r="T925" s="6"/>
      <c r="U925" s="6"/>
      <c r="V925" s="6"/>
      <c r="W925" s="7"/>
      <c r="X925" s="7"/>
      <c r="Y925" s="7"/>
      <c r="Z925" s="7"/>
    </row>
    <row r="926">
      <c r="A926" s="6"/>
      <c r="B926" s="6"/>
      <c r="C926" s="6"/>
      <c r="D926" s="6"/>
      <c r="E926" s="6"/>
      <c r="F926" s="6"/>
      <c r="G926" s="6"/>
      <c r="H926" s="6"/>
      <c r="I926" s="6"/>
      <c r="J926" s="6"/>
      <c r="K926" s="6"/>
      <c r="L926" s="80"/>
      <c r="M926" s="80"/>
      <c r="N926" s="80"/>
      <c r="O926" s="80"/>
      <c r="P926" s="6"/>
      <c r="Q926" s="6"/>
      <c r="R926" s="6"/>
      <c r="S926" s="6"/>
      <c r="T926" s="6"/>
      <c r="U926" s="6"/>
      <c r="V926" s="6"/>
      <c r="W926" s="7"/>
      <c r="X926" s="7"/>
      <c r="Y926" s="7"/>
      <c r="Z926" s="7"/>
    </row>
    <row r="927">
      <c r="A927" s="6"/>
      <c r="B927" s="6"/>
      <c r="C927" s="6"/>
      <c r="D927" s="6"/>
      <c r="E927" s="6"/>
      <c r="F927" s="6"/>
      <c r="G927" s="6"/>
      <c r="H927" s="6"/>
      <c r="I927" s="6"/>
      <c r="J927" s="6"/>
      <c r="K927" s="6"/>
      <c r="L927" s="80"/>
      <c r="M927" s="80"/>
      <c r="N927" s="80"/>
      <c r="O927" s="80"/>
      <c r="P927" s="6"/>
      <c r="Q927" s="6"/>
      <c r="R927" s="6"/>
      <c r="S927" s="6"/>
      <c r="T927" s="6"/>
      <c r="U927" s="6"/>
      <c r="V927" s="6"/>
      <c r="W927" s="7"/>
      <c r="X927" s="7"/>
      <c r="Y927" s="7"/>
      <c r="Z927" s="7"/>
    </row>
    <row r="928">
      <c r="A928" s="6"/>
      <c r="B928" s="6"/>
      <c r="C928" s="6"/>
      <c r="D928" s="6"/>
      <c r="E928" s="6"/>
      <c r="F928" s="6"/>
      <c r="G928" s="6"/>
      <c r="H928" s="6"/>
      <c r="I928" s="6"/>
      <c r="J928" s="6"/>
      <c r="K928" s="6"/>
      <c r="L928" s="80"/>
      <c r="M928" s="80"/>
      <c r="N928" s="80"/>
      <c r="O928" s="80"/>
      <c r="P928" s="6"/>
      <c r="Q928" s="6"/>
      <c r="R928" s="6"/>
      <c r="S928" s="6"/>
      <c r="T928" s="6"/>
      <c r="U928" s="6"/>
      <c r="V928" s="6"/>
      <c r="W928" s="7"/>
      <c r="X928" s="7"/>
      <c r="Y928" s="7"/>
      <c r="Z928" s="7"/>
    </row>
    <row r="929">
      <c r="A929" s="6"/>
      <c r="B929" s="6"/>
      <c r="C929" s="6"/>
      <c r="D929" s="6"/>
      <c r="E929" s="6"/>
      <c r="F929" s="6"/>
      <c r="G929" s="6"/>
      <c r="H929" s="6"/>
      <c r="I929" s="6"/>
      <c r="J929" s="6"/>
      <c r="K929" s="6"/>
      <c r="L929" s="80"/>
      <c r="M929" s="80"/>
      <c r="N929" s="80"/>
      <c r="O929" s="80"/>
      <c r="P929" s="6"/>
      <c r="Q929" s="6"/>
      <c r="R929" s="6"/>
      <c r="S929" s="6"/>
      <c r="T929" s="6"/>
      <c r="U929" s="6"/>
      <c r="V929" s="6"/>
      <c r="W929" s="7"/>
      <c r="X929" s="7"/>
      <c r="Y929" s="7"/>
      <c r="Z929" s="7"/>
    </row>
    <row r="930">
      <c r="A930" s="6"/>
      <c r="B930" s="6"/>
      <c r="C930" s="6"/>
      <c r="D930" s="6"/>
      <c r="E930" s="6"/>
      <c r="F930" s="6"/>
      <c r="G930" s="6"/>
      <c r="H930" s="6"/>
      <c r="I930" s="6"/>
      <c r="J930" s="6"/>
      <c r="K930" s="6"/>
      <c r="L930" s="80"/>
      <c r="M930" s="80"/>
      <c r="N930" s="80"/>
      <c r="O930" s="80"/>
      <c r="P930" s="6"/>
      <c r="Q930" s="6"/>
      <c r="R930" s="6"/>
      <c r="S930" s="6"/>
      <c r="T930" s="6"/>
      <c r="U930" s="6"/>
      <c r="V930" s="6"/>
      <c r="W930" s="7"/>
      <c r="X930" s="7"/>
      <c r="Y930" s="7"/>
      <c r="Z930" s="7"/>
    </row>
    <row r="931">
      <c r="A931" s="6"/>
      <c r="B931" s="6"/>
      <c r="C931" s="6"/>
      <c r="D931" s="6"/>
      <c r="E931" s="6"/>
      <c r="F931" s="6"/>
      <c r="G931" s="6"/>
      <c r="H931" s="6"/>
      <c r="I931" s="6"/>
      <c r="J931" s="6"/>
      <c r="K931" s="6"/>
      <c r="L931" s="80"/>
      <c r="M931" s="80"/>
      <c r="N931" s="80"/>
      <c r="O931" s="80"/>
      <c r="P931" s="6"/>
      <c r="Q931" s="6"/>
      <c r="R931" s="6"/>
      <c r="S931" s="6"/>
      <c r="T931" s="6"/>
      <c r="U931" s="6"/>
      <c r="V931" s="6"/>
      <c r="W931" s="7"/>
      <c r="X931" s="7"/>
      <c r="Y931" s="7"/>
      <c r="Z931" s="7"/>
    </row>
    <row r="932">
      <c r="A932" s="6"/>
      <c r="B932" s="6"/>
      <c r="C932" s="6"/>
      <c r="D932" s="6"/>
      <c r="E932" s="6"/>
      <c r="F932" s="6"/>
      <c r="G932" s="6"/>
      <c r="H932" s="6"/>
      <c r="I932" s="6"/>
      <c r="J932" s="6"/>
      <c r="K932" s="6"/>
      <c r="L932" s="80"/>
      <c r="M932" s="80"/>
      <c r="N932" s="80"/>
      <c r="O932" s="80"/>
      <c r="P932" s="6"/>
      <c r="Q932" s="6"/>
      <c r="R932" s="6"/>
      <c r="S932" s="6"/>
      <c r="T932" s="6"/>
      <c r="U932" s="6"/>
      <c r="V932" s="6"/>
      <c r="W932" s="7"/>
      <c r="X932" s="7"/>
      <c r="Y932" s="7"/>
      <c r="Z932" s="7"/>
    </row>
    <row r="933">
      <c r="A933" s="6"/>
      <c r="B933" s="6"/>
      <c r="C933" s="6"/>
      <c r="D933" s="6"/>
      <c r="E933" s="6"/>
      <c r="F933" s="6"/>
      <c r="G933" s="6"/>
      <c r="H933" s="6"/>
      <c r="I933" s="6"/>
      <c r="J933" s="6"/>
      <c r="K933" s="6"/>
      <c r="L933" s="80"/>
      <c r="M933" s="80"/>
      <c r="N933" s="80"/>
      <c r="O933" s="80"/>
      <c r="P933" s="6"/>
      <c r="Q933" s="6"/>
      <c r="R933" s="6"/>
      <c r="S933" s="6"/>
      <c r="T933" s="6"/>
      <c r="U933" s="6"/>
      <c r="V933" s="6"/>
      <c r="W933" s="7"/>
      <c r="X933" s="7"/>
      <c r="Y933" s="7"/>
      <c r="Z933" s="7"/>
    </row>
    <row r="934">
      <c r="A934" s="6"/>
      <c r="B934" s="6"/>
      <c r="C934" s="6"/>
      <c r="D934" s="6"/>
      <c r="E934" s="6"/>
      <c r="F934" s="6"/>
      <c r="G934" s="6"/>
      <c r="H934" s="6"/>
      <c r="I934" s="6"/>
      <c r="J934" s="6"/>
      <c r="K934" s="6"/>
      <c r="L934" s="80"/>
      <c r="M934" s="80"/>
      <c r="N934" s="80"/>
      <c r="O934" s="80"/>
      <c r="P934" s="6"/>
      <c r="Q934" s="6"/>
      <c r="R934" s="6"/>
      <c r="S934" s="6"/>
      <c r="T934" s="6"/>
      <c r="U934" s="6"/>
      <c r="V934" s="6"/>
      <c r="W934" s="7"/>
      <c r="X934" s="7"/>
      <c r="Y934" s="7"/>
      <c r="Z934" s="7"/>
    </row>
    <row r="935">
      <c r="A935" s="6"/>
      <c r="B935" s="6"/>
      <c r="C935" s="6"/>
      <c r="D935" s="6"/>
      <c r="E935" s="6"/>
      <c r="F935" s="6"/>
      <c r="G935" s="6"/>
      <c r="H935" s="6"/>
      <c r="I935" s="6"/>
      <c r="J935" s="6"/>
      <c r="K935" s="6"/>
      <c r="L935" s="80"/>
      <c r="M935" s="80"/>
      <c r="N935" s="80"/>
      <c r="O935" s="80"/>
      <c r="P935" s="6"/>
      <c r="Q935" s="6"/>
      <c r="R935" s="6"/>
      <c r="S935" s="6"/>
      <c r="T935" s="6"/>
      <c r="U935" s="6"/>
      <c r="V935" s="6"/>
      <c r="W935" s="7"/>
      <c r="X935" s="7"/>
      <c r="Y935" s="7"/>
      <c r="Z935" s="7"/>
    </row>
    <row r="936">
      <c r="A936" s="6"/>
      <c r="B936" s="6"/>
      <c r="C936" s="6"/>
      <c r="D936" s="6"/>
      <c r="E936" s="6"/>
      <c r="F936" s="6"/>
      <c r="G936" s="6"/>
      <c r="H936" s="6"/>
      <c r="I936" s="6"/>
      <c r="J936" s="6"/>
      <c r="K936" s="6"/>
      <c r="L936" s="80"/>
      <c r="M936" s="80"/>
      <c r="N936" s="80"/>
      <c r="O936" s="80"/>
      <c r="P936" s="6"/>
      <c r="Q936" s="6"/>
      <c r="R936" s="6"/>
      <c r="S936" s="6"/>
      <c r="T936" s="6"/>
      <c r="U936" s="6"/>
      <c r="V936" s="6"/>
      <c r="W936" s="7"/>
      <c r="X936" s="7"/>
      <c r="Y936" s="7"/>
      <c r="Z936" s="7"/>
    </row>
    <row r="937">
      <c r="A937" s="6"/>
      <c r="B937" s="6"/>
      <c r="C937" s="6"/>
      <c r="D937" s="6"/>
      <c r="E937" s="6"/>
      <c r="F937" s="6"/>
      <c r="G937" s="6"/>
      <c r="H937" s="6"/>
      <c r="I937" s="6"/>
      <c r="J937" s="6"/>
      <c r="K937" s="6"/>
      <c r="L937" s="80"/>
      <c r="M937" s="80"/>
      <c r="N937" s="80"/>
      <c r="O937" s="80"/>
      <c r="P937" s="6"/>
      <c r="Q937" s="6"/>
      <c r="R937" s="6"/>
      <c r="S937" s="6"/>
      <c r="T937" s="6"/>
      <c r="U937" s="6"/>
      <c r="V937" s="6"/>
      <c r="W937" s="7"/>
      <c r="X937" s="7"/>
      <c r="Y937" s="7"/>
      <c r="Z937" s="7"/>
    </row>
    <row r="938">
      <c r="A938" s="6"/>
      <c r="B938" s="6"/>
      <c r="C938" s="6"/>
      <c r="D938" s="6"/>
      <c r="E938" s="6"/>
      <c r="F938" s="6"/>
      <c r="G938" s="6"/>
      <c r="H938" s="6"/>
      <c r="I938" s="6"/>
      <c r="J938" s="6"/>
      <c r="K938" s="6"/>
      <c r="L938" s="80"/>
      <c r="M938" s="80"/>
      <c r="N938" s="80"/>
      <c r="O938" s="80"/>
      <c r="P938" s="6"/>
      <c r="Q938" s="6"/>
      <c r="R938" s="6"/>
      <c r="S938" s="6"/>
      <c r="T938" s="6"/>
      <c r="U938" s="6"/>
      <c r="V938" s="6"/>
      <c r="W938" s="7"/>
      <c r="X938" s="7"/>
      <c r="Y938" s="7"/>
      <c r="Z938" s="7"/>
    </row>
    <row r="939">
      <c r="A939" s="6"/>
      <c r="B939" s="6"/>
      <c r="C939" s="6"/>
      <c r="D939" s="6"/>
      <c r="E939" s="6"/>
      <c r="F939" s="6"/>
      <c r="G939" s="6"/>
      <c r="H939" s="6"/>
      <c r="I939" s="6"/>
      <c r="J939" s="6"/>
      <c r="K939" s="6"/>
      <c r="L939" s="80"/>
      <c r="M939" s="80"/>
      <c r="N939" s="80"/>
      <c r="O939" s="80"/>
      <c r="P939" s="6"/>
      <c r="Q939" s="6"/>
      <c r="R939" s="6"/>
      <c r="S939" s="6"/>
      <c r="T939" s="6"/>
      <c r="U939" s="6"/>
      <c r="V939" s="6"/>
      <c r="W939" s="7"/>
      <c r="X939" s="7"/>
      <c r="Y939" s="7"/>
      <c r="Z939" s="7"/>
    </row>
    <row r="940">
      <c r="A940" s="6"/>
      <c r="B940" s="6"/>
      <c r="C940" s="6"/>
      <c r="D940" s="6"/>
      <c r="E940" s="6"/>
      <c r="F940" s="6"/>
      <c r="G940" s="6"/>
      <c r="H940" s="6"/>
      <c r="I940" s="6"/>
      <c r="J940" s="6"/>
      <c r="K940" s="6"/>
      <c r="L940" s="80"/>
      <c r="M940" s="80"/>
      <c r="N940" s="80"/>
      <c r="O940" s="80"/>
      <c r="P940" s="6"/>
      <c r="Q940" s="6"/>
      <c r="R940" s="6"/>
      <c r="S940" s="6"/>
      <c r="T940" s="6"/>
      <c r="U940" s="6"/>
      <c r="V940" s="6"/>
      <c r="W940" s="7"/>
      <c r="X940" s="7"/>
      <c r="Y940" s="7"/>
      <c r="Z940" s="7"/>
    </row>
    <row r="941">
      <c r="A941" s="6"/>
      <c r="B941" s="6"/>
      <c r="C941" s="6"/>
      <c r="D941" s="6"/>
      <c r="E941" s="6"/>
      <c r="F941" s="6"/>
      <c r="G941" s="6"/>
      <c r="H941" s="6"/>
      <c r="I941" s="6"/>
      <c r="J941" s="6"/>
      <c r="K941" s="6"/>
      <c r="L941" s="80"/>
      <c r="M941" s="80"/>
      <c r="N941" s="80"/>
      <c r="O941" s="80"/>
      <c r="P941" s="6"/>
      <c r="Q941" s="6"/>
      <c r="R941" s="6"/>
      <c r="S941" s="6"/>
      <c r="T941" s="6"/>
      <c r="U941" s="6"/>
      <c r="V941" s="6"/>
      <c r="W941" s="7"/>
      <c r="X941" s="7"/>
      <c r="Y941" s="7"/>
      <c r="Z941" s="7"/>
    </row>
    <row r="942">
      <c r="A942" s="6"/>
      <c r="B942" s="6"/>
      <c r="C942" s="6"/>
      <c r="D942" s="6"/>
      <c r="E942" s="6"/>
      <c r="F942" s="6"/>
      <c r="G942" s="6"/>
      <c r="H942" s="6"/>
      <c r="I942" s="6"/>
      <c r="J942" s="6"/>
      <c r="K942" s="6"/>
      <c r="L942" s="80"/>
      <c r="M942" s="80"/>
      <c r="N942" s="80"/>
      <c r="O942" s="80"/>
      <c r="P942" s="6"/>
      <c r="Q942" s="6"/>
      <c r="R942" s="6"/>
      <c r="S942" s="6"/>
      <c r="T942" s="6"/>
      <c r="U942" s="6"/>
      <c r="V942" s="6"/>
      <c r="W942" s="7"/>
      <c r="X942" s="7"/>
      <c r="Y942" s="7"/>
      <c r="Z942" s="7"/>
    </row>
    <row r="943">
      <c r="A943" s="6"/>
      <c r="B943" s="6"/>
      <c r="C943" s="6"/>
      <c r="D943" s="6"/>
      <c r="E943" s="6"/>
      <c r="F943" s="6"/>
      <c r="G943" s="6"/>
      <c r="H943" s="6"/>
      <c r="I943" s="6"/>
      <c r="J943" s="6"/>
      <c r="K943" s="6"/>
      <c r="L943" s="80"/>
      <c r="M943" s="80"/>
      <c r="N943" s="80"/>
      <c r="O943" s="80"/>
      <c r="P943" s="6"/>
      <c r="Q943" s="6"/>
      <c r="R943" s="6"/>
      <c r="S943" s="6"/>
      <c r="T943" s="6"/>
      <c r="U943" s="6"/>
      <c r="V943" s="6"/>
      <c r="W943" s="7"/>
      <c r="X943" s="7"/>
      <c r="Y943" s="7"/>
      <c r="Z943" s="7"/>
    </row>
    <row r="944">
      <c r="A944" s="6"/>
      <c r="B944" s="6"/>
      <c r="C944" s="6"/>
      <c r="D944" s="6"/>
      <c r="E944" s="6"/>
      <c r="F944" s="6"/>
      <c r="G944" s="6"/>
      <c r="H944" s="6"/>
      <c r="I944" s="6"/>
      <c r="J944" s="6"/>
      <c r="K944" s="6"/>
      <c r="L944" s="80"/>
      <c r="M944" s="80"/>
      <c r="N944" s="80"/>
      <c r="O944" s="80"/>
      <c r="P944" s="6"/>
      <c r="Q944" s="6"/>
      <c r="R944" s="6"/>
      <c r="S944" s="6"/>
      <c r="T944" s="6"/>
      <c r="U944" s="6"/>
      <c r="V944" s="6"/>
      <c r="W944" s="7"/>
      <c r="X944" s="7"/>
      <c r="Y944" s="7"/>
      <c r="Z944" s="7"/>
    </row>
    <row r="945">
      <c r="A945" s="6"/>
      <c r="B945" s="6"/>
      <c r="C945" s="6"/>
      <c r="D945" s="6"/>
      <c r="E945" s="6"/>
      <c r="F945" s="6"/>
      <c r="G945" s="6"/>
      <c r="H945" s="6"/>
      <c r="I945" s="6"/>
      <c r="J945" s="6"/>
      <c r="K945" s="6"/>
      <c r="L945" s="80"/>
      <c r="M945" s="80"/>
      <c r="N945" s="80"/>
      <c r="O945" s="80"/>
      <c r="P945" s="6"/>
      <c r="Q945" s="6"/>
      <c r="R945" s="6"/>
      <c r="S945" s="6"/>
      <c r="T945" s="6"/>
      <c r="U945" s="6"/>
      <c r="V945" s="6"/>
      <c r="W945" s="7"/>
      <c r="X945" s="7"/>
      <c r="Y945" s="7"/>
      <c r="Z945" s="7"/>
    </row>
    <row r="946">
      <c r="A946" s="6"/>
      <c r="B946" s="6"/>
      <c r="C946" s="6"/>
      <c r="D946" s="6"/>
      <c r="E946" s="6"/>
      <c r="F946" s="6"/>
      <c r="G946" s="6"/>
      <c r="H946" s="6"/>
      <c r="I946" s="6"/>
      <c r="J946" s="6"/>
      <c r="K946" s="6"/>
      <c r="L946" s="80"/>
      <c r="M946" s="80"/>
      <c r="N946" s="80"/>
      <c r="O946" s="80"/>
      <c r="P946" s="6"/>
      <c r="Q946" s="6"/>
      <c r="R946" s="6"/>
      <c r="S946" s="6"/>
      <c r="T946" s="6"/>
      <c r="U946" s="6"/>
      <c r="V946" s="6"/>
      <c r="W946" s="7"/>
      <c r="X946" s="7"/>
      <c r="Y946" s="7"/>
      <c r="Z946" s="7"/>
    </row>
    <row r="947">
      <c r="A947" s="6"/>
      <c r="B947" s="6"/>
      <c r="C947" s="6"/>
      <c r="D947" s="6"/>
      <c r="E947" s="6"/>
      <c r="F947" s="6"/>
      <c r="G947" s="6"/>
      <c r="H947" s="6"/>
      <c r="I947" s="6"/>
      <c r="J947" s="6"/>
      <c r="K947" s="6"/>
      <c r="L947" s="80"/>
      <c r="M947" s="80"/>
      <c r="N947" s="80"/>
      <c r="O947" s="80"/>
      <c r="P947" s="6"/>
      <c r="Q947" s="6"/>
      <c r="R947" s="6"/>
      <c r="S947" s="6"/>
      <c r="T947" s="6"/>
      <c r="U947" s="6"/>
      <c r="V947" s="6"/>
      <c r="W947" s="7"/>
      <c r="X947" s="7"/>
      <c r="Y947" s="7"/>
      <c r="Z947" s="7"/>
    </row>
    <row r="948">
      <c r="A948" s="6"/>
      <c r="B948" s="6"/>
      <c r="C948" s="6"/>
      <c r="D948" s="6"/>
      <c r="E948" s="6"/>
      <c r="F948" s="6"/>
      <c r="G948" s="6"/>
      <c r="H948" s="6"/>
      <c r="I948" s="6"/>
      <c r="J948" s="6"/>
      <c r="K948" s="6"/>
      <c r="L948" s="80"/>
      <c r="M948" s="80"/>
      <c r="N948" s="80"/>
      <c r="O948" s="80"/>
      <c r="P948" s="6"/>
      <c r="Q948" s="6"/>
      <c r="R948" s="6"/>
      <c r="S948" s="6"/>
      <c r="T948" s="6"/>
      <c r="U948" s="6"/>
      <c r="V948" s="6"/>
      <c r="W948" s="7"/>
      <c r="X948" s="7"/>
      <c r="Y948" s="7"/>
      <c r="Z948" s="7"/>
    </row>
    <row r="949">
      <c r="A949" s="6"/>
      <c r="B949" s="6"/>
      <c r="C949" s="6"/>
      <c r="D949" s="6"/>
      <c r="E949" s="6"/>
      <c r="F949" s="6"/>
      <c r="G949" s="6"/>
      <c r="H949" s="6"/>
      <c r="I949" s="6"/>
      <c r="J949" s="6"/>
      <c r="K949" s="6"/>
      <c r="L949" s="80"/>
      <c r="M949" s="80"/>
      <c r="N949" s="80"/>
      <c r="O949" s="80"/>
      <c r="P949" s="6"/>
      <c r="Q949" s="6"/>
      <c r="R949" s="6"/>
      <c r="S949" s="6"/>
      <c r="T949" s="6"/>
      <c r="U949" s="6"/>
      <c r="V949" s="6"/>
      <c r="W949" s="7"/>
      <c r="X949" s="7"/>
      <c r="Y949" s="7"/>
      <c r="Z949" s="7"/>
    </row>
    <row r="950">
      <c r="A950" s="6"/>
      <c r="B950" s="6"/>
      <c r="C950" s="6"/>
      <c r="D950" s="6"/>
      <c r="E950" s="6"/>
      <c r="F950" s="6"/>
      <c r="G950" s="6"/>
      <c r="H950" s="6"/>
      <c r="I950" s="6"/>
      <c r="J950" s="6"/>
      <c r="K950" s="6"/>
      <c r="L950" s="80"/>
      <c r="M950" s="80"/>
      <c r="N950" s="80"/>
      <c r="O950" s="80"/>
      <c r="P950" s="6"/>
      <c r="Q950" s="6"/>
      <c r="R950" s="6"/>
      <c r="S950" s="6"/>
      <c r="T950" s="6"/>
      <c r="U950" s="6"/>
      <c r="V950" s="6"/>
      <c r="W950" s="7"/>
      <c r="X950" s="7"/>
      <c r="Y950" s="7"/>
      <c r="Z950" s="7"/>
    </row>
    <row r="951">
      <c r="A951" s="6"/>
      <c r="B951" s="6"/>
      <c r="C951" s="6"/>
      <c r="D951" s="6"/>
      <c r="E951" s="6"/>
      <c r="F951" s="6"/>
      <c r="G951" s="6"/>
      <c r="H951" s="6"/>
      <c r="I951" s="6"/>
      <c r="J951" s="6"/>
      <c r="K951" s="6"/>
      <c r="L951" s="80"/>
      <c r="M951" s="80"/>
      <c r="N951" s="80"/>
      <c r="O951" s="80"/>
      <c r="P951" s="6"/>
      <c r="Q951" s="6"/>
      <c r="R951" s="6"/>
      <c r="S951" s="6"/>
      <c r="T951" s="6"/>
      <c r="U951" s="6"/>
      <c r="V951" s="6"/>
      <c r="W951" s="7"/>
      <c r="X951" s="7"/>
      <c r="Y951" s="7"/>
      <c r="Z951" s="7"/>
    </row>
    <row r="952">
      <c r="A952" s="6"/>
      <c r="B952" s="6"/>
      <c r="C952" s="6"/>
      <c r="D952" s="6"/>
      <c r="E952" s="6"/>
      <c r="F952" s="6"/>
      <c r="G952" s="6"/>
      <c r="H952" s="6"/>
      <c r="I952" s="6"/>
      <c r="J952" s="6"/>
      <c r="K952" s="6"/>
      <c r="L952" s="80"/>
      <c r="M952" s="80"/>
      <c r="N952" s="80"/>
      <c r="O952" s="80"/>
      <c r="P952" s="6"/>
      <c r="Q952" s="6"/>
      <c r="R952" s="6"/>
      <c r="S952" s="6"/>
      <c r="T952" s="6"/>
      <c r="U952" s="6"/>
      <c r="V952" s="6"/>
      <c r="W952" s="7"/>
      <c r="X952" s="7"/>
      <c r="Y952" s="7"/>
      <c r="Z952" s="7"/>
    </row>
    <row r="953">
      <c r="A953" s="6"/>
      <c r="B953" s="6"/>
      <c r="C953" s="6"/>
      <c r="D953" s="6"/>
      <c r="E953" s="6"/>
      <c r="F953" s="6"/>
      <c r="G953" s="6"/>
      <c r="H953" s="6"/>
      <c r="I953" s="6"/>
      <c r="J953" s="6"/>
      <c r="K953" s="6"/>
      <c r="L953" s="80"/>
      <c r="M953" s="80"/>
      <c r="N953" s="80"/>
      <c r="O953" s="80"/>
      <c r="P953" s="6"/>
      <c r="Q953" s="6"/>
      <c r="R953" s="6"/>
      <c r="S953" s="6"/>
      <c r="T953" s="6"/>
      <c r="U953" s="6"/>
      <c r="V953" s="6"/>
      <c r="W953" s="7"/>
      <c r="X953" s="7"/>
      <c r="Y953" s="7"/>
      <c r="Z953" s="7"/>
    </row>
    <row r="954">
      <c r="A954" s="6"/>
      <c r="B954" s="6"/>
      <c r="C954" s="6"/>
      <c r="D954" s="6"/>
      <c r="E954" s="6"/>
      <c r="F954" s="6"/>
      <c r="G954" s="6"/>
      <c r="H954" s="6"/>
      <c r="I954" s="6"/>
      <c r="J954" s="6"/>
      <c r="K954" s="6"/>
      <c r="L954" s="80"/>
      <c r="M954" s="80"/>
      <c r="N954" s="80"/>
      <c r="O954" s="80"/>
      <c r="P954" s="6"/>
      <c r="Q954" s="6"/>
      <c r="R954" s="6"/>
      <c r="S954" s="6"/>
      <c r="T954" s="6"/>
      <c r="U954" s="6"/>
      <c r="V954" s="6"/>
      <c r="W954" s="7"/>
      <c r="X954" s="7"/>
      <c r="Y954" s="7"/>
      <c r="Z954" s="7"/>
    </row>
    <row r="955">
      <c r="A955" s="6"/>
      <c r="B955" s="6"/>
      <c r="C955" s="6"/>
      <c r="D955" s="6"/>
      <c r="E955" s="6"/>
      <c r="F955" s="6"/>
      <c r="G955" s="6"/>
      <c r="H955" s="6"/>
      <c r="I955" s="6"/>
      <c r="J955" s="6"/>
      <c r="K955" s="6"/>
      <c r="L955" s="80"/>
      <c r="M955" s="80"/>
      <c r="N955" s="80"/>
      <c r="O955" s="80"/>
      <c r="P955" s="6"/>
      <c r="Q955" s="6"/>
      <c r="R955" s="6"/>
      <c r="S955" s="6"/>
      <c r="T955" s="6"/>
      <c r="U955" s="6"/>
      <c r="V955" s="6"/>
      <c r="W955" s="7"/>
      <c r="X955" s="7"/>
      <c r="Y955" s="7"/>
      <c r="Z955" s="7"/>
    </row>
    <row r="956">
      <c r="A956" s="6"/>
      <c r="B956" s="6"/>
      <c r="C956" s="6"/>
      <c r="D956" s="6"/>
      <c r="E956" s="6"/>
      <c r="F956" s="6"/>
      <c r="G956" s="6"/>
      <c r="H956" s="6"/>
      <c r="I956" s="6"/>
      <c r="J956" s="6"/>
      <c r="K956" s="6"/>
      <c r="L956" s="80"/>
      <c r="M956" s="80"/>
      <c r="N956" s="80"/>
      <c r="O956" s="80"/>
      <c r="P956" s="6"/>
      <c r="Q956" s="6"/>
      <c r="R956" s="6"/>
      <c r="S956" s="6"/>
      <c r="T956" s="6"/>
      <c r="U956" s="6"/>
      <c r="V956" s="6"/>
      <c r="W956" s="7"/>
      <c r="X956" s="7"/>
      <c r="Y956" s="7"/>
      <c r="Z956" s="7"/>
    </row>
    <row r="957">
      <c r="A957" s="6"/>
      <c r="B957" s="6"/>
      <c r="C957" s="6"/>
      <c r="D957" s="6"/>
      <c r="E957" s="6"/>
      <c r="F957" s="6"/>
      <c r="G957" s="6"/>
      <c r="H957" s="6"/>
      <c r="I957" s="6"/>
      <c r="J957" s="6"/>
      <c r="K957" s="6"/>
      <c r="L957" s="80"/>
      <c r="M957" s="80"/>
      <c r="N957" s="80"/>
      <c r="O957" s="80"/>
      <c r="P957" s="6"/>
      <c r="Q957" s="6"/>
      <c r="R957" s="6"/>
      <c r="S957" s="6"/>
      <c r="T957" s="6"/>
      <c r="U957" s="6"/>
      <c r="V957" s="6"/>
      <c r="W957" s="7"/>
      <c r="X957" s="7"/>
      <c r="Y957" s="7"/>
      <c r="Z957" s="7"/>
    </row>
    <row r="958">
      <c r="A958" s="6"/>
      <c r="B958" s="6"/>
      <c r="C958" s="6"/>
      <c r="D958" s="6"/>
      <c r="E958" s="6"/>
      <c r="F958" s="6"/>
      <c r="G958" s="6"/>
      <c r="H958" s="6"/>
      <c r="I958" s="6"/>
      <c r="J958" s="6"/>
      <c r="K958" s="6"/>
      <c r="L958" s="80"/>
      <c r="M958" s="80"/>
      <c r="N958" s="80"/>
      <c r="O958" s="80"/>
      <c r="P958" s="6"/>
      <c r="Q958" s="6"/>
      <c r="R958" s="6"/>
      <c r="S958" s="6"/>
      <c r="T958" s="6"/>
      <c r="U958" s="6"/>
      <c r="V958" s="6"/>
      <c r="W958" s="7"/>
      <c r="X958" s="7"/>
      <c r="Y958" s="7"/>
      <c r="Z958" s="7"/>
    </row>
    <row r="959">
      <c r="A959" s="6"/>
      <c r="B959" s="6"/>
      <c r="C959" s="6"/>
      <c r="D959" s="6"/>
      <c r="E959" s="6"/>
      <c r="F959" s="6"/>
      <c r="G959" s="6"/>
      <c r="H959" s="6"/>
      <c r="I959" s="6"/>
      <c r="J959" s="6"/>
      <c r="K959" s="6"/>
      <c r="L959" s="80"/>
      <c r="M959" s="80"/>
      <c r="N959" s="80"/>
      <c r="O959" s="80"/>
      <c r="P959" s="6"/>
      <c r="Q959" s="6"/>
      <c r="R959" s="6"/>
      <c r="S959" s="6"/>
      <c r="T959" s="6"/>
      <c r="U959" s="6"/>
      <c r="V959" s="6"/>
      <c r="W959" s="7"/>
      <c r="X959" s="7"/>
      <c r="Y959" s="7"/>
      <c r="Z959" s="7"/>
    </row>
    <row r="960">
      <c r="A960" s="6"/>
      <c r="B960" s="6"/>
      <c r="C960" s="6"/>
      <c r="D960" s="6"/>
      <c r="E960" s="6"/>
      <c r="F960" s="6"/>
      <c r="G960" s="6"/>
      <c r="H960" s="6"/>
      <c r="I960" s="6"/>
      <c r="J960" s="6"/>
      <c r="K960" s="6"/>
      <c r="L960" s="80"/>
      <c r="M960" s="80"/>
      <c r="N960" s="80"/>
      <c r="O960" s="80"/>
      <c r="P960" s="6"/>
      <c r="Q960" s="6"/>
      <c r="R960" s="6"/>
      <c r="S960" s="6"/>
      <c r="T960" s="6"/>
      <c r="U960" s="6"/>
      <c r="V960" s="6"/>
      <c r="W960" s="7"/>
      <c r="X960" s="7"/>
      <c r="Y960" s="7"/>
      <c r="Z960" s="7"/>
    </row>
    <row r="961">
      <c r="A961" s="6"/>
      <c r="B961" s="6"/>
      <c r="C961" s="6"/>
      <c r="D961" s="6"/>
      <c r="E961" s="6"/>
      <c r="F961" s="6"/>
      <c r="G961" s="6"/>
      <c r="H961" s="6"/>
      <c r="I961" s="6"/>
      <c r="J961" s="6"/>
      <c r="K961" s="6"/>
      <c r="L961" s="80"/>
      <c r="M961" s="80"/>
      <c r="N961" s="80"/>
      <c r="O961" s="80"/>
      <c r="P961" s="6"/>
      <c r="Q961" s="6"/>
      <c r="R961" s="6"/>
      <c r="S961" s="6"/>
      <c r="T961" s="6"/>
      <c r="U961" s="6"/>
      <c r="V961" s="6"/>
      <c r="W961" s="7"/>
      <c r="X961" s="7"/>
      <c r="Y961" s="7"/>
      <c r="Z961" s="7"/>
    </row>
    <row r="962">
      <c r="A962" s="6"/>
      <c r="B962" s="6"/>
      <c r="C962" s="6"/>
      <c r="D962" s="6"/>
      <c r="E962" s="6"/>
      <c r="F962" s="6"/>
      <c r="G962" s="6"/>
      <c r="H962" s="6"/>
      <c r="I962" s="6"/>
      <c r="J962" s="6"/>
      <c r="K962" s="6"/>
      <c r="L962" s="80"/>
      <c r="M962" s="80"/>
      <c r="N962" s="80"/>
      <c r="O962" s="80"/>
      <c r="P962" s="6"/>
      <c r="Q962" s="6"/>
      <c r="R962" s="6"/>
      <c r="S962" s="6"/>
      <c r="T962" s="6"/>
      <c r="U962" s="6"/>
      <c r="V962" s="6"/>
      <c r="W962" s="7"/>
      <c r="X962" s="7"/>
      <c r="Y962" s="7"/>
      <c r="Z962" s="7"/>
    </row>
    <row r="963">
      <c r="A963" s="6"/>
      <c r="B963" s="6"/>
      <c r="C963" s="6"/>
      <c r="D963" s="6"/>
      <c r="E963" s="6"/>
      <c r="F963" s="6"/>
      <c r="G963" s="6"/>
      <c r="H963" s="6"/>
      <c r="I963" s="6"/>
      <c r="J963" s="6"/>
      <c r="K963" s="6"/>
      <c r="L963" s="80"/>
      <c r="M963" s="80"/>
      <c r="N963" s="80"/>
      <c r="O963" s="80"/>
      <c r="P963" s="6"/>
      <c r="Q963" s="6"/>
      <c r="R963" s="6"/>
      <c r="S963" s="6"/>
      <c r="T963" s="6"/>
      <c r="U963" s="6"/>
      <c r="V963" s="6"/>
      <c r="W963" s="7"/>
      <c r="X963" s="7"/>
      <c r="Y963" s="7"/>
      <c r="Z963" s="7"/>
    </row>
    <row r="964">
      <c r="A964" s="6"/>
      <c r="B964" s="6"/>
      <c r="C964" s="6"/>
      <c r="D964" s="6"/>
      <c r="E964" s="6"/>
      <c r="F964" s="6"/>
      <c r="G964" s="6"/>
      <c r="H964" s="6"/>
      <c r="I964" s="6"/>
      <c r="J964" s="6"/>
      <c r="K964" s="6"/>
      <c r="L964" s="80"/>
      <c r="M964" s="80"/>
      <c r="N964" s="80"/>
      <c r="O964" s="80"/>
      <c r="P964" s="6"/>
      <c r="Q964" s="6"/>
      <c r="R964" s="6"/>
      <c r="S964" s="6"/>
      <c r="T964" s="6"/>
      <c r="U964" s="6"/>
      <c r="V964" s="6"/>
      <c r="W964" s="7"/>
      <c r="X964" s="7"/>
      <c r="Y964" s="7"/>
      <c r="Z964" s="7"/>
    </row>
    <row r="965">
      <c r="A965" s="6"/>
      <c r="B965" s="6"/>
      <c r="C965" s="6"/>
      <c r="D965" s="6"/>
      <c r="E965" s="6"/>
      <c r="F965" s="6"/>
      <c r="G965" s="6"/>
      <c r="H965" s="6"/>
      <c r="I965" s="6"/>
      <c r="J965" s="6"/>
      <c r="K965" s="6"/>
      <c r="L965" s="80"/>
      <c r="M965" s="80"/>
      <c r="N965" s="80"/>
      <c r="O965" s="80"/>
      <c r="P965" s="6"/>
      <c r="Q965" s="6"/>
      <c r="R965" s="6"/>
      <c r="S965" s="6"/>
      <c r="T965" s="6"/>
      <c r="U965" s="6"/>
      <c r="V965" s="6"/>
      <c r="W965" s="7"/>
      <c r="X965" s="7"/>
      <c r="Y965" s="7"/>
      <c r="Z965" s="7"/>
    </row>
    <row r="966">
      <c r="A966" s="6"/>
      <c r="B966" s="6"/>
      <c r="C966" s="6"/>
      <c r="D966" s="6"/>
      <c r="E966" s="6"/>
      <c r="F966" s="6"/>
      <c r="G966" s="6"/>
      <c r="H966" s="6"/>
      <c r="I966" s="6"/>
      <c r="J966" s="6"/>
      <c r="K966" s="6"/>
      <c r="L966" s="80"/>
      <c r="M966" s="80"/>
      <c r="N966" s="80"/>
      <c r="O966" s="80"/>
      <c r="P966" s="6"/>
      <c r="Q966" s="6"/>
      <c r="R966" s="6"/>
      <c r="S966" s="6"/>
      <c r="T966" s="6"/>
      <c r="U966" s="6"/>
      <c r="V966" s="6"/>
      <c r="W966" s="7"/>
      <c r="X966" s="7"/>
      <c r="Y966" s="7"/>
      <c r="Z966" s="7"/>
    </row>
    <row r="967">
      <c r="A967" s="6"/>
      <c r="B967" s="6"/>
      <c r="C967" s="6"/>
      <c r="D967" s="6"/>
      <c r="E967" s="6"/>
      <c r="F967" s="6"/>
      <c r="G967" s="6"/>
      <c r="H967" s="6"/>
      <c r="I967" s="6"/>
      <c r="J967" s="6"/>
      <c r="K967" s="6"/>
      <c r="L967" s="80"/>
      <c r="M967" s="80"/>
      <c r="N967" s="80"/>
      <c r="O967" s="80"/>
      <c r="P967" s="6"/>
      <c r="Q967" s="6"/>
      <c r="R967" s="6"/>
      <c r="S967" s="6"/>
      <c r="T967" s="6"/>
      <c r="U967" s="6"/>
      <c r="V967" s="6"/>
      <c r="W967" s="7"/>
      <c r="X967" s="7"/>
      <c r="Y967" s="7"/>
      <c r="Z967" s="7"/>
    </row>
    <row r="968">
      <c r="A968" s="6"/>
      <c r="B968" s="6"/>
      <c r="C968" s="6"/>
      <c r="D968" s="6"/>
      <c r="E968" s="6"/>
      <c r="F968" s="6"/>
      <c r="G968" s="6"/>
      <c r="H968" s="6"/>
      <c r="I968" s="6"/>
      <c r="J968" s="6"/>
      <c r="K968" s="6"/>
      <c r="L968" s="80"/>
      <c r="M968" s="80"/>
      <c r="N968" s="80"/>
      <c r="O968" s="80"/>
      <c r="P968" s="6"/>
      <c r="Q968" s="6"/>
      <c r="R968" s="6"/>
      <c r="S968" s="6"/>
      <c r="T968" s="6"/>
      <c r="U968" s="6"/>
      <c r="V968" s="6"/>
      <c r="W968" s="7"/>
      <c r="X968" s="7"/>
      <c r="Y968" s="7"/>
      <c r="Z968" s="7"/>
    </row>
    <row r="969">
      <c r="A969" s="6"/>
      <c r="B969" s="6"/>
      <c r="C969" s="6"/>
      <c r="D969" s="6"/>
      <c r="E969" s="6"/>
      <c r="F969" s="6"/>
      <c r="G969" s="6"/>
      <c r="H969" s="6"/>
      <c r="I969" s="6"/>
      <c r="J969" s="6"/>
      <c r="K969" s="6"/>
      <c r="L969" s="80"/>
      <c r="M969" s="80"/>
      <c r="N969" s="80"/>
      <c r="O969" s="80"/>
      <c r="P969" s="6"/>
      <c r="Q969" s="6"/>
      <c r="R969" s="6"/>
      <c r="S969" s="6"/>
      <c r="T969" s="6"/>
      <c r="U969" s="6"/>
      <c r="V969" s="6"/>
      <c r="W969" s="7"/>
      <c r="X969" s="7"/>
      <c r="Y969" s="7"/>
      <c r="Z969" s="7"/>
    </row>
    <row r="970">
      <c r="A970" s="6"/>
      <c r="B970" s="6"/>
      <c r="C970" s="6"/>
      <c r="D970" s="6"/>
      <c r="E970" s="6"/>
      <c r="F970" s="6"/>
      <c r="G970" s="6"/>
      <c r="H970" s="6"/>
      <c r="I970" s="6"/>
      <c r="J970" s="6"/>
      <c r="K970" s="6"/>
      <c r="L970" s="80"/>
      <c r="M970" s="80"/>
      <c r="N970" s="80"/>
      <c r="O970" s="80"/>
      <c r="P970" s="6"/>
      <c r="Q970" s="6"/>
      <c r="R970" s="6"/>
      <c r="S970" s="6"/>
      <c r="T970" s="6"/>
      <c r="U970" s="6"/>
      <c r="V970" s="6"/>
      <c r="W970" s="7"/>
      <c r="X970" s="7"/>
      <c r="Y970" s="7"/>
      <c r="Z970" s="7"/>
    </row>
    <row r="971">
      <c r="A971" s="6"/>
      <c r="B971" s="6"/>
      <c r="C971" s="6"/>
      <c r="D971" s="6"/>
      <c r="E971" s="6"/>
      <c r="F971" s="6"/>
      <c r="G971" s="6"/>
      <c r="H971" s="6"/>
      <c r="I971" s="6"/>
      <c r="J971" s="6"/>
      <c r="K971" s="6"/>
      <c r="L971" s="80"/>
      <c r="M971" s="80"/>
      <c r="N971" s="80"/>
      <c r="O971" s="80"/>
      <c r="P971" s="6"/>
      <c r="Q971" s="6"/>
      <c r="R971" s="6"/>
      <c r="S971" s="6"/>
      <c r="T971" s="6"/>
      <c r="U971" s="6"/>
      <c r="V971" s="6"/>
      <c r="W971" s="7"/>
      <c r="X971" s="7"/>
      <c r="Y971" s="7"/>
      <c r="Z971" s="7"/>
    </row>
    <row r="972">
      <c r="A972" s="6"/>
      <c r="B972" s="6"/>
      <c r="C972" s="6"/>
      <c r="D972" s="6"/>
      <c r="E972" s="6"/>
      <c r="F972" s="6"/>
      <c r="G972" s="6"/>
      <c r="H972" s="6"/>
      <c r="I972" s="6"/>
      <c r="J972" s="6"/>
      <c r="K972" s="6"/>
      <c r="L972" s="80"/>
      <c r="M972" s="80"/>
      <c r="N972" s="80"/>
      <c r="O972" s="80"/>
      <c r="P972" s="6"/>
      <c r="Q972" s="6"/>
      <c r="R972" s="6"/>
      <c r="S972" s="6"/>
      <c r="T972" s="6"/>
      <c r="U972" s="6"/>
      <c r="V972" s="6"/>
      <c r="W972" s="7"/>
      <c r="X972" s="7"/>
      <c r="Y972" s="7"/>
      <c r="Z972" s="7"/>
    </row>
    <row r="973">
      <c r="A973" s="6"/>
      <c r="B973" s="6"/>
      <c r="C973" s="6"/>
      <c r="D973" s="6"/>
      <c r="E973" s="6"/>
      <c r="F973" s="6"/>
      <c r="G973" s="6"/>
      <c r="H973" s="6"/>
      <c r="I973" s="6"/>
      <c r="J973" s="6"/>
      <c r="K973" s="6"/>
      <c r="L973" s="80"/>
      <c r="M973" s="80"/>
      <c r="N973" s="80"/>
      <c r="O973" s="80"/>
      <c r="P973" s="6"/>
      <c r="Q973" s="6"/>
      <c r="R973" s="6"/>
      <c r="S973" s="6"/>
      <c r="T973" s="6"/>
      <c r="U973" s="6"/>
      <c r="V973" s="6"/>
      <c r="W973" s="7"/>
      <c r="X973" s="7"/>
      <c r="Y973" s="7"/>
      <c r="Z973" s="7"/>
    </row>
    <row r="974">
      <c r="A974" s="6"/>
      <c r="B974" s="6"/>
      <c r="C974" s="6"/>
      <c r="D974" s="6"/>
      <c r="E974" s="6"/>
      <c r="F974" s="6"/>
      <c r="G974" s="6"/>
      <c r="H974" s="6"/>
      <c r="I974" s="6"/>
      <c r="J974" s="6"/>
      <c r="K974" s="6"/>
      <c r="L974" s="80"/>
      <c r="M974" s="80"/>
      <c r="N974" s="80"/>
      <c r="O974" s="80"/>
      <c r="P974" s="6"/>
      <c r="Q974" s="6"/>
      <c r="R974" s="6"/>
      <c r="S974" s="6"/>
      <c r="T974" s="6"/>
      <c r="U974" s="6"/>
      <c r="V974" s="6"/>
      <c r="W974" s="7"/>
      <c r="X974" s="7"/>
      <c r="Y974" s="7"/>
      <c r="Z974" s="7"/>
    </row>
    <row r="975">
      <c r="A975" s="6"/>
      <c r="B975" s="6"/>
      <c r="C975" s="6"/>
      <c r="D975" s="6"/>
      <c r="E975" s="6"/>
      <c r="F975" s="6"/>
      <c r="G975" s="6"/>
      <c r="H975" s="6"/>
      <c r="I975" s="6"/>
      <c r="J975" s="6"/>
      <c r="K975" s="6"/>
      <c r="L975" s="80"/>
      <c r="M975" s="80"/>
      <c r="N975" s="80"/>
      <c r="O975" s="80"/>
      <c r="P975" s="6"/>
      <c r="Q975" s="6"/>
      <c r="R975" s="6"/>
      <c r="S975" s="6"/>
      <c r="T975" s="6"/>
      <c r="U975" s="6"/>
      <c r="V975" s="6"/>
      <c r="W975" s="7"/>
      <c r="X975" s="7"/>
      <c r="Y975" s="7"/>
      <c r="Z975" s="7"/>
    </row>
    <row r="976">
      <c r="A976" s="6"/>
      <c r="B976" s="6"/>
      <c r="C976" s="6"/>
      <c r="D976" s="6"/>
      <c r="E976" s="6"/>
      <c r="F976" s="6"/>
      <c r="G976" s="6"/>
      <c r="H976" s="6"/>
      <c r="I976" s="6"/>
      <c r="J976" s="6"/>
      <c r="K976" s="6"/>
      <c r="L976" s="80"/>
      <c r="M976" s="80"/>
      <c r="N976" s="80"/>
      <c r="O976" s="80"/>
      <c r="P976" s="6"/>
      <c r="Q976" s="6"/>
      <c r="R976" s="6"/>
      <c r="S976" s="6"/>
      <c r="T976" s="6"/>
      <c r="U976" s="6"/>
      <c r="V976" s="6"/>
      <c r="W976" s="7"/>
      <c r="X976" s="7"/>
      <c r="Y976" s="7"/>
      <c r="Z976" s="7"/>
    </row>
    <row r="977">
      <c r="A977" s="6"/>
      <c r="B977" s="6"/>
      <c r="C977" s="6"/>
      <c r="D977" s="6"/>
      <c r="E977" s="6"/>
      <c r="F977" s="6"/>
      <c r="G977" s="6"/>
      <c r="H977" s="6"/>
      <c r="I977" s="6"/>
      <c r="J977" s="6"/>
      <c r="K977" s="6"/>
      <c r="L977" s="80"/>
      <c r="M977" s="80"/>
      <c r="N977" s="80"/>
      <c r="O977" s="80"/>
      <c r="P977" s="6"/>
      <c r="Q977" s="6"/>
      <c r="R977" s="6"/>
      <c r="S977" s="6"/>
      <c r="T977" s="6"/>
      <c r="U977" s="6"/>
      <c r="V977" s="6"/>
      <c r="W977" s="7"/>
      <c r="X977" s="7"/>
      <c r="Y977" s="7"/>
      <c r="Z977" s="7"/>
    </row>
    <row r="978">
      <c r="A978" s="6"/>
      <c r="B978" s="6"/>
      <c r="C978" s="6"/>
      <c r="D978" s="6"/>
      <c r="E978" s="6"/>
      <c r="F978" s="6"/>
      <c r="G978" s="6"/>
      <c r="H978" s="6"/>
      <c r="I978" s="6"/>
      <c r="J978" s="6"/>
      <c r="K978" s="6"/>
      <c r="L978" s="80"/>
      <c r="M978" s="80"/>
      <c r="N978" s="80"/>
      <c r="O978" s="80"/>
      <c r="P978" s="6"/>
      <c r="Q978" s="6"/>
      <c r="R978" s="6"/>
      <c r="S978" s="6"/>
      <c r="T978" s="6"/>
      <c r="U978" s="6"/>
      <c r="V978" s="6"/>
      <c r="W978" s="7"/>
      <c r="X978" s="7"/>
      <c r="Y978" s="7"/>
      <c r="Z978" s="7"/>
    </row>
    <row r="979">
      <c r="A979" s="6"/>
      <c r="B979" s="6"/>
      <c r="C979" s="6"/>
      <c r="D979" s="6"/>
      <c r="E979" s="6"/>
      <c r="F979" s="6"/>
      <c r="G979" s="6"/>
      <c r="H979" s="6"/>
      <c r="I979" s="6"/>
      <c r="J979" s="6"/>
      <c r="K979" s="6"/>
      <c r="L979" s="80"/>
      <c r="M979" s="80"/>
      <c r="N979" s="80"/>
      <c r="O979" s="80"/>
      <c r="P979" s="6"/>
      <c r="Q979" s="6"/>
      <c r="R979" s="6"/>
      <c r="S979" s="6"/>
      <c r="T979" s="6"/>
      <c r="U979" s="6"/>
      <c r="V979" s="6"/>
      <c r="W979" s="7"/>
      <c r="X979" s="7"/>
      <c r="Y979" s="7"/>
      <c r="Z979" s="7"/>
    </row>
    <row r="980">
      <c r="A980" s="6"/>
      <c r="B980" s="6"/>
      <c r="C980" s="6"/>
      <c r="D980" s="6"/>
      <c r="E980" s="6"/>
      <c r="F980" s="6"/>
      <c r="G980" s="6"/>
      <c r="H980" s="6"/>
      <c r="I980" s="6"/>
      <c r="J980" s="6"/>
      <c r="K980" s="6"/>
      <c r="L980" s="80"/>
      <c r="M980" s="80"/>
      <c r="N980" s="80"/>
      <c r="O980" s="80"/>
      <c r="P980" s="6"/>
      <c r="Q980" s="6"/>
      <c r="R980" s="6"/>
      <c r="S980" s="6"/>
      <c r="T980" s="6"/>
      <c r="U980" s="6"/>
      <c r="V980" s="6"/>
      <c r="W980" s="7"/>
      <c r="X980" s="7"/>
      <c r="Y980" s="7"/>
      <c r="Z980" s="7"/>
    </row>
    <row r="981">
      <c r="A981" s="6"/>
      <c r="B981" s="6"/>
      <c r="C981" s="6"/>
      <c r="D981" s="6"/>
      <c r="E981" s="6"/>
      <c r="F981" s="6"/>
      <c r="G981" s="6"/>
      <c r="H981" s="6"/>
      <c r="I981" s="6"/>
      <c r="J981" s="6"/>
      <c r="K981" s="6"/>
      <c r="L981" s="80"/>
      <c r="M981" s="80"/>
      <c r="N981" s="80"/>
      <c r="O981" s="80"/>
      <c r="P981" s="6"/>
      <c r="Q981" s="6"/>
      <c r="R981" s="6"/>
      <c r="S981" s="6"/>
      <c r="T981" s="6"/>
      <c r="U981" s="6"/>
      <c r="V981" s="6"/>
      <c r="W981" s="7"/>
      <c r="X981" s="7"/>
      <c r="Y981" s="7"/>
      <c r="Z981" s="7"/>
    </row>
    <row r="982">
      <c r="A982" s="6"/>
      <c r="B982" s="6"/>
      <c r="C982" s="6"/>
      <c r="D982" s="6"/>
      <c r="E982" s="6"/>
      <c r="F982" s="6"/>
      <c r="G982" s="6"/>
      <c r="H982" s="6"/>
      <c r="I982" s="6"/>
      <c r="J982" s="6"/>
      <c r="K982" s="6"/>
      <c r="L982" s="80"/>
      <c r="M982" s="80"/>
      <c r="N982" s="80"/>
      <c r="O982" s="80"/>
      <c r="P982" s="6"/>
      <c r="Q982" s="6"/>
      <c r="R982" s="6"/>
      <c r="S982" s="6"/>
      <c r="T982" s="6"/>
      <c r="U982" s="6"/>
      <c r="V982" s="6"/>
      <c r="W982" s="7"/>
      <c r="X982" s="7"/>
      <c r="Y982" s="7"/>
      <c r="Z982" s="7"/>
    </row>
    <row r="983">
      <c r="A983" s="6"/>
      <c r="B983" s="6"/>
      <c r="C983" s="6"/>
      <c r="D983" s="6"/>
      <c r="E983" s="6"/>
      <c r="F983" s="6"/>
      <c r="G983" s="6"/>
      <c r="H983" s="6"/>
      <c r="I983" s="6"/>
      <c r="J983" s="6"/>
      <c r="K983" s="6"/>
      <c r="L983" s="80"/>
      <c r="M983" s="80"/>
      <c r="N983" s="80"/>
      <c r="O983" s="80"/>
      <c r="P983" s="6"/>
      <c r="Q983" s="6"/>
      <c r="R983" s="6"/>
      <c r="S983" s="6"/>
      <c r="T983" s="6"/>
      <c r="U983" s="6"/>
      <c r="V983" s="6"/>
      <c r="W983" s="7"/>
      <c r="X983" s="7"/>
      <c r="Y983" s="7"/>
      <c r="Z983" s="7"/>
    </row>
    <row r="984">
      <c r="A984" s="6"/>
      <c r="B984" s="6"/>
      <c r="C984" s="6"/>
      <c r="D984" s="6"/>
      <c r="E984" s="6"/>
      <c r="F984" s="6"/>
      <c r="G984" s="6"/>
      <c r="H984" s="6"/>
      <c r="I984" s="6"/>
      <c r="J984" s="6"/>
      <c r="K984" s="6"/>
      <c r="L984" s="80"/>
      <c r="M984" s="80"/>
      <c r="N984" s="80"/>
      <c r="O984" s="80"/>
      <c r="P984" s="6"/>
      <c r="Q984" s="6"/>
      <c r="R984" s="6"/>
      <c r="S984" s="6"/>
      <c r="T984" s="6"/>
      <c r="U984" s="6"/>
      <c r="V984" s="6"/>
      <c r="W984" s="7"/>
      <c r="X984" s="7"/>
      <c r="Y984" s="7"/>
      <c r="Z984" s="7"/>
    </row>
    <row r="985">
      <c r="A985" s="6"/>
      <c r="B985" s="6"/>
      <c r="C985" s="6"/>
      <c r="D985" s="6"/>
      <c r="E985" s="6"/>
      <c r="F985" s="6"/>
      <c r="G985" s="6"/>
      <c r="H985" s="6"/>
      <c r="I985" s="6"/>
      <c r="J985" s="6"/>
      <c r="K985" s="6"/>
      <c r="L985" s="80"/>
      <c r="M985" s="80"/>
      <c r="N985" s="80"/>
      <c r="O985" s="80"/>
      <c r="P985" s="6"/>
      <c r="Q985" s="6"/>
      <c r="R985" s="6"/>
      <c r="S985" s="6"/>
      <c r="T985" s="6"/>
      <c r="U985" s="6"/>
      <c r="V985" s="6"/>
      <c r="W985" s="7"/>
      <c r="X985" s="7"/>
      <c r="Y985" s="7"/>
      <c r="Z985" s="7"/>
    </row>
    <row r="986">
      <c r="A986" s="6"/>
      <c r="B986" s="6"/>
      <c r="C986" s="6"/>
      <c r="D986" s="6"/>
      <c r="E986" s="6"/>
      <c r="F986" s="6"/>
      <c r="G986" s="6"/>
      <c r="H986" s="6"/>
      <c r="I986" s="6"/>
      <c r="J986" s="6"/>
      <c r="K986" s="6"/>
      <c r="L986" s="80"/>
      <c r="M986" s="80"/>
      <c r="N986" s="80"/>
      <c r="O986" s="80"/>
      <c r="P986" s="6"/>
      <c r="Q986" s="6"/>
      <c r="R986" s="6"/>
      <c r="S986" s="6"/>
      <c r="T986" s="6"/>
      <c r="U986" s="6"/>
      <c r="V986" s="6"/>
      <c r="W986" s="7"/>
      <c r="X986" s="7"/>
      <c r="Y986" s="7"/>
      <c r="Z986" s="7"/>
    </row>
    <row r="987">
      <c r="A987" s="6"/>
      <c r="B987" s="6"/>
      <c r="C987" s="6"/>
      <c r="D987" s="6"/>
      <c r="E987" s="6"/>
      <c r="F987" s="6"/>
      <c r="G987" s="6"/>
      <c r="H987" s="6"/>
      <c r="I987" s="6"/>
      <c r="J987" s="6"/>
      <c r="K987" s="6"/>
      <c r="L987" s="80"/>
      <c r="M987" s="80"/>
      <c r="N987" s="80"/>
      <c r="O987" s="80"/>
      <c r="P987" s="6"/>
      <c r="Q987" s="6"/>
      <c r="R987" s="6"/>
      <c r="S987" s="6"/>
      <c r="T987" s="6"/>
      <c r="U987" s="6"/>
      <c r="V987" s="6"/>
      <c r="W987" s="7"/>
      <c r="X987" s="7"/>
      <c r="Y987" s="7"/>
      <c r="Z987" s="7"/>
    </row>
    <row r="988">
      <c r="A988" s="6"/>
      <c r="B988" s="6"/>
      <c r="C988" s="6"/>
      <c r="D988" s="6"/>
      <c r="E988" s="6"/>
      <c r="F988" s="6"/>
      <c r="G988" s="6"/>
      <c r="H988" s="6"/>
      <c r="I988" s="6"/>
      <c r="J988" s="6"/>
      <c r="K988" s="6"/>
      <c r="L988" s="80"/>
      <c r="M988" s="80"/>
      <c r="N988" s="80"/>
      <c r="O988" s="80"/>
      <c r="P988" s="6"/>
      <c r="Q988" s="6"/>
      <c r="R988" s="6"/>
      <c r="S988" s="6"/>
      <c r="T988" s="6"/>
      <c r="U988" s="6"/>
      <c r="V988" s="6"/>
      <c r="W988" s="7"/>
      <c r="X988" s="7"/>
      <c r="Y988" s="7"/>
      <c r="Z988" s="7"/>
    </row>
    <row r="989">
      <c r="A989" s="6"/>
      <c r="B989" s="6"/>
      <c r="C989" s="6"/>
      <c r="D989" s="6"/>
      <c r="E989" s="6"/>
      <c r="F989" s="6"/>
      <c r="G989" s="6"/>
      <c r="H989" s="6"/>
      <c r="I989" s="6"/>
      <c r="J989" s="6"/>
      <c r="K989" s="6"/>
      <c r="L989" s="80"/>
      <c r="M989" s="80"/>
      <c r="N989" s="80"/>
      <c r="O989" s="80"/>
      <c r="P989" s="6"/>
      <c r="Q989" s="6"/>
      <c r="R989" s="6"/>
      <c r="S989" s="6"/>
      <c r="T989" s="6"/>
      <c r="U989" s="6"/>
      <c r="V989" s="6"/>
      <c r="W989" s="7"/>
      <c r="X989" s="7"/>
      <c r="Y989" s="7"/>
      <c r="Z989" s="7"/>
    </row>
    <row r="990">
      <c r="A990" s="6"/>
      <c r="B990" s="6"/>
      <c r="C990" s="6"/>
      <c r="D990" s="6"/>
      <c r="E990" s="6"/>
      <c r="F990" s="6"/>
      <c r="G990" s="6"/>
      <c r="H990" s="6"/>
      <c r="I990" s="6"/>
      <c r="J990" s="6"/>
      <c r="K990" s="6"/>
      <c r="L990" s="80"/>
      <c r="M990" s="80"/>
      <c r="N990" s="80"/>
      <c r="O990" s="80"/>
      <c r="P990" s="6"/>
      <c r="Q990" s="6"/>
      <c r="R990" s="6"/>
      <c r="S990" s="6"/>
      <c r="T990" s="6"/>
      <c r="U990" s="6"/>
      <c r="V990" s="6"/>
      <c r="W990" s="7"/>
      <c r="X990" s="7"/>
      <c r="Y990" s="7"/>
      <c r="Z990" s="7"/>
    </row>
    <row r="991">
      <c r="A991" s="6"/>
      <c r="B991" s="6"/>
      <c r="C991" s="6"/>
      <c r="D991" s="6"/>
      <c r="E991" s="6"/>
      <c r="F991" s="6"/>
      <c r="G991" s="6"/>
      <c r="H991" s="6"/>
      <c r="I991" s="6"/>
      <c r="J991" s="6"/>
      <c r="K991" s="6"/>
      <c r="L991" s="80"/>
      <c r="M991" s="80"/>
      <c r="N991" s="80"/>
      <c r="O991" s="80"/>
      <c r="P991" s="6"/>
      <c r="Q991" s="6"/>
      <c r="R991" s="6"/>
      <c r="S991" s="6"/>
      <c r="T991" s="6"/>
      <c r="U991" s="6"/>
      <c r="V991" s="6"/>
      <c r="W991" s="7"/>
      <c r="X991" s="7"/>
      <c r="Y991" s="7"/>
      <c r="Z991" s="7"/>
    </row>
    <row r="992">
      <c r="A992" s="6"/>
      <c r="B992" s="6"/>
      <c r="C992" s="6"/>
      <c r="D992" s="6"/>
      <c r="E992" s="6"/>
      <c r="F992" s="6"/>
      <c r="G992" s="6"/>
      <c r="H992" s="6"/>
      <c r="I992" s="6"/>
      <c r="J992" s="6"/>
      <c r="K992" s="6"/>
      <c r="L992" s="80"/>
      <c r="M992" s="80"/>
      <c r="N992" s="80"/>
      <c r="O992" s="80"/>
      <c r="P992" s="6"/>
      <c r="Q992" s="6"/>
      <c r="R992" s="6"/>
      <c r="S992" s="6"/>
      <c r="T992" s="6"/>
      <c r="U992" s="6"/>
      <c r="V992" s="6"/>
      <c r="W992" s="7"/>
      <c r="X992" s="7"/>
      <c r="Y992" s="7"/>
      <c r="Z992" s="7"/>
    </row>
    <row r="993">
      <c r="A993" s="6"/>
      <c r="B993" s="6"/>
      <c r="C993" s="6"/>
      <c r="D993" s="6"/>
      <c r="E993" s="6"/>
      <c r="F993" s="6"/>
      <c r="G993" s="6"/>
      <c r="H993" s="6"/>
      <c r="I993" s="6"/>
      <c r="J993" s="6"/>
      <c r="K993" s="6"/>
      <c r="L993" s="80"/>
      <c r="M993" s="80"/>
      <c r="N993" s="80"/>
      <c r="O993" s="80"/>
      <c r="P993" s="6"/>
      <c r="Q993" s="6"/>
      <c r="R993" s="6"/>
      <c r="S993" s="6"/>
      <c r="T993" s="6"/>
      <c r="U993" s="6"/>
      <c r="V993" s="6"/>
      <c r="W993" s="7"/>
      <c r="X993" s="7"/>
      <c r="Y993" s="7"/>
      <c r="Z993" s="7"/>
    </row>
    <row r="994">
      <c r="A994" s="6"/>
      <c r="B994" s="6"/>
      <c r="C994" s="6"/>
      <c r="D994" s="6"/>
      <c r="E994" s="6"/>
      <c r="F994" s="6"/>
      <c r="G994" s="6"/>
      <c r="H994" s="6"/>
      <c r="I994" s="6"/>
      <c r="J994" s="6"/>
      <c r="K994" s="6"/>
      <c r="L994" s="80"/>
      <c r="M994" s="80"/>
      <c r="N994" s="80"/>
      <c r="O994" s="80"/>
      <c r="P994" s="6"/>
      <c r="Q994" s="6"/>
      <c r="R994" s="6"/>
      <c r="S994" s="6"/>
      <c r="T994" s="6"/>
      <c r="U994" s="6"/>
      <c r="V994" s="6"/>
      <c r="W994" s="7"/>
      <c r="X994" s="7"/>
      <c r="Y994" s="7"/>
      <c r="Z994" s="7"/>
    </row>
    <row r="995">
      <c r="A995" s="6"/>
      <c r="B995" s="6"/>
      <c r="C995" s="6"/>
      <c r="D995" s="6"/>
      <c r="E995" s="6"/>
      <c r="F995" s="6"/>
      <c r="G995" s="6"/>
      <c r="H995" s="6"/>
      <c r="I995" s="6"/>
      <c r="J995" s="6"/>
      <c r="K995" s="6"/>
      <c r="L995" s="80"/>
      <c r="M995" s="80"/>
      <c r="N995" s="80"/>
      <c r="O995" s="80"/>
      <c r="P995" s="6"/>
      <c r="Q995" s="6"/>
      <c r="R995" s="6"/>
      <c r="S995" s="6"/>
      <c r="T995" s="6"/>
      <c r="U995" s="6"/>
      <c r="V995" s="6"/>
      <c r="W995" s="7"/>
      <c r="X995" s="7"/>
      <c r="Y995" s="7"/>
      <c r="Z995" s="7"/>
    </row>
    <row r="996">
      <c r="A996" s="6"/>
      <c r="B996" s="6"/>
      <c r="C996" s="6"/>
      <c r="D996" s="6"/>
      <c r="E996" s="6"/>
      <c r="F996" s="6"/>
      <c r="G996" s="6"/>
      <c r="H996" s="6"/>
      <c r="I996" s="6"/>
      <c r="J996" s="6"/>
      <c r="K996" s="6"/>
      <c r="L996" s="80"/>
      <c r="M996" s="80"/>
      <c r="N996" s="80"/>
      <c r="O996" s="80"/>
      <c r="P996" s="6"/>
      <c r="Q996" s="6"/>
      <c r="R996" s="6"/>
      <c r="S996" s="6"/>
      <c r="T996" s="6"/>
      <c r="U996" s="6"/>
      <c r="V996" s="6"/>
      <c r="W996" s="7"/>
      <c r="X996" s="7"/>
      <c r="Y996" s="7"/>
      <c r="Z996" s="7"/>
    </row>
    <row r="997">
      <c r="A997" s="6"/>
      <c r="B997" s="6"/>
      <c r="C997" s="6"/>
      <c r="D997" s="6"/>
      <c r="E997" s="6"/>
      <c r="F997" s="6"/>
      <c r="G997" s="6"/>
      <c r="H997" s="6"/>
      <c r="I997" s="6"/>
      <c r="J997" s="6"/>
      <c r="K997" s="6"/>
      <c r="L997" s="80"/>
      <c r="M997" s="80"/>
      <c r="N997" s="80"/>
      <c r="O997" s="80"/>
      <c r="P997" s="6"/>
      <c r="Q997" s="6"/>
      <c r="R997" s="6"/>
      <c r="S997" s="6"/>
      <c r="T997" s="6"/>
      <c r="U997" s="6"/>
      <c r="V997" s="6"/>
      <c r="W997" s="7"/>
      <c r="X997" s="7"/>
      <c r="Y997" s="7"/>
      <c r="Z997" s="7"/>
    </row>
    <row r="998">
      <c r="A998" s="6"/>
      <c r="B998" s="6"/>
      <c r="C998" s="6"/>
      <c r="D998" s="6"/>
      <c r="E998" s="6"/>
      <c r="F998" s="6"/>
      <c r="G998" s="6"/>
      <c r="H998" s="6"/>
      <c r="I998" s="6"/>
      <c r="J998" s="6"/>
      <c r="K998" s="6"/>
      <c r="L998" s="80"/>
      <c r="M998" s="80"/>
      <c r="N998" s="80"/>
      <c r="O998" s="80"/>
      <c r="P998" s="6"/>
      <c r="Q998" s="6"/>
      <c r="R998" s="6"/>
      <c r="S998" s="6"/>
      <c r="T998" s="6"/>
      <c r="U998" s="6"/>
      <c r="V998" s="6"/>
      <c r="W998" s="7"/>
      <c r="X998" s="7"/>
      <c r="Y998" s="7"/>
      <c r="Z998" s="7"/>
    </row>
    <row r="999">
      <c r="A999" s="6"/>
      <c r="B999" s="6"/>
      <c r="C999" s="6"/>
      <c r="D999" s="6"/>
      <c r="E999" s="6"/>
      <c r="F999" s="6"/>
      <c r="G999" s="6"/>
      <c r="H999" s="6"/>
      <c r="I999" s="6"/>
      <c r="J999" s="6"/>
      <c r="K999" s="6"/>
      <c r="L999" s="80"/>
      <c r="M999" s="80"/>
      <c r="N999" s="80"/>
      <c r="O999" s="80"/>
      <c r="P999" s="6"/>
      <c r="Q999" s="6"/>
      <c r="R999" s="6"/>
      <c r="S999" s="6"/>
      <c r="T999" s="6"/>
      <c r="U999" s="6"/>
      <c r="V999" s="6"/>
      <c r="W999" s="7"/>
      <c r="X999" s="7"/>
      <c r="Y999" s="7"/>
      <c r="Z999" s="7"/>
    </row>
    <row r="1000">
      <c r="A1000" s="6"/>
      <c r="B1000" s="6"/>
      <c r="C1000" s="6"/>
      <c r="D1000" s="6"/>
      <c r="E1000" s="6"/>
      <c r="F1000" s="6"/>
      <c r="G1000" s="6"/>
      <c r="H1000" s="6"/>
      <c r="I1000" s="6"/>
      <c r="J1000" s="6"/>
      <c r="K1000" s="6"/>
      <c r="L1000" s="80"/>
      <c r="M1000" s="80"/>
      <c r="N1000" s="80"/>
      <c r="O1000" s="80"/>
      <c r="P1000" s="6"/>
      <c r="Q1000" s="6"/>
      <c r="R1000" s="6"/>
      <c r="S1000" s="6"/>
      <c r="T1000" s="6"/>
      <c r="U1000" s="6"/>
      <c r="V1000" s="6"/>
      <c r="W1000" s="7"/>
      <c r="X1000" s="7"/>
      <c r="Y1000" s="7"/>
      <c r="Z1000" s="7"/>
    </row>
    <row r="1001">
      <c r="A1001" s="6"/>
      <c r="B1001" s="6"/>
      <c r="C1001" s="6"/>
      <c r="D1001" s="6"/>
      <c r="E1001" s="6"/>
      <c r="F1001" s="6"/>
      <c r="G1001" s="6"/>
      <c r="H1001" s="6"/>
      <c r="I1001" s="6"/>
      <c r="J1001" s="6"/>
      <c r="K1001" s="6"/>
      <c r="L1001" s="80"/>
      <c r="M1001" s="80"/>
      <c r="N1001" s="80"/>
      <c r="O1001" s="80"/>
      <c r="P1001" s="6"/>
      <c r="Q1001" s="6"/>
      <c r="R1001" s="6"/>
      <c r="S1001" s="6"/>
      <c r="T1001" s="6"/>
      <c r="U1001" s="6"/>
      <c r="V1001" s="6"/>
      <c r="W1001" s="7"/>
      <c r="X1001" s="7"/>
      <c r="Y1001" s="7"/>
      <c r="Z1001" s="7"/>
    </row>
    <row r="1002">
      <c r="A1002" s="6"/>
      <c r="B1002" s="6"/>
      <c r="C1002" s="6"/>
      <c r="D1002" s="6"/>
      <c r="E1002" s="6"/>
      <c r="F1002" s="6"/>
      <c r="G1002" s="6"/>
      <c r="H1002" s="6"/>
      <c r="I1002" s="6"/>
      <c r="J1002" s="6"/>
      <c r="K1002" s="6"/>
      <c r="L1002" s="80"/>
      <c r="M1002" s="80"/>
      <c r="N1002" s="80"/>
      <c r="O1002" s="80"/>
      <c r="P1002" s="6"/>
      <c r="Q1002" s="6"/>
      <c r="R1002" s="6"/>
      <c r="S1002" s="6"/>
      <c r="T1002" s="6"/>
      <c r="U1002" s="6"/>
      <c r="V1002" s="6"/>
      <c r="W1002" s="7"/>
      <c r="X1002" s="7"/>
      <c r="Y1002" s="7"/>
      <c r="Z1002" s="7"/>
    </row>
    <row r="1003">
      <c r="A1003" s="6"/>
      <c r="B1003" s="6"/>
      <c r="C1003" s="6"/>
      <c r="D1003" s="6"/>
      <c r="E1003" s="6"/>
      <c r="F1003" s="6"/>
      <c r="G1003" s="6"/>
      <c r="H1003" s="6"/>
      <c r="I1003" s="6"/>
      <c r="J1003" s="6"/>
      <c r="K1003" s="6"/>
      <c r="L1003" s="80"/>
      <c r="M1003" s="80"/>
      <c r="N1003" s="80"/>
      <c r="O1003" s="80"/>
      <c r="P1003" s="6"/>
      <c r="Q1003" s="6"/>
      <c r="R1003" s="6"/>
      <c r="S1003" s="6"/>
      <c r="T1003" s="6"/>
      <c r="U1003" s="6"/>
      <c r="V1003" s="6"/>
      <c r="W1003" s="7"/>
      <c r="X1003" s="7"/>
      <c r="Y1003" s="7"/>
      <c r="Z1003" s="7"/>
    </row>
    <row r="1004">
      <c r="A1004" s="6"/>
      <c r="B1004" s="6"/>
      <c r="C1004" s="6"/>
      <c r="D1004" s="6"/>
      <c r="E1004" s="6"/>
      <c r="F1004" s="6"/>
      <c r="G1004" s="6"/>
      <c r="H1004" s="6"/>
      <c r="I1004" s="6"/>
      <c r="J1004" s="6"/>
      <c r="K1004" s="6"/>
      <c r="L1004" s="80"/>
      <c r="M1004" s="80"/>
      <c r="N1004" s="80"/>
      <c r="O1004" s="80"/>
      <c r="P1004" s="6"/>
      <c r="Q1004" s="6"/>
      <c r="R1004" s="6"/>
      <c r="S1004" s="6"/>
      <c r="T1004" s="6"/>
      <c r="U1004" s="6"/>
      <c r="V1004" s="6"/>
      <c r="W1004" s="7"/>
      <c r="X1004" s="7"/>
      <c r="Y1004" s="7"/>
      <c r="Z1004" s="7"/>
    </row>
    <row r="1005">
      <c r="A1005" s="6"/>
      <c r="B1005" s="6"/>
      <c r="C1005" s="6"/>
      <c r="D1005" s="6"/>
      <c r="E1005" s="6"/>
      <c r="F1005" s="6"/>
      <c r="G1005" s="6"/>
      <c r="H1005" s="6"/>
      <c r="I1005" s="6"/>
      <c r="J1005" s="6"/>
      <c r="K1005" s="6"/>
      <c r="L1005" s="80"/>
      <c r="M1005" s="80"/>
      <c r="N1005" s="80"/>
      <c r="O1005" s="80"/>
      <c r="P1005" s="6"/>
      <c r="Q1005" s="6"/>
      <c r="R1005" s="6"/>
      <c r="S1005" s="6"/>
      <c r="T1005" s="6"/>
      <c r="U1005" s="6"/>
      <c r="V1005" s="6"/>
      <c r="W1005" s="7"/>
      <c r="X1005" s="7"/>
      <c r="Y1005" s="7"/>
      <c r="Z1005" s="7"/>
    </row>
    <row r="1006">
      <c r="A1006" s="6"/>
      <c r="B1006" s="6"/>
      <c r="C1006" s="6"/>
      <c r="D1006" s="6"/>
      <c r="E1006" s="6"/>
      <c r="F1006" s="6"/>
      <c r="G1006" s="6"/>
      <c r="H1006" s="6"/>
      <c r="I1006" s="6"/>
      <c r="J1006" s="6"/>
      <c r="K1006" s="6"/>
      <c r="L1006" s="80"/>
      <c r="M1006" s="80"/>
      <c r="N1006" s="80"/>
      <c r="O1006" s="80"/>
      <c r="P1006" s="6"/>
      <c r="Q1006" s="6"/>
      <c r="R1006" s="6"/>
      <c r="S1006" s="6"/>
      <c r="T1006" s="6"/>
      <c r="U1006" s="6"/>
      <c r="V1006" s="6"/>
      <c r="W1006" s="7"/>
      <c r="X1006" s="7"/>
      <c r="Y1006" s="7"/>
      <c r="Z1006" s="7"/>
    </row>
    <row r="1007">
      <c r="A1007" s="6"/>
      <c r="B1007" s="6"/>
      <c r="C1007" s="6"/>
      <c r="D1007" s="6"/>
      <c r="E1007" s="6"/>
      <c r="F1007" s="6"/>
      <c r="G1007" s="6"/>
      <c r="H1007" s="6"/>
      <c r="I1007" s="6"/>
      <c r="J1007" s="6"/>
      <c r="K1007" s="6"/>
      <c r="L1007" s="80"/>
      <c r="M1007" s="80"/>
      <c r="N1007" s="80"/>
      <c r="O1007" s="80"/>
      <c r="P1007" s="6"/>
      <c r="Q1007" s="6"/>
      <c r="R1007" s="6"/>
      <c r="S1007" s="6"/>
      <c r="T1007" s="6"/>
      <c r="U1007" s="6"/>
      <c r="V1007" s="6"/>
      <c r="W1007" s="7"/>
      <c r="X1007" s="7"/>
      <c r="Y1007" s="7"/>
      <c r="Z1007" s="7"/>
    </row>
    <row r="1008">
      <c r="A1008" s="6"/>
      <c r="B1008" s="6"/>
      <c r="C1008" s="6"/>
      <c r="D1008" s="6"/>
      <c r="E1008" s="6"/>
      <c r="F1008" s="6"/>
      <c r="G1008" s="6"/>
      <c r="H1008" s="6"/>
      <c r="I1008" s="6"/>
      <c r="J1008" s="6"/>
      <c r="K1008" s="6"/>
      <c r="L1008" s="80"/>
      <c r="M1008" s="80"/>
      <c r="N1008" s="80"/>
      <c r="O1008" s="80"/>
      <c r="P1008" s="6"/>
      <c r="Q1008" s="6"/>
      <c r="R1008" s="6"/>
      <c r="S1008" s="6"/>
      <c r="T1008" s="6"/>
      <c r="U1008" s="6"/>
      <c r="V1008" s="6"/>
      <c r="W1008" s="7"/>
      <c r="X1008" s="7"/>
      <c r="Y1008" s="7"/>
      <c r="Z1008" s="7"/>
    </row>
    <row r="1009">
      <c r="A1009" s="6"/>
      <c r="B1009" s="6"/>
      <c r="C1009" s="6"/>
      <c r="D1009" s="6"/>
      <c r="E1009" s="6"/>
      <c r="F1009" s="6"/>
      <c r="G1009" s="6"/>
      <c r="H1009" s="6"/>
      <c r="I1009" s="6"/>
      <c r="J1009" s="6"/>
      <c r="K1009" s="6"/>
      <c r="L1009" s="80"/>
      <c r="M1009" s="80"/>
      <c r="N1009" s="80"/>
      <c r="O1009" s="80"/>
      <c r="P1009" s="6"/>
      <c r="Q1009" s="6"/>
      <c r="R1009" s="6"/>
      <c r="S1009" s="6"/>
      <c r="T1009" s="6"/>
      <c r="U1009" s="6"/>
      <c r="V1009" s="6"/>
      <c r="W1009" s="7"/>
      <c r="X1009" s="7"/>
      <c r="Y1009" s="7"/>
      <c r="Z1009" s="7"/>
    </row>
    <row r="1010">
      <c r="A1010" s="6"/>
      <c r="B1010" s="6"/>
      <c r="C1010" s="6"/>
      <c r="D1010" s="6"/>
      <c r="E1010" s="6"/>
      <c r="F1010" s="6"/>
      <c r="G1010" s="6"/>
      <c r="H1010" s="6"/>
      <c r="I1010" s="6"/>
      <c r="J1010" s="6"/>
      <c r="K1010" s="6"/>
      <c r="L1010" s="80"/>
      <c r="M1010" s="80"/>
      <c r="N1010" s="80"/>
      <c r="O1010" s="80"/>
      <c r="P1010" s="6"/>
      <c r="Q1010" s="6"/>
      <c r="R1010" s="6"/>
      <c r="S1010" s="6"/>
      <c r="T1010" s="6"/>
      <c r="U1010" s="6"/>
      <c r="V1010" s="6"/>
      <c r="W1010" s="7"/>
      <c r="X1010" s="7"/>
      <c r="Y1010" s="7"/>
      <c r="Z1010" s="7"/>
    </row>
    <row r="1011">
      <c r="A1011" s="6"/>
      <c r="B1011" s="6"/>
      <c r="C1011" s="6"/>
      <c r="D1011" s="6"/>
      <c r="E1011" s="6"/>
      <c r="F1011" s="6"/>
      <c r="G1011" s="6"/>
      <c r="H1011" s="6"/>
      <c r="I1011" s="6"/>
      <c r="J1011" s="6"/>
      <c r="K1011" s="6"/>
      <c r="L1011" s="80"/>
      <c r="M1011" s="80"/>
      <c r="N1011" s="80"/>
      <c r="O1011" s="80"/>
      <c r="P1011" s="6"/>
      <c r="Q1011" s="6"/>
      <c r="R1011" s="6"/>
      <c r="S1011" s="6"/>
      <c r="T1011" s="6"/>
      <c r="U1011" s="6"/>
      <c r="V1011" s="6"/>
      <c r="W1011" s="7"/>
      <c r="X1011" s="7"/>
      <c r="Y1011" s="7"/>
      <c r="Z1011" s="7"/>
    </row>
    <row r="1012">
      <c r="A1012" s="6"/>
      <c r="B1012" s="6"/>
      <c r="C1012" s="6"/>
      <c r="D1012" s="6"/>
      <c r="E1012" s="6"/>
      <c r="F1012" s="6"/>
      <c r="G1012" s="6"/>
      <c r="H1012" s="6"/>
      <c r="I1012" s="6"/>
      <c r="J1012" s="6"/>
      <c r="K1012" s="6"/>
      <c r="L1012" s="80"/>
      <c r="M1012" s="80"/>
      <c r="N1012" s="80"/>
      <c r="O1012" s="80"/>
      <c r="P1012" s="6"/>
      <c r="Q1012" s="6"/>
      <c r="R1012" s="6"/>
      <c r="S1012" s="6"/>
      <c r="T1012" s="6"/>
      <c r="U1012" s="6"/>
      <c r="V1012" s="6"/>
      <c r="W1012" s="7"/>
      <c r="X1012" s="7"/>
      <c r="Y1012" s="7"/>
      <c r="Z1012" s="7"/>
    </row>
    <row r="1013">
      <c r="A1013" s="6"/>
      <c r="B1013" s="6"/>
      <c r="C1013" s="6"/>
      <c r="D1013" s="6"/>
      <c r="E1013" s="6"/>
      <c r="F1013" s="6"/>
      <c r="G1013" s="6"/>
      <c r="H1013" s="6"/>
      <c r="I1013" s="6"/>
      <c r="J1013" s="6"/>
      <c r="K1013" s="6"/>
      <c r="L1013" s="80"/>
      <c r="M1013" s="80"/>
      <c r="N1013" s="80"/>
      <c r="O1013" s="80"/>
      <c r="P1013" s="6"/>
      <c r="Q1013" s="6"/>
      <c r="R1013" s="6"/>
      <c r="S1013" s="6"/>
      <c r="T1013" s="6"/>
      <c r="U1013" s="6"/>
      <c r="V1013" s="6"/>
      <c r="W1013" s="7"/>
      <c r="X1013" s="7"/>
      <c r="Y1013" s="7"/>
      <c r="Z1013" s="7"/>
    </row>
    <row r="1014">
      <c r="A1014" s="6"/>
      <c r="B1014" s="6"/>
      <c r="C1014" s="6"/>
      <c r="D1014" s="6"/>
      <c r="E1014" s="6"/>
      <c r="F1014" s="6"/>
      <c r="G1014" s="6"/>
      <c r="H1014" s="6"/>
      <c r="I1014" s="6"/>
      <c r="J1014" s="6"/>
      <c r="K1014" s="6"/>
      <c r="L1014" s="80"/>
      <c r="M1014" s="80"/>
      <c r="N1014" s="80"/>
      <c r="O1014" s="80"/>
      <c r="P1014" s="6"/>
      <c r="Q1014" s="6"/>
      <c r="R1014" s="6"/>
      <c r="S1014" s="6"/>
      <c r="T1014" s="6"/>
      <c r="U1014" s="6"/>
      <c r="V1014" s="6"/>
      <c r="W1014" s="7"/>
      <c r="X1014" s="7"/>
      <c r="Y1014" s="7"/>
      <c r="Z1014" s="7"/>
    </row>
    <row r="1015">
      <c r="A1015" s="6"/>
      <c r="B1015" s="6"/>
      <c r="C1015" s="6"/>
      <c r="D1015" s="6"/>
      <c r="E1015" s="6"/>
      <c r="F1015" s="6"/>
      <c r="G1015" s="6"/>
      <c r="H1015" s="6"/>
      <c r="I1015" s="6"/>
      <c r="J1015" s="6"/>
      <c r="K1015" s="6"/>
      <c r="L1015" s="80"/>
      <c r="M1015" s="80"/>
      <c r="N1015" s="80"/>
      <c r="O1015" s="80"/>
      <c r="P1015" s="6"/>
      <c r="Q1015" s="6"/>
      <c r="R1015" s="6"/>
      <c r="S1015" s="6"/>
      <c r="T1015" s="6"/>
      <c r="U1015" s="6"/>
      <c r="V1015" s="6"/>
      <c r="W1015" s="7"/>
      <c r="X1015" s="7"/>
      <c r="Y1015" s="7"/>
      <c r="Z1015" s="7"/>
    </row>
    <row r="1016">
      <c r="A1016" s="6"/>
      <c r="B1016" s="6"/>
      <c r="C1016" s="6"/>
      <c r="D1016" s="6"/>
      <c r="E1016" s="6"/>
      <c r="F1016" s="6"/>
      <c r="G1016" s="6"/>
      <c r="H1016" s="6"/>
      <c r="I1016" s="6"/>
      <c r="J1016" s="6"/>
      <c r="K1016" s="6"/>
      <c r="L1016" s="80"/>
      <c r="M1016" s="80"/>
      <c r="N1016" s="80"/>
      <c r="O1016" s="80"/>
      <c r="P1016" s="6"/>
      <c r="Q1016" s="6"/>
      <c r="R1016" s="6"/>
      <c r="S1016" s="6"/>
      <c r="T1016" s="6"/>
      <c r="U1016" s="6"/>
      <c r="V1016" s="6"/>
      <c r="W1016" s="7"/>
      <c r="X1016" s="7"/>
      <c r="Y1016" s="7"/>
      <c r="Z1016" s="7"/>
    </row>
    <row r="1017">
      <c r="A1017" s="6"/>
      <c r="B1017" s="6"/>
      <c r="C1017" s="6"/>
      <c r="D1017" s="6"/>
      <c r="E1017" s="6"/>
      <c r="F1017" s="6"/>
      <c r="G1017" s="6"/>
      <c r="H1017" s="6"/>
      <c r="I1017" s="6"/>
      <c r="J1017" s="6"/>
      <c r="K1017" s="6"/>
      <c r="L1017" s="80"/>
      <c r="M1017" s="80"/>
      <c r="N1017" s="80"/>
      <c r="O1017" s="80"/>
      <c r="P1017" s="6"/>
      <c r="Q1017" s="6"/>
      <c r="R1017" s="6"/>
      <c r="S1017" s="6"/>
      <c r="T1017" s="6"/>
      <c r="U1017" s="6"/>
      <c r="V1017" s="6"/>
      <c r="W1017" s="7"/>
      <c r="X1017" s="7"/>
      <c r="Y1017" s="7"/>
      <c r="Z1017" s="7"/>
    </row>
    <row r="1018">
      <c r="A1018" s="6"/>
      <c r="B1018" s="6"/>
      <c r="C1018" s="6"/>
      <c r="D1018" s="6"/>
      <c r="E1018" s="6"/>
      <c r="F1018" s="6"/>
      <c r="G1018" s="6"/>
      <c r="H1018" s="6"/>
      <c r="I1018" s="6"/>
      <c r="J1018" s="6"/>
      <c r="K1018" s="6"/>
      <c r="L1018" s="80"/>
      <c r="M1018" s="80"/>
      <c r="N1018" s="80"/>
      <c r="O1018" s="80"/>
      <c r="P1018" s="6"/>
      <c r="Q1018" s="6"/>
      <c r="R1018" s="6"/>
      <c r="S1018" s="6"/>
      <c r="T1018" s="6"/>
      <c r="U1018" s="6"/>
      <c r="V1018" s="6"/>
      <c r="W1018" s="7"/>
      <c r="X1018" s="7"/>
      <c r="Y1018" s="7"/>
      <c r="Z1018" s="7"/>
    </row>
    <row r="1019">
      <c r="A1019" s="6"/>
      <c r="B1019" s="6"/>
      <c r="C1019" s="6"/>
      <c r="D1019" s="6"/>
      <c r="E1019" s="6"/>
      <c r="F1019" s="6"/>
      <c r="G1019" s="6"/>
      <c r="H1019" s="6"/>
      <c r="I1019" s="6"/>
      <c r="J1019" s="6"/>
      <c r="K1019" s="6"/>
      <c r="L1019" s="80"/>
      <c r="M1019" s="80"/>
      <c r="N1019" s="80"/>
      <c r="O1019" s="80"/>
      <c r="P1019" s="6"/>
      <c r="Q1019" s="6"/>
      <c r="R1019" s="6"/>
      <c r="S1019" s="6"/>
      <c r="T1019" s="6"/>
      <c r="U1019" s="6"/>
      <c r="V1019" s="6"/>
      <c r="W1019" s="7"/>
      <c r="X1019" s="7"/>
      <c r="Y1019" s="7"/>
      <c r="Z1019" s="7"/>
    </row>
    <row r="1020">
      <c r="A1020" s="6"/>
      <c r="B1020" s="6"/>
      <c r="C1020" s="6"/>
      <c r="D1020" s="6"/>
      <c r="E1020" s="6"/>
      <c r="F1020" s="6"/>
      <c r="G1020" s="6"/>
      <c r="H1020" s="6"/>
      <c r="I1020" s="6"/>
      <c r="J1020" s="6"/>
      <c r="K1020" s="6"/>
      <c r="L1020" s="80"/>
      <c r="M1020" s="80"/>
      <c r="N1020" s="80"/>
      <c r="O1020" s="80"/>
      <c r="P1020" s="6"/>
      <c r="Q1020" s="6"/>
      <c r="R1020" s="6"/>
      <c r="S1020" s="6"/>
      <c r="T1020" s="6"/>
      <c r="U1020" s="6"/>
      <c r="V1020" s="6"/>
      <c r="W1020" s="7"/>
      <c r="X1020" s="7"/>
      <c r="Y1020" s="7"/>
      <c r="Z1020" s="7"/>
    </row>
    <row r="1021">
      <c r="A1021" s="6"/>
      <c r="B1021" s="6"/>
      <c r="C1021" s="6"/>
      <c r="D1021" s="6"/>
      <c r="E1021" s="6"/>
      <c r="F1021" s="6"/>
      <c r="G1021" s="6"/>
      <c r="H1021" s="6"/>
      <c r="I1021" s="6"/>
      <c r="J1021" s="6"/>
      <c r="K1021" s="6"/>
      <c r="L1021" s="80"/>
      <c r="M1021" s="80"/>
      <c r="N1021" s="80"/>
      <c r="O1021" s="80"/>
      <c r="P1021" s="6"/>
      <c r="Q1021" s="6"/>
      <c r="R1021" s="6"/>
      <c r="S1021" s="6"/>
      <c r="T1021" s="6"/>
      <c r="U1021" s="6"/>
      <c r="V1021" s="6"/>
      <c r="W1021" s="7"/>
      <c r="X1021" s="7"/>
      <c r="Y1021" s="7"/>
      <c r="Z1021" s="7"/>
    </row>
    <row r="1022">
      <c r="A1022" s="6"/>
      <c r="B1022" s="6"/>
      <c r="C1022" s="6"/>
      <c r="D1022" s="6"/>
      <c r="E1022" s="6"/>
      <c r="F1022" s="6"/>
      <c r="G1022" s="6"/>
      <c r="H1022" s="6"/>
      <c r="I1022" s="6"/>
      <c r="J1022" s="6"/>
      <c r="K1022" s="6"/>
      <c r="L1022" s="80"/>
      <c r="M1022" s="80"/>
      <c r="N1022" s="80"/>
      <c r="O1022" s="80"/>
      <c r="P1022" s="6"/>
      <c r="Q1022" s="6"/>
      <c r="R1022" s="6"/>
      <c r="S1022" s="6"/>
      <c r="T1022" s="6"/>
      <c r="U1022" s="6"/>
      <c r="V1022" s="6"/>
      <c r="W1022" s="7"/>
      <c r="X1022" s="7"/>
      <c r="Y1022" s="7"/>
      <c r="Z1022" s="7"/>
    </row>
    <row r="1023">
      <c r="A1023" s="6"/>
      <c r="B1023" s="6"/>
      <c r="C1023" s="6"/>
      <c r="D1023" s="6"/>
      <c r="E1023" s="6"/>
      <c r="F1023" s="6"/>
      <c r="G1023" s="6"/>
      <c r="H1023" s="6"/>
      <c r="I1023" s="6"/>
      <c r="J1023" s="6"/>
      <c r="K1023" s="6"/>
      <c r="L1023" s="80"/>
      <c r="M1023" s="80"/>
      <c r="N1023" s="80"/>
      <c r="O1023" s="80"/>
      <c r="P1023" s="6"/>
      <c r="Q1023" s="6"/>
      <c r="R1023" s="6"/>
      <c r="S1023" s="6"/>
      <c r="T1023" s="6"/>
      <c r="U1023" s="6"/>
      <c r="V1023" s="6"/>
      <c r="W1023" s="7"/>
      <c r="X1023" s="7"/>
      <c r="Y1023" s="7"/>
      <c r="Z1023" s="7"/>
    </row>
    <row r="1024">
      <c r="A1024" s="6"/>
      <c r="B1024" s="6"/>
      <c r="C1024" s="6"/>
      <c r="D1024" s="6"/>
      <c r="E1024" s="6"/>
      <c r="F1024" s="6"/>
      <c r="G1024" s="6"/>
      <c r="H1024" s="6"/>
      <c r="I1024" s="6"/>
      <c r="J1024" s="6"/>
      <c r="K1024" s="6"/>
      <c r="L1024" s="80"/>
      <c r="M1024" s="80"/>
      <c r="N1024" s="80"/>
      <c r="O1024" s="80"/>
      <c r="P1024" s="6"/>
      <c r="Q1024" s="6"/>
      <c r="R1024" s="6"/>
      <c r="S1024" s="6"/>
      <c r="T1024" s="6"/>
      <c r="U1024" s="6"/>
      <c r="V1024" s="6"/>
      <c r="W1024" s="7"/>
      <c r="X1024" s="7"/>
      <c r="Y1024" s="7"/>
      <c r="Z1024" s="7"/>
    </row>
    <row r="1025">
      <c r="A1025" s="6"/>
      <c r="B1025" s="6"/>
      <c r="C1025" s="6"/>
      <c r="D1025" s="6"/>
      <c r="E1025" s="6"/>
      <c r="F1025" s="6"/>
      <c r="G1025" s="6"/>
      <c r="H1025" s="6"/>
      <c r="I1025" s="6"/>
      <c r="J1025" s="6"/>
      <c r="K1025" s="6"/>
      <c r="L1025" s="80"/>
      <c r="M1025" s="80"/>
      <c r="N1025" s="80"/>
      <c r="O1025" s="80"/>
      <c r="P1025" s="6"/>
      <c r="Q1025" s="6"/>
      <c r="R1025" s="6"/>
      <c r="S1025" s="6"/>
      <c r="T1025" s="6"/>
      <c r="U1025" s="6"/>
      <c r="V1025" s="6"/>
      <c r="W1025" s="7"/>
      <c r="X1025" s="7"/>
      <c r="Y1025" s="7"/>
      <c r="Z1025" s="7"/>
    </row>
    <row r="1026">
      <c r="A1026" s="6"/>
      <c r="B1026" s="6"/>
      <c r="C1026" s="6"/>
      <c r="D1026" s="6"/>
      <c r="E1026" s="6"/>
      <c r="F1026" s="6"/>
      <c r="G1026" s="6"/>
      <c r="H1026" s="6"/>
      <c r="I1026" s="6"/>
      <c r="J1026" s="6"/>
      <c r="K1026" s="6"/>
      <c r="L1026" s="80"/>
      <c r="M1026" s="80"/>
      <c r="N1026" s="80"/>
      <c r="O1026" s="80"/>
      <c r="P1026" s="6"/>
      <c r="Q1026" s="6"/>
      <c r="R1026" s="6"/>
      <c r="S1026" s="6"/>
      <c r="T1026" s="6"/>
      <c r="U1026" s="6"/>
      <c r="V1026" s="6"/>
      <c r="W1026" s="7"/>
      <c r="X1026" s="7"/>
      <c r="Y1026" s="7"/>
      <c r="Z1026" s="7"/>
    </row>
    <row r="1027">
      <c r="A1027" s="6"/>
      <c r="B1027" s="6"/>
      <c r="C1027" s="6"/>
      <c r="D1027" s="6"/>
      <c r="E1027" s="6"/>
      <c r="F1027" s="6"/>
      <c r="G1027" s="6"/>
      <c r="H1027" s="6"/>
      <c r="I1027" s="6"/>
      <c r="J1027" s="6"/>
      <c r="K1027" s="6"/>
      <c r="L1027" s="80"/>
      <c r="M1027" s="80"/>
      <c r="N1027" s="80"/>
      <c r="O1027" s="80"/>
      <c r="P1027" s="6"/>
      <c r="Q1027" s="6"/>
      <c r="R1027" s="6"/>
      <c r="S1027" s="6"/>
      <c r="T1027" s="6"/>
      <c r="U1027" s="6"/>
      <c r="V1027" s="6"/>
      <c r="W1027" s="7"/>
      <c r="X1027" s="7"/>
      <c r="Y1027" s="7"/>
      <c r="Z1027" s="7"/>
    </row>
    <row r="1028">
      <c r="A1028" s="6"/>
      <c r="B1028" s="6"/>
      <c r="C1028" s="6"/>
      <c r="D1028" s="6"/>
      <c r="E1028" s="6"/>
      <c r="F1028" s="6"/>
      <c r="G1028" s="6"/>
      <c r="H1028" s="6"/>
      <c r="I1028" s="6"/>
      <c r="J1028" s="6"/>
      <c r="K1028" s="6"/>
      <c r="L1028" s="80"/>
      <c r="M1028" s="80"/>
      <c r="N1028" s="80"/>
      <c r="O1028" s="80"/>
      <c r="P1028" s="6"/>
      <c r="Q1028" s="6"/>
      <c r="R1028" s="6"/>
      <c r="S1028" s="6"/>
      <c r="T1028" s="6"/>
      <c r="U1028" s="6"/>
      <c r="V1028" s="6"/>
      <c r="W1028" s="7"/>
      <c r="X1028" s="7"/>
      <c r="Y1028" s="7"/>
      <c r="Z1028" s="7"/>
    </row>
    <row r="1029">
      <c r="A1029" s="6"/>
      <c r="B1029" s="6"/>
      <c r="C1029" s="6"/>
      <c r="D1029" s="6"/>
      <c r="E1029" s="6"/>
      <c r="F1029" s="6"/>
      <c r="G1029" s="6"/>
      <c r="H1029" s="6"/>
      <c r="I1029" s="6"/>
      <c r="J1029" s="6"/>
      <c r="K1029" s="6"/>
      <c r="L1029" s="80"/>
      <c r="M1029" s="80"/>
      <c r="N1029" s="80"/>
      <c r="O1029" s="80"/>
      <c r="P1029" s="6"/>
      <c r="Q1029" s="6"/>
      <c r="R1029" s="6"/>
      <c r="S1029" s="6"/>
      <c r="T1029" s="6"/>
      <c r="U1029" s="6"/>
      <c r="V1029" s="6"/>
      <c r="W1029" s="7"/>
      <c r="X1029" s="7"/>
      <c r="Y1029" s="7"/>
      <c r="Z1029" s="7"/>
    </row>
    <row r="1030">
      <c r="A1030" s="6"/>
      <c r="B1030" s="6"/>
      <c r="C1030" s="6"/>
      <c r="D1030" s="6"/>
      <c r="E1030" s="6"/>
      <c r="F1030" s="6"/>
      <c r="G1030" s="6"/>
      <c r="H1030" s="6"/>
      <c r="I1030" s="6"/>
      <c r="J1030" s="6"/>
      <c r="K1030" s="6"/>
      <c r="L1030" s="80"/>
      <c r="M1030" s="80"/>
      <c r="N1030" s="80"/>
      <c r="O1030" s="80"/>
      <c r="P1030" s="6"/>
      <c r="Q1030" s="6"/>
      <c r="R1030" s="6"/>
      <c r="S1030" s="6"/>
      <c r="T1030" s="6"/>
      <c r="U1030" s="6"/>
      <c r="V1030" s="6"/>
      <c r="W1030" s="7"/>
      <c r="X1030" s="7"/>
      <c r="Y1030" s="7"/>
      <c r="Z1030" s="7"/>
    </row>
    <row r="1031">
      <c r="A1031" s="6"/>
      <c r="B1031" s="6"/>
      <c r="C1031" s="6"/>
      <c r="D1031" s="6"/>
      <c r="E1031" s="6"/>
      <c r="F1031" s="6"/>
      <c r="G1031" s="6"/>
      <c r="H1031" s="6"/>
      <c r="I1031" s="6"/>
      <c r="J1031" s="6"/>
      <c r="K1031" s="6"/>
      <c r="L1031" s="80"/>
      <c r="M1031" s="80"/>
      <c r="N1031" s="80"/>
      <c r="O1031" s="80"/>
      <c r="P1031" s="6"/>
      <c r="Q1031" s="6"/>
      <c r="R1031" s="6"/>
      <c r="S1031" s="6"/>
      <c r="T1031" s="6"/>
      <c r="U1031" s="6"/>
      <c r="V1031" s="6"/>
      <c r="W1031" s="7"/>
      <c r="X1031" s="7"/>
      <c r="Y1031" s="7"/>
      <c r="Z1031" s="7"/>
    </row>
    <row r="1032">
      <c r="A1032" s="6"/>
      <c r="B1032" s="6"/>
      <c r="C1032" s="6"/>
      <c r="D1032" s="6"/>
      <c r="E1032" s="6"/>
      <c r="F1032" s="6"/>
      <c r="G1032" s="6"/>
      <c r="H1032" s="6"/>
      <c r="I1032" s="6"/>
      <c r="J1032" s="6"/>
      <c r="K1032" s="6"/>
      <c r="L1032" s="80"/>
      <c r="M1032" s="80"/>
      <c r="N1032" s="80"/>
      <c r="O1032" s="80"/>
      <c r="P1032" s="6"/>
      <c r="Q1032" s="6"/>
      <c r="R1032" s="6"/>
      <c r="S1032" s="6"/>
      <c r="T1032" s="6"/>
      <c r="U1032" s="6"/>
      <c r="V1032" s="6"/>
      <c r="W1032" s="7"/>
      <c r="X1032" s="7"/>
      <c r="Y1032" s="7"/>
      <c r="Z1032" s="7"/>
    </row>
    <row r="1033">
      <c r="A1033" s="6"/>
      <c r="B1033" s="6"/>
      <c r="C1033" s="6"/>
      <c r="D1033" s="6"/>
      <c r="E1033" s="6"/>
      <c r="F1033" s="6"/>
      <c r="G1033" s="6"/>
      <c r="H1033" s="6"/>
      <c r="I1033" s="6"/>
      <c r="J1033" s="6"/>
      <c r="K1033" s="6"/>
      <c r="L1033" s="80"/>
      <c r="M1033" s="80"/>
      <c r="N1033" s="80"/>
      <c r="O1033" s="80"/>
      <c r="P1033" s="6"/>
      <c r="Q1033" s="6"/>
      <c r="R1033" s="6"/>
      <c r="S1033" s="6"/>
      <c r="T1033" s="6"/>
      <c r="U1033" s="6"/>
      <c r="V1033" s="6"/>
      <c r="W1033" s="7"/>
      <c r="X1033" s="7"/>
      <c r="Y1033" s="7"/>
      <c r="Z1033" s="7"/>
    </row>
    <row r="1034">
      <c r="A1034" s="6"/>
      <c r="B1034" s="6"/>
      <c r="C1034" s="6"/>
      <c r="D1034" s="6"/>
      <c r="E1034" s="6"/>
      <c r="F1034" s="6"/>
      <c r="G1034" s="6"/>
      <c r="H1034" s="6"/>
      <c r="I1034" s="6"/>
      <c r="J1034" s="6"/>
      <c r="K1034" s="6"/>
      <c r="L1034" s="80"/>
      <c r="M1034" s="80"/>
      <c r="N1034" s="80"/>
      <c r="O1034" s="80"/>
      <c r="P1034" s="6"/>
      <c r="Q1034" s="6"/>
      <c r="R1034" s="6"/>
      <c r="S1034" s="6"/>
      <c r="T1034" s="6"/>
      <c r="U1034" s="6"/>
      <c r="V1034" s="6"/>
      <c r="W1034" s="7"/>
      <c r="X1034" s="7"/>
      <c r="Y1034" s="7"/>
      <c r="Z1034" s="7"/>
    </row>
    <row r="1035">
      <c r="A1035" s="6"/>
      <c r="B1035" s="6"/>
      <c r="C1035" s="6"/>
      <c r="D1035" s="6"/>
      <c r="E1035" s="6"/>
      <c r="F1035" s="6"/>
      <c r="G1035" s="6"/>
      <c r="H1035" s="6"/>
      <c r="I1035" s="6"/>
      <c r="J1035" s="6"/>
      <c r="K1035" s="6"/>
      <c r="L1035" s="80"/>
      <c r="M1035" s="80"/>
      <c r="N1035" s="80"/>
      <c r="O1035" s="80"/>
      <c r="P1035" s="6"/>
      <c r="Q1035" s="6"/>
      <c r="R1035" s="6"/>
      <c r="S1035" s="6"/>
      <c r="T1035" s="6"/>
      <c r="U1035" s="6"/>
      <c r="V1035" s="6"/>
      <c r="W1035" s="7"/>
      <c r="X1035" s="7"/>
      <c r="Y1035" s="7"/>
      <c r="Z1035" s="7"/>
    </row>
    <row r="1036">
      <c r="A1036" s="6"/>
      <c r="B1036" s="6"/>
      <c r="C1036" s="6"/>
      <c r="D1036" s="6"/>
      <c r="E1036" s="6"/>
      <c r="F1036" s="6"/>
      <c r="G1036" s="6"/>
      <c r="H1036" s="6"/>
      <c r="I1036" s="6"/>
      <c r="J1036" s="6"/>
      <c r="K1036" s="6"/>
      <c r="L1036" s="80"/>
      <c r="M1036" s="80"/>
      <c r="N1036" s="80"/>
      <c r="O1036" s="80"/>
      <c r="P1036" s="6"/>
      <c r="Q1036" s="6"/>
      <c r="R1036" s="6"/>
      <c r="S1036" s="6"/>
      <c r="T1036" s="6"/>
      <c r="U1036" s="6"/>
      <c r="V1036" s="6"/>
      <c r="W1036" s="7"/>
      <c r="X1036" s="7"/>
      <c r="Y1036" s="7"/>
      <c r="Z1036" s="7"/>
    </row>
    <row r="1037">
      <c r="A1037" s="6"/>
      <c r="B1037" s="6"/>
      <c r="C1037" s="6"/>
      <c r="D1037" s="6"/>
      <c r="E1037" s="6"/>
      <c r="F1037" s="6"/>
      <c r="G1037" s="6"/>
      <c r="H1037" s="6"/>
      <c r="I1037" s="6"/>
      <c r="J1037" s="6"/>
      <c r="K1037" s="6"/>
      <c r="L1037" s="80"/>
      <c r="M1037" s="80"/>
      <c r="N1037" s="80"/>
      <c r="O1037" s="80"/>
      <c r="P1037" s="6"/>
      <c r="Q1037" s="6"/>
      <c r="R1037" s="6"/>
      <c r="S1037" s="6"/>
      <c r="T1037" s="6"/>
      <c r="U1037" s="6"/>
      <c r="V1037" s="6"/>
      <c r="W1037" s="7"/>
      <c r="X1037" s="7"/>
      <c r="Y1037" s="7"/>
      <c r="Z1037" s="7"/>
    </row>
    <row r="1038">
      <c r="A1038" s="6"/>
      <c r="B1038" s="6"/>
      <c r="C1038" s="6"/>
      <c r="D1038" s="6"/>
      <c r="E1038" s="6"/>
      <c r="F1038" s="6"/>
      <c r="G1038" s="6"/>
      <c r="H1038" s="6"/>
      <c r="I1038" s="6"/>
      <c r="J1038" s="6"/>
      <c r="K1038" s="6"/>
      <c r="L1038" s="80"/>
      <c r="M1038" s="80"/>
      <c r="N1038" s="80"/>
      <c r="O1038" s="80"/>
      <c r="P1038" s="6"/>
      <c r="Q1038" s="6"/>
      <c r="R1038" s="6"/>
      <c r="S1038" s="6"/>
      <c r="T1038" s="6"/>
      <c r="U1038" s="6"/>
      <c r="V1038" s="6"/>
      <c r="W1038" s="7"/>
      <c r="X1038" s="7"/>
      <c r="Y1038" s="7"/>
      <c r="Z1038" s="7"/>
    </row>
    <row r="1039">
      <c r="A1039" s="6"/>
      <c r="B1039" s="6"/>
      <c r="C1039" s="6"/>
      <c r="D1039" s="6"/>
      <c r="E1039" s="6"/>
      <c r="F1039" s="6"/>
      <c r="G1039" s="6"/>
      <c r="H1039" s="6"/>
      <c r="I1039" s="6"/>
      <c r="J1039" s="6"/>
      <c r="K1039" s="6"/>
      <c r="L1039" s="80"/>
      <c r="M1039" s="80"/>
      <c r="N1039" s="80"/>
      <c r="O1039" s="80"/>
      <c r="P1039" s="6"/>
      <c r="Q1039" s="6"/>
      <c r="R1039" s="6"/>
      <c r="S1039" s="6"/>
      <c r="T1039" s="6"/>
      <c r="U1039" s="6"/>
      <c r="V1039" s="6"/>
      <c r="W1039" s="7"/>
      <c r="X1039" s="7"/>
      <c r="Y1039" s="7"/>
      <c r="Z1039" s="7"/>
    </row>
    <row r="1040">
      <c r="A1040" s="6"/>
      <c r="B1040" s="6"/>
      <c r="C1040" s="6"/>
      <c r="D1040" s="6"/>
      <c r="E1040" s="6"/>
      <c r="F1040" s="6"/>
      <c r="G1040" s="6"/>
      <c r="H1040" s="6"/>
      <c r="I1040" s="6"/>
      <c r="J1040" s="6"/>
      <c r="K1040" s="6"/>
      <c r="L1040" s="80"/>
      <c r="M1040" s="80"/>
      <c r="N1040" s="80"/>
      <c r="O1040" s="80"/>
      <c r="P1040" s="6"/>
      <c r="Q1040" s="6"/>
      <c r="R1040" s="6"/>
      <c r="S1040" s="6"/>
      <c r="T1040" s="6"/>
      <c r="U1040" s="6"/>
      <c r="V1040" s="6"/>
      <c r="W1040" s="7"/>
      <c r="X1040" s="7"/>
      <c r="Y1040" s="7"/>
      <c r="Z1040" s="7"/>
    </row>
    <row r="1041">
      <c r="A1041" s="6"/>
      <c r="B1041" s="6"/>
      <c r="C1041" s="6"/>
      <c r="D1041" s="6"/>
      <c r="E1041" s="6"/>
      <c r="F1041" s="6"/>
      <c r="G1041" s="6"/>
      <c r="H1041" s="6"/>
      <c r="I1041" s="6"/>
      <c r="J1041" s="6"/>
      <c r="K1041" s="6"/>
      <c r="L1041" s="80"/>
      <c r="M1041" s="80"/>
      <c r="N1041" s="80"/>
      <c r="O1041" s="80"/>
      <c r="P1041" s="6"/>
      <c r="Q1041" s="6"/>
      <c r="R1041" s="6"/>
      <c r="S1041" s="6"/>
      <c r="T1041" s="6"/>
      <c r="U1041" s="6"/>
      <c r="V1041" s="6"/>
      <c r="W1041" s="7"/>
      <c r="X1041" s="7"/>
      <c r="Y1041" s="7"/>
      <c r="Z1041" s="7"/>
    </row>
    <row r="1042">
      <c r="A1042" s="6"/>
      <c r="B1042" s="6"/>
      <c r="C1042" s="6"/>
      <c r="D1042" s="6"/>
      <c r="E1042" s="6"/>
      <c r="F1042" s="6"/>
      <c r="G1042" s="6"/>
      <c r="H1042" s="6"/>
      <c r="I1042" s="6"/>
      <c r="J1042" s="6"/>
      <c r="K1042" s="6"/>
      <c r="L1042" s="80"/>
      <c r="M1042" s="80"/>
      <c r="N1042" s="80"/>
      <c r="O1042" s="80"/>
      <c r="P1042" s="6"/>
      <c r="Q1042" s="6"/>
      <c r="R1042" s="6"/>
      <c r="S1042" s="6"/>
      <c r="T1042" s="6"/>
      <c r="U1042" s="6"/>
      <c r="V1042" s="6"/>
      <c r="W1042" s="7"/>
      <c r="X1042" s="7"/>
      <c r="Y1042" s="7"/>
      <c r="Z1042" s="7"/>
    </row>
    <row r="1043">
      <c r="A1043" s="6"/>
      <c r="B1043" s="6"/>
      <c r="C1043" s="6"/>
      <c r="D1043" s="6"/>
      <c r="E1043" s="6"/>
      <c r="F1043" s="6"/>
      <c r="G1043" s="6"/>
      <c r="H1043" s="6"/>
      <c r="I1043" s="6"/>
      <c r="J1043" s="6"/>
      <c r="K1043" s="6"/>
      <c r="L1043" s="80"/>
      <c r="M1043" s="80"/>
      <c r="N1043" s="80"/>
      <c r="O1043" s="80"/>
      <c r="P1043" s="6"/>
      <c r="Q1043" s="6"/>
      <c r="R1043" s="6"/>
      <c r="S1043" s="6"/>
      <c r="T1043" s="6"/>
      <c r="U1043" s="6"/>
      <c r="V1043" s="6"/>
      <c r="W1043" s="7"/>
      <c r="X1043" s="7"/>
      <c r="Y1043" s="7"/>
      <c r="Z1043" s="7"/>
    </row>
    <row r="1044">
      <c r="A1044" s="6"/>
      <c r="B1044" s="6"/>
      <c r="C1044" s="6"/>
      <c r="D1044" s="6"/>
      <c r="E1044" s="6"/>
      <c r="F1044" s="6"/>
      <c r="G1044" s="6"/>
      <c r="H1044" s="6"/>
      <c r="I1044" s="6"/>
      <c r="J1044" s="6"/>
      <c r="K1044" s="6"/>
      <c r="L1044" s="80"/>
      <c r="M1044" s="80"/>
      <c r="N1044" s="80"/>
      <c r="O1044" s="80"/>
      <c r="P1044" s="6"/>
      <c r="Q1044" s="6"/>
      <c r="R1044" s="6"/>
      <c r="S1044" s="6"/>
      <c r="T1044" s="6"/>
      <c r="U1044" s="6"/>
      <c r="V1044" s="6"/>
      <c r="W1044" s="7"/>
      <c r="X1044" s="7"/>
      <c r="Y1044" s="7"/>
      <c r="Z1044" s="7"/>
    </row>
    <row r="1045">
      <c r="A1045" s="6"/>
      <c r="B1045" s="6"/>
      <c r="C1045" s="6"/>
      <c r="D1045" s="6"/>
      <c r="E1045" s="6"/>
      <c r="F1045" s="6"/>
      <c r="G1045" s="6"/>
      <c r="H1045" s="6"/>
      <c r="I1045" s="6"/>
      <c r="J1045" s="6"/>
      <c r="K1045" s="6"/>
      <c r="L1045" s="80"/>
      <c r="M1045" s="80"/>
      <c r="N1045" s="80"/>
      <c r="O1045" s="80"/>
      <c r="P1045" s="6"/>
      <c r="Q1045" s="6"/>
      <c r="R1045" s="6"/>
      <c r="S1045" s="6"/>
      <c r="T1045" s="6"/>
      <c r="U1045" s="6"/>
      <c r="V1045" s="6"/>
      <c r="W1045" s="7"/>
      <c r="X1045" s="7"/>
      <c r="Y1045" s="7"/>
      <c r="Z1045" s="7"/>
    </row>
    <row r="1046">
      <c r="A1046" s="6"/>
      <c r="B1046" s="6"/>
      <c r="C1046" s="6"/>
      <c r="D1046" s="6"/>
      <c r="E1046" s="6"/>
      <c r="F1046" s="6"/>
      <c r="G1046" s="6"/>
      <c r="H1046" s="6"/>
      <c r="I1046" s="6"/>
      <c r="J1046" s="6"/>
      <c r="K1046" s="6"/>
      <c r="L1046" s="80"/>
      <c r="M1046" s="80"/>
      <c r="N1046" s="80"/>
      <c r="O1046" s="80"/>
      <c r="P1046" s="6"/>
      <c r="Q1046" s="6"/>
      <c r="R1046" s="6"/>
      <c r="S1046" s="6"/>
      <c r="T1046" s="6"/>
      <c r="U1046" s="6"/>
      <c r="V1046" s="6"/>
      <c r="W1046" s="7"/>
      <c r="X1046" s="7"/>
      <c r="Y1046" s="7"/>
      <c r="Z1046" s="7"/>
    </row>
    <row r="1047">
      <c r="A1047" s="6"/>
      <c r="B1047" s="6"/>
      <c r="C1047" s="6"/>
      <c r="D1047" s="6"/>
      <c r="E1047" s="6"/>
      <c r="F1047" s="6"/>
      <c r="G1047" s="6"/>
      <c r="H1047" s="6"/>
      <c r="I1047" s="6"/>
      <c r="J1047" s="6"/>
      <c r="K1047" s="6"/>
      <c r="L1047" s="80"/>
      <c r="M1047" s="80"/>
      <c r="N1047" s="80"/>
      <c r="O1047" s="80"/>
      <c r="P1047" s="6"/>
      <c r="Q1047" s="6"/>
      <c r="R1047" s="6"/>
      <c r="S1047" s="6"/>
      <c r="T1047" s="6"/>
      <c r="U1047" s="6"/>
      <c r="V1047" s="6"/>
      <c r="W1047" s="7"/>
      <c r="X1047" s="7"/>
      <c r="Y1047" s="7"/>
      <c r="Z1047" s="7"/>
    </row>
    <row r="1048">
      <c r="A1048" s="6"/>
      <c r="B1048" s="6"/>
      <c r="C1048" s="6"/>
      <c r="D1048" s="6"/>
      <c r="E1048" s="6"/>
      <c r="F1048" s="6"/>
      <c r="G1048" s="6"/>
      <c r="H1048" s="6"/>
      <c r="I1048" s="6"/>
      <c r="J1048" s="6"/>
      <c r="K1048" s="6"/>
      <c r="L1048" s="80"/>
      <c r="M1048" s="80"/>
      <c r="N1048" s="80"/>
      <c r="O1048" s="80"/>
      <c r="P1048" s="6"/>
      <c r="Q1048" s="6"/>
      <c r="R1048" s="6"/>
      <c r="S1048" s="6"/>
      <c r="T1048" s="6"/>
      <c r="U1048" s="6"/>
      <c r="V1048" s="6"/>
      <c r="W1048" s="7"/>
      <c r="X1048" s="7"/>
      <c r="Y1048" s="7"/>
      <c r="Z1048" s="7"/>
    </row>
    <row r="1049">
      <c r="A1049" s="6"/>
      <c r="B1049" s="6"/>
      <c r="C1049" s="6"/>
      <c r="D1049" s="6"/>
      <c r="E1049" s="6"/>
      <c r="F1049" s="6"/>
      <c r="G1049" s="6"/>
      <c r="H1049" s="6"/>
      <c r="I1049" s="6"/>
      <c r="J1049" s="6"/>
      <c r="K1049" s="6"/>
      <c r="L1049" s="80"/>
      <c r="M1049" s="80"/>
      <c r="N1049" s="80"/>
      <c r="O1049" s="80"/>
      <c r="P1049" s="6"/>
      <c r="Q1049" s="6"/>
      <c r="R1049" s="6"/>
      <c r="S1049" s="6"/>
      <c r="T1049" s="6"/>
      <c r="U1049" s="6"/>
      <c r="V1049" s="6"/>
      <c r="W1049" s="7"/>
      <c r="X1049" s="7"/>
      <c r="Y1049" s="7"/>
      <c r="Z1049" s="7"/>
    </row>
    <row r="1050">
      <c r="A1050" s="6"/>
      <c r="B1050" s="6"/>
      <c r="C1050" s="6"/>
      <c r="D1050" s="6"/>
      <c r="E1050" s="6"/>
      <c r="F1050" s="6"/>
      <c r="G1050" s="6"/>
      <c r="H1050" s="6"/>
      <c r="I1050" s="6"/>
      <c r="J1050" s="6"/>
      <c r="K1050" s="6"/>
      <c r="L1050" s="80"/>
      <c r="M1050" s="80"/>
      <c r="N1050" s="80"/>
      <c r="O1050" s="80"/>
      <c r="P1050" s="6"/>
      <c r="Q1050" s="6"/>
      <c r="R1050" s="6"/>
      <c r="S1050" s="6"/>
      <c r="T1050" s="6"/>
      <c r="U1050" s="6"/>
      <c r="V1050" s="6"/>
      <c r="W1050" s="7"/>
      <c r="X1050" s="7"/>
      <c r="Y1050" s="7"/>
      <c r="Z1050" s="7"/>
    </row>
    <row r="1051">
      <c r="A1051" s="6"/>
      <c r="B1051" s="6"/>
      <c r="C1051" s="6"/>
      <c r="D1051" s="6"/>
      <c r="E1051" s="6"/>
      <c r="F1051" s="6"/>
      <c r="G1051" s="6"/>
      <c r="H1051" s="6"/>
      <c r="I1051" s="6"/>
      <c r="J1051" s="6"/>
      <c r="K1051" s="6"/>
      <c r="L1051" s="80"/>
      <c r="M1051" s="80"/>
      <c r="N1051" s="80"/>
      <c r="O1051" s="80"/>
      <c r="P1051" s="6"/>
      <c r="Q1051" s="6"/>
      <c r="R1051" s="6"/>
      <c r="S1051" s="6"/>
      <c r="T1051" s="6"/>
      <c r="U1051" s="6"/>
      <c r="V1051" s="6"/>
      <c r="W1051" s="7"/>
      <c r="X1051" s="7"/>
      <c r="Y1051" s="7"/>
      <c r="Z1051" s="7"/>
    </row>
    <row r="1052">
      <c r="A1052" s="6"/>
      <c r="B1052" s="6"/>
      <c r="C1052" s="6"/>
      <c r="D1052" s="6"/>
      <c r="E1052" s="6"/>
      <c r="F1052" s="6"/>
      <c r="G1052" s="6"/>
      <c r="H1052" s="6"/>
      <c r="I1052" s="6"/>
      <c r="J1052" s="6"/>
      <c r="K1052" s="6"/>
      <c r="L1052" s="80"/>
      <c r="M1052" s="80"/>
      <c r="N1052" s="80"/>
      <c r="O1052" s="80"/>
      <c r="P1052" s="6"/>
      <c r="Q1052" s="6"/>
      <c r="R1052" s="6"/>
      <c r="S1052" s="6"/>
      <c r="T1052" s="6"/>
      <c r="U1052" s="6"/>
      <c r="V1052" s="6"/>
      <c r="W1052" s="7"/>
      <c r="X1052" s="7"/>
      <c r="Y1052" s="7"/>
      <c r="Z1052" s="7"/>
    </row>
    <row r="1053">
      <c r="A1053" s="6"/>
      <c r="B1053" s="6"/>
      <c r="C1053" s="6"/>
      <c r="D1053" s="6"/>
      <c r="E1053" s="6"/>
      <c r="F1053" s="6"/>
      <c r="G1053" s="6"/>
      <c r="H1053" s="6"/>
      <c r="I1053" s="6"/>
      <c r="J1053" s="6"/>
      <c r="K1053" s="6"/>
      <c r="L1053" s="80"/>
      <c r="M1053" s="80"/>
      <c r="N1053" s="80"/>
      <c r="O1053" s="80"/>
      <c r="P1053" s="6"/>
      <c r="Q1053" s="6"/>
      <c r="R1053" s="6"/>
      <c r="S1053" s="6"/>
      <c r="T1053" s="6"/>
      <c r="U1053" s="6"/>
      <c r="V1053" s="6"/>
      <c r="W1053" s="7"/>
      <c r="X1053" s="7"/>
      <c r="Y1053" s="7"/>
      <c r="Z1053" s="7"/>
    </row>
    <row r="1054">
      <c r="A1054" s="6"/>
      <c r="B1054" s="6"/>
      <c r="C1054" s="6"/>
      <c r="D1054" s="6"/>
      <c r="E1054" s="6"/>
      <c r="F1054" s="6"/>
      <c r="G1054" s="6"/>
      <c r="H1054" s="6"/>
      <c r="I1054" s="6"/>
      <c r="J1054" s="6"/>
      <c r="K1054" s="6"/>
      <c r="L1054" s="80"/>
      <c r="M1054" s="80"/>
      <c r="N1054" s="80"/>
      <c r="O1054" s="80"/>
      <c r="P1054" s="6"/>
      <c r="Q1054" s="6"/>
      <c r="R1054" s="6"/>
      <c r="S1054" s="6"/>
      <c r="T1054" s="6"/>
      <c r="U1054" s="6"/>
      <c r="V1054" s="6"/>
      <c r="W1054" s="7"/>
      <c r="X1054" s="7"/>
      <c r="Y1054" s="7"/>
      <c r="Z1054" s="7"/>
    </row>
    <row r="1055">
      <c r="A1055" s="6"/>
      <c r="B1055" s="6"/>
      <c r="C1055" s="6"/>
      <c r="D1055" s="6"/>
      <c r="E1055" s="6"/>
      <c r="F1055" s="6"/>
      <c r="G1055" s="6"/>
      <c r="H1055" s="6"/>
      <c r="I1055" s="6"/>
      <c r="J1055" s="6"/>
      <c r="K1055" s="6"/>
      <c r="L1055" s="80"/>
      <c r="M1055" s="80"/>
      <c r="N1055" s="80"/>
      <c r="O1055" s="80"/>
      <c r="P1055" s="6"/>
      <c r="Q1055" s="6"/>
      <c r="R1055" s="6"/>
      <c r="S1055" s="6"/>
      <c r="T1055" s="6"/>
      <c r="U1055" s="6"/>
      <c r="V1055" s="6"/>
      <c r="W1055" s="7"/>
      <c r="X1055" s="7"/>
      <c r="Y1055" s="7"/>
      <c r="Z1055" s="7"/>
    </row>
    <row r="1056">
      <c r="A1056" s="6"/>
      <c r="B1056" s="6"/>
      <c r="C1056" s="6"/>
      <c r="D1056" s="6"/>
      <c r="E1056" s="6"/>
      <c r="F1056" s="6"/>
      <c r="G1056" s="6"/>
      <c r="H1056" s="6"/>
      <c r="I1056" s="6"/>
      <c r="J1056" s="6"/>
      <c r="K1056" s="6"/>
      <c r="L1056" s="80"/>
      <c r="M1056" s="80"/>
      <c r="N1056" s="80"/>
      <c r="O1056" s="80"/>
      <c r="P1056" s="6"/>
      <c r="Q1056" s="6"/>
      <c r="R1056" s="6"/>
      <c r="S1056" s="6"/>
      <c r="T1056" s="6"/>
      <c r="U1056" s="6"/>
      <c r="V1056" s="6"/>
      <c r="W1056" s="7"/>
      <c r="X1056" s="7"/>
      <c r="Y1056" s="7"/>
      <c r="Z1056" s="7"/>
    </row>
    <row r="1057">
      <c r="A1057" s="6"/>
      <c r="B1057" s="6"/>
      <c r="C1057" s="6"/>
      <c r="D1057" s="6"/>
      <c r="E1057" s="6"/>
      <c r="F1057" s="6"/>
      <c r="G1057" s="6"/>
      <c r="H1057" s="6"/>
      <c r="I1057" s="6"/>
      <c r="J1057" s="6"/>
      <c r="K1057" s="6"/>
      <c r="L1057" s="80"/>
      <c r="M1057" s="80"/>
      <c r="N1057" s="80"/>
      <c r="O1057" s="80"/>
      <c r="P1057" s="6"/>
      <c r="Q1057" s="6"/>
      <c r="R1057" s="6"/>
      <c r="S1057" s="6"/>
      <c r="T1057" s="6"/>
      <c r="U1057" s="6"/>
      <c r="V1057" s="6"/>
      <c r="W1057" s="7"/>
      <c r="X1057" s="7"/>
      <c r="Y1057" s="7"/>
      <c r="Z1057" s="7"/>
    </row>
    <row r="1058">
      <c r="A1058" s="6"/>
      <c r="B1058" s="6"/>
      <c r="C1058" s="6"/>
      <c r="D1058" s="6"/>
      <c r="E1058" s="6"/>
      <c r="F1058" s="6"/>
      <c r="G1058" s="6"/>
      <c r="H1058" s="6"/>
      <c r="I1058" s="6"/>
      <c r="J1058" s="6"/>
      <c r="K1058" s="6"/>
      <c r="L1058" s="80"/>
      <c r="M1058" s="80"/>
      <c r="N1058" s="80"/>
      <c r="O1058" s="80"/>
      <c r="P1058" s="6"/>
      <c r="Q1058" s="6"/>
      <c r="R1058" s="6"/>
      <c r="S1058" s="6"/>
      <c r="T1058" s="6"/>
      <c r="U1058" s="6"/>
      <c r="V1058" s="6"/>
      <c r="W1058" s="7"/>
      <c r="X1058" s="7"/>
      <c r="Y1058" s="7"/>
      <c r="Z1058" s="7"/>
    </row>
    <row r="1059">
      <c r="A1059" s="6"/>
      <c r="B1059" s="6"/>
      <c r="C1059" s="6"/>
      <c r="D1059" s="6"/>
      <c r="E1059" s="6"/>
      <c r="F1059" s="6"/>
      <c r="G1059" s="6"/>
      <c r="H1059" s="6"/>
      <c r="I1059" s="6"/>
      <c r="J1059" s="6"/>
      <c r="K1059" s="6"/>
      <c r="L1059" s="80"/>
      <c r="M1059" s="80"/>
      <c r="N1059" s="80"/>
      <c r="O1059" s="80"/>
      <c r="P1059" s="6"/>
      <c r="Q1059" s="6"/>
      <c r="R1059" s="6"/>
      <c r="S1059" s="6"/>
      <c r="T1059" s="6"/>
      <c r="U1059" s="6"/>
      <c r="V1059" s="6"/>
      <c r="W1059" s="7"/>
      <c r="X1059" s="7"/>
      <c r="Y1059" s="7"/>
      <c r="Z1059" s="7"/>
    </row>
    <row r="1060">
      <c r="A1060" s="6"/>
      <c r="B1060" s="6"/>
      <c r="C1060" s="6"/>
      <c r="D1060" s="6"/>
      <c r="E1060" s="6"/>
      <c r="F1060" s="6"/>
      <c r="G1060" s="6"/>
      <c r="H1060" s="6"/>
      <c r="I1060" s="6"/>
      <c r="J1060" s="6"/>
      <c r="K1060" s="6"/>
      <c r="L1060" s="80"/>
      <c r="M1060" s="80"/>
      <c r="N1060" s="80"/>
      <c r="O1060" s="80"/>
      <c r="P1060" s="6"/>
      <c r="Q1060" s="6"/>
      <c r="R1060" s="6"/>
      <c r="S1060" s="6"/>
      <c r="T1060" s="6"/>
      <c r="U1060" s="6"/>
      <c r="V1060" s="6"/>
      <c r="W1060" s="7"/>
      <c r="X1060" s="7"/>
      <c r="Y1060" s="7"/>
      <c r="Z1060" s="7"/>
    </row>
    <row r="1061">
      <c r="A1061" s="6"/>
      <c r="B1061" s="6"/>
      <c r="C1061" s="6"/>
      <c r="D1061" s="6"/>
      <c r="E1061" s="6"/>
      <c r="F1061" s="6"/>
      <c r="G1061" s="6"/>
      <c r="H1061" s="6"/>
      <c r="I1061" s="6"/>
      <c r="J1061" s="6"/>
      <c r="K1061" s="6"/>
      <c r="L1061" s="80"/>
      <c r="M1061" s="80"/>
      <c r="N1061" s="80"/>
      <c r="O1061" s="80"/>
      <c r="P1061" s="6"/>
      <c r="Q1061" s="6"/>
      <c r="R1061" s="6"/>
      <c r="S1061" s="6"/>
      <c r="T1061" s="6"/>
      <c r="U1061" s="6"/>
      <c r="V1061" s="6"/>
      <c r="W1061" s="7"/>
      <c r="X1061" s="7"/>
      <c r="Y1061" s="7"/>
      <c r="Z1061" s="7"/>
    </row>
    <row r="1062">
      <c r="A1062" s="6"/>
      <c r="B1062" s="6"/>
      <c r="C1062" s="6"/>
      <c r="D1062" s="6"/>
      <c r="E1062" s="6"/>
      <c r="F1062" s="6"/>
      <c r="G1062" s="6"/>
      <c r="H1062" s="6"/>
      <c r="I1062" s="6"/>
      <c r="J1062" s="6"/>
      <c r="K1062" s="6"/>
      <c r="L1062" s="80"/>
      <c r="M1062" s="80"/>
      <c r="N1062" s="80"/>
      <c r="O1062" s="80"/>
      <c r="P1062" s="6"/>
      <c r="Q1062" s="6"/>
      <c r="R1062" s="6"/>
      <c r="S1062" s="6"/>
      <c r="T1062" s="6"/>
      <c r="U1062" s="6"/>
      <c r="V1062" s="6"/>
      <c r="W1062" s="7"/>
      <c r="X1062" s="7"/>
      <c r="Y1062" s="7"/>
      <c r="Z1062" s="7"/>
    </row>
    <row r="1063">
      <c r="A1063" s="6"/>
      <c r="B1063" s="6"/>
      <c r="C1063" s="6"/>
      <c r="D1063" s="6"/>
      <c r="E1063" s="6"/>
      <c r="F1063" s="6"/>
      <c r="G1063" s="6"/>
      <c r="H1063" s="6"/>
      <c r="I1063" s="6"/>
      <c r="J1063" s="6"/>
      <c r="K1063" s="6"/>
      <c r="L1063" s="80"/>
      <c r="M1063" s="80"/>
      <c r="N1063" s="80"/>
      <c r="O1063" s="80"/>
      <c r="P1063" s="6"/>
      <c r="Q1063" s="6"/>
      <c r="R1063" s="6"/>
      <c r="S1063" s="6"/>
      <c r="T1063" s="6"/>
      <c r="U1063" s="6"/>
      <c r="V1063" s="6"/>
      <c r="W1063" s="7"/>
      <c r="X1063" s="7"/>
      <c r="Y1063" s="7"/>
      <c r="Z1063" s="7"/>
    </row>
    <row r="1064">
      <c r="A1064" s="6"/>
      <c r="B1064" s="6"/>
      <c r="C1064" s="6"/>
      <c r="D1064" s="6"/>
      <c r="E1064" s="6"/>
      <c r="F1064" s="6"/>
      <c r="G1064" s="6"/>
      <c r="H1064" s="6"/>
      <c r="I1064" s="6"/>
      <c r="J1064" s="6"/>
      <c r="K1064" s="6"/>
      <c r="L1064" s="80"/>
      <c r="M1064" s="80"/>
      <c r="N1064" s="80"/>
      <c r="O1064" s="80"/>
      <c r="P1064" s="6"/>
      <c r="Q1064" s="6"/>
      <c r="R1064" s="6"/>
      <c r="S1064" s="6"/>
      <c r="T1064" s="6"/>
      <c r="U1064" s="6"/>
      <c r="V1064" s="6"/>
      <c r="W1064" s="7"/>
      <c r="X1064" s="7"/>
      <c r="Y1064" s="7"/>
      <c r="Z1064" s="7"/>
    </row>
    <row r="1065">
      <c r="A1065" s="6"/>
      <c r="B1065" s="6"/>
      <c r="C1065" s="6"/>
      <c r="D1065" s="6"/>
      <c r="E1065" s="6"/>
      <c r="F1065" s="6"/>
      <c r="G1065" s="6"/>
      <c r="H1065" s="6"/>
      <c r="I1065" s="6"/>
      <c r="J1065" s="6"/>
      <c r="K1065" s="6"/>
      <c r="L1065" s="80"/>
      <c r="M1065" s="80"/>
      <c r="N1065" s="80"/>
      <c r="O1065" s="80"/>
      <c r="P1065" s="6"/>
      <c r="Q1065" s="6"/>
      <c r="R1065" s="6"/>
      <c r="S1065" s="6"/>
      <c r="T1065" s="6"/>
      <c r="U1065" s="6"/>
      <c r="V1065" s="6"/>
      <c r="W1065" s="7"/>
      <c r="X1065" s="7"/>
      <c r="Y1065" s="7"/>
      <c r="Z1065" s="7"/>
    </row>
    <row r="1066">
      <c r="A1066" s="6"/>
      <c r="B1066" s="6"/>
      <c r="C1066" s="6"/>
      <c r="D1066" s="6"/>
      <c r="E1066" s="6"/>
      <c r="F1066" s="6"/>
      <c r="G1066" s="6"/>
      <c r="H1066" s="6"/>
      <c r="I1066" s="6"/>
      <c r="J1066" s="6"/>
      <c r="K1066" s="6"/>
      <c r="L1066" s="80"/>
      <c r="M1066" s="80"/>
      <c r="N1066" s="80"/>
      <c r="O1066" s="80"/>
      <c r="P1066" s="6"/>
      <c r="Q1066" s="6"/>
      <c r="R1066" s="6"/>
      <c r="S1066" s="6"/>
      <c r="T1066" s="6"/>
      <c r="U1066" s="6"/>
      <c r="V1066" s="6"/>
      <c r="W1066" s="7"/>
      <c r="X1066" s="7"/>
      <c r="Y1066" s="7"/>
      <c r="Z1066" s="7"/>
    </row>
    <row r="1067">
      <c r="A1067" s="6"/>
      <c r="B1067" s="6"/>
      <c r="C1067" s="6"/>
      <c r="D1067" s="6"/>
      <c r="E1067" s="6"/>
      <c r="F1067" s="6"/>
      <c r="G1067" s="6"/>
      <c r="H1067" s="6"/>
      <c r="I1067" s="6"/>
      <c r="J1067" s="6"/>
      <c r="K1067" s="6"/>
      <c r="L1067" s="80"/>
      <c r="M1067" s="80"/>
      <c r="N1067" s="80"/>
      <c r="O1067" s="80"/>
      <c r="P1067" s="6"/>
      <c r="Q1067" s="6"/>
      <c r="R1067" s="6"/>
      <c r="S1067" s="6"/>
      <c r="T1067" s="6"/>
      <c r="U1067" s="6"/>
      <c r="V1067" s="6"/>
      <c r="W1067" s="7"/>
      <c r="X1067" s="7"/>
      <c r="Y1067" s="7"/>
      <c r="Z1067" s="7"/>
    </row>
    <row r="1068">
      <c r="A1068" s="6"/>
      <c r="B1068" s="6"/>
      <c r="C1068" s="6"/>
      <c r="D1068" s="6"/>
      <c r="E1068" s="6"/>
      <c r="F1068" s="6"/>
      <c r="G1068" s="6"/>
      <c r="H1068" s="6"/>
      <c r="I1068" s="6"/>
      <c r="J1068" s="6"/>
      <c r="K1068" s="6"/>
      <c r="L1068" s="80"/>
      <c r="M1068" s="80"/>
      <c r="N1068" s="80"/>
      <c r="O1068" s="80"/>
      <c r="P1068" s="6"/>
      <c r="Q1068" s="6"/>
      <c r="R1068" s="6"/>
      <c r="S1068" s="6"/>
      <c r="T1068" s="6"/>
      <c r="U1068" s="6"/>
      <c r="V1068" s="6"/>
      <c r="W1068" s="7"/>
      <c r="X1068" s="7"/>
      <c r="Y1068" s="7"/>
      <c r="Z1068" s="7"/>
    </row>
    <row r="1069">
      <c r="A1069" s="6"/>
      <c r="B1069" s="6"/>
      <c r="C1069" s="6"/>
      <c r="D1069" s="6"/>
      <c r="E1069" s="6"/>
      <c r="F1069" s="6"/>
      <c r="G1069" s="6"/>
      <c r="H1069" s="6"/>
      <c r="I1069" s="6"/>
      <c r="J1069" s="6"/>
      <c r="K1069" s="6"/>
      <c r="L1069" s="80"/>
      <c r="M1069" s="80"/>
      <c r="N1069" s="80"/>
      <c r="O1069" s="80"/>
      <c r="P1069" s="6"/>
      <c r="Q1069" s="6"/>
      <c r="R1069" s="6"/>
      <c r="S1069" s="6"/>
      <c r="T1069" s="6"/>
      <c r="U1069" s="6"/>
      <c r="V1069" s="6"/>
      <c r="W1069" s="7"/>
      <c r="X1069" s="7"/>
      <c r="Y1069" s="7"/>
      <c r="Z1069" s="7"/>
    </row>
    <row r="1070">
      <c r="A1070" s="6"/>
      <c r="B1070" s="6"/>
      <c r="C1070" s="6"/>
      <c r="D1070" s="6"/>
      <c r="E1070" s="6"/>
      <c r="F1070" s="6"/>
      <c r="G1070" s="6"/>
      <c r="H1070" s="6"/>
      <c r="I1070" s="6"/>
      <c r="J1070" s="6"/>
      <c r="K1070" s="6"/>
      <c r="L1070" s="80"/>
      <c r="M1070" s="80"/>
      <c r="N1070" s="80"/>
      <c r="O1070" s="80"/>
      <c r="P1070" s="6"/>
      <c r="Q1070" s="6"/>
      <c r="R1070" s="6"/>
      <c r="S1070" s="6"/>
      <c r="T1070" s="6"/>
      <c r="U1070" s="6"/>
      <c r="V1070" s="6"/>
      <c r="W1070" s="7"/>
      <c r="X1070" s="7"/>
      <c r="Y1070" s="7"/>
      <c r="Z1070" s="7"/>
    </row>
    <row r="1071">
      <c r="A1071" s="6"/>
      <c r="B1071" s="6"/>
      <c r="C1071" s="6"/>
      <c r="D1071" s="6"/>
      <c r="E1071" s="6"/>
      <c r="F1071" s="6"/>
      <c r="G1071" s="6"/>
      <c r="H1071" s="6"/>
      <c r="I1071" s="6"/>
      <c r="J1071" s="6"/>
      <c r="K1071" s="6"/>
      <c r="L1071" s="80"/>
      <c r="M1071" s="80"/>
      <c r="N1071" s="80"/>
      <c r="O1071" s="80"/>
      <c r="P1071" s="6"/>
      <c r="Q1071" s="6"/>
      <c r="R1071" s="6"/>
      <c r="S1071" s="6"/>
      <c r="T1071" s="6"/>
      <c r="U1071" s="6"/>
      <c r="V1071" s="6"/>
      <c r="W1071" s="7"/>
      <c r="X1071" s="7"/>
      <c r="Y1071" s="7"/>
      <c r="Z1071" s="7"/>
    </row>
    <row r="1072">
      <c r="A1072" s="6"/>
      <c r="B1072" s="6"/>
      <c r="C1072" s="6"/>
      <c r="D1072" s="6"/>
      <c r="E1072" s="6"/>
      <c r="F1072" s="6"/>
      <c r="G1072" s="6"/>
      <c r="H1072" s="6"/>
      <c r="I1072" s="6"/>
      <c r="J1072" s="6"/>
      <c r="K1072" s="6"/>
      <c r="L1072" s="80"/>
      <c r="M1072" s="80"/>
      <c r="N1072" s="80"/>
      <c r="O1072" s="80"/>
      <c r="P1072" s="6"/>
      <c r="Q1072" s="6"/>
      <c r="R1072" s="6"/>
      <c r="S1072" s="6"/>
      <c r="T1072" s="6"/>
      <c r="U1072" s="6"/>
      <c r="V1072" s="6"/>
      <c r="W1072" s="7"/>
      <c r="X1072" s="7"/>
      <c r="Y1072" s="7"/>
      <c r="Z1072" s="7"/>
    </row>
    <row r="1073">
      <c r="A1073" s="6"/>
      <c r="B1073" s="6"/>
      <c r="C1073" s="6"/>
      <c r="D1073" s="6"/>
      <c r="E1073" s="6"/>
      <c r="F1073" s="6"/>
      <c r="G1073" s="6"/>
      <c r="H1073" s="6"/>
      <c r="I1073" s="6"/>
      <c r="J1073" s="6"/>
      <c r="K1073" s="6"/>
      <c r="L1073" s="80"/>
      <c r="M1073" s="80"/>
      <c r="N1073" s="80"/>
      <c r="O1073" s="80"/>
      <c r="P1073" s="6"/>
      <c r="Q1073" s="6"/>
      <c r="R1073" s="6"/>
      <c r="S1073" s="6"/>
      <c r="T1073" s="6"/>
      <c r="U1073" s="6"/>
      <c r="V1073" s="6"/>
      <c r="W1073" s="7"/>
      <c r="X1073" s="7"/>
      <c r="Y1073" s="7"/>
      <c r="Z1073" s="7"/>
    </row>
    <row r="1074">
      <c r="A1074" s="6"/>
      <c r="B1074" s="6"/>
      <c r="C1074" s="6"/>
      <c r="D1074" s="6"/>
      <c r="E1074" s="6"/>
      <c r="F1074" s="6"/>
      <c r="G1074" s="6"/>
      <c r="H1074" s="6"/>
      <c r="I1074" s="6"/>
      <c r="J1074" s="6"/>
      <c r="K1074" s="6"/>
      <c r="L1074" s="80"/>
      <c r="M1074" s="80"/>
      <c r="N1074" s="80"/>
      <c r="O1074" s="80"/>
      <c r="P1074" s="6"/>
      <c r="Q1074" s="6"/>
      <c r="R1074" s="6"/>
      <c r="S1074" s="6"/>
      <c r="T1074" s="6"/>
      <c r="U1074" s="6"/>
      <c r="V1074" s="6"/>
      <c r="W1074" s="7"/>
      <c r="X1074" s="7"/>
      <c r="Y1074" s="7"/>
      <c r="Z1074" s="7"/>
    </row>
    <row r="1075">
      <c r="A1075" s="6"/>
      <c r="B1075" s="6"/>
      <c r="C1075" s="6"/>
      <c r="D1075" s="6"/>
      <c r="E1075" s="6"/>
      <c r="F1075" s="6"/>
      <c r="G1075" s="6"/>
      <c r="H1075" s="6"/>
      <c r="I1075" s="6"/>
      <c r="J1075" s="6"/>
      <c r="K1075" s="6"/>
      <c r="L1075" s="80"/>
      <c r="M1075" s="80"/>
      <c r="N1075" s="80"/>
      <c r="O1075" s="80"/>
      <c r="P1075" s="6"/>
      <c r="Q1075" s="6"/>
      <c r="R1075" s="6"/>
      <c r="S1075" s="6"/>
      <c r="T1075" s="6"/>
      <c r="U1075" s="6"/>
      <c r="V1075" s="6"/>
      <c r="W1075" s="7"/>
      <c r="X1075" s="7"/>
      <c r="Y1075" s="7"/>
      <c r="Z1075" s="7"/>
    </row>
    <row r="1076">
      <c r="A1076" s="6"/>
      <c r="B1076" s="6"/>
      <c r="C1076" s="6"/>
      <c r="D1076" s="6"/>
      <c r="E1076" s="6"/>
      <c r="F1076" s="6"/>
      <c r="G1076" s="6"/>
      <c r="H1076" s="6"/>
      <c r="I1076" s="6"/>
      <c r="J1076" s="6"/>
      <c r="K1076" s="6"/>
      <c r="L1076" s="80"/>
      <c r="M1076" s="80"/>
      <c r="N1076" s="80"/>
      <c r="O1076" s="80"/>
      <c r="P1076" s="6"/>
      <c r="Q1076" s="6"/>
      <c r="R1076" s="6"/>
      <c r="S1076" s="6"/>
      <c r="T1076" s="6"/>
      <c r="U1076" s="6"/>
      <c r="V1076" s="6"/>
      <c r="W1076" s="7"/>
      <c r="X1076" s="7"/>
      <c r="Y1076" s="7"/>
      <c r="Z1076" s="7"/>
    </row>
    <row r="1077">
      <c r="A1077" s="6"/>
      <c r="B1077" s="6"/>
      <c r="C1077" s="6"/>
      <c r="D1077" s="6"/>
      <c r="E1077" s="6"/>
      <c r="F1077" s="6"/>
      <c r="G1077" s="6"/>
      <c r="H1077" s="6"/>
      <c r="I1077" s="6"/>
      <c r="J1077" s="6"/>
      <c r="K1077" s="6"/>
      <c r="L1077" s="80"/>
      <c r="M1077" s="80"/>
      <c r="N1077" s="80"/>
      <c r="O1077" s="80"/>
      <c r="P1077" s="6"/>
      <c r="Q1077" s="6"/>
      <c r="R1077" s="6"/>
      <c r="S1077" s="6"/>
      <c r="T1077" s="6"/>
      <c r="U1077" s="6"/>
      <c r="V1077" s="6"/>
      <c r="W1077" s="7"/>
      <c r="X1077" s="7"/>
      <c r="Y1077" s="7"/>
      <c r="Z1077" s="7"/>
    </row>
    <row r="1078">
      <c r="A1078" s="6"/>
      <c r="B1078" s="6"/>
      <c r="C1078" s="6"/>
      <c r="D1078" s="6"/>
      <c r="E1078" s="6"/>
      <c r="F1078" s="6"/>
      <c r="G1078" s="6"/>
      <c r="H1078" s="6"/>
      <c r="I1078" s="6"/>
      <c r="J1078" s="6"/>
      <c r="K1078" s="6"/>
      <c r="L1078" s="80"/>
      <c r="M1078" s="80"/>
      <c r="N1078" s="80"/>
      <c r="O1078" s="80"/>
      <c r="P1078" s="6"/>
      <c r="Q1078" s="6"/>
      <c r="R1078" s="6"/>
      <c r="S1078" s="6"/>
      <c r="T1078" s="6"/>
      <c r="U1078" s="6"/>
      <c r="V1078" s="6"/>
      <c r="W1078" s="7"/>
      <c r="X1078" s="7"/>
      <c r="Y1078" s="7"/>
      <c r="Z1078" s="7"/>
    </row>
    <row r="1079">
      <c r="A1079" s="6"/>
      <c r="B1079" s="6"/>
      <c r="C1079" s="6"/>
      <c r="D1079" s="6"/>
      <c r="E1079" s="6"/>
      <c r="F1079" s="6"/>
      <c r="G1079" s="6"/>
      <c r="H1079" s="6"/>
      <c r="I1079" s="6"/>
      <c r="J1079" s="6"/>
      <c r="K1079" s="6"/>
      <c r="L1079" s="80"/>
      <c r="M1079" s="80"/>
      <c r="N1079" s="80"/>
      <c r="O1079" s="80"/>
      <c r="P1079" s="6"/>
      <c r="Q1079" s="6"/>
      <c r="R1079" s="6"/>
      <c r="S1079" s="6"/>
      <c r="T1079" s="6"/>
      <c r="U1079" s="6"/>
      <c r="V1079" s="6"/>
      <c r="W1079" s="7"/>
      <c r="X1079" s="7"/>
      <c r="Y1079" s="7"/>
      <c r="Z1079" s="7"/>
    </row>
    <row r="1080">
      <c r="A1080" s="6"/>
      <c r="B1080" s="6"/>
      <c r="C1080" s="6"/>
      <c r="D1080" s="6"/>
      <c r="E1080" s="6"/>
      <c r="F1080" s="6"/>
      <c r="G1080" s="6"/>
      <c r="H1080" s="6"/>
      <c r="I1080" s="6"/>
      <c r="J1080" s="6"/>
      <c r="K1080" s="6"/>
      <c r="L1080" s="80"/>
      <c r="M1080" s="80"/>
      <c r="N1080" s="80"/>
      <c r="O1080" s="80"/>
      <c r="P1080" s="6"/>
      <c r="Q1080" s="6"/>
      <c r="R1080" s="6"/>
      <c r="S1080" s="6"/>
      <c r="T1080" s="6"/>
      <c r="U1080" s="6"/>
      <c r="V1080" s="6"/>
      <c r="W1080" s="7"/>
      <c r="X1080" s="7"/>
      <c r="Y1080" s="7"/>
      <c r="Z1080" s="7"/>
    </row>
    <row r="1081">
      <c r="A1081" s="6"/>
      <c r="B1081" s="6"/>
      <c r="C1081" s="6"/>
      <c r="D1081" s="6"/>
      <c r="E1081" s="6"/>
      <c r="F1081" s="6"/>
      <c r="G1081" s="6"/>
      <c r="H1081" s="6"/>
      <c r="I1081" s="6"/>
      <c r="J1081" s="6"/>
      <c r="K1081" s="6"/>
      <c r="L1081" s="80"/>
      <c r="M1081" s="80"/>
      <c r="N1081" s="80"/>
      <c r="O1081" s="80"/>
      <c r="P1081" s="6"/>
      <c r="Q1081" s="6"/>
      <c r="R1081" s="6"/>
      <c r="S1081" s="6"/>
      <c r="T1081" s="6"/>
      <c r="U1081" s="6"/>
      <c r="V1081" s="6"/>
      <c r="W1081" s="7"/>
      <c r="X1081" s="7"/>
      <c r="Y1081" s="7"/>
      <c r="Z1081" s="7"/>
    </row>
    <row r="1082">
      <c r="A1082" s="6"/>
      <c r="B1082" s="6"/>
      <c r="C1082" s="6"/>
      <c r="D1082" s="6"/>
      <c r="E1082" s="6"/>
      <c r="F1082" s="6"/>
      <c r="G1082" s="6"/>
      <c r="H1082" s="6"/>
      <c r="I1082" s="6"/>
      <c r="J1082" s="6"/>
      <c r="K1082" s="6"/>
      <c r="L1082" s="80"/>
      <c r="M1082" s="80"/>
      <c r="N1082" s="80"/>
      <c r="O1082" s="80"/>
      <c r="P1082" s="6"/>
      <c r="Q1082" s="6"/>
      <c r="R1082" s="6"/>
      <c r="S1082" s="6"/>
      <c r="T1082" s="6"/>
      <c r="U1082" s="6"/>
      <c r="V1082" s="6"/>
      <c r="W1082" s="7"/>
      <c r="X1082" s="7"/>
      <c r="Y1082" s="7"/>
      <c r="Z1082" s="7"/>
    </row>
    <row r="1083">
      <c r="A1083" s="6"/>
      <c r="B1083" s="6"/>
      <c r="C1083" s="6"/>
      <c r="D1083" s="6"/>
      <c r="E1083" s="6"/>
      <c r="F1083" s="6"/>
      <c r="G1083" s="6"/>
      <c r="H1083" s="6"/>
      <c r="I1083" s="6"/>
      <c r="J1083" s="6"/>
      <c r="K1083" s="6"/>
      <c r="L1083" s="80"/>
      <c r="M1083" s="80"/>
      <c r="N1083" s="80"/>
      <c r="O1083" s="80"/>
      <c r="P1083" s="6"/>
      <c r="Q1083" s="6"/>
      <c r="R1083" s="6"/>
      <c r="S1083" s="6"/>
      <c r="T1083" s="6"/>
      <c r="U1083" s="6"/>
      <c r="V1083" s="6"/>
      <c r="W1083" s="7"/>
      <c r="X1083" s="7"/>
      <c r="Y1083" s="7"/>
      <c r="Z1083" s="7"/>
    </row>
    <row r="1084">
      <c r="A1084" s="6"/>
      <c r="B1084" s="6"/>
      <c r="C1084" s="6"/>
      <c r="D1084" s="6"/>
      <c r="E1084" s="6"/>
      <c r="F1084" s="6"/>
      <c r="G1084" s="6"/>
      <c r="H1084" s="6"/>
      <c r="I1084" s="6"/>
      <c r="J1084" s="6"/>
      <c r="K1084" s="6"/>
      <c r="L1084" s="80"/>
      <c r="M1084" s="80"/>
      <c r="N1084" s="80"/>
      <c r="O1084" s="80"/>
      <c r="P1084" s="6"/>
      <c r="Q1084" s="6"/>
      <c r="R1084" s="6"/>
      <c r="S1084" s="6"/>
      <c r="T1084" s="6"/>
      <c r="U1084" s="6"/>
      <c r="V1084" s="6"/>
      <c r="W1084" s="7"/>
      <c r="X1084" s="7"/>
      <c r="Y1084" s="7"/>
      <c r="Z1084" s="7"/>
    </row>
    <row r="1085">
      <c r="A1085" s="6"/>
      <c r="B1085" s="6"/>
      <c r="C1085" s="6"/>
      <c r="D1085" s="6"/>
      <c r="E1085" s="6"/>
      <c r="F1085" s="6"/>
      <c r="G1085" s="6"/>
      <c r="H1085" s="6"/>
      <c r="I1085" s="6"/>
      <c r="J1085" s="6"/>
      <c r="K1085" s="6"/>
      <c r="L1085" s="80"/>
      <c r="M1085" s="80"/>
      <c r="N1085" s="80"/>
      <c r="O1085" s="80"/>
      <c r="P1085" s="6"/>
      <c r="Q1085" s="6"/>
      <c r="R1085" s="6"/>
      <c r="S1085" s="6"/>
      <c r="T1085" s="6"/>
      <c r="U1085" s="6"/>
      <c r="V1085" s="6"/>
      <c r="W1085" s="7"/>
      <c r="X1085" s="7"/>
      <c r="Y1085" s="7"/>
      <c r="Z1085" s="7"/>
    </row>
    <row r="1086">
      <c r="A1086" s="6"/>
      <c r="B1086" s="6"/>
      <c r="C1086" s="6"/>
      <c r="D1086" s="6"/>
      <c r="E1086" s="6"/>
      <c r="F1086" s="6"/>
      <c r="G1086" s="6"/>
      <c r="H1086" s="6"/>
      <c r="I1086" s="6"/>
      <c r="J1086" s="6"/>
      <c r="K1086" s="6"/>
      <c r="L1086" s="80"/>
      <c r="M1086" s="80"/>
      <c r="N1086" s="80"/>
      <c r="O1086" s="80"/>
      <c r="P1086" s="6"/>
      <c r="Q1086" s="6"/>
      <c r="R1086" s="6"/>
      <c r="S1086" s="6"/>
      <c r="T1086" s="6"/>
      <c r="U1086" s="6"/>
      <c r="V1086" s="6"/>
      <c r="W1086" s="7"/>
      <c r="X1086" s="7"/>
      <c r="Y1086" s="7"/>
      <c r="Z1086" s="7"/>
    </row>
    <row r="1087">
      <c r="A1087" s="6"/>
      <c r="B1087" s="6"/>
      <c r="C1087" s="6"/>
      <c r="D1087" s="6"/>
      <c r="E1087" s="6"/>
      <c r="F1087" s="6"/>
      <c r="G1087" s="6"/>
      <c r="H1087" s="6"/>
      <c r="I1087" s="6"/>
      <c r="J1087" s="6"/>
      <c r="K1087" s="6"/>
      <c r="L1087" s="80"/>
      <c r="M1087" s="80"/>
      <c r="N1087" s="80"/>
      <c r="O1087" s="80"/>
      <c r="P1087" s="6"/>
      <c r="Q1087" s="6"/>
      <c r="R1087" s="6"/>
      <c r="S1087" s="6"/>
      <c r="T1087" s="6"/>
      <c r="U1087" s="6"/>
      <c r="V1087" s="6"/>
      <c r="W1087" s="7"/>
      <c r="X1087" s="7"/>
      <c r="Y1087" s="7"/>
      <c r="Z1087" s="7"/>
    </row>
    <row r="1088">
      <c r="A1088" s="6"/>
      <c r="B1088" s="6"/>
      <c r="C1088" s="6"/>
      <c r="D1088" s="6"/>
      <c r="E1088" s="6"/>
      <c r="F1088" s="6"/>
      <c r="G1088" s="6"/>
      <c r="H1088" s="6"/>
      <c r="I1088" s="6"/>
      <c r="J1088" s="6"/>
      <c r="K1088" s="6"/>
      <c r="L1088" s="80"/>
      <c r="M1088" s="80"/>
      <c r="N1088" s="80"/>
      <c r="O1088" s="80"/>
      <c r="P1088" s="6"/>
      <c r="Q1088" s="6"/>
      <c r="R1088" s="6"/>
      <c r="S1088" s="6"/>
      <c r="T1088" s="6"/>
      <c r="U1088" s="6"/>
      <c r="V1088" s="6"/>
      <c r="W1088" s="7"/>
      <c r="X1088" s="7"/>
      <c r="Y1088" s="7"/>
      <c r="Z1088" s="7"/>
    </row>
    <row r="1089">
      <c r="A1089" s="6"/>
      <c r="B1089" s="6"/>
      <c r="C1089" s="6"/>
      <c r="D1089" s="6"/>
      <c r="E1089" s="6"/>
      <c r="F1089" s="6"/>
      <c r="G1089" s="6"/>
      <c r="H1089" s="6"/>
      <c r="I1089" s="6"/>
      <c r="J1089" s="6"/>
      <c r="K1089" s="6"/>
      <c r="L1089" s="80"/>
      <c r="M1089" s="80"/>
      <c r="N1089" s="80"/>
      <c r="O1089" s="80"/>
      <c r="P1089" s="6"/>
      <c r="Q1089" s="6"/>
      <c r="R1089" s="6"/>
      <c r="S1089" s="6"/>
      <c r="T1089" s="6"/>
      <c r="U1089" s="6"/>
      <c r="V1089" s="6"/>
      <c r="W1089" s="7"/>
      <c r="X1089" s="7"/>
      <c r="Y1089" s="7"/>
      <c r="Z1089" s="7"/>
    </row>
    <row r="1090">
      <c r="A1090" s="6"/>
      <c r="B1090" s="6"/>
      <c r="C1090" s="6"/>
      <c r="D1090" s="6"/>
      <c r="E1090" s="6"/>
      <c r="F1090" s="6"/>
      <c r="G1090" s="6"/>
      <c r="H1090" s="6"/>
      <c r="I1090" s="6"/>
      <c r="J1090" s="6"/>
      <c r="K1090" s="6"/>
      <c r="L1090" s="80"/>
      <c r="M1090" s="80"/>
      <c r="N1090" s="80"/>
      <c r="O1090" s="80"/>
      <c r="P1090" s="6"/>
      <c r="Q1090" s="6"/>
      <c r="R1090" s="6"/>
      <c r="S1090" s="6"/>
      <c r="T1090" s="6"/>
      <c r="U1090" s="6"/>
      <c r="V1090" s="6"/>
      <c r="W1090" s="7"/>
      <c r="X1090" s="7"/>
      <c r="Y1090" s="7"/>
      <c r="Z1090" s="7"/>
    </row>
    <row r="1091">
      <c r="A1091" s="6"/>
      <c r="B1091" s="6"/>
      <c r="C1091" s="6"/>
      <c r="D1091" s="6"/>
      <c r="E1091" s="6"/>
      <c r="F1091" s="6"/>
      <c r="G1091" s="6"/>
      <c r="H1091" s="6"/>
      <c r="I1091" s="6"/>
      <c r="J1091" s="6"/>
      <c r="K1091" s="6"/>
      <c r="L1091" s="80"/>
      <c r="M1091" s="80"/>
      <c r="N1091" s="80"/>
      <c r="O1091" s="80"/>
      <c r="P1091" s="6"/>
      <c r="Q1091" s="6"/>
      <c r="R1091" s="6"/>
      <c r="S1091" s="6"/>
      <c r="T1091" s="6"/>
      <c r="U1091" s="6"/>
      <c r="V1091" s="6"/>
      <c r="W1091" s="7"/>
      <c r="X1091" s="7"/>
      <c r="Y1091" s="7"/>
      <c r="Z1091" s="7"/>
    </row>
    <row r="1092">
      <c r="A1092" s="6"/>
      <c r="B1092" s="6"/>
      <c r="C1092" s="6"/>
      <c r="D1092" s="6"/>
      <c r="E1092" s="6"/>
      <c r="F1092" s="6"/>
      <c r="G1092" s="6"/>
      <c r="H1092" s="6"/>
      <c r="I1092" s="6"/>
      <c r="J1092" s="6"/>
      <c r="K1092" s="6"/>
      <c r="L1092" s="80"/>
      <c r="M1092" s="80"/>
      <c r="N1092" s="80"/>
      <c r="O1092" s="80"/>
      <c r="P1092" s="6"/>
      <c r="Q1092" s="6"/>
      <c r="R1092" s="6"/>
      <c r="S1092" s="6"/>
      <c r="T1092" s="6"/>
      <c r="U1092" s="6"/>
      <c r="V1092" s="6"/>
      <c r="W1092" s="7"/>
      <c r="X1092" s="7"/>
      <c r="Y1092" s="7"/>
      <c r="Z1092" s="7"/>
    </row>
    <row r="1093">
      <c r="A1093" s="6"/>
      <c r="B1093" s="6"/>
      <c r="C1093" s="6"/>
      <c r="D1093" s="6"/>
      <c r="E1093" s="6"/>
      <c r="F1093" s="6"/>
      <c r="G1093" s="6"/>
      <c r="H1093" s="6"/>
      <c r="I1093" s="6"/>
      <c r="J1093" s="6"/>
      <c r="K1093" s="6"/>
      <c r="L1093" s="80"/>
      <c r="M1093" s="80"/>
      <c r="N1093" s="80"/>
      <c r="O1093" s="80"/>
      <c r="P1093" s="6"/>
      <c r="Q1093" s="6"/>
      <c r="R1093" s="6"/>
      <c r="S1093" s="6"/>
      <c r="T1093" s="6"/>
      <c r="U1093" s="6"/>
      <c r="V1093" s="6"/>
      <c r="W1093" s="7"/>
      <c r="X1093" s="7"/>
      <c r="Y1093" s="7"/>
      <c r="Z1093" s="7"/>
    </row>
    <row r="1094">
      <c r="A1094" s="6"/>
      <c r="B1094" s="6"/>
      <c r="C1094" s="6"/>
      <c r="D1094" s="6"/>
      <c r="E1094" s="6"/>
      <c r="F1094" s="6"/>
      <c r="G1094" s="6"/>
      <c r="H1094" s="6"/>
      <c r="I1094" s="6"/>
      <c r="J1094" s="6"/>
      <c r="K1094" s="6"/>
      <c r="L1094" s="80"/>
      <c r="M1094" s="80"/>
      <c r="N1094" s="80"/>
      <c r="O1094" s="80"/>
      <c r="P1094" s="6"/>
      <c r="Q1094" s="6"/>
      <c r="R1094" s="6"/>
      <c r="S1094" s="6"/>
      <c r="T1094" s="6"/>
      <c r="U1094" s="6"/>
      <c r="V1094" s="6"/>
      <c r="W1094" s="7"/>
      <c r="X1094" s="7"/>
      <c r="Y1094" s="7"/>
      <c r="Z1094" s="7"/>
    </row>
    <row r="1095">
      <c r="A1095" s="6"/>
      <c r="B1095" s="6"/>
      <c r="C1095" s="6"/>
      <c r="D1095" s="6"/>
      <c r="E1095" s="6"/>
      <c r="F1095" s="6"/>
      <c r="G1095" s="6"/>
      <c r="H1095" s="6"/>
      <c r="I1095" s="6"/>
      <c r="J1095" s="6"/>
      <c r="K1095" s="6"/>
      <c r="L1095" s="80"/>
      <c r="M1095" s="80"/>
      <c r="N1095" s="80"/>
      <c r="O1095" s="80"/>
      <c r="P1095" s="6"/>
      <c r="Q1095" s="6"/>
      <c r="R1095" s="6"/>
      <c r="S1095" s="6"/>
      <c r="T1095" s="6"/>
      <c r="U1095" s="6"/>
      <c r="V1095" s="6"/>
      <c r="W1095" s="7"/>
      <c r="X1095" s="7"/>
      <c r="Y1095" s="7"/>
      <c r="Z1095" s="7"/>
    </row>
    <row r="1096">
      <c r="A1096" s="6"/>
      <c r="B1096" s="6"/>
      <c r="C1096" s="6"/>
      <c r="D1096" s="6"/>
      <c r="E1096" s="6"/>
      <c r="F1096" s="6"/>
      <c r="G1096" s="6"/>
      <c r="H1096" s="6"/>
      <c r="I1096" s="6"/>
      <c r="J1096" s="6"/>
      <c r="K1096" s="6"/>
      <c r="L1096" s="80"/>
      <c r="M1096" s="80"/>
      <c r="N1096" s="80"/>
      <c r="O1096" s="80"/>
      <c r="P1096" s="6"/>
      <c r="Q1096" s="6"/>
      <c r="R1096" s="6"/>
      <c r="S1096" s="6"/>
      <c r="T1096" s="6"/>
      <c r="U1096" s="6"/>
      <c r="V1096" s="6"/>
      <c r="W1096" s="7"/>
      <c r="X1096" s="7"/>
      <c r="Y1096" s="7"/>
      <c r="Z1096" s="7"/>
    </row>
    <row r="1097">
      <c r="A1097" s="6"/>
      <c r="B1097" s="6"/>
      <c r="C1097" s="6"/>
      <c r="D1097" s="6"/>
      <c r="E1097" s="6"/>
      <c r="F1097" s="6"/>
      <c r="G1097" s="6"/>
      <c r="H1097" s="6"/>
      <c r="I1097" s="6"/>
      <c r="J1097" s="6"/>
      <c r="K1097" s="6"/>
      <c r="L1097" s="80"/>
      <c r="M1097" s="80"/>
      <c r="N1097" s="80"/>
      <c r="O1097" s="80"/>
      <c r="P1097" s="6"/>
      <c r="Q1097" s="6"/>
      <c r="R1097" s="6"/>
      <c r="S1097" s="6"/>
      <c r="T1097" s="6"/>
      <c r="U1097" s="6"/>
      <c r="V1097" s="6"/>
      <c r="W1097" s="7"/>
      <c r="X1097" s="7"/>
      <c r="Y1097" s="7"/>
      <c r="Z1097" s="7"/>
    </row>
    <row r="1098">
      <c r="A1098" s="6"/>
      <c r="B1098" s="6"/>
      <c r="C1098" s="6"/>
      <c r="D1098" s="6"/>
      <c r="E1098" s="6"/>
      <c r="F1098" s="6"/>
      <c r="G1098" s="6"/>
      <c r="H1098" s="6"/>
      <c r="I1098" s="6"/>
      <c r="J1098" s="6"/>
      <c r="K1098" s="6"/>
      <c r="L1098" s="80"/>
      <c r="M1098" s="80"/>
      <c r="N1098" s="80"/>
      <c r="O1098" s="80"/>
      <c r="P1098" s="6"/>
      <c r="Q1098" s="6"/>
      <c r="R1098" s="6"/>
      <c r="S1098" s="6"/>
      <c r="T1098" s="6"/>
      <c r="U1098" s="6"/>
      <c r="V1098" s="6"/>
      <c r="W1098" s="7"/>
      <c r="X1098" s="7"/>
      <c r="Y1098" s="7"/>
      <c r="Z1098" s="7"/>
    </row>
    <row r="1099">
      <c r="A1099" s="6"/>
      <c r="B1099" s="6"/>
      <c r="C1099" s="6"/>
      <c r="D1099" s="6"/>
      <c r="E1099" s="6"/>
      <c r="F1099" s="6"/>
      <c r="G1099" s="6"/>
      <c r="H1099" s="6"/>
      <c r="I1099" s="6"/>
      <c r="J1099" s="6"/>
      <c r="K1099" s="6"/>
      <c r="L1099" s="80"/>
      <c r="M1099" s="80"/>
      <c r="N1099" s="80"/>
      <c r="O1099" s="80"/>
      <c r="P1099" s="6"/>
      <c r="Q1099" s="6"/>
      <c r="R1099" s="6"/>
      <c r="S1099" s="6"/>
      <c r="T1099" s="6"/>
      <c r="U1099" s="6"/>
      <c r="V1099" s="6"/>
      <c r="W1099" s="7"/>
      <c r="X1099" s="7"/>
      <c r="Y1099" s="7"/>
      <c r="Z1099" s="7"/>
    </row>
    <row r="1100">
      <c r="A1100" s="6"/>
      <c r="B1100" s="6"/>
      <c r="C1100" s="6"/>
      <c r="D1100" s="6"/>
      <c r="E1100" s="6"/>
      <c r="F1100" s="6"/>
      <c r="G1100" s="6"/>
      <c r="H1100" s="6"/>
      <c r="I1100" s="6"/>
      <c r="J1100" s="6"/>
      <c r="K1100" s="6"/>
      <c r="L1100" s="80"/>
      <c r="M1100" s="80"/>
      <c r="N1100" s="80"/>
      <c r="O1100" s="80"/>
      <c r="P1100" s="6"/>
      <c r="Q1100" s="6"/>
      <c r="R1100" s="6"/>
      <c r="S1100" s="6"/>
      <c r="T1100" s="6"/>
      <c r="U1100" s="6"/>
      <c r="V1100" s="6"/>
      <c r="W1100" s="7"/>
      <c r="X1100" s="7"/>
      <c r="Y1100" s="7"/>
      <c r="Z1100" s="7"/>
    </row>
    <row r="1101">
      <c r="A1101" s="6"/>
      <c r="B1101" s="6"/>
      <c r="C1101" s="6"/>
      <c r="D1101" s="6"/>
      <c r="E1101" s="6"/>
      <c r="F1101" s="6"/>
      <c r="G1101" s="6"/>
      <c r="H1101" s="6"/>
      <c r="I1101" s="6"/>
      <c r="J1101" s="6"/>
      <c r="K1101" s="6"/>
      <c r="L1101" s="80"/>
      <c r="M1101" s="80"/>
      <c r="N1101" s="80"/>
      <c r="O1101" s="80"/>
      <c r="P1101" s="6"/>
      <c r="Q1101" s="6"/>
      <c r="R1101" s="6"/>
      <c r="S1101" s="6"/>
      <c r="T1101" s="6"/>
      <c r="U1101" s="6"/>
      <c r="V1101" s="6"/>
      <c r="W1101" s="7"/>
      <c r="X1101" s="7"/>
      <c r="Y1101" s="7"/>
      <c r="Z1101" s="7"/>
    </row>
    <row r="1102">
      <c r="A1102" s="6"/>
      <c r="B1102" s="6"/>
      <c r="C1102" s="6"/>
      <c r="D1102" s="6"/>
      <c r="E1102" s="6"/>
      <c r="F1102" s="6"/>
      <c r="G1102" s="6"/>
      <c r="H1102" s="6"/>
      <c r="I1102" s="6"/>
      <c r="J1102" s="6"/>
      <c r="K1102" s="6"/>
      <c r="L1102" s="80"/>
      <c r="M1102" s="80"/>
      <c r="N1102" s="80"/>
      <c r="O1102" s="80"/>
      <c r="P1102" s="6"/>
      <c r="Q1102" s="6"/>
      <c r="R1102" s="6"/>
      <c r="S1102" s="6"/>
      <c r="T1102" s="6"/>
      <c r="U1102" s="6"/>
      <c r="V1102" s="6"/>
      <c r="W1102" s="7"/>
      <c r="X1102" s="7"/>
      <c r="Y1102" s="7"/>
      <c r="Z1102" s="7"/>
    </row>
    <row r="1103">
      <c r="A1103" s="6"/>
      <c r="B1103" s="6"/>
      <c r="C1103" s="6"/>
      <c r="D1103" s="6"/>
      <c r="E1103" s="6"/>
      <c r="F1103" s="6"/>
      <c r="G1103" s="6"/>
      <c r="H1103" s="6"/>
      <c r="I1103" s="6"/>
      <c r="J1103" s="6"/>
      <c r="K1103" s="6"/>
      <c r="L1103" s="80"/>
      <c r="M1103" s="80"/>
      <c r="N1103" s="80"/>
      <c r="O1103" s="80"/>
      <c r="P1103" s="6"/>
      <c r="Q1103" s="6"/>
      <c r="R1103" s="6"/>
      <c r="S1103" s="6"/>
      <c r="T1103" s="6"/>
      <c r="U1103" s="6"/>
      <c r="V1103" s="6"/>
      <c r="W1103" s="7"/>
      <c r="X1103" s="7"/>
      <c r="Y1103" s="7"/>
      <c r="Z1103" s="7"/>
    </row>
    <row r="1104">
      <c r="A1104" s="6"/>
      <c r="B1104" s="6"/>
      <c r="C1104" s="6"/>
      <c r="D1104" s="6"/>
      <c r="E1104" s="6"/>
      <c r="F1104" s="6"/>
      <c r="G1104" s="6"/>
      <c r="H1104" s="6"/>
      <c r="I1104" s="6"/>
      <c r="J1104" s="6"/>
      <c r="K1104" s="6"/>
      <c r="L1104" s="80"/>
      <c r="M1104" s="80"/>
      <c r="N1104" s="80"/>
      <c r="O1104" s="80"/>
      <c r="P1104" s="6"/>
      <c r="Q1104" s="6"/>
      <c r="R1104" s="6"/>
      <c r="S1104" s="6"/>
      <c r="T1104" s="6"/>
      <c r="U1104" s="6"/>
      <c r="V1104" s="6"/>
      <c r="W1104" s="7"/>
      <c r="X1104" s="7"/>
      <c r="Y1104" s="7"/>
      <c r="Z1104" s="7"/>
    </row>
    <row r="1105">
      <c r="A1105" s="6"/>
      <c r="B1105" s="6"/>
      <c r="C1105" s="6"/>
      <c r="D1105" s="6"/>
      <c r="E1105" s="6"/>
      <c r="F1105" s="6"/>
      <c r="G1105" s="6"/>
      <c r="H1105" s="6"/>
      <c r="I1105" s="6"/>
      <c r="J1105" s="6"/>
      <c r="K1105" s="6"/>
      <c r="L1105" s="80"/>
      <c r="M1105" s="80"/>
      <c r="N1105" s="80"/>
      <c r="O1105" s="80"/>
      <c r="P1105" s="6"/>
      <c r="Q1105" s="6"/>
      <c r="R1105" s="6"/>
      <c r="S1105" s="6"/>
      <c r="T1105" s="6"/>
      <c r="U1105" s="6"/>
      <c r="V1105" s="6"/>
      <c r="W1105" s="7"/>
      <c r="X1105" s="7"/>
      <c r="Y1105" s="7"/>
      <c r="Z1105" s="7"/>
    </row>
    <row r="1106">
      <c r="A1106" s="6"/>
      <c r="B1106" s="6"/>
      <c r="C1106" s="6"/>
      <c r="D1106" s="6"/>
      <c r="E1106" s="6"/>
      <c r="F1106" s="6"/>
      <c r="G1106" s="6"/>
      <c r="H1106" s="6"/>
      <c r="I1106" s="6"/>
      <c r="J1106" s="6"/>
      <c r="K1106" s="6"/>
      <c r="L1106" s="80"/>
      <c r="M1106" s="80"/>
      <c r="N1106" s="80"/>
      <c r="O1106" s="80"/>
      <c r="P1106" s="6"/>
      <c r="Q1106" s="6"/>
      <c r="R1106" s="6"/>
      <c r="S1106" s="6"/>
      <c r="T1106" s="6"/>
      <c r="U1106" s="6"/>
      <c r="V1106" s="6"/>
      <c r="W1106" s="7"/>
      <c r="X1106" s="7"/>
      <c r="Y1106" s="7"/>
      <c r="Z1106" s="7"/>
    </row>
    <row r="1107">
      <c r="A1107" s="6"/>
      <c r="B1107" s="6"/>
      <c r="C1107" s="6"/>
      <c r="D1107" s="6"/>
      <c r="E1107" s="6"/>
      <c r="F1107" s="6"/>
      <c r="G1107" s="6"/>
      <c r="H1107" s="6"/>
      <c r="I1107" s="6"/>
      <c r="J1107" s="6"/>
      <c r="K1107" s="6"/>
      <c r="L1107" s="80"/>
      <c r="M1107" s="80"/>
      <c r="N1107" s="80"/>
      <c r="O1107" s="80"/>
      <c r="P1107" s="6"/>
      <c r="Q1107" s="6"/>
      <c r="R1107" s="6"/>
      <c r="S1107" s="6"/>
      <c r="T1107" s="6"/>
      <c r="U1107" s="6"/>
      <c r="V1107" s="6"/>
      <c r="W1107" s="7"/>
      <c r="X1107" s="7"/>
      <c r="Y1107" s="7"/>
      <c r="Z1107" s="7"/>
    </row>
    <row r="1108">
      <c r="A1108" s="6"/>
      <c r="B1108" s="6"/>
      <c r="C1108" s="6"/>
      <c r="D1108" s="6"/>
      <c r="E1108" s="6"/>
      <c r="F1108" s="6"/>
      <c r="G1108" s="6"/>
      <c r="H1108" s="6"/>
      <c r="I1108" s="6"/>
      <c r="J1108" s="6"/>
      <c r="K1108" s="6"/>
      <c r="L1108" s="80"/>
      <c r="M1108" s="80"/>
      <c r="N1108" s="80"/>
      <c r="O1108" s="80"/>
      <c r="P1108" s="6"/>
      <c r="Q1108" s="6"/>
      <c r="R1108" s="6"/>
      <c r="S1108" s="6"/>
      <c r="T1108" s="6"/>
      <c r="U1108" s="6"/>
      <c r="V1108" s="6"/>
      <c r="W1108" s="7"/>
      <c r="X1108" s="7"/>
      <c r="Y1108" s="7"/>
      <c r="Z1108" s="7"/>
    </row>
    <row r="1109">
      <c r="A1109" s="6"/>
      <c r="B1109" s="6"/>
      <c r="C1109" s="6"/>
      <c r="D1109" s="6"/>
      <c r="E1109" s="6"/>
      <c r="F1109" s="6"/>
      <c r="G1109" s="6"/>
      <c r="H1109" s="6"/>
      <c r="I1109" s="6"/>
      <c r="J1109" s="6"/>
      <c r="K1109" s="6"/>
      <c r="L1109" s="80"/>
      <c r="M1109" s="80"/>
      <c r="N1109" s="80"/>
      <c r="O1109" s="80"/>
      <c r="P1109" s="6"/>
      <c r="Q1109" s="6"/>
      <c r="R1109" s="6"/>
      <c r="S1109" s="6"/>
      <c r="T1109" s="6"/>
      <c r="U1109" s="6"/>
      <c r="V1109" s="6"/>
      <c r="W1109" s="7"/>
      <c r="X1109" s="7"/>
      <c r="Y1109" s="7"/>
      <c r="Z1109" s="7"/>
    </row>
    <row r="1110">
      <c r="A1110" s="6"/>
      <c r="B1110" s="6"/>
      <c r="C1110" s="6"/>
      <c r="D1110" s="6"/>
      <c r="E1110" s="6"/>
      <c r="F1110" s="6"/>
      <c r="G1110" s="6"/>
      <c r="H1110" s="6"/>
      <c r="I1110" s="6"/>
      <c r="J1110" s="6"/>
      <c r="K1110" s="6"/>
      <c r="L1110" s="80"/>
      <c r="M1110" s="80"/>
      <c r="N1110" s="80"/>
      <c r="O1110" s="80"/>
      <c r="P1110" s="6"/>
      <c r="Q1110" s="6"/>
      <c r="R1110" s="6"/>
      <c r="S1110" s="6"/>
      <c r="T1110" s="6"/>
      <c r="U1110" s="6"/>
      <c r="V1110" s="6"/>
      <c r="W1110" s="7"/>
      <c r="X1110" s="7"/>
      <c r="Y1110" s="7"/>
      <c r="Z1110" s="7"/>
    </row>
    <row r="1111">
      <c r="A1111" s="6"/>
      <c r="B1111" s="6"/>
      <c r="C1111" s="6"/>
      <c r="D1111" s="6"/>
      <c r="E1111" s="6"/>
      <c r="F1111" s="6"/>
      <c r="G1111" s="6"/>
      <c r="H1111" s="6"/>
      <c r="I1111" s="6"/>
      <c r="J1111" s="6"/>
      <c r="K1111" s="6"/>
      <c r="L1111" s="80"/>
      <c r="M1111" s="80"/>
      <c r="N1111" s="80"/>
      <c r="O1111" s="80"/>
      <c r="P1111" s="6"/>
      <c r="Q1111" s="6"/>
      <c r="R1111" s="6"/>
      <c r="S1111" s="6"/>
      <c r="T1111" s="6"/>
      <c r="U1111" s="6"/>
      <c r="V1111" s="6"/>
      <c r="W1111" s="7"/>
      <c r="X1111" s="7"/>
      <c r="Y1111" s="7"/>
      <c r="Z1111" s="7"/>
    </row>
    <row r="1112">
      <c r="A1112" s="6"/>
      <c r="B1112" s="6"/>
      <c r="C1112" s="6"/>
      <c r="D1112" s="6"/>
      <c r="E1112" s="6"/>
      <c r="F1112" s="6"/>
      <c r="G1112" s="6"/>
      <c r="H1112" s="6"/>
      <c r="I1112" s="6"/>
      <c r="J1112" s="6"/>
      <c r="K1112" s="6"/>
      <c r="L1112" s="80"/>
      <c r="M1112" s="80"/>
      <c r="N1112" s="80"/>
      <c r="O1112" s="80"/>
      <c r="P1112" s="6"/>
      <c r="Q1112" s="6"/>
      <c r="R1112" s="6"/>
      <c r="S1112" s="6"/>
      <c r="T1112" s="6"/>
      <c r="U1112" s="6"/>
      <c r="V1112" s="6"/>
      <c r="W1112" s="7"/>
      <c r="X1112" s="7"/>
      <c r="Y1112" s="7"/>
      <c r="Z1112" s="7"/>
    </row>
    <row r="1113">
      <c r="A1113" s="6"/>
      <c r="B1113" s="6"/>
      <c r="C1113" s="6"/>
      <c r="D1113" s="6"/>
      <c r="E1113" s="6"/>
      <c r="F1113" s="6"/>
      <c r="G1113" s="6"/>
      <c r="H1113" s="6"/>
      <c r="I1113" s="6"/>
      <c r="J1113" s="6"/>
      <c r="K1113" s="6"/>
      <c r="L1113" s="80"/>
      <c r="M1113" s="80"/>
      <c r="N1113" s="80"/>
      <c r="O1113" s="80"/>
      <c r="P1113" s="6"/>
      <c r="Q1113" s="6"/>
      <c r="R1113" s="6"/>
      <c r="S1113" s="6"/>
      <c r="T1113" s="6"/>
      <c r="U1113" s="6"/>
      <c r="V1113" s="6"/>
      <c r="W1113" s="7"/>
      <c r="X1113" s="7"/>
      <c r="Y1113" s="7"/>
      <c r="Z1113" s="7"/>
    </row>
    <row r="1114">
      <c r="A1114" s="6"/>
      <c r="B1114" s="6"/>
      <c r="C1114" s="6"/>
      <c r="D1114" s="6"/>
      <c r="E1114" s="6"/>
      <c r="F1114" s="6"/>
      <c r="G1114" s="6"/>
      <c r="H1114" s="6"/>
      <c r="I1114" s="6"/>
      <c r="J1114" s="6"/>
      <c r="K1114" s="6"/>
      <c r="L1114" s="80"/>
      <c r="M1114" s="80"/>
      <c r="N1114" s="80"/>
      <c r="O1114" s="80"/>
      <c r="P1114" s="6"/>
      <c r="Q1114" s="6"/>
      <c r="R1114" s="6"/>
      <c r="S1114" s="6"/>
      <c r="T1114" s="6"/>
      <c r="U1114" s="6"/>
      <c r="V1114" s="6"/>
      <c r="W1114" s="7"/>
      <c r="X1114" s="7"/>
      <c r="Y1114" s="7"/>
      <c r="Z1114" s="7"/>
    </row>
    <row r="1115">
      <c r="A1115" s="6"/>
      <c r="B1115" s="6"/>
      <c r="C1115" s="6"/>
      <c r="D1115" s="6"/>
      <c r="E1115" s="6"/>
      <c r="F1115" s="6"/>
      <c r="G1115" s="6"/>
      <c r="H1115" s="6"/>
      <c r="I1115" s="6"/>
      <c r="J1115" s="6"/>
      <c r="K1115" s="6"/>
      <c r="L1115" s="80"/>
      <c r="M1115" s="80"/>
      <c r="N1115" s="80"/>
      <c r="O1115" s="80"/>
      <c r="P1115" s="6"/>
      <c r="Q1115" s="6"/>
      <c r="R1115" s="6"/>
      <c r="S1115" s="6"/>
      <c r="T1115" s="6"/>
      <c r="U1115" s="6"/>
      <c r="V1115" s="6"/>
      <c r="W1115" s="7"/>
      <c r="X1115" s="7"/>
      <c r="Y1115" s="7"/>
      <c r="Z1115" s="7"/>
    </row>
    <row r="1116">
      <c r="A1116" s="6"/>
      <c r="B1116" s="6"/>
      <c r="C1116" s="6"/>
      <c r="D1116" s="6"/>
      <c r="E1116" s="6"/>
      <c r="F1116" s="6"/>
      <c r="G1116" s="6"/>
      <c r="H1116" s="6"/>
      <c r="I1116" s="6"/>
      <c r="J1116" s="6"/>
      <c r="K1116" s="6"/>
      <c r="L1116" s="80"/>
      <c r="M1116" s="80"/>
      <c r="N1116" s="80"/>
      <c r="O1116" s="80"/>
      <c r="P1116" s="6"/>
      <c r="Q1116" s="6"/>
      <c r="R1116" s="6"/>
      <c r="S1116" s="6"/>
      <c r="T1116" s="6"/>
      <c r="U1116" s="6"/>
      <c r="V1116" s="6"/>
      <c r="W1116" s="7"/>
      <c r="X1116" s="7"/>
      <c r="Y1116" s="7"/>
      <c r="Z1116" s="7"/>
    </row>
    <row r="1117">
      <c r="A1117" s="6"/>
      <c r="B1117" s="6"/>
      <c r="C1117" s="6"/>
      <c r="D1117" s="6"/>
      <c r="E1117" s="6"/>
      <c r="F1117" s="6"/>
      <c r="G1117" s="6"/>
      <c r="H1117" s="6"/>
      <c r="I1117" s="6"/>
      <c r="J1117" s="6"/>
      <c r="K1117" s="6"/>
      <c r="L1117" s="80"/>
      <c r="M1117" s="80"/>
      <c r="N1117" s="80"/>
      <c r="O1117" s="80"/>
      <c r="P1117" s="6"/>
      <c r="Q1117" s="6"/>
      <c r="R1117" s="6"/>
      <c r="S1117" s="6"/>
      <c r="T1117" s="6"/>
      <c r="U1117" s="6"/>
      <c r="V1117" s="6"/>
      <c r="W1117" s="7"/>
      <c r="X1117" s="7"/>
      <c r="Y1117" s="7"/>
      <c r="Z1117" s="7"/>
    </row>
    <row r="1118">
      <c r="A1118" s="6"/>
      <c r="B1118" s="6"/>
      <c r="C1118" s="6"/>
      <c r="D1118" s="6"/>
      <c r="E1118" s="6"/>
      <c r="F1118" s="6"/>
      <c r="G1118" s="6"/>
      <c r="H1118" s="6"/>
      <c r="I1118" s="6"/>
      <c r="J1118" s="6"/>
      <c r="K1118" s="6"/>
      <c r="L1118" s="80"/>
      <c r="M1118" s="80"/>
      <c r="N1118" s="80"/>
      <c r="O1118" s="80"/>
      <c r="P1118" s="6"/>
      <c r="Q1118" s="6"/>
      <c r="R1118" s="6"/>
      <c r="S1118" s="6"/>
      <c r="T1118" s="6"/>
      <c r="U1118" s="6"/>
      <c r="V1118" s="6"/>
      <c r="W1118" s="7"/>
      <c r="X1118" s="7"/>
      <c r="Y1118" s="7"/>
      <c r="Z1118" s="7"/>
    </row>
    <row r="1119">
      <c r="A1119" s="6"/>
      <c r="B1119" s="6"/>
      <c r="C1119" s="6"/>
      <c r="D1119" s="6"/>
      <c r="E1119" s="6"/>
      <c r="F1119" s="6"/>
      <c r="G1119" s="6"/>
      <c r="H1119" s="6"/>
      <c r="I1119" s="6"/>
      <c r="J1119" s="6"/>
      <c r="K1119" s="6"/>
      <c r="L1119" s="80"/>
      <c r="M1119" s="80"/>
      <c r="N1119" s="80"/>
      <c r="O1119" s="80"/>
      <c r="P1119" s="6"/>
      <c r="Q1119" s="6"/>
      <c r="R1119" s="6"/>
      <c r="S1119" s="6"/>
      <c r="T1119" s="6"/>
      <c r="U1119" s="6"/>
      <c r="V1119" s="6"/>
      <c r="W1119" s="7"/>
      <c r="X1119" s="7"/>
      <c r="Y1119" s="7"/>
      <c r="Z1119" s="7"/>
    </row>
    <row r="1120">
      <c r="A1120" s="6"/>
      <c r="B1120" s="6"/>
      <c r="C1120" s="6"/>
      <c r="D1120" s="6"/>
      <c r="E1120" s="6"/>
      <c r="F1120" s="6"/>
      <c r="G1120" s="6"/>
      <c r="H1120" s="6"/>
      <c r="I1120" s="6"/>
      <c r="J1120" s="6"/>
      <c r="K1120" s="6"/>
      <c r="L1120" s="80"/>
      <c r="M1120" s="80"/>
      <c r="N1120" s="80"/>
      <c r="O1120" s="80"/>
      <c r="P1120" s="6"/>
      <c r="Q1120" s="6"/>
      <c r="R1120" s="6"/>
      <c r="S1120" s="6"/>
      <c r="T1120" s="6"/>
      <c r="U1120" s="6"/>
      <c r="V1120" s="6"/>
      <c r="W1120" s="7"/>
      <c r="X1120" s="7"/>
      <c r="Y1120" s="7"/>
      <c r="Z1120" s="7"/>
    </row>
    <row r="1121">
      <c r="A1121" s="6"/>
      <c r="B1121" s="6"/>
      <c r="C1121" s="6"/>
      <c r="D1121" s="6"/>
      <c r="E1121" s="6"/>
      <c r="F1121" s="6"/>
      <c r="G1121" s="6"/>
      <c r="H1121" s="6"/>
      <c r="I1121" s="6"/>
      <c r="J1121" s="6"/>
      <c r="K1121" s="6"/>
      <c r="L1121" s="80"/>
      <c r="M1121" s="80"/>
      <c r="N1121" s="80"/>
      <c r="O1121" s="80"/>
      <c r="P1121" s="6"/>
      <c r="Q1121" s="6"/>
      <c r="R1121" s="6"/>
      <c r="S1121" s="6"/>
      <c r="T1121" s="6"/>
      <c r="U1121" s="6"/>
      <c r="V1121" s="6"/>
      <c r="W1121" s="7"/>
      <c r="X1121" s="7"/>
      <c r="Y1121" s="7"/>
      <c r="Z1121" s="7"/>
    </row>
    <row r="1122">
      <c r="A1122" s="6"/>
      <c r="B1122" s="6"/>
      <c r="C1122" s="6"/>
      <c r="D1122" s="6"/>
      <c r="E1122" s="6"/>
      <c r="F1122" s="6"/>
      <c r="G1122" s="6"/>
      <c r="H1122" s="6"/>
      <c r="I1122" s="6"/>
      <c r="J1122" s="6"/>
      <c r="K1122" s="6"/>
      <c r="L1122" s="80"/>
      <c r="M1122" s="80"/>
      <c r="N1122" s="80"/>
      <c r="O1122" s="80"/>
      <c r="P1122" s="6"/>
      <c r="Q1122" s="6"/>
      <c r="R1122" s="6"/>
      <c r="S1122" s="6"/>
      <c r="T1122" s="6"/>
      <c r="U1122" s="6"/>
      <c r="V1122" s="6"/>
      <c r="W1122" s="7"/>
      <c r="X1122" s="7"/>
      <c r="Y1122" s="7"/>
      <c r="Z1122" s="7"/>
    </row>
    <row r="1123">
      <c r="A1123" s="6"/>
      <c r="B1123" s="6"/>
      <c r="C1123" s="6"/>
      <c r="D1123" s="6"/>
      <c r="E1123" s="6"/>
      <c r="F1123" s="6"/>
      <c r="G1123" s="6"/>
      <c r="H1123" s="6"/>
      <c r="I1123" s="6"/>
      <c r="J1123" s="6"/>
      <c r="K1123" s="6"/>
      <c r="L1123" s="80"/>
      <c r="M1123" s="80"/>
      <c r="N1123" s="80"/>
      <c r="O1123" s="80"/>
      <c r="P1123" s="6"/>
      <c r="Q1123" s="6"/>
      <c r="R1123" s="6"/>
      <c r="S1123" s="6"/>
      <c r="T1123" s="6"/>
      <c r="U1123" s="6"/>
      <c r="V1123" s="6"/>
      <c r="W1123" s="7"/>
      <c r="X1123" s="7"/>
      <c r="Y1123" s="7"/>
      <c r="Z1123" s="7"/>
    </row>
    <row r="1124">
      <c r="A1124" s="6"/>
      <c r="B1124" s="6"/>
      <c r="C1124" s="6"/>
      <c r="D1124" s="6"/>
      <c r="E1124" s="6"/>
      <c r="F1124" s="6"/>
      <c r="G1124" s="6"/>
      <c r="H1124" s="6"/>
      <c r="I1124" s="6"/>
      <c r="J1124" s="6"/>
      <c r="K1124" s="6"/>
      <c r="L1124" s="80"/>
      <c r="M1124" s="80"/>
      <c r="N1124" s="80"/>
      <c r="O1124" s="80"/>
      <c r="P1124" s="6"/>
      <c r="Q1124" s="6"/>
      <c r="R1124" s="6"/>
      <c r="S1124" s="6"/>
      <c r="T1124" s="6"/>
      <c r="U1124" s="6"/>
      <c r="V1124" s="6"/>
      <c r="W1124" s="7"/>
      <c r="X1124" s="7"/>
      <c r="Y1124" s="7"/>
      <c r="Z1124" s="7"/>
    </row>
    <row r="1125">
      <c r="A1125" s="6"/>
      <c r="B1125" s="6"/>
      <c r="C1125" s="6"/>
      <c r="D1125" s="6"/>
      <c r="E1125" s="6"/>
      <c r="F1125" s="6"/>
      <c r="G1125" s="6"/>
      <c r="H1125" s="6"/>
      <c r="I1125" s="6"/>
      <c r="J1125" s="6"/>
      <c r="K1125" s="6"/>
      <c r="L1125" s="80"/>
      <c r="M1125" s="80"/>
      <c r="N1125" s="80"/>
      <c r="O1125" s="80"/>
      <c r="P1125" s="6"/>
      <c r="Q1125" s="6"/>
      <c r="R1125" s="6"/>
      <c r="S1125" s="6"/>
      <c r="T1125" s="6"/>
      <c r="U1125" s="6"/>
      <c r="V1125" s="6"/>
      <c r="W1125" s="7"/>
      <c r="X1125" s="7"/>
      <c r="Y1125" s="7"/>
      <c r="Z1125" s="7"/>
    </row>
    <row r="1126">
      <c r="A1126" s="6"/>
      <c r="B1126" s="6"/>
      <c r="C1126" s="6"/>
      <c r="D1126" s="6"/>
      <c r="E1126" s="6"/>
      <c r="F1126" s="6"/>
      <c r="G1126" s="6"/>
      <c r="H1126" s="6"/>
      <c r="I1126" s="6"/>
      <c r="J1126" s="6"/>
      <c r="K1126" s="6"/>
      <c r="L1126" s="80"/>
      <c r="M1126" s="80"/>
      <c r="N1126" s="80"/>
      <c r="O1126" s="80"/>
      <c r="P1126" s="6"/>
      <c r="Q1126" s="6"/>
      <c r="R1126" s="6"/>
      <c r="S1126" s="6"/>
      <c r="T1126" s="6"/>
      <c r="U1126" s="6"/>
      <c r="V1126" s="6"/>
      <c r="W1126" s="7"/>
      <c r="X1126" s="7"/>
      <c r="Y1126" s="7"/>
      <c r="Z1126" s="7"/>
    </row>
    <row r="1127">
      <c r="A1127" s="6"/>
      <c r="B1127" s="6"/>
      <c r="C1127" s="6"/>
      <c r="D1127" s="6"/>
      <c r="E1127" s="6"/>
      <c r="F1127" s="6"/>
      <c r="G1127" s="6"/>
      <c r="H1127" s="6"/>
      <c r="I1127" s="6"/>
      <c r="J1127" s="6"/>
      <c r="K1127" s="6"/>
      <c r="L1127" s="80"/>
      <c r="M1127" s="80"/>
      <c r="N1127" s="80"/>
      <c r="O1127" s="80"/>
      <c r="P1127" s="6"/>
      <c r="Q1127" s="6"/>
      <c r="R1127" s="6"/>
      <c r="S1127" s="6"/>
      <c r="T1127" s="6"/>
      <c r="U1127" s="6"/>
      <c r="V1127" s="6"/>
      <c r="W1127" s="7"/>
      <c r="X1127" s="7"/>
      <c r="Y1127" s="7"/>
      <c r="Z1127" s="7"/>
    </row>
    <row r="1128">
      <c r="A1128" s="6"/>
      <c r="B1128" s="6"/>
      <c r="C1128" s="6"/>
      <c r="D1128" s="6"/>
      <c r="E1128" s="6"/>
      <c r="F1128" s="6"/>
      <c r="G1128" s="6"/>
      <c r="H1128" s="6"/>
      <c r="I1128" s="6"/>
      <c r="J1128" s="6"/>
      <c r="K1128" s="6"/>
      <c r="L1128" s="80"/>
      <c r="M1128" s="80"/>
      <c r="N1128" s="80"/>
      <c r="O1128" s="80"/>
      <c r="P1128" s="6"/>
      <c r="Q1128" s="6"/>
      <c r="R1128" s="6"/>
      <c r="S1128" s="6"/>
      <c r="T1128" s="6"/>
      <c r="U1128" s="6"/>
      <c r="V1128" s="6"/>
      <c r="W1128" s="7"/>
      <c r="X1128" s="7"/>
      <c r="Y1128" s="7"/>
      <c r="Z1128" s="7"/>
    </row>
    <row r="1129">
      <c r="A1129" s="6"/>
      <c r="B1129" s="6"/>
      <c r="C1129" s="6"/>
      <c r="D1129" s="6"/>
      <c r="E1129" s="6"/>
      <c r="F1129" s="6"/>
      <c r="G1129" s="6"/>
      <c r="H1129" s="6"/>
      <c r="I1129" s="6"/>
      <c r="J1129" s="6"/>
      <c r="K1129" s="6"/>
      <c r="L1129" s="80"/>
      <c r="M1129" s="80"/>
      <c r="N1129" s="80"/>
      <c r="O1129" s="80"/>
      <c r="P1129" s="6"/>
      <c r="Q1129" s="6"/>
      <c r="R1129" s="6"/>
      <c r="S1129" s="6"/>
      <c r="T1129" s="6"/>
      <c r="U1129" s="6"/>
      <c r="V1129" s="6"/>
      <c r="W1129" s="7"/>
      <c r="X1129" s="7"/>
      <c r="Y1129" s="7"/>
      <c r="Z1129" s="7"/>
    </row>
    <row r="1130">
      <c r="A1130" s="6"/>
      <c r="B1130" s="6"/>
      <c r="C1130" s="6"/>
      <c r="D1130" s="6"/>
      <c r="E1130" s="6"/>
      <c r="F1130" s="6"/>
      <c r="G1130" s="6"/>
      <c r="H1130" s="6"/>
      <c r="I1130" s="6"/>
      <c r="J1130" s="6"/>
      <c r="K1130" s="6"/>
      <c r="L1130" s="80"/>
      <c r="M1130" s="80"/>
      <c r="N1130" s="80"/>
      <c r="O1130" s="80"/>
      <c r="P1130" s="6"/>
      <c r="Q1130" s="6"/>
      <c r="R1130" s="6"/>
      <c r="S1130" s="6"/>
      <c r="T1130" s="6"/>
      <c r="U1130" s="6"/>
      <c r="V1130" s="6"/>
      <c r="W1130" s="7"/>
      <c r="X1130" s="7"/>
      <c r="Y1130" s="7"/>
      <c r="Z1130" s="7"/>
    </row>
    <row r="1131">
      <c r="A1131" s="6"/>
      <c r="B1131" s="6"/>
      <c r="C1131" s="6"/>
      <c r="D1131" s="6"/>
      <c r="E1131" s="6"/>
      <c r="F1131" s="6"/>
      <c r="G1131" s="6"/>
      <c r="H1131" s="6"/>
      <c r="I1131" s="6"/>
      <c r="J1131" s="6"/>
      <c r="K1131" s="6"/>
      <c r="L1131" s="80"/>
      <c r="M1131" s="80"/>
      <c r="N1131" s="80"/>
      <c r="O1131" s="80"/>
      <c r="P1131" s="6"/>
      <c r="Q1131" s="6"/>
      <c r="R1131" s="6"/>
      <c r="S1131" s="6"/>
      <c r="T1131" s="6"/>
      <c r="U1131" s="6"/>
      <c r="V1131" s="6"/>
      <c r="W1131" s="7"/>
      <c r="X1131" s="7"/>
      <c r="Y1131" s="7"/>
      <c r="Z1131" s="7"/>
    </row>
    <row r="1132">
      <c r="A1132" s="6"/>
      <c r="B1132" s="6"/>
      <c r="C1132" s="6"/>
      <c r="D1132" s="6"/>
      <c r="E1132" s="6"/>
      <c r="F1132" s="6"/>
      <c r="G1132" s="6"/>
      <c r="H1132" s="6"/>
      <c r="I1132" s="6"/>
      <c r="J1132" s="6"/>
      <c r="K1132" s="6"/>
      <c r="L1132" s="80"/>
      <c r="M1132" s="80"/>
      <c r="N1132" s="80"/>
      <c r="O1132" s="80"/>
      <c r="P1132" s="6"/>
      <c r="Q1132" s="6"/>
      <c r="R1132" s="6"/>
      <c r="S1132" s="6"/>
      <c r="T1132" s="6"/>
      <c r="U1132" s="6"/>
      <c r="V1132" s="6"/>
      <c r="W1132" s="7"/>
      <c r="X1132" s="7"/>
      <c r="Y1132" s="7"/>
      <c r="Z1132" s="7"/>
    </row>
    <row r="1133">
      <c r="A1133" s="6"/>
      <c r="B1133" s="6"/>
      <c r="C1133" s="6"/>
      <c r="D1133" s="6"/>
      <c r="E1133" s="6"/>
      <c r="F1133" s="6"/>
      <c r="G1133" s="6"/>
      <c r="H1133" s="6"/>
      <c r="I1133" s="6"/>
      <c r="J1133" s="6"/>
      <c r="K1133" s="6"/>
      <c r="L1133" s="80"/>
      <c r="M1133" s="80"/>
      <c r="N1133" s="80"/>
      <c r="O1133" s="80"/>
      <c r="P1133" s="6"/>
      <c r="Q1133" s="6"/>
      <c r="R1133" s="6"/>
      <c r="S1133" s="6"/>
      <c r="T1133" s="6"/>
      <c r="U1133" s="6"/>
      <c r="V1133" s="6"/>
      <c r="W1133" s="7"/>
      <c r="X1133" s="7"/>
      <c r="Y1133" s="7"/>
      <c r="Z1133" s="7"/>
    </row>
    <row r="1134">
      <c r="A1134" s="6"/>
      <c r="B1134" s="6"/>
      <c r="C1134" s="6"/>
      <c r="D1134" s="6"/>
      <c r="E1134" s="6"/>
      <c r="F1134" s="6"/>
      <c r="G1134" s="6"/>
      <c r="H1134" s="6"/>
      <c r="I1134" s="6"/>
      <c r="J1134" s="6"/>
      <c r="K1134" s="6"/>
      <c r="L1134" s="80"/>
      <c r="M1134" s="80"/>
      <c r="N1134" s="80"/>
      <c r="O1134" s="80"/>
      <c r="P1134" s="6"/>
      <c r="Q1134" s="6"/>
      <c r="R1134" s="6"/>
      <c r="S1134" s="6"/>
      <c r="T1134" s="6"/>
      <c r="U1134" s="6"/>
      <c r="V1134" s="6"/>
      <c r="W1134" s="7"/>
      <c r="X1134" s="7"/>
      <c r="Y1134" s="7"/>
      <c r="Z1134" s="7"/>
    </row>
    <row r="1135">
      <c r="A1135" s="6"/>
      <c r="B1135" s="6"/>
      <c r="C1135" s="6"/>
      <c r="D1135" s="6"/>
      <c r="E1135" s="6"/>
      <c r="F1135" s="6"/>
      <c r="G1135" s="6"/>
      <c r="H1135" s="6"/>
      <c r="I1135" s="6"/>
      <c r="J1135" s="6"/>
      <c r="K1135" s="6"/>
      <c r="L1135" s="80"/>
      <c r="M1135" s="80"/>
      <c r="N1135" s="80"/>
      <c r="O1135" s="80"/>
      <c r="P1135" s="6"/>
      <c r="Q1135" s="6"/>
      <c r="R1135" s="6"/>
      <c r="S1135" s="6"/>
      <c r="T1135" s="6"/>
      <c r="U1135" s="6"/>
      <c r="V1135" s="6"/>
      <c r="W1135" s="7"/>
      <c r="X1135" s="7"/>
      <c r="Y1135" s="7"/>
      <c r="Z1135" s="7"/>
    </row>
    <row r="1136">
      <c r="A1136" s="6"/>
      <c r="B1136" s="6"/>
      <c r="C1136" s="6"/>
      <c r="D1136" s="6"/>
      <c r="E1136" s="6"/>
      <c r="F1136" s="6"/>
      <c r="G1136" s="6"/>
      <c r="H1136" s="6"/>
      <c r="I1136" s="6"/>
      <c r="J1136" s="6"/>
      <c r="K1136" s="6"/>
      <c r="L1136" s="80"/>
      <c r="M1136" s="80"/>
      <c r="N1136" s="80"/>
      <c r="O1136" s="80"/>
      <c r="P1136" s="6"/>
      <c r="Q1136" s="6"/>
      <c r="R1136" s="6"/>
      <c r="S1136" s="6"/>
      <c r="T1136" s="6"/>
      <c r="U1136" s="6"/>
      <c r="V1136" s="6"/>
      <c r="W1136" s="7"/>
      <c r="X1136" s="7"/>
      <c r="Y1136" s="7"/>
      <c r="Z1136" s="7"/>
    </row>
    <row r="1137">
      <c r="A1137" s="6"/>
      <c r="B1137" s="6"/>
      <c r="C1137" s="6"/>
      <c r="D1137" s="6"/>
      <c r="E1137" s="6"/>
      <c r="F1137" s="6"/>
      <c r="G1137" s="6"/>
      <c r="H1137" s="6"/>
      <c r="I1137" s="6"/>
      <c r="J1137" s="6"/>
      <c r="K1137" s="6"/>
      <c r="L1137" s="80"/>
      <c r="M1137" s="80"/>
      <c r="N1137" s="80"/>
      <c r="O1137" s="80"/>
      <c r="P1137" s="6"/>
      <c r="Q1137" s="6"/>
      <c r="R1137" s="6"/>
      <c r="S1137" s="6"/>
      <c r="T1137" s="6"/>
      <c r="U1137" s="6"/>
      <c r="V1137" s="6"/>
      <c r="W1137" s="7"/>
      <c r="X1137" s="7"/>
      <c r="Y1137" s="7"/>
      <c r="Z1137" s="7"/>
    </row>
    <row r="1138">
      <c r="A1138" s="6"/>
      <c r="B1138" s="6"/>
      <c r="C1138" s="6"/>
      <c r="D1138" s="6"/>
      <c r="E1138" s="6"/>
      <c r="F1138" s="6"/>
      <c r="G1138" s="6"/>
      <c r="H1138" s="6"/>
      <c r="I1138" s="6"/>
      <c r="J1138" s="6"/>
      <c r="K1138" s="6"/>
      <c r="L1138" s="80"/>
      <c r="M1138" s="80"/>
      <c r="N1138" s="80"/>
      <c r="O1138" s="80"/>
      <c r="P1138" s="6"/>
      <c r="Q1138" s="6"/>
      <c r="R1138" s="6"/>
      <c r="S1138" s="6"/>
      <c r="T1138" s="6"/>
      <c r="U1138" s="6"/>
      <c r="V1138" s="6"/>
      <c r="W1138" s="7"/>
      <c r="X1138" s="7"/>
      <c r="Y1138" s="7"/>
      <c r="Z1138" s="7"/>
    </row>
    <row r="1139">
      <c r="A1139" s="6"/>
      <c r="B1139" s="6"/>
      <c r="C1139" s="6"/>
      <c r="D1139" s="6"/>
      <c r="E1139" s="6"/>
      <c r="F1139" s="6"/>
      <c r="G1139" s="6"/>
      <c r="H1139" s="6"/>
      <c r="I1139" s="6"/>
      <c r="J1139" s="6"/>
      <c r="K1139" s="6"/>
      <c r="L1139" s="80"/>
      <c r="M1139" s="80"/>
      <c r="N1139" s="80"/>
      <c r="O1139" s="80"/>
      <c r="P1139" s="6"/>
      <c r="Q1139" s="6"/>
      <c r="R1139" s="6"/>
      <c r="S1139" s="6"/>
      <c r="T1139" s="6"/>
      <c r="U1139" s="6"/>
      <c r="V1139" s="6"/>
      <c r="W1139" s="7"/>
      <c r="X1139" s="7"/>
      <c r="Y1139" s="7"/>
      <c r="Z1139" s="7"/>
    </row>
    <row r="1140">
      <c r="A1140" s="6"/>
      <c r="B1140" s="6"/>
      <c r="C1140" s="6"/>
      <c r="D1140" s="6"/>
      <c r="E1140" s="6"/>
      <c r="F1140" s="6"/>
      <c r="G1140" s="6"/>
      <c r="H1140" s="6"/>
      <c r="I1140" s="6"/>
      <c r="J1140" s="6"/>
      <c r="K1140" s="6"/>
      <c r="L1140" s="80"/>
      <c r="M1140" s="80"/>
      <c r="N1140" s="80"/>
      <c r="O1140" s="80"/>
      <c r="P1140" s="6"/>
      <c r="Q1140" s="6"/>
      <c r="R1140" s="6"/>
      <c r="S1140" s="6"/>
      <c r="T1140" s="6"/>
      <c r="U1140" s="6"/>
      <c r="V1140" s="6"/>
      <c r="W1140" s="7"/>
      <c r="X1140" s="7"/>
      <c r="Y1140" s="7"/>
      <c r="Z1140" s="7"/>
    </row>
    <row r="1141">
      <c r="A1141" s="6"/>
      <c r="B1141" s="6"/>
      <c r="C1141" s="6"/>
      <c r="D1141" s="6"/>
      <c r="E1141" s="6"/>
      <c r="F1141" s="6"/>
      <c r="G1141" s="6"/>
      <c r="H1141" s="6"/>
      <c r="I1141" s="6"/>
      <c r="J1141" s="6"/>
      <c r="K1141" s="6"/>
      <c r="L1141" s="80"/>
      <c r="M1141" s="80"/>
      <c r="N1141" s="80"/>
      <c r="O1141" s="80"/>
      <c r="P1141" s="6"/>
      <c r="Q1141" s="6"/>
      <c r="R1141" s="6"/>
      <c r="S1141" s="6"/>
      <c r="T1141" s="6"/>
      <c r="U1141" s="6"/>
      <c r="V1141" s="6"/>
      <c r="W1141" s="7"/>
      <c r="X1141" s="7"/>
      <c r="Y1141" s="7"/>
      <c r="Z1141" s="7"/>
    </row>
    <row r="1142">
      <c r="A1142" s="6"/>
      <c r="B1142" s="6"/>
      <c r="C1142" s="6"/>
      <c r="D1142" s="6"/>
      <c r="E1142" s="6"/>
      <c r="F1142" s="6"/>
      <c r="G1142" s="6"/>
      <c r="H1142" s="6"/>
      <c r="I1142" s="6"/>
      <c r="J1142" s="6"/>
      <c r="K1142" s="6"/>
      <c r="L1142" s="80"/>
      <c r="M1142" s="80"/>
      <c r="N1142" s="80"/>
      <c r="O1142" s="80"/>
      <c r="P1142" s="6"/>
      <c r="Q1142" s="6"/>
      <c r="R1142" s="6"/>
      <c r="S1142" s="6"/>
      <c r="T1142" s="6"/>
      <c r="U1142" s="6"/>
      <c r="V1142" s="6"/>
      <c r="W1142" s="7"/>
      <c r="X1142" s="7"/>
      <c r="Y1142" s="7"/>
      <c r="Z1142" s="7"/>
    </row>
    <row r="1143">
      <c r="A1143" s="6"/>
      <c r="B1143" s="6"/>
      <c r="C1143" s="6"/>
      <c r="D1143" s="6"/>
      <c r="E1143" s="6"/>
      <c r="F1143" s="6"/>
      <c r="G1143" s="6"/>
      <c r="H1143" s="6"/>
      <c r="I1143" s="6"/>
      <c r="J1143" s="6"/>
      <c r="K1143" s="6"/>
      <c r="L1143" s="80"/>
      <c r="M1143" s="80"/>
      <c r="N1143" s="80"/>
      <c r="O1143" s="80"/>
      <c r="P1143" s="6"/>
      <c r="Q1143" s="6"/>
      <c r="R1143" s="6"/>
      <c r="S1143" s="6"/>
      <c r="T1143" s="6"/>
      <c r="U1143" s="6"/>
      <c r="V1143" s="6"/>
      <c r="W1143" s="7"/>
      <c r="X1143" s="7"/>
      <c r="Y1143" s="7"/>
      <c r="Z1143" s="7"/>
    </row>
    <row r="1144">
      <c r="A1144" s="6"/>
      <c r="B1144" s="6"/>
      <c r="C1144" s="6"/>
      <c r="D1144" s="6"/>
      <c r="E1144" s="6"/>
      <c r="F1144" s="6"/>
      <c r="G1144" s="6"/>
      <c r="H1144" s="6"/>
      <c r="I1144" s="6"/>
      <c r="J1144" s="6"/>
      <c r="K1144" s="6"/>
      <c r="L1144" s="80"/>
      <c r="M1144" s="80"/>
      <c r="N1144" s="80"/>
      <c r="O1144" s="80"/>
      <c r="P1144" s="6"/>
      <c r="Q1144" s="6"/>
      <c r="R1144" s="6"/>
      <c r="S1144" s="6"/>
      <c r="T1144" s="6"/>
      <c r="U1144" s="6"/>
      <c r="V1144" s="6"/>
      <c r="W1144" s="7"/>
      <c r="X1144" s="7"/>
      <c r="Y1144" s="7"/>
      <c r="Z1144" s="7"/>
    </row>
    <row r="1145">
      <c r="A1145" s="6"/>
      <c r="B1145" s="6"/>
      <c r="C1145" s="6"/>
      <c r="D1145" s="6"/>
      <c r="E1145" s="6"/>
      <c r="F1145" s="6"/>
      <c r="G1145" s="6"/>
      <c r="H1145" s="6"/>
      <c r="I1145" s="6"/>
      <c r="J1145" s="6"/>
      <c r="K1145" s="6"/>
      <c r="L1145" s="80"/>
      <c r="M1145" s="80"/>
      <c r="N1145" s="80"/>
      <c r="O1145" s="80"/>
      <c r="P1145" s="6"/>
      <c r="Q1145" s="6"/>
      <c r="R1145" s="6"/>
      <c r="S1145" s="6"/>
      <c r="T1145" s="6"/>
      <c r="U1145" s="6"/>
      <c r="V1145" s="6"/>
      <c r="W1145" s="7"/>
      <c r="X1145" s="7"/>
      <c r="Y1145" s="7"/>
      <c r="Z1145" s="7"/>
    </row>
    <row r="1146">
      <c r="A1146" s="6"/>
      <c r="B1146" s="6"/>
      <c r="C1146" s="6"/>
      <c r="D1146" s="6"/>
      <c r="E1146" s="6"/>
      <c r="F1146" s="6"/>
      <c r="G1146" s="6"/>
      <c r="H1146" s="6"/>
      <c r="I1146" s="6"/>
      <c r="J1146" s="6"/>
      <c r="K1146" s="6"/>
      <c r="L1146" s="80"/>
      <c r="M1146" s="80"/>
      <c r="N1146" s="80"/>
      <c r="O1146" s="80"/>
      <c r="P1146" s="6"/>
      <c r="Q1146" s="6"/>
      <c r="R1146" s="6"/>
      <c r="S1146" s="6"/>
      <c r="T1146" s="6"/>
      <c r="U1146" s="6"/>
      <c r="V1146" s="6"/>
      <c r="W1146" s="7"/>
      <c r="X1146" s="7"/>
      <c r="Y1146" s="7"/>
      <c r="Z1146" s="7"/>
    </row>
    <row r="1147">
      <c r="A1147" s="6"/>
      <c r="B1147" s="6"/>
      <c r="C1147" s="6"/>
      <c r="D1147" s="6"/>
      <c r="E1147" s="6"/>
      <c r="F1147" s="6"/>
      <c r="G1147" s="6"/>
      <c r="H1147" s="6"/>
      <c r="I1147" s="6"/>
      <c r="J1147" s="6"/>
      <c r="K1147" s="6"/>
      <c r="L1147" s="80"/>
      <c r="M1147" s="80"/>
      <c r="N1147" s="80"/>
      <c r="O1147" s="80"/>
      <c r="P1147" s="6"/>
      <c r="Q1147" s="6"/>
      <c r="R1147" s="6"/>
      <c r="S1147" s="6"/>
      <c r="T1147" s="6"/>
      <c r="U1147" s="6"/>
      <c r="V1147" s="6"/>
      <c r="W1147" s="7"/>
      <c r="X1147" s="7"/>
      <c r="Y1147" s="7"/>
      <c r="Z1147" s="7"/>
    </row>
    <row r="1148">
      <c r="A1148" s="6"/>
      <c r="B1148" s="6"/>
      <c r="C1148" s="6"/>
      <c r="D1148" s="6"/>
      <c r="E1148" s="6"/>
      <c r="F1148" s="6"/>
      <c r="G1148" s="6"/>
      <c r="H1148" s="6"/>
      <c r="I1148" s="6"/>
      <c r="J1148" s="6"/>
      <c r="K1148" s="6"/>
      <c r="L1148" s="80"/>
      <c r="M1148" s="80"/>
      <c r="N1148" s="80"/>
      <c r="O1148" s="80"/>
      <c r="P1148" s="6"/>
      <c r="Q1148" s="6"/>
      <c r="R1148" s="6"/>
      <c r="S1148" s="6"/>
      <c r="T1148" s="6"/>
      <c r="U1148" s="6"/>
      <c r="V1148" s="6"/>
      <c r="W1148" s="7"/>
      <c r="X1148" s="7"/>
      <c r="Y1148" s="7"/>
      <c r="Z1148" s="7"/>
    </row>
    <row r="1149">
      <c r="A1149" s="6"/>
      <c r="B1149" s="6"/>
      <c r="C1149" s="6"/>
      <c r="D1149" s="6"/>
      <c r="E1149" s="6"/>
      <c r="F1149" s="6"/>
      <c r="G1149" s="6"/>
      <c r="H1149" s="6"/>
      <c r="I1149" s="6"/>
      <c r="J1149" s="6"/>
      <c r="K1149" s="6"/>
      <c r="L1149" s="80"/>
      <c r="M1149" s="80"/>
      <c r="N1149" s="80"/>
      <c r="O1149" s="80"/>
      <c r="P1149" s="6"/>
      <c r="Q1149" s="6"/>
      <c r="R1149" s="6"/>
      <c r="S1149" s="6"/>
      <c r="T1149" s="6"/>
      <c r="U1149" s="6"/>
      <c r="V1149" s="6"/>
      <c r="W1149" s="7"/>
      <c r="X1149" s="7"/>
      <c r="Y1149" s="7"/>
      <c r="Z1149" s="7"/>
    </row>
    <row r="1150">
      <c r="A1150" s="6"/>
      <c r="B1150" s="6"/>
      <c r="C1150" s="6"/>
      <c r="D1150" s="6"/>
      <c r="E1150" s="6"/>
      <c r="F1150" s="6"/>
      <c r="G1150" s="6"/>
      <c r="H1150" s="6"/>
      <c r="I1150" s="6"/>
      <c r="J1150" s="6"/>
      <c r="K1150" s="6"/>
      <c r="L1150" s="80"/>
      <c r="M1150" s="80"/>
      <c r="N1150" s="80"/>
      <c r="O1150" s="80"/>
      <c r="P1150" s="6"/>
      <c r="Q1150" s="6"/>
      <c r="R1150" s="6"/>
      <c r="S1150" s="6"/>
      <c r="T1150" s="6"/>
      <c r="U1150" s="6"/>
      <c r="V1150" s="6"/>
      <c r="W1150" s="7"/>
      <c r="X1150" s="7"/>
      <c r="Y1150" s="7"/>
      <c r="Z1150" s="7"/>
    </row>
    <row r="1151">
      <c r="A1151" s="6"/>
      <c r="B1151" s="6"/>
      <c r="C1151" s="6"/>
      <c r="D1151" s="6"/>
      <c r="E1151" s="6"/>
      <c r="F1151" s="6"/>
      <c r="G1151" s="6"/>
      <c r="H1151" s="6"/>
      <c r="I1151" s="6"/>
      <c r="J1151" s="6"/>
      <c r="K1151" s="6"/>
      <c r="L1151" s="80"/>
      <c r="M1151" s="80"/>
      <c r="N1151" s="80"/>
      <c r="O1151" s="80"/>
      <c r="P1151" s="6"/>
      <c r="Q1151" s="6"/>
      <c r="R1151" s="6"/>
      <c r="S1151" s="6"/>
      <c r="T1151" s="6"/>
      <c r="U1151" s="6"/>
      <c r="V1151" s="6"/>
      <c r="W1151" s="7"/>
      <c r="X1151" s="7"/>
      <c r="Y1151" s="7"/>
      <c r="Z1151" s="7"/>
    </row>
    <row r="1152">
      <c r="A1152" s="6"/>
      <c r="B1152" s="6"/>
      <c r="C1152" s="6"/>
      <c r="D1152" s="6"/>
      <c r="E1152" s="6"/>
      <c r="F1152" s="6"/>
      <c r="G1152" s="6"/>
      <c r="H1152" s="6"/>
      <c r="I1152" s="6"/>
      <c r="J1152" s="6"/>
      <c r="K1152" s="6"/>
      <c r="L1152" s="80"/>
      <c r="M1152" s="80"/>
      <c r="N1152" s="80"/>
      <c r="O1152" s="80"/>
      <c r="P1152" s="6"/>
      <c r="Q1152" s="6"/>
      <c r="R1152" s="6"/>
      <c r="S1152" s="6"/>
      <c r="T1152" s="6"/>
      <c r="U1152" s="6"/>
      <c r="V1152" s="6"/>
      <c r="W1152" s="7"/>
      <c r="X1152" s="7"/>
      <c r="Y1152" s="7"/>
      <c r="Z1152" s="7"/>
    </row>
    <row r="1153">
      <c r="A1153" s="6"/>
      <c r="B1153" s="6"/>
      <c r="C1153" s="6"/>
      <c r="D1153" s="6"/>
      <c r="E1153" s="6"/>
      <c r="F1153" s="6"/>
      <c r="G1153" s="6"/>
      <c r="H1153" s="6"/>
      <c r="I1153" s="6"/>
      <c r="J1153" s="6"/>
      <c r="K1153" s="6"/>
      <c r="L1153" s="80"/>
      <c r="M1153" s="80"/>
      <c r="N1153" s="80"/>
      <c r="O1153" s="80"/>
      <c r="P1153" s="6"/>
      <c r="Q1153" s="6"/>
      <c r="R1153" s="6"/>
      <c r="S1153" s="6"/>
      <c r="T1153" s="6"/>
      <c r="U1153" s="6"/>
      <c r="V1153" s="6"/>
      <c r="W1153" s="7"/>
      <c r="X1153" s="7"/>
      <c r="Y1153" s="7"/>
      <c r="Z1153" s="7"/>
    </row>
    <row r="1154">
      <c r="A1154" s="6"/>
      <c r="B1154" s="6"/>
      <c r="C1154" s="6"/>
      <c r="D1154" s="6"/>
      <c r="E1154" s="6"/>
      <c r="F1154" s="6"/>
      <c r="G1154" s="6"/>
      <c r="H1154" s="6"/>
      <c r="I1154" s="6"/>
      <c r="J1154" s="6"/>
      <c r="K1154" s="6"/>
      <c r="L1154" s="80"/>
      <c r="M1154" s="80"/>
      <c r="N1154" s="80"/>
      <c r="O1154" s="80"/>
      <c r="P1154" s="6"/>
      <c r="Q1154" s="6"/>
      <c r="R1154" s="6"/>
      <c r="S1154" s="6"/>
      <c r="T1154" s="6"/>
      <c r="U1154" s="6"/>
      <c r="V1154" s="6"/>
      <c r="W1154" s="7"/>
      <c r="X1154" s="7"/>
      <c r="Y1154" s="7"/>
      <c r="Z1154" s="7"/>
    </row>
    <row r="1155">
      <c r="A1155" s="6"/>
      <c r="B1155" s="6"/>
      <c r="C1155" s="6"/>
      <c r="D1155" s="6"/>
      <c r="E1155" s="6"/>
      <c r="F1155" s="6"/>
      <c r="G1155" s="6"/>
      <c r="H1155" s="6"/>
      <c r="I1155" s="6"/>
      <c r="J1155" s="6"/>
      <c r="K1155" s="6"/>
      <c r="L1155" s="80"/>
      <c r="M1155" s="80"/>
      <c r="N1155" s="80"/>
      <c r="O1155" s="80"/>
      <c r="P1155" s="6"/>
      <c r="Q1155" s="6"/>
      <c r="R1155" s="6"/>
      <c r="S1155" s="6"/>
      <c r="T1155" s="6"/>
      <c r="U1155" s="6"/>
      <c r="V1155" s="6"/>
      <c r="W1155" s="7"/>
      <c r="X1155" s="7"/>
      <c r="Y1155" s="7"/>
      <c r="Z1155" s="7"/>
    </row>
    <row r="1156">
      <c r="A1156" s="6"/>
      <c r="B1156" s="6"/>
      <c r="C1156" s="6"/>
      <c r="D1156" s="6"/>
      <c r="E1156" s="6"/>
      <c r="F1156" s="6"/>
      <c r="G1156" s="6"/>
      <c r="H1156" s="6"/>
      <c r="I1156" s="6"/>
      <c r="J1156" s="6"/>
      <c r="K1156" s="6"/>
      <c r="L1156" s="80"/>
      <c r="M1156" s="80"/>
      <c r="N1156" s="80"/>
      <c r="O1156" s="80"/>
      <c r="P1156" s="6"/>
      <c r="Q1156" s="6"/>
      <c r="R1156" s="6"/>
      <c r="S1156" s="6"/>
      <c r="T1156" s="6"/>
      <c r="U1156" s="6"/>
      <c r="V1156" s="6"/>
      <c r="W1156" s="7"/>
      <c r="X1156" s="7"/>
      <c r="Y1156" s="7"/>
      <c r="Z1156" s="7"/>
    </row>
    <row r="1157">
      <c r="A1157" s="6"/>
      <c r="B1157" s="6"/>
      <c r="C1157" s="6"/>
      <c r="D1157" s="6"/>
      <c r="E1157" s="6"/>
      <c r="F1157" s="6"/>
      <c r="G1157" s="6"/>
      <c r="H1157" s="6"/>
      <c r="I1157" s="6"/>
      <c r="J1157" s="6"/>
      <c r="K1157" s="6"/>
      <c r="L1157" s="80"/>
      <c r="M1157" s="80"/>
      <c r="N1157" s="80"/>
      <c r="O1157" s="80"/>
      <c r="P1157" s="6"/>
      <c r="Q1157" s="6"/>
      <c r="R1157" s="6"/>
      <c r="S1157" s="6"/>
      <c r="T1157" s="6"/>
      <c r="U1157" s="6"/>
      <c r="V1157" s="6"/>
      <c r="W1157" s="7"/>
      <c r="X1157" s="7"/>
      <c r="Y1157" s="7"/>
      <c r="Z1157" s="7"/>
    </row>
    <row r="1158">
      <c r="A1158" s="6"/>
      <c r="B1158" s="6"/>
      <c r="C1158" s="6"/>
      <c r="D1158" s="6"/>
      <c r="E1158" s="6"/>
      <c r="F1158" s="6"/>
      <c r="G1158" s="6"/>
      <c r="H1158" s="6"/>
      <c r="I1158" s="6"/>
      <c r="J1158" s="6"/>
      <c r="K1158" s="6"/>
      <c r="L1158" s="80"/>
      <c r="M1158" s="80"/>
      <c r="N1158" s="80"/>
      <c r="O1158" s="80"/>
      <c r="P1158" s="6"/>
      <c r="Q1158" s="6"/>
      <c r="R1158" s="6"/>
      <c r="S1158" s="6"/>
      <c r="T1158" s="6"/>
      <c r="U1158" s="6"/>
      <c r="V1158" s="6"/>
      <c r="W1158" s="7"/>
      <c r="X1158" s="7"/>
      <c r="Y1158" s="7"/>
      <c r="Z1158" s="7"/>
    </row>
    <row r="1159">
      <c r="A1159" s="6"/>
      <c r="B1159" s="6"/>
      <c r="C1159" s="6"/>
      <c r="D1159" s="6"/>
      <c r="E1159" s="6"/>
      <c r="F1159" s="6"/>
      <c r="G1159" s="6"/>
      <c r="H1159" s="6"/>
      <c r="I1159" s="6"/>
      <c r="J1159" s="6"/>
      <c r="K1159" s="6"/>
      <c r="L1159" s="80"/>
      <c r="M1159" s="80"/>
      <c r="N1159" s="80"/>
      <c r="O1159" s="80"/>
      <c r="P1159" s="6"/>
      <c r="Q1159" s="6"/>
      <c r="R1159" s="6"/>
      <c r="S1159" s="6"/>
      <c r="T1159" s="6"/>
      <c r="U1159" s="6"/>
      <c r="V1159" s="6"/>
      <c r="W1159" s="7"/>
      <c r="X1159" s="7"/>
      <c r="Y1159" s="7"/>
      <c r="Z1159" s="7"/>
    </row>
    <row r="1160">
      <c r="A1160" s="6"/>
      <c r="B1160" s="6"/>
      <c r="C1160" s="6"/>
      <c r="D1160" s="6"/>
      <c r="E1160" s="6"/>
      <c r="F1160" s="6"/>
      <c r="G1160" s="6"/>
      <c r="H1160" s="6"/>
      <c r="I1160" s="6"/>
      <c r="J1160" s="6"/>
      <c r="K1160" s="6"/>
      <c r="L1160" s="80"/>
      <c r="M1160" s="80"/>
      <c r="N1160" s="80"/>
      <c r="O1160" s="80"/>
      <c r="P1160" s="6"/>
      <c r="Q1160" s="6"/>
      <c r="R1160" s="6"/>
      <c r="S1160" s="6"/>
      <c r="T1160" s="6"/>
      <c r="U1160" s="6"/>
      <c r="V1160" s="6"/>
      <c r="W1160" s="7"/>
      <c r="X1160" s="7"/>
      <c r="Y1160" s="7"/>
      <c r="Z1160" s="7"/>
    </row>
    <row r="1161">
      <c r="A1161" s="6"/>
      <c r="B1161" s="6"/>
      <c r="C1161" s="6"/>
      <c r="D1161" s="6"/>
      <c r="E1161" s="6"/>
      <c r="F1161" s="6"/>
      <c r="G1161" s="6"/>
      <c r="H1161" s="6"/>
      <c r="I1161" s="6"/>
      <c r="J1161" s="6"/>
      <c r="K1161" s="6"/>
      <c r="L1161" s="80"/>
      <c r="M1161" s="80"/>
      <c r="N1161" s="80"/>
      <c r="O1161" s="80"/>
      <c r="P1161" s="6"/>
      <c r="Q1161" s="6"/>
      <c r="R1161" s="6"/>
      <c r="S1161" s="6"/>
      <c r="T1161" s="6"/>
      <c r="U1161" s="6"/>
      <c r="V1161" s="6"/>
      <c r="W1161" s="7"/>
      <c r="X1161" s="7"/>
      <c r="Y1161" s="7"/>
      <c r="Z1161" s="7"/>
    </row>
    <row r="1162">
      <c r="A1162" s="6"/>
      <c r="B1162" s="6"/>
      <c r="C1162" s="6"/>
      <c r="D1162" s="6"/>
      <c r="E1162" s="6"/>
      <c r="F1162" s="6"/>
      <c r="G1162" s="6"/>
      <c r="H1162" s="6"/>
      <c r="I1162" s="6"/>
      <c r="J1162" s="6"/>
      <c r="K1162" s="6"/>
      <c r="L1162" s="80"/>
      <c r="M1162" s="80"/>
      <c r="N1162" s="80"/>
      <c r="O1162" s="80"/>
      <c r="P1162" s="6"/>
      <c r="Q1162" s="6"/>
      <c r="R1162" s="6"/>
      <c r="S1162" s="6"/>
      <c r="T1162" s="6"/>
      <c r="U1162" s="6"/>
      <c r="V1162" s="6"/>
      <c r="W1162" s="7"/>
      <c r="X1162" s="7"/>
      <c r="Y1162" s="7"/>
      <c r="Z1162" s="7"/>
    </row>
    <row r="1163">
      <c r="A1163" s="6"/>
      <c r="B1163" s="6"/>
      <c r="C1163" s="6"/>
      <c r="D1163" s="6"/>
      <c r="E1163" s="6"/>
      <c r="F1163" s="6"/>
      <c r="G1163" s="6"/>
      <c r="H1163" s="6"/>
      <c r="I1163" s="6"/>
      <c r="J1163" s="6"/>
      <c r="K1163" s="6"/>
      <c r="L1163" s="80"/>
      <c r="M1163" s="80"/>
      <c r="N1163" s="80"/>
      <c r="O1163" s="80"/>
      <c r="P1163" s="6"/>
      <c r="Q1163" s="6"/>
      <c r="R1163" s="6"/>
      <c r="S1163" s="6"/>
      <c r="T1163" s="6"/>
      <c r="U1163" s="6"/>
      <c r="V1163" s="6"/>
      <c r="W1163" s="7"/>
      <c r="X1163" s="7"/>
      <c r="Y1163" s="7"/>
      <c r="Z1163" s="7"/>
    </row>
    <row r="1164">
      <c r="A1164" s="6"/>
      <c r="B1164" s="6"/>
      <c r="C1164" s="6"/>
      <c r="D1164" s="6"/>
      <c r="E1164" s="6"/>
      <c r="F1164" s="6"/>
      <c r="G1164" s="6"/>
      <c r="H1164" s="6"/>
      <c r="I1164" s="6"/>
      <c r="J1164" s="6"/>
      <c r="K1164" s="6"/>
      <c r="L1164" s="80"/>
      <c r="M1164" s="80"/>
      <c r="N1164" s="80"/>
      <c r="O1164" s="80"/>
      <c r="P1164" s="6"/>
      <c r="Q1164" s="6"/>
      <c r="R1164" s="6"/>
      <c r="S1164" s="6"/>
      <c r="T1164" s="6"/>
      <c r="U1164" s="6"/>
      <c r="V1164" s="6"/>
      <c r="W1164" s="7"/>
      <c r="X1164" s="7"/>
      <c r="Y1164" s="7"/>
      <c r="Z1164" s="7"/>
    </row>
    <row r="1165">
      <c r="A1165" s="6"/>
      <c r="B1165" s="6"/>
      <c r="C1165" s="6"/>
      <c r="D1165" s="6"/>
      <c r="E1165" s="6"/>
      <c r="F1165" s="6"/>
      <c r="G1165" s="6"/>
      <c r="H1165" s="6"/>
      <c r="I1165" s="6"/>
      <c r="J1165" s="6"/>
      <c r="K1165" s="6"/>
      <c r="L1165" s="80"/>
      <c r="M1165" s="80"/>
      <c r="N1165" s="80"/>
      <c r="O1165" s="80"/>
      <c r="P1165" s="6"/>
      <c r="Q1165" s="6"/>
      <c r="R1165" s="6"/>
      <c r="S1165" s="6"/>
      <c r="T1165" s="6"/>
      <c r="U1165" s="6"/>
      <c r="V1165" s="6"/>
      <c r="W1165" s="7"/>
      <c r="X1165" s="7"/>
      <c r="Y1165" s="7"/>
      <c r="Z1165" s="7"/>
    </row>
    <row r="1166">
      <c r="A1166" s="6"/>
      <c r="B1166" s="6"/>
      <c r="C1166" s="6"/>
      <c r="D1166" s="6"/>
      <c r="E1166" s="6"/>
      <c r="F1166" s="6"/>
      <c r="G1166" s="6"/>
      <c r="H1166" s="6"/>
      <c r="I1166" s="6"/>
      <c r="J1166" s="6"/>
      <c r="K1166" s="6"/>
      <c r="L1166" s="80"/>
      <c r="M1166" s="80"/>
      <c r="N1166" s="80"/>
      <c r="O1166" s="80"/>
      <c r="P1166" s="6"/>
      <c r="Q1166" s="6"/>
      <c r="R1166" s="6"/>
      <c r="S1166" s="6"/>
      <c r="T1166" s="6"/>
      <c r="U1166" s="6"/>
      <c r="V1166" s="6"/>
      <c r="W1166" s="7"/>
      <c r="X1166" s="7"/>
      <c r="Y1166" s="7"/>
      <c r="Z1166" s="7"/>
    </row>
    <row r="1167">
      <c r="A1167" s="6"/>
      <c r="B1167" s="6"/>
      <c r="C1167" s="6"/>
      <c r="D1167" s="6"/>
      <c r="E1167" s="6"/>
      <c r="F1167" s="6"/>
      <c r="G1167" s="6"/>
      <c r="H1167" s="6"/>
      <c r="I1167" s="6"/>
      <c r="J1167" s="6"/>
      <c r="K1167" s="6"/>
      <c r="L1167" s="80"/>
      <c r="M1167" s="80"/>
      <c r="N1167" s="80"/>
      <c r="O1167" s="80"/>
      <c r="P1167" s="6"/>
      <c r="Q1167" s="6"/>
      <c r="R1167" s="6"/>
      <c r="S1167" s="6"/>
      <c r="T1167" s="6"/>
      <c r="U1167" s="6"/>
      <c r="V1167" s="6"/>
      <c r="W1167" s="7"/>
      <c r="X1167" s="7"/>
      <c r="Y1167" s="7"/>
      <c r="Z1167" s="7"/>
    </row>
    <row r="1168">
      <c r="A1168" s="6"/>
      <c r="B1168" s="6"/>
      <c r="C1168" s="6"/>
      <c r="D1168" s="6"/>
      <c r="E1168" s="6"/>
      <c r="F1168" s="6"/>
      <c r="G1168" s="6"/>
      <c r="H1168" s="6"/>
      <c r="I1168" s="6"/>
      <c r="J1168" s="6"/>
      <c r="K1168" s="6"/>
      <c r="L1168" s="80"/>
      <c r="M1168" s="80"/>
      <c r="N1168" s="80"/>
      <c r="O1168" s="80"/>
      <c r="P1168" s="6"/>
      <c r="Q1168" s="6"/>
      <c r="R1168" s="6"/>
      <c r="S1168" s="6"/>
      <c r="T1168" s="6"/>
      <c r="U1168" s="6"/>
      <c r="V1168" s="6"/>
      <c r="W1168" s="7"/>
      <c r="X1168" s="7"/>
      <c r="Y1168" s="7"/>
      <c r="Z1168" s="7"/>
    </row>
    <row r="1169">
      <c r="A1169" s="6"/>
      <c r="B1169" s="6"/>
      <c r="C1169" s="6"/>
      <c r="D1169" s="6"/>
      <c r="E1169" s="6"/>
      <c r="F1169" s="6"/>
      <c r="G1169" s="6"/>
      <c r="H1169" s="6"/>
      <c r="I1169" s="6"/>
      <c r="J1169" s="6"/>
      <c r="K1169" s="6"/>
      <c r="L1169" s="80"/>
      <c r="M1169" s="80"/>
      <c r="N1169" s="80"/>
      <c r="O1169" s="80"/>
      <c r="P1169" s="6"/>
      <c r="Q1169" s="6"/>
      <c r="R1169" s="6"/>
      <c r="S1169" s="6"/>
      <c r="T1169" s="6"/>
      <c r="U1169" s="6"/>
      <c r="V1169" s="6"/>
      <c r="W1169" s="7"/>
      <c r="X1169" s="7"/>
      <c r="Y1169" s="7"/>
      <c r="Z1169" s="7"/>
    </row>
    <row r="1170">
      <c r="A1170" s="6"/>
      <c r="B1170" s="6"/>
      <c r="C1170" s="6"/>
      <c r="D1170" s="6"/>
      <c r="E1170" s="6"/>
      <c r="F1170" s="6"/>
      <c r="G1170" s="6"/>
      <c r="H1170" s="6"/>
      <c r="I1170" s="6"/>
      <c r="J1170" s="6"/>
      <c r="K1170" s="6"/>
      <c r="L1170" s="80"/>
      <c r="M1170" s="80"/>
      <c r="N1170" s="80"/>
      <c r="O1170" s="80"/>
      <c r="P1170" s="6"/>
      <c r="Q1170" s="6"/>
      <c r="R1170" s="6"/>
      <c r="S1170" s="6"/>
      <c r="T1170" s="6"/>
      <c r="U1170" s="6"/>
      <c r="V1170" s="6"/>
      <c r="W1170" s="7"/>
      <c r="X1170" s="7"/>
      <c r="Y1170" s="7"/>
      <c r="Z1170" s="7"/>
    </row>
    <row r="1171">
      <c r="A1171" s="6"/>
      <c r="B1171" s="6"/>
      <c r="C1171" s="6"/>
      <c r="D1171" s="6"/>
      <c r="E1171" s="6"/>
      <c r="F1171" s="6"/>
      <c r="G1171" s="6"/>
      <c r="H1171" s="6"/>
      <c r="I1171" s="6"/>
      <c r="J1171" s="6"/>
      <c r="K1171" s="6"/>
      <c r="L1171" s="80"/>
      <c r="M1171" s="80"/>
      <c r="N1171" s="80"/>
      <c r="O1171" s="80"/>
      <c r="P1171" s="6"/>
      <c r="Q1171" s="6"/>
      <c r="R1171" s="6"/>
      <c r="S1171" s="6"/>
      <c r="T1171" s="6"/>
      <c r="U1171" s="6"/>
      <c r="V1171" s="6"/>
      <c r="W1171" s="7"/>
      <c r="X1171" s="7"/>
      <c r="Y1171" s="7"/>
      <c r="Z1171" s="7"/>
    </row>
    <row r="1172">
      <c r="A1172" s="6"/>
      <c r="B1172" s="6"/>
      <c r="C1172" s="6"/>
      <c r="D1172" s="6"/>
      <c r="E1172" s="6"/>
      <c r="F1172" s="6"/>
      <c r="G1172" s="6"/>
      <c r="H1172" s="6"/>
      <c r="I1172" s="6"/>
      <c r="J1172" s="6"/>
      <c r="K1172" s="6"/>
      <c r="L1172" s="80"/>
      <c r="M1172" s="80"/>
      <c r="N1172" s="80"/>
      <c r="O1172" s="80"/>
      <c r="P1172" s="6"/>
      <c r="Q1172" s="6"/>
      <c r="R1172" s="6"/>
      <c r="S1172" s="6"/>
      <c r="T1172" s="6"/>
      <c r="U1172" s="6"/>
      <c r="V1172" s="6"/>
      <c r="W1172" s="7"/>
      <c r="X1172" s="7"/>
      <c r="Y1172" s="7"/>
      <c r="Z1172" s="7"/>
    </row>
    <row r="1173">
      <c r="A1173" s="6"/>
      <c r="B1173" s="6"/>
      <c r="C1173" s="6"/>
      <c r="D1173" s="6"/>
      <c r="E1173" s="6"/>
      <c r="F1173" s="6"/>
      <c r="G1173" s="6"/>
      <c r="H1173" s="6"/>
      <c r="I1173" s="6"/>
      <c r="J1173" s="6"/>
      <c r="K1173" s="6"/>
      <c r="L1173" s="80"/>
      <c r="M1173" s="80"/>
      <c r="N1173" s="80"/>
      <c r="O1173" s="80"/>
      <c r="P1173" s="6"/>
      <c r="Q1173" s="6"/>
      <c r="R1173" s="6"/>
      <c r="S1173" s="6"/>
      <c r="T1173" s="6"/>
      <c r="U1173" s="6"/>
      <c r="V1173" s="6"/>
      <c r="W1173" s="7"/>
      <c r="X1173" s="7"/>
      <c r="Y1173" s="7"/>
      <c r="Z1173" s="7"/>
    </row>
    <row r="1174">
      <c r="A1174" s="6"/>
      <c r="B1174" s="6"/>
      <c r="C1174" s="6"/>
      <c r="D1174" s="6"/>
      <c r="E1174" s="6"/>
      <c r="F1174" s="6"/>
      <c r="G1174" s="6"/>
      <c r="H1174" s="6"/>
      <c r="I1174" s="6"/>
      <c r="J1174" s="6"/>
      <c r="K1174" s="6"/>
      <c r="L1174" s="80"/>
      <c r="M1174" s="80"/>
      <c r="N1174" s="80"/>
      <c r="O1174" s="80"/>
      <c r="P1174" s="6"/>
      <c r="Q1174" s="6"/>
      <c r="R1174" s="6"/>
      <c r="S1174" s="6"/>
      <c r="T1174" s="6"/>
      <c r="U1174" s="6"/>
      <c r="V1174" s="6"/>
      <c r="W1174" s="7"/>
      <c r="X1174" s="7"/>
      <c r="Y1174" s="7"/>
      <c r="Z1174" s="7"/>
    </row>
    <row r="1175">
      <c r="A1175" s="6"/>
      <c r="B1175" s="6"/>
      <c r="C1175" s="6"/>
      <c r="D1175" s="6"/>
      <c r="E1175" s="6"/>
      <c r="F1175" s="6"/>
      <c r="G1175" s="6"/>
      <c r="H1175" s="6"/>
      <c r="I1175" s="6"/>
      <c r="J1175" s="6"/>
      <c r="K1175" s="6"/>
      <c r="L1175" s="80"/>
      <c r="M1175" s="80"/>
      <c r="N1175" s="80"/>
      <c r="O1175" s="80"/>
      <c r="P1175" s="6"/>
      <c r="Q1175" s="6"/>
      <c r="R1175" s="6"/>
      <c r="S1175" s="6"/>
      <c r="T1175" s="6"/>
      <c r="U1175" s="6"/>
      <c r="V1175" s="6"/>
      <c r="W1175" s="7"/>
      <c r="X1175" s="7"/>
      <c r="Y1175" s="7"/>
      <c r="Z1175" s="7"/>
    </row>
    <row r="1176">
      <c r="A1176" s="6"/>
      <c r="B1176" s="6"/>
      <c r="C1176" s="6"/>
      <c r="D1176" s="6"/>
      <c r="E1176" s="6"/>
      <c r="F1176" s="6"/>
      <c r="G1176" s="6"/>
      <c r="H1176" s="6"/>
      <c r="I1176" s="6"/>
      <c r="J1176" s="6"/>
      <c r="K1176" s="6"/>
      <c r="L1176" s="80"/>
      <c r="M1176" s="80"/>
      <c r="N1176" s="80"/>
      <c r="O1176" s="80"/>
      <c r="P1176" s="6"/>
      <c r="Q1176" s="6"/>
      <c r="R1176" s="6"/>
      <c r="S1176" s="6"/>
      <c r="T1176" s="6"/>
      <c r="U1176" s="6"/>
      <c r="V1176" s="6"/>
      <c r="W1176" s="7"/>
      <c r="X1176" s="7"/>
      <c r="Y1176" s="7"/>
      <c r="Z1176" s="7"/>
    </row>
    <row r="1177">
      <c r="A1177" s="6"/>
      <c r="B1177" s="6"/>
      <c r="C1177" s="6"/>
      <c r="D1177" s="6"/>
      <c r="E1177" s="6"/>
      <c r="F1177" s="6"/>
      <c r="G1177" s="6"/>
      <c r="H1177" s="6"/>
      <c r="I1177" s="6"/>
      <c r="J1177" s="6"/>
      <c r="K1177" s="6"/>
      <c r="L1177" s="80"/>
      <c r="M1177" s="80"/>
      <c r="N1177" s="80"/>
      <c r="O1177" s="80"/>
      <c r="P1177" s="6"/>
      <c r="Q1177" s="6"/>
      <c r="R1177" s="6"/>
      <c r="S1177" s="6"/>
      <c r="T1177" s="6"/>
      <c r="U1177" s="6"/>
      <c r="V1177" s="6"/>
      <c r="W1177" s="7"/>
      <c r="X1177" s="7"/>
      <c r="Y1177" s="7"/>
      <c r="Z1177" s="7"/>
    </row>
    <row r="1178">
      <c r="A1178" s="6"/>
      <c r="B1178" s="6"/>
      <c r="C1178" s="6"/>
      <c r="D1178" s="6"/>
      <c r="E1178" s="6"/>
      <c r="F1178" s="6"/>
      <c r="G1178" s="6"/>
      <c r="H1178" s="6"/>
      <c r="I1178" s="6"/>
      <c r="J1178" s="6"/>
      <c r="K1178" s="6"/>
      <c r="L1178" s="80"/>
      <c r="M1178" s="80"/>
      <c r="N1178" s="80"/>
      <c r="O1178" s="80"/>
      <c r="P1178" s="6"/>
      <c r="Q1178" s="6"/>
      <c r="R1178" s="6"/>
      <c r="S1178" s="6"/>
      <c r="T1178" s="6"/>
      <c r="U1178" s="6"/>
      <c r="V1178" s="6"/>
      <c r="W1178" s="7"/>
      <c r="X1178" s="7"/>
      <c r="Y1178" s="7"/>
      <c r="Z1178" s="7"/>
    </row>
    <row r="1179">
      <c r="A1179" s="6"/>
      <c r="B1179" s="6"/>
      <c r="C1179" s="6"/>
      <c r="D1179" s="6"/>
      <c r="E1179" s="6"/>
      <c r="F1179" s="6"/>
      <c r="G1179" s="6"/>
      <c r="H1179" s="6"/>
      <c r="I1179" s="6"/>
      <c r="J1179" s="6"/>
      <c r="K1179" s="6"/>
      <c r="L1179" s="80"/>
      <c r="M1179" s="80"/>
      <c r="N1179" s="80"/>
      <c r="O1179" s="80"/>
      <c r="P1179" s="6"/>
      <c r="Q1179" s="6"/>
      <c r="R1179" s="6"/>
      <c r="S1179" s="6"/>
      <c r="T1179" s="6"/>
      <c r="U1179" s="6"/>
      <c r="V1179" s="6"/>
      <c r="W1179" s="7"/>
      <c r="X1179" s="7"/>
      <c r="Y1179" s="7"/>
      <c r="Z1179" s="7"/>
    </row>
    <row r="1180">
      <c r="A1180" s="6"/>
      <c r="B1180" s="6"/>
      <c r="C1180" s="6"/>
      <c r="D1180" s="6"/>
      <c r="E1180" s="6"/>
      <c r="F1180" s="6"/>
      <c r="G1180" s="6"/>
      <c r="H1180" s="6"/>
      <c r="I1180" s="6"/>
      <c r="J1180" s="6"/>
      <c r="K1180" s="6"/>
      <c r="L1180" s="80"/>
      <c r="M1180" s="80"/>
      <c r="N1180" s="80"/>
      <c r="O1180" s="80"/>
      <c r="P1180" s="6"/>
      <c r="Q1180" s="6"/>
      <c r="R1180" s="6"/>
      <c r="S1180" s="6"/>
      <c r="T1180" s="6"/>
      <c r="U1180" s="6"/>
      <c r="V1180" s="6"/>
      <c r="W1180" s="7"/>
      <c r="X1180" s="7"/>
      <c r="Y1180" s="7"/>
      <c r="Z1180" s="7"/>
    </row>
    <row r="1181">
      <c r="A1181" s="6"/>
      <c r="B1181" s="6"/>
      <c r="C1181" s="6"/>
      <c r="D1181" s="6"/>
      <c r="E1181" s="6"/>
      <c r="F1181" s="6"/>
      <c r="G1181" s="6"/>
      <c r="H1181" s="6"/>
      <c r="I1181" s="6"/>
      <c r="J1181" s="6"/>
      <c r="K1181" s="6"/>
      <c r="L1181" s="80"/>
      <c r="M1181" s="80"/>
      <c r="N1181" s="80"/>
      <c r="O1181" s="80"/>
      <c r="P1181" s="6"/>
      <c r="Q1181" s="6"/>
      <c r="R1181" s="6"/>
      <c r="S1181" s="6"/>
      <c r="T1181" s="6"/>
      <c r="U1181" s="6"/>
      <c r="V1181" s="6"/>
      <c r="W1181" s="7"/>
      <c r="X1181" s="7"/>
      <c r="Y1181" s="7"/>
      <c r="Z1181" s="7"/>
    </row>
    <row r="1182">
      <c r="A1182" s="6"/>
      <c r="B1182" s="6"/>
      <c r="C1182" s="6"/>
      <c r="D1182" s="6"/>
      <c r="E1182" s="6"/>
      <c r="F1182" s="6"/>
      <c r="G1182" s="6"/>
      <c r="H1182" s="6"/>
      <c r="I1182" s="6"/>
      <c r="J1182" s="6"/>
      <c r="K1182" s="6"/>
      <c r="L1182" s="80"/>
      <c r="M1182" s="80"/>
      <c r="N1182" s="80"/>
      <c r="O1182" s="80"/>
      <c r="P1182" s="6"/>
      <c r="Q1182" s="6"/>
      <c r="R1182" s="6"/>
      <c r="S1182" s="6"/>
      <c r="T1182" s="6"/>
      <c r="U1182" s="6"/>
      <c r="V1182" s="6"/>
      <c r="W1182" s="7"/>
      <c r="X1182" s="7"/>
      <c r="Y1182" s="7"/>
      <c r="Z1182" s="7"/>
    </row>
    <row r="1183">
      <c r="A1183" s="6"/>
      <c r="B1183" s="6"/>
      <c r="C1183" s="6"/>
      <c r="D1183" s="6"/>
      <c r="E1183" s="6"/>
      <c r="F1183" s="6"/>
      <c r="G1183" s="6"/>
      <c r="H1183" s="6"/>
      <c r="I1183" s="6"/>
      <c r="J1183" s="6"/>
      <c r="K1183" s="6"/>
      <c r="L1183" s="80"/>
      <c r="M1183" s="80"/>
      <c r="N1183" s="80"/>
      <c r="O1183" s="80"/>
      <c r="P1183" s="6"/>
      <c r="Q1183" s="6"/>
      <c r="R1183" s="6"/>
      <c r="S1183" s="6"/>
      <c r="T1183" s="6"/>
      <c r="U1183" s="6"/>
      <c r="V1183" s="6"/>
      <c r="W1183" s="7"/>
      <c r="X1183" s="7"/>
      <c r="Y1183" s="7"/>
      <c r="Z1183" s="7"/>
    </row>
    <row r="1184">
      <c r="A1184" s="6"/>
      <c r="B1184" s="6"/>
      <c r="C1184" s="6"/>
      <c r="D1184" s="6"/>
      <c r="E1184" s="6"/>
      <c r="F1184" s="6"/>
      <c r="G1184" s="6"/>
      <c r="H1184" s="6"/>
      <c r="I1184" s="6"/>
      <c r="J1184" s="6"/>
      <c r="K1184" s="6"/>
      <c r="L1184" s="80"/>
      <c r="M1184" s="80"/>
      <c r="N1184" s="80"/>
      <c r="O1184" s="80"/>
      <c r="P1184" s="6"/>
      <c r="Q1184" s="6"/>
      <c r="R1184" s="6"/>
      <c r="S1184" s="6"/>
      <c r="T1184" s="6"/>
      <c r="U1184" s="6"/>
      <c r="V1184" s="6"/>
      <c r="W1184" s="7"/>
      <c r="X1184" s="7"/>
      <c r="Y1184" s="7"/>
      <c r="Z1184" s="7"/>
    </row>
    <row r="1185">
      <c r="A1185" s="6"/>
      <c r="B1185" s="6"/>
      <c r="C1185" s="6"/>
      <c r="D1185" s="6"/>
      <c r="E1185" s="6"/>
      <c r="F1185" s="6"/>
      <c r="G1185" s="6"/>
      <c r="H1185" s="6"/>
      <c r="I1185" s="6"/>
      <c r="J1185" s="6"/>
      <c r="K1185" s="6"/>
      <c r="L1185" s="80"/>
      <c r="M1185" s="80"/>
      <c r="N1185" s="80"/>
      <c r="O1185" s="80"/>
      <c r="P1185" s="6"/>
      <c r="Q1185" s="6"/>
      <c r="R1185" s="6"/>
      <c r="S1185" s="6"/>
      <c r="T1185" s="6"/>
      <c r="U1185" s="6"/>
      <c r="V1185" s="6"/>
      <c r="W1185" s="7"/>
      <c r="X1185" s="7"/>
      <c r="Y1185" s="7"/>
      <c r="Z1185" s="7"/>
    </row>
    <row r="1186">
      <c r="A1186" s="6"/>
      <c r="B1186" s="6"/>
      <c r="C1186" s="6"/>
      <c r="D1186" s="6"/>
      <c r="E1186" s="6"/>
      <c r="F1186" s="6"/>
      <c r="G1186" s="6"/>
      <c r="H1186" s="6"/>
      <c r="I1186" s="6"/>
      <c r="J1186" s="6"/>
      <c r="K1186" s="6"/>
      <c r="L1186" s="80"/>
      <c r="M1186" s="80"/>
      <c r="N1186" s="80"/>
      <c r="O1186" s="80"/>
      <c r="P1186" s="6"/>
      <c r="Q1186" s="6"/>
      <c r="R1186" s="6"/>
      <c r="S1186" s="6"/>
      <c r="T1186" s="6"/>
      <c r="U1186" s="6"/>
      <c r="V1186" s="6"/>
      <c r="W1186" s="7"/>
      <c r="X1186" s="7"/>
      <c r="Y1186" s="7"/>
      <c r="Z1186" s="7"/>
    </row>
    <row r="1187">
      <c r="A1187" s="6"/>
      <c r="B1187" s="6"/>
      <c r="C1187" s="6"/>
      <c r="D1187" s="6"/>
      <c r="E1187" s="6"/>
      <c r="F1187" s="6"/>
      <c r="G1187" s="6"/>
      <c r="H1187" s="6"/>
      <c r="I1187" s="6"/>
      <c r="J1187" s="6"/>
      <c r="K1187" s="6"/>
      <c r="L1187" s="80"/>
      <c r="M1187" s="80"/>
      <c r="N1187" s="80"/>
      <c r="O1187" s="80"/>
      <c r="P1187" s="6"/>
      <c r="Q1187" s="6"/>
      <c r="R1187" s="6"/>
      <c r="S1187" s="6"/>
      <c r="T1187" s="6"/>
      <c r="U1187" s="6"/>
      <c r="V1187" s="6"/>
      <c r="W1187" s="7"/>
      <c r="X1187" s="7"/>
      <c r="Y1187" s="7"/>
      <c r="Z1187" s="7"/>
    </row>
    <row r="1188">
      <c r="A1188" s="6"/>
      <c r="B1188" s="6"/>
      <c r="C1188" s="6"/>
      <c r="D1188" s="6"/>
      <c r="E1188" s="6"/>
      <c r="F1188" s="6"/>
      <c r="G1188" s="6"/>
      <c r="H1188" s="6"/>
      <c r="I1188" s="6"/>
      <c r="J1188" s="6"/>
      <c r="K1188" s="6"/>
      <c r="L1188" s="80"/>
      <c r="M1188" s="80"/>
      <c r="N1188" s="80"/>
      <c r="O1188" s="80"/>
      <c r="P1188" s="6"/>
      <c r="Q1188" s="6"/>
      <c r="R1188" s="6"/>
      <c r="S1188" s="6"/>
      <c r="T1188" s="6"/>
      <c r="U1188" s="6"/>
      <c r="V1188" s="6"/>
      <c r="W1188" s="7"/>
      <c r="X1188" s="7"/>
      <c r="Y1188" s="7"/>
      <c r="Z1188" s="7"/>
    </row>
    <row r="1189">
      <c r="A1189" s="6"/>
      <c r="B1189" s="6"/>
      <c r="C1189" s="6"/>
      <c r="D1189" s="6"/>
      <c r="E1189" s="6"/>
      <c r="F1189" s="6"/>
      <c r="G1189" s="6"/>
      <c r="H1189" s="6"/>
      <c r="I1189" s="6"/>
      <c r="J1189" s="6"/>
      <c r="K1189" s="6"/>
      <c r="L1189" s="80"/>
      <c r="M1189" s="80"/>
      <c r="N1189" s="80"/>
      <c r="O1189" s="80"/>
      <c r="P1189" s="6"/>
      <c r="Q1189" s="6"/>
      <c r="R1189" s="6"/>
      <c r="S1189" s="6"/>
      <c r="T1189" s="6"/>
      <c r="U1189" s="6"/>
      <c r="V1189" s="6"/>
      <c r="W1189" s="7"/>
      <c r="X1189" s="7"/>
      <c r="Y1189" s="7"/>
      <c r="Z1189" s="7"/>
    </row>
    <row r="1190">
      <c r="A1190" s="6"/>
      <c r="B1190" s="6"/>
      <c r="C1190" s="6"/>
      <c r="D1190" s="6"/>
      <c r="E1190" s="6"/>
      <c r="F1190" s="6"/>
      <c r="G1190" s="6"/>
      <c r="H1190" s="6"/>
      <c r="I1190" s="6"/>
      <c r="J1190" s="6"/>
      <c r="K1190" s="6"/>
      <c r="L1190" s="80"/>
      <c r="M1190" s="80"/>
      <c r="N1190" s="80"/>
      <c r="O1190" s="80"/>
      <c r="P1190" s="6"/>
      <c r="Q1190" s="6"/>
      <c r="R1190" s="6"/>
      <c r="S1190" s="6"/>
      <c r="T1190" s="6"/>
      <c r="U1190" s="6"/>
      <c r="V1190" s="6"/>
      <c r="W1190" s="7"/>
      <c r="X1190" s="7"/>
      <c r="Y1190" s="7"/>
      <c r="Z1190" s="7"/>
    </row>
    <row r="1191">
      <c r="A1191" s="6"/>
      <c r="B1191" s="6"/>
      <c r="C1191" s="6"/>
      <c r="D1191" s="6"/>
      <c r="E1191" s="6"/>
      <c r="F1191" s="6"/>
      <c r="G1191" s="6"/>
      <c r="H1191" s="6"/>
      <c r="I1191" s="6"/>
      <c r="J1191" s="6"/>
      <c r="K1191" s="6"/>
      <c r="L1191" s="80"/>
      <c r="M1191" s="80"/>
      <c r="N1191" s="80"/>
      <c r="O1191" s="80"/>
      <c r="P1191" s="6"/>
      <c r="Q1191" s="6"/>
      <c r="R1191" s="6"/>
      <c r="S1191" s="6"/>
      <c r="T1191" s="6"/>
      <c r="U1191" s="6"/>
      <c r="V1191" s="6"/>
      <c r="W1191" s="7"/>
      <c r="X1191" s="7"/>
      <c r="Y1191" s="7"/>
      <c r="Z1191" s="7"/>
    </row>
    <row r="1192">
      <c r="A1192" s="6"/>
      <c r="B1192" s="6"/>
      <c r="C1192" s="6"/>
      <c r="D1192" s="6"/>
      <c r="E1192" s="6"/>
      <c r="F1192" s="6"/>
      <c r="G1192" s="6"/>
      <c r="H1192" s="6"/>
      <c r="I1192" s="6"/>
      <c r="J1192" s="6"/>
      <c r="K1192" s="6"/>
      <c r="L1192" s="80"/>
      <c r="M1192" s="80"/>
      <c r="N1192" s="80"/>
      <c r="O1192" s="80"/>
      <c r="P1192" s="6"/>
      <c r="Q1192" s="6"/>
      <c r="R1192" s="6"/>
      <c r="S1192" s="6"/>
      <c r="T1192" s="6"/>
      <c r="U1192" s="6"/>
      <c r="V1192" s="6"/>
      <c r="W1192" s="7"/>
      <c r="X1192" s="7"/>
      <c r="Y1192" s="7"/>
      <c r="Z1192" s="7"/>
    </row>
    <row r="1193">
      <c r="A1193" s="6"/>
      <c r="B1193" s="6"/>
      <c r="C1193" s="6"/>
      <c r="D1193" s="6"/>
      <c r="E1193" s="6"/>
      <c r="F1193" s="6"/>
      <c r="G1193" s="6"/>
      <c r="H1193" s="6"/>
      <c r="I1193" s="6"/>
      <c r="J1193" s="6"/>
      <c r="K1193" s="6"/>
      <c r="L1193" s="80"/>
      <c r="M1193" s="80"/>
      <c r="N1193" s="80"/>
      <c r="O1193" s="80"/>
      <c r="P1193" s="6"/>
      <c r="Q1193" s="6"/>
      <c r="R1193" s="6"/>
      <c r="S1193" s="6"/>
      <c r="T1193" s="6"/>
      <c r="U1193" s="6"/>
      <c r="V1193" s="6"/>
      <c r="W1193" s="7"/>
      <c r="X1193" s="7"/>
      <c r="Y1193" s="7"/>
      <c r="Z1193" s="7"/>
    </row>
    <row r="1194">
      <c r="A1194" s="6"/>
      <c r="B1194" s="6"/>
      <c r="C1194" s="6"/>
      <c r="D1194" s="6"/>
      <c r="E1194" s="6"/>
      <c r="F1194" s="6"/>
      <c r="G1194" s="6"/>
      <c r="H1194" s="6"/>
      <c r="I1194" s="6"/>
      <c r="J1194" s="6"/>
      <c r="K1194" s="6"/>
      <c r="L1194" s="80"/>
      <c r="M1194" s="80"/>
      <c r="N1194" s="80"/>
      <c r="O1194" s="80"/>
      <c r="P1194" s="6"/>
      <c r="Q1194" s="6"/>
      <c r="R1194" s="6"/>
      <c r="S1194" s="6"/>
      <c r="T1194" s="6"/>
      <c r="U1194" s="6"/>
      <c r="V1194" s="6"/>
      <c r="W1194" s="7"/>
      <c r="X1194" s="7"/>
      <c r="Y1194" s="7"/>
      <c r="Z1194" s="7"/>
    </row>
    <row r="1195">
      <c r="A1195" s="6"/>
      <c r="B1195" s="6"/>
      <c r="C1195" s="6"/>
      <c r="D1195" s="6"/>
      <c r="E1195" s="6"/>
      <c r="F1195" s="6"/>
      <c r="G1195" s="6"/>
      <c r="H1195" s="6"/>
      <c r="I1195" s="6"/>
      <c r="J1195" s="6"/>
      <c r="K1195" s="6"/>
      <c r="L1195" s="80"/>
      <c r="M1195" s="80"/>
      <c r="N1195" s="80"/>
      <c r="O1195" s="80"/>
      <c r="P1195" s="6"/>
      <c r="Q1195" s="6"/>
      <c r="R1195" s="6"/>
      <c r="S1195" s="6"/>
      <c r="T1195" s="6"/>
      <c r="U1195" s="6"/>
      <c r="V1195" s="6"/>
      <c r="W1195" s="7"/>
      <c r="X1195" s="7"/>
      <c r="Y1195" s="7"/>
      <c r="Z1195" s="7"/>
    </row>
    <row r="1196">
      <c r="A1196" s="6"/>
      <c r="B1196" s="6"/>
      <c r="C1196" s="6"/>
      <c r="D1196" s="6"/>
      <c r="E1196" s="6"/>
      <c r="F1196" s="6"/>
      <c r="G1196" s="6"/>
      <c r="H1196" s="6"/>
      <c r="I1196" s="6"/>
      <c r="J1196" s="6"/>
      <c r="K1196" s="6"/>
      <c r="L1196" s="80"/>
      <c r="M1196" s="80"/>
      <c r="N1196" s="80"/>
      <c r="O1196" s="80"/>
      <c r="P1196" s="6"/>
      <c r="Q1196" s="6"/>
      <c r="R1196" s="6"/>
      <c r="S1196" s="6"/>
      <c r="T1196" s="6"/>
      <c r="U1196" s="6"/>
      <c r="V1196" s="6"/>
      <c r="W1196" s="7"/>
      <c r="X1196" s="7"/>
      <c r="Y1196" s="7"/>
      <c r="Z1196" s="7"/>
    </row>
    <row r="1197">
      <c r="A1197" s="6"/>
      <c r="B1197" s="6"/>
      <c r="C1197" s="6"/>
      <c r="D1197" s="6"/>
      <c r="E1197" s="6"/>
      <c r="F1197" s="6"/>
      <c r="G1197" s="6"/>
      <c r="H1197" s="6"/>
      <c r="I1197" s="6"/>
      <c r="J1197" s="6"/>
      <c r="K1197" s="6"/>
      <c r="L1197" s="80"/>
      <c r="M1197" s="80"/>
      <c r="N1197" s="80"/>
      <c r="O1197" s="80"/>
      <c r="P1197" s="6"/>
      <c r="Q1197" s="6"/>
      <c r="R1197" s="6"/>
      <c r="S1197" s="6"/>
      <c r="T1197" s="6"/>
      <c r="U1197" s="6"/>
      <c r="V1197" s="6"/>
      <c r="W1197" s="7"/>
      <c r="X1197" s="7"/>
      <c r="Y1197" s="7"/>
      <c r="Z1197" s="7"/>
    </row>
    <row r="1198">
      <c r="A1198" s="6"/>
      <c r="B1198" s="6"/>
      <c r="C1198" s="6"/>
      <c r="D1198" s="6"/>
      <c r="E1198" s="6"/>
      <c r="F1198" s="6"/>
      <c r="G1198" s="6"/>
      <c r="H1198" s="6"/>
      <c r="I1198" s="6"/>
      <c r="J1198" s="6"/>
      <c r="K1198" s="6"/>
      <c r="L1198" s="80"/>
      <c r="M1198" s="80"/>
      <c r="N1198" s="80"/>
      <c r="O1198" s="80"/>
      <c r="P1198" s="6"/>
      <c r="Q1198" s="6"/>
      <c r="R1198" s="6"/>
      <c r="S1198" s="6"/>
      <c r="T1198" s="6"/>
      <c r="U1198" s="6"/>
      <c r="V1198" s="6"/>
      <c r="W1198" s="7"/>
      <c r="X1198" s="7"/>
      <c r="Y1198" s="7"/>
      <c r="Z1198" s="7"/>
    </row>
    <row r="1199">
      <c r="A1199" s="6"/>
      <c r="B1199" s="6"/>
      <c r="C1199" s="6"/>
      <c r="D1199" s="6"/>
      <c r="E1199" s="6"/>
      <c r="F1199" s="6"/>
      <c r="G1199" s="6"/>
      <c r="H1199" s="6"/>
      <c r="I1199" s="6"/>
      <c r="J1199" s="6"/>
      <c r="K1199" s="6"/>
      <c r="L1199" s="80"/>
      <c r="M1199" s="80"/>
      <c r="N1199" s="80"/>
      <c r="O1199" s="80"/>
      <c r="P1199" s="6"/>
      <c r="Q1199" s="6"/>
      <c r="R1199" s="6"/>
      <c r="S1199" s="6"/>
      <c r="T1199" s="6"/>
      <c r="U1199" s="6"/>
      <c r="V1199" s="6"/>
      <c r="W1199" s="7"/>
      <c r="X1199" s="7"/>
      <c r="Y1199" s="7"/>
      <c r="Z1199" s="7"/>
    </row>
    <row r="1200">
      <c r="A1200" s="6"/>
      <c r="B1200" s="6"/>
      <c r="C1200" s="6"/>
      <c r="D1200" s="6"/>
      <c r="E1200" s="6"/>
      <c r="F1200" s="6"/>
      <c r="G1200" s="6"/>
      <c r="H1200" s="6"/>
      <c r="I1200" s="6"/>
      <c r="J1200" s="6"/>
      <c r="K1200" s="6"/>
      <c r="L1200" s="80"/>
      <c r="M1200" s="80"/>
      <c r="N1200" s="80"/>
      <c r="O1200" s="80"/>
      <c r="P1200" s="6"/>
      <c r="Q1200" s="6"/>
      <c r="R1200" s="6"/>
      <c r="S1200" s="6"/>
      <c r="T1200" s="6"/>
      <c r="U1200" s="6"/>
      <c r="V1200" s="6"/>
      <c r="W1200" s="7"/>
      <c r="X1200" s="7"/>
      <c r="Y1200" s="7"/>
      <c r="Z1200" s="7"/>
    </row>
    <row r="1201">
      <c r="A1201" s="6"/>
      <c r="B1201" s="6"/>
      <c r="C1201" s="6"/>
      <c r="D1201" s="6"/>
      <c r="E1201" s="6"/>
      <c r="F1201" s="6"/>
      <c r="G1201" s="6"/>
      <c r="H1201" s="6"/>
      <c r="I1201" s="6"/>
      <c r="J1201" s="6"/>
      <c r="K1201" s="6"/>
      <c r="L1201" s="80"/>
      <c r="M1201" s="80"/>
      <c r="N1201" s="80"/>
      <c r="O1201" s="80"/>
      <c r="P1201" s="6"/>
      <c r="Q1201" s="6"/>
      <c r="R1201" s="6"/>
      <c r="S1201" s="6"/>
      <c r="T1201" s="6"/>
      <c r="U1201" s="6"/>
      <c r="V1201" s="6"/>
      <c r="W1201" s="7"/>
      <c r="X1201" s="7"/>
      <c r="Y1201" s="7"/>
      <c r="Z1201" s="7"/>
    </row>
    <row r="1202">
      <c r="A1202" s="6"/>
      <c r="B1202" s="6"/>
      <c r="C1202" s="6"/>
      <c r="D1202" s="6"/>
      <c r="E1202" s="6"/>
      <c r="F1202" s="6"/>
      <c r="G1202" s="6"/>
      <c r="H1202" s="6"/>
      <c r="I1202" s="6"/>
      <c r="J1202" s="6"/>
      <c r="K1202" s="6"/>
      <c r="L1202" s="80"/>
      <c r="M1202" s="80"/>
      <c r="N1202" s="80"/>
      <c r="O1202" s="80"/>
      <c r="P1202" s="6"/>
      <c r="Q1202" s="6"/>
      <c r="R1202" s="6"/>
      <c r="S1202" s="6"/>
      <c r="T1202" s="6"/>
      <c r="U1202" s="6"/>
      <c r="V1202" s="6"/>
      <c r="W1202" s="7"/>
      <c r="X1202" s="7"/>
      <c r="Y1202" s="7"/>
      <c r="Z1202" s="7"/>
    </row>
    <row r="1203">
      <c r="A1203" s="6"/>
      <c r="B1203" s="6"/>
      <c r="C1203" s="6"/>
      <c r="D1203" s="6"/>
      <c r="E1203" s="6"/>
      <c r="F1203" s="6"/>
      <c r="G1203" s="6"/>
      <c r="H1203" s="6"/>
      <c r="I1203" s="6"/>
      <c r="J1203" s="6"/>
      <c r="K1203" s="6"/>
      <c r="L1203" s="80"/>
      <c r="M1203" s="80"/>
      <c r="N1203" s="80"/>
      <c r="O1203" s="80"/>
      <c r="P1203" s="6"/>
      <c r="Q1203" s="6"/>
      <c r="R1203" s="6"/>
      <c r="S1203" s="6"/>
      <c r="T1203" s="6"/>
      <c r="U1203" s="6"/>
      <c r="V1203" s="6"/>
      <c r="W1203" s="7"/>
      <c r="X1203" s="7"/>
      <c r="Y1203" s="7"/>
      <c r="Z1203" s="7"/>
    </row>
    <row r="1204">
      <c r="A1204" s="6"/>
      <c r="B1204" s="6"/>
      <c r="C1204" s="6"/>
      <c r="D1204" s="6"/>
      <c r="E1204" s="6"/>
      <c r="F1204" s="6"/>
      <c r="G1204" s="6"/>
      <c r="H1204" s="6"/>
      <c r="I1204" s="6"/>
      <c r="J1204" s="6"/>
      <c r="K1204" s="6"/>
      <c r="L1204" s="80"/>
      <c r="M1204" s="80"/>
      <c r="N1204" s="80"/>
      <c r="O1204" s="80"/>
      <c r="P1204" s="6"/>
      <c r="Q1204" s="6"/>
      <c r="R1204" s="6"/>
      <c r="S1204" s="6"/>
      <c r="T1204" s="6"/>
      <c r="U1204" s="6"/>
      <c r="V1204" s="6"/>
      <c r="W1204" s="7"/>
      <c r="X1204" s="7"/>
      <c r="Y1204" s="7"/>
      <c r="Z1204" s="7"/>
    </row>
    <row r="1205">
      <c r="A1205" s="6"/>
      <c r="B1205" s="6"/>
      <c r="C1205" s="6"/>
      <c r="D1205" s="6"/>
      <c r="E1205" s="6"/>
      <c r="F1205" s="6"/>
      <c r="G1205" s="6"/>
      <c r="H1205" s="6"/>
      <c r="I1205" s="6"/>
      <c r="J1205" s="6"/>
      <c r="K1205" s="6"/>
      <c r="L1205" s="80"/>
      <c r="M1205" s="80"/>
      <c r="N1205" s="80"/>
      <c r="O1205" s="80"/>
      <c r="P1205" s="6"/>
      <c r="Q1205" s="6"/>
      <c r="R1205" s="6"/>
      <c r="S1205" s="6"/>
      <c r="T1205" s="6"/>
      <c r="U1205" s="6"/>
      <c r="V1205" s="6"/>
      <c r="W1205" s="7"/>
      <c r="X1205" s="7"/>
      <c r="Y1205" s="7"/>
      <c r="Z1205" s="7"/>
    </row>
    <row r="1206">
      <c r="A1206" s="6"/>
      <c r="B1206" s="6"/>
      <c r="C1206" s="6"/>
      <c r="D1206" s="6"/>
      <c r="E1206" s="6"/>
      <c r="F1206" s="6"/>
      <c r="G1206" s="6"/>
      <c r="H1206" s="6"/>
      <c r="I1206" s="6"/>
      <c r="J1206" s="6"/>
      <c r="K1206" s="6"/>
      <c r="L1206" s="80"/>
      <c r="M1206" s="80"/>
      <c r="N1206" s="80"/>
      <c r="O1206" s="80"/>
      <c r="P1206" s="6"/>
      <c r="Q1206" s="6"/>
      <c r="R1206" s="6"/>
      <c r="S1206" s="6"/>
      <c r="T1206" s="6"/>
      <c r="U1206" s="6"/>
      <c r="V1206" s="6"/>
      <c r="W1206" s="7"/>
      <c r="X1206" s="7"/>
      <c r="Y1206" s="7"/>
      <c r="Z1206" s="7"/>
    </row>
    <row r="1207">
      <c r="A1207" s="6"/>
      <c r="B1207" s="6"/>
      <c r="C1207" s="6"/>
      <c r="D1207" s="6"/>
      <c r="E1207" s="6"/>
      <c r="F1207" s="6"/>
      <c r="G1207" s="6"/>
      <c r="H1207" s="6"/>
      <c r="I1207" s="6"/>
      <c r="J1207" s="6"/>
      <c r="K1207" s="6"/>
      <c r="L1207" s="80"/>
      <c r="M1207" s="80"/>
      <c r="N1207" s="80"/>
      <c r="O1207" s="80"/>
      <c r="P1207" s="6"/>
      <c r="Q1207" s="6"/>
      <c r="R1207" s="6"/>
      <c r="S1207" s="6"/>
      <c r="T1207" s="6"/>
      <c r="U1207" s="6"/>
      <c r="V1207" s="6"/>
      <c r="W1207" s="7"/>
      <c r="X1207" s="7"/>
      <c r="Y1207" s="7"/>
      <c r="Z1207" s="7"/>
    </row>
    <row r="1208">
      <c r="A1208" s="6"/>
      <c r="B1208" s="6"/>
      <c r="C1208" s="6"/>
      <c r="D1208" s="6"/>
      <c r="E1208" s="6"/>
      <c r="F1208" s="6"/>
      <c r="G1208" s="6"/>
      <c r="H1208" s="6"/>
      <c r="I1208" s="6"/>
      <c r="J1208" s="6"/>
      <c r="K1208" s="6"/>
      <c r="L1208" s="80"/>
      <c r="M1208" s="80"/>
      <c r="N1208" s="80"/>
      <c r="O1208" s="80"/>
      <c r="P1208" s="6"/>
      <c r="Q1208" s="6"/>
      <c r="R1208" s="6"/>
      <c r="S1208" s="6"/>
      <c r="T1208" s="6"/>
      <c r="U1208" s="6"/>
      <c r="V1208" s="6"/>
      <c r="W1208" s="7"/>
      <c r="X1208" s="7"/>
      <c r="Y1208" s="7"/>
      <c r="Z1208" s="7"/>
    </row>
    <row r="1209">
      <c r="A1209" s="6"/>
      <c r="B1209" s="6"/>
      <c r="C1209" s="6"/>
      <c r="D1209" s="6"/>
      <c r="E1209" s="6"/>
      <c r="F1209" s="6"/>
      <c r="G1209" s="6"/>
      <c r="H1209" s="6"/>
      <c r="I1209" s="6"/>
      <c r="J1209" s="6"/>
      <c r="K1209" s="6"/>
      <c r="L1209" s="80"/>
      <c r="M1209" s="80"/>
      <c r="N1209" s="80"/>
      <c r="O1209" s="80"/>
      <c r="P1209" s="6"/>
      <c r="Q1209" s="6"/>
      <c r="R1209" s="6"/>
      <c r="S1209" s="6"/>
      <c r="T1209" s="6"/>
      <c r="U1209" s="6"/>
      <c r="V1209" s="6"/>
      <c r="W1209" s="7"/>
      <c r="X1209" s="7"/>
      <c r="Y1209" s="7"/>
      <c r="Z1209" s="7"/>
    </row>
    <row r="1210">
      <c r="A1210" s="6"/>
      <c r="B1210" s="6"/>
      <c r="C1210" s="6"/>
      <c r="D1210" s="6"/>
      <c r="E1210" s="6"/>
      <c r="F1210" s="6"/>
      <c r="G1210" s="6"/>
      <c r="H1210" s="6"/>
      <c r="I1210" s="6"/>
      <c r="J1210" s="6"/>
      <c r="K1210" s="6"/>
      <c r="L1210" s="80"/>
      <c r="M1210" s="80"/>
      <c r="N1210" s="80"/>
      <c r="O1210" s="80"/>
      <c r="P1210" s="6"/>
      <c r="Q1210" s="6"/>
      <c r="R1210" s="6"/>
      <c r="S1210" s="6"/>
      <c r="T1210" s="6"/>
      <c r="U1210" s="6"/>
      <c r="V1210" s="6"/>
      <c r="W1210" s="7"/>
      <c r="X1210" s="7"/>
      <c r="Y1210" s="7"/>
      <c r="Z1210" s="7"/>
    </row>
    <row r="1211">
      <c r="A1211" s="6"/>
      <c r="B1211" s="6"/>
      <c r="C1211" s="6"/>
      <c r="D1211" s="6"/>
      <c r="E1211" s="6"/>
      <c r="F1211" s="6"/>
      <c r="G1211" s="6"/>
      <c r="H1211" s="6"/>
      <c r="I1211" s="6"/>
      <c r="J1211" s="6"/>
      <c r="K1211" s="6"/>
      <c r="L1211" s="80"/>
      <c r="M1211" s="80"/>
      <c r="N1211" s="80"/>
      <c r="O1211" s="80"/>
      <c r="P1211" s="6"/>
      <c r="Q1211" s="6"/>
      <c r="R1211" s="6"/>
      <c r="S1211" s="6"/>
      <c r="T1211" s="6"/>
      <c r="U1211" s="6"/>
      <c r="V1211" s="6"/>
      <c r="W1211" s="7"/>
      <c r="X1211" s="7"/>
      <c r="Y1211" s="7"/>
      <c r="Z1211" s="7"/>
    </row>
    <row r="1212">
      <c r="A1212" s="6"/>
      <c r="B1212" s="6"/>
      <c r="C1212" s="6"/>
      <c r="D1212" s="6"/>
      <c r="E1212" s="6"/>
      <c r="F1212" s="6"/>
      <c r="G1212" s="6"/>
      <c r="H1212" s="6"/>
      <c r="I1212" s="6"/>
      <c r="J1212" s="6"/>
      <c r="K1212" s="6"/>
      <c r="L1212" s="80"/>
      <c r="M1212" s="80"/>
      <c r="N1212" s="80"/>
      <c r="O1212" s="80"/>
      <c r="P1212" s="6"/>
      <c r="Q1212" s="6"/>
      <c r="R1212" s="6"/>
      <c r="S1212" s="6"/>
      <c r="T1212" s="6"/>
      <c r="U1212" s="6"/>
      <c r="V1212" s="6"/>
      <c r="W1212" s="7"/>
      <c r="X1212" s="7"/>
      <c r="Y1212" s="7"/>
      <c r="Z1212" s="7"/>
    </row>
    <row r="1213">
      <c r="A1213" s="6"/>
      <c r="B1213" s="6"/>
      <c r="C1213" s="6"/>
      <c r="D1213" s="6"/>
      <c r="E1213" s="6"/>
      <c r="F1213" s="6"/>
      <c r="G1213" s="6"/>
      <c r="H1213" s="6"/>
      <c r="I1213" s="6"/>
      <c r="J1213" s="6"/>
      <c r="K1213" s="6"/>
      <c r="L1213" s="80"/>
      <c r="M1213" s="80"/>
      <c r="N1213" s="80"/>
      <c r="O1213" s="80"/>
      <c r="P1213" s="6"/>
      <c r="Q1213" s="6"/>
      <c r="R1213" s="6"/>
      <c r="S1213" s="6"/>
      <c r="T1213" s="6"/>
      <c r="U1213" s="6"/>
      <c r="V1213" s="6"/>
      <c r="W1213" s="7"/>
      <c r="X1213" s="7"/>
      <c r="Y1213" s="7"/>
      <c r="Z1213" s="7"/>
    </row>
    <row r="1214">
      <c r="A1214" s="6"/>
      <c r="B1214" s="6"/>
      <c r="C1214" s="6"/>
      <c r="D1214" s="6"/>
      <c r="E1214" s="6"/>
      <c r="F1214" s="6"/>
      <c r="G1214" s="6"/>
      <c r="H1214" s="6"/>
      <c r="I1214" s="6"/>
      <c r="J1214" s="6"/>
      <c r="K1214" s="6"/>
      <c r="L1214" s="80"/>
      <c r="M1214" s="80"/>
      <c r="N1214" s="80"/>
      <c r="O1214" s="80"/>
      <c r="P1214" s="6"/>
      <c r="Q1214" s="6"/>
      <c r="R1214" s="6"/>
      <c r="S1214" s="6"/>
      <c r="T1214" s="6"/>
      <c r="U1214" s="6"/>
      <c r="V1214" s="6"/>
      <c r="W1214" s="7"/>
      <c r="X1214" s="7"/>
      <c r="Y1214" s="7"/>
      <c r="Z1214" s="7"/>
    </row>
    <row r="1215">
      <c r="A1215" s="6"/>
      <c r="B1215" s="6"/>
      <c r="C1215" s="6"/>
      <c r="D1215" s="6"/>
      <c r="E1215" s="6"/>
      <c r="F1215" s="6"/>
      <c r="G1215" s="6"/>
      <c r="H1215" s="6"/>
      <c r="I1215" s="6"/>
      <c r="J1215" s="6"/>
      <c r="K1215" s="6"/>
      <c r="L1215" s="80"/>
      <c r="M1215" s="80"/>
      <c r="N1215" s="80"/>
      <c r="O1215" s="80"/>
      <c r="P1215" s="6"/>
      <c r="Q1215" s="6"/>
      <c r="R1215" s="6"/>
      <c r="S1215" s="6"/>
      <c r="T1215" s="6"/>
      <c r="U1215" s="6"/>
      <c r="V1215" s="6"/>
      <c r="W1215" s="7"/>
      <c r="X1215" s="7"/>
      <c r="Y1215" s="7"/>
      <c r="Z1215" s="7"/>
    </row>
    <row r="1216">
      <c r="A1216" s="6"/>
      <c r="B1216" s="6"/>
      <c r="C1216" s="6"/>
      <c r="D1216" s="6"/>
      <c r="E1216" s="6"/>
      <c r="F1216" s="6"/>
      <c r="G1216" s="6"/>
      <c r="H1216" s="6"/>
      <c r="I1216" s="6"/>
      <c r="J1216" s="6"/>
      <c r="K1216" s="6"/>
      <c r="L1216" s="80"/>
      <c r="M1216" s="80"/>
      <c r="N1216" s="80"/>
      <c r="O1216" s="80"/>
      <c r="P1216" s="6"/>
      <c r="Q1216" s="6"/>
      <c r="R1216" s="6"/>
      <c r="S1216" s="6"/>
      <c r="T1216" s="6"/>
      <c r="U1216" s="6"/>
      <c r="V1216" s="6"/>
      <c r="W1216" s="7"/>
      <c r="X1216" s="7"/>
      <c r="Y1216" s="7"/>
      <c r="Z1216" s="7"/>
    </row>
    <row r="1217">
      <c r="A1217" s="6"/>
      <c r="B1217" s="6"/>
      <c r="C1217" s="6"/>
      <c r="D1217" s="6"/>
      <c r="E1217" s="6"/>
      <c r="F1217" s="6"/>
      <c r="G1217" s="6"/>
      <c r="H1217" s="6"/>
      <c r="I1217" s="6"/>
      <c r="J1217" s="6"/>
      <c r="K1217" s="6"/>
      <c r="L1217" s="80"/>
      <c r="M1217" s="80"/>
      <c r="N1217" s="80"/>
      <c r="O1217" s="80"/>
      <c r="P1217" s="6"/>
      <c r="Q1217" s="6"/>
      <c r="R1217" s="6"/>
      <c r="S1217" s="6"/>
      <c r="T1217" s="6"/>
      <c r="U1217" s="6"/>
      <c r="V1217" s="6"/>
      <c r="W1217" s="7"/>
      <c r="X1217" s="7"/>
      <c r="Y1217" s="7"/>
      <c r="Z1217" s="7"/>
    </row>
    <row r="1218">
      <c r="A1218" s="6"/>
      <c r="B1218" s="6"/>
      <c r="C1218" s="6"/>
      <c r="D1218" s="6"/>
      <c r="E1218" s="6"/>
      <c r="F1218" s="6"/>
      <c r="G1218" s="6"/>
      <c r="H1218" s="6"/>
      <c r="I1218" s="6"/>
      <c r="J1218" s="6"/>
      <c r="K1218" s="6"/>
      <c r="L1218" s="80"/>
      <c r="M1218" s="80"/>
      <c r="N1218" s="80"/>
      <c r="O1218" s="80"/>
      <c r="P1218" s="6"/>
      <c r="Q1218" s="6"/>
      <c r="R1218" s="6"/>
      <c r="S1218" s="6"/>
      <c r="T1218" s="6"/>
      <c r="U1218" s="6"/>
      <c r="V1218" s="6"/>
      <c r="W1218" s="7"/>
      <c r="X1218" s="7"/>
      <c r="Y1218" s="7"/>
      <c r="Z1218" s="7"/>
    </row>
    <row r="1219">
      <c r="A1219" s="6"/>
      <c r="B1219" s="6"/>
      <c r="C1219" s="6"/>
      <c r="D1219" s="6"/>
      <c r="E1219" s="6"/>
      <c r="F1219" s="6"/>
      <c r="G1219" s="6"/>
      <c r="H1219" s="6"/>
      <c r="I1219" s="6"/>
      <c r="J1219" s="6"/>
      <c r="K1219" s="6"/>
      <c r="L1219" s="80"/>
      <c r="M1219" s="80"/>
      <c r="N1219" s="80"/>
      <c r="O1219" s="80"/>
      <c r="P1219" s="6"/>
      <c r="Q1219" s="6"/>
      <c r="R1219" s="6"/>
      <c r="S1219" s="6"/>
      <c r="T1219" s="6"/>
      <c r="U1219" s="6"/>
      <c r="V1219" s="6"/>
      <c r="W1219" s="7"/>
      <c r="X1219" s="7"/>
      <c r="Y1219" s="7"/>
      <c r="Z1219" s="7"/>
    </row>
    <row r="1220">
      <c r="A1220" s="6"/>
      <c r="B1220" s="6"/>
      <c r="C1220" s="6"/>
      <c r="D1220" s="6"/>
      <c r="E1220" s="6"/>
      <c r="F1220" s="6"/>
      <c r="G1220" s="6"/>
      <c r="H1220" s="6"/>
      <c r="I1220" s="6"/>
      <c r="J1220" s="6"/>
      <c r="K1220" s="6"/>
      <c r="L1220" s="80"/>
      <c r="M1220" s="80"/>
      <c r="N1220" s="80"/>
      <c r="O1220" s="80"/>
      <c r="P1220" s="6"/>
      <c r="Q1220" s="6"/>
      <c r="R1220" s="6"/>
      <c r="S1220" s="6"/>
      <c r="T1220" s="6"/>
      <c r="U1220" s="6"/>
      <c r="V1220" s="6"/>
      <c r="W1220" s="7"/>
      <c r="X1220" s="7"/>
      <c r="Y1220" s="7"/>
      <c r="Z1220" s="7"/>
    </row>
    <row r="1221">
      <c r="A1221" s="6"/>
      <c r="B1221" s="6"/>
      <c r="C1221" s="6"/>
      <c r="D1221" s="6"/>
      <c r="E1221" s="6"/>
      <c r="F1221" s="6"/>
      <c r="G1221" s="6"/>
      <c r="H1221" s="6"/>
      <c r="I1221" s="6"/>
      <c r="J1221" s="6"/>
      <c r="K1221" s="6"/>
      <c r="L1221" s="80"/>
      <c r="M1221" s="80"/>
      <c r="N1221" s="80"/>
      <c r="O1221" s="80"/>
      <c r="P1221" s="6"/>
      <c r="Q1221" s="6"/>
      <c r="R1221" s="6"/>
      <c r="S1221" s="6"/>
      <c r="T1221" s="6"/>
      <c r="U1221" s="6"/>
      <c r="V1221" s="6"/>
      <c r="W1221" s="7"/>
      <c r="X1221" s="7"/>
      <c r="Y1221" s="7"/>
      <c r="Z1221" s="7"/>
    </row>
    <row r="1222">
      <c r="A1222" s="6"/>
      <c r="B1222" s="6"/>
      <c r="C1222" s="6"/>
      <c r="D1222" s="6"/>
      <c r="E1222" s="6"/>
      <c r="F1222" s="6"/>
      <c r="G1222" s="6"/>
      <c r="H1222" s="6"/>
      <c r="I1222" s="6"/>
      <c r="J1222" s="6"/>
      <c r="K1222" s="6"/>
      <c r="L1222" s="80"/>
      <c r="M1222" s="80"/>
      <c r="N1222" s="80"/>
      <c r="O1222" s="80"/>
      <c r="P1222" s="6"/>
      <c r="Q1222" s="6"/>
      <c r="R1222" s="6"/>
      <c r="S1222" s="6"/>
      <c r="T1222" s="6"/>
      <c r="U1222" s="6"/>
      <c r="V1222" s="6"/>
      <c r="W1222" s="7"/>
      <c r="X1222" s="7"/>
      <c r="Y1222" s="7"/>
      <c r="Z1222" s="7"/>
    </row>
    <row r="1223">
      <c r="A1223" s="6"/>
      <c r="B1223" s="6"/>
      <c r="C1223" s="6"/>
      <c r="D1223" s="6"/>
      <c r="E1223" s="6"/>
      <c r="F1223" s="6"/>
      <c r="G1223" s="6"/>
      <c r="H1223" s="6"/>
      <c r="I1223" s="6"/>
      <c r="J1223" s="6"/>
      <c r="K1223" s="6"/>
      <c r="L1223" s="80"/>
      <c r="M1223" s="80"/>
      <c r="N1223" s="80"/>
      <c r="O1223" s="80"/>
      <c r="P1223" s="6"/>
      <c r="Q1223" s="6"/>
      <c r="R1223" s="6"/>
      <c r="S1223" s="6"/>
      <c r="T1223" s="6"/>
      <c r="U1223" s="6"/>
      <c r="V1223" s="6"/>
      <c r="W1223" s="7"/>
      <c r="X1223" s="7"/>
      <c r="Y1223" s="7"/>
      <c r="Z1223" s="7"/>
    </row>
    <row r="1224">
      <c r="A1224" s="6"/>
      <c r="B1224" s="6"/>
      <c r="C1224" s="6"/>
      <c r="D1224" s="6"/>
      <c r="E1224" s="6"/>
      <c r="F1224" s="6"/>
      <c r="G1224" s="6"/>
      <c r="H1224" s="6"/>
      <c r="I1224" s="6"/>
      <c r="J1224" s="6"/>
      <c r="K1224" s="6"/>
      <c r="L1224" s="80"/>
      <c r="M1224" s="80"/>
      <c r="N1224" s="80"/>
      <c r="O1224" s="80"/>
      <c r="P1224" s="6"/>
      <c r="Q1224" s="6"/>
      <c r="R1224" s="6"/>
      <c r="S1224" s="6"/>
      <c r="T1224" s="6"/>
      <c r="U1224" s="6"/>
      <c r="V1224" s="6"/>
      <c r="W1224" s="7"/>
      <c r="X1224" s="7"/>
      <c r="Y1224" s="7"/>
      <c r="Z1224" s="7"/>
    </row>
    <row r="1225">
      <c r="A1225" s="6"/>
      <c r="B1225" s="6"/>
      <c r="C1225" s="6"/>
      <c r="D1225" s="6"/>
      <c r="E1225" s="6"/>
      <c r="F1225" s="6"/>
      <c r="G1225" s="6"/>
      <c r="H1225" s="6"/>
      <c r="I1225" s="6"/>
      <c r="J1225" s="6"/>
      <c r="K1225" s="6"/>
      <c r="L1225" s="80"/>
      <c r="M1225" s="80"/>
      <c r="N1225" s="80"/>
      <c r="O1225" s="80"/>
      <c r="P1225" s="6"/>
      <c r="Q1225" s="6"/>
      <c r="R1225" s="6"/>
      <c r="S1225" s="6"/>
      <c r="T1225" s="6"/>
      <c r="U1225" s="6"/>
      <c r="V1225" s="6"/>
      <c r="W1225" s="7"/>
      <c r="X1225" s="7"/>
      <c r="Y1225" s="7"/>
      <c r="Z1225" s="7"/>
    </row>
    <row r="1226">
      <c r="A1226" s="6"/>
      <c r="B1226" s="6"/>
      <c r="C1226" s="6"/>
      <c r="D1226" s="6"/>
      <c r="E1226" s="6"/>
      <c r="F1226" s="6"/>
      <c r="G1226" s="6"/>
      <c r="H1226" s="6"/>
      <c r="I1226" s="6"/>
      <c r="J1226" s="6"/>
      <c r="K1226" s="6"/>
      <c r="L1226" s="80"/>
      <c r="M1226" s="80"/>
      <c r="N1226" s="80"/>
      <c r="O1226" s="80"/>
      <c r="P1226" s="6"/>
      <c r="Q1226" s="6"/>
      <c r="R1226" s="6"/>
      <c r="S1226" s="6"/>
      <c r="T1226" s="6"/>
      <c r="U1226" s="6"/>
      <c r="V1226" s="6"/>
      <c r="W1226" s="7"/>
      <c r="X1226" s="7"/>
      <c r="Y1226" s="7"/>
      <c r="Z1226" s="7"/>
    </row>
    <row r="1227">
      <c r="A1227" s="6"/>
      <c r="B1227" s="6"/>
      <c r="C1227" s="6"/>
      <c r="D1227" s="6"/>
      <c r="E1227" s="6"/>
      <c r="F1227" s="6"/>
      <c r="G1227" s="6"/>
      <c r="H1227" s="6"/>
      <c r="I1227" s="6"/>
      <c r="J1227" s="6"/>
      <c r="K1227" s="6"/>
      <c r="L1227" s="80"/>
      <c r="M1227" s="80"/>
      <c r="N1227" s="80"/>
      <c r="O1227" s="80"/>
      <c r="P1227" s="6"/>
      <c r="Q1227" s="6"/>
      <c r="R1227" s="6"/>
      <c r="S1227" s="6"/>
      <c r="T1227" s="6"/>
      <c r="U1227" s="6"/>
      <c r="V1227" s="6"/>
      <c r="W1227" s="7"/>
      <c r="X1227" s="7"/>
      <c r="Y1227" s="7"/>
      <c r="Z1227" s="7"/>
    </row>
    <row r="1228">
      <c r="A1228" s="6"/>
      <c r="B1228" s="6"/>
      <c r="C1228" s="6"/>
      <c r="D1228" s="6"/>
      <c r="E1228" s="6"/>
      <c r="F1228" s="6"/>
      <c r="G1228" s="6"/>
      <c r="H1228" s="6"/>
      <c r="I1228" s="6"/>
      <c r="J1228" s="6"/>
      <c r="K1228" s="6"/>
      <c r="L1228" s="80"/>
      <c r="M1228" s="80"/>
      <c r="N1228" s="80"/>
      <c r="O1228" s="80"/>
      <c r="P1228" s="6"/>
      <c r="Q1228" s="6"/>
      <c r="R1228" s="6"/>
      <c r="S1228" s="6"/>
      <c r="T1228" s="6"/>
      <c r="U1228" s="6"/>
      <c r="V1228" s="6"/>
      <c r="W1228" s="7"/>
      <c r="X1228" s="7"/>
      <c r="Y1228" s="7"/>
      <c r="Z1228" s="7"/>
    </row>
    <row r="1229">
      <c r="A1229" s="6"/>
      <c r="B1229" s="6"/>
      <c r="C1229" s="6"/>
      <c r="D1229" s="6"/>
      <c r="E1229" s="6"/>
      <c r="F1229" s="6"/>
      <c r="G1229" s="6"/>
      <c r="H1229" s="6"/>
      <c r="I1229" s="6"/>
      <c r="J1229" s="6"/>
      <c r="K1229" s="6"/>
      <c r="L1229" s="80"/>
      <c r="M1229" s="80"/>
      <c r="N1229" s="80"/>
      <c r="O1229" s="80"/>
      <c r="P1229" s="6"/>
      <c r="Q1229" s="6"/>
      <c r="R1229" s="6"/>
      <c r="S1229" s="6"/>
      <c r="T1229" s="6"/>
      <c r="U1229" s="6"/>
      <c r="V1229" s="6"/>
      <c r="W1229" s="7"/>
      <c r="X1229" s="7"/>
      <c r="Y1229" s="7"/>
      <c r="Z1229" s="7"/>
    </row>
    <row r="1230">
      <c r="A1230" s="6"/>
      <c r="B1230" s="6"/>
      <c r="C1230" s="6"/>
      <c r="D1230" s="6"/>
      <c r="E1230" s="6"/>
      <c r="F1230" s="6"/>
      <c r="G1230" s="6"/>
      <c r="H1230" s="6"/>
      <c r="I1230" s="6"/>
      <c r="J1230" s="6"/>
      <c r="K1230" s="6"/>
      <c r="L1230" s="80"/>
      <c r="M1230" s="80"/>
      <c r="N1230" s="80"/>
      <c r="O1230" s="80"/>
      <c r="P1230" s="6"/>
      <c r="Q1230" s="6"/>
      <c r="R1230" s="6"/>
      <c r="S1230" s="6"/>
      <c r="T1230" s="6"/>
      <c r="U1230" s="6"/>
      <c r="V1230" s="6"/>
      <c r="W1230" s="7"/>
      <c r="X1230" s="7"/>
      <c r="Y1230" s="7"/>
      <c r="Z1230" s="7"/>
    </row>
    <row r="1231">
      <c r="A1231" s="6"/>
      <c r="B1231" s="6"/>
      <c r="C1231" s="6"/>
      <c r="D1231" s="6"/>
      <c r="E1231" s="6"/>
      <c r="F1231" s="6"/>
      <c r="G1231" s="6"/>
      <c r="H1231" s="6"/>
      <c r="I1231" s="6"/>
      <c r="J1231" s="6"/>
      <c r="K1231" s="6"/>
      <c r="L1231" s="80"/>
      <c r="M1231" s="80"/>
      <c r="N1231" s="80"/>
      <c r="O1231" s="80"/>
      <c r="P1231" s="6"/>
      <c r="Q1231" s="6"/>
      <c r="R1231" s="6"/>
      <c r="S1231" s="6"/>
      <c r="T1231" s="6"/>
      <c r="U1231" s="6"/>
      <c r="V1231" s="6"/>
      <c r="W1231" s="7"/>
      <c r="X1231" s="7"/>
      <c r="Y1231" s="7"/>
      <c r="Z1231" s="7"/>
    </row>
    <row r="1232">
      <c r="A1232" s="6"/>
      <c r="B1232" s="6"/>
      <c r="C1232" s="6"/>
      <c r="D1232" s="6"/>
      <c r="E1232" s="6"/>
      <c r="F1232" s="6"/>
      <c r="G1232" s="6"/>
      <c r="H1232" s="6"/>
      <c r="I1232" s="6"/>
      <c r="J1232" s="6"/>
      <c r="K1232" s="6"/>
      <c r="L1232" s="80"/>
      <c r="M1232" s="80"/>
      <c r="N1232" s="80"/>
      <c r="O1232" s="80"/>
      <c r="P1232" s="6"/>
      <c r="Q1232" s="6"/>
      <c r="R1232" s="6"/>
      <c r="S1232" s="6"/>
      <c r="T1232" s="6"/>
      <c r="U1232" s="6"/>
      <c r="V1232" s="6"/>
      <c r="W1232" s="7"/>
      <c r="X1232" s="7"/>
      <c r="Y1232" s="7"/>
      <c r="Z1232" s="7"/>
    </row>
    <row r="1233">
      <c r="A1233" s="6"/>
      <c r="B1233" s="6"/>
      <c r="C1233" s="6"/>
      <c r="D1233" s="6"/>
      <c r="E1233" s="6"/>
      <c r="F1233" s="6"/>
      <c r="G1233" s="6"/>
      <c r="H1233" s="6"/>
      <c r="I1233" s="6"/>
      <c r="J1233" s="6"/>
      <c r="K1233" s="6"/>
      <c r="L1233" s="80"/>
      <c r="M1233" s="80"/>
      <c r="N1233" s="80"/>
      <c r="O1233" s="80"/>
      <c r="P1233" s="6"/>
      <c r="Q1233" s="6"/>
      <c r="R1233" s="6"/>
      <c r="S1233" s="6"/>
      <c r="T1233" s="6"/>
      <c r="U1233" s="6"/>
      <c r="V1233" s="6"/>
      <c r="W1233" s="7"/>
      <c r="X1233" s="7"/>
      <c r="Y1233" s="7"/>
      <c r="Z1233" s="7"/>
    </row>
    <row r="1234">
      <c r="A1234" s="6"/>
      <c r="B1234" s="6"/>
      <c r="C1234" s="6"/>
      <c r="D1234" s="6"/>
      <c r="E1234" s="6"/>
      <c r="F1234" s="6"/>
      <c r="G1234" s="6"/>
      <c r="H1234" s="6"/>
      <c r="I1234" s="6"/>
      <c r="J1234" s="6"/>
      <c r="K1234" s="6"/>
      <c r="L1234" s="80"/>
      <c r="M1234" s="80"/>
      <c r="N1234" s="80"/>
      <c r="O1234" s="80"/>
      <c r="P1234" s="6"/>
      <c r="Q1234" s="6"/>
      <c r="R1234" s="6"/>
      <c r="S1234" s="6"/>
      <c r="T1234" s="6"/>
      <c r="U1234" s="6"/>
      <c r="V1234" s="6"/>
      <c r="W1234" s="7"/>
      <c r="X1234" s="7"/>
      <c r="Y1234" s="7"/>
      <c r="Z1234" s="7"/>
    </row>
    <row r="1235">
      <c r="A1235" s="6"/>
      <c r="B1235" s="6"/>
      <c r="C1235" s="6"/>
      <c r="D1235" s="6"/>
      <c r="E1235" s="6"/>
      <c r="F1235" s="6"/>
      <c r="G1235" s="6"/>
      <c r="H1235" s="6"/>
      <c r="I1235" s="6"/>
      <c r="J1235" s="6"/>
      <c r="K1235" s="6"/>
      <c r="L1235" s="80"/>
      <c r="M1235" s="80"/>
      <c r="N1235" s="80"/>
      <c r="O1235" s="80"/>
      <c r="P1235" s="6"/>
      <c r="Q1235" s="6"/>
      <c r="R1235" s="6"/>
      <c r="S1235" s="6"/>
      <c r="T1235" s="6"/>
      <c r="U1235" s="6"/>
      <c r="V1235" s="6"/>
      <c r="W1235" s="7"/>
      <c r="X1235" s="7"/>
      <c r="Y1235" s="7"/>
      <c r="Z1235" s="7"/>
    </row>
    <row r="1236">
      <c r="A1236" s="6"/>
      <c r="B1236" s="6"/>
      <c r="C1236" s="6"/>
      <c r="D1236" s="6"/>
      <c r="E1236" s="6"/>
      <c r="F1236" s="6"/>
      <c r="G1236" s="6"/>
      <c r="H1236" s="6"/>
      <c r="I1236" s="6"/>
      <c r="J1236" s="6"/>
      <c r="K1236" s="6"/>
      <c r="L1236" s="80"/>
      <c r="M1236" s="80"/>
      <c r="N1236" s="80"/>
      <c r="O1236" s="80"/>
      <c r="P1236" s="6"/>
      <c r="Q1236" s="6"/>
      <c r="R1236" s="6"/>
      <c r="S1236" s="6"/>
      <c r="T1236" s="6"/>
      <c r="U1236" s="6"/>
      <c r="V1236" s="6"/>
      <c r="W1236" s="7"/>
      <c r="X1236" s="7"/>
      <c r="Y1236" s="7"/>
      <c r="Z1236" s="7"/>
    </row>
    <row r="1237">
      <c r="A1237" s="6"/>
      <c r="B1237" s="6"/>
      <c r="C1237" s="6"/>
      <c r="D1237" s="6"/>
      <c r="E1237" s="6"/>
      <c r="F1237" s="6"/>
      <c r="G1237" s="6"/>
      <c r="H1237" s="6"/>
      <c r="I1237" s="6"/>
      <c r="J1237" s="6"/>
      <c r="K1237" s="6"/>
      <c r="L1237" s="80"/>
      <c r="M1237" s="80"/>
      <c r="N1237" s="80"/>
      <c r="O1237" s="80"/>
      <c r="P1237" s="6"/>
      <c r="Q1237" s="6"/>
      <c r="R1237" s="6"/>
      <c r="S1237" s="6"/>
      <c r="T1237" s="6"/>
      <c r="U1237" s="6"/>
      <c r="V1237" s="6"/>
      <c r="W1237" s="7"/>
      <c r="X1237" s="7"/>
      <c r="Y1237" s="7"/>
      <c r="Z1237" s="7"/>
    </row>
    <row r="1238">
      <c r="A1238" s="6"/>
      <c r="B1238" s="6"/>
      <c r="C1238" s="6"/>
      <c r="D1238" s="6"/>
      <c r="E1238" s="6"/>
      <c r="F1238" s="6"/>
      <c r="G1238" s="6"/>
      <c r="H1238" s="6"/>
      <c r="I1238" s="6"/>
      <c r="J1238" s="6"/>
      <c r="K1238" s="6"/>
      <c r="L1238" s="80"/>
      <c r="M1238" s="80"/>
      <c r="N1238" s="80"/>
      <c r="O1238" s="80"/>
      <c r="P1238" s="6"/>
      <c r="Q1238" s="6"/>
      <c r="R1238" s="6"/>
      <c r="S1238" s="6"/>
      <c r="T1238" s="6"/>
      <c r="U1238" s="6"/>
      <c r="V1238" s="6"/>
      <c r="W1238" s="7"/>
      <c r="X1238" s="7"/>
      <c r="Y1238" s="7"/>
      <c r="Z1238" s="7"/>
    </row>
    <row r="1239">
      <c r="A1239" s="6"/>
      <c r="B1239" s="6"/>
      <c r="C1239" s="6"/>
      <c r="D1239" s="6"/>
      <c r="E1239" s="6"/>
      <c r="F1239" s="6"/>
      <c r="G1239" s="6"/>
      <c r="H1239" s="6"/>
      <c r="I1239" s="6"/>
      <c r="J1239" s="6"/>
      <c r="K1239" s="6"/>
      <c r="L1239" s="80"/>
      <c r="M1239" s="80"/>
      <c r="N1239" s="80"/>
      <c r="O1239" s="80"/>
      <c r="P1239" s="6"/>
      <c r="Q1239" s="6"/>
      <c r="R1239" s="6"/>
      <c r="S1239" s="6"/>
      <c r="T1239" s="6"/>
      <c r="U1239" s="6"/>
      <c r="V1239" s="6"/>
      <c r="W1239" s="7"/>
      <c r="X1239" s="7"/>
      <c r="Y1239" s="7"/>
      <c r="Z1239" s="7"/>
    </row>
    <row r="1240">
      <c r="A1240" s="6"/>
      <c r="B1240" s="6"/>
      <c r="C1240" s="6"/>
      <c r="D1240" s="6"/>
      <c r="E1240" s="6"/>
      <c r="F1240" s="6"/>
      <c r="G1240" s="6"/>
      <c r="H1240" s="6"/>
      <c r="I1240" s="6"/>
      <c r="J1240" s="6"/>
      <c r="K1240" s="6"/>
      <c r="L1240" s="80"/>
      <c r="M1240" s="80"/>
      <c r="N1240" s="80"/>
      <c r="O1240" s="80"/>
      <c r="P1240" s="6"/>
      <c r="Q1240" s="6"/>
      <c r="R1240" s="6"/>
      <c r="S1240" s="6"/>
      <c r="T1240" s="6"/>
      <c r="U1240" s="6"/>
      <c r="V1240" s="6"/>
      <c r="W1240" s="7"/>
      <c r="X1240" s="7"/>
      <c r="Y1240" s="7"/>
      <c r="Z1240" s="7"/>
    </row>
    <row r="1241">
      <c r="A1241" s="6"/>
      <c r="B1241" s="6"/>
      <c r="C1241" s="6"/>
      <c r="D1241" s="6"/>
      <c r="E1241" s="6"/>
      <c r="F1241" s="6"/>
      <c r="G1241" s="6"/>
      <c r="H1241" s="6"/>
      <c r="I1241" s="6"/>
      <c r="J1241" s="6"/>
      <c r="K1241" s="6"/>
      <c r="L1241" s="80"/>
      <c r="M1241" s="80"/>
      <c r="N1241" s="80"/>
      <c r="O1241" s="80"/>
      <c r="P1241" s="6"/>
      <c r="Q1241" s="6"/>
      <c r="R1241" s="6"/>
      <c r="S1241" s="6"/>
      <c r="T1241" s="6"/>
      <c r="U1241" s="6"/>
      <c r="V1241" s="6"/>
      <c r="W1241" s="7"/>
      <c r="X1241" s="7"/>
      <c r="Y1241" s="7"/>
      <c r="Z1241" s="7"/>
    </row>
    <row r="1242">
      <c r="A1242" s="6"/>
      <c r="B1242" s="6"/>
      <c r="C1242" s="6"/>
      <c r="D1242" s="6"/>
      <c r="E1242" s="6"/>
      <c r="F1242" s="6"/>
      <c r="G1242" s="6"/>
      <c r="H1242" s="6"/>
      <c r="I1242" s="6"/>
      <c r="J1242" s="6"/>
      <c r="K1242" s="6"/>
      <c r="L1242" s="80"/>
      <c r="M1242" s="80"/>
      <c r="N1242" s="80"/>
      <c r="O1242" s="80"/>
      <c r="P1242" s="6"/>
      <c r="Q1242" s="6"/>
      <c r="R1242" s="6"/>
      <c r="S1242" s="6"/>
      <c r="T1242" s="6"/>
      <c r="U1242" s="6"/>
      <c r="V1242" s="6"/>
      <c r="W1242" s="7"/>
      <c r="X1242" s="7"/>
      <c r="Y1242" s="7"/>
      <c r="Z1242" s="7"/>
    </row>
    <row r="1243">
      <c r="A1243" s="6"/>
      <c r="B1243" s="6"/>
      <c r="C1243" s="6"/>
      <c r="D1243" s="6"/>
      <c r="E1243" s="6"/>
      <c r="F1243" s="6"/>
      <c r="G1243" s="6"/>
      <c r="H1243" s="6"/>
      <c r="I1243" s="6"/>
      <c r="J1243" s="6"/>
      <c r="K1243" s="6"/>
      <c r="L1243" s="80"/>
      <c r="M1243" s="80"/>
      <c r="N1243" s="80"/>
      <c r="O1243" s="80"/>
      <c r="P1243" s="6"/>
      <c r="Q1243" s="6"/>
      <c r="R1243" s="6"/>
      <c r="S1243" s="6"/>
      <c r="T1243" s="6"/>
      <c r="U1243" s="6"/>
      <c r="V1243" s="6"/>
      <c r="W1243" s="7"/>
      <c r="X1243" s="7"/>
      <c r="Y1243" s="7"/>
      <c r="Z1243" s="7"/>
    </row>
    <row r="1244">
      <c r="A1244" s="6"/>
      <c r="B1244" s="6"/>
      <c r="C1244" s="6"/>
      <c r="D1244" s="6"/>
      <c r="E1244" s="6"/>
      <c r="F1244" s="6"/>
      <c r="G1244" s="6"/>
      <c r="H1244" s="6"/>
      <c r="I1244" s="6"/>
      <c r="J1244" s="6"/>
      <c r="K1244" s="6"/>
      <c r="L1244" s="80"/>
      <c r="M1244" s="80"/>
      <c r="N1244" s="80"/>
      <c r="O1244" s="80"/>
      <c r="P1244" s="6"/>
      <c r="Q1244" s="6"/>
      <c r="R1244" s="6"/>
      <c r="S1244" s="6"/>
      <c r="T1244" s="6"/>
      <c r="U1244" s="6"/>
      <c r="V1244" s="6"/>
      <c r="W1244" s="7"/>
      <c r="X1244" s="7"/>
      <c r="Y1244" s="7"/>
      <c r="Z1244" s="7"/>
    </row>
    <row r="1245">
      <c r="A1245" s="6"/>
      <c r="B1245" s="6"/>
      <c r="C1245" s="6"/>
      <c r="D1245" s="6"/>
      <c r="E1245" s="6"/>
      <c r="F1245" s="6"/>
      <c r="G1245" s="6"/>
      <c r="H1245" s="6"/>
      <c r="I1245" s="6"/>
      <c r="J1245" s="6"/>
      <c r="K1245" s="6"/>
      <c r="L1245" s="80"/>
      <c r="M1245" s="80"/>
      <c r="N1245" s="80"/>
      <c r="O1245" s="80"/>
      <c r="P1245" s="6"/>
      <c r="Q1245" s="6"/>
      <c r="R1245" s="6"/>
      <c r="S1245" s="6"/>
      <c r="T1245" s="6"/>
      <c r="U1245" s="6"/>
      <c r="V1245" s="6"/>
      <c r="W1245" s="7"/>
      <c r="X1245" s="7"/>
      <c r="Y1245" s="7"/>
      <c r="Z1245" s="7"/>
    </row>
    <row r="1246">
      <c r="A1246" s="6"/>
      <c r="B1246" s="6"/>
      <c r="C1246" s="6"/>
      <c r="D1246" s="6"/>
      <c r="E1246" s="6"/>
      <c r="F1246" s="6"/>
      <c r="G1246" s="6"/>
      <c r="H1246" s="6"/>
      <c r="I1246" s="6"/>
      <c r="J1246" s="6"/>
      <c r="K1246" s="6"/>
      <c r="L1246" s="80"/>
      <c r="M1246" s="80"/>
      <c r="N1246" s="80"/>
      <c r="O1246" s="80"/>
      <c r="P1246" s="6"/>
      <c r="Q1246" s="6"/>
      <c r="R1246" s="6"/>
      <c r="S1246" s="6"/>
      <c r="T1246" s="6"/>
      <c r="U1246" s="6"/>
      <c r="V1246" s="6"/>
      <c r="W1246" s="7"/>
      <c r="X1246" s="7"/>
      <c r="Y1246" s="7"/>
      <c r="Z1246" s="7"/>
    </row>
    <row r="1247">
      <c r="A1247" s="6"/>
      <c r="B1247" s="6"/>
      <c r="C1247" s="6"/>
      <c r="D1247" s="6"/>
      <c r="E1247" s="6"/>
      <c r="F1247" s="6"/>
      <c r="G1247" s="6"/>
      <c r="H1247" s="6"/>
      <c r="I1247" s="6"/>
      <c r="J1247" s="6"/>
      <c r="K1247" s="6"/>
      <c r="L1247" s="80"/>
      <c r="M1247" s="80"/>
      <c r="N1247" s="80"/>
      <c r="O1247" s="80"/>
      <c r="P1247" s="6"/>
      <c r="Q1247" s="6"/>
      <c r="R1247" s="6"/>
      <c r="S1247" s="6"/>
      <c r="T1247" s="6"/>
      <c r="U1247" s="6"/>
      <c r="V1247" s="6"/>
      <c r="W1247" s="7"/>
      <c r="X1247" s="7"/>
      <c r="Y1247" s="7"/>
      <c r="Z1247" s="7"/>
    </row>
    <row r="1248">
      <c r="A1248" s="6"/>
      <c r="B1248" s="6"/>
      <c r="C1248" s="6"/>
      <c r="D1248" s="6"/>
      <c r="E1248" s="6"/>
      <c r="F1248" s="6"/>
      <c r="G1248" s="6"/>
      <c r="H1248" s="6"/>
      <c r="I1248" s="6"/>
      <c r="J1248" s="6"/>
      <c r="K1248" s="6"/>
      <c r="L1248" s="80"/>
      <c r="M1248" s="80"/>
      <c r="N1248" s="80"/>
      <c r="O1248" s="80"/>
      <c r="P1248" s="6"/>
      <c r="Q1248" s="6"/>
      <c r="R1248" s="6"/>
      <c r="S1248" s="6"/>
      <c r="T1248" s="6"/>
      <c r="U1248" s="6"/>
      <c r="V1248" s="6"/>
      <c r="W1248" s="7"/>
      <c r="X1248" s="7"/>
      <c r="Y1248" s="7"/>
      <c r="Z1248" s="7"/>
    </row>
    <row r="1249">
      <c r="A1249" s="6"/>
      <c r="B1249" s="6"/>
      <c r="C1249" s="6"/>
      <c r="D1249" s="6"/>
      <c r="E1249" s="6"/>
      <c r="F1249" s="6"/>
      <c r="G1249" s="6"/>
      <c r="H1249" s="6"/>
      <c r="I1249" s="6"/>
      <c r="J1249" s="6"/>
      <c r="K1249" s="6"/>
      <c r="L1249" s="80"/>
      <c r="M1249" s="80"/>
      <c r="N1249" s="80"/>
      <c r="O1249" s="80"/>
      <c r="P1249" s="6"/>
      <c r="Q1249" s="6"/>
      <c r="R1249" s="6"/>
      <c r="S1249" s="6"/>
      <c r="T1249" s="6"/>
      <c r="U1249" s="6"/>
      <c r="V1249" s="6"/>
      <c r="W1249" s="7"/>
      <c r="X1249" s="7"/>
      <c r="Y1249" s="7"/>
      <c r="Z1249" s="7"/>
    </row>
    <row r="1250">
      <c r="A1250" s="6"/>
      <c r="B1250" s="6"/>
      <c r="C1250" s="6"/>
      <c r="D1250" s="6"/>
      <c r="E1250" s="6"/>
      <c r="F1250" s="6"/>
      <c r="G1250" s="6"/>
      <c r="H1250" s="6"/>
      <c r="I1250" s="6"/>
      <c r="J1250" s="6"/>
      <c r="K1250" s="6"/>
      <c r="L1250" s="80"/>
      <c r="M1250" s="80"/>
      <c r="N1250" s="80"/>
      <c r="O1250" s="80"/>
      <c r="P1250" s="6"/>
      <c r="Q1250" s="6"/>
      <c r="R1250" s="6"/>
      <c r="S1250" s="6"/>
      <c r="T1250" s="6"/>
      <c r="U1250" s="6"/>
      <c r="V1250" s="6"/>
      <c r="W1250" s="7"/>
      <c r="X1250" s="7"/>
      <c r="Y1250" s="7"/>
      <c r="Z1250" s="7"/>
    </row>
    <row r="1251">
      <c r="A1251" s="6"/>
      <c r="B1251" s="6"/>
      <c r="C1251" s="6"/>
      <c r="D1251" s="6"/>
      <c r="E1251" s="6"/>
      <c r="F1251" s="6"/>
      <c r="G1251" s="6"/>
      <c r="H1251" s="6"/>
      <c r="I1251" s="6"/>
      <c r="J1251" s="6"/>
      <c r="K1251" s="6"/>
      <c r="L1251" s="80"/>
      <c r="M1251" s="80"/>
      <c r="N1251" s="80"/>
      <c r="O1251" s="80"/>
      <c r="P1251" s="6"/>
      <c r="Q1251" s="6"/>
      <c r="R1251" s="6"/>
      <c r="S1251" s="6"/>
      <c r="T1251" s="6"/>
      <c r="U1251" s="6"/>
      <c r="V1251" s="6"/>
      <c r="W1251" s="7"/>
      <c r="X1251" s="7"/>
      <c r="Y1251" s="7"/>
      <c r="Z1251" s="7"/>
    </row>
    <row r="1252">
      <c r="A1252" s="6"/>
      <c r="B1252" s="6"/>
      <c r="C1252" s="6"/>
      <c r="D1252" s="6"/>
      <c r="E1252" s="6"/>
      <c r="F1252" s="6"/>
      <c r="G1252" s="6"/>
      <c r="H1252" s="6"/>
      <c r="I1252" s="6"/>
      <c r="J1252" s="6"/>
      <c r="K1252" s="6"/>
      <c r="L1252" s="80"/>
      <c r="M1252" s="80"/>
      <c r="N1252" s="80"/>
      <c r="O1252" s="80"/>
      <c r="P1252" s="6"/>
      <c r="Q1252" s="6"/>
      <c r="R1252" s="6"/>
      <c r="S1252" s="6"/>
      <c r="T1252" s="6"/>
      <c r="U1252" s="6"/>
      <c r="V1252" s="6"/>
      <c r="W1252" s="7"/>
      <c r="X1252" s="7"/>
      <c r="Y1252" s="7"/>
      <c r="Z1252" s="7"/>
    </row>
    <row r="1253">
      <c r="A1253" s="6"/>
      <c r="B1253" s="6"/>
      <c r="C1253" s="6"/>
      <c r="D1253" s="6"/>
      <c r="E1253" s="6"/>
      <c r="F1253" s="6"/>
      <c r="G1253" s="6"/>
      <c r="H1253" s="6"/>
      <c r="I1253" s="6"/>
      <c r="J1253" s="6"/>
      <c r="K1253" s="6"/>
      <c r="L1253" s="80"/>
      <c r="M1253" s="80"/>
      <c r="N1253" s="80"/>
      <c r="O1253" s="80"/>
      <c r="P1253" s="6"/>
      <c r="Q1253" s="6"/>
      <c r="R1253" s="6"/>
      <c r="S1253" s="6"/>
      <c r="T1253" s="6"/>
      <c r="U1253" s="6"/>
      <c r="V1253" s="6"/>
      <c r="W1253" s="7"/>
      <c r="X1253" s="7"/>
      <c r="Y1253" s="7"/>
      <c r="Z1253" s="7"/>
    </row>
    <row r="1254">
      <c r="A1254" s="6"/>
      <c r="B1254" s="6"/>
      <c r="C1254" s="6"/>
      <c r="D1254" s="6"/>
      <c r="E1254" s="6"/>
      <c r="F1254" s="6"/>
      <c r="G1254" s="6"/>
      <c r="H1254" s="6"/>
      <c r="I1254" s="6"/>
      <c r="J1254" s="6"/>
      <c r="K1254" s="6"/>
      <c r="L1254" s="80"/>
      <c r="M1254" s="80"/>
      <c r="N1254" s="80"/>
      <c r="O1254" s="80"/>
      <c r="P1254" s="6"/>
      <c r="Q1254" s="6"/>
      <c r="R1254" s="6"/>
      <c r="S1254" s="6"/>
      <c r="T1254" s="6"/>
      <c r="U1254" s="6"/>
      <c r="V1254" s="6"/>
      <c r="W1254" s="7"/>
      <c r="X1254" s="7"/>
      <c r="Y1254" s="7"/>
      <c r="Z1254" s="7"/>
    </row>
    <row r="1255">
      <c r="A1255" s="6"/>
      <c r="B1255" s="6"/>
      <c r="C1255" s="6"/>
      <c r="D1255" s="6"/>
      <c r="E1255" s="6"/>
      <c r="F1255" s="6"/>
      <c r="G1255" s="6"/>
      <c r="H1255" s="6"/>
      <c r="I1255" s="6"/>
      <c r="J1255" s="6"/>
      <c r="K1255" s="6"/>
      <c r="L1255" s="80"/>
      <c r="M1255" s="80"/>
      <c r="N1255" s="80"/>
      <c r="O1255" s="80"/>
      <c r="P1255" s="6"/>
      <c r="Q1255" s="6"/>
      <c r="R1255" s="6"/>
      <c r="S1255" s="6"/>
      <c r="T1255" s="6"/>
      <c r="U1255" s="6"/>
      <c r="V1255" s="6"/>
      <c r="W1255" s="7"/>
      <c r="X1255" s="7"/>
      <c r="Y1255" s="7"/>
      <c r="Z1255" s="7"/>
    </row>
    <row r="1256">
      <c r="A1256" s="6"/>
      <c r="B1256" s="6"/>
      <c r="C1256" s="6"/>
      <c r="D1256" s="6"/>
      <c r="E1256" s="6"/>
      <c r="F1256" s="6"/>
      <c r="G1256" s="6"/>
      <c r="H1256" s="6"/>
      <c r="I1256" s="6"/>
      <c r="J1256" s="6"/>
      <c r="K1256" s="6"/>
      <c r="L1256" s="80"/>
      <c r="M1256" s="80"/>
      <c r="N1256" s="80"/>
      <c r="O1256" s="80"/>
      <c r="P1256" s="6"/>
      <c r="Q1256" s="6"/>
      <c r="R1256" s="6"/>
      <c r="S1256" s="6"/>
      <c r="T1256" s="6"/>
      <c r="U1256" s="6"/>
      <c r="V1256" s="6"/>
      <c r="W1256" s="7"/>
      <c r="X1256" s="7"/>
      <c r="Y1256" s="7"/>
      <c r="Z1256" s="7"/>
    </row>
    <row r="1257">
      <c r="A1257" s="6"/>
      <c r="B1257" s="6"/>
      <c r="C1257" s="6"/>
      <c r="D1257" s="6"/>
      <c r="E1257" s="6"/>
      <c r="F1257" s="6"/>
      <c r="G1257" s="6"/>
      <c r="H1257" s="6"/>
      <c r="I1257" s="6"/>
      <c r="J1257" s="6"/>
      <c r="K1257" s="6"/>
      <c r="L1257" s="80"/>
      <c r="M1257" s="80"/>
      <c r="N1257" s="80"/>
      <c r="O1257" s="80"/>
      <c r="P1257" s="6"/>
      <c r="Q1257" s="6"/>
      <c r="R1257" s="6"/>
      <c r="S1257" s="6"/>
      <c r="T1257" s="6"/>
      <c r="U1257" s="6"/>
      <c r="V1257" s="6"/>
      <c r="W1257" s="7"/>
      <c r="X1257" s="7"/>
      <c r="Y1257" s="7"/>
      <c r="Z1257" s="7"/>
    </row>
    <row r="1258">
      <c r="A1258" s="6"/>
      <c r="B1258" s="6"/>
      <c r="C1258" s="6"/>
      <c r="D1258" s="6"/>
      <c r="E1258" s="6"/>
      <c r="F1258" s="6"/>
      <c r="G1258" s="6"/>
      <c r="H1258" s="6"/>
      <c r="I1258" s="6"/>
      <c r="J1258" s="6"/>
      <c r="K1258" s="6"/>
      <c r="L1258" s="80"/>
      <c r="M1258" s="80"/>
      <c r="N1258" s="80"/>
      <c r="O1258" s="80"/>
      <c r="P1258" s="6"/>
      <c r="Q1258" s="6"/>
      <c r="R1258" s="6"/>
      <c r="S1258" s="6"/>
      <c r="T1258" s="6"/>
      <c r="U1258" s="6"/>
      <c r="V1258" s="6"/>
      <c r="W1258" s="7"/>
      <c r="X1258" s="7"/>
      <c r="Y1258" s="7"/>
      <c r="Z1258" s="7"/>
    </row>
    <row r="1259">
      <c r="A1259" s="6"/>
      <c r="B1259" s="6"/>
      <c r="C1259" s="6"/>
      <c r="D1259" s="6"/>
      <c r="E1259" s="6"/>
      <c r="F1259" s="6"/>
      <c r="G1259" s="6"/>
      <c r="H1259" s="6"/>
      <c r="I1259" s="6"/>
      <c r="J1259" s="6"/>
      <c r="K1259" s="6"/>
      <c r="L1259" s="80"/>
      <c r="M1259" s="80"/>
      <c r="N1259" s="80"/>
      <c r="O1259" s="80"/>
      <c r="P1259" s="6"/>
      <c r="Q1259" s="6"/>
      <c r="R1259" s="6"/>
      <c r="S1259" s="6"/>
      <c r="T1259" s="6"/>
      <c r="U1259" s="6"/>
      <c r="V1259" s="6"/>
      <c r="W1259" s="7"/>
      <c r="X1259" s="7"/>
      <c r="Y1259" s="7"/>
      <c r="Z1259" s="7"/>
    </row>
    <row r="1260">
      <c r="A1260" s="6"/>
      <c r="B1260" s="6"/>
      <c r="C1260" s="6"/>
      <c r="D1260" s="6"/>
      <c r="E1260" s="6"/>
      <c r="F1260" s="6"/>
      <c r="G1260" s="6"/>
      <c r="H1260" s="6"/>
      <c r="I1260" s="6"/>
      <c r="J1260" s="6"/>
      <c r="K1260" s="6"/>
      <c r="L1260" s="80"/>
      <c r="M1260" s="80"/>
      <c r="N1260" s="80"/>
      <c r="O1260" s="80"/>
      <c r="P1260" s="6"/>
      <c r="Q1260" s="6"/>
      <c r="R1260" s="6"/>
      <c r="S1260" s="6"/>
      <c r="T1260" s="6"/>
      <c r="U1260" s="6"/>
      <c r="V1260" s="6"/>
      <c r="W1260" s="7"/>
      <c r="X1260" s="7"/>
      <c r="Y1260" s="7"/>
      <c r="Z1260" s="7"/>
    </row>
    <row r="1261">
      <c r="A1261" s="6"/>
      <c r="B1261" s="6"/>
      <c r="C1261" s="6"/>
      <c r="D1261" s="6"/>
      <c r="E1261" s="6"/>
      <c r="F1261" s="6"/>
      <c r="G1261" s="6"/>
      <c r="H1261" s="6"/>
      <c r="I1261" s="6"/>
      <c r="J1261" s="6"/>
      <c r="K1261" s="6"/>
      <c r="L1261" s="80"/>
      <c r="M1261" s="80"/>
      <c r="N1261" s="80"/>
      <c r="O1261" s="80"/>
      <c r="P1261" s="6"/>
      <c r="Q1261" s="6"/>
      <c r="R1261" s="6"/>
      <c r="S1261" s="6"/>
      <c r="T1261" s="6"/>
      <c r="U1261" s="6"/>
      <c r="V1261" s="6"/>
      <c r="W1261" s="7"/>
      <c r="X1261" s="7"/>
      <c r="Y1261" s="7"/>
      <c r="Z1261" s="7"/>
    </row>
    <row r="1262">
      <c r="A1262" s="6"/>
      <c r="B1262" s="6"/>
      <c r="C1262" s="6"/>
      <c r="D1262" s="6"/>
      <c r="E1262" s="6"/>
      <c r="F1262" s="6"/>
      <c r="G1262" s="6"/>
      <c r="H1262" s="6"/>
      <c r="I1262" s="6"/>
      <c r="J1262" s="6"/>
      <c r="K1262" s="6"/>
      <c r="L1262" s="80"/>
      <c r="M1262" s="80"/>
      <c r="N1262" s="80"/>
      <c r="O1262" s="80"/>
      <c r="P1262" s="6"/>
      <c r="Q1262" s="6"/>
      <c r="R1262" s="6"/>
      <c r="S1262" s="6"/>
      <c r="T1262" s="6"/>
      <c r="U1262" s="6"/>
      <c r="V1262" s="6"/>
      <c r="W1262" s="7"/>
      <c r="X1262" s="7"/>
      <c r="Y1262" s="7"/>
      <c r="Z1262" s="7"/>
    </row>
    <row r="1263">
      <c r="A1263" s="6"/>
      <c r="B1263" s="6"/>
      <c r="C1263" s="6"/>
      <c r="D1263" s="6"/>
      <c r="E1263" s="6"/>
      <c r="F1263" s="6"/>
      <c r="G1263" s="6"/>
      <c r="H1263" s="6"/>
      <c r="I1263" s="6"/>
      <c r="J1263" s="6"/>
      <c r="K1263" s="6"/>
      <c r="L1263" s="80"/>
      <c r="M1263" s="80"/>
      <c r="N1263" s="80"/>
      <c r="O1263" s="80"/>
      <c r="P1263" s="6"/>
      <c r="Q1263" s="6"/>
      <c r="R1263" s="6"/>
      <c r="S1263" s="6"/>
      <c r="T1263" s="6"/>
      <c r="U1263" s="6"/>
      <c r="V1263" s="6"/>
      <c r="W1263" s="7"/>
      <c r="X1263" s="7"/>
      <c r="Y1263" s="7"/>
      <c r="Z1263" s="7"/>
    </row>
    <row r="1264">
      <c r="A1264" s="6"/>
      <c r="B1264" s="6"/>
      <c r="C1264" s="6"/>
      <c r="D1264" s="6"/>
      <c r="E1264" s="6"/>
      <c r="F1264" s="6"/>
      <c r="G1264" s="6"/>
      <c r="H1264" s="6"/>
      <c r="I1264" s="6"/>
      <c r="J1264" s="6"/>
      <c r="K1264" s="6"/>
      <c r="L1264" s="80"/>
      <c r="M1264" s="80"/>
      <c r="N1264" s="80"/>
      <c r="O1264" s="80"/>
      <c r="P1264" s="6"/>
      <c r="Q1264" s="6"/>
      <c r="R1264" s="6"/>
      <c r="S1264" s="6"/>
      <c r="T1264" s="6"/>
      <c r="U1264" s="6"/>
      <c r="V1264" s="6"/>
      <c r="W1264" s="7"/>
      <c r="X1264" s="7"/>
      <c r="Y1264" s="7"/>
      <c r="Z1264" s="7"/>
    </row>
    <row r="1265">
      <c r="A1265" s="6"/>
      <c r="B1265" s="6"/>
      <c r="C1265" s="6"/>
      <c r="D1265" s="6"/>
      <c r="E1265" s="6"/>
      <c r="F1265" s="6"/>
      <c r="G1265" s="6"/>
      <c r="H1265" s="6"/>
      <c r="I1265" s="6"/>
      <c r="J1265" s="6"/>
      <c r="K1265" s="6"/>
      <c r="L1265" s="80"/>
      <c r="M1265" s="80"/>
      <c r="N1265" s="80"/>
      <c r="O1265" s="80"/>
      <c r="P1265" s="6"/>
      <c r="Q1265" s="6"/>
      <c r="R1265" s="6"/>
      <c r="S1265" s="6"/>
      <c r="T1265" s="6"/>
      <c r="U1265" s="6"/>
      <c r="V1265" s="6"/>
      <c r="W1265" s="7"/>
      <c r="X1265" s="7"/>
      <c r="Y1265" s="7"/>
      <c r="Z1265" s="7"/>
    </row>
    <row r="1266">
      <c r="A1266" s="6"/>
      <c r="B1266" s="6"/>
      <c r="C1266" s="6"/>
      <c r="D1266" s="6"/>
      <c r="E1266" s="6"/>
      <c r="F1266" s="6"/>
      <c r="G1266" s="6"/>
      <c r="H1266" s="6"/>
      <c r="I1266" s="6"/>
      <c r="J1266" s="6"/>
      <c r="K1266" s="6"/>
      <c r="L1266" s="80"/>
      <c r="M1266" s="80"/>
      <c r="N1266" s="80"/>
      <c r="O1266" s="80"/>
      <c r="P1266" s="6"/>
      <c r="Q1266" s="6"/>
      <c r="R1266" s="6"/>
      <c r="S1266" s="6"/>
      <c r="T1266" s="6"/>
      <c r="U1266" s="6"/>
      <c r="V1266" s="6"/>
      <c r="W1266" s="7"/>
      <c r="X1266" s="7"/>
      <c r="Y1266" s="7"/>
      <c r="Z1266" s="7"/>
    </row>
    <row r="1267">
      <c r="A1267" s="6"/>
      <c r="B1267" s="6"/>
      <c r="C1267" s="6"/>
      <c r="D1267" s="6"/>
      <c r="E1267" s="6"/>
      <c r="F1267" s="6"/>
      <c r="G1267" s="6"/>
      <c r="H1267" s="6"/>
      <c r="I1267" s="6"/>
      <c r="J1267" s="6"/>
      <c r="K1267" s="6"/>
      <c r="L1267" s="80"/>
      <c r="M1267" s="80"/>
      <c r="N1267" s="80"/>
      <c r="O1267" s="80"/>
      <c r="P1267" s="6"/>
      <c r="Q1267" s="6"/>
      <c r="R1267" s="6"/>
      <c r="S1267" s="6"/>
      <c r="T1267" s="6"/>
      <c r="U1267" s="6"/>
      <c r="V1267" s="6"/>
      <c r="W1267" s="7"/>
      <c r="X1267" s="7"/>
      <c r="Y1267" s="7"/>
      <c r="Z1267" s="7"/>
    </row>
    <row r="1268">
      <c r="A1268" s="6"/>
      <c r="B1268" s="6"/>
      <c r="C1268" s="6"/>
      <c r="D1268" s="6"/>
      <c r="E1268" s="6"/>
      <c r="F1268" s="6"/>
      <c r="G1268" s="6"/>
      <c r="H1268" s="6"/>
      <c r="I1268" s="6"/>
      <c r="J1268" s="6"/>
      <c r="K1268" s="6"/>
      <c r="L1268" s="80"/>
      <c r="M1268" s="80"/>
      <c r="N1268" s="80"/>
      <c r="O1268" s="80"/>
      <c r="P1268" s="6"/>
      <c r="Q1268" s="6"/>
      <c r="R1268" s="6"/>
      <c r="S1268" s="6"/>
      <c r="T1268" s="6"/>
      <c r="U1268" s="6"/>
      <c r="V1268" s="6"/>
      <c r="W1268" s="7"/>
      <c r="X1268" s="7"/>
      <c r="Y1268" s="7"/>
      <c r="Z1268" s="7"/>
    </row>
    <row r="1269">
      <c r="A1269" s="6"/>
      <c r="B1269" s="6"/>
      <c r="C1269" s="6"/>
      <c r="D1269" s="6"/>
      <c r="E1269" s="6"/>
      <c r="F1269" s="6"/>
      <c r="G1269" s="6"/>
      <c r="H1269" s="6"/>
      <c r="I1269" s="6"/>
      <c r="J1269" s="6"/>
      <c r="K1269" s="6"/>
      <c r="L1269" s="80"/>
      <c r="M1269" s="80"/>
      <c r="N1269" s="80"/>
      <c r="O1269" s="80"/>
      <c r="P1269" s="6"/>
      <c r="Q1269" s="6"/>
      <c r="R1269" s="6"/>
      <c r="S1269" s="6"/>
      <c r="T1269" s="6"/>
      <c r="U1269" s="6"/>
      <c r="V1269" s="6"/>
      <c r="W1269" s="7"/>
      <c r="X1269" s="7"/>
      <c r="Y1269" s="7"/>
      <c r="Z1269" s="7"/>
    </row>
    <row r="1270">
      <c r="A1270" s="6"/>
      <c r="B1270" s="6"/>
      <c r="C1270" s="6"/>
      <c r="D1270" s="6"/>
      <c r="E1270" s="6"/>
      <c r="F1270" s="6"/>
      <c r="G1270" s="6"/>
      <c r="H1270" s="6"/>
      <c r="I1270" s="6"/>
      <c r="J1270" s="6"/>
      <c r="K1270" s="6"/>
      <c r="L1270" s="80"/>
      <c r="M1270" s="80"/>
      <c r="N1270" s="80"/>
      <c r="O1270" s="80"/>
      <c r="P1270" s="6"/>
      <c r="Q1270" s="6"/>
      <c r="R1270" s="6"/>
      <c r="S1270" s="6"/>
      <c r="T1270" s="6"/>
      <c r="U1270" s="6"/>
      <c r="V1270" s="6"/>
      <c r="W1270" s="7"/>
      <c r="X1270" s="7"/>
      <c r="Y1270" s="7"/>
      <c r="Z1270" s="7"/>
    </row>
    <row r="1271">
      <c r="A1271" s="6"/>
      <c r="B1271" s="6"/>
      <c r="C1271" s="6"/>
      <c r="D1271" s="6"/>
      <c r="E1271" s="6"/>
      <c r="F1271" s="6"/>
      <c r="G1271" s="6"/>
      <c r="H1271" s="6"/>
      <c r="I1271" s="6"/>
      <c r="J1271" s="6"/>
      <c r="K1271" s="6"/>
      <c r="L1271" s="80"/>
      <c r="M1271" s="80"/>
      <c r="N1271" s="80"/>
      <c r="O1271" s="80"/>
      <c r="P1271" s="6"/>
      <c r="Q1271" s="6"/>
      <c r="R1271" s="6"/>
      <c r="S1271" s="6"/>
      <c r="T1271" s="6"/>
      <c r="U1271" s="6"/>
      <c r="V1271" s="6"/>
      <c r="W1271" s="7"/>
      <c r="X1271" s="7"/>
      <c r="Y1271" s="7"/>
      <c r="Z1271" s="7"/>
    </row>
    <row r="1272">
      <c r="A1272" s="6"/>
      <c r="B1272" s="6"/>
      <c r="C1272" s="6"/>
      <c r="D1272" s="6"/>
      <c r="E1272" s="6"/>
      <c r="F1272" s="6"/>
      <c r="G1272" s="6"/>
      <c r="H1272" s="6"/>
      <c r="I1272" s="6"/>
      <c r="J1272" s="6"/>
      <c r="K1272" s="6"/>
      <c r="L1272" s="80"/>
      <c r="M1272" s="80"/>
      <c r="N1272" s="80"/>
      <c r="O1272" s="80"/>
      <c r="P1272" s="6"/>
      <c r="Q1272" s="6"/>
      <c r="R1272" s="6"/>
      <c r="S1272" s="6"/>
      <c r="T1272" s="6"/>
      <c r="U1272" s="6"/>
      <c r="V1272" s="6"/>
      <c r="W1272" s="7"/>
      <c r="X1272" s="7"/>
      <c r="Y1272" s="7"/>
      <c r="Z1272" s="7"/>
    </row>
    <row r="1273">
      <c r="A1273" s="6"/>
      <c r="B1273" s="6"/>
      <c r="C1273" s="6"/>
      <c r="D1273" s="6"/>
      <c r="E1273" s="6"/>
      <c r="F1273" s="6"/>
      <c r="G1273" s="6"/>
      <c r="H1273" s="6"/>
      <c r="I1273" s="6"/>
      <c r="J1273" s="6"/>
      <c r="K1273" s="6"/>
      <c r="L1273" s="80"/>
      <c r="M1273" s="80"/>
      <c r="N1273" s="80"/>
      <c r="O1273" s="80"/>
      <c r="P1273" s="6"/>
      <c r="Q1273" s="6"/>
      <c r="R1273" s="6"/>
      <c r="S1273" s="6"/>
      <c r="T1273" s="6"/>
      <c r="U1273" s="6"/>
      <c r="V1273" s="6"/>
      <c r="W1273" s="7"/>
      <c r="X1273" s="7"/>
      <c r="Y1273" s="7"/>
      <c r="Z1273" s="7"/>
    </row>
    <row r="1274">
      <c r="A1274" s="6"/>
      <c r="B1274" s="6"/>
      <c r="C1274" s="6"/>
      <c r="D1274" s="6"/>
      <c r="E1274" s="6"/>
      <c r="F1274" s="6"/>
      <c r="G1274" s="6"/>
      <c r="H1274" s="6"/>
      <c r="I1274" s="6"/>
      <c r="J1274" s="6"/>
      <c r="K1274" s="6"/>
      <c r="L1274" s="80"/>
      <c r="M1274" s="80"/>
      <c r="N1274" s="80"/>
      <c r="O1274" s="80"/>
      <c r="P1274" s="6"/>
      <c r="Q1274" s="6"/>
      <c r="R1274" s="6"/>
      <c r="S1274" s="6"/>
      <c r="T1274" s="6"/>
      <c r="U1274" s="6"/>
      <c r="V1274" s="6"/>
      <c r="W1274" s="7"/>
      <c r="X1274" s="7"/>
      <c r="Y1274" s="7"/>
      <c r="Z1274" s="7"/>
    </row>
    <row r="1275">
      <c r="A1275" s="6"/>
      <c r="B1275" s="6"/>
      <c r="C1275" s="6"/>
      <c r="D1275" s="6"/>
      <c r="E1275" s="6"/>
      <c r="F1275" s="6"/>
      <c r="G1275" s="6"/>
      <c r="H1275" s="6"/>
      <c r="I1275" s="6"/>
      <c r="J1275" s="6"/>
      <c r="K1275" s="6"/>
      <c r="L1275" s="80"/>
      <c r="M1275" s="80"/>
      <c r="N1275" s="80"/>
      <c r="O1275" s="80"/>
      <c r="P1275" s="6"/>
      <c r="Q1275" s="6"/>
      <c r="R1275" s="6"/>
      <c r="S1275" s="6"/>
      <c r="T1275" s="6"/>
      <c r="U1275" s="6"/>
      <c r="V1275" s="6"/>
      <c r="W1275" s="7"/>
      <c r="X1275" s="7"/>
      <c r="Y1275" s="7"/>
      <c r="Z1275" s="7"/>
    </row>
    <row r="1276">
      <c r="A1276" s="6"/>
      <c r="B1276" s="6"/>
      <c r="C1276" s="6"/>
      <c r="D1276" s="6"/>
      <c r="E1276" s="6"/>
      <c r="F1276" s="6"/>
      <c r="G1276" s="6"/>
      <c r="H1276" s="6"/>
      <c r="I1276" s="6"/>
      <c r="J1276" s="6"/>
      <c r="K1276" s="6"/>
      <c r="L1276" s="80"/>
      <c r="M1276" s="80"/>
      <c r="N1276" s="80"/>
      <c r="O1276" s="80"/>
      <c r="P1276" s="6"/>
      <c r="Q1276" s="6"/>
      <c r="R1276" s="6"/>
      <c r="S1276" s="6"/>
      <c r="T1276" s="6"/>
      <c r="U1276" s="6"/>
      <c r="V1276" s="6"/>
      <c r="W1276" s="7"/>
      <c r="X1276" s="7"/>
      <c r="Y1276" s="7"/>
      <c r="Z1276" s="7"/>
    </row>
    <row r="1277">
      <c r="A1277" s="6"/>
      <c r="B1277" s="6"/>
      <c r="C1277" s="6"/>
      <c r="D1277" s="6"/>
      <c r="E1277" s="6"/>
      <c r="F1277" s="6"/>
      <c r="G1277" s="6"/>
      <c r="H1277" s="6"/>
      <c r="I1277" s="6"/>
      <c r="J1277" s="6"/>
      <c r="K1277" s="6"/>
      <c r="L1277" s="80"/>
      <c r="M1277" s="80"/>
      <c r="N1277" s="80"/>
      <c r="O1277" s="80"/>
      <c r="P1277" s="6"/>
      <c r="Q1277" s="6"/>
      <c r="R1277" s="6"/>
      <c r="S1277" s="6"/>
      <c r="T1277" s="6"/>
      <c r="U1277" s="6"/>
      <c r="V1277" s="6"/>
      <c r="W1277" s="7"/>
      <c r="X1277" s="7"/>
      <c r="Y1277" s="7"/>
      <c r="Z1277" s="7"/>
    </row>
    <row r="1278">
      <c r="A1278" s="6"/>
      <c r="B1278" s="6"/>
      <c r="C1278" s="6"/>
      <c r="D1278" s="6"/>
      <c r="E1278" s="6"/>
      <c r="F1278" s="6"/>
      <c r="G1278" s="6"/>
      <c r="H1278" s="6"/>
      <c r="I1278" s="6"/>
      <c r="J1278" s="6"/>
      <c r="K1278" s="6"/>
      <c r="L1278" s="80"/>
      <c r="M1278" s="80"/>
      <c r="N1278" s="80"/>
      <c r="O1278" s="80"/>
      <c r="P1278" s="6"/>
      <c r="Q1278" s="6"/>
      <c r="R1278" s="6"/>
      <c r="S1278" s="6"/>
      <c r="T1278" s="6"/>
      <c r="U1278" s="6"/>
      <c r="V1278" s="6"/>
      <c r="W1278" s="7"/>
      <c r="X1278" s="7"/>
      <c r="Y1278" s="7"/>
      <c r="Z1278" s="7"/>
    </row>
    <row r="1279">
      <c r="A1279" s="6"/>
      <c r="B1279" s="6"/>
      <c r="C1279" s="6"/>
      <c r="D1279" s="6"/>
      <c r="E1279" s="6"/>
      <c r="F1279" s="6"/>
      <c r="G1279" s="6"/>
      <c r="H1279" s="6"/>
      <c r="I1279" s="6"/>
      <c r="J1279" s="6"/>
      <c r="K1279" s="6"/>
      <c r="L1279" s="80"/>
      <c r="M1279" s="80"/>
      <c r="N1279" s="80"/>
      <c r="O1279" s="80"/>
      <c r="P1279" s="6"/>
      <c r="Q1279" s="6"/>
      <c r="R1279" s="6"/>
      <c r="S1279" s="6"/>
      <c r="T1279" s="6"/>
      <c r="U1279" s="6"/>
      <c r="V1279" s="6"/>
      <c r="W1279" s="7"/>
      <c r="X1279" s="7"/>
      <c r="Y1279" s="7"/>
      <c r="Z1279" s="7"/>
    </row>
    <row r="1280">
      <c r="A1280" s="6"/>
      <c r="B1280" s="6"/>
      <c r="C1280" s="6"/>
      <c r="D1280" s="6"/>
      <c r="E1280" s="6"/>
      <c r="F1280" s="6"/>
      <c r="G1280" s="6"/>
      <c r="H1280" s="6"/>
      <c r="I1280" s="6"/>
      <c r="J1280" s="6"/>
      <c r="K1280" s="6"/>
      <c r="L1280" s="80"/>
      <c r="M1280" s="80"/>
      <c r="N1280" s="80"/>
      <c r="O1280" s="80"/>
      <c r="P1280" s="6"/>
      <c r="Q1280" s="6"/>
      <c r="R1280" s="6"/>
      <c r="S1280" s="6"/>
      <c r="T1280" s="6"/>
      <c r="U1280" s="6"/>
      <c r="V1280" s="6"/>
      <c r="W1280" s="7"/>
      <c r="X1280" s="7"/>
      <c r="Y1280" s="7"/>
      <c r="Z1280" s="7"/>
    </row>
    <row r="1281">
      <c r="A1281" s="6"/>
      <c r="B1281" s="6"/>
      <c r="C1281" s="6"/>
      <c r="D1281" s="6"/>
      <c r="E1281" s="6"/>
      <c r="F1281" s="6"/>
      <c r="G1281" s="6"/>
      <c r="H1281" s="6"/>
      <c r="I1281" s="6"/>
      <c r="J1281" s="6"/>
      <c r="K1281" s="6"/>
      <c r="L1281" s="80"/>
      <c r="M1281" s="80"/>
      <c r="N1281" s="80"/>
      <c r="O1281" s="80"/>
      <c r="P1281" s="6"/>
      <c r="Q1281" s="6"/>
      <c r="R1281" s="6"/>
      <c r="S1281" s="6"/>
      <c r="T1281" s="6"/>
      <c r="U1281" s="6"/>
      <c r="V1281" s="6"/>
      <c r="W1281" s="7"/>
      <c r="X1281" s="7"/>
      <c r="Y1281" s="7"/>
      <c r="Z1281" s="7"/>
    </row>
    <row r="1282">
      <c r="A1282" s="6"/>
      <c r="B1282" s="6"/>
      <c r="C1282" s="6"/>
      <c r="D1282" s="6"/>
      <c r="E1282" s="6"/>
      <c r="F1282" s="6"/>
      <c r="G1282" s="6"/>
      <c r="H1282" s="6"/>
      <c r="I1282" s="6"/>
      <c r="J1282" s="6"/>
      <c r="K1282" s="6"/>
      <c r="L1282" s="80"/>
      <c r="M1282" s="80"/>
      <c r="N1282" s="80"/>
      <c r="O1282" s="80"/>
      <c r="P1282" s="6"/>
      <c r="Q1282" s="6"/>
      <c r="R1282" s="6"/>
      <c r="S1282" s="6"/>
      <c r="T1282" s="6"/>
      <c r="U1282" s="6"/>
      <c r="V1282" s="6"/>
      <c r="W1282" s="7"/>
      <c r="X1282" s="7"/>
      <c r="Y1282" s="7"/>
      <c r="Z1282" s="7"/>
    </row>
    <row r="1283">
      <c r="A1283" s="6"/>
      <c r="B1283" s="6"/>
      <c r="C1283" s="6"/>
      <c r="D1283" s="6"/>
      <c r="E1283" s="6"/>
      <c r="F1283" s="6"/>
      <c r="G1283" s="6"/>
      <c r="H1283" s="6"/>
      <c r="I1283" s="6"/>
      <c r="J1283" s="6"/>
      <c r="K1283" s="6"/>
      <c r="L1283" s="80"/>
      <c r="M1283" s="80"/>
      <c r="N1283" s="80"/>
      <c r="O1283" s="80"/>
      <c r="P1283" s="6"/>
      <c r="Q1283" s="6"/>
      <c r="R1283" s="6"/>
      <c r="S1283" s="6"/>
      <c r="T1283" s="6"/>
      <c r="U1283" s="6"/>
      <c r="V1283" s="6"/>
      <c r="W1283" s="7"/>
      <c r="X1283" s="7"/>
      <c r="Y1283" s="7"/>
      <c r="Z1283" s="7"/>
    </row>
    <row r="1284">
      <c r="A1284" s="6"/>
      <c r="B1284" s="6"/>
      <c r="C1284" s="6"/>
      <c r="D1284" s="6"/>
      <c r="E1284" s="6"/>
      <c r="F1284" s="6"/>
      <c r="G1284" s="6"/>
      <c r="H1284" s="6"/>
      <c r="I1284" s="6"/>
      <c r="J1284" s="6"/>
      <c r="K1284" s="6"/>
      <c r="L1284" s="80"/>
      <c r="M1284" s="80"/>
      <c r="N1284" s="80"/>
      <c r="O1284" s="80"/>
      <c r="P1284" s="6"/>
      <c r="Q1284" s="6"/>
      <c r="R1284" s="6"/>
      <c r="S1284" s="6"/>
      <c r="T1284" s="6"/>
      <c r="U1284" s="6"/>
      <c r="V1284" s="6"/>
      <c r="W1284" s="7"/>
      <c r="X1284" s="7"/>
      <c r="Y1284" s="7"/>
      <c r="Z1284" s="7"/>
    </row>
    <row r="1285">
      <c r="A1285" s="6"/>
      <c r="B1285" s="6"/>
      <c r="C1285" s="6"/>
      <c r="D1285" s="6"/>
      <c r="E1285" s="6"/>
      <c r="F1285" s="6"/>
      <c r="G1285" s="6"/>
      <c r="H1285" s="6"/>
      <c r="I1285" s="6"/>
      <c r="J1285" s="6"/>
      <c r="K1285" s="6"/>
      <c r="L1285" s="80"/>
      <c r="M1285" s="80"/>
      <c r="N1285" s="80"/>
      <c r="O1285" s="80"/>
      <c r="P1285" s="6"/>
      <c r="Q1285" s="6"/>
      <c r="R1285" s="6"/>
      <c r="S1285" s="6"/>
      <c r="T1285" s="6"/>
      <c r="U1285" s="6"/>
      <c r="V1285" s="6"/>
      <c r="W1285" s="7"/>
      <c r="X1285" s="7"/>
      <c r="Y1285" s="7"/>
      <c r="Z1285" s="7"/>
    </row>
    <row r="1286">
      <c r="A1286" s="6"/>
      <c r="B1286" s="6"/>
      <c r="C1286" s="6"/>
      <c r="D1286" s="6"/>
      <c r="E1286" s="6"/>
      <c r="F1286" s="6"/>
      <c r="G1286" s="6"/>
      <c r="H1286" s="6"/>
      <c r="I1286" s="6"/>
      <c r="J1286" s="6"/>
      <c r="K1286" s="6"/>
      <c r="L1286" s="80"/>
      <c r="M1286" s="80"/>
      <c r="N1286" s="80"/>
      <c r="O1286" s="80"/>
      <c r="P1286" s="6"/>
      <c r="Q1286" s="6"/>
      <c r="R1286" s="6"/>
      <c r="S1286" s="6"/>
      <c r="T1286" s="6"/>
      <c r="U1286" s="6"/>
      <c r="V1286" s="6"/>
      <c r="W1286" s="7"/>
      <c r="X1286" s="7"/>
      <c r="Y1286" s="7"/>
      <c r="Z1286" s="7"/>
    </row>
    <row r="1287">
      <c r="A1287" s="6"/>
      <c r="B1287" s="6"/>
      <c r="C1287" s="6"/>
      <c r="D1287" s="6"/>
      <c r="E1287" s="6"/>
      <c r="F1287" s="6"/>
      <c r="G1287" s="6"/>
      <c r="H1287" s="6"/>
      <c r="I1287" s="6"/>
      <c r="J1287" s="6"/>
      <c r="K1287" s="6"/>
      <c r="L1287" s="80"/>
      <c r="M1287" s="80"/>
      <c r="N1287" s="80"/>
      <c r="O1287" s="80"/>
      <c r="P1287" s="6"/>
      <c r="Q1287" s="6"/>
      <c r="R1287" s="6"/>
      <c r="S1287" s="6"/>
      <c r="T1287" s="6"/>
      <c r="U1287" s="6"/>
      <c r="V1287" s="6"/>
      <c r="W1287" s="7"/>
      <c r="X1287" s="7"/>
      <c r="Y1287" s="7"/>
      <c r="Z1287" s="7"/>
    </row>
    <row r="1288">
      <c r="A1288" s="6"/>
      <c r="B1288" s="6"/>
      <c r="C1288" s="6"/>
      <c r="D1288" s="6"/>
      <c r="E1288" s="6"/>
      <c r="F1288" s="6"/>
      <c r="G1288" s="6"/>
      <c r="H1288" s="6"/>
      <c r="I1288" s="6"/>
      <c r="J1288" s="6"/>
      <c r="K1288" s="6"/>
      <c r="L1288" s="80"/>
      <c r="M1288" s="80"/>
      <c r="N1288" s="80"/>
      <c r="O1288" s="80"/>
      <c r="P1288" s="6"/>
      <c r="Q1288" s="6"/>
      <c r="R1288" s="6"/>
      <c r="S1288" s="6"/>
      <c r="T1288" s="6"/>
      <c r="U1288" s="6"/>
      <c r="V1288" s="6"/>
      <c r="W1288" s="7"/>
      <c r="X1288" s="7"/>
      <c r="Y1288" s="7"/>
      <c r="Z1288" s="7"/>
    </row>
    <row r="1289">
      <c r="A1289" s="6"/>
      <c r="B1289" s="6"/>
      <c r="C1289" s="6"/>
      <c r="D1289" s="6"/>
      <c r="E1289" s="6"/>
      <c r="F1289" s="6"/>
      <c r="G1289" s="6"/>
      <c r="H1289" s="6"/>
      <c r="I1289" s="6"/>
      <c r="J1289" s="6"/>
      <c r="K1289" s="6"/>
      <c r="L1289" s="80"/>
      <c r="M1289" s="80"/>
      <c r="N1289" s="80"/>
      <c r="O1289" s="80"/>
      <c r="P1289" s="6"/>
      <c r="Q1289" s="6"/>
      <c r="R1289" s="6"/>
      <c r="S1289" s="6"/>
      <c r="T1289" s="6"/>
      <c r="U1289" s="6"/>
      <c r="V1289" s="6"/>
      <c r="W1289" s="7"/>
      <c r="X1289" s="7"/>
      <c r="Y1289" s="7"/>
      <c r="Z1289" s="7"/>
    </row>
    <row r="1290">
      <c r="A1290" s="6"/>
      <c r="B1290" s="6"/>
      <c r="C1290" s="6"/>
      <c r="D1290" s="6"/>
      <c r="E1290" s="6"/>
      <c r="F1290" s="6"/>
      <c r="G1290" s="6"/>
      <c r="H1290" s="6"/>
      <c r="I1290" s="6"/>
      <c r="J1290" s="6"/>
      <c r="K1290" s="6"/>
      <c r="L1290" s="80"/>
      <c r="M1290" s="80"/>
      <c r="N1290" s="80"/>
      <c r="O1290" s="80"/>
      <c r="P1290" s="6"/>
      <c r="Q1290" s="6"/>
      <c r="R1290" s="6"/>
      <c r="S1290" s="6"/>
      <c r="T1290" s="6"/>
      <c r="U1290" s="6"/>
      <c r="V1290" s="6"/>
      <c r="W1290" s="7"/>
      <c r="X1290" s="7"/>
      <c r="Y1290" s="7"/>
      <c r="Z1290" s="7"/>
    </row>
    <row r="1291">
      <c r="A1291" s="6"/>
      <c r="B1291" s="6"/>
      <c r="C1291" s="6"/>
      <c r="D1291" s="6"/>
      <c r="E1291" s="6"/>
      <c r="F1291" s="6"/>
      <c r="G1291" s="6"/>
      <c r="H1291" s="6"/>
      <c r="I1291" s="6"/>
      <c r="J1291" s="6"/>
      <c r="K1291" s="6"/>
      <c r="L1291" s="80"/>
      <c r="M1291" s="80"/>
      <c r="N1291" s="80"/>
      <c r="O1291" s="80"/>
      <c r="P1291" s="6"/>
      <c r="Q1291" s="6"/>
      <c r="R1291" s="6"/>
      <c r="S1291" s="6"/>
      <c r="T1291" s="6"/>
      <c r="U1291" s="6"/>
      <c r="V1291" s="6"/>
      <c r="W1291" s="7"/>
      <c r="X1291" s="7"/>
      <c r="Y1291" s="7"/>
      <c r="Z1291" s="7"/>
    </row>
    <row r="1292">
      <c r="A1292" s="6"/>
      <c r="B1292" s="6"/>
      <c r="C1292" s="6"/>
      <c r="D1292" s="6"/>
      <c r="E1292" s="6"/>
      <c r="F1292" s="6"/>
      <c r="G1292" s="6"/>
      <c r="H1292" s="6"/>
      <c r="I1292" s="6"/>
      <c r="J1292" s="6"/>
      <c r="K1292" s="6"/>
      <c r="L1292" s="80"/>
      <c r="M1292" s="80"/>
      <c r="N1292" s="80"/>
      <c r="O1292" s="80"/>
      <c r="P1292" s="6"/>
      <c r="Q1292" s="6"/>
      <c r="R1292" s="6"/>
      <c r="S1292" s="6"/>
      <c r="T1292" s="6"/>
      <c r="U1292" s="6"/>
      <c r="V1292" s="6"/>
      <c r="W1292" s="7"/>
      <c r="X1292" s="7"/>
      <c r="Y1292" s="7"/>
      <c r="Z1292" s="7"/>
    </row>
    <row r="1293">
      <c r="A1293" s="6"/>
      <c r="B1293" s="6"/>
      <c r="C1293" s="6"/>
      <c r="D1293" s="6"/>
      <c r="E1293" s="6"/>
      <c r="F1293" s="6"/>
      <c r="G1293" s="6"/>
      <c r="H1293" s="6"/>
      <c r="I1293" s="6"/>
      <c r="J1293" s="6"/>
      <c r="K1293" s="6"/>
      <c r="L1293" s="80"/>
      <c r="M1293" s="80"/>
      <c r="N1293" s="80"/>
      <c r="O1293" s="80"/>
      <c r="P1293" s="6"/>
      <c r="Q1293" s="6"/>
      <c r="R1293" s="6"/>
      <c r="S1293" s="6"/>
      <c r="T1293" s="6"/>
      <c r="U1293" s="6"/>
      <c r="V1293" s="6"/>
      <c r="W1293" s="7"/>
      <c r="X1293" s="7"/>
      <c r="Y1293" s="7"/>
      <c r="Z1293" s="7"/>
    </row>
    <row r="1294">
      <c r="A1294" s="6"/>
      <c r="B1294" s="6"/>
      <c r="C1294" s="6"/>
      <c r="D1294" s="6"/>
      <c r="E1294" s="6"/>
      <c r="F1294" s="6"/>
      <c r="G1294" s="6"/>
      <c r="H1294" s="6"/>
      <c r="I1294" s="6"/>
      <c r="J1294" s="6"/>
      <c r="K1294" s="6"/>
      <c r="L1294" s="80"/>
      <c r="M1294" s="80"/>
      <c r="N1294" s="80"/>
      <c r="O1294" s="80"/>
      <c r="P1294" s="6"/>
      <c r="Q1294" s="6"/>
      <c r="R1294" s="6"/>
      <c r="S1294" s="6"/>
      <c r="T1294" s="6"/>
      <c r="U1294" s="6"/>
      <c r="V1294" s="6"/>
      <c r="W1294" s="7"/>
      <c r="X1294" s="7"/>
      <c r="Y1294" s="7"/>
      <c r="Z1294" s="7"/>
    </row>
    <row r="1295">
      <c r="A1295" s="6"/>
      <c r="B1295" s="6"/>
      <c r="C1295" s="6"/>
      <c r="D1295" s="6"/>
      <c r="E1295" s="6"/>
      <c r="F1295" s="6"/>
      <c r="G1295" s="6"/>
      <c r="H1295" s="6"/>
      <c r="I1295" s="6"/>
      <c r="J1295" s="6"/>
      <c r="K1295" s="6"/>
      <c r="L1295" s="80"/>
      <c r="M1295" s="80"/>
      <c r="N1295" s="80"/>
      <c r="O1295" s="80"/>
      <c r="P1295" s="6"/>
      <c r="Q1295" s="6"/>
      <c r="R1295" s="6"/>
      <c r="S1295" s="6"/>
      <c r="T1295" s="6"/>
      <c r="U1295" s="6"/>
      <c r="V1295" s="6"/>
      <c r="W1295" s="7"/>
      <c r="X1295" s="7"/>
      <c r="Y1295" s="7"/>
      <c r="Z1295" s="7"/>
    </row>
    <row r="1296">
      <c r="A1296" s="6"/>
      <c r="B1296" s="6"/>
      <c r="C1296" s="6"/>
      <c r="D1296" s="6"/>
      <c r="E1296" s="6"/>
      <c r="F1296" s="6"/>
      <c r="G1296" s="6"/>
      <c r="H1296" s="6"/>
      <c r="I1296" s="6"/>
      <c r="J1296" s="6"/>
      <c r="K1296" s="6"/>
      <c r="L1296" s="80"/>
      <c r="M1296" s="80"/>
      <c r="N1296" s="80"/>
      <c r="O1296" s="80"/>
      <c r="P1296" s="6"/>
      <c r="Q1296" s="6"/>
      <c r="R1296" s="6"/>
      <c r="S1296" s="6"/>
      <c r="T1296" s="6"/>
      <c r="U1296" s="6"/>
      <c r="V1296" s="6"/>
      <c r="W1296" s="7"/>
      <c r="X1296" s="7"/>
      <c r="Y1296" s="7"/>
      <c r="Z1296" s="7"/>
    </row>
    <row r="1297">
      <c r="A1297" s="6"/>
      <c r="B1297" s="6"/>
      <c r="C1297" s="6"/>
      <c r="D1297" s="6"/>
      <c r="E1297" s="6"/>
      <c r="F1297" s="6"/>
      <c r="G1297" s="6"/>
      <c r="H1297" s="6"/>
      <c r="I1297" s="6"/>
      <c r="J1297" s="6"/>
      <c r="K1297" s="6"/>
      <c r="L1297" s="80"/>
      <c r="M1297" s="80"/>
      <c r="N1297" s="80"/>
      <c r="O1297" s="80"/>
      <c r="P1297" s="6"/>
      <c r="Q1297" s="6"/>
      <c r="R1297" s="6"/>
      <c r="S1297" s="6"/>
      <c r="T1297" s="6"/>
      <c r="U1297" s="6"/>
      <c r="V1297" s="6"/>
      <c r="W1297" s="7"/>
      <c r="X1297" s="7"/>
      <c r="Y1297" s="7"/>
      <c r="Z1297" s="7"/>
    </row>
    <row r="1298">
      <c r="A1298" s="6"/>
      <c r="B1298" s="6"/>
      <c r="C1298" s="6"/>
      <c r="D1298" s="6"/>
      <c r="E1298" s="6"/>
      <c r="F1298" s="6"/>
      <c r="G1298" s="6"/>
      <c r="H1298" s="6"/>
      <c r="I1298" s="6"/>
      <c r="J1298" s="6"/>
      <c r="K1298" s="6"/>
      <c r="L1298" s="80"/>
      <c r="M1298" s="80"/>
      <c r="N1298" s="80"/>
      <c r="O1298" s="80"/>
      <c r="P1298" s="6"/>
      <c r="Q1298" s="6"/>
      <c r="R1298" s="6"/>
      <c r="S1298" s="6"/>
      <c r="T1298" s="6"/>
      <c r="U1298" s="6"/>
      <c r="V1298" s="6"/>
      <c r="W1298" s="7"/>
      <c r="X1298" s="7"/>
      <c r="Y1298" s="7"/>
      <c r="Z1298" s="7"/>
    </row>
    <row r="1299">
      <c r="A1299" s="6"/>
      <c r="B1299" s="6"/>
      <c r="C1299" s="6"/>
      <c r="D1299" s="6"/>
      <c r="E1299" s="6"/>
      <c r="F1299" s="6"/>
      <c r="G1299" s="6"/>
      <c r="H1299" s="6"/>
      <c r="I1299" s="6"/>
      <c r="J1299" s="6"/>
      <c r="K1299" s="6"/>
      <c r="L1299" s="80"/>
      <c r="M1299" s="80"/>
      <c r="N1299" s="80"/>
      <c r="O1299" s="80"/>
      <c r="P1299" s="6"/>
      <c r="Q1299" s="6"/>
      <c r="R1299" s="6"/>
      <c r="S1299" s="6"/>
      <c r="T1299" s="6"/>
      <c r="U1299" s="6"/>
      <c r="V1299" s="6"/>
      <c r="W1299" s="7"/>
      <c r="X1299" s="7"/>
      <c r="Y1299" s="7"/>
      <c r="Z1299" s="7"/>
    </row>
    <row r="1300">
      <c r="A1300" s="6"/>
      <c r="B1300" s="6"/>
      <c r="C1300" s="6"/>
      <c r="D1300" s="6"/>
      <c r="E1300" s="6"/>
      <c r="F1300" s="6"/>
      <c r="G1300" s="6"/>
      <c r="H1300" s="6"/>
      <c r="I1300" s="6"/>
      <c r="J1300" s="6"/>
      <c r="K1300" s="6"/>
      <c r="L1300" s="80"/>
      <c r="M1300" s="80"/>
      <c r="N1300" s="80"/>
      <c r="O1300" s="80"/>
      <c r="P1300" s="6"/>
      <c r="Q1300" s="6"/>
      <c r="R1300" s="6"/>
      <c r="S1300" s="6"/>
      <c r="T1300" s="6"/>
      <c r="U1300" s="6"/>
      <c r="V1300" s="6"/>
      <c r="W1300" s="7"/>
      <c r="X1300" s="7"/>
      <c r="Y1300" s="7"/>
      <c r="Z1300" s="7"/>
    </row>
    <row r="1301">
      <c r="A1301" s="6"/>
      <c r="B1301" s="6"/>
      <c r="C1301" s="6"/>
      <c r="D1301" s="6"/>
      <c r="E1301" s="6"/>
      <c r="F1301" s="6"/>
      <c r="G1301" s="6"/>
      <c r="H1301" s="6"/>
      <c r="I1301" s="6"/>
      <c r="J1301" s="6"/>
      <c r="K1301" s="6"/>
      <c r="L1301" s="80"/>
      <c r="M1301" s="80"/>
      <c r="N1301" s="80"/>
      <c r="O1301" s="80"/>
      <c r="P1301" s="6"/>
      <c r="Q1301" s="6"/>
      <c r="R1301" s="6"/>
      <c r="S1301" s="6"/>
      <c r="T1301" s="6"/>
      <c r="U1301" s="6"/>
      <c r="V1301" s="6"/>
      <c r="W1301" s="7"/>
      <c r="X1301" s="7"/>
      <c r="Y1301" s="7"/>
      <c r="Z1301" s="7"/>
    </row>
    <row r="1302">
      <c r="A1302" s="6"/>
      <c r="B1302" s="6"/>
      <c r="C1302" s="6"/>
      <c r="D1302" s="6"/>
      <c r="E1302" s="6"/>
      <c r="F1302" s="6"/>
      <c r="G1302" s="6"/>
      <c r="H1302" s="6"/>
      <c r="I1302" s="6"/>
      <c r="J1302" s="6"/>
      <c r="K1302" s="6"/>
      <c r="L1302" s="80"/>
      <c r="M1302" s="80"/>
      <c r="N1302" s="80"/>
      <c r="O1302" s="80"/>
      <c r="P1302" s="6"/>
      <c r="Q1302" s="6"/>
      <c r="R1302" s="6"/>
      <c r="S1302" s="6"/>
      <c r="T1302" s="6"/>
      <c r="U1302" s="6"/>
      <c r="V1302" s="6"/>
      <c r="W1302" s="7"/>
      <c r="X1302" s="7"/>
      <c r="Y1302" s="7"/>
      <c r="Z1302" s="7"/>
    </row>
    <row r="1303">
      <c r="A1303" s="6"/>
      <c r="B1303" s="6"/>
      <c r="C1303" s="6"/>
      <c r="D1303" s="6"/>
      <c r="E1303" s="6"/>
      <c r="F1303" s="6"/>
      <c r="G1303" s="6"/>
      <c r="H1303" s="6"/>
      <c r="I1303" s="6"/>
      <c r="J1303" s="6"/>
      <c r="K1303" s="6"/>
      <c r="L1303" s="80"/>
      <c r="M1303" s="80"/>
      <c r="N1303" s="80"/>
      <c r="O1303" s="80"/>
      <c r="P1303" s="6"/>
      <c r="Q1303" s="6"/>
      <c r="R1303" s="6"/>
      <c r="S1303" s="6"/>
      <c r="T1303" s="6"/>
      <c r="U1303" s="6"/>
      <c r="V1303" s="6"/>
      <c r="W1303" s="7"/>
      <c r="X1303" s="7"/>
      <c r="Y1303" s="7"/>
      <c r="Z1303" s="7"/>
    </row>
    <row r="1304">
      <c r="A1304" s="6"/>
      <c r="B1304" s="6"/>
      <c r="C1304" s="6"/>
      <c r="D1304" s="6"/>
      <c r="E1304" s="6"/>
      <c r="F1304" s="6"/>
      <c r="G1304" s="6"/>
      <c r="H1304" s="6"/>
      <c r="I1304" s="6"/>
      <c r="J1304" s="6"/>
      <c r="K1304" s="6"/>
      <c r="L1304" s="80"/>
      <c r="M1304" s="80"/>
      <c r="N1304" s="80"/>
      <c r="O1304" s="80"/>
      <c r="P1304" s="6"/>
      <c r="Q1304" s="6"/>
      <c r="R1304" s="6"/>
      <c r="S1304" s="6"/>
      <c r="T1304" s="6"/>
      <c r="U1304" s="6"/>
      <c r="V1304" s="6"/>
      <c r="W1304" s="7"/>
      <c r="X1304" s="7"/>
      <c r="Y1304" s="7"/>
      <c r="Z1304" s="7"/>
    </row>
    <row r="1305">
      <c r="A1305" s="6"/>
      <c r="B1305" s="6"/>
      <c r="C1305" s="6"/>
      <c r="D1305" s="6"/>
      <c r="E1305" s="6"/>
      <c r="F1305" s="6"/>
      <c r="G1305" s="6"/>
      <c r="H1305" s="6"/>
      <c r="I1305" s="6"/>
      <c r="J1305" s="6"/>
      <c r="K1305" s="6"/>
      <c r="L1305" s="80"/>
      <c r="M1305" s="80"/>
      <c r="N1305" s="80"/>
      <c r="O1305" s="80"/>
      <c r="P1305" s="6"/>
      <c r="Q1305" s="6"/>
      <c r="R1305" s="6"/>
      <c r="S1305" s="6"/>
      <c r="T1305" s="6"/>
      <c r="U1305" s="6"/>
      <c r="V1305" s="6"/>
      <c r="W1305" s="7"/>
      <c r="X1305" s="7"/>
      <c r="Y1305" s="7"/>
      <c r="Z1305" s="7"/>
    </row>
    <row r="1306">
      <c r="A1306" s="6"/>
      <c r="B1306" s="6"/>
      <c r="C1306" s="6"/>
      <c r="D1306" s="6"/>
      <c r="E1306" s="6"/>
      <c r="F1306" s="6"/>
      <c r="G1306" s="6"/>
      <c r="H1306" s="6"/>
      <c r="I1306" s="6"/>
      <c r="J1306" s="6"/>
      <c r="K1306" s="6"/>
      <c r="L1306" s="80"/>
      <c r="M1306" s="80"/>
      <c r="N1306" s="80"/>
      <c r="O1306" s="80"/>
      <c r="P1306" s="6"/>
      <c r="Q1306" s="6"/>
      <c r="R1306" s="6"/>
      <c r="S1306" s="6"/>
      <c r="T1306" s="6"/>
      <c r="U1306" s="6"/>
      <c r="V1306" s="6"/>
      <c r="W1306" s="7"/>
      <c r="X1306" s="7"/>
      <c r="Y1306" s="7"/>
      <c r="Z1306" s="7"/>
    </row>
    <row r="1307">
      <c r="A1307" s="6"/>
      <c r="B1307" s="6"/>
      <c r="C1307" s="6"/>
      <c r="D1307" s="6"/>
      <c r="E1307" s="6"/>
      <c r="F1307" s="6"/>
      <c r="G1307" s="6"/>
      <c r="H1307" s="6"/>
      <c r="I1307" s="6"/>
      <c r="J1307" s="6"/>
      <c r="K1307" s="6"/>
      <c r="L1307" s="80"/>
      <c r="M1307" s="80"/>
      <c r="N1307" s="80"/>
      <c r="O1307" s="80"/>
      <c r="P1307" s="6"/>
      <c r="Q1307" s="6"/>
      <c r="R1307" s="6"/>
      <c r="S1307" s="6"/>
      <c r="T1307" s="6"/>
      <c r="U1307" s="6"/>
      <c r="V1307" s="6"/>
      <c r="W1307" s="7"/>
      <c r="X1307" s="7"/>
      <c r="Y1307" s="7"/>
      <c r="Z1307" s="7"/>
    </row>
    <row r="1308">
      <c r="A1308" s="6"/>
      <c r="B1308" s="6"/>
      <c r="C1308" s="6"/>
      <c r="D1308" s="6"/>
      <c r="E1308" s="6"/>
      <c r="F1308" s="6"/>
      <c r="G1308" s="6"/>
      <c r="H1308" s="6"/>
      <c r="I1308" s="6"/>
      <c r="J1308" s="6"/>
      <c r="K1308" s="6"/>
      <c r="L1308" s="80"/>
      <c r="M1308" s="80"/>
      <c r="N1308" s="80"/>
      <c r="O1308" s="80"/>
      <c r="P1308" s="6"/>
      <c r="Q1308" s="6"/>
      <c r="R1308" s="6"/>
      <c r="S1308" s="6"/>
      <c r="T1308" s="6"/>
      <c r="U1308" s="6"/>
      <c r="V1308" s="6"/>
      <c r="W1308" s="7"/>
      <c r="X1308" s="7"/>
      <c r="Y1308" s="7"/>
      <c r="Z1308" s="7"/>
    </row>
    <row r="1309">
      <c r="A1309" s="6"/>
      <c r="B1309" s="6"/>
      <c r="C1309" s="6"/>
      <c r="D1309" s="6"/>
      <c r="E1309" s="6"/>
      <c r="F1309" s="6"/>
      <c r="G1309" s="6"/>
      <c r="H1309" s="6"/>
      <c r="I1309" s="6"/>
      <c r="J1309" s="6"/>
      <c r="K1309" s="6"/>
      <c r="L1309" s="80"/>
      <c r="M1309" s="80"/>
      <c r="N1309" s="80"/>
      <c r="O1309" s="80"/>
      <c r="P1309" s="6"/>
      <c r="Q1309" s="6"/>
      <c r="R1309" s="6"/>
      <c r="S1309" s="6"/>
      <c r="T1309" s="6"/>
      <c r="U1309" s="6"/>
      <c r="V1309" s="6"/>
      <c r="W1309" s="7"/>
      <c r="X1309" s="7"/>
      <c r="Y1309" s="7"/>
      <c r="Z1309" s="7"/>
    </row>
    <row r="1310">
      <c r="A1310" s="6"/>
      <c r="B1310" s="6"/>
      <c r="C1310" s="6"/>
      <c r="D1310" s="6"/>
      <c r="E1310" s="6"/>
      <c r="F1310" s="6"/>
      <c r="G1310" s="6"/>
      <c r="H1310" s="6"/>
      <c r="I1310" s="6"/>
      <c r="J1310" s="6"/>
      <c r="K1310" s="6"/>
      <c r="L1310" s="80"/>
      <c r="M1310" s="80"/>
      <c r="N1310" s="80"/>
      <c r="O1310" s="80"/>
      <c r="P1310" s="6"/>
      <c r="Q1310" s="6"/>
      <c r="R1310" s="6"/>
      <c r="S1310" s="6"/>
      <c r="T1310" s="6"/>
      <c r="U1310" s="6"/>
      <c r="V1310" s="6"/>
      <c r="W1310" s="7"/>
      <c r="X1310" s="7"/>
      <c r="Y1310" s="7"/>
      <c r="Z1310" s="7"/>
    </row>
    <row r="1311">
      <c r="A1311" s="6"/>
      <c r="B1311" s="6"/>
      <c r="C1311" s="6"/>
      <c r="D1311" s="6"/>
      <c r="E1311" s="6"/>
      <c r="F1311" s="6"/>
      <c r="G1311" s="6"/>
      <c r="H1311" s="6"/>
      <c r="I1311" s="6"/>
      <c r="J1311" s="6"/>
      <c r="K1311" s="6"/>
      <c r="L1311" s="80"/>
      <c r="M1311" s="80"/>
      <c r="N1311" s="80"/>
      <c r="O1311" s="80"/>
      <c r="P1311" s="6"/>
      <c r="Q1311" s="6"/>
      <c r="R1311" s="6"/>
      <c r="S1311" s="6"/>
      <c r="T1311" s="6"/>
      <c r="U1311" s="6"/>
      <c r="V1311" s="6"/>
      <c r="W1311" s="7"/>
      <c r="X1311" s="7"/>
      <c r="Y1311" s="7"/>
      <c r="Z1311" s="7"/>
    </row>
    <row r="1312">
      <c r="A1312" s="6"/>
      <c r="B1312" s="6"/>
      <c r="C1312" s="6"/>
      <c r="D1312" s="6"/>
      <c r="E1312" s="6"/>
      <c r="F1312" s="6"/>
      <c r="G1312" s="6"/>
      <c r="H1312" s="6"/>
      <c r="I1312" s="6"/>
      <c r="J1312" s="6"/>
      <c r="K1312" s="6"/>
      <c r="L1312" s="80"/>
      <c r="M1312" s="80"/>
      <c r="N1312" s="80"/>
      <c r="O1312" s="80"/>
      <c r="P1312" s="6"/>
      <c r="Q1312" s="6"/>
      <c r="R1312" s="6"/>
      <c r="S1312" s="6"/>
      <c r="T1312" s="6"/>
      <c r="U1312" s="6"/>
      <c r="V1312" s="6"/>
      <c r="W1312" s="7"/>
      <c r="X1312" s="7"/>
      <c r="Y1312" s="7"/>
      <c r="Z1312" s="7"/>
    </row>
    <row r="1313">
      <c r="A1313" s="6"/>
      <c r="B1313" s="6"/>
      <c r="C1313" s="6"/>
      <c r="D1313" s="6"/>
      <c r="E1313" s="6"/>
      <c r="F1313" s="6"/>
      <c r="G1313" s="6"/>
      <c r="H1313" s="6"/>
      <c r="I1313" s="6"/>
      <c r="J1313" s="6"/>
      <c r="K1313" s="6"/>
      <c r="L1313" s="80"/>
      <c r="M1313" s="80"/>
      <c r="N1313" s="80"/>
      <c r="O1313" s="80"/>
      <c r="P1313" s="6"/>
      <c r="Q1313" s="6"/>
      <c r="R1313" s="6"/>
      <c r="S1313" s="6"/>
      <c r="T1313" s="6"/>
      <c r="U1313" s="6"/>
      <c r="V1313" s="6"/>
      <c r="W1313" s="7"/>
      <c r="X1313" s="7"/>
      <c r="Y1313" s="7"/>
      <c r="Z1313" s="7"/>
    </row>
    <row r="1314">
      <c r="A1314" s="6"/>
      <c r="B1314" s="6"/>
      <c r="C1314" s="6"/>
      <c r="D1314" s="6"/>
      <c r="E1314" s="6"/>
      <c r="F1314" s="6"/>
      <c r="G1314" s="6"/>
      <c r="H1314" s="6"/>
      <c r="I1314" s="6"/>
      <c r="J1314" s="6"/>
      <c r="K1314" s="6"/>
      <c r="L1314" s="80"/>
      <c r="M1314" s="80"/>
      <c r="N1314" s="80"/>
      <c r="O1314" s="80"/>
      <c r="P1314" s="6"/>
      <c r="Q1314" s="6"/>
      <c r="R1314" s="6"/>
      <c r="S1314" s="6"/>
      <c r="T1314" s="6"/>
      <c r="U1314" s="6"/>
      <c r="V1314" s="6"/>
      <c r="W1314" s="7"/>
      <c r="X1314" s="7"/>
      <c r="Y1314" s="7"/>
      <c r="Z1314" s="7"/>
    </row>
    <row r="1315">
      <c r="A1315" s="6"/>
      <c r="B1315" s="6"/>
      <c r="C1315" s="6"/>
      <c r="D1315" s="6"/>
      <c r="E1315" s="6"/>
      <c r="F1315" s="6"/>
      <c r="G1315" s="6"/>
      <c r="H1315" s="6"/>
      <c r="I1315" s="6"/>
      <c r="J1315" s="6"/>
      <c r="K1315" s="6"/>
      <c r="L1315" s="80"/>
      <c r="M1315" s="80"/>
      <c r="N1315" s="80"/>
      <c r="O1315" s="80"/>
      <c r="P1315" s="6"/>
      <c r="Q1315" s="6"/>
      <c r="R1315" s="6"/>
      <c r="S1315" s="6"/>
      <c r="T1315" s="6"/>
      <c r="U1315" s="6"/>
      <c r="V1315" s="6"/>
      <c r="W1315" s="7"/>
      <c r="X1315" s="7"/>
      <c r="Y1315" s="7"/>
      <c r="Z1315" s="7"/>
    </row>
    <row r="1316">
      <c r="A1316" s="6"/>
      <c r="B1316" s="6"/>
      <c r="C1316" s="6"/>
      <c r="D1316" s="6"/>
      <c r="E1316" s="6"/>
      <c r="F1316" s="6"/>
      <c r="G1316" s="6"/>
      <c r="H1316" s="6"/>
      <c r="I1316" s="6"/>
      <c r="J1316" s="6"/>
      <c r="K1316" s="6"/>
      <c r="L1316" s="80"/>
      <c r="M1316" s="80"/>
      <c r="N1316" s="80"/>
      <c r="O1316" s="80"/>
      <c r="P1316" s="6"/>
      <c r="Q1316" s="6"/>
      <c r="R1316" s="6"/>
      <c r="S1316" s="6"/>
      <c r="T1316" s="6"/>
      <c r="U1316" s="6"/>
      <c r="V1316" s="6"/>
      <c r="W1316" s="7"/>
      <c r="X1316" s="7"/>
      <c r="Y1316" s="7"/>
      <c r="Z1316" s="7"/>
    </row>
    <row r="1317">
      <c r="A1317" s="6"/>
      <c r="B1317" s="6"/>
      <c r="C1317" s="6"/>
      <c r="D1317" s="6"/>
      <c r="E1317" s="6"/>
      <c r="F1317" s="6"/>
      <c r="G1317" s="6"/>
      <c r="H1317" s="6"/>
      <c r="I1317" s="6"/>
      <c r="J1317" s="6"/>
      <c r="K1317" s="6"/>
      <c r="L1317" s="80"/>
      <c r="M1317" s="80"/>
      <c r="N1317" s="80"/>
      <c r="O1317" s="80"/>
      <c r="P1317" s="6"/>
      <c r="Q1317" s="6"/>
      <c r="R1317" s="6"/>
      <c r="S1317" s="6"/>
      <c r="T1317" s="6"/>
      <c r="U1317" s="6"/>
      <c r="V1317" s="6"/>
      <c r="W1317" s="7"/>
      <c r="X1317" s="7"/>
      <c r="Y1317" s="7"/>
      <c r="Z1317" s="7"/>
    </row>
    <row r="1318">
      <c r="A1318" s="6"/>
      <c r="B1318" s="6"/>
      <c r="C1318" s="6"/>
      <c r="D1318" s="6"/>
      <c r="E1318" s="6"/>
      <c r="F1318" s="6"/>
      <c r="G1318" s="6"/>
      <c r="H1318" s="6"/>
      <c r="I1318" s="6"/>
      <c r="J1318" s="6"/>
      <c r="K1318" s="6"/>
      <c r="L1318" s="80"/>
      <c r="M1318" s="80"/>
      <c r="N1318" s="80"/>
      <c r="O1318" s="80"/>
      <c r="P1318" s="6"/>
      <c r="Q1318" s="6"/>
      <c r="R1318" s="6"/>
      <c r="S1318" s="6"/>
      <c r="T1318" s="6"/>
      <c r="U1318" s="6"/>
      <c r="V1318" s="6"/>
      <c r="W1318" s="7"/>
      <c r="X1318" s="7"/>
      <c r="Y1318" s="7"/>
      <c r="Z1318" s="7"/>
    </row>
    <row r="1319">
      <c r="A1319" s="6"/>
      <c r="B1319" s="6"/>
      <c r="C1319" s="6"/>
      <c r="D1319" s="6"/>
      <c r="E1319" s="6"/>
      <c r="F1319" s="6"/>
      <c r="G1319" s="6"/>
      <c r="H1319" s="6"/>
      <c r="I1319" s="6"/>
      <c r="J1319" s="6"/>
      <c r="K1319" s="6"/>
      <c r="L1319" s="80"/>
      <c r="M1319" s="80"/>
      <c r="N1319" s="80"/>
      <c r="O1319" s="80"/>
      <c r="P1319" s="6"/>
      <c r="Q1319" s="6"/>
      <c r="R1319" s="6"/>
      <c r="S1319" s="6"/>
      <c r="T1319" s="6"/>
      <c r="U1319" s="6"/>
      <c r="V1319" s="6"/>
      <c r="W1319" s="7"/>
      <c r="X1319" s="7"/>
      <c r="Y1319" s="7"/>
      <c r="Z1319" s="7"/>
    </row>
    <row r="1320">
      <c r="A1320" s="6"/>
      <c r="B1320" s="6"/>
      <c r="C1320" s="6"/>
      <c r="D1320" s="6"/>
      <c r="E1320" s="6"/>
      <c r="F1320" s="6"/>
      <c r="G1320" s="6"/>
      <c r="H1320" s="6"/>
      <c r="I1320" s="6"/>
      <c r="J1320" s="6"/>
      <c r="K1320" s="6"/>
      <c r="L1320" s="80"/>
      <c r="M1320" s="80"/>
      <c r="N1320" s="80"/>
      <c r="O1320" s="80"/>
      <c r="P1320" s="6"/>
      <c r="Q1320" s="6"/>
      <c r="R1320" s="6"/>
      <c r="S1320" s="6"/>
      <c r="T1320" s="6"/>
      <c r="U1320" s="6"/>
      <c r="V1320" s="6"/>
      <c r="W1320" s="7"/>
      <c r="X1320" s="7"/>
      <c r="Y1320" s="7"/>
      <c r="Z1320" s="7"/>
    </row>
    <row r="1321">
      <c r="A1321" s="6"/>
      <c r="B1321" s="6"/>
      <c r="C1321" s="6"/>
      <c r="D1321" s="6"/>
      <c r="E1321" s="6"/>
      <c r="F1321" s="6"/>
      <c r="G1321" s="6"/>
      <c r="H1321" s="6"/>
      <c r="I1321" s="6"/>
      <c r="J1321" s="6"/>
      <c r="K1321" s="6"/>
      <c r="L1321" s="80"/>
      <c r="M1321" s="80"/>
      <c r="N1321" s="80"/>
      <c r="O1321" s="80"/>
      <c r="P1321" s="6"/>
      <c r="Q1321" s="6"/>
      <c r="R1321" s="6"/>
      <c r="S1321" s="6"/>
      <c r="T1321" s="6"/>
      <c r="U1321" s="6"/>
      <c r="V1321" s="6"/>
      <c r="W1321" s="7"/>
      <c r="X1321" s="7"/>
      <c r="Y1321" s="7"/>
      <c r="Z1321" s="7"/>
    </row>
    <row r="1322">
      <c r="A1322" s="6"/>
      <c r="B1322" s="6"/>
      <c r="C1322" s="6"/>
      <c r="D1322" s="6"/>
      <c r="E1322" s="6"/>
      <c r="F1322" s="6"/>
      <c r="G1322" s="6"/>
      <c r="H1322" s="6"/>
      <c r="I1322" s="6"/>
      <c r="J1322" s="6"/>
      <c r="K1322" s="6"/>
      <c r="L1322" s="80"/>
      <c r="M1322" s="80"/>
      <c r="N1322" s="80"/>
      <c r="O1322" s="80"/>
      <c r="P1322" s="6"/>
      <c r="Q1322" s="6"/>
      <c r="R1322" s="6"/>
      <c r="S1322" s="6"/>
      <c r="T1322" s="6"/>
      <c r="U1322" s="6"/>
      <c r="V1322" s="6"/>
      <c r="W1322" s="7"/>
      <c r="X1322" s="7"/>
      <c r="Y1322" s="7"/>
      <c r="Z1322" s="7"/>
    </row>
    <row r="1323">
      <c r="A1323" s="6"/>
      <c r="B1323" s="6"/>
      <c r="C1323" s="6"/>
      <c r="D1323" s="6"/>
      <c r="E1323" s="6"/>
      <c r="F1323" s="6"/>
      <c r="G1323" s="6"/>
      <c r="H1323" s="6"/>
      <c r="I1323" s="6"/>
      <c r="J1323" s="6"/>
      <c r="K1323" s="6"/>
      <c r="L1323" s="80"/>
      <c r="M1323" s="80"/>
      <c r="N1323" s="80"/>
      <c r="O1323" s="80"/>
      <c r="P1323" s="6"/>
      <c r="Q1323" s="6"/>
      <c r="R1323" s="6"/>
      <c r="S1323" s="6"/>
      <c r="T1323" s="6"/>
      <c r="U1323" s="6"/>
      <c r="V1323" s="6"/>
      <c r="W1323" s="7"/>
      <c r="X1323" s="7"/>
      <c r="Y1323" s="7"/>
      <c r="Z1323" s="7"/>
    </row>
    <row r="1324">
      <c r="A1324" s="6"/>
      <c r="B1324" s="6"/>
      <c r="C1324" s="6"/>
      <c r="D1324" s="6"/>
      <c r="E1324" s="6"/>
      <c r="F1324" s="6"/>
      <c r="G1324" s="6"/>
      <c r="H1324" s="6"/>
      <c r="I1324" s="6"/>
      <c r="J1324" s="6"/>
      <c r="K1324" s="6"/>
      <c r="L1324" s="80"/>
      <c r="M1324" s="80"/>
      <c r="N1324" s="80"/>
      <c r="O1324" s="80"/>
      <c r="P1324" s="6"/>
      <c r="Q1324" s="6"/>
      <c r="R1324" s="6"/>
      <c r="S1324" s="6"/>
      <c r="T1324" s="6"/>
      <c r="U1324" s="6"/>
      <c r="V1324" s="6"/>
      <c r="W1324" s="7"/>
      <c r="X1324" s="7"/>
      <c r="Y1324" s="7"/>
      <c r="Z1324" s="7"/>
    </row>
    <row r="1325">
      <c r="A1325" s="6"/>
      <c r="B1325" s="6"/>
      <c r="C1325" s="6"/>
      <c r="D1325" s="6"/>
      <c r="E1325" s="6"/>
      <c r="F1325" s="6"/>
      <c r="G1325" s="6"/>
      <c r="H1325" s="6"/>
      <c r="I1325" s="6"/>
      <c r="J1325" s="6"/>
      <c r="K1325" s="6"/>
      <c r="L1325" s="80"/>
      <c r="M1325" s="80"/>
      <c r="N1325" s="80"/>
      <c r="O1325" s="80"/>
      <c r="P1325" s="6"/>
      <c r="Q1325" s="6"/>
      <c r="R1325" s="6"/>
      <c r="S1325" s="6"/>
      <c r="T1325" s="6"/>
      <c r="U1325" s="6"/>
      <c r="V1325" s="6"/>
      <c r="W1325" s="7"/>
      <c r="X1325" s="7"/>
      <c r="Y1325" s="7"/>
      <c r="Z1325" s="7"/>
    </row>
    <row r="1326">
      <c r="A1326" s="6"/>
      <c r="B1326" s="6"/>
      <c r="C1326" s="6"/>
      <c r="D1326" s="6"/>
      <c r="E1326" s="6"/>
      <c r="F1326" s="6"/>
      <c r="G1326" s="6"/>
      <c r="H1326" s="6"/>
      <c r="I1326" s="6"/>
      <c r="J1326" s="6"/>
      <c r="K1326" s="6"/>
      <c r="L1326" s="80"/>
      <c r="M1326" s="80"/>
      <c r="N1326" s="80"/>
      <c r="O1326" s="80"/>
      <c r="P1326" s="6"/>
      <c r="Q1326" s="6"/>
      <c r="R1326" s="6"/>
      <c r="S1326" s="6"/>
      <c r="T1326" s="6"/>
      <c r="U1326" s="6"/>
      <c r="V1326" s="6"/>
      <c r="W1326" s="7"/>
      <c r="X1326" s="7"/>
      <c r="Y1326" s="7"/>
      <c r="Z1326" s="7"/>
    </row>
    <row r="1327">
      <c r="A1327" s="6"/>
      <c r="B1327" s="6"/>
      <c r="C1327" s="6"/>
      <c r="D1327" s="6"/>
      <c r="E1327" s="6"/>
      <c r="F1327" s="6"/>
      <c r="G1327" s="6"/>
      <c r="H1327" s="6"/>
      <c r="I1327" s="6"/>
      <c r="J1327" s="6"/>
      <c r="K1327" s="6"/>
      <c r="L1327" s="80"/>
      <c r="M1327" s="80"/>
      <c r="N1327" s="80"/>
      <c r="O1327" s="80"/>
      <c r="P1327" s="6"/>
      <c r="Q1327" s="6"/>
      <c r="R1327" s="6"/>
      <c r="S1327" s="6"/>
      <c r="T1327" s="6"/>
      <c r="U1327" s="6"/>
      <c r="V1327" s="6"/>
      <c r="W1327" s="7"/>
      <c r="X1327" s="7"/>
      <c r="Y1327" s="7"/>
      <c r="Z1327" s="7"/>
    </row>
    <row r="1328">
      <c r="A1328" s="6"/>
      <c r="B1328" s="6"/>
      <c r="C1328" s="6"/>
      <c r="D1328" s="6"/>
      <c r="E1328" s="6"/>
      <c r="F1328" s="6"/>
      <c r="G1328" s="6"/>
      <c r="H1328" s="6"/>
      <c r="I1328" s="6"/>
      <c r="J1328" s="6"/>
      <c r="K1328" s="6"/>
      <c r="L1328" s="80"/>
      <c r="M1328" s="80"/>
      <c r="N1328" s="80"/>
      <c r="O1328" s="80"/>
      <c r="P1328" s="6"/>
      <c r="Q1328" s="6"/>
      <c r="R1328" s="6"/>
      <c r="S1328" s="6"/>
      <c r="T1328" s="6"/>
      <c r="U1328" s="6"/>
      <c r="V1328" s="6"/>
      <c r="W1328" s="7"/>
      <c r="X1328" s="7"/>
      <c r="Y1328" s="7"/>
      <c r="Z1328" s="7"/>
    </row>
    <row r="1329">
      <c r="A1329" s="6"/>
      <c r="B1329" s="6"/>
      <c r="C1329" s="6"/>
      <c r="D1329" s="6"/>
      <c r="E1329" s="6"/>
      <c r="F1329" s="6"/>
      <c r="G1329" s="6"/>
      <c r="H1329" s="6"/>
      <c r="I1329" s="6"/>
      <c r="J1329" s="6"/>
      <c r="K1329" s="6"/>
      <c r="L1329" s="80"/>
      <c r="M1329" s="80"/>
      <c r="N1329" s="80"/>
      <c r="O1329" s="80"/>
      <c r="P1329" s="6"/>
      <c r="Q1329" s="6"/>
      <c r="R1329" s="6"/>
      <c r="S1329" s="6"/>
      <c r="T1329" s="6"/>
      <c r="U1329" s="6"/>
      <c r="V1329" s="6"/>
      <c r="W1329" s="7"/>
      <c r="X1329" s="7"/>
      <c r="Y1329" s="7"/>
      <c r="Z1329" s="7"/>
    </row>
    <row r="1330">
      <c r="A1330" s="6"/>
      <c r="B1330" s="6"/>
      <c r="C1330" s="6"/>
      <c r="D1330" s="6"/>
      <c r="E1330" s="6"/>
      <c r="F1330" s="6"/>
      <c r="G1330" s="6"/>
      <c r="H1330" s="6"/>
      <c r="I1330" s="6"/>
      <c r="J1330" s="6"/>
      <c r="K1330" s="6"/>
      <c r="L1330" s="80"/>
      <c r="M1330" s="80"/>
      <c r="N1330" s="80"/>
      <c r="O1330" s="80"/>
      <c r="P1330" s="6"/>
      <c r="Q1330" s="6"/>
      <c r="R1330" s="6"/>
      <c r="S1330" s="6"/>
      <c r="T1330" s="6"/>
      <c r="U1330" s="6"/>
      <c r="V1330" s="6"/>
      <c r="W1330" s="7"/>
      <c r="X1330" s="7"/>
      <c r="Y1330" s="7"/>
      <c r="Z1330" s="7"/>
    </row>
    <row r="1331">
      <c r="A1331" s="6"/>
      <c r="B1331" s="6"/>
      <c r="C1331" s="6"/>
      <c r="D1331" s="6"/>
      <c r="E1331" s="6"/>
      <c r="F1331" s="6"/>
      <c r="G1331" s="6"/>
      <c r="H1331" s="6"/>
      <c r="I1331" s="6"/>
      <c r="J1331" s="6"/>
      <c r="K1331" s="6"/>
      <c r="L1331" s="80"/>
      <c r="M1331" s="80"/>
      <c r="N1331" s="80"/>
      <c r="O1331" s="80"/>
      <c r="P1331" s="6"/>
      <c r="Q1331" s="6"/>
      <c r="R1331" s="6"/>
      <c r="S1331" s="6"/>
      <c r="T1331" s="6"/>
      <c r="U1331" s="6"/>
      <c r="V1331" s="6"/>
      <c r="W1331" s="7"/>
      <c r="X1331" s="7"/>
      <c r="Y1331" s="7"/>
      <c r="Z1331" s="7"/>
    </row>
    <row r="1332">
      <c r="A1332" s="6"/>
      <c r="B1332" s="6"/>
      <c r="C1332" s="6"/>
      <c r="D1332" s="6"/>
      <c r="E1332" s="6"/>
      <c r="F1332" s="6"/>
      <c r="G1332" s="6"/>
      <c r="H1332" s="6"/>
      <c r="I1332" s="6"/>
      <c r="J1332" s="6"/>
      <c r="K1332" s="6"/>
      <c r="L1332" s="80"/>
      <c r="M1332" s="80"/>
      <c r="N1332" s="80"/>
      <c r="O1332" s="80"/>
      <c r="P1332" s="6"/>
      <c r="Q1332" s="6"/>
      <c r="R1332" s="6"/>
      <c r="S1332" s="6"/>
      <c r="T1332" s="6"/>
      <c r="U1332" s="6"/>
      <c r="V1332" s="6"/>
      <c r="W1332" s="7"/>
      <c r="X1332" s="7"/>
      <c r="Y1332" s="7"/>
      <c r="Z1332" s="7"/>
    </row>
    <row r="1333">
      <c r="A1333" s="6"/>
      <c r="B1333" s="6"/>
      <c r="C1333" s="6"/>
      <c r="D1333" s="6"/>
      <c r="E1333" s="6"/>
      <c r="F1333" s="6"/>
      <c r="G1333" s="6"/>
      <c r="H1333" s="6"/>
      <c r="I1333" s="6"/>
      <c r="J1333" s="6"/>
      <c r="K1333" s="6"/>
      <c r="L1333" s="80"/>
      <c r="M1333" s="80"/>
      <c r="N1333" s="80"/>
      <c r="O1333" s="80"/>
      <c r="P1333" s="6"/>
      <c r="Q1333" s="6"/>
      <c r="R1333" s="6"/>
      <c r="S1333" s="6"/>
      <c r="T1333" s="6"/>
      <c r="U1333" s="6"/>
      <c r="V1333" s="6"/>
      <c r="W1333" s="7"/>
      <c r="X1333" s="7"/>
      <c r="Y1333" s="7"/>
      <c r="Z1333" s="7"/>
    </row>
    <row r="1334">
      <c r="A1334" s="6"/>
      <c r="B1334" s="6"/>
      <c r="C1334" s="6"/>
      <c r="D1334" s="6"/>
      <c r="E1334" s="6"/>
      <c r="F1334" s="6"/>
      <c r="G1334" s="6"/>
      <c r="H1334" s="6"/>
      <c r="I1334" s="6"/>
      <c r="J1334" s="6"/>
      <c r="K1334" s="6"/>
      <c r="L1334" s="80"/>
      <c r="M1334" s="80"/>
      <c r="N1334" s="80"/>
      <c r="O1334" s="80"/>
      <c r="P1334" s="6"/>
      <c r="Q1334" s="6"/>
      <c r="R1334" s="6"/>
      <c r="S1334" s="6"/>
      <c r="T1334" s="6"/>
      <c r="U1334" s="6"/>
      <c r="V1334" s="6"/>
      <c r="W1334" s="7"/>
      <c r="X1334" s="7"/>
      <c r="Y1334" s="7"/>
      <c r="Z1334" s="7"/>
    </row>
    <row r="1335">
      <c r="A1335" s="6"/>
      <c r="B1335" s="6"/>
      <c r="C1335" s="6"/>
      <c r="D1335" s="6"/>
      <c r="E1335" s="6"/>
      <c r="F1335" s="6"/>
      <c r="G1335" s="6"/>
      <c r="H1335" s="6"/>
      <c r="I1335" s="6"/>
      <c r="J1335" s="6"/>
      <c r="K1335" s="6"/>
      <c r="L1335" s="80"/>
      <c r="M1335" s="80"/>
      <c r="N1335" s="80"/>
      <c r="O1335" s="80"/>
      <c r="P1335" s="6"/>
      <c r="Q1335" s="6"/>
      <c r="R1335" s="6"/>
      <c r="S1335" s="6"/>
      <c r="T1335" s="6"/>
      <c r="U1335" s="6"/>
      <c r="V1335" s="6"/>
      <c r="W1335" s="7"/>
      <c r="X1335" s="7"/>
      <c r="Y1335" s="7"/>
      <c r="Z1335" s="7"/>
    </row>
    <row r="1336">
      <c r="A1336" s="6"/>
      <c r="B1336" s="6"/>
      <c r="C1336" s="6"/>
      <c r="D1336" s="6"/>
      <c r="E1336" s="6"/>
      <c r="F1336" s="6"/>
      <c r="G1336" s="6"/>
      <c r="H1336" s="6"/>
      <c r="I1336" s="6"/>
      <c r="J1336" s="6"/>
      <c r="K1336" s="6"/>
      <c r="L1336" s="80"/>
      <c r="M1336" s="80"/>
      <c r="N1336" s="80"/>
      <c r="O1336" s="80"/>
      <c r="P1336" s="6"/>
      <c r="Q1336" s="6"/>
      <c r="R1336" s="6"/>
      <c r="S1336" s="6"/>
      <c r="T1336" s="6"/>
      <c r="U1336" s="6"/>
      <c r="V1336" s="6"/>
      <c r="W1336" s="7"/>
      <c r="X1336" s="7"/>
      <c r="Y1336" s="7"/>
      <c r="Z1336" s="7"/>
    </row>
    <row r="1337">
      <c r="A1337" s="6"/>
      <c r="B1337" s="6"/>
      <c r="C1337" s="6"/>
      <c r="D1337" s="6"/>
      <c r="E1337" s="6"/>
      <c r="F1337" s="6"/>
      <c r="G1337" s="6"/>
      <c r="H1337" s="6"/>
      <c r="I1337" s="6"/>
      <c r="J1337" s="6"/>
      <c r="K1337" s="6"/>
      <c r="L1337" s="80"/>
      <c r="M1337" s="80"/>
      <c r="N1337" s="80"/>
      <c r="O1337" s="80"/>
      <c r="P1337" s="6"/>
      <c r="Q1337" s="6"/>
      <c r="R1337" s="6"/>
      <c r="S1337" s="6"/>
      <c r="T1337" s="6"/>
      <c r="U1337" s="6"/>
      <c r="V1337" s="6"/>
      <c r="W1337" s="7"/>
      <c r="X1337" s="7"/>
      <c r="Y1337" s="7"/>
      <c r="Z1337" s="7"/>
    </row>
    <row r="1338">
      <c r="A1338" s="6"/>
      <c r="B1338" s="6"/>
      <c r="C1338" s="6"/>
      <c r="D1338" s="6"/>
      <c r="E1338" s="6"/>
      <c r="F1338" s="6"/>
      <c r="G1338" s="6"/>
      <c r="H1338" s="6"/>
      <c r="I1338" s="6"/>
      <c r="J1338" s="6"/>
      <c r="K1338" s="6"/>
      <c r="L1338" s="80"/>
      <c r="M1338" s="80"/>
      <c r="N1338" s="80"/>
      <c r="O1338" s="80"/>
      <c r="P1338" s="6"/>
      <c r="Q1338" s="6"/>
      <c r="R1338" s="6"/>
      <c r="S1338" s="6"/>
      <c r="T1338" s="6"/>
      <c r="U1338" s="6"/>
      <c r="V1338" s="6"/>
      <c r="W1338" s="7"/>
      <c r="X1338" s="7"/>
      <c r="Y1338" s="7"/>
      <c r="Z1338" s="7"/>
    </row>
    <row r="1339">
      <c r="A1339" s="6"/>
      <c r="B1339" s="6"/>
      <c r="C1339" s="6"/>
      <c r="D1339" s="6"/>
      <c r="E1339" s="6"/>
      <c r="F1339" s="6"/>
      <c r="G1339" s="6"/>
      <c r="H1339" s="6"/>
      <c r="I1339" s="6"/>
      <c r="J1339" s="6"/>
      <c r="K1339" s="6"/>
      <c r="L1339" s="80"/>
      <c r="M1339" s="80"/>
      <c r="N1339" s="80"/>
      <c r="O1339" s="80"/>
      <c r="P1339" s="6"/>
      <c r="Q1339" s="6"/>
      <c r="R1339" s="6"/>
      <c r="S1339" s="6"/>
      <c r="T1339" s="6"/>
      <c r="U1339" s="6"/>
      <c r="V1339" s="6"/>
      <c r="W1339" s="7"/>
      <c r="X1339" s="7"/>
      <c r="Y1339" s="7"/>
      <c r="Z1339" s="7"/>
    </row>
    <row r="1340">
      <c r="A1340" s="6"/>
      <c r="B1340" s="6"/>
      <c r="C1340" s="6"/>
      <c r="D1340" s="6"/>
      <c r="E1340" s="6"/>
      <c r="F1340" s="6"/>
      <c r="G1340" s="6"/>
      <c r="H1340" s="6"/>
      <c r="I1340" s="6"/>
      <c r="J1340" s="6"/>
      <c r="K1340" s="6"/>
      <c r="L1340" s="80"/>
      <c r="M1340" s="80"/>
      <c r="N1340" s="80"/>
      <c r="O1340" s="80"/>
      <c r="P1340" s="6"/>
      <c r="Q1340" s="6"/>
      <c r="R1340" s="6"/>
      <c r="S1340" s="6"/>
      <c r="T1340" s="6"/>
      <c r="U1340" s="6"/>
      <c r="V1340" s="6"/>
      <c r="W1340" s="7"/>
      <c r="X1340" s="7"/>
      <c r="Y1340" s="7"/>
      <c r="Z1340" s="7"/>
    </row>
    <row r="1341">
      <c r="A1341" s="6"/>
      <c r="B1341" s="6"/>
      <c r="C1341" s="6"/>
      <c r="D1341" s="6"/>
      <c r="E1341" s="6"/>
      <c r="F1341" s="6"/>
      <c r="G1341" s="6"/>
      <c r="H1341" s="6"/>
      <c r="I1341" s="6"/>
      <c r="J1341" s="6"/>
      <c r="K1341" s="6"/>
      <c r="L1341" s="80"/>
      <c r="M1341" s="80"/>
      <c r="N1341" s="80"/>
      <c r="O1341" s="80"/>
      <c r="P1341" s="6"/>
      <c r="Q1341" s="6"/>
      <c r="R1341" s="6"/>
      <c r="S1341" s="6"/>
      <c r="T1341" s="6"/>
      <c r="U1341" s="6"/>
      <c r="V1341" s="6"/>
      <c r="W1341" s="7"/>
      <c r="X1341" s="7"/>
      <c r="Y1341" s="7"/>
      <c r="Z1341" s="7"/>
    </row>
    <row r="1342">
      <c r="A1342" s="6"/>
      <c r="B1342" s="6"/>
      <c r="C1342" s="6"/>
      <c r="D1342" s="6"/>
      <c r="E1342" s="6"/>
      <c r="F1342" s="6"/>
      <c r="G1342" s="6"/>
      <c r="H1342" s="6"/>
      <c r="I1342" s="6"/>
      <c r="J1342" s="6"/>
      <c r="K1342" s="6"/>
      <c r="L1342" s="80"/>
      <c r="M1342" s="80"/>
      <c r="N1342" s="80"/>
      <c r="O1342" s="80"/>
      <c r="P1342" s="6"/>
      <c r="Q1342" s="6"/>
      <c r="R1342" s="6"/>
      <c r="S1342" s="6"/>
      <c r="T1342" s="6"/>
      <c r="U1342" s="6"/>
      <c r="V1342" s="6"/>
      <c r="W1342" s="7"/>
      <c r="X1342" s="7"/>
      <c r="Y1342" s="7"/>
      <c r="Z1342" s="7"/>
    </row>
    <row r="1343">
      <c r="A1343" s="6"/>
      <c r="B1343" s="6"/>
      <c r="C1343" s="6"/>
      <c r="D1343" s="6"/>
      <c r="E1343" s="6"/>
      <c r="F1343" s="6"/>
      <c r="G1343" s="6"/>
      <c r="H1343" s="6"/>
      <c r="I1343" s="6"/>
      <c r="J1343" s="6"/>
      <c r="K1343" s="6"/>
      <c r="L1343" s="80"/>
      <c r="M1343" s="80"/>
      <c r="N1343" s="80"/>
      <c r="O1343" s="80"/>
      <c r="P1343" s="6"/>
      <c r="Q1343" s="6"/>
      <c r="R1343" s="6"/>
      <c r="S1343" s="6"/>
      <c r="T1343" s="6"/>
      <c r="U1343" s="6"/>
      <c r="V1343" s="6"/>
      <c r="W1343" s="7"/>
      <c r="X1343" s="7"/>
      <c r="Y1343" s="7"/>
      <c r="Z1343" s="7"/>
    </row>
    <row r="1344">
      <c r="A1344" s="6"/>
      <c r="B1344" s="6"/>
      <c r="C1344" s="6"/>
      <c r="D1344" s="6"/>
      <c r="E1344" s="6"/>
      <c r="F1344" s="6"/>
      <c r="G1344" s="6"/>
      <c r="H1344" s="6"/>
      <c r="I1344" s="6"/>
      <c r="J1344" s="6"/>
      <c r="K1344" s="6"/>
      <c r="L1344" s="80"/>
      <c r="M1344" s="80"/>
      <c r="N1344" s="80"/>
      <c r="O1344" s="80"/>
      <c r="P1344" s="6"/>
      <c r="Q1344" s="6"/>
      <c r="R1344" s="6"/>
      <c r="S1344" s="6"/>
      <c r="T1344" s="6"/>
      <c r="U1344" s="6"/>
      <c r="V1344" s="6"/>
      <c r="W1344" s="7"/>
      <c r="X1344" s="7"/>
      <c r="Y1344" s="7"/>
      <c r="Z1344" s="7"/>
    </row>
    <row r="1345">
      <c r="A1345" s="6"/>
      <c r="B1345" s="6"/>
      <c r="C1345" s="6"/>
      <c r="D1345" s="6"/>
      <c r="E1345" s="6"/>
      <c r="F1345" s="6"/>
      <c r="G1345" s="6"/>
      <c r="H1345" s="6"/>
      <c r="I1345" s="6"/>
      <c r="J1345" s="6"/>
      <c r="K1345" s="6"/>
      <c r="L1345" s="80"/>
      <c r="M1345" s="80"/>
      <c r="N1345" s="80"/>
      <c r="O1345" s="80"/>
      <c r="P1345" s="6"/>
      <c r="Q1345" s="6"/>
      <c r="R1345" s="6"/>
      <c r="S1345" s="6"/>
      <c r="T1345" s="6"/>
      <c r="U1345" s="6"/>
      <c r="V1345" s="6"/>
      <c r="W1345" s="7"/>
      <c r="X1345" s="7"/>
      <c r="Y1345" s="7"/>
      <c r="Z1345" s="7"/>
    </row>
    <row r="1346">
      <c r="A1346" s="6"/>
      <c r="B1346" s="6"/>
      <c r="C1346" s="6"/>
      <c r="D1346" s="6"/>
      <c r="E1346" s="6"/>
      <c r="F1346" s="6"/>
      <c r="G1346" s="6"/>
      <c r="H1346" s="6"/>
      <c r="I1346" s="6"/>
      <c r="J1346" s="6"/>
      <c r="K1346" s="6"/>
      <c r="L1346" s="80"/>
      <c r="M1346" s="80"/>
      <c r="N1346" s="80"/>
      <c r="O1346" s="80"/>
      <c r="P1346" s="6"/>
      <c r="Q1346" s="6"/>
      <c r="R1346" s="6"/>
      <c r="S1346" s="6"/>
      <c r="T1346" s="6"/>
      <c r="U1346" s="6"/>
      <c r="V1346" s="6"/>
      <c r="W1346" s="7"/>
      <c r="X1346" s="7"/>
      <c r="Y1346" s="7"/>
      <c r="Z1346" s="7"/>
    </row>
    <row r="1347">
      <c r="A1347" s="6"/>
      <c r="B1347" s="6"/>
      <c r="C1347" s="6"/>
      <c r="D1347" s="6"/>
      <c r="E1347" s="6"/>
      <c r="F1347" s="6"/>
      <c r="G1347" s="6"/>
      <c r="H1347" s="6"/>
      <c r="I1347" s="6"/>
      <c r="J1347" s="6"/>
      <c r="K1347" s="6"/>
      <c r="L1347" s="80"/>
      <c r="M1347" s="80"/>
      <c r="N1347" s="80"/>
      <c r="O1347" s="80"/>
      <c r="P1347" s="6"/>
      <c r="Q1347" s="6"/>
      <c r="R1347" s="6"/>
      <c r="S1347" s="6"/>
      <c r="T1347" s="6"/>
      <c r="U1347" s="6"/>
      <c r="V1347" s="6"/>
      <c r="W1347" s="7"/>
      <c r="X1347" s="7"/>
      <c r="Y1347" s="7"/>
      <c r="Z1347" s="7"/>
    </row>
    <row r="1348">
      <c r="A1348" s="6"/>
      <c r="B1348" s="6"/>
      <c r="C1348" s="6"/>
      <c r="D1348" s="6"/>
      <c r="E1348" s="6"/>
      <c r="F1348" s="6"/>
      <c r="G1348" s="6"/>
      <c r="H1348" s="6"/>
      <c r="I1348" s="6"/>
      <c r="J1348" s="6"/>
      <c r="K1348" s="6"/>
      <c r="L1348" s="80"/>
      <c r="M1348" s="80"/>
      <c r="N1348" s="80"/>
      <c r="O1348" s="80"/>
      <c r="P1348" s="6"/>
      <c r="Q1348" s="6"/>
      <c r="R1348" s="6"/>
      <c r="S1348" s="6"/>
      <c r="T1348" s="6"/>
      <c r="U1348" s="6"/>
      <c r="V1348" s="6"/>
      <c r="W1348" s="7"/>
      <c r="X1348" s="7"/>
      <c r="Y1348" s="7"/>
      <c r="Z1348" s="7"/>
    </row>
    <row r="1349">
      <c r="A1349" s="6"/>
      <c r="B1349" s="6"/>
      <c r="C1349" s="6"/>
      <c r="D1349" s="6"/>
      <c r="E1349" s="6"/>
      <c r="F1349" s="6"/>
      <c r="G1349" s="6"/>
      <c r="H1349" s="6"/>
      <c r="I1349" s="6"/>
      <c r="J1349" s="6"/>
      <c r="K1349" s="6"/>
      <c r="L1349" s="80"/>
      <c r="M1349" s="80"/>
      <c r="N1349" s="80"/>
      <c r="O1349" s="80"/>
      <c r="P1349" s="6"/>
      <c r="Q1349" s="6"/>
      <c r="R1349" s="6"/>
      <c r="S1349" s="6"/>
      <c r="T1349" s="6"/>
      <c r="U1349" s="6"/>
      <c r="V1349" s="6"/>
      <c r="W1349" s="7"/>
      <c r="X1349" s="7"/>
      <c r="Y1349" s="7"/>
      <c r="Z1349" s="7"/>
    </row>
    <row r="1350">
      <c r="A1350" s="6"/>
      <c r="B1350" s="6"/>
      <c r="C1350" s="6"/>
      <c r="D1350" s="6"/>
      <c r="E1350" s="6"/>
      <c r="F1350" s="6"/>
      <c r="G1350" s="6"/>
      <c r="H1350" s="6"/>
      <c r="I1350" s="6"/>
      <c r="J1350" s="6"/>
      <c r="K1350" s="6"/>
      <c r="L1350" s="80"/>
      <c r="M1350" s="80"/>
      <c r="N1350" s="80"/>
      <c r="O1350" s="80"/>
      <c r="P1350" s="6"/>
      <c r="Q1350" s="6"/>
      <c r="R1350" s="6"/>
      <c r="S1350" s="6"/>
      <c r="T1350" s="6"/>
      <c r="U1350" s="6"/>
      <c r="V1350" s="6"/>
      <c r="W1350" s="7"/>
      <c r="X1350" s="7"/>
      <c r="Y1350" s="7"/>
      <c r="Z1350" s="7"/>
    </row>
    <row r="1351">
      <c r="A1351" s="6"/>
      <c r="B1351" s="6"/>
      <c r="C1351" s="6"/>
      <c r="D1351" s="6"/>
      <c r="E1351" s="6"/>
      <c r="F1351" s="6"/>
      <c r="G1351" s="6"/>
      <c r="H1351" s="6"/>
      <c r="I1351" s="6"/>
      <c r="J1351" s="6"/>
      <c r="K1351" s="6"/>
      <c r="L1351" s="80"/>
      <c r="M1351" s="80"/>
      <c r="N1351" s="80"/>
      <c r="O1351" s="80"/>
      <c r="P1351" s="6"/>
      <c r="Q1351" s="6"/>
      <c r="R1351" s="6"/>
      <c r="S1351" s="6"/>
      <c r="T1351" s="6"/>
      <c r="U1351" s="6"/>
      <c r="V1351" s="6"/>
      <c r="W1351" s="7"/>
      <c r="X1351" s="7"/>
      <c r="Y1351" s="7"/>
      <c r="Z1351" s="7"/>
    </row>
    <row r="1352">
      <c r="A1352" s="6"/>
      <c r="B1352" s="6"/>
      <c r="C1352" s="6"/>
      <c r="D1352" s="6"/>
      <c r="E1352" s="6"/>
      <c r="F1352" s="6"/>
      <c r="G1352" s="6"/>
      <c r="H1352" s="6"/>
      <c r="I1352" s="6"/>
      <c r="J1352" s="6"/>
      <c r="K1352" s="6"/>
      <c r="L1352" s="80"/>
      <c r="M1352" s="80"/>
      <c r="N1352" s="80"/>
      <c r="O1352" s="80"/>
      <c r="P1352" s="6"/>
      <c r="Q1352" s="6"/>
      <c r="R1352" s="6"/>
      <c r="S1352" s="6"/>
      <c r="T1352" s="6"/>
      <c r="U1352" s="6"/>
      <c r="V1352" s="6"/>
      <c r="W1352" s="7"/>
      <c r="X1352" s="7"/>
      <c r="Y1352" s="7"/>
      <c r="Z1352" s="7"/>
    </row>
    <row r="1353">
      <c r="A1353" s="6"/>
      <c r="B1353" s="6"/>
      <c r="C1353" s="6"/>
      <c r="D1353" s="6"/>
      <c r="E1353" s="6"/>
      <c r="F1353" s="6"/>
      <c r="G1353" s="6"/>
      <c r="H1353" s="6"/>
      <c r="I1353" s="6"/>
      <c r="J1353" s="6"/>
      <c r="K1353" s="6"/>
      <c r="L1353" s="80"/>
      <c r="M1353" s="80"/>
      <c r="N1353" s="80"/>
      <c r="O1353" s="80"/>
      <c r="P1353" s="6"/>
      <c r="Q1353" s="6"/>
      <c r="R1353" s="6"/>
      <c r="S1353" s="6"/>
      <c r="T1353" s="6"/>
      <c r="U1353" s="6"/>
      <c r="V1353" s="6"/>
      <c r="W1353" s="7"/>
      <c r="X1353" s="7"/>
      <c r="Y1353" s="7"/>
      <c r="Z1353" s="7"/>
    </row>
    <row r="1354">
      <c r="A1354" s="6"/>
      <c r="B1354" s="6"/>
      <c r="C1354" s="6"/>
      <c r="D1354" s="6"/>
      <c r="E1354" s="6"/>
      <c r="F1354" s="6"/>
      <c r="G1354" s="6"/>
      <c r="H1354" s="6"/>
      <c r="I1354" s="6"/>
      <c r="J1354" s="6"/>
      <c r="K1354" s="6"/>
      <c r="L1354" s="80"/>
      <c r="M1354" s="80"/>
      <c r="N1354" s="80"/>
      <c r="O1354" s="80"/>
      <c r="P1354" s="6"/>
      <c r="Q1354" s="6"/>
      <c r="R1354" s="6"/>
      <c r="S1354" s="6"/>
      <c r="T1354" s="6"/>
      <c r="U1354" s="6"/>
      <c r="V1354" s="6"/>
      <c r="W1354" s="7"/>
      <c r="X1354" s="7"/>
      <c r="Y1354" s="7"/>
      <c r="Z1354" s="7"/>
    </row>
    <row r="1355">
      <c r="A1355" s="6"/>
      <c r="B1355" s="6"/>
      <c r="C1355" s="6"/>
      <c r="D1355" s="6"/>
      <c r="E1355" s="6"/>
      <c r="F1355" s="6"/>
      <c r="G1355" s="6"/>
      <c r="H1355" s="6"/>
      <c r="I1355" s="6"/>
      <c r="J1355" s="6"/>
      <c r="K1355" s="6"/>
      <c r="L1355" s="80"/>
      <c r="M1355" s="80"/>
      <c r="N1355" s="80"/>
      <c r="O1355" s="80"/>
      <c r="P1355" s="6"/>
      <c r="Q1355" s="6"/>
      <c r="R1355" s="6"/>
      <c r="S1355" s="6"/>
      <c r="T1355" s="6"/>
      <c r="U1355" s="6"/>
      <c r="V1355" s="6"/>
      <c r="W1355" s="7"/>
      <c r="X1355" s="7"/>
      <c r="Y1355" s="7"/>
      <c r="Z1355" s="7"/>
    </row>
    <row r="1356">
      <c r="A1356" s="6"/>
      <c r="B1356" s="6"/>
      <c r="C1356" s="6"/>
      <c r="D1356" s="6"/>
      <c r="E1356" s="6"/>
      <c r="F1356" s="6"/>
      <c r="G1356" s="6"/>
      <c r="H1356" s="6"/>
      <c r="I1356" s="6"/>
      <c r="J1356" s="6"/>
      <c r="K1356" s="6"/>
      <c r="L1356" s="80"/>
      <c r="M1356" s="80"/>
      <c r="N1356" s="80"/>
      <c r="O1356" s="80"/>
      <c r="P1356" s="6"/>
      <c r="Q1356" s="6"/>
      <c r="R1356" s="6"/>
      <c r="S1356" s="6"/>
      <c r="T1356" s="6"/>
      <c r="U1356" s="6"/>
      <c r="V1356" s="6"/>
      <c r="W1356" s="7"/>
      <c r="X1356" s="7"/>
      <c r="Y1356" s="7"/>
      <c r="Z1356" s="7"/>
    </row>
    <row r="1357">
      <c r="A1357" s="6"/>
      <c r="B1357" s="6"/>
      <c r="C1357" s="6"/>
      <c r="D1357" s="6"/>
      <c r="E1357" s="6"/>
      <c r="F1357" s="6"/>
      <c r="G1357" s="6"/>
      <c r="H1357" s="6"/>
      <c r="I1357" s="6"/>
      <c r="J1357" s="6"/>
      <c r="K1357" s="6"/>
      <c r="L1357" s="80"/>
      <c r="M1357" s="80"/>
      <c r="N1357" s="80"/>
      <c r="O1357" s="80"/>
      <c r="P1357" s="6"/>
      <c r="Q1357" s="6"/>
      <c r="R1357" s="6"/>
      <c r="S1357" s="6"/>
      <c r="T1357" s="6"/>
      <c r="U1357" s="6"/>
      <c r="V1357" s="6"/>
      <c r="W1357" s="7"/>
      <c r="X1357" s="7"/>
      <c r="Y1357" s="7"/>
      <c r="Z1357" s="7"/>
    </row>
    <row r="1358">
      <c r="A1358" s="6"/>
      <c r="B1358" s="6"/>
      <c r="C1358" s="6"/>
      <c r="D1358" s="6"/>
      <c r="E1358" s="6"/>
      <c r="F1358" s="6"/>
      <c r="G1358" s="6"/>
      <c r="H1358" s="6"/>
      <c r="I1358" s="6"/>
      <c r="J1358" s="6"/>
      <c r="K1358" s="6"/>
      <c r="L1358" s="80"/>
      <c r="M1358" s="80"/>
      <c r="N1358" s="80"/>
      <c r="O1358" s="80"/>
      <c r="P1358" s="6"/>
      <c r="Q1358" s="6"/>
      <c r="R1358" s="6"/>
      <c r="S1358" s="6"/>
      <c r="T1358" s="6"/>
      <c r="U1358" s="6"/>
      <c r="V1358" s="6"/>
      <c r="W1358" s="7"/>
      <c r="X1358" s="7"/>
      <c r="Y1358" s="7"/>
      <c r="Z1358" s="7"/>
    </row>
    <row r="1359">
      <c r="A1359" s="6"/>
      <c r="B1359" s="6"/>
      <c r="C1359" s="6"/>
      <c r="D1359" s="6"/>
      <c r="E1359" s="6"/>
      <c r="F1359" s="6"/>
      <c r="G1359" s="6"/>
      <c r="H1359" s="6"/>
      <c r="I1359" s="6"/>
      <c r="J1359" s="6"/>
      <c r="K1359" s="6"/>
      <c r="L1359" s="80"/>
      <c r="M1359" s="80"/>
      <c r="N1359" s="80"/>
      <c r="O1359" s="80"/>
      <c r="P1359" s="6"/>
      <c r="Q1359" s="6"/>
      <c r="R1359" s="6"/>
      <c r="S1359" s="6"/>
      <c r="T1359" s="6"/>
      <c r="U1359" s="6"/>
      <c r="V1359" s="6"/>
      <c r="W1359" s="7"/>
      <c r="X1359" s="7"/>
      <c r="Y1359" s="7"/>
      <c r="Z1359" s="7"/>
    </row>
    <row r="1360">
      <c r="A1360" s="6"/>
      <c r="B1360" s="6"/>
      <c r="C1360" s="6"/>
      <c r="D1360" s="6"/>
      <c r="E1360" s="6"/>
      <c r="F1360" s="6"/>
      <c r="G1360" s="6"/>
      <c r="H1360" s="6"/>
      <c r="I1360" s="6"/>
      <c r="J1360" s="6"/>
      <c r="K1360" s="6"/>
      <c r="L1360" s="80"/>
      <c r="M1360" s="80"/>
      <c r="N1360" s="80"/>
      <c r="O1360" s="80"/>
      <c r="P1360" s="6"/>
      <c r="Q1360" s="6"/>
      <c r="R1360" s="6"/>
      <c r="S1360" s="6"/>
      <c r="T1360" s="6"/>
      <c r="U1360" s="6"/>
      <c r="V1360" s="6"/>
      <c r="W1360" s="7"/>
      <c r="X1360" s="7"/>
      <c r="Y1360" s="7"/>
      <c r="Z1360" s="7"/>
    </row>
    <row r="1361">
      <c r="A1361" s="6"/>
      <c r="B1361" s="6"/>
      <c r="C1361" s="6"/>
      <c r="D1361" s="6"/>
      <c r="E1361" s="6"/>
      <c r="F1361" s="6"/>
      <c r="G1361" s="6"/>
      <c r="H1361" s="6"/>
      <c r="I1361" s="6"/>
      <c r="J1361" s="6"/>
      <c r="K1361" s="6"/>
      <c r="L1361" s="80"/>
      <c r="M1361" s="80"/>
      <c r="N1361" s="80"/>
      <c r="O1361" s="80"/>
      <c r="P1361" s="6"/>
      <c r="Q1361" s="6"/>
      <c r="R1361" s="6"/>
      <c r="S1361" s="6"/>
      <c r="T1361" s="6"/>
      <c r="U1361" s="6"/>
      <c r="V1361" s="6"/>
      <c r="W1361" s="7"/>
      <c r="X1361" s="7"/>
      <c r="Y1361" s="7"/>
      <c r="Z1361" s="7"/>
    </row>
    <row r="1362">
      <c r="A1362" s="6"/>
      <c r="B1362" s="6"/>
      <c r="C1362" s="6"/>
      <c r="D1362" s="6"/>
      <c r="E1362" s="6"/>
      <c r="F1362" s="6"/>
      <c r="G1362" s="6"/>
      <c r="H1362" s="6"/>
      <c r="I1362" s="6"/>
      <c r="J1362" s="6"/>
      <c r="K1362" s="6"/>
      <c r="L1362" s="80"/>
      <c r="M1362" s="80"/>
      <c r="N1362" s="80"/>
      <c r="O1362" s="80"/>
      <c r="P1362" s="6"/>
      <c r="Q1362" s="6"/>
      <c r="R1362" s="6"/>
      <c r="S1362" s="6"/>
      <c r="T1362" s="6"/>
      <c r="U1362" s="6"/>
      <c r="V1362" s="6"/>
      <c r="W1362" s="7"/>
      <c r="X1362" s="7"/>
      <c r="Y1362" s="7"/>
      <c r="Z1362" s="7"/>
    </row>
    <row r="1363">
      <c r="A1363" s="6"/>
      <c r="B1363" s="6"/>
      <c r="C1363" s="6"/>
      <c r="D1363" s="6"/>
      <c r="E1363" s="6"/>
      <c r="F1363" s="6"/>
      <c r="G1363" s="6"/>
      <c r="H1363" s="6"/>
      <c r="I1363" s="6"/>
      <c r="J1363" s="6"/>
      <c r="K1363" s="6"/>
      <c r="L1363" s="80"/>
      <c r="M1363" s="80"/>
      <c r="N1363" s="80"/>
      <c r="O1363" s="80"/>
      <c r="P1363" s="6"/>
      <c r="Q1363" s="6"/>
      <c r="R1363" s="6"/>
      <c r="S1363" s="6"/>
      <c r="T1363" s="6"/>
      <c r="U1363" s="6"/>
      <c r="V1363" s="6"/>
      <c r="W1363" s="7"/>
      <c r="X1363" s="7"/>
      <c r="Y1363" s="7"/>
      <c r="Z1363" s="7"/>
    </row>
    <row r="1364">
      <c r="A1364" s="6"/>
      <c r="B1364" s="6"/>
      <c r="C1364" s="6"/>
      <c r="D1364" s="6"/>
      <c r="E1364" s="6"/>
      <c r="F1364" s="6"/>
      <c r="G1364" s="6"/>
      <c r="H1364" s="6"/>
      <c r="I1364" s="6"/>
      <c r="J1364" s="6"/>
      <c r="K1364" s="6"/>
      <c r="L1364" s="80"/>
      <c r="M1364" s="80"/>
      <c r="N1364" s="80"/>
      <c r="O1364" s="80"/>
      <c r="P1364" s="6"/>
      <c r="Q1364" s="6"/>
      <c r="R1364" s="6"/>
      <c r="S1364" s="6"/>
      <c r="T1364" s="6"/>
      <c r="U1364" s="6"/>
      <c r="V1364" s="6"/>
      <c r="W1364" s="7"/>
      <c r="X1364" s="7"/>
      <c r="Y1364" s="7"/>
      <c r="Z1364" s="7"/>
    </row>
    <row r="1365">
      <c r="A1365" s="6"/>
      <c r="B1365" s="6"/>
      <c r="C1365" s="6"/>
      <c r="D1365" s="6"/>
      <c r="E1365" s="6"/>
      <c r="F1365" s="6"/>
      <c r="G1365" s="6"/>
      <c r="H1365" s="6"/>
      <c r="I1365" s="6"/>
      <c r="J1365" s="6"/>
      <c r="K1365" s="6"/>
      <c r="L1365" s="80"/>
      <c r="M1365" s="80"/>
      <c r="N1365" s="80"/>
      <c r="O1365" s="80"/>
      <c r="P1365" s="6"/>
      <c r="Q1365" s="6"/>
      <c r="R1365" s="6"/>
      <c r="S1365" s="6"/>
      <c r="T1365" s="6"/>
      <c r="U1365" s="6"/>
      <c r="V1365" s="6"/>
      <c r="W1365" s="7"/>
      <c r="X1365" s="7"/>
      <c r="Y1365" s="7"/>
      <c r="Z1365" s="7"/>
    </row>
    <row r="1366">
      <c r="A1366" s="6"/>
      <c r="B1366" s="6"/>
      <c r="C1366" s="6"/>
      <c r="D1366" s="6"/>
      <c r="E1366" s="6"/>
      <c r="F1366" s="6"/>
      <c r="G1366" s="6"/>
      <c r="H1366" s="6"/>
      <c r="I1366" s="6"/>
      <c r="J1366" s="6"/>
      <c r="K1366" s="6"/>
      <c r="L1366" s="80"/>
      <c r="M1366" s="80"/>
      <c r="N1366" s="80"/>
      <c r="O1366" s="80"/>
      <c r="P1366" s="6"/>
      <c r="Q1366" s="6"/>
      <c r="R1366" s="6"/>
      <c r="S1366" s="6"/>
      <c r="T1366" s="6"/>
      <c r="U1366" s="6"/>
      <c r="V1366" s="6"/>
      <c r="W1366" s="7"/>
      <c r="X1366" s="7"/>
      <c r="Y1366" s="7"/>
      <c r="Z1366" s="7"/>
    </row>
    <row r="1367">
      <c r="A1367" s="6"/>
      <c r="B1367" s="6"/>
      <c r="C1367" s="6"/>
      <c r="D1367" s="6"/>
      <c r="E1367" s="6"/>
      <c r="F1367" s="6"/>
      <c r="G1367" s="6"/>
      <c r="H1367" s="6"/>
      <c r="I1367" s="6"/>
      <c r="J1367" s="6"/>
      <c r="K1367" s="6"/>
      <c r="L1367" s="80"/>
      <c r="M1367" s="80"/>
      <c r="N1367" s="80"/>
      <c r="O1367" s="80"/>
      <c r="P1367" s="6"/>
      <c r="Q1367" s="6"/>
      <c r="R1367" s="6"/>
      <c r="S1367" s="6"/>
      <c r="T1367" s="6"/>
      <c r="U1367" s="6"/>
      <c r="V1367" s="6"/>
      <c r="W1367" s="7"/>
      <c r="X1367" s="7"/>
      <c r="Y1367" s="7"/>
      <c r="Z1367" s="7"/>
    </row>
    <row r="1368">
      <c r="A1368" s="6"/>
      <c r="B1368" s="6"/>
      <c r="C1368" s="6"/>
      <c r="D1368" s="6"/>
      <c r="E1368" s="6"/>
      <c r="F1368" s="6"/>
      <c r="G1368" s="6"/>
      <c r="H1368" s="6"/>
      <c r="I1368" s="6"/>
      <c r="J1368" s="6"/>
      <c r="K1368" s="6"/>
      <c r="L1368" s="80"/>
      <c r="M1368" s="80"/>
      <c r="N1368" s="80"/>
      <c r="O1368" s="80"/>
      <c r="P1368" s="6"/>
      <c r="Q1368" s="6"/>
      <c r="R1368" s="6"/>
      <c r="S1368" s="6"/>
      <c r="T1368" s="6"/>
      <c r="U1368" s="6"/>
      <c r="V1368" s="6"/>
      <c r="W1368" s="7"/>
      <c r="X1368" s="7"/>
      <c r="Y1368" s="7"/>
      <c r="Z1368" s="7"/>
    </row>
    <row r="1369">
      <c r="A1369" s="6"/>
      <c r="B1369" s="6"/>
      <c r="C1369" s="6"/>
      <c r="D1369" s="6"/>
      <c r="E1369" s="6"/>
      <c r="F1369" s="6"/>
      <c r="G1369" s="6"/>
      <c r="H1369" s="6"/>
      <c r="I1369" s="6"/>
      <c r="J1369" s="6"/>
      <c r="K1369" s="6"/>
      <c r="L1369" s="80"/>
      <c r="M1369" s="80"/>
      <c r="N1369" s="80"/>
      <c r="O1369" s="80"/>
      <c r="P1369" s="6"/>
      <c r="Q1369" s="6"/>
      <c r="R1369" s="6"/>
      <c r="S1369" s="6"/>
      <c r="T1369" s="6"/>
      <c r="U1369" s="6"/>
      <c r="V1369" s="6"/>
      <c r="W1369" s="7"/>
      <c r="X1369" s="7"/>
      <c r="Y1369" s="7"/>
      <c r="Z1369" s="7"/>
    </row>
    <row r="1370">
      <c r="A1370" s="6"/>
      <c r="B1370" s="6"/>
      <c r="C1370" s="6"/>
      <c r="D1370" s="6"/>
      <c r="E1370" s="6"/>
      <c r="F1370" s="6"/>
      <c r="G1370" s="6"/>
      <c r="H1370" s="6"/>
      <c r="I1370" s="6"/>
      <c r="J1370" s="6"/>
      <c r="K1370" s="6"/>
      <c r="L1370" s="80"/>
      <c r="M1370" s="80"/>
      <c r="N1370" s="80"/>
      <c r="O1370" s="80"/>
      <c r="P1370" s="6"/>
      <c r="Q1370" s="6"/>
      <c r="R1370" s="6"/>
      <c r="S1370" s="6"/>
      <c r="T1370" s="6"/>
      <c r="U1370" s="6"/>
      <c r="V1370" s="6"/>
      <c r="W1370" s="7"/>
      <c r="X1370" s="7"/>
      <c r="Y1370" s="7"/>
      <c r="Z1370" s="7"/>
    </row>
    <row r="1371">
      <c r="A1371" s="6"/>
      <c r="B1371" s="6"/>
      <c r="C1371" s="6"/>
      <c r="D1371" s="6"/>
      <c r="E1371" s="6"/>
      <c r="F1371" s="6"/>
      <c r="G1371" s="6"/>
      <c r="H1371" s="6"/>
      <c r="I1371" s="6"/>
      <c r="J1371" s="6"/>
      <c r="K1371" s="6"/>
      <c r="L1371" s="80"/>
      <c r="M1371" s="80"/>
      <c r="N1371" s="80"/>
      <c r="O1371" s="80"/>
      <c r="P1371" s="6"/>
      <c r="Q1371" s="6"/>
      <c r="R1371" s="6"/>
      <c r="S1371" s="6"/>
      <c r="T1371" s="6"/>
      <c r="U1371" s="6"/>
      <c r="V1371" s="6"/>
      <c r="W1371" s="7"/>
      <c r="X1371" s="7"/>
      <c r="Y1371" s="7"/>
      <c r="Z1371" s="7"/>
    </row>
    <row r="1372">
      <c r="A1372" s="6"/>
      <c r="B1372" s="6"/>
      <c r="C1372" s="6"/>
      <c r="D1372" s="6"/>
      <c r="E1372" s="6"/>
      <c r="F1372" s="6"/>
      <c r="G1372" s="6"/>
      <c r="H1372" s="6"/>
      <c r="I1372" s="6"/>
      <c r="J1372" s="6"/>
      <c r="K1372" s="6"/>
      <c r="L1372" s="80"/>
      <c r="M1372" s="80"/>
      <c r="N1372" s="80"/>
      <c r="O1372" s="80"/>
      <c r="P1372" s="6"/>
      <c r="Q1372" s="6"/>
      <c r="R1372" s="6"/>
      <c r="S1372" s="6"/>
      <c r="T1372" s="6"/>
      <c r="U1372" s="6"/>
      <c r="V1372" s="6"/>
      <c r="W1372" s="7"/>
      <c r="X1372" s="7"/>
      <c r="Y1372" s="7"/>
      <c r="Z1372" s="7"/>
    </row>
    <row r="1373">
      <c r="A1373" s="6"/>
      <c r="B1373" s="6"/>
      <c r="C1373" s="6"/>
      <c r="D1373" s="6"/>
      <c r="E1373" s="6"/>
      <c r="F1373" s="6"/>
      <c r="G1373" s="6"/>
      <c r="H1373" s="6"/>
      <c r="I1373" s="6"/>
      <c r="J1373" s="6"/>
      <c r="K1373" s="6"/>
      <c r="L1373" s="80"/>
      <c r="M1373" s="80"/>
      <c r="N1373" s="80"/>
      <c r="O1373" s="80"/>
      <c r="P1373" s="6"/>
      <c r="Q1373" s="6"/>
      <c r="R1373" s="6"/>
      <c r="S1373" s="6"/>
      <c r="T1373" s="6"/>
      <c r="U1373" s="6"/>
      <c r="V1373" s="6"/>
      <c r="W1373" s="7"/>
      <c r="X1373" s="7"/>
      <c r="Y1373" s="7"/>
      <c r="Z1373" s="7"/>
    </row>
    <row r="1374">
      <c r="A1374" s="6"/>
      <c r="B1374" s="6"/>
      <c r="C1374" s="6"/>
      <c r="D1374" s="6"/>
      <c r="E1374" s="6"/>
      <c r="F1374" s="6"/>
      <c r="G1374" s="6"/>
      <c r="H1374" s="6"/>
      <c r="I1374" s="6"/>
      <c r="J1374" s="6"/>
      <c r="K1374" s="6"/>
      <c r="L1374" s="80"/>
      <c r="M1374" s="80"/>
      <c r="N1374" s="80"/>
      <c r="O1374" s="80"/>
      <c r="P1374" s="6"/>
      <c r="Q1374" s="6"/>
      <c r="R1374" s="6"/>
      <c r="S1374" s="6"/>
      <c r="T1374" s="6"/>
      <c r="U1374" s="6"/>
      <c r="V1374" s="6"/>
      <c r="W1374" s="7"/>
      <c r="X1374" s="7"/>
      <c r="Y1374" s="7"/>
      <c r="Z1374" s="7"/>
    </row>
    <row r="1375">
      <c r="A1375" s="6"/>
      <c r="B1375" s="6"/>
      <c r="C1375" s="6"/>
      <c r="D1375" s="6"/>
      <c r="E1375" s="6"/>
      <c r="F1375" s="6"/>
      <c r="G1375" s="6"/>
      <c r="H1375" s="6"/>
      <c r="I1375" s="6"/>
      <c r="J1375" s="6"/>
      <c r="K1375" s="6"/>
      <c r="L1375" s="80"/>
      <c r="M1375" s="80"/>
      <c r="N1375" s="80"/>
      <c r="O1375" s="80"/>
      <c r="P1375" s="6"/>
      <c r="Q1375" s="6"/>
      <c r="R1375" s="6"/>
      <c r="S1375" s="6"/>
      <c r="T1375" s="6"/>
      <c r="U1375" s="6"/>
      <c r="V1375" s="6"/>
      <c r="W1375" s="7"/>
      <c r="X1375" s="7"/>
      <c r="Y1375" s="7"/>
      <c r="Z1375" s="7"/>
    </row>
    <row r="1376">
      <c r="A1376" s="6"/>
      <c r="B1376" s="6"/>
      <c r="C1376" s="6"/>
      <c r="D1376" s="6"/>
      <c r="E1376" s="6"/>
      <c r="F1376" s="6"/>
      <c r="G1376" s="6"/>
      <c r="H1376" s="6"/>
      <c r="I1376" s="6"/>
      <c r="J1376" s="6"/>
      <c r="K1376" s="6"/>
      <c r="L1376" s="80"/>
      <c r="M1376" s="80"/>
      <c r="N1376" s="80"/>
      <c r="O1376" s="80"/>
      <c r="P1376" s="6"/>
      <c r="Q1376" s="6"/>
      <c r="R1376" s="6"/>
      <c r="S1376" s="6"/>
      <c r="T1376" s="6"/>
      <c r="U1376" s="6"/>
      <c r="V1376" s="6"/>
      <c r="W1376" s="7"/>
      <c r="X1376" s="7"/>
      <c r="Y1376" s="7"/>
      <c r="Z1376" s="7"/>
    </row>
    <row r="1377">
      <c r="A1377" s="6"/>
      <c r="B1377" s="6"/>
      <c r="C1377" s="6"/>
      <c r="D1377" s="6"/>
      <c r="E1377" s="6"/>
      <c r="F1377" s="6"/>
      <c r="G1377" s="6"/>
      <c r="H1377" s="6"/>
      <c r="I1377" s="6"/>
      <c r="J1377" s="6"/>
      <c r="K1377" s="6"/>
      <c r="L1377" s="80"/>
      <c r="M1377" s="80"/>
      <c r="N1377" s="80"/>
      <c r="O1377" s="80"/>
      <c r="P1377" s="6"/>
      <c r="Q1377" s="6"/>
      <c r="R1377" s="6"/>
      <c r="S1377" s="6"/>
      <c r="T1377" s="6"/>
      <c r="U1377" s="6"/>
      <c r="V1377" s="6"/>
      <c r="W1377" s="7"/>
      <c r="X1377" s="7"/>
      <c r="Y1377" s="7"/>
      <c r="Z1377" s="7"/>
    </row>
    <row r="1378">
      <c r="A1378" s="6"/>
      <c r="B1378" s="6"/>
      <c r="C1378" s="6"/>
      <c r="D1378" s="6"/>
      <c r="E1378" s="6"/>
      <c r="F1378" s="6"/>
      <c r="G1378" s="6"/>
      <c r="H1378" s="6"/>
      <c r="I1378" s="6"/>
      <c r="J1378" s="6"/>
      <c r="K1378" s="6"/>
      <c r="L1378" s="80"/>
      <c r="M1378" s="80"/>
      <c r="N1378" s="80"/>
      <c r="O1378" s="80"/>
      <c r="P1378" s="6"/>
      <c r="Q1378" s="6"/>
      <c r="R1378" s="6"/>
      <c r="S1378" s="6"/>
      <c r="T1378" s="6"/>
      <c r="U1378" s="6"/>
      <c r="V1378" s="6"/>
      <c r="W1378" s="7"/>
      <c r="X1378" s="7"/>
      <c r="Y1378" s="7"/>
      <c r="Z1378" s="7"/>
    </row>
    <row r="1379">
      <c r="A1379" s="6"/>
      <c r="B1379" s="6"/>
      <c r="C1379" s="6"/>
      <c r="D1379" s="6"/>
      <c r="E1379" s="6"/>
      <c r="F1379" s="6"/>
      <c r="G1379" s="6"/>
      <c r="H1379" s="6"/>
      <c r="I1379" s="6"/>
      <c r="J1379" s="6"/>
      <c r="K1379" s="6"/>
      <c r="L1379" s="80"/>
      <c r="M1379" s="80"/>
      <c r="N1379" s="80"/>
      <c r="O1379" s="80"/>
      <c r="P1379" s="6"/>
      <c r="Q1379" s="6"/>
      <c r="R1379" s="6"/>
      <c r="S1379" s="6"/>
      <c r="T1379" s="6"/>
      <c r="U1379" s="6"/>
      <c r="V1379" s="6"/>
      <c r="W1379" s="7"/>
      <c r="X1379" s="7"/>
      <c r="Y1379" s="7"/>
      <c r="Z1379" s="7"/>
    </row>
    <row r="1380">
      <c r="A1380" s="6"/>
      <c r="B1380" s="6"/>
      <c r="C1380" s="6"/>
      <c r="D1380" s="6"/>
      <c r="E1380" s="6"/>
      <c r="F1380" s="6"/>
      <c r="G1380" s="6"/>
      <c r="H1380" s="6"/>
      <c r="I1380" s="6"/>
      <c r="J1380" s="6"/>
      <c r="K1380" s="6"/>
      <c r="L1380" s="80"/>
      <c r="M1380" s="80"/>
      <c r="N1380" s="80"/>
      <c r="O1380" s="80"/>
      <c r="P1380" s="6"/>
      <c r="Q1380" s="6"/>
      <c r="R1380" s="6"/>
      <c r="S1380" s="6"/>
      <c r="T1380" s="6"/>
      <c r="U1380" s="6"/>
      <c r="V1380" s="6"/>
      <c r="W1380" s="7"/>
      <c r="X1380" s="7"/>
      <c r="Y1380" s="7"/>
      <c r="Z1380" s="7"/>
    </row>
    <row r="1381">
      <c r="A1381" s="6"/>
      <c r="B1381" s="6"/>
      <c r="C1381" s="6"/>
      <c r="D1381" s="6"/>
      <c r="E1381" s="6"/>
      <c r="F1381" s="6"/>
      <c r="G1381" s="6"/>
      <c r="H1381" s="6"/>
      <c r="I1381" s="6"/>
      <c r="J1381" s="6"/>
      <c r="K1381" s="6"/>
      <c r="L1381" s="80"/>
      <c r="M1381" s="80"/>
      <c r="N1381" s="80"/>
      <c r="O1381" s="80"/>
      <c r="P1381" s="6"/>
      <c r="Q1381" s="6"/>
      <c r="R1381" s="6"/>
      <c r="S1381" s="6"/>
      <c r="T1381" s="6"/>
      <c r="U1381" s="6"/>
      <c r="V1381" s="6"/>
      <c r="W1381" s="7"/>
      <c r="X1381" s="7"/>
      <c r="Y1381" s="7"/>
      <c r="Z1381" s="7"/>
    </row>
    <row r="1382">
      <c r="A1382" s="6"/>
      <c r="B1382" s="6"/>
      <c r="C1382" s="6"/>
      <c r="D1382" s="6"/>
      <c r="E1382" s="6"/>
      <c r="F1382" s="6"/>
      <c r="G1382" s="6"/>
      <c r="H1382" s="6"/>
      <c r="I1382" s="6"/>
      <c r="J1382" s="6"/>
      <c r="K1382" s="6"/>
      <c r="L1382" s="80"/>
      <c r="M1382" s="80"/>
      <c r="N1382" s="80"/>
      <c r="O1382" s="80"/>
      <c r="P1382" s="6"/>
      <c r="Q1382" s="6"/>
      <c r="R1382" s="6"/>
      <c r="S1382" s="6"/>
      <c r="T1382" s="6"/>
      <c r="U1382" s="6"/>
      <c r="V1382" s="6"/>
      <c r="W1382" s="7"/>
      <c r="X1382" s="7"/>
      <c r="Y1382" s="7"/>
      <c r="Z1382" s="7"/>
    </row>
    <row r="1383">
      <c r="A1383" s="6"/>
      <c r="B1383" s="6"/>
      <c r="C1383" s="6"/>
      <c r="D1383" s="6"/>
      <c r="E1383" s="6"/>
      <c r="F1383" s="6"/>
      <c r="G1383" s="6"/>
      <c r="H1383" s="6"/>
      <c r="I1383" s="6"/>
      <c r="J1383" s="6"/>
      <c r="K1383" s="6"/>
      <c r="L1383" s="80"/>
      <c r="M1383" s="80"/>
      <c r="N1383" s="80"/>
      <c r="O1383" s="80"/>
      <c r="P1383" s="6"/>
      <c r="Q1383" s="6"/>
      <c r="R1383" s="6"/>
      <c r="S1383" s="6"/>
      <c r="T1383" s="6"/>
      <c r="U1383" s="6"/>
      <c r="V1383" s="6"/>
      <c r="W1383" s="7"/>
      <c r="X1383" s="7"/>
      <c r="Y1383" s="7"/>
      <c r="Z1383" s="7"/>
    </row>
    <row r="1384">
      <c r="A1384" s="6"/>
      <c r="B1384" s="6"/>
      <c r="C1384" s="6"/>
      <c r="D1384" s="6"/>
      <c r="E1384" s="6"/>
      <c r="F1384" s="6"/>
      <c r="G1384" s="6"/>
      <c r="H1384" s="6"/>
      <c r="I1384" s="6"/>
      <c r="J1384" s="6"/>
      <c r="K1384" s="6"/>
      <c r="L1384" s="80"/>
      <c r="M1384" s="80"/>
      <c r="N1384" s="80"/>
      <c r="O1384" s="80"/>
      <c r="P1384" s="6"/>
      <c r="Q1384" s="6"/>
      <c r="R1384" s="6"/>
      <c r="S1384" s="6"/>
      <c r="T1384" s="6"/>
      <c r="U1384" s="6"/>
      <c r="V1384" s="6"/>
      <c r="W1384" s="7"/>
      <c r="X1384" s="7"/>
      <c r="Y1384" s="7"/>
      <c r="Z1384" s="7"/>
    </row>
    <row r="1385">
      <c r="A1385" s="6"/>
      <c r="B1385" s="6"/>
      <c r="C1385" s="6"/>
      <c r="D1385" s="6"/>
      <c r="E1385" s="6"/>
      <c r="F1385" s="6"/>
      <c r="G1385" s="6"/>
      <c r="H1385" s="6"/>
      <c r="I1385" s="6"/>
      <c r="J1385" s="6"/>
      <c r="K1385" s="6"/>
      <c r="L1385" s="80"/>
      <c r="M1385" s="80"/>
      <c r="N1385" s="80"/>
      <c r="O1385" s="80"/>
      <c r="P1385" s="6"/>
      <c r="Q1385" s="6"/>
      <c r="R1385" s="6"/>
      <c r="S1385" s="6"/>
      <c r="T1385" s="6"/>
      <c r="U1385" s="6"/>
      <c r="V1385" s="6"/>
      <c r="W1385" s="7"/>
      <c r="X1385" s="7"/>
      <c r="Y1385" s="7"/>
      <c r="Z1385" s="7"/>
    </row>
    <row r="1386">
      <c r="A1386" s="6"/>
      <c r="B1386" s="6"/>
      <c r="C1386" s="6"/>
      <c r="D1386" s="6"/>
      <c r="E1386" s="6"/>
      <c r="F1386" s="6"/>
      <c r="G1386" s="6"/>
      <c r="H1386" s="6"/>
      <c r="I1386" s="6"/>
      <c r="J1386" s="6"/>
      <c r="K1386" s="6"/>
      <c r="L1386" s="80"/>
      <c r="M1386" s="80"/>
      <c r="N1386" s="80"/>
      <c r="O1386" s="80"/>
      <c r="P1386" s="6"/>
      <c r="Q1386" s="6"/>
      <c r="R1386" s="6"/>
      <c r="S1386" s="6"/>
      <c r="T1386" s="6"/>
      <c r="U1386" s="6"/>
      <c r="V1386" s="6"/>
      <c r="W1386" s="7"/>
      <c r="X1386" s="7"/>
      <c r="Y1386" s="7"/>
      <c r="Z1386" s="7"/>
    </row>
    <row r="1387">
      <c r="A1387" s="6"/>
      <c r="B1387" s="6"/>
      <c r="C1387" s="6"/>
      <c r="D1387" s="6"/>
      <c r="E1387" s="6"/>
      <c r="F1387" s="6"/>
      <c r="G1387" s="6"/>
      <c r="H1387" s="6"/>
      <c r="I1387" s="6"/>
      <c r="J1387" s="6"/>
      <c r="K1387" s="6"/>
      <c r="L1387" s="80"/>
      <c r="M1387" s="80"/>
      <c r="N1387" s="80"/>
      <c r="O1387" s="80"/>
      <c r="P1387" s="6"/>
      <c r="Q1387" s="6"/>
      <c r="R1387" s="6"/>
      <c r="S1387" s="6"/>
      <c r="T1387" s="6"/>
      <c r="U1387" s="6"/>
      <c r="V1387" s="6"/>
      <c r="W1387" s="7"/>
      <c r="X1387" s="7"/>
      <c r="Y1387" s="7"/>
      <c r="Z1387" s="7"/>
    </row>
    <row r="1388">
      <c r="A1388" s="6"/>
      <c r="B1388" s="6"/>
      <c r="C1388" s="6"/>
      <c r="D1388" s="6"/>
      <c r="E1388" s="6"/>
      <c r="F1388" s="6"/>
      <c r="G1388" s="6"/>
      <c r="H1388" s="6"/>
      <c r="I1388" s="6"/>
      <c r="J1388" s="6"/>
      <c r="K1388" s="6"/>
      <c r="L1388" s="80"/>
      <c r="M1388" s="80"/>
      <c r="N1388" s="80"/>
      <c r="O1388" s="80"/>
      <c r="P1388" s="6"/>
      <c r="Q1388" s="6"/>
      <c r="R1388" s="6"/>
      <c r="S1388" s="6"/>
      <c r="T1388" s="6"/>
      <c r="U1388" s="6"/>
      <c r="V1388" s="6"/>
      <c r="W1388" s="7"/>
      <c r="X1388" s="7"/>
      <c r="Y1388" s="7"/>
      <c r="Z1388" s="7"/>
    </row>
    <row r="1389">
      <c r="A1389" s="6"/>
      <c r="B1389" s="6"/>
      <c r="C1389" s="6"/>
      <c r="D1389" s="6"/>
      <c r="E1389" s="6"/>
      <c r="F1389" s="6"/>
      <c r="G1389" s="6"/>
      <c r="H1389" s="6"/>
      <c r="I1389" s="6"/>
      <c r="J1389" s="6"/>
      <c r="K1389" s="6"/>
      <c r="L1389" s="80"/>
      <c r="M1389" s="80"/>
      <c r="N1389" s="80"/>
      <c r="O1389" s="80"/>
      <c r="P1389" s="6"/>
      <c r="Q1389" s="6"/>
      <c r="R1389" s="6"/>
      <c r="S1389" s="6"/>
      <c r="T1389" s="6"/>
      <c r="U1389" s="6"/>
      <c r="V1389" s="6"/>
      <c r="W1389" s="7"/>
      <c r="X1389" s="7"/>
      <c r="Y1389" s="7"/>
      <c r="Z1389" s="7"/>
    </row>
    <row r="1390">
      <c r="A1390" s="6"/>
      <c r="B1390" s="6"/>
      <c r="C1390" s="6"/>
      <c r="D1390" s="6"/>
      <c r="E1390" s="6"/>
      <c r="F1390" s="6"/>
      <c r="G1390" s="6"/>
      <c r="H1390" s="6"/>
      <c r="I1390" s="6"/>
      <c r="J1390" s="6"/>
      <c r="K1390" s="6"/>
      <c r="L1390" s="80"/>
      <c r="M1390" s="80"/>
      <c r="N1390" s="80"/>
      <c r="O1390" s="80"/>
      <c r="P1390" s="6"/>
      <c r="Q1390" s="6"/>
      <c r="R1390" s="6"/>
      <c r="S1390" s="6"/>
      <c r="T1390" s="6"/>
      <c r="U1390" s="6"/>
      <c r="V1390" s="6"/>
      <c r="W1390" s="7"/>
      <c r="X1390" s="7"/>
      <c r="Y1390" s="7"/>
      <c r="Z1390" s="7"/>
    </row>
    <row r="1391">
      <c r="A1391" s="6"/>
      <c r="B1391" s="6"/>
      <c r="C1391" s="6"/>
      <c r="D1391" s="6"/>
      <c r="E1391" s="6"/>
      <c r="F1391" s="6"/>
      <c r="G1391" s="6"/>
      <c r="H1391" s="6"/>
      <c r="I1391" s="6"/>
      <c r="J1391" s="6"/>
      <c r="K1391" s="6"/>
      <c r="L1391" s="80"/>
      <c r="M1391" s="80"/>
      <c r="N1391" s="80"/>
      <c r="O1391" s="80"/>
      <c r="P1391" s="6"/>
      <c r="Q1391" s="6"/>
      <c r="R1391" s="6"/>
      <c r="S1391" s="6"/>
      <c r="T1391" s="6"/>
      <c r="U1391" s="6"/>
      <c r="V1391" s="6"/>
      <c r="W1391" s="7"/>
      <c r="X1391" s="7"/>
      <c r="Y1391" s="7"/>
      <c r="Z1391" s="7"/>
    </row>
    <row r="1392">
      <c r="A1392" s="6"/>
      <c r="B1392" s="6"/>
      <c r="C1392" s="6"/>
      <c r="D1392" s="6"/>
      <c r="E1392" s="6"/>
      <c r="F1392" s="6"/>
      <c r="G1392" s="6"/>
      <c r="H1392" s="6"/>
      <c r="I1392" s="6"/>
      <c r="J1392" s="6"/>
      <c r="K1392" s="6"/>
      <c r="L1392" s="80"/>
      <c r="M1392" s="80"/>
      <c r="N1392" s="80"/>
      <c r="O1392" s="80"/>
      <c r="P1392" s="6"/>
      <c r="Q1392" s="6"/>
      <c r="R1392" s="6"/>
      <c r="S1392" s="6"/>
      <c r="T1392" s="6"/>
      <c r="U1392" s="6"/>
      <c r="V1392" s="6"/>
      <c r="W1392" s="7"/>
      <c r="X1392" s="7"/>
      <c r="Y1392" s="7"/>
      <c r="Z1392" s="7"/>
    </row>
    <row r="1393">
      <c r="A1393" s="6"/>
      <c r="B1393" s="6"/>
      <c r="C1393" s="6"/>
      <c r="D1393" s="6"/>
      <c r="E1393" s="6"/>
      <c r="F1393" s="6"/>
      <c r="G1393" s="6"/>
      <c r="H1393" s="6"/>
      <c r="I1393" s="6"/>
      <c r="J1393" s="6"/>
      <c r="K1393" s="6"/>
      <c r="L1393" s="80"/>
      <c r="M1393" s="80"/>
      <c r="N1393" s="80"/>
      <c r="O1393" s="80"/>
      <c r="P1393" s="6"/>
      <c r="Q1393" s="6"/>
      <c r="R1393" s="6"/>
      <c r="S1393" s="6"/>
      <c r="T1393" s="6"/>
      <c r="U1393" s="6"/>
      <c r="V1393" s="6"/>
      <c r="W1393" s="7"/>
      <c r="X1393" s="7"/>
      <c r="Y1393" s="7"/>
      <c r="Z1393" s="7"/>
    </row>
    <row r="1394">
      <c r="A1394" s="6"/>
      <c r="B1394" s="6"/>
      <c r="C1394" s="6"/>
      <c r="D1394" s="6"/>
      <c r="E1394" s="6"/>
      <c r="F1394" s="6"/>
      <c r="G1394" s="6"/>
      <c r="H1394" s="6"/>
      <c r="I1394" s="6"/>
      <c r="J1394" s="6"/>
      <c r="K1394" s="6"/>
      <c r="L1394" s="80"/>
      <c r="M1394" s="80"/>
      <c r="N1394" s="80"/>
      <c r="O1394" s="80"/>
      <c r="P1394" s="6"/>
      <c r="Q1394" s="6"/>
      <c r="R1394" s="6"/>
      <c r="S1394" s="6"/>
      <c r="T1394" s="6"/>
      <c r="U1394" s="6"/>
      <c r="V1394" s="6"/>
      <c r="W1394" s="7"/>
      <c r="X1394" s="7"/>
      <c r="Y1394" s="7"/>
      <c r="Z1394" s="7"/>
    </row>
    <row r="1395">
      <c r="A1395" s="6"/>
      <c r="B1395" s="6"/>
      <c r="C1395" s="6"/>
      <c r="D1395" s="6"/>
      <c r="E1395" s="6"/>
      <c r="F1395" s="6"/>
      <c r="G1395" s="6"/>
      <c r="H1395" s="6"/>
      <c r="I1395" s="6"/>
      <c r="J1395" s="6"/>
      <c r="K1395" s="6"/>
      <c r="L1395" s="80"/>
      <c r="M1395" s="80"/>
      <c r="N1395" s="80"/>
      <c r="O1395" s="80"/>
      <c r="P1395" s="6"/>
      <c r="Q1395" s="6"/>
      <c r="R1395" s="6"/>
      <c r="S1395" s="6"/>
      <c r="T1395" s="6"/>
      <c r="U1395" s="6"/>
      <c r="V1395" s="6"/>
      <c r="W1395" s="7"/>
      <c r="X1395" s="7"/>
      <c r="Y1395" s="7"/>
      <c r="Z1395" s="7"/>
    </row>
    <row r="1396">
      <c r="A1396" s="6"/>
      <c r="B1396" s="6"/>
      <c r="C1396" s="6"/>
      <c r="D1396" s="6"/>
      <c r="E1396" s="6"/>
      <c r="F1396" s="6"/>
      <c r="G1396" s="6"/>
      <c r="H1396" s="6"/>
      <c r="I1396" s="6"/>
      <c r="J1396" s="6"/>
      <c r="K1396" s="6"/>
      <c r="L1396" s="80"/>
      <c r="M1396" s="80"/>
      <c r="N1396" s="80"/>
      <c r="O1396" s="80"/>
      <c r="P1396" s="6"/>
      <c r="Q1396" s="6"/>
      <c r="R1396" s="6"/>
      <c r="S1396" s="6"/>
      <c r="T1396" s="6"/>
      <c r="U1396" s="6"/>
      <c r="V1396" s="6"/>
      <c r="W1396" s="7"/>
      <c r="X1396" s="7"/>
      <c r="Y1396" s="7"/>
      <c r="Z1396" s="7"/>
    </row>
    <row r="1397">
      <c r="A1397" s="6"/>
      <c r="B1397" s="6"/>
      <c r="C1397" s="6"/>
      <c r="D1397" s="6"/>
      <c r="E1397" s="6"/>
      <c r="F1397" s="6"/>
      <c r="G1397" s="6"/>
      <c r="H1397" s="6"/>
      <c r="I1397" s="6"/>
      <c r="J1397" s="6"/>
      <c r="K1397" s="6"/>
      <c r="L1397" s="80"/>
      <c r="M1397" s="80"/>
      <c r="N1397" s="80"/>
      <c r="O1397" s="80"/>
      <c r="P1397" s="6"/>
      <c r="Q1397" s="6"/>
      <c r="R1397" s="6"/>
      <c r="S1397" s="6"/>
      <c r="T1397" s="6"/>
      <c r="U1397" s="6"/>
      <c r="V1397" s="6"/>
      <c r="W1397" s="7"/>
      <c r="X1397" s="7"/>
      <c r="Y1397" s="7"/>
      <c r="Z1397" s="7"/>
    </row>
    <row r="1398">
      <c r="A1398" s="6"/>
      <c r="B1398" s="6"/>
      <c r="C1398" s="6"/>
      <c r="D1398" s="6"/>
      <c r="E1398" s="6"/>
      <c r="F1398" s="6"/>
      <c r="G1398" s="6"/>
      <c r="H1398" s="6"/>
      <c r="I1398" s="6"/>
      <c r="J1398" s="6"/>
      <c r="K1398" s="6"/>
      <c r="L1398" s="80"/>
      <c r="M1398" s="80"/>
      <c r="N1398" s="80"/>
      <c r="O1398" s="80"/>
      <c r="P1398" s="6"/>
      <c r="Q1398" s="6"/>
      <c r="R1398" s="6"/>
      <c r="S1398" s="6"/>
      <c r="T1398" s="6"/>
      <c r="U1398" s="6"/>
      <c r="V1398" s="6"/>
      <c r="W1398" s="7"/>
      <c r="X1398" s="7"/>
      <c r="Y1398" s="7"/>
      <c r="Z1398" s="7"/>
    </row>
    <row r="1399">
      <c r="A1399" s="6"/>
      <c r="B1399" s="6"/>
      <c r="C1399" s="6"/>
      <c r="D1399" s="6"/>
      <c r="E1399" s="6"/>
      <c r="F1399" s="6"/>
      <c r="G1399" s="6"/>
      <c r="H1399" s="6"/>
      <c r="I1399" s="6"/>
      <c r="J1399" s="6"/>
      <c r="K1399" s="6"/>
      <c r="L1399" s="80"/>
      <c r="M1399" s="80"/>
      <c r="N1399" s="80"/>
      <c r="O1399" s="80"/>
      <c r="P1399" s="6"/>
      <c r="Q1399" s="6"/>
      <c r="R1399" s="6"/>
      <c r="S1399" s="6"/>
      <c r="T1399" s="6"/>
      <c r="U1399" s="6"/>
      <c r="V1399" s="6"/>
      <c r="W1399" s="7"/>
      <c r="X1399" s="7"/>
      <c r="Y1399" s="7"/>
      <c r="Z1399" s="7"/>
    </row>
    <row r="1400">
      <c r="A1400" s="6"/>
      <c r="B1400" s="6"/>
      <c r="C1400" s="6"/>
      <c r="D1400" s="6"/>
      <c r="E1400" s="6"/>
      <c r="F1400" s="6"/>
      <c r="G1400" s="6"/>
      <c r="H1400" s="6"/>
      <c r="I1400" s="6"/>
      <c r="J1400" s="6"/>
      <c r="K1400" s="6"/>
      <c r="L1400" s="80"/>
      <c r="M1400" s="80"/>
      <c r="N1400" s="80"/>
      <c r="O1400" s="80"/>
      <c r="P1400" s="6"/>
      <c r="Q1400" s="6"/>
      <c r="R1400" s="6"/>
      <c r="S1400" s="6"/>
      <c r="T1400" s="6"/>
      <c r="U1400" s="6"/>
      <c r="V1400" s="6"/>
      <c r="W1400" s="7"/>
      <c r="X1400" s="7"/>
      <c r="Y1400" s="7"/>
      <c r="Z1400" s="7"/>
    </row>
  </sheetData>
  <mergeCells count="26">
    <mergeCell ref="G3:I3"/>
    <mergeCell ref="G4:I4"/>
    <mergeCell ref="C4:E4"/>
    <mergeCell ref="C5:F5"/>
    <mergeCell ref="G5:I5"/>
    <mergeCell ref="J5:L5"/>
    <mergeCell ref="C3:F3"/>
    <mergeCell ref="C7:F7"/>
    <mergeCell ref="G7:I7"/>
    <mergeCell ref="J7:L7"/>
    <mergeCell ref="C8:E8"/>
    <mergeCell ref="G8:I8"/>
    <mergeCell ref="J8:L8"/>
    <mergeCell ref="C9:F9"/>
    <mergeCell ref="G9:I9"/>
    <mergeCell ref="J9:L9"/>
    <mergeCell ref="D10:K10"/>
    <mergeCell ref="L10:R10"/>
    <mergeCell ref="S10:T10"/>
    <mergeCell ref="A1:B1"/>
    <mergeCell ref="A2:T2"/>
    <mergeCell ref="A3:B9"/>
    <mergeCell ref="J3:L3"/>
    <mergeCell ref="M3:M9"/>
    <mergeCell ref="J4:L4"/>
    <mergeCell ref="J6:L6"/>
  </mergeCells>
  <dataValidations>
    <dataValidation type="list" allowBlank="1" sqref="A2 A19 A27 A35 A43 A51 A59 A67 A75 A83 A91 A99 A107 A115 A123 A131 A139 A147 A155 A163 A171 A179 A187 A195 A203 A211 A219 A227 A235 A243 A251 A259 A267 A275 A283 A291 A299 A307 A315 A323 A331 A339 A347 A355 A363 A371 A379 A387 A395 A403 A411 A419 A427 A435 A443 A451">
      <formula1>"Previous Week,Current Week"</formula1>
    </dataValidation>
  </dataValidations>
  <hyperlinks>
    <hyperlink r:id="rId1" location="/report?id=102%3ADetailSalesTrafficByTime&amp;chartCols=17&amp;columns=0%2F1%2F2%2F3%2F4%2F5%2F6%2F17%2F18%2F23%2F24%2F25%2F26%2F29%2F30%2F31%2F32&amp;fromDate=2025-06-29&amp;toDate=2025-07-05"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1" max="1" width="19.0"/>
  </cols>
  <sheetData>
    <row r="1">
      <c r="A1" s="3" t="s">
        <v>5</v>
      </c>
      <c r="B1" s="4"/>
      <c r="C1" s="5"/>
      <c r="D1" s="5"/>
      <c r="E1" s="5"/>
      <c r="F1" s="5"/>
      <c r="G1" s="5"/>
      <c r="H1" s="5"/>
      <c r="I1" s="5"/>
      <c r="J1" s="5"/>
      <c r="K1" s="5"/>
      <c r="L1" s="5"/>
      <c r="M1" s="5"/>
      <c r="N1" s="5"/>
      <c r="O1" s="5"/>
      <c r="P1" s="5"/>
      <c r="Q1" s="5"/>
      <c r="R1" s="5"/>
      <c r="S1" s="5"/>
      <c r="T1" s="5"/>
      <c r="U1" s="6"/>
      <c r="V1" s="6"/>
      <c r="W1" s="7"/>
      <c r="X1" s="7"/>
      <c r="Y1" s="7"/>
      <c r="Z1" s="7"/>
    </row>
    <row r="2">
      <c r="A2" s="8" t="s">
        <v>6</v>
      </c>
      <c r="B2" s="9"/>
      <c r="C2" s="9"/>
      <c r="D2" s="9"/>
      <c r="E2" s="9"/>
      <c r="F2" s="9"/>
      <c r="G2" s="9"/>
      <c r="H2" s="9"/>
      <c r="I2" s="9"/>
      <c r="J2" s="9"/>
      <c r="K2" s="9"/>
      <c r="L2" s="9"/>
      <c r="M2" s="9"/>
      <c r="N2" s="9"/>
      <c r="O2" s="9"/>
      <c r="P2" s="9"/>
      <c r="Q2" s="9"/>
      <c r="R2" s="9"/>
      <c r="S2" s="9"/>
      <c r="T2" s="10"/>
      <c r="U2" s="6"/>
      <c r="V2" s="6"/>
      <c r="W2" s="7"/>
      <c r="X2" s="7"/>
      <c r="Y2" s="7"/>
      <c r="Z2" s="7"/>
    </row>
    <row r="3">
      <c r="A3" s="6"/>
      <c r="C3" s="11" t="s">
        <v>7</v>
      </c>
      <c r="D3" s="9"/>
      <c r="E3" s="9"/>
      <c r="F3" s="10"/>
      <c r="G3" s="11" t="s">
        <v>8</v>
      </c>
      <c r="H3" s="9"/>
      <c r="I3" s="10"/>
      <c r="J3" s="11" t="s">
        <v>9</v>
      </c>
      <c r="K3" s="9"/>
      <c r="L3" s="9"/>
      <c r="M3" s="6"/>
      <c r="N3" s="12"/>
      <c r="O3" s="12"/>
      <c r="P3" s="12"/>
      <c r="Q3" s="12"/>
      <c r="R3" s="12"/>
      <c r="S3" s="12"/>
      <c r="T3" s="12"/>
      <c r="U3" s="6"/>
      <c r="V3" s="6"/>
      <c r="W3" s="7"/>
      <c r="X3" s="7"/>
      <c r="Y3" s="7"/>
      <c r="Z3" s="7"/>
    </row>
    <row r="4">
      <c r="C4" s="13">
        <f>VLOOKUP("Current Week",$A$11:$T$714,match("SALES",$A$11:$T$11,0),FALSE)</f>
        <v>9552</v>
      </c>
      <c r="D4" s="9"/>
      <c r="E4" s="10"/>
      <c r="F4" s="12"/>
      <c r="G4" s="14">
        <f>VLOOKUP("Current Week",$A$11:$T$714,match("ORDERS",$A$11:$T$11,0),FALSE)</f>
        <v>266</v>
      </c>
      <c r="H4" s="9"/>
      <c r="I4" s="10"/>
      <c r="J4" s="14">
        <f>VLOOKUP("Current Week",$A$11:$T$714,match("UNITS SOLD",$A$11:$T$11,0),FALSE)</f>
        <v>267</v>
      </c>
      <c r="K4" s="9"/>
      <c r="L4" s="9"/>
      <c r="N4" s="12"/>
      <c r="O4" s="12"/>
      <c r="P4" s="12"/>
      <c r="Q4" s="12"/>
      <c r="R4" s="12"/>
      <c r="S4" s="12"/>
      <c r="T4" s="12"/>
      <c r="U4" s="6"/>
      <c r="V4" s="6"/>
      <c r="W4" s="7"/>
      <c r="X4" s="7"/>
      <c r="Y4" s="7"/>
      <c r="Z4" s="7"/>
    </row>
    <row r="5">
      <c r="C5" s="15">
        <f>(C4-(VLOOKUP("Previous Week",$A$11:$T714,match("SALES",$A$11:$T$11,0),FALSE)))/C4</f>
        <v>-0.3893425461</v>
      </c>
      <c r="D5" s="9"/>
      <c r="E5" s="9"/>
      <c r="F5" s="10"/>
      <c r="G5" s="15">
        <f>(G4-(VLOOKUP("Previous Week",$A$11:$T714,match("ORDERS",$A$11:$T$11,0),FALSE)))/G4</f>
        <v>-0.3533834586</v>
      </c>
      <c r="H5" s="9"/>
      <c r="I5" s="10"/>
      <c r="J5" s="15">
        <f>(J4-(VLOOKUP("Previous Week",$A$11:$T714,match("UNITS SOLD",$A$11:$T$11,0),FALSE)))/J4</f>
        <v>-0.3520599251</v>
      </c>
      <c r="K5" s="9"/>
      <c r="L5" s="9"/>
      <c r="N5" s="12"/>
      <c r="O5" s="12"/>
      <c r="P5" s="12"/>
      <c r="Q5" s="12"/>
      <c r="R5" s="12"/>
      <c r="S5" s="12"/>
      <c r="T5" s="12"/>
      <c r="U5" s="6"/>
      <c r="V5" s="6"/>
      <c r="W5" s="7"/>
      <c r="X5" s="7"/>
      <c r="Y5" s="7"/>
      <c r="Z5" s="7"/>
    </row>
    <row r="6">
      <c r="C6" s="12"/>
      <c r="D6" s="12"/>
      <c r="E6" s="12"/>
      <c r="F6" s="12"/>
      <c r="G6" s="12"/>
      <c r="H6" s="12"/>
      <c r="I6" s="12"/>
      <c r="J6" s="16"/>
      <c r="K6" s="9"/>
      <c r="L6" s="10"/>
      <c r="N6" s="12"/>
      <c r="O6" s="12"/>
      <c r="P6" s="12"/>
      <c r="Q6" s="12"/>
      <c r="R6" s="12"/>
      <c r="S6" s="12"/>
      <c r="T6" s="12"/>
      <c r="U6" s="6"/>
      <c r="V6" s="6"/>
      <c r="W6" s="7"/>
      <c r="X6" s="7"/>
      <c r="Y6" s="7"/>
      <c r="Z6" s="7"/>
    </row>
    <row r="7">
      <c r="C7" s="11" t="s">
        <v>10</v>
      </c>
      <c r="D7" s="9"/>
      <c r="E7" s="9"/>
      <c r="F7" s="10"/>
      <c r="G7" s="11" t="s">
        <v>11</v>
      </c>
      <c r="H7" s="9"/>
      <c r="I7" s="10"/>
      <c r="J7" s="11" t="s">
        <v>12</v>
      </c>
      <c r="K7" s="9"/>
      <c r="L7" s="9"/>
      <c r="N7" s="12"/>
      <c r="O7" s="12"/>
      <c r="P7" s="12"/>
      <c r="Q7" s="12"/>
      <c r="R7" s="12"/>
      <c r="S7" s="12"/>
      <c r="T7" s="12"/>
      <c r="U7" s="6"/>
      <c r="V7" s="6"/>
      <c r="W7" s="7"/>
      <c r="X7" s="7"/>
      <c r="Y7" s="7"/>
      <c r="Z7" s="7"/>
    </row>
    <row r="8">
      <c r="C8" s="13">
        <f>VLOOKUP("Current Week",$A$11:$T$714,match("AD SALES",$A$11:$T$11,0),FALSE)</f>
        <v>7013.94</v>
      </c>
      <c r="D8" s="9"/>
      <c r="E8" s="10"/>
      <c r="F8" s="12"/>
      <c r="G8" s="13">
        <f>VLOOKUP("Current Week",$A$11:$T$714,match("SP AD SPEND",$A$11:$T$11,0),FALSE)</f>
        <v>1218.58</v>
      </c>
      <c r="H8" s="9"/>
      <c r="I8" s="10"/>
      <c r="J8" s="17" t="str">
        <f>I8/E8</f>
        <v>#DIV/0!</v>
      </c>
      <c r="K8" s="9"/>
      <c r="L8" s="9"/>
      <c r="N8" s="12"/>
      <c r="O8" s="12"/>
      <c r="P8" s="12"/>
      <c r="Q8" s="12"/>
      <c r="R8" s="12"/>
      <c r="S8" s="12"/>
      <c r="T8" s="12"/>
      <c r="U8" s="6"/>
      <c r="V8" s="6"/>
      <c r="W8" s="7"/>
      <c r="X8" s="7"/>
      <c r="Y8" s="7"/>
      <c r="Z8" s="7"/>
    </row>
    <row r="9">
      <c r="A9" s="18"/>
      <c r="B9" s="18"/>
      <c r="C9" s="19">
        <f>(C8-(VLOOKUP("Previous Week",$A$11:$T714,match("AD SALES",$A$11:$T$11,0),FALSE)))/C8</f>
        <v>-0.1921886985</v>
      </c>
      <c r="D9" s="18"/>
      <c r="E9" s="18"/>
      <c r="F9" s="20"/>
      <c r="G9" s="21">
        <f>(G8-(VLOOKUP("Previous Week",$A$11:$T714,match("SP AD SPEND",$A$11:$T$11,0),FALSE)))/G8</f>
        <v>-0.3380327923</v>
      </c>
      <c r="H9" s="18"/>
      <c r="I9" s="20"/>
      <c r="J9" s="22" t="str">
        <f>(J8-(VLOOKUP("Previous Week",$A$11:$T714,match("ACoS",$A$11:$T$11,0),FALSE)))/J8</f>
        <v>#DIV/0!</v>
      </c>
      <c r="K9" s="18"/>
      <c r="L9" s="18"/>
      <c r="M9" s="18"/>
      <c r="N9" s="23"/>
      <c r="O9" s="23"/>
      <c r="P9" s="23"/>
      <c r="Q9" s="23"/>
      <c r="R9" s="23"/>
      <c r="S9" s="23"/>
      <c r="T9" s="23"/>
      <c r="U9" s="6"/>
      <c r="V9" s="6"/>
      <c r="W9" s="7"/>
      <c r="X9" s="7"/>
      <c r="Y9" s="7"/>
      <c r="Z9" s="7"/>
    </row>
    <row r="10">
      <c r="A10" s="24"/>
      <c r="B10" s="25"/>
      <c r="C10" s="25"/>
      <c r="D10" s="14" t="s">
        <v>13</v>
      </c>
      <c r="E10" s="9"/>
      <c r="F10" s="9"/>
      <c r="G10" s="9"/>
      <c r="H10" s="9"/>
      <c r="I10" s="9"/>
      <c r="J10" s="9"/>
      <c r="K10" s="26"/>
      <c r="L10" s="27" t="s">
        <v>14</v>
      </c>
      <c r="M10" s="9"/>
      <c r="N10" s="9"/>
      <c r="O10" s="9"/>
      <c r="P10" s="9"/>
      <c r="Q10" s="9"/>
      <c r="R10" s="26"/>
      <c r="S10" s="14" t="s">
        <v>15</v>
      </c>
      <c r="T10" s="26"/>
      <c r="U10" s="6"/>
      <c r="V10" s="6"/>
      <c r="W10" s="7"/>
      <c r="X10" s="7"/>
      <c r="Y10" s="7"/>
      <c r="Z10" s="7"/>
    </row>
    <row r="11">
      <c r="A11" s="28" t="s">
        <v>16</v>
      </c>
      <c r="B11" s="29" t="s">
        <v>17</v>
      </c>
      <c r="C11" s="30"/>
      <c r="D11" s="31" t="s">
        <v>18</v>
      </c>
      <c r="E11" s="31" t="s">
        <v>19</v>
      </c>
      <c r="F11" s="31" t="s">
        <v>20</v>
      </c>
      <c r="G11" s="31" t="s">
        <v>21</v>
      </c>
      <c r="H11" s="31" t="s">
        <v>22</v>
      </c>
      <c r="I11" s="31" t="s">
        <v>23</v>
      </c>
      <c r="J11" s="31" t="s">
        <v>24</v>
      </c>
      <c r="K11" s="29" t="s">
        <v>25</v>
      </c>
      <c r="L11" s="31" t="s">
        <v>26</v>
      </c>
      <c r="M11" s="31" t="s">
        <v>27</v>
      </c>
      <c r="N11" s="31" t="s">
        <v>28</v>
      </c>
      <c r="O11" s="31" t="s">
        <v>29</v>
      </c>
      <c r="P11" s="31" t="s">
        <v>12</v>
      </c>
      <c r="Q11" s="31" t="s">
        <v>30</v>
      </c>
      <c r="R11" s="29" t="s">
        <v>31</v>
      </c>
      <c r="S11" s="32" t="s">
        <v>18</v>
      </c>
      <c r="T11" s="29" t="s">
        <v>32</v>
      </c>
      <c r="U11" s="6"/>
      <c r="V11" s="6"/>
      <c r="W11" s="7"/>
      <c r="X11" s="7"/>
      <c r="Y11" s="7"/>
      <c r="Z11" s="7"/>
    </row>
    <row r="12" hidden="1" outlineLevel="1">
      <c r="A12" s="44" t="str">
        <f t="shared" ref="A12:A18" si="1">iferror(if(B12&gt;0,month(B12)&amp;"-"&amp;year(B12),B12),)</f>
        <v>1-2024</v>
      </c>
      <c r="B12" s="101">
        <v>45298.0</v>
      </c>
      <c r="C12" s="45"/>
      <c r="D12" s="71">
        <v>1330.75</v>
      </c>
      <c r="E12" s="72">
        <v>36.0</v>
      </c>
      <c r="F12" s="72">
        <v>36.0</v>
      </c>
      <c r="G12" s="48">
        <f t="shared" ref="G12:G18" si="2">E12/F12</f>
        <v>1</v>
      </c>
      <c r="H12" s="46">
        <f t="shared" ref="H12:H18" si="3">D12/F12</f>
        <v>36.96527778</v>
      </c>
      <c r="I12" s="46">
        <f t="shared" ref="I12:I18" si="4">D12/E12</f>
        <v>36.96527778</v>
      </c>
      <c r="J12" s="73">
        <v>2652.0</v>
      </c>
      <c r="K12" s="50">
        <f t="shared" ref="K12:K18" si="5">E12/J12</f>
        <v>0.01357466063</v>
      </c>
      <c r="L12" s="71">
        <v>123.03</v>
      </c>
      <c r="M12" s="71">
        <v>760.57</v>
      </c>
      <c r="N12" s="72">
        <v>20.0</v>
      </c>
      <c r="O12" s="73">
        <v>171028.0</v>
      </c>
      <c r="P12" s="50">
        <f t="shared" ref="P12:P18" si="6">L12/M12</f>
        <v>0.1617602588</v>
      </c>
      <c r="Q12" s="51">
        <f t="shared" ref="Q12:Q18" si="7">M12/L12</f>
        <v>6.181988133</v>
      </c>
      <c r="R12" s="50">
        <f t="shared" ref="R12:R18" si="8">M12/D12</f>
        <v>0.5715348488</v>
      </c>
      <c r="S12" s="16"/>
      <c r="T12" s="25"/>
      <c r="U12" s="6"/>
      <c r="V12" s="6"/>
      <c r="W12" s="7"/>
      <c r="X12" s="7"/>
      <c r="Y12" s="7"/>
      <c r="Z12" s="7"/>
    </row>
    <row r="13" hidden="1" outlineLevel="1">
      <c r="A13" s="44" t="str">
        <f t="shared" si="1"/>
        <v>1-2024</v>
      </c>
      <c r="B13" s="101">
        <v>45299.0</v>
      </c>
      <c r="C13" s="45"/>
      <c r="D13" s="71">
        <v>970.35</v>
      </c>
      <c r="E13" s="72">
        <v>24.0</v>
      </c>
      <c r="F13" s="72">
        <v>24.0</v>
      </c>
      <c r="G13" s="48">
        <f t="shared" si="2"/>
        <v>1</v>
      </c>
      <c r="H13" s="46">
        <f t="shared" si="3"/>
        <v>40.43125</v>
      </c>
      <c r="I13" s="46">
        <f t="shared" si="4"/>
        <v>40.43125</v>
      </c>
      <c r="J13" s="73">
        <v>1980.0</v>
      </c>
      <c r="K13" s="50">
        <f t="shared" si="5"/>
        <v>0.01212121212</v>
      </c>
      <c r="L13" s="71">
        <v>102.57</v>
      </c>
      <c r="M13" s="71">
        <v>645.15</v>
      </c>
      <c r="N13" s="72">
        <v>18.0</v>
      </c>
      <c r="O13" s="73">
        <v>133204.0</v>
      </c>
      <c r="P13" s="50">
        <f t="shared" si="6"/>
        <v>0.1589862823</v>
      </c>
      <c r="Q13" s="51">
        <f t="shared" si="7"/>
        <v>6.289850834</v>
      </c>
      <c r="R13" s="50">
        <f t="shared" si="8"/>
        <v>0.6648631937</v>
      </c>
      <c r="S13" s="16"/>
      <c r="T13" s="25"/>
      <c r="U13" s="6"/>
      <c r="V13" s="6"/>
      <c r="W13" s="7"/>
      <c r="X13" s="7"/>
      <c r="Y13" s="7"/>
      <c r="Z13" s="7"/>
    </row>
    <row r="14" hidden="1" outlineLevel="1">
      <c r="A14" s="44" t="str">
        <f t="shared" si="1"/>
        <v>1-2024</v>
      </c>
      <c r="B14" s="101">
        <v>45300.0</v>
      </c>
      <c r="C14" s="45"/>
      <c r="D14" s="71">
        <v>610.9</v>
      </c>
      <c r="E14" s="72">
        <v>20.0</v>
      </c>
      <c r="F14" s="72">
        <v>20.0</v>
      </c>
      <c r="G14" s="48">
        <f t="shared" si="2"/>
        <v>1</v>
      </c>
      <c r="H14" s="46">
        <f t="shared" si="3"/>
        <v>30.545</v>
      </c>
      <c r="I14" s="46">
        <f t="shared" si="4"/>
        <v>30.545</v>
      </c>
      <c r="J14" s="73">
        <v>2448.0</v>
      </c>
      <c r="K14" s="50">
        <f t="shared" si="5"/>
        <v>0.008169934641</v>
      </c>
      <c r="L14" s="71">
        <v>97.09</v>
      </c>
      <c r="M14" s="71">
        <v>455.64</v>
      </c>
      <c r="N14" s="72">
        <v>13.0</v>
      </c>
      <c r="O14" s="73">
        <v>134324.0</v>
      </c>
      <c r="P14" s="50">
        <f t="shared" si="6"/>
        <v>0.2130848916</v>
      </c>
      <c r="Q14" s="51">
        <f t="shared" si="7"/>
        <v>4.69296529</v>
      </c>
      <c r="R14" s="50">
        <f t="shared" si="8"/>
        <v>0.7458503847</v>
      </c>
      <c r="S14" s="16"/>
      <c r="T14" s="25"/>
      <c r="U14" s="6"/>
      <c r="V14" s="6"/>
      <c r="W14" s="7"/>
      <c r="X14" s="7"/>
      <c r="Y14" s="7"/>
      <c r="Z14" s="7"/>
    </row>
    <row r="15" hidden="1" outlineLevel="1">
      <c r="A15" s="44" t="str">
        <f t="shared" si="1"/>
        <v>1-2024</v>
      </c>
      <c r="B15" s="101">
        <v>45301.0</v>
      </c>
      <c r="C15" s="45"/>
      <c r="D15" s="71">
        <v>1360.6</v>
      </c>
      <c r="E15" s="72">
        <v>30.0</v>
      </c>
      <c r="F15" s="72">
        <v>30.0</v>
      </c>
      <c r="G15" s="48">
        <f t="shared" si="2"/>
        <v>1</v>
      </c>
      <c r="H15" s="46">
        <f t="shared" si="3"/>
        <v>45.35333333</v>
      </c>
      <c r="I15" s="46">
        <f t="shared" si="4"/>
        <v>45.35333333</v>
      </c>
      <c r="J15" s="73">
        <v>1880.0</v>
      </c>
      <c r="K15" s="50">
        <f t="shared" si="5"/>
        <v>0.01595744681</v>
      </c>
      <c r="L15" s="71">
        <v>79.99</v>
      </c>
      <c r="M15" s="71">
        <v>800.85</v>
      </c>
      <c r="N15" s="72">
        <v>17.0</v>
      </c>
      <c r="O15" s="73">
        <v>107908.0</v>
      </c>
      <c r="P15" s="50">
        <f t="shared" si="6"/>
        <v>0.09988137604</v>
      </c>
      <c r="Q15" s="51">
        <f t="shared" si="7"/>
        <v>10.01187648</v>
      </c>
      <c r="R15" s="50">
        <f t="shared" si="8"/>
        <v>0.5886006174</v>
      </c>
      <c r="S15" s="16"/>
      <c r="T15" s="25"/>
      <c r="U15" s="6"/>
      <c r="V15" s="6"/>
      <c r="W15" s="7"/>
      <c r="X15" s="7"/>
      <c r="Y15" s="7"/>
      <c r="Z15" s="7"/>
    </row>
    <row r="16" hidden="1" outlineLevel="1">
      <c r="A16" s="44" t="str">
        <f t="shared" si="1"/>
        <v>1-2024</v>
      </c>
      <c r="B16" s="101">
        <v>45302.0</v>
      </c>
      <c r="C16" s="45"/>
      <c r="D16" s="71">
        <v>903.5</v>
      </c>
      <c r="E16" s="72">
        <v>23.0</v>
      </c>
      <c r="F16" s="72">
        <v>22.0</v>
      </c>
      <c r="G16" s="48">
        <f t="shared" si="2"/>
        <v>1.045454545</v>
      </c>
      <c r="H16" s="46">
        <f t="shared" si="3"/>
        <v>41.06818182</v>
      </c>
      <c r="I16" s="46">
        <f t="shared" si="4"/>
        <v>39.2826087</v>
      </c>
      <c r="J16" s="73">
        <v>1786.0</v>
      </c>
      <c r="K16" s="50">
        <f t="shared" si="5"/>
        <v>0.01287793953</v>
      </c>
      <c r="L16" s="71">
        <v>75.16</v>
      </c>
      <c r="M16" s="71">
        <v>404.9</v>
      </c>
      <c r="N16" s="72">
        <v>12.0</v>
      </c>
      <c r="O16" s="73">
        <v>99198.0</v>
      </c>
      <c r="P16" s="50">
        <f t="shared" si="6"/>
        <v>0.1856260805</v>
      </c>
      <c r="Q16" s="51">
        <f t="shared" si="7"/>
        <v>5.387174029</v>
      </c>
      <c r="R16" s="50">
        <f t="shared" si="8"/>
        <v>0.4481460985</v>
      </c>
      <c r="S16" s="16"/>
      <c r="T16" s="25"/>
      <c r="U16" s="6"/>
      <c r="V16" s="6"/>
      <c r="W16" s="7"/>
      <c r="X16" s="7"/>
      <c r="Y16" s="7"/>
      <c r="Z16" s="7"/>
    </row>
    <row r="17" hidden="1" outlineLevel="1">
      <c r="A17" s="44" t="str">
        <f t="shared" si="1"/>
        <v>1-2024</v>
      </c>
      <c r="B17" s="101">
        <v>45303.0</v>
      </c>
      <c r="C17" s="45"/>
      <c r="D17" s="71">
        <v>1493.0</v>
      </c>
      <c r="E17" s="72">
        <v>38.0</v>
      </c>
      <c r="F17" s="72">
        <v>38.0</v>
      </c>
      <c r="G17" s="48">
        <f t="shared" si="2"/>
        <v>1</v>
      </c>
      <c r="H17" s="46">
        <f t="shared" si="3"/>
        <v>39.28947368</v>
      </c>
      <c r="I17" s="46">
        <f t="shared" si="4"/>
        <v>39.28947368</v>
      </c>
      <c r="J17" s="73">
        <v>1842.0</v>
      </c>
      <c r="K17" s="50">
        <f t="shared" si="5"/>
        <v>0.02062975027</v>
      </c>
      <c r="L17" s="71">
        <v>74.04</v>
      </c>
      <c r="M17" s="71">
        <v>650.0</v>
      </c>
      <c r="N17" s="72">
        <v>16.0</v>
      </c>
      <c r="O17" s="73">
        <v>90801.0</v>
      </c>
      <c r="P17" s="50">
        <f t="shared" si="6"/>
        <v>0.1139076923</v>
      </c>
      <c r="Q17" s="51">
        <f t="shared" si="7"/>
        <v>8.779038358</v>
      </c>
      <c r="R17" s="50">
        <f t="shared" si="8"/>
        <v>0.4353650368</v>
      </c>
      <c r="S17" s="16"/>
      <c r="T17" s="25"/>
      <c r="U17" s="6"/>
      <c r="V17" s="6"/>
      <c r="W17" s="7"/>
      <c r="X17" s="7"/>
      <c r="Y17" s="7"/>
      <c r="Z17" s="7"/>
    </row>
    <row r="18" hidden="1" outlineLevel="1">
      <c r="A18" s="44" t="str">
        <f t="shared" si="1"/>
        <v>1-2024</v>
      </c>
      <c r="B18" s="101">
        <v>45304.0</v>
      </c>
      <c r="C18" s="45"/>
      <c r="D18" s="71">
        <v>1226.85</v>
      </c>
      <c r="E18" s="72">
        <v>34.0</v>
      </c>
      <c r="F18" s="72">
        <v>34.0</v>
      </c>
      <c r="G18" s="48">
        <f t="shared" si="2"/>
        <v>1</v>
      </c>
      <c r="H18" s="46">
        <f t="shared" si="3"/>
        <v>36.08382353</v>
      </c>
      <c r="I18" s="46">
        <f t="shared" si="4"/>
        <v>36.08382353</v>
      </c>
      <c r="J18" s="73">
        <v>2818.0</v>
      </c>
      <c r="K18" s="50">
        <f t="shared" si="5"/>
        <v>0.01206529454</v>
      </c>
      <c r="L18" s="71">
        <v>77.08</v>
      </c>
      <c r="M18" s="71">
        <v>943.92</v>
      </c>
      <c r="N18" s="72">
        <v>27.0</v>
      </c>
      <c r="O18" s="73">
        <v>121579.0</v>
      </c>
      <c r="P18" s="50">
        <f t="shared" si="6"/>
        <v>0.08165946267</v>
      </c>
      <c r="Q18" s="51">
        <f t="shared" si="7"/>
        <v>12.2459782</v>
      </c>
      <c r="R18" s="50">
        <f t="shared" si="8"/>
        <v>0.7693850104</v>
      </c>
      <c r="S18" s="16"/>
      <c r="T18" s="25"/>
      <c r="U18" s="6"/>
      <c r="V18" s="6"/>
      <c r="W18" s="7"/>
      <c r="X18" s="7"/>
      <c r="Y18" s="7"/>
      <c r="Z18" s="7"/>
    </row>
    <row r="19" collapsed="1">
      <c r="A19" s="74" t="s">
        <v>98</v>
      </c>
      <c r="B19" s="74" t="s">
        <v>98</v>
      </c>
      <c r="C19" s="74" t="s">
        <v>98</v>
      </c>
      <c r="D19" s="74" t="s">
        <v>98</v>
      </c>
      <c r="E19" s="74" t="s">
        <v>98</v>
      </c>
      <c r="F19" s="74" t="s">
        <v>98</v>
      </c>
      <c r="G19" s="74" t="s">
        <v>98</v>
      </c>
      <c r="H19" s="74" t="s">
        <v>98</v>
      </c>
      <c r="I19" s="74" t="s">
        <v>98</v>
      </c>
      <c r="J19" s="74" t="s">
        <v>98</v>
      </c>
      <c r="K19" s="74" t="s">
        <v>98</v>
      </c>
      <c r="L19" s="74" t="s">
        <v>98</v>
      </c>
      <c r="M19" s="74" t="s">
        <v>98</v>
      </c>
      <c r="N19" s="74" t="s">
        <v>98</v>
      </c>
      <c r="O19" s="74" t="s">
        <v>98</v>
      </c>
      <c r="P19" s="74" t="s">
        <v>98</v>
      </c>
      <c r="Q19" s="74" t="s">
        <v>98</v>
      </c>
      <c r="R19" s="74" t="s">
        <v>98</v>
      </c>
      <c r="S19" s="74" t="s">
        <v>98</v>
      </c>
      <c r="T19" s="74" t="s">
        <v>98</v>
      </c>
      <c r="U19" s="74" t="s">
        <v>98</v>
      </c>
      <c r="V19" s="74" t="s">
        <v>98</v>
      </c>
      <c r="W19" s="74" t="s">
        <v>98</v>
      </c>
      <c r="X19" s="74" t="s">
        <v>98</v>
      </c>
      <c r="Y19" s="74" t="s">
        <v>98</v>
      </c>
      <c r="Z19" s="74" t="s">
        <v>98</v>
      </c>
    </row>
    <row r="20" hidden="1" outlineLevel="1">
      <c r="A20" s="44" t="str">
        <f t="shared" ref="A20:A26" si="9">iferror(if(B20&gt;0,month(B20)&amp;"-"&amp;year(B20),B20),)</f>
        <v>1-2024</v>
      </c>
      <c r="B20" s="101">
        <v>45305.0</v>
      </c>
      <c r="C20" s="45"/>
      <c r="D20" s="71">
        <v>1145.85</v>
      </c>
      <c r="E20" s="72">
        <v>25.0</v>
      </c>
      <c r="F20" s="72">
        <v>25.0</v>
      </c>
      <c r="G20" s="48">
        <f t="shared" ref="G20:G427" si="10">E20/F20</f>
        <v>1</v>
      </c>
      <c r="H20" s="46">
        <f t="shared" ref="H20:H26" si="11">D20/F20</f>
        <v>45.834</v>
      </c>
      <c r="I20" s="46">
        <f t="shared" ref="I20:I26" si="12">D20/E20</f>
        <v>45.834</v>
      </c>
      <c r="J20" s="73">
        <v>2516.0</v>
      </c>
      <c r="K20" s="50">
        <f t="shared" ref="K20:K427" si="13">E20/J20</f>
        <v>0.009936406995</v>
      </c>
      <c r="L20" s="71">
        <v>111.82</v>
      </c>
      <c r="M20" s="71">
        <v>575.9</v>
      </c>
      <c r="N20" s="72">
        <v>10.0</v>
      </c>
      <c r="O20" s="73">
        <v>142150.0</v>
      </c>
      <c r="P20" s="50">
        <f t="shared" ref="P20:P427" si="14">L20/M20</f>
        <v>0.1941656538</v>
      </c>
      <c r="Q20" s="51">
        <f t="shared" ref="Q20:Q427" si="15">M20/L20</f>
        <v>5.150241459</v>
      </c>
      <c r="R20" s="50">
        <f t="shared" ref="R20:R427" si="16">M20/D20</f>
        <v>0.5025963259</v>
      </c>
      <c r="S20" s="16"/>
      <c r="T20" s="25"/>
      <c r="U20" s="6"/>
      <c r="V20" s="6"/>
      <c r="W20" s="7"/>
      <c r="X20" s="7"/>
      <c r="Y20" s="7"/>
      <c r="Z20" s="7"/>
    </row>
    <row r="21" hidden="1" outlineLevel="1">
      <c r="A21" s="44" t="str">
        <f t="shared" si="9"/>
        <v>1-2024</v>
      </c>
      <c r="B21" s="101">
        <v>45306.0</v>
      </c>
      <c r="C21" s="45"/>
      <c r="D21" s="71">
        <v>1100.35</v>
      </c>
      <c r="E21" s="72">
        <v>30.0</v>
      </c>
      <c r="F21" s="72">
        <v>30.0</v>
      </c>
      <c r="G21" s="48">
        <f t="shared" si="10"/>
        <v>1</v>
      </c>
      <c r="H21" s="46">
        <f t="shared" si="11"/>
        <v>36.67833333</v>
      </c>
      <c r="I21" s="46">
        <f t="shared" si="12"/>
        <v>36.67833333</v>
      </c>
      <c r="J21" s="73">
        <v>2360.0</v>
      </c>
      <c r="K21" s="50">
        <f t="shared" si="13"/>
        <v>0.01271186441</v>
      </c>
      <c r="L21" s="71">
        <v>103.49</v>
      </c>
      <c r="M21" s="71">
        <v>721.97</v>
      </c>
      <c r="N21" s="72">
        <v>20.0</v>
      </c>
      <c r="O21" s="73">
        <v>133589.0</v>
      </c>
      <c r="P21" s="50">
        <f t="shared" si="14"/>
        <v>0.1433439063</v>
      </c>
      <c r="Q21" s="51">
        <f t="shared" si="15"/>
        <v>6.976229587</v>
      </c>
      <c r="R21" s="50">
        <f t="shared" si="16"/>
        <v>0.6561275958</v>
      </c>
      <c r="S21" s="16"/>
      <c r="T21" s="25"/>
      <c r="U21" s="6"/>
      <c r="V21" s="6"/>
      <c r="W21" s="7"/>
      <c r="X21" s="7"/>
      <c r="Y21" s="7"/>
      <c r="Z21" s="7"/>
    </row>
    <row r="22" hidden="1" outlineLevel="1">
      <c r="A22" s="44" t="str">
        <f t="shared" si="9"/>
        <v>1-2024</v>
      </c>
      <c r="B22" s="101">
        <v>45307.0</v>
      </c>
      <c r="C22" s="45"/>
      <c r="D22" s="71">
        <v>974.45</v>
      </c>
      <c r="E22" s="72">
        <v>22.0</v>
      </c>
      <c r="F22" s="72">
        <v>22.0</v>
      </c>
      <c r="G22" s="48">
        <f t="shared" si="10"/>
        <v>1</v>
      </c>
      <c r="H22" s="46">
        <f t="shared" si="11"/>
        <v>44.29318182</v>
      </c>
      <c r="I22" s="46">
        <f t="shared" si="12"/>
        <v>44.29318182</v>
      </c>
      <c r="J22" s="73">
        <v>2675.0</v>
      </c>
      <c r="K22" s="50">
        <f t="shared" si="13"/>
        <v>0.008224299065</v>
      </c>
      <c r="L22" s="71">
        <v>107.64</v>
      </c>
      <c r="M22" s="71">
        <v>682.4</v>
      </c>
      <c r="N22" s="72">
        <v>15.0</v>
      </c>
      <c r="O22" s="73">
        <v>133731.0</v>
      </c>
      <c r="P22" s="50">
        <f t="shared" si="14"/>
        <v>0.1577373974</v>
      </c>
      <c r="Q22" s="51">
        <f t="shared" si="15"/>
        <v>6.339650687</v>
      </c>
      <c r="R22" s="50">
        <f t="shared" si="16"/>
        <v>0.7002924727</v>
      </c>
      <c r="S22" s="16"/>
      <c r="T22" s="25"/>
      <c r="U22" s="6"/>
      <c r="V22" s="6"/>
      <c r="W22" s="7"/>
      <c r="X22" s="7"/>
      <c r="Y22" s="7"/>
      <c r="Z22" s="7"/>
    </row>
    <row r="23" hidden="1" outlineLevel="1">
      <c r="A23" s="44" t="str">
        <f t="shared" si="9"/>
        <v>1-2024</v>
      </c>
      <c r="B23" s="101">
        <v>45308.0</v>
      </c>
      <c r="C23" s="45"/>
      <c r="D23" s="71">
        <v>1066.6</v>
      </c>
      <c r="E23" s="72">
        <v>26.0</v>
      </c>
      <c r="F23" s="72">
        <v>26.0</v>
      </c>
      <c r="G23" s="48">
        <f t="shared" si="10"/>
        <v>1</v>
      </c>
      <c r="H23" s="46">
        <f t="shared" si="11"/>
        <v>41.02307692</v>
      </c>
      <c r="I23" s="46">
        <f t="shared" si="12"/>
        <v>41.02307692</v>
      </c>
      <c r="J23" s="73">
        <v>2128.0</v>
      </c>
      <c r="K23" s="50">
        <f t="shared" si="13"/>
        <v>0.01221804511</v>
      </c>
      <c r="L23" s="71">
        <v>80.49</v>
      </c>
      <c r="M23" s="71">
        <v>786.17</v>
      </c>
      <c r="N23" s="72">
        <v>19.0</v>
      </c>
      <c r="O23" s="73">
        <v>113541.0</v>
      </c>
      <c r="P23" s="50">
        <f t="shared" si="14"/>
        <v>0.1023824364</v>
      </c>
      <c r="Q23" s="51">
        <f t="shared" si="15"/>
        <v>9.767300286</v>
      </c>
      <c r="R23" s="50">
        <f t="shared" si="16"/>
        <v>0.7370804425</v>
      </c>
      <c r="S23" s="16"/>
      <c r="T23" s="25"/>
      <c r="U23" s="6"/>
      <c r="V23" s="6"/>
      <c r="W23" s="7"/>
      <c r="X23" s="7"/>
      <c r="Y23" s="7"/>
      <c r="Z23" s="7"/>
    </row>
    <row r="24" hidden="1" outlineLevel="1">
      <c r="A24" s="44" t="str">
        <f t="shared" si="9"/>
        <v>1-2024</v>
      </c>
      <c r="B24" s="101">
        <v>45309.0</v>
      </c>
      <c r="C24" s="45"/>
      <c r="D24" s="71">
        <v>814.25</v>
      </c>
      <c r="E24" s="72">
        <v>22.0</v>
      </c>
      <c r="F24" s="72">
        <v>22.0</v>
      </c>
      <c r="G24" s="48">
        <f t="shared" si="10"/>
        <v>1</v>
      </c>
      <c r="H24" s="46">
        <f t="shared" si="11"/>
        <v>37.01136364</v>
      </c>
      <c r="I24" s="46">
        <f t="shared" si="12"/>
        <v>37.01136364</v>
      </c>
      <c r="J24" s="73">
        <v>1712.0</v>
      </c>
      <c r="K24" s="50">
        <f t="shared" si="13"/>
        <v>0.01285046729</v>
      </c>
      <c r="L24" s="71">
        <v>82.59</v>
      </c>
      <c r="M24" s="71">
        <v>464.17</v>
      </c>
      <c r="N24" s="72">
        <v>17.0</v>
      </c>
      <c r="O24" s="73">
        <v>100310.0</v>
      </c>
      <c r="P24" s="50">
        <f t="shared" si="14"/>
        <v>0.1779304996</v>
      </c>
      <c r="Q24" s="51">
        <f t="shared" si="15"/>
        <v>5.620171934</v>
      </c>
      <c r="R24" s="50">
        <f t="shared" si="16"/>
        <v>0.5700583359</v>
      </c>
      <c r="S24" s="16"/>
      <c r="T24" s="25"/>
      <c r="U24" s="6"/>
      <c r="V24" s="6"/>
      <c r="W24" s="7"/>
      <c r="X24" s="7"/>
      <c r="Y24" s="7"/>
      <c r="Z24" s="7"/>
    </row>
    <row r="25" hidden="1" outlineLevel="1">
      <c r="A25" s="44" t="str">
        <f t="shared" si="9"/>
        <v>1-2024</v>
      </c>
      <c r="B25" s="101">
        <v>45310.0</v>
      </c>
      <c r="C25" s="45"/>
      <c r="D25" s="71">
        <v>636.8</v>
      </c>
      <c r="E25" s="72">
        <v>15.0</v>
      </c>
      <c r="F25" s="72">
        <v>15.0</v>
      </c>
      <c r="G25" s="48">
        <f t="shared" si="10"/>
        <v>1</v>
      </c>
      <c r="H25" s="46">
        <f t="shared" si="11"/>
        <v>42.45333333</v>
      </c>
      <c r="I25" s="46">
        <f t="shared" si="12"/>
        <v>42.45333333</v>
      </c>
      <c r="J25" s="73">
        <v>1607.0</v>
      </c>
      <c r="K25" s="50">
        <f t="shared" si="13"/>
        <v>0.009334163037</v>
      </c>
      <c r="L25" s="71">
        <v>74.08</v>
      </c>
      <c r="M25" s="71">
        <v>459.19</v>
      </c>
      <c r="N25" s="72">
        <v>11.0</v>
      </c>
      <c r="O25" s="73">
        <v>104514.0</v>
      </c>
      <c r="P25" s="50">
        <f t="shared" si="14"/>
        <v>0.161327555</v>
      </c>
      <c r="Q25" s="51">
        <f t="shared" si="15"/>
        <v>6.198569114</v>
      </c>
      <c r="R25" s="50">
        <f t="shared" si="16"/>
        <v>0.7210898241</v>
      </c>
      <c r="S25" s="16"/>
      <c r="T25" s="25"/>
      <c r="U25" s="6"/>
      <c r="V25" s="6"/>
      <c r="W25" s="7"/>
      <c r="X25" s="7"/>
      <c r="Y25" s="7"/>
      <c r="Z25" s="7"/>
    </row>
    <row r="26" hidden="1" outlineLevel="1">
      <c r="A26" s="44" t="str">
        <f t="shared" si="9"/>
        <v>1-2024</v>
      </c>
      <c r="B26" s="101">
        <v>45311.0</v>
      </c>
      <c r="C26" s="45"/>
      <c r="D26" s="71">
        <v>1189.95</v>
      </c>
      <c r="E26" s="72">
        <v>29.0</v>
      </c>
      <c r="F26" s="72">
        <v>29.0</v>
      </c>
      <c r="G26" s="48">
        <f t="shared" si="10"/>
        <v>1</v>
      </c>
      <c r="H26" s="46">
        <f t="shared" si="11"/>
        <v>41.03275862</v>
      </c>
      <c r="I26" s="46">
        <f t="shared" si="12"/>
        <v>41.03275862</v>
      </c>
      <c r="J26" s="73">
        <v>2603.0</v>
      </c>
      <c r="K26" s="50">
        <f t="shared" si="13"/>
        <v>0.01114099116</v>
      </c>
      <c r="L26" s="71">
        <v>84.75</v>
      </c>
      <c r="M26" s="71">
        <v>566.87</v>
      </c>
      <c r="N26" s="72">
        <v>14.0</v>
      </c>
      <c r="O26" s="73">
        <v>138982.0</v>
      </c>
      <c r="P26" s="50">
        <f t="shared" si="14"/>
        <v>0.1495051776</v>
      </c>
      <c r="Q26" s="51">
        <f t="shared" si="15"/>
        <v>6.688731563</v>
      </c>
      <c r="R26" s="50">
        <f t="shared" si="16"/>
        <v>0.4763813606</v>
      </c>
      <c r="S26" s="16"/>
      <c r="T26" s="25"/>
      <c r="U26" s="6"/>
      <c r="V26" s="6"/>
      <c r="W26" s="7"/>
      <c r="X26" s="7"/>
      <c r="Y26" s="7"/>
      <c r="Z26" s="7"/>
    </row>
    <row r="27" collapsed="1">
      <c r="A27" s="74" t="s">
        <v>99</v>
      </c>
      <c r="B27" s="53"/>
      <c r="C27" s="54"/>
      <c r="D27" s="55">
        <f t="shared" ref="D27:F27" si="17">SUM(D20:D26)</f>
        <v>6928.25</v>
      </c>
      <c r="E27" s="74">
        <f t="shared" si="17"/>
        <v>169</v>
      </c>
      <c r="F27" s="74">
        <f t="shared" si="17"/>
        <v>169</v>
      </c>
      <c r="G27" s="75">
        <f t="shared" si="10"/>
        <v>1</v>
      </c>
      <c r="H27" s="55">
        <f>AVERAGE(H20:H26)</f>
        <v>41.18943538</v>
      </c>
      <c r="I27" s="76">
        <f>H27/G27</f>
        <v>41.18943538</v>
      </c>
      <c r="J27" s="59">
        <f>SUM(J20:J26)</f>
        <v>15601</v>
      </c>
      <c r="K27" s="60">
        <f t="shared" si="13"/>
        <v>0.01083263893</v>
      </c>
      <c r="L27" s="55">
        <f t="shared" ref="L27:O27" si="18">SUM(L20:L26)</f>
        <v>644.86</v>
      </c>
      <c r="M27" s="55">
        <f t="shared" si="18"/>
        <v>4256.67</v>
      </c>
      <c r="N27" s="74">
        <f t="shared" si="18"/>
        <v>106</v>
      </c>
      <c r="O27" s="59">
        <f t="shared" si="18"/>
        <v>866817</v>
      </c>
      <c r="P27" s="60">
        <f t="shared" si="14"/>
        <v>0.1514940082</v>
      </c>
      <c r="Q27" s="78">
        <f t="shared" si="15"/>
        <v>6.60092113</v>
      </c>
      <c r="R27" s="62">
        <f t="shared" si="16"/>
        <v>0.614393245</v>
      </c>
      <c r="S27" s="54" t="str">
        <f>iferror((D27-D11)/D27,)</f>
        <v/>
      </c>
      <c r="T27" s="63" t="str">
        <f>iferror((F27-E11)/F27,)</f>
        <v/>
      </c>
      <c r="U27" s="64">
        <f t="shared" ref="U27:V27" si="19">L27</f>
        <v>644.86</v>
      </c>
      <c r="V27" s="64">
        <f t="shared" si="19"/>
        <v>4256.67</v>
      </c>
      <c r="W27" s="7"/>
      <c r="X27" s="7"/>
      <c r="Y27" s="7"/>
      <c r="Z27" s="7"/>
    </row>
    <row r="28" hidden="1" outlineLevel="1">
      <c r="A28" s="44" t="str">
        <f t="shared" ref="A28:A34" si="20">iferror(if(B28&gt;0,month(B28)&amp;"-"&amp;year(B28),B28),)</f>
        <v>1-2024</v>
      </c>
      <c r="B28" s="101">
        <v>45312.0</v>
      </c>
      <c r="C28" s="45"/>
      <c r="D28" s="71">
        <v>1015.2</v>
      </c>
      <c r="E28" s="72">
        <v>28.0</v>
      </c>
      <c r="F28" s="72">
        <v>27.0</v>
      </c>
      <c r="G28" s="48">
        <f t="shared" si="10"/>
        <v>1.037037037</v>
      </c>
      <c r="H28" s="46">
        <f t="shared" ref="H28:H34" si="21">D28/F28</f>
        <v>37.6</v>
      </c>
      <c r="I28" s="46">
        <f t="shared" ref="I28:I34" si="22">D28/E28</f>
        <v>36.25714286</v>
      </c>
      <c r="J28" s="73">
        <v>2540.0</v>
      </c>
      <c r="K28" s="50">
        <f t="shared" si="13"/>
        <v>0.01102362205</v>
      </c>
      <c r="L28" s="71">
        <v>103.85</v>
      </c>
      <c r="M28" s="71">
        <v>599.55</v>
      </c>
      <c r="N28" s="72">
        <v>15.0</v>
      </c>
      <c r="O28" s="73">
        <v>159992.0</v>
      </c>
      <c r="P28" s="50">
        <f t="shared" si="14"/>
        <v>0.1732132433</v>
      </c>
      <c r="Q28" s="51">
        <f t="shared" si="15"/>
        <v>5.773230621</v>
      </c>
      <c r="R28" s="50">
        <f t="shared" si="16"/>
        <v>0.5905732861</v>
      </c>
      <c r="S28" s="16"/>
      <c r="T28" s="25"/>
      <c r="U28" s="6"/>
      <c r="V28" s="6"/>
      <c r="W28" s="7"/>
      <c r="X28" s="7"/>
      <c r="Y28" s="7"/>
      <c r="Z28" s="7"/>
    </row>
    <row r="29" hidden="1" outlineLevel="1">
      <c r="A29" s="44" t="str">
        <f t="shared" si="20"/>
        <v>1-2024</v>
      </c>
      <c r="B29" s="101">
        <v>45313.0</v>
      </c>
      <c r="C29" s="45"/>
      <c r="D29" s="71">
        <v>674.5</v>
      </c>
      <c r="E29" s="72">
        <v>20.0</v>
      </c>
      <c r="F29" s="72">
        <v>20.0</v>
      </c>
      <c r="G29" s="48">
        <f t="shared" si="10"/>
        <v>1</v>
      </c>
      <c r="H29" s="46">
        <f t="shared" si="21"/>
        <v>33.725</v>
      </c>
      <c r="I29" s="46">
        <f t="shared" si="22"/>
        <v>33.725</v>
      </c>
      <c r="J29" s="73">
        <v>1680.0</v>
      </c>
      <c r="K29" s="50">
        <f t="shared" si="13"/>
        <v>0.0119047619</v>
      </c>
      <c r="L29" s="71">
        <v>56.4</v>
      </c>
      <c r="M29" s="71">
        <v>492.3</v>
      </c>
      <c r="N29" s="72">
        <v>13.0</v>
      </c>
      <c r="O29" s="73">
        <v>87006.0</v>
      </c>
      <c r="P29" s="50">
        <f t="shared" si="14"/>
        <v>0.1145642901</v>
      </c>
      <c r="Q29" s="51">
        <f t="shared" si="15"/>
        <v>8.728723404</v>
      </c>
      <c r="R29" s="50">
        <f t="shared" si="16"/>
        <v>0.7298739807</v>
      </c>
      <c r="S29" s="16"/>
      <c r="T29" s="25"/>
      <c r="U29" s="6"/>
      <c r="V29" s="6"/>
      <c r="W29" s="7"/>
      <c r="X29" s="7"/>
      <c r="Y29" s="7"/>
      <c r="Z29" s="7"/>
    </row>
    <row r="30" hidden="1" outlineLevel="1">
      <c r="A30" s="44" t="str">
        <f t="shared" si="20"/>
        <v>1-2024</v>
      </c>
      <c r="B30" s="101">
        <v>45314.0</v>
      </c>
      <c r="C30" s="45"/>
      <c r="D30" s="71">
        <v>1174.05</v>
      </c>
      <c r="E30" s="72">
        <v>32.0</v>
      </c>
      <c r="F30" s="72">
        <v>32.0</v>
      </c>
      <c r="G30" s="48">
        <f t="shared" si="10"/>
        <v>1</v>
      </c>
      <c r="H30" s="46">
        <f t="shared" si="21"/>
        <v>36.6890625</v>
      </c>
      <c r="I30" s="46">
        <f t="shared" si="22"/>
        <v>36.6890625</v>
      </c>
      <c r="J30" s="73">
        <v>2238.0</v>
      </c>
      <c r="K30" s="50">
        <f t="shared" si="13"/>
        <v>0.01429848079</v>
      </c>
      <c r="L30" s="71">
        <v>50.22</v>
      </c>
      <c r="M30" s="71">
        <v>863.7</v>
      </c>
      <c r="N30" s="72">
        <v>21.0</v>
      </c>
      <c r="O30" s="73">
        <v>78376.0</v>
      </c>
      <c r="P30" s="50">
        <f t="shared" si="14"/>
        <v>0.0581451893</v>
      </c>
      <c r="Q30" s="51">
        <f t="shared" si="15"/>
        <v>17.19832736</v>
      </c>
      <c r="R30" s="50">
        <f t="shared" si="16"/>
        <v>0.7356586176</v>
      </c>
      <c r="S30" s="16"/>
      <c r="T30" s="25"/>
      <c r="U30" s="6"/>
      <c r="V30" s="6"/>
      <c r="W30" s="7"/>
      <c r="X30" s="7"/>
      <c r="Y30" s="7"/>
      <c r="Z30" s="7"/>
    </row>
    <row r="31" hidden="1" outlineLevel="1">
      <c r="A31" s="44" t="str">
        <f t="shared" si="20"/>
        <v>1-2024</v>
      </c>
      <c r="B31" s="101">
        <v>45315.0</v>
      </c>
      <c r="C31" s="45"/>
      <c r="D31" s="71">
        <v>1054.05</v>
      </c>
      <c r="E31" s="72">
        <v>23.0</v>
      </c>
      <c r="F31" s="72">
        <v>23.0</v>
      </c>
      <c r="G31" s="48">
        <f t="shared" si="10"/>
        <v>1</v>
      </c>
      <c r="H31" s="46">
        <f t="shared" si="21"/>
        <v>45.82826087</v>
      </c>
      <c r="I31" s="46">
        <f t="shared" si="22"/>
        <v>45.82826087</v>
      </c>
      <c r="J31" s="73">
        <v>1751.0</v>
      </c>
      <c r="K31" s="50">
        <f t="shared" si="13"/>
        <v>0.01313535123</v>
      </c>
      <c r="L31" s="71">
        <v>53.46</v>
      </c>
      <c r="M31" s="71">
        <v>289.5</v>
      </c>
      <c r="N31" s="72">
        <v>8.0</v>
      </c>
      <c r="O31" s="73">
        <v>72741.0</v>
      </c>
      <c r="P31" s="50">
        <f t="shared" si="14"/>
        <v>0.1846632124</v>
      </c>
      <c r="Q31" s="51">
        <f t="shared" si="15"/>
        <v>5.415263749</v>
      </c>
      <c r="R31" s="50">
        <f t="shared" si="16"/>
        <v>0.2746549025</v>
      </c>
      <c r="S31" s="16"/>
      <c r="T31" s="25"/>
      <c r="U31" s="6"/>
      <c r="V31" s="6"/>
      <c r="W31" s="7"/>
      <c r="X31" s="7"/>
      <c r="Y31" s="7"/>
      <c r="Z31" s="7"/>
    </row>
    <row r="32" hidden="1" outlineLevel="1">
      <c r="A32" s="44" t="str">
        <f t="shared" si="20"/>
        <v>1-2024</v>
      </c>
      <c r="B32" s="101">
        <v>45316.0</v>
      </c>
      <c r="C32" s="45"/>
      <c r="D32" s="71">
        <v>821.95</v>
      </c>
      <c r="E32" s="72">
        <v>19.0</v>
      </c>
      <c r="F32" s="72">
        <v>19.0</v>
      </c>
      <c r="G32" s="48">
        <f t="shared" si="10"/>
        <v>1</v>
      </c>
      <c r="H32" s="46">
        <f t="shared" si="21"/>
        <v>43.26052632</v>
      </c>
      <c r="I32" s="46">
        <f t="shared" si="22"/>
        <v>43.26052632</v>
      </c>
      <c r="J32" s="73">
        <v>1935.0</v>
      </c>
      <c r="K32" s="50">
        <f t="shared" si="13"/>
        <v>0.009819121447</v>
      </c>
      <c r="L32" s="71">
        <v>63.74</v>
      </c>
      <c r="M32" s="71">
        <v>434.85</v>
      </c>
      <c r="N32" s="72">
        <v>11.0</v>
      </c>
      <c r="O32" s="73">
        <v>79942.0</v>
      </c>
      <c r="P32" s="50">
        <f t="shared" si="14"/>
        <v>0.1465792802</v>
      </c>
      <c r="Q32" s="51">
        <f t="shared" si="15"/>
        <v>6.822246627</v>
      </c>
      <c r="R32" s="50">
        <f t="shared" si="16"/>
        <v>0.529046779</v>
      </c>
      <c r="S32" s="16"/>
      <c r="T32" s="25"/>
      <c r="U32" s="6"/>
      <c r="V32" s="6"/>
      <c r="W32" s="7"/>
      <c r="X32" s="7"/>
      <c r="Y32" s="7"/>
      <c r="Z32" s="7"/>
    </row>
    <row r="33" hidden="1" outlineLevel="1">
      <c r="A33" s="44" t="str">
        <f t="shared" si="20"/>
        <v>1-2024</v>
      </c>
      <c r="B33" s="101">
        <v>45317.0</v>
      </c>
      <c r="C33" s="45"/>
      <c r="D33" s="71">
        <v>831.95</v>
      </c>
      <c r="E33" s="72">
        <v>29.0</v>
      </c>
      <c r="F33" s="72">
        <v>29.0</v>
      </c>
      <c r="G33" s="48">
        <f t="shared" si="10"/>
        <v>1</v>
      </c>
      <c r="H33" s="46">
        <f t="shared" si="21"/>
        <v>28.68793103</v>
      </c>
      <c r="I33" s="46">
        <f t="shared" si="22"/>
        <v>28.68793103</v>
      </c>
      <c r="J33" s="73">
        <v>1964.0</v>
      </c>
      <c r="K33" s="50">
        <f t="shared" si="13"/>
        <v>0.01476578411</v>
      </c>
      <c r="L33" s="71">
        <v>58.24</v>
      </c>
      <c r="M33" s="71">
        <v>748.25</v>
      </c>
      <c r="N33" s="72">
        <v>28.0</v>
      </c>
      <c r="O33" s="73">
        <v>79846.0</v>
      </c>
      <c r="P33" s="50">
        <f t="shared" si="14"/>
        <v>0.07783494821</v>
      </c>
      <c r="Q33" s="51">
        <f t="shared" si="15"/>
        <v>12.84769918</v>
      </c>
      <c r="R33" s="50">
        <f t="shared" si="16"/>
        <v>0.8993929924</v>
      </c>
      <c r="S33" s="16"/>
      <c r="T33" s="25"/>
      <c r="U33" s="6"/>
      <c r="V33" s="6"/>
      <c r="W33" s="7"/>
      <c r="X33" s="7"/>
      <c r="Y33" s="7"/>
      <c r="Z33" s="7"/>
    </row>
    <row r="34" hidden="1" outlineLevel="1">
      <c r="A34" s="44" t="str">
        <f t="shared" si="20"/>
        <v>1-2024</v>
      </c>
      <c r="B34" s="101">
        <v>45318.0</v>
      </c>
      <c r="C34" s="45"/>
      <c r="D34" s="71">
        <v>1240.55</v>
      </c>
      <c r="E34" s="72">
        <v>31.0</v>
      </c>
      <c r="F34" s="72">
        <v>31.0</v>
      </c>
      <c r="G34" s="48">
        <f t="shared" si="10"/>
        <v>1</v>
      </c>
      <c r="H34" s="46">
        <f t="shared" si="21"/>
        <v>40.01774194</v>
      </c>
      <c r="I34" s="46">
        <f t="shared" si="22"/>
        <v>40.01774194</v>
      </c>
      <c r="J34" s="73">
        <v>3382.0</v>
      </c>
      <c r="K34" s="50">
        <f t="shared" si="13"/>
        <v>0.009166173862</v>
      </c>
      <c r="L34" s="71">
        <v>94.95</v>
      </c>
      <c r="M34" s="71">
        <v>700.97</v>
      </c>
      <c r="N34" s="72">
        <v>18.0</v>
      </c>
      <c r="O34" s="73">
        <v>118910.0</v>
      </c>
      <c r="P34" s="50">
        <f t="shared" si="14"/>
        <v>0.135455155</v>
      </c>
      <c r="Q34" s="51">
        <f t="shared" si="15"/>
        <v>7.382517114</v>
      </c>
      <c r="R34" s="50">
        <f t="shared" si="16"/>
        <v>0.5650477611</v>
      </c>
      <c r="S34" s="16"/>
      <c r="T34" s="25"/>
      <c r="U34" s="6"/>
      <c r="V34" s="6"/>
      <c r="W34" s="7"/>
      <c r="X34" s="7"/>
      <c r="Y34" s="7"/>
      <c r="Z34" s="7"/>
    </row>
    <row r="35" collapsed="1">
      <c r="A35" s="74" t="s">
        <v>100</v>
      </c>
      <c r="B35" s="53"/>
      <c r="C35" s="54"/>
      <c r="D35" s="55">
        <f t="shared" ref="D35:F35" si="23">SUM(D28:D34)</f>
        <v>6812.25</v>
      </c>
      <c r="E35" s="74">
        <f t="shared" si="23"/>
        <v>182</v>
      </c>
      <c r="F35" s="74">
        <f t="shared" si="23"/>
        <v>181</v>
      </c>
      <c r="G35" s="75">
        <f t="shared" si="10"/>
        <v>1.005524862</v>
      </c>
      <c r="H35" s="55">
        <f>AVERAGE(H28:H34)</f>
        <v>37.97264609</v>
      </c>
      <c r="I35" s="76">
        <f>H35/G35</f>
        <v>37.76400518</v>
      </c>
      <c r="J35" s="59">
        <f>SUM(J28:J34)</f>
        <v>15490</v>
      </c>
      <c r="K35" s="60">
        <f t="shared" si="13"/>
        <v>0.01174951582</v>
      </c>
      <c r="L35" s="55">
        <f t="shared" ref="L35:O35" si="24">SUM(L28:L34)</f>
        <v>480.86</v>
      </c>
      <c r="M35" s="55">
        <f t="shared" si="24"/>
        <v>4129.12</v>
      </c>
      <c r="N35" s="74">
        <f t="shared" si="24"/>
        <v>114</v>
      </c>
      <c r="O35" s="59">
        <f t="shared" si="24"/>
        <v>676813</v>
      </c>
      <c r="P35" s="60">
        <f t="shared" si="14"/>
        <v>0.1164558066</v>
      </c>
      <c r="Q35" s="78">
        <f t="shared" si="15"/>
        <v>8.586948384</v>
      </c>
      <c r="R35" s="62">
        <f t="shared" si="16"/>
        <v>0.6061316012</v>
      </c>
      <c r="S35" s="54" t="str">
        <f>iferror((D35-#REF!)/D35,)</f>
        <v/>
      </c>
      <c r="T35" s="63" t="str">
        <f>iferror((F35-#REF!)/F35,)</f>
        <v/>
      </c>
      <c r="U35" s="64">
        <f t="shared" ref="U35:V35" si="25">L35</f>
        <v>480.86</v>
      </c>
      <c r="V35" s="64">
        <f t="shared" si="25"/>
        <v>4129.12</v>
      </c>
      <c r="W35" s="7"/>
      <c r="X35" s="7"/>
      <c r="Y35" s="7"/>
      <c r="Z35" s="7"/>
    </row>
    <row r="36" outlineLevel="1">
      <c r="A36" s="44" t="str">
        <f t="shared" ref="A36:A42" si="26">iferror(if(B36&gt;0,month(B36)&amp;"-"&amp;year(B36),B36),)</f>
        <v>1-2024</v>
      </c>
      <c r="B36" s="101">
        <v>45319.0</v>
      </c>
      <c r="C36" s="45"/>
      <c r="D36" s="71">
        <v>991.0</v>
      </c>
      <c r="E36" s="72">
        <v>29.0</v>
      </c>
      <c r="F36" s="72">
        <v>29.0</v>
      </c>
      <c r="G36" s="48">
        <f t="shared" si="10"/>
        <v>1</v>
      </c>
      <c r="H36" s="46">
        <f t="shared" ref="H36:H42" si="27">D36/F36</f>
        <v>34.17241379</v>
      </c>
      <c r="I36" s="46">
        <f t="shared" ref="I36:I42" si="28">D36/E36</f>
        <v>34.17241379</v>
      </c>
      <c r="J36" s="73">
        <v>2841.0</v>
      </c>
      <c r="K36" s="50">
        <f t="shared" si="13"/>
        <v>0.01020767335</v>
      </c>
      <c r="L36" s="71">
        <v>119.44</v>
      </c>
      <c r="M36" s="71">
        <v>788.04</v>
      </c>
      <c r="N36" s="72">
        <v>19.0</v>
      </c>
      <c r="O36" s="73">
        <v>147185.0</v>
      </c>
      <c r="P36" s="50">
        <f t="shared" si="14"/>
        <v>0.1515659104</v>
      </c>
      <c r="Q36" s="51">
        <f t="shared" si="15"/>
        <v>6.597789685</v>
      </c>
      <c r="R36" s="50">
        <f t="shared" si="16"/>
        <v>0.7951967709</v>
      </c>
      <c r="S36" s="16"/>
      <c r="T36" s="25"/>
      <c r="U36" s="6"/>
      <c r="V36" s="6"/>
      <c r="W36" s="7"/>
      <c r="X36" s="7"/>
      <c r="Y36" s="7"/>
      <c r="Z36" s="7"/>
    </row>
    <row r="37" outlineLevel="1">
      <c r="A37" s="44" t="str">
        <f t="shared" si="26"/>
        <v>1-2024</v>
      </c>
      <c r="B37" s="101">
        <v>45320.0</v>
      </c>
      <c r="C37" s="45"/>
      <c r="D37" s="71">
        <v>1389.15</v>
      </c>
      <c r="E37" s="72">
        <v>33.0</v>
      </c>
      <c r="F37" s="72">
        <v>33.0</v>
      </c>
      <c r="G37" s="48">
        <f t="shared" si="10"/>
        <v>1</v>
      </c>
      <c r="H37" s="46">
        <f t="shared" si="27"/>
        <v>42.09545455</v>
      </c>
      <c r="I37" s="46">
        <f t="shared" si="28"/>
        <v>42.09545455</v>
      </c>
      <c r="J37" s="73">
        <v>2132.0</v>
      </c>
      <c r="K37" s="50">
        <f t="shared" si="13"/>
        <v>0.01547842402</v>
      </c>
      <c r="L37" s="71">
        <v>81.45</v>
      </c>
      <c r="M37" s="71">
        <v>1050.35</v>
      </c>
      <c r="N37" s="72">
        <v>29.0</v>
      </c>
      <c r="O37" s="73">
        <v>101007.0</v>
      </c>
      <c r="P37" s="50">
        <f t="shared" si="14"/>
        <v>0.07754558004</v>
      </c>
      <c r="Q37" s="51">
        <f t="shared" si="15"/>
        <v>12.8956415</v>
      </c>
      <c r="R37" s="50">
        <f t="shared" si="16"/>
        <v>0.7561098513</v>
      </c>
      <c r="S37" s="16"/>
      <c r="T37" s="25"/>
      <c r="U37" s="6"/>
      <c r="V37" s="6"/>
      <c r="W37" s="7"/>
      <c r="X37" s="7"/>
      <c r="Y37" s="7"/>
      <c r="Z37" s="7"/>
    </row>
    <row r="38" outlineLevel="1">
      <c r="A38" s="44" t="str">
        <f t="shared" si="26"/>
        <v>1-2024</v>
      </c>
      <c r="B38" s="101">
        <v>45321.0</v>
      </c>
      <c r="C38" s="45"/>
      <c r="D38" s="71">
        <v>692.55</v>
      </c>
      <c r="E38" s="72">
        <v>17.0</v>
      </c>
      <c r="F38" s="72">
        <v>17.0</v>
      </c>
      <c r="G38" s="48">
        <f t="shared" si="10"/>
        <v>1</v>
      </c>
      <c r="H38" s="46">
        <f t="shared" si="27"/>
        <v>40.73823529</v>
      </c>
      <c r="I38" s="46">
        <f t="shared" si="28"/>
        <v>40.73823529</v>
      </c>
      <c r="J38" s="73">
        <v>2137.0</v>
      </c>
      <c r="K38" s="50">
        <f t="shared" si="13"/>
        <v>0.007955077211</v>
      </c>
      <c r="L38" s="71">
        <v>60.99</v>
      </c>
      <c r="M38" s="71">
        <v>331.25</v>
      </c>
      <c r="N38" s="72">
        <v>8.0</v>
      </c>
      <c r="O38" s="73">
        <v>102882.0</v>
      </c>
      <c r="P38" s="50">
        <f t="shared" si="14"/>
        <v>0.1841207547</v>
      </c>
      <c r="Q38" s="51">
        <f t="shared" si="15"/>
        <v>5.431218232</v>
      </c>
      <c r="R38" s="50">
        <f t="shared" si="16"/>
        <v>0.4783048155</v>
      </c>
      <c r="S38" s="16"/>
      <c r="T38" s="25"/>
      <c r="U38" s="6"/>
      <c r="V38" s="6"/>
      <c r="W38" s="7"/>
      <c r="X38" s="7"/>
      <c r="Y38" s="7"/>
      <c r="Z38" s="7"/>
    </row>
    <row r="39" outlineLevel="1">
      <c r="A39" s="44" t="str">
        <f t="shared" si="26"/>
        <v>1-2024</v>
      </c>
      <c r="B39" s="101">
        <v>45322.0</v>
      </c>
      <c r="C39" s="45"/>
      <c r="D39" s="71">
        <v>1734.15</v>
      </c>
      <c r="E39" s="72">
        <v>44.0</v>
      </c>
      <c r="F39" s="72">
        <v>44.0</v>
      </c>
      <c r="G39" s="48">
        <f t="shared" si="10"/>
        <v>1</v>
      </c>
      <c r="H39" s="46">
        <f t="shared" si="27"/>
        <v>39.4125</v>
      </c>
      <c r="I39" s="46">
        <f t="shared" si="28"/>
        <v>39.4125</v>
      </c>
      <c r="J39" s="73">
        <v>2443.0</v>
      </c>
      <c r="K39" s="50">
        <f t="shared" si="13"/>
        <v>0.01801064265</v>
      </c>
      <c r="L39" s="71">
        <v>76.8</v>
      </c>
      <c r="M39" s="71">
        <v>1406.4</v>
      </c>
      <c r="N39" s="72">
        <v>32.0</v>
      </c>
      <c r="O39" s="73">
        <v>107729.0</v>
      </c>
      <c r="P39" s="50">
        <f t="shared" si="14"/>
        <v>0.05460750853</v>
      </c>
      <c r="Q39" s="51">
        <f t="shared" si="15"/>
        <v>18.3125</v>
      </c>
      <c r="R39" s="50">
        <f t="shared" si="16"/>
        <v>0.8110025084</v>
      </c>
      <c r="S39" s="16"/>
      <c r="T39" s="25"/>
      <c r="U39" s="6"/>
      <c r="V39" s="6"/>
      <c r="W39" s="7"/>
      <c r="X39" s="7"/>
      <c r="Y39" s="7"/>
      <c r="Z39" s="7"/>
    </row>
    <row r="40" outlineLevel="1">
      <c r="A40" s="44" t="str">
        <f t="shared" si="26"/>
        <v>2-2024</v>
      </c>
      <c r="B40" s="101">
        <v>45323.0</v>
      </c>
      <c r="C40" s="45"/>
      <c r="D40" s="71">
        <v>1206.9</v>
      </c>
      <c r="E40" s="72">
        <v>34.0</v>
      </c>
      <c r="F40" s="72">
        <v>33.0</v>
      </c>
      <c r="G40" s="48">
        <f t="shared" si="10"/>
        <v>1.03030303</v>
      </c>
      <c r="H40" s="46">
        <f t="shared" si="27"/>
        <v>36.57272727</v>
      </c>
      <c r="I40" s="46">
        <f t="shared" si="28"/>
        <v>35.49705882</v>
      </c>
      <c r="J40" s="73">
        <v>1768.0</v>
      </c>
      <c r="K40" s="50">
        <f t="shared" si="13"/>
        <v>0.01923076923</v>
      </c>
      <c r="L40" s="71">
        <v>55.25</v>
      </c>
      <c r="M40" s="71">
        <v>586.3</v>
      </c>
      <c r="N40" s="72">
        <v>16.0</v>
      </c>
      <c r="O40" s="73">
        <v>82153.0</v>
      </c>
      <c r="P40" s="50">
        <f t="shared" si="14"/>
        <v>0.09423503326</v>
      </c>
      <c r="Q40" s="51">
        <f t="shared" si="15"/>
        <v>10.61176471</v>
      </c>
      <c r="R40" s="50">
        <f t="shared" si="16"/>
        <v>0.4857900406</v>
      </c>
      <c r="S40" s="16"/>
      <c r="T40" s="25"/>
      <c r="U40" s="6"/>
      <c r="V40" s="6"/>
      <c r="W40" s="7"/>
      <c r="X40" s="7"/>
      <c r="Y40" s="7"/>
      <c r="Z40" s="7"/>
    </row>
    <row r="41" outlineLevel="1">
      <c r="A41" s="44" t="str">
        <f t="shared" si="26"/>
        <v>2-2024</v>
      </c>
      <c r="B41" s="101">
        <v>45324.0</v>
      </c>
      <c r="C41" s="45"/>
      <c r="D41" s="71">
        <v>793.3</v>
      </c>
      <c r="E41" s="72">
        <v>20.0</v>
      </c>
      <c r="F41" s="72">
        <v>20.0</v>
      </c>
      <c r="G41" s="48">
        <f t="shared" si="10"/>
        <v>1</v>
      </c>
      <c r="H41" s="46">
        <f t="shared" si="27"/>
        <v>39.665</v>
      </c>
      <c r="I41" s="46">
        <f t="shared" si="28"/>
        <v>39.665</v>
      </c>
      <c r="J41" s="73">
        <v>1545.0</v>
      </c>
      <c r="K41" s="50">
        <f t="shared" si="13"/>
        <v>0.01294498382</v>
      </c>
      <c r="L41" s="71">
        <v>58.04</v>
      </c>
      <c r="M41" s="71">
        <v>434.1</v>
      </c>
      <c r="N41" s="72">
        <v>10.0</v>
      </c>
      <c r="O41" s="73">
        <v>83527.0</v>
      </c>
      <c r="P41" s="50">
        <f t="shared" si="14"/>
        <v>0.133701912</v>
      </c>
      <c r="Q41" s="51">
        <f t="shared" si="15"/>
        <v>7.479324604</v>
      </c>
      <c r="R41" s="50">
        <f t="shared" si="16"/>
        <v>0.5472078659</v>
      </c>
      <c r="S41" s="16"/>
      <c r="T41" s="25"/>
      <c r="U41" s="6"/>
      <c r="V41" s="6"/>
      <c r="W41" s="7"/>
      <c r="X41" s="7"/>
      <c r="Y41" s="7"/>
      <c r="Z41" s="7"/>
    </row>
    <row r="42" outlineLevel="1">
      <c r="A42" s="44" t="str">
        <f t="shared" si="26"/>
        <v>2-2024</v>
      </c>
      <c r="B42" s="101">
        <v>45325.0</v>
      </c>
      <c r="C42" s="45"/>
      <c r="D42" s="71">
        <v>1333.6</v>
      </c>
      <c r="E42" s="72">
        <v>36.0</v>
      </c>
      <c r="F42" s="72">
        <v>34.0</v>
      </c>
      <c r="G42" s="48">
        <f t="shared" si="10"/>
        <v>1.058823529</v>
      </c>
      <c r="H42" s="46">
        <f t="shared" si="27"/>
        <v>39.22352941</v>
      </c>
      <c r="I42" s="46">
        <f t="shared" si="28"/>
        <v>37.04444444</v>
      </c>
      <c r="J42" s="73">
        <v>2353.0</v>
      </c>
      <c r="K42" s="50">
        <f t="shared" si="13"/>
        <v>0.01529961751</v>
      </c>
      <c r="L42" s="71">
        <v>86.74</v>
      </c>
      <c r="M42" s="71">
        <v>1182.5</v>
      </c>
      <c r="N42" s="72">
        <v>31.0</v>
      </c>
      <c r="O42" s="73">
        <v>123217.0</v>
      </c>
      <c r="P42" s="50">
        <f t="shared" si="14"/>
        <v>0.07335306554</v>
      </c>
      <c r="Q42" s="51">
        <f t="shared" si="15"/>
        <v>13.63269541</v>
      </c>
      <c r="R42" s="50">
        <f t="shared" si="16"/>
        <v>0.8866976605</v>
      </c>
      <c r="S42" s="16"/>
      <c r="T42" s="25"/>
      <c r="U42" s="6"/>
      <c r="V42" s="6"/>
      <c r="W42" s="7"/>
      <c r="X42" s="7"/>
      <c r="Y42" s="7"/>
      <c r="Z42" s="7"/>
    </row>
    <row r="43">
      <c r="A43" s="74" t="s">
        <v>101</v>
      </c>
      <c r="B43" s="53"/>
      <c r="C43" s="54"/>
      <c r="D43" s="55">
        <f t="shared" ref="D43:F43" si="29">SUM(D36:D42)</f>
        <v>8140.65</v>
      </c>
      <c r="E43" s="74">
        <f t="shared" si="29"/>
        <v>213</v>
      </c>
      <c r="F43" s="74">
        <f t="shared" si="29"/>
        <v>210</v>
      </c>
      <c r="G43" s="75">
        <f t="shared" si="10"/>
        <v>1.014285714</v>
      </c>
      <c r="H43" s="55">
        <f>AVERAGE(H36:H42)</f>
        <v>38.83998005</v>
      </c>
      <c r="I43" s="76">
        <f>H43/G43</f>
        <v>38.29293807</v>
      </c>
      <c r="J43" s="59">
        <f>SUM(J36:J42)</f>
        <v>15219</v>
      </c>
      <c r="K43" s="60">
        <f t="shared" si="13"/>
        <v>0.01399566332</v>
      </c>
      <c r="L43" s="55">
        <f t="shared" ref="L43:O43" si="30">SUM(L36:L42)</f>
        <v>538.71</v>
      </c>
      <c r="M43" s="55">
        <f t="shared" si="30"/>
        <v>5778.94</v>
      </c>
      <c r="N43" s="74">
        <f t="shared" si="30"/>
        <v>145</v>
      </c>
      <c r="O43" s="59">
        <f t="shared" si="30"/>
        <v>747700</v>
      </c>
      <c r="P43" s="60">
        <f t="shared" si="14"/>
        <v>0.09321951777</v>
      </c>
      <c r="Q43" s="78">
        <f t="shared" si="15"/>
        <v>10.72736723</v>
      </c>
      <c r="R43" s="62">
        <f t="shared" si="16"/>
        <v>0.7098868027</v>
      </c>
      <c r="S43" s="54" t="str">
        <f>iferror((D43-#REF!)/D43,)</f>
        <v/>
      </c>
      <c r="T43" s="63" t="str">
        <f>iferror((F43-#REF!)/F43,)</f>
        <v/>
      </c>
      <c r="U43" s="64">
        <f t="shared" ref="U43:V43" si="31">L43</f>
        <v>538.71</v>
      </c>
      <c r="V43" s="64">
        <f t="shared" si="31"/>
        <v>5778.94</v>
      </c>
      <c r="W43" s="7"/>
      <c r="X43" s="7"/>
      <c r="Y43" s="7"/>
      <c r="Z43" s="7"/>
    </row>
    <row r="44" hidden="1" outlineLevel="1">
      <c r="A44" s="44" t="str">
        <f t="shared" ref="A44:A50" si="32">iferror(if(B44&gt;0,month(B44)&amp;"-"&amp;year(B44),B44),)</f>
        <v>2-2024</v>
      </c>
      <c r="B44" s="101">
        <v>45326.0</v>
      </c>
      <c r="C44" s="45"/>
      <c r="D44" s="71">
        <v>2259.8</v>
      </c>
      <c r="E44" s="72">
        <v>60.0</v>
      </c>
      <c r="F44" s="72">
        <v>59.0</v>
      </c>
      <c r="G44" s="48">
        <f t="shared" si="10"/>
        <v>1.016949153</v>
      </c>
      <c r="H44" s="46">
        <f t="shared" ref="H44:H50" si="33">D44/F44</f>
        <v>38.30169492</v>
      </c>
      <c r="I44" s="46">
        <f t="shared" ref="I44:I50" si="34">D44/E44</f>
        <v>37.66333333</v>
      </c>
      <c r="J44" s="73">
        <v>2787.0</v>
      </c>
      <c r="K44" s="50">
        <f t="shared" si="13"/>
        <v>0.0215285253</v>
      </c>
      <c r="L44" s="71">
        <v>123.59</v>
      </c>
      <c r="M44" s="71">
        <v>1857.1</v>
      </c>
      <c r="N44" s="72">
        <v>46.0</v>
      </c>
      <c r="O44" s="73">
        <v>159610.0</v>
      </c>
      <c r="P44" s="50">
        <f t="shared" si="14"/>
        <v>0.06654999731</v>
      </c>
      <c r="Q44" s="51">
        <f t="shared" si="15"/>
        <v>15.02629663</v>
      </c>
      <c r="R44" s="50">
        <f t="shared" si="16"/>
        <v>0.8217983892</v>
      </c>
      <c r="S44" s="16"/>
      <c r="T44" s="25"/>
      <c r="U44" s="6"/>
      <c r="V44" s="6"/>
      <c r="W44" s="7"/>
      <c r="X44" s="7"/>
      <c r="Y44" s="7"/>
      <c r="Z44" s="7"/>
    </row>
    <row r="45" hidden="1" outlineLevel="1">
      <c r="A45" s="44" t="str">
        <f t="shared" si="32"/>
        <v>2-2024</v>
      </c>
      <c r="B45" s="101">
        <v>45327.0</v>
      </c>
      <c r="C45" s="45"/>
      <c r="D45" s="71">
        <v>2032.2</v>
      </c>
      <c r="E45" s="72">
        <v>54.0</v>
      </c>
      <c r="F45" s="72">
        <v>54.0</v>
      </c>
      <c r="G45" s="48">
        <f t="shared" si="10"/>
        <v>1</v>
      </c>
      <c r="H45" s="46">
        <f t="shared" si="33"/>
        <v>37.63333333</v>
      </c>
      <c r="I45" s="46">
        <f t="shared" si="34"/>
        <v>37.63333333</v>
      </c>
      <c r="J45" s="73">
        <v>2164.0</v>
      </c>
      <c r="K45" s="50">
        <f t="shared" si="13"/>
        <v>0.02495378928</v>
      </c>
      <c r="L45" s="71">
        <v>84.93</v>
      </c>
      <c r="M45" s="71">
        <v>840.77</v>
      </c>
      <c r="N45" s="72">
        <v>25.0</v>
      </c>
      <c r="O45" s="73">
        <v>116034.0</v>
      </c>
      <c r="P45" s="50">
        <f t="shared" si="14"/>
        <v>0.1010145462</v>
      </c>
      <c r="Q45" s="51">
        <f t="shared" si="15"/>
        <v>9.899564347</v>
      </c>
      <c r="R45" s="50">
        <f t="shared" si="16"/>
        <v>0.4137240429</v>
      </c>
      <c r="S45" s="16"/>
      <c r="T45" s="25"/>
      <c r="U45" s="6"/>
      <c r="V45" s="6"/>
      <c r="W45" s="7"/>
      <c r="X45" s="7"/>
      <c r="Y45" s="7"/>
      <c r="Z45" s="7"/>
    </row>
    <row r="46" hidden="1" outlineLevel="1">
      <c r="A46" s="44" t="str">
        <f t="shared" si="32"/>
        <v>2-2024</v>
      </c>
      <c r="B46" s="101">
        <v>45328.0</v>
      </c>
      <c r="C46" s="45"/>
      <c r="D46" s="71">
        <v>1098.5</v>
      </c>
      <c r="E46" s="72">
        <v>29.0</v>
      </c>
      <c r="F46" s="72">
        <v>29.0</v>
      </c>
      <c r="G46" s="48">
        <f t="shared" si="10"/>
        <v>1</v>
      </c>
      <c r="H46" s="46">
        <f t="shared" si="33"/>
        <v>37.87931034</v>
      </c>
      <c r="I46" s="46">
        <f t="shared" si="34"/>
        <v>37.87931034</v>
      </c>
      <c r="J46" s="73">
        <v>2245.0</v>
      </c>
      <c r="K46" s="50">
        <f t="shared" si="13"/>
        <v>0.01291759465</v>
      </c>
      <c r="L46" s="71">
        <v>80.03</v>
      </c>
      <c r="M46" s="71">
        <v>516.2</v>
      </c>
      <c r="N46" s="72">
        <v>14.0</v>
      </c>
      <c r="O46" s="73">
        <v>112207.0</v>
      </c>
      <c r="P46" s="50">
        <f t="shared" si="14"/>
        <v>0.1550368074</v>
      </c>
      <c r="Q46" s="51">
        <f t="shared" si="15"/>
        <v>6.45008122</v>
      </c>
      <c r="R46" s="50">
        <f t="shared" si="16"/>
        <v>0.4699135184</v>
      </c>
      <c r="S46" s="16"/>
      <c r="T46" s="25"/>
      <c r="U46" s="6"/>
      <c r="V46" s="6"/>
      <c r="W46" s="7"/>
      <c r="X46" s="7"/>
      <c r="Y46" s="7"/>
      <c r="Z46" s="7"/>
    </row>
    <row r="47" hidden="1" outlineLevel="1">
      <c r="A47" s="44" t="str">
        <f t="shared" si="32"/>
        <v>2-2024</v>
      </c>
      <c r="B47" s="101">
        <v>45329.0</v>
      </c>
      <c r="C47" s="45"/>
      <c r="D47" s="71">
        <v>1278.6</v>
      </c>
      <c r="E47" s="72">
        <v>36.0</v>
      </c>
      <c r="F47" s="72">
        <v>36.0</v>
      </c>
      <c r="G47" s="48">
        <f t="shared" si="10"/>
        <v>1</v>
      </c>
      <c r="H47" s="46">
        <f t="shared" si="33"/>
        <v>35.51666667</v>
      </c>
      <c r="I47" s="46">
        <f t="shared" si="34"/>
        <v>35.51666667</v>
      </c>
      <c r="J47" s="73">
        <v>2399.0</v>
      </c>
      <c r="K47" s="50">
        <f t="shared" si="13"/>
        <v>0.01500625261</v>
      </c>
      <c r="L47" s="71">
        <v>92.62</v>
      </c>
      <c r="M47" s="71">
        <v>632.7</v>
      </c>
      <c r="N47" s="72">
        <v>17.0</v>
      </c>
      <c r="O47" s="73">
        <v>105331.0</v>
      </c>
      <c r="P47" s="50">
        <f t="shared" si="14"/>
        <v>0.1463884938</v>
      </c>
      <c r="Q47" s="51">
        <f t="shared" si="15"/>
        <v>6.831137983</v>
      </c>
      <c r="R47" s="50">
        <f t="shared" si="16"/>
        <v>0.4948381042</v>
      </c>
      <c r="S47" s="16"/>
      <c r="T47" s="25"/>
      <c r="U47" s="6"/>
      <c r="V47" s="6"/>
      <c r="W47" s="7"/>
      <c r="X47" s="7"/>
      <c r="Y47" s="7"/>
      <c r="Z47" s="7"/>
    </row>
    <row r="48" hidden="1" outlineLevel="1">
      <c r="A48" s="44" t="str">
        <f t="shared" si="32"/>
        <v>2-2024</v>
      </c>
      <c r="B48" s="101">
        <v>45330.0</v>
      </c>
      <c r="C48" s="45"/>
      <c r="D48" s="71">
        <v>1419.7</v>
      </c>
      <c r="E48" s="72">
        <v>40.0</v>
      </c>
      <c r="F48" s="72">
        <v>40.0</v>
      </c>
      <c r="G48" s="48">
        <f t="shared" si="10"/>
        <v>1</v>
      </c>
      <c r="H48" s="46">
        <f t="shared" si="33"/>
        <v>35.4925</v>
      </c>
      <c r="I48" s="46">
        <f t="shared" si="34"/>
        <v>35.4925</v>
      </c>
      <c r="J48" s="73">
        <v>1865.0</v>
      </c>
      <c r="K48" s="50">
        <f t="shared" si="13"/>
        <v>0.02144772118</v>
      </c>
      <c r="L48" s="71">
        <v>60.08</v>
      </c>
      <c r="M48" s="71">
        <v>799.9</v>
      </c>
      <c r="N48" s="72">
        <v>22.0</v>
      </c>
      <c r="O48" s="73">
        <v>92712.0</v>
      </c>
      <c r="P48" s="50">
        <f t="shared" si="14"/>
        <v>0.07510938867</v>
      </c>
      <c r="Q48" s="51">
        <f t="shared" si="15"/>
        <v>13.31391478</v>
      </c>
      <c r="R48" s="50">
        <f t="shared" si="16"/>
        <v>0.5634288934</v>
      </c>
      <c r="S48" s="16"/>
      <c r="T48" s="25"/>
      <c r="U48" s="6"/>
      <c r="V48" s="6"/>
      <c r="W48" s="7"/>
      <c r="X48" s="7"/>
      <c r="Y48" s="7"/>
      <c r="Z48" s="7"/>
    </row>
    <row r="49" hidden="1" outlineLevel="1">
      <c r="A49" s="44" t="str">
        <f t="shared" si="32"/>
        <v>2-2024</v>
      </c>
      <c r="B49" s="101">
        <v>45331.0</v>
      </c>
      <c r="C49" s="45"/>
      <c r="D49" s="71">
        <v>1701.2</v>
      </c>
      <c r="E49" s="72">
        <v>42.0</v>
      </c>
      <c r="F49" s="72">
        <v>42.0</v>
      </c>
      <c r="G49" s="48">
        <f t="shared" si="10"/>
        <v>1</v>
      </c>
      <c r="H49" s="46">
        <f t="shared" si="33"/>
        <v>40.5047619</v>
      </c>
      <c r="I49" s="46">
        <f t="shared" si="34"/>
        <v>40.5047619</v>
      </c>
      <c r="J49" s="73">
        <v>1630.0</v>
      </c>
      <c r="K49" s="50">
        <f t="shared" si="13"/>
        <v>0.02576687117</v>
      </c>
      <c r="L49" s="71">
        <v>57.39</v>
      </c>
      <c r="M49" s="71">
        <v>724.5</v>
      </c>
      <c r="N49" s="72">
        <v>19.0</v>
      </c>
      <c r="O49" s="73">
        <v>77419.0</v>
      </c>
      <c r="P49" s="50">
        <f t="shared" si="14"/>
        <v>0.07921325052</v>
      </c>
      <c r="Q49" s="51">
        <f t="shared" si="15"/>
        <v>12.62415055</v>
      </c>
      <c r="R49" s="50">
        <f t="shared" si="16"/>
        <v>0.4258758523</v>
      </c>
      <c r="S49" s="16"/>
      <c r="T49" s="25"/>
      <c r="U49" s="6"/>
      <c r="V49" s="6"/>
      <c r="W49" s="7"/>
      <c r="X49" s="7"/>
      <c r="Y49" s="7"/>
      <c r="Z49" s="7"/>
    </row>
    <row r="50" hidden="1" outlineLevel="1">
      <c r="A50" s="44" t="str">
        <f t="shared" si="32"/>
        <v>2-2024</v>
      </c>
      <c r="B50" s="101">
        <v>45332.0</v>
      </c>
      <c r="C50" s="45"/>
      <c r="D50" s="71">
        <v>1720.9</v>
      </c>
      <c r="E50" s="72">
        <v>44.0</v>
      </c>
      <c r="F50" s="72">
        <v>44.0</v>
      </c>
      <c r="G50" s="48">
        <f t="shared" si="10"/>
        <v>1</v>
      </c>
      <c r="H50" s="46">
        <f t="shared" si="33"/>
        <v>39.11136364</v>
      </c>
      <c r="I50" s="46">
        <f t="shared" si="34"/>
        <v>39.11136364</v>
      </c>
      <c r="J50" s="73">
        <v>2343.0</v>
      </c>
      <c r="K50" s="50">
        <f t="shared" si="13"/>
        <v>0.01877934272</v>
      </c>
      <c r="L50" s="71">
        <v>85.42</v>
      </c>
      <c r="M50" s="71">
        <v>1132.39</v>
      </c>
      <c r="N50" s="72">
        <v>31.0</v>
      </c>
      <c r="O50" s="73">
        <v>103166.0</v>
      </c>
      <c r="P50" s="50">
        <f t="shared" si="14"/>
        <v>0.07543337543</v>
      </c>
      <c r="Q50" s="51">
        <f t="shared" si="15"/>
        <v>13.25673144</v>
      </c>
      <c r="R50" s="50">
        <f t="shared" si="16"/>
        <v>0.6580219653</v>
      </c>
      <c r="S50" s="16"/>
      <c r="T50" s="25"/>
      <c r="U50" s="6"/>
      <c r="V50" s="6"/>
      <c r="W50" s="7"/>
      <c r="X50" s="7"/>
      <c r="Y50" s="7"/>
      <c r="Z50" s="7"/>
    </row>
    <row r="51" collapsed="1">
      <c r="A51" s="74" t="s">
        <v>102</v>
      </c>
      <c r="B51" s="53"/>
      <c r="C51" s="54"/>
      <c r="D51" s="55">
        <f t="shared" ref="D51:F51" si="35">SUM(D44:D50)</f>
        <v>11510.9</v>
      </c>
      <c r="E51" s="74">
        <f t="shared" si="35"/>
        <v>305</v>
      </c>
      <c r="F51" s="74">
        <f t="shared" si="35"/>
        <v>304</v>
      </c>
      <c r="G51" s="75">
        <f t="shared" si="10"/>
        <v>1.003289474</v>
      </c>
      <c r="H51" s="55">
        <f>AVERAGE(H44:H50)</f>
        <v>37.77709011</v>
      </c>
      <c r="I51" s="76">
        <f>H51/G51</f>
        <v>37.6532308</v>
      </c>
      <c r="J51" s="59">
        <f>SUM(J44:J50)</f>
        <v>15433</v>
      </c>
      <c r="K51" s="60">
        <f t="shared" si="13"/>
        <v>0.01976284585</v>
      </c>
      <c r="L51" s="55">
        <f t="shared" ref="L51:O51" si="36">SUM(L44:L50)</f>
        <v>584.06</v>
      </c>
      <c r="M51" s="55">
        <f t="shared" si="36"/>
        <v>6503.56</v>
      </c>
      <c r="N51" s="74">
        <f t="shared" si="36"/>
        <v>174</v>
      </c>
      <c r="O51" s="59">
        <f t="shared" si="36"/>
        <v>766479</v>
      </c>
      <c r="P51" s="60">
        <f t="shared" si="14"/>
        <v>0.08980619845</v>
      </c>
      <c r="Q51" s="78">
        <f t="shared" si="15"/>
        <v>11.13508886</v>
      </c>
      <c r="R51" s="62">
        <f t="shared" si="16"/>
        <v>0.5649914429</v>
      </c>
      <c r="S51" s="54" t="str">
        <f>iferror((D51-#REF!)/D51,)</f>
        <v/>
      </c>
      <c r="T51" s="63" t="str">
        <f>iferror((F51-#REF!)/F51,)</f>
        <v/>
      </c>
      <c r="U51" s="64">
        <f t="shared" ref="U51:V51" si="37">L51</f>
        <v>584.06</v>
      </c>
      <c r="V51" s="64">
        <f t="shared" si="37"/>
        <v>6503.56</v>
      </c>
      <c r="W51" s="7"/>
      <c r="X51" s="7"/>
      <c r="Y51" s="7"/>
      <c r="Z51" s="7"/>
    </row>
    <row r="52" outlineLevel="1">
      <c r="A52" s="44" t="str">
        <f t="shared" ref="A52:A58" si="38">iferror(if(B52&gt;0,month(B52)&amp;"-"&amp;year(B52),B52),)</f>
        <v>2-2024</v>
      </c>
      <c r="B52" s="101">
        <v>45333.0</v>
      </c>
      <c r="C52" s="45"/>
      <c r="D52" s="71">
        <v>2148.9</v>
      </c>
      <c r="E52" s="72">
        <v>56.0</v>
      </c>
      <c r="F52" s="72">
        <v>55.0</v>
      </c>
      <c r="G52" s="48">
        <f t="shared" si="10"/>
        <v>1.018181818</v>
      </c>
      <c r="H52" s="46">
        <f t="shared" ref="H52:H58" si="39">D52/F52</f>
        <v>39.07090909</v>
      </c>
      <c r="I52" s="46">
        <f t="shared" ref="I52:I58" si="40">D52/E52</f>
        <v>38.37321429</v>
      </c>
      <c r="J52" s="73">
        <v>2549.0</v>
      </c>
      <c r="K52" s="50">
        <f t="shared" si="13"/>
        <v>0.02196939976</v>
      </c>
      <c r="L52" s="71">
        <v>102.49</v>
      </c>
      <c r="M52" s="71">
        <v>1223.8</v>
      </c>
      <c r="N52" s="72">
        <v>31.0</v>
      </c>
      <c r="O52" s="73">
        <v>111147.0</v>
      </c>
      <c r="P52" s="50">
        <f t="shared" si="14"/>
        <v>0.08374734434</v>
      </c>
      <c r="Q52" s="51">
        <f t="shared" si="15"/>
        <v>11.94067714</v>
      </c>
      <c r="R52" s="50">
        <f t="shared" si="16"/>
        <v>0.5695006748</v>
      </c>
      <c r="S52" s="16"/>
      <c r="T52" s="25"/>
      <c r="U52" s="6"/>
      <c r="V52" s="6"/>
      <c r="W52" s="7"/>
      <c r="X52" s="7"/>
      <c r="Y52" s="7"/>
      <c r="Z52" s="7"/>
    </row>
    <row r="53" outlineLevel="1">
      <c r="A53" s="44" t="str">
        <f t="shared" si="38"/>
        <v>2-2024</v>
      </c>
      <c r="B53" s="101">
        <v>45334.0</v>
      </c>
      <c r="C53" s="45"/>
      <c r="D53" s="71">
        <v>2277.2</v>
      </c>
      <c r="E53" s="72">
        <v>58.0</v>
      </c>
      <c r="F53" s="72">
        <v>58.0</v>
      </c>
      <c r="G53" s="48">
        <f t="shared" si="10"/>
        <v>1</v>
      </c>
      <c r="H53" s="46">
        <f t="shared" si="39"/>
        <v>39.26206897</v>
      </c>
      <c r="I53" s="46">
        <f t="shared" si="40"/>
        <v>39.26206897</v>
      </c>
      <c r="J53" s="73">
        <v>2312.0</v>
      </c>
      <c r="K53" s="50">
        <f t="shared" si="13"/>
        <v>0.02508650519</v>
      </c>
      <c r="L53" s="71">
        <v>84.07</v>
      </c>
      <c r="M53" s="71">
        <v>1569.5</v>
      </c>
      <c r="N53" s="72">
        <v>39.0</v>
      </c>
      <c r="O53" s="73">
        <v>103544.0</v>
      </c>
      <c r="P53" s="50">
        <f t="shared" si="14"/>
        <v>0.05356482956</v>
      </c>
      <c r="Q53" s="51">
        <f t="shared" si="15"/>
        <v>18.66896634</v>
      </c>
      <c r="R53" s="50">
        <f t="shared" si="16"/>
        <v>0.6892236079</v>
      </c>
      <c r="S53" s="16"/>
      <c r="T53" s="25"/>
      <c r="U53" s="102"/>
      <c r="V53" s="6"/>
      <c r="W53" s="7"/>
      <c r="X53" s="7"/>
      <c r="Y53" s="7"/>
      <c r="Z53" s="7"/>
    </row>
    <row r="54" outlineLevel="1">
      <c r="A54" s="44" t="str">
        <f t="shared" si="38"/>
        <v>2-2024</v>
      </c>
      <c r="B54" s="101">
        <v>45335.0</v>
      </c>
      <c r="C54" s="45"/>
      <c r="D54" s="71">
        <v>1373.5</v>
      </c>
      <c r="E54" s="72">
        <v>35.0</v>
      </c>
      <c r="F54" s="72">
        <v>35.0</v>
      </c>
      <c r="G54" s="48">
        <f t="shared" si="10"/>
        <v>1</v>
      </c>
      <c r="H54" s="46">
        <f t="shared" si="39"/>
        <v>39.24285714</v>
      </c>
      <c r="I54" s="46">
        <f t="shared" si="40"/>
        <v>39.24285714</v>
      </c>
      <c r="J54" s="73">
        <v>1951.0</v>
      </c>
      <c r="K54" s="50">
        <f t="shared" si="13"/>
        <v>0.0179395182</v>
      </c>
      <c r="L54" s="71">
        <v>66.49</v>
      </c>
      <c r="M54" s="71">
        <v>700.9</v>
      </c>
      <c r="N54" s="72">
        <v>19.0</v>
      </c>
      <c r="O54" s="73">
        <v>90523.0</v>
      </c>
      <c r="P54" s="50">
        <f t="shared" si="14"/>
        <v>0.09486374661</v>
      </c>
      <c r="Q54" s="51">
        <f t="shared" si="15"/>
        <v>10.5414348</v>
      </c>
      <c r="R54" s="50">
        <f t="shared" si="16"/>
        <v>0.5103021478</v>
      </c>
      <c r="S54" s="16"/>
      <c r="T54" s="25"/>
      <c r="U54" s="6"/>
      <c r="V54" s="6"/>
      <c r="W54" s="7"/>
      <c r="X54" s="7"/>
      <c r="Y54" s="7"/>
      <c r="Z54" s="7"/>
    </row>
    <row r="55" outlineLevel="1">
      <c r="A55" s="44" t="str">
        <f t="shared" si="38"/>
        <v>2-2024</v>
      </c>
      <c r="B55" s="101">
        <v>45336.0</v>
      </c>
      <c r="C55" s="45"/>
      <c r="D55" s="71">
        <v>1599.0</v>
      </c>
      <c r="E55" s="72">
        <v>40.0</v>
      </c>
      <c r="F55" s="72">
        <v>40.0</v>
      </c>
      <c r="G55" s="48">
        <f t="shared" si="10"/>
        <v>1</v>
      </c>
      <c r="H55" s="46">
        <f t="shared" si="39"/>
        <v>39.975</v>
      </c>
      <c r="I55" s="46">
        <f t="shared" si="40"/>
        <v>39.975</v>
      </c>
      <c r="J55" s="73">
        <v>1873.0</v>
      </c>
      <c r="K55" s="50">
        <f t="shared" si="13"/>
        <v>0.02135611319</v>
      </c>
      <c r="L55" s="71">
        <v>69.59</v>
      </c>
      <c r="M55" s="71">
        <v>769.3</v>
      </c>
      <c r="N55" s="72">
        <v>19.0</v>
      </c>
      <c r="O55" s="73">
        <v>78883.0</v>
      </c>
      <c r="P55" s="50">
        <f t="shared" si="14"/>
        <v>0.0904588587</v>
      </c>
      <c r="Q55" s="51">
        <f t="shared" si="15"/>
        <v>11.05474925</v>
      </c>
      <c r="R55" s="50">
        <f t="shared" si="16"/>
        <v>0.4811131957</v>
      </c>
      <c r="S55" s="16"/>
      <c r="T55" s="25"/>
      <c r="U55" s="6"/>
      <c r="V55" s="6"/>
      <c r="W55" s="7"/>
      <c r="X55" s="7"/>
      <c r="Y55" s="7"/>
      <c r="Z55" s="7"/>
    </row>
    <row r="56" outlineLevel="1">
      <c r="A56" s="44" t="str">
        <f t="shared" si="38"/>
        <v>2-2024</v>
      </c>
      <c r="B56" s="101">
        <v>45337.0</v>
      </c>
      <c r="C56" s="45"/>
      <c r="D56" s="71">
        <v>1592.9</v>
      </c>
      <c r="E56" s="72">
        <v>43.0</v>
      </c>
      <c r="F56" s="72">
        <v>43.0</v>
      </c>
      <c r="G56" s="48">
        <f t="shared" si="10"/>
        <v>1</v>
      </c>
      <c r="H56" s="46">
        <f t="shared" si="39"/>
        <v>37.04418605</v>
      </c>
      <c r="I56" s="46">
        <f t="shared" si="40"/>
        <v>37.04418605</v>
      </c>
      <c r="J56" s="73">
        <v>1863.0</v>
      </c>
      <c r="K56" s="50">
        <f t="shared" si="13"/>
        <v>0.02308105207</v>
      </c>
      <c r="L56" s="71">
        <v>53.6</v>
      </c>
      <c r="M56" s="71">
        <v>605.3</v>
      </c>
      <c r="N56" s="72">
        <v>21.0</v>
      </c>
      <c r="O56" s="73">
        <v>75712.0</v>
      </c>
      <c r="P56" s="50">
        <f t="shared" si="14"/>
        <v>0.08855113167</v>
      </c>
      <c r="Q56" s="51">
        <f t="shared" si="15"/>
        <v>11.29291045</v>
      </c>
      <c r="R56" s="50">
        <f t="shared" si="16"/>
        <v>0.3799987444</v>
      </c>
      <c r="S56" s="16"/>
      <c r="T56" s="25"/>
      <c r="U56" s="6"/>
      <c r="V56" s="6"/>
      <c r="W56" s="7"/>
      <c r="X56" s="7"/>
      <c r="Y56" s="7"/>
      <c r="Z56" s="7"/>
    </row>
    <row r="57" outlineLevel="1">
      <c r="A57" s="44" t="str">
        <f t="shared" si="38"/>
        <v>2-2024</v>
      </c>
      <c r="B57" s="101">
        <v>45338.0</v>
      </c>
      <c r="C57" s="45"/>
      <c r="D57" s="71">
        <v>1557.2</v>
      </c>
      <c r="E57" s="72">
        <v>38.0</v>
      </c>
      <c r="F57" s="72">
        <v>38.0</v>
      </c>
      <c r="G57" s="48">
        <f t="shared" si="10"/>
        <v>1</v>
      </c>
      <c r="H57" s="46">
        <f t="shared" si="39"/>
        <v>40.97894737</v>
      </c>
      <c r="I57" s="46">
        <f t="shared" si="40"/>
        <v>40.97894737</v>
      </c>
      <c r="J57" s="73">
        <v>2093.0</v>
      </c>
      <c r="K57" s="50">
        <f t="shared" si="13"/>
        <v>0.01815575729</v>
      </c>
      <c r="L57" s="71">
        <v>107.23</v>
      </c>
      <c r="M57" s="71">
        <v>965.5</v>
      </c>
      <c r="N57" s="72">
        <v>26.0</v>
      </c>
      <c r="O57" s="73">
        <v>96269.0</v>
      </c>
      <c r="P57" s="50">
        <f t="shared" si="14"/>
        <v>0.1110616261</v>
      </c>
      <c r="Q57" s="51">
        <f t="shared" si="15"/>
        <v>9.004010072</v>
      </c>
      <c r="R57" s="50">
        <f t="shared" si="16"/>
        <v>0.6200231184</v>
      </c>
      <c r="S57" s="16"/>
      <c r="T57" s="25"/>
      <c r="U57" s="6"/>
      <c r="V57" s="6"/>
      <c r="W57" s="7"/>
      <c r="X57" s="7"/>
      <c r="Y57" s="7"/>
      <c r="Z57" s="7"/>
    </row>
    <row r="58" outlineLevel="1">
      <c r="A58" s="44" t="str">
        <f t="shared" si="38"/>
        <v>2-2024</v>
      </c>
      <c r="B58" s="101">
        <v>45339.0</v>
      </c>
      <c r="C58" s="45"/>
      <c r="D58" s="71">
        <v>1981.1</v>
      </c>
      <c r="E58" s="72">
        <v>55.0</v>
      </c>
      <c r="F58" s="72">
        <v>54.0</v>
      </c>
      <c r="G58" s="48">
        <f t="shared" si="10"/>
        <v>1.018518519</v>
      </c>
      <c r="H58" s="46">
        <f t="shared" si="39"/>
        <v>36.68703704</v>
      </c>
      <c r="I58" s="46">
        <f t="shared" si="40"/>
        <v>36.02</v>
      </c>
      <c r="J58" s="73">
        <v>2602.0</v>
      </c>
      <c r="K58" s="50">
        <f t="shared" si="13"/>
        <v>0.02113758647</v>
      </c>
      <c r="L58" s="71">
        <v>133.33</v>
      </c>
      <c r="M58" s="71">
        <v>991.4</v>
      </c>
      <c r="N58" s="72">
        <v>31.0</v>
      </c>
      <c r="O58" s="73">
        <v>146457.0</v>
      </c>
      <c r="P58" s="50">
        <f t="shared" si="14"/>
        <v>0.1344865846</v>
      </c>
      <c r="Q58" s="51">
        <f t="shared" si="15"/>
        <v>7.435685892</v>
      </c>
      <c r="R58" s="50">
        <f t="shared" si="16"/>
        <v>0.5004290546</v>
      </c>
      <c r="S58" s="16"/>
      <c r="T58" s="25"/>
      <c r="U58" s="6"/>
      <c r="V58" s="6"/>
      <c r="W58" s="7"/>
      <c r="X58" s="7"/>
      <c r="Y58" s="7"/>
      <c r="Z58" s="7"/>
    </row>
    <row r="59">
      <c r="A59" s="74" t="s">
        <v>103</v>
      </c>
      <c r="B59" s="53"/>
      <c r="C59" s="54"/>
      <c r="D59" s="55">
        <f t="shared" ref="D59:F59" si="41">SUM(D52:D58)</f>
        <v>12529.8</v>
      </c>
      <c r="E59" s="74">
        <f t="shared" si="41"/>
        <v>325</v>
      </c>
      <c r="F59" s="74">
        <f t="shared" si="41"/>
        <v>323</v>
      </c>
      <c r="G59" s="75">
        <f t="shared" si="10"/>
        <v>1.00619195</v>
      </c>
      <c r="H59" s="55">
        <f>AVERAGE(H52:H58)</f>
        <v>38.89442938</v>
      </c>
      <c r="I59" s="76">
        <f>H59/G59</f>
        <v>38.65507904</v>
      </c>
      <c r="J59" s="59">
        <f>SUM(J52:J58)</f>
        <v>15243</v>
      </c>
      <c r="K59" s="60">
        <f t="shared" si="13"/>
        <v>0.02132126222</v>
      </c>
      <c r="L59" s="55">
        <f t="shared" ref="L59:O59" si="42">SUM(L52:L58)</f>
        <v>616.8</v>
      </c>
      <c r="M59" s="55">
        <f t="shared" si="42"/>
        <v>6825.7</v>
      </c>
      <c r="N59" s="74">
        <f t="shared" si="42"/>
        <v>186</v>
      </c>
      <c r="O59" s="59">
        <f t="shared" si="42"/>
        <v>702535</v>
      </c>
      <c r="P59" s="60">
        <f t="shared" si="14"/>
        <v>0.09036435823</v>
      </c>
      <c r="Q59" s="78">
        <f t="shared" si="15"/>
        <v>11.06630999</v>
      </c>
      <c r="R59" s="62">
        <f t="shared" si="16"/>
        <v>0.5447572986</v>
      </c>
      <c r="S59" s="54" t="str">
        <f>iferror((D59-#REF!)/D59,)</f>
        <v/>
      </c>
      <c r="T59" s="63" t="str">
        <f>iferror((F59-#REF!)/F59,)</f>
        <v/>
      </c>
      <c r="U59" s="64">
        <f t="shared" ref="U59:V59" si="43">sum(L59)</f>
        <v>616.8</v>
      </c>
      <c r="V59" s="64">
        <f t="shared" si="43"/>
        <v>6825.7</v>
      </c>
      <c r="W59" s="7"/>
      <c r="X59" s="7"/>
      <c r="Y59" s="7"/>
      <c r="Z59" s="7"/>
    </row>
    <row r="60" outlineLevel="1">
      <c r="A60" s="33" t="str">
        <f t="shared" ref="A60:A66" si="44">iferror(if(B60&gt;0,month(B60)&amp;"-"&amp;year(B60),B60),)</f>
        <v>2-2024</v>
      </c>
      <c r="B60" s="34">
        <v>45340.0</v>
      </c>
      <c r="C60" s="35"/>
      <c r="D60" s="36">
        <v>1584.0</v>
      </c>
      <c r="E60" s="37">
        <v>41.0</v>
      </c>
      <c r="F60" s="37">
        <v>41.0</v>
      </c>
      <c r="G60" s="38">
        <f t="shared" si="10"/>
        <v>1</v>
      </c>
      <c r="H60" s="36">
        <f t="shared" ref="H60:H66" si="45">D60/F60</f>
        <v>38.63414634</v>
      </c>
      <c r="I60" s="36">
        <f t="shared" ref="I60:I66" si="46">D60/E60</f>
        <v>38.63414634</v>
      </c>
      <c r="J60" s="39">
        <v>2691.0</v>
      </c>
      <c r="K60" s="40">
        <f t="shared" si="13"/>
        <v>0.01523597176</v>
      </c>
      <c r="L60" s="36">
        <v>132.35</v>
      </c>
      <c r="M60" s="36">
        <v>1251.6</v>
      </c>
      <c r="N60" s="37">
        <v>30.0</v>
      </c>
      <c r="O60" s="39">
        <v>158420.0</v>
      </c>
      <c r="P60" s="40">
        <f t="shared" si="14"/>
        <v>0.1057446469</v>
      </c>
      <c r="Q60" s="41">
        <f t="shared" si="15"/>
        <v>9.456743483</v>
      </c>
      <c r="R60" s="40">
        <f t="shared" si="16"/>
        <v>0.7901515152</v>
      </c>
      <c r="S60" s="42"/>
      <c r="T60" s="43"/>
      <c r="U60" s="6"/>
      <c r="V60" s="6"/>
      <c r="W60" s="6"/>
      <c r="X60" s="6"/>
      <c r="Y60" s="6"/>
      <c r="Z60" s="6"/>
    </row>
    <row r="61" outlineLevel="1">
      <c r="A61" s="44" t="str">
        <f t="shared" si="44"/>
        <v>2-2024</v>
      </c>
      <c r="B61" s="101">
        <v>45341.0</v>
      </c>
      <c r="C61" s="45"/>
      <c r="D61" s="46">
        <v>1951.3</v>
      </c>
      <c r="E61" s="47">
        <v>50.0</v>
      </c>
      <c r="F61" s="47">
        <v>50.0</v>
      </c>
      <c r="G61" s="48">
        <f t="shared" si="10"/>
        <v>1</v>
      </c>
      <c r="H61" s="46">
        <f t="shared" si="45"/>
        <v>39.026</v>
      </c>
      <c r="I61" s="46">
        <f t="shared" si="46"/>
        <v>39.026</v>
      </c>
      <c r="J61" s="49">
        <v>2626.0</v>
      </c>
      <c r="K61" s="50">
        <f t="shared" si="13"/>
        <v>0.01904036558</v>
      </c>
      <c r="L61" s="46">
        <v>126.31</v>
      </c>
      <c r="M61" s="46">
        <v>1113.59</v>
      </c>
      <c r="N61" s="47">
        <v>31.0</v>
      </c>
      <c r="O61" s="49">
        <v>136816.0</v>
      </c>
      <c r="P61" s="50">
        <f t="shared" si="14"/>
        <v>0.1134259467</v>
      </c>
      <c r="Q61" s="51">
        <f t="shared" si="15"/>
        <v>8.816324915</v>
      </c>
      <c r="R61" s="50">
        <f t="shared" si="16"/>
        <v>0.570691334</v>
      </c>
      <c r="S61" s="16"/>
      <c r="T61" s="25"/>
      <c r="U61" s="6"/>
      <c r="V61" s="6"/>
      <c r="W61" s="6"/>
      <c r="X61" s="6"/>
      <c r="Y61" s="6"/>
      <c r="Z61" s="6"/>
    </row>
    <row r="62" outlineLevel="1">
      <c r="A62" s="44" t="str">
        <f t="shared" si="44"/>
        <v>2-2024</v>
      </c>
      <c r="B62" s="101">
        <v>45342.0</v>
      </c>
      <c r="C62" s="45"/>
      <c r="D62" s="46">
        <v>1203.5</v>
      </c>
      <c r="E62" s="47">
        <v>30.0</v>
      </c>
      <c r="F62" s="47">
        <v>30.0</v>
      </c>
      <c r="G62" s="48">
        <f t="shared" si="10"/>
        <v>1</v>
      </c>
      <c r="H62" s="46">
        <f t="shared" si="45"/>
        <v>40.11666667</v>
      </c>
      <c r="I62" s="46">
        <f t="shared" si="46"/>
        <v>40.11666667</v>
      </c>
      <c r="J62" s="49">
        <v>2520.0</v>
      </c>
      <c r="K62" s="50">
        <f t="shared" si="13"/>
        <v>0.0119047619</v>
      </c>
      <c r="L62" s="46">
        <v>127.94</v>
      </c>
      <c r="M62" s="46">
        <v>1214.3</v>
      </c>
      <c r="N62" s="47">
        <v>32.0</v>
      </c>
      <c r="O62" s="49">
        <v>135848.0</v>
      </c>
      <c r="P62" s="50">
        <f t="shared" si="14"/>
        <v>0.1053611134</v>
      </c>
      <c r="Q62" s="51">
        <f t="shared" si="15"/>
        <v>9.491167735</v>
      </c>
      <c r="R62" s="50">
        <f t="shared" si="16"/>
        <v>1.008973826</v>
      </c>
      <c r="S62" s="16"/>
      <c r="T62" s="25"/>
      <c r="U62" s="6"/>
      <c r="V62" s="6"/>
      <c r="W62" s="6"/>
      <c r="X62" s="6"/>
      <c r="Y62" s="6"/>
      <c r="Z62" s="6"/>
    </row>
    <row r="63" outlineLevel="1">
      <c r="A63" s="44" t="str">
        <f t="shared" si="44"/>
        <v>2-2024</v>
      </c>
      <c r="B63" s="101">
        <v>45343.0</v>
      </c>
      <c r="C63" s="45"/>
      <c r="D63" s="46">
        <v>1562.4</v>
      </c>
      <c r="E63" s="47">
        <v>43.0</v>
      </c>
      <c r="F63" s="47">
        <v>43.0</v>
      </c>
      <c r="G63" s="48">
        <f t="shared" si="10"/>
        <v>1</v>
      </c>
      <c r="H63" s="46">
        <f t="shared" si="45"/>
        <v>36.33488372</v>
      </c>
      <c r="I63" s="46">
        <f t="shared" si="46"/>
        <v>36.33488372</v>
      </c>
      <c r="J63" s="49">
        <v>2238.0</v>
      </c>
      <c r="K63" s="50">
        <f t="shared" si="13"/>
        <v>0.01921358356</v>
      </c>
      <c r="L63" s="46">
        <v>113.83</v>
      </c>
      <c r="M63" s="46">
        <v>1080.0</v>
      </c>
      <c r="N63" s="47">
        <v>35.0</v>
      </c>
      <c r="O63" s="49">
        <v>108756.0</v>
      </c>
      <c r="P63" s="50">
        <f t="shared" si="14"/>
        <v>0.1053981481</v>
      </c>
      <c r="Q63" s="51">
        <f t="shared" si="15"/>
        <v>9.487832733</v>
      </c>
      <c r="R63" s="50">
        <f t="shared" si="16"/>
        <v>0.6912442396</v>
      </c>
      <c r="S63" s="16"/>
      <c r="T63" s="25"/>
      <c r="U63" s="6"/>
      <c r="V63" s="6"/>
      <c r="W63" s="6"/>
      <c r="X63" s="6"/>
      <c r="Y63" s="6"/>
      <c r="Z63" s="6"/>
    </row>
    <row r="64" outlineLevel="1">
      <c r="A64" s="44" t="str">
        <f t="shared" si="44"/>
        <v>2-2024</v>
      </c>
      <c r="B64" s="101">
        <v>45344.0</v>
      </c>
      <c r="C64" s="45"/>
      <c r="D64" s="46">
        <v>1723.3</v>
      </c>
      <c r="E64" s="47">
        <v>48.0</v>
      </c>
      <c r="F64" s="47">
        <v>47.0</v>
      </c>
      <c r="G64" s="48">
        <f t="shared" si="10"/>
        <v>1.021276596</v>
      </c>
      <c r="H64" s="46">
        <f t="shared" si="45"/>
        <v>36.66595745</v>
      </c>
      <c r="I64" s="46">
        <f t="shared" si="46"/>
        <v>35.90208333</v>
      </c>
      <c r="J64" s="49">
        <v>2248.0</v>
      </c>
      <c r="K64" s="50">
        <f t="shared" si="13"/>
        <v>0.02135231317</v>
      </c>
      <c r="L64" s="46">
        <v>123.39</v>
      </c>
      <c r="M64" s="46">
        <v>1013.57</v>
      </c>
      <c r="N64" s="47">
        <v>27.0</v>
      </c>
      <c r="O64" s="49">
        <v>116844.0</v>
      </c>
      <c r="P64" s="50">
        <f t="shared" si="14"/>
        <v>0.1217380151</v>
      </c>
      <c r="Q64" s="51">
        <f t="shared" si="15"/>
        <v>8.214360969</v>
      </c>
      <c r="R64" s="50">
        <f t="shared" si="16"/>
        <v>0.588156444</v>
      </c>
      <c r="S64" s="16"/>
      <c r="T64" s="25"/>
      <c r="U64" s="6"/>
      <c r="V64" s="6"/>
      <c r="W64" s="6"/>
      <c r="X64" s="6"/>
      <c r="Y64" s="6"/>
      <c r="Z64" s="6"/>
    </row>
    <row r="65" outlineLevel="1">
      <c r="A65" s="44" t="str">
        <f t="shared" si="44"/>
        <v>2-2024</v>
      </c>
      <c r="B65" s="101">
        <v>45345.0</v>
      </c>
      <c r="C65" s="45"/>
      <c r="D65" s="46">
        <v>1185.5</v>
      </c>
      <c r="E65" s="47">
        <v>36.0</v>
      </c>
      <c r="F65" s="47">
        <v>34.0</v>
      </c>
      <c r="G65" s="48">
        <f t="shared" si="10"/>
        <v>1.058823529</v>
      </c>
      <c r="H65" s="46">
        <f t="shared" si="45"/>
        <v>34.86764706</v>
      </c>
      <c r="I65" s="46">
        <f t="shared" si="46"/>
        <v>32.93055556</v>
      </c>
      <c r="J65" s="49">
        <v>2132.0</v>
      </c>
      <c r="K65" s="50">
        <f t="shared" si="13"/>
        <v>0.01688555347</v>
      </c>
      <c r="L65" s="46">
        <v>96.93</v>
      </c>
      <c r="M65" s="46">
        <v>589.3</v>
      </c>
      <c r="N65" s="47">
        <v>15.0</v>
      </c>
      <c r="O65" s="49">
        <v>111391.0</v>
      </c>
      <c r="P65" s="50">
        <f t="shared" si="14"/>
        <v>0.1644832853</v>
      </c>
      <c r="Q65" s="51">
        <f t="shared" si="15"/>
        <v>6.079645105</v>
      </c>
      <c r="R65" s="50">
        <f t="shared" si="16"/>
        <v>0.4970898355</v>
      </c>
      <c r="S65" s="16"/>
      <c r="T65" s="25"/>
      <c r="U65" s="6"/>
      <c r="V65" s="6"/>
      <c r="W65" s="6"/>
      <c r="X65" s="6"/>
      <c r="Y65" s="6"/>
      <c r="Z65" s="6"/>
    </row>
    <row r="66" outlineLevel="1">
      <c r="A66" s="44" t="str">
        <f t="shared" si="44"/>
        <v>2-2024</v>
      </c>
      <c r="B66" s="101">
        <v>45346.0</v>
      </c>
      <c r="C66" s="45"/>
      <c r="D66" s="46">
        <v>1658.0</v>
      </c>
      <c r="E66" s="47">
        <v>45.0</v>
      </c>
      <c r="F66" s="47">
        <v>44.0</v>
      </c>
      <c r="G66" s="48">
        <f t="shared" si="10"/>
        <v>1.022727273</v>
      </c>
      <c r="H66" s="46">
        <f t="shared" si="45"/>
        <v>37.68181818</v>
      </c>
      <c r="I66" s="46">
        <f t="shared" si="46"/>
        <v>36.84444444</v>
      </c>
      <c r="J66" s="49">
        <v>2583.0</v>
      </c>
      <c r="K66" s="50">
        <f t="shared" si="13"/>
        <v>0.01742160279</v>
      </c>
      <c r="L66" s="46">
        <v>132.62</v>
      </c>
      <c r="M66" s="46">
        <v>1357.28</v>
      </c>
      <c r="N66" s="47">
        <v>34.0</v>
      </c>
      <c r="O66" s="49">
        <v>140711.0</v>
      </c>
      <c r="P66" s="50">
        <f t="shared" si="14"/>
        <v>0.09771012613</v>
      </c>
      <c r="Q66" s="51">
        <f t="shared" si="15"/>
        <v>10.23435379</v>
      </c>
      <c r="R66" s="50">
        <f t="shared" si="16"/>
        <v>0.8186248492</v>
      </c>
      <c r="S66" s="16"/>
      <c r="T66" s="25"/>
      <c r="U66" s="6"/>
      <c r="V66" s="6"/>
      <c r="W66" s="6"/>
      <c r="X66" s="6"/>
      <c r="Y66" s="6"/>
      <c r="Z66" s="6"/>
    </row>
    <row r="67">
      <c r="A67" s="52" t="s">
        <v>104</v>
      </c>
      <c r="B67" s="53"/>
      <c r="C67" s="54"/>
      <c r="D67" s="55">
        <f t="shared" ref="D67:F67" si="47">SUM(D60:D66)</f>
        <v>10868</v>
      </c>
      <c r="E67" s="56">
        <f t="shared" si="47"/>
        <v>293</v>
      </c>
      <c r="F67" s="56">
        <f t="shared" si="47"/>
        <v>289</v>
      </c>
      <c r="G67" s="75">
        <f t="shared" si="10"/>
        <v>1.01384083</v>
      </c>
      <c r="H67" s="55">
        <f>AVERAGE(H60:H66)</f>
        <v>37.61815992</v>
      </c>
      <c r="I67" s="76">
        <f>H67/G67</f>
        <v>37.10460142</v>
      </c>
      <c r="J67" s="59">
        <f>SUM(J60:J66)</f>
        <v>17038</v>
      </c>
      <c r="K67" s="60">
        <f t="shared" si="13"/>
        <v>0.01719685409</v>
      </c>
      <c r="L67" s="55">
        <f t="shared" ref="L67:O67" si="48">SUM(L60:L66)</f>
        <v>853.37</v>
      </c>
      <c r="M67" s="55">
        <f t="shared" si="48"/>
        <v>7619.64</v>
      </c>
      <c r="N67" s="56">
        <f t="shared" si="48"/>
        <v>204</v>
      </c>
      <c r="O67" s="59">
        <f t="shared" si="48"/>
        <v>908786</v>
      </c>
      <c r="P67" s="60">
        <f t="shared" si="14"/>
        <v>0.1119961048</v>
      </c>
      <c r="Q67" s="78">
        <f t="shared" si="15"/>
        <v>8.928881962</v>
      </c>
      <c r="R67" s="62">
        <f t="shared" si="16"/>
        <v>0.7011078395</v>
      </c>
      <c r="S67" s="54" t="str">
        <f>iferror((D67-#REF!)/D67,)</f>
        <v/>
      </c>
      <c r="T67" s="63" t="str">
        <f>iferror((F67-#REF!)/F67,)</f>
        <v/>
      </c>
      <c r="U67" s="64">
        <f t="shared" ref="U67:V67" si="49">L67</f>
        <v>853.37</v>
      </c>
      <c r="V67" s="64">
        <f t="shared" si="49"/>
        <v>7619.64</v>
      </c>
      <c r="W67" s="6"/>
      <c r="X67" s="6"/>
      <c r="Y67" s="6"/>
      <c r="Z67" s="6"/>
    </row>
    <row r="68" outlineLevel="1">
      <c r="A68" s="65" t="str">
        <f t="shared" ref="A68:A74" si="50">iferror(if(B68&gt;0,month(B68)&amp;"-"&amp;year(B68),B68),)</f>
        <v>2-2024</v>
      </c>
      <c r="B68" s="82">
        <v>45347.0</v>
      </c>
      <c r="C68" s="83"/>
      <c r="D68" s="84">
        <v>2394.6</v>
      </c>
      <c r="E68" s="85">
        <v>61.0</v>
      </c>
      <c r="F68" s="85">
        <v>60.0</v>
      </c>
      <c r="G68" s="86">
        <f t="shared" si="10"/>
        <v>1.016666667</v>
      </c>
      <c r="H68" s="84">
        <f t="shared" ref="H68:H74" si="51">D68/F68</f>
        <v>39.91</v>
      </c>
      <c r="I68" s="84">
        <f t="shared" ref="I68:I74" si="52">D68/E68</f>
        <v>39.2557377</v>
      </c>
      <c r="J68" s="87">
        <v>3389.0</v>
      </c>
      <c r="K68" s="88">
        <f t="shared" si="13"/>
        <v>0.01799940986</v>
      </c>
      <c r="L68" s="84">
        <v>188.3</v>
      </c>
      <c r="M68" s="84">
        <v>2397.57</v>
      </c>
      <c r="N68" s="85">
        <v>60.0</v>
      </c>
      <c r="O68" s="87">
        <v>187488.0</v>
      </c>
      <c r="P68" s="88">
        <f t="shared" si="14"/>
        <v>0.07853785291</v>
      </c>
      <c r="Q68" s="89">
        <f t="shared" si="15"/>
        <v>12.73271375</v>
      </c>
      <c r="R68" s="88">
        <f t="shared" si="16"/>
        <v>1.001240291</v>
      </c>
      <c r="S68" s="90"/>
      <c r="T68" s="91"/>
      <c r="U68" s="2"/>
      <c r="V68" s="2"/>
      <c r="W68" s="2"/>
      <c r="X68" s="2"/>
      <c r="Y68" s="2"/>
      <c r="Z68" s="2"/>
    </row>
    <row r="69" outlineLevel="1">
      <c r="A69" s="70" t="str">
        <f t="shared" si="50"/>
        <v>2-2024</v>
      </c>
      <c r="B69" s="103">
        <v>45348.0</v>
      </c>
      <c r="C69" s="92"/>
      <c r="D69" s="93">
        <v>2402.7</v>
      </c>
      <c r="E69" s="94">
        <v>70.0</v>
      </c>
      <c r="F69" s="94">
        <v>70.0</v>
      </c>
      <c r="G69" s="95">
        <f t="shared" si="10"/>
        <v>1</v>
      </c>
      <c r="H69" s="93">
        <f t="shared" si="51"/>
        <v>34.32428571</v>
      </c>
      <c r="I69" s="93">
        <f t="shared" si="52"/>
        <v>34.32428571</v>
      </c>
      <c r="J69" s="96">
        <v>2697.0</v>
      </c>
      <c r="K69" s="97">
        <f t="shared" si="13"/>
        <v>0.02595476455</v>
      </c>
      <c r="L69" s="93">
        <v>129.04</v>
      </c>
      <c r="M69" s="93">
        <v>1815.39</v>
      </c>
      <c r="N69" s="94">
        <v>52.0</v>
      </c>
      <c r="O69" s="96">
        <v>155796.0</v>
      </c>
      <c r="P69" s="97">
        <f t="shared" si="14"/>
        <v>0.0710811451</v>
      </c>
      <c r="Q69" s="98">
        <f t="shared" si="15"/>
        <v>14.06842839</v>
      </c>
      <c r="R69" s="97">
        <f t="shared" si="16"/>
        <v>0.7555624922</v>
      </c>
      <c r="S69" s="99"/>
      <c r="T69" s="100"/>
      <c r="U69" s="2"/>
      <c r="V69" s="2"/>
      <c r="W69" s="2"/>
      <c r="X69" s="2"/>
      <c r="Y69" s="2"/>
      <c r="Z69" s="2"/>
    </row>
    <row r="70" outlineLevel="1">
      <c r="A70" s="70" t="str">
        <f t="shared" si="50"/>
        <v>2-2024</v>
      </c>
      <c r="B70" s="103">
        <v>45349.0</v>
      </c>
      <c r="C70" s="92"/>
      <c r="D70" s="93">
        <v>2186.1</v>
      </c>
      <c r="E70" s="94">
        <v>65.0</v>
      </c>
      <c r="F70" s="94">
        <v>65.0</v>
      </c>
      <c r="G70" s="95">
        <f t="shared" si="10"/>
        <v>1</v>
      </c>
      <c r="H70" s="93">
        <f t="shared" si="51"/>
        <v>33.63230769</v>
      </c>
      <c r="I70" s="93">
        <f t="shared" si="52"/>
        <v>33.63230769</v>
      </c>
      <c r="J70" s="96">
        <v>2417.0</v>
      </c>
      <c r="K70" s="97">
        <f t="shared" si="13"/>
        <v>0.02689284237</v>
      </c>
      <c r="L70" s="93">
        <v>123.62</v>
      </c>
      <c r="M70" s="93">
        <v>1109.4</v>
      </c>
      <c r="N70" s="94">
        <v>35.0</v>
      </c>
      <c r="O70" s="96">
        <v>143242.0</v>
      </c>
      <c r="P70" s="97">
        <f t="shared" si="14"/>
        <v>0.1114296016</v>
      </c>
      <c r="Q70" s="98">
        <f t="shared" si="15"/>
        <v>8.974276007</v>
      </c>
      <c r="R70" s="97">
        <f t="shared" si="16"/>
        <v>0.5074790723</v>
      </c>
      <c r="S70" s="99"/>
      <c r="T70" s="100"/>
      <c r="U70" s="2"/>
      <c r="V70" s="2"/>
      <c r="W70" s="2"/>
      <c r="X70" s="2"/>
      <c r="Y70" s="2"/>
      <c r="Z70" s="2"/>
    </row>
    <row r="71" outlineLevel="1">
      <c r="A71" s="70" t="str">
        <f t="shared" si="50"/>
        <v>2-2024</v>
      </c>
      <c r="B71" s="103">
        <v>45350.0</v>
      </c>
      <c r="C71" s="92"/>
      <c r="D71" s="93">
        <v>2174.4</v>
      </c>
      <c r="E71" s="94">
        <v>58.0</v>
      </c>
      <c r="F71" s="94">
        <v>58.0</v>
      </c>
      <c r="G71" s="95">
        <f t="shared" si="10"/>
        <v>1</v>
      </c>
      <c r="H71" s="93">
        <f t="shared" si="51"/>
        <v>37.48965517</v>
      </c>
      <c r="I71" s="93">
        <f t="shared" si="52"/>
        <v>37.48965517</v>
      </c>
      <c r="J71" s="96">
        <v>2545.0</v>
      </c>
      <c r="K71" s="97">
        <f t="shared" si="13"/>
        <v>0.02278978389</v>
      </c>
      <c r="L71" s="93">
        <v>121.44</v>
      </c>
      <c r="M71" s="93">
        <v>1622.7</v>
      </c>
      <c r="N71" s="94">
        <v>43.0</v>
      </c>
      <c r="O71" s="96">
        <v>140715.0</v>
      </c>
      <c r="P71" s="97">
        <f t="shared" si="14"/>
        <v>0.07483823258</v>
      </c>
      <c r="Q71" s="98">
        <f t="shared" si="15"/>
        <v>13.36215415</v>
      </c>
      <c r="R71" s="97">
        <f t="shared" si="16"/>
        <v>0.7462748344</v>
      </c>
      <c r="S71" s="99"/>
      <c r="T71" s="100"/>
      <c r="U71" s="2"/>
      <c r="V71" s="2"/>
      <c r="W71" s="2"/>
      <c r="X71" s="2"/>
      <c r="Y71" s="2"/>
      <c r="Z71" s="2"/>
    </row>
    <row r="72" outlineLevel="1">
      <c r="A72" s="70" t="str">
        <f t="shared" si="50"/>
        <v>2-2024</v>
      </c>
      <c r="B72" s="103">
        <v>45351.0</v>
      </c>
      <c r="C72" s="92"/>
      <c r="D72" s="93">
        <v>1814.3</v>
      </c>
      <c r="E72" s="94">
        <v>50.0</v>
      </c>
      <c r="F72" s="94">
        <v>49.0</v>
      </c>
      <c r="G72" s="95">
        <f t="shared" si="10"/>
        <v>1.020408163</v>
      </c>
      <c r="H72" s="93">
        <f t="shared" si="51"/>
        <v>37.02653061</v>
      </c>
      <c r="I72" s="93">
        <f t="shared" si="52"/>
        <v>36.286</v>
      </c>
      <c r="J72" s="96">
        <v>2413.0</v>
      </c>
      <c r="K72" s="97">
        <f t="shared" si="13"/>
        <v>0.02072109407</v>
      </c>
      <c r="L72" s="93">
        <v>119.16</v>
      </c>
      <c r="M72" s="93">
        <v>925.0</v>
      </c>
      <c r="N72" s="94">
        <v>23.0</v>
      </c>
      <c r="O72" s="96">
        <v>138130.0</v>
      </c>
      <c r="P72" s="97">
        <f t="shared" si="14"/>
        <v>0.1288216216</v>
      </c>
      <c r="Q72" s="98">
        <f t="shared" si="15"/>
        <v>7.762672038</v>
      </c>
      <c r="R72" s="97">
        <f t="shared" si="16"/>
        <v>0.5098385052</v>
      </c>
      <c r="S72" s="99"/>
      <c r="T72" s="100"/>
      <c r="U72" s="2"/>
      <c r="V72" s="2"/>
      <c r="W72" s="2"/>
      <c r="X72" s="2"/>
      <c r="Y72" s="2"/>
      <c r="Z72" s="2"/>
    </row>
    <row r="73" outlineLevel="1">
      <c r="A73" s="70" t="str">
        <f t="shared" si="50"/>
        <v>3-2024</v>
      </c>
      <c r="B73" s="103">
        <v>45352.0</v>
      </c>
      <c r="C73" s="92"/>
      <c r="D73" s="93">
        <v>1966.6</v>
      </c>
      <c r="E73" s="94">
        <v>55.0</v>
      </c>
      <c r="F73" s="94">
        <v>54.0</v>
      </c>
      <c r="G73" s="95">
        <f t="shared" si="10"/>
        <v>1.018518519</v>
      </c>
      <c r="H73" s="93">
        <f t="shared" si="51"/>
        <v>36.41851852</v>
      </c>
      <c r="I73" s="93">
        <f t="shared" si="52"/>
        <v>35.75636364</v>
      </c>
      <c r="J73" s="96">
        <v>2477.0</v>
      </c>
      <c r="K73" s="97">
        <f t="shared" si="13"/>
        <v>0.02220427937</v>
      </c>
      <c r="L73" s="93">
        <v>121.96</v>
      </c>
      <c r="M73" s="93">
        <v>1126.6</v>
      </c>
      <c r="N73" s="94">
        <v>34.0</v>
      </c>
      <c r="O73" s="96">
        <v>128655.0</v>
      </c>
      <c r="P73" s="97">
        <f t="shared" si="14"/>
        <v>0.1082549263</v>
      </c>
      <c r="Q73" s="98">
        <f t="shared" si="15"/>
        <v>9.237454903</v>
      </c>
      <c r="R73" s="97">
        <f t="shared" si="16"/>
        <v>0.5728668768</v>
      </c>
      <c r="S73" s="99"/>
      <c r="T73" s="100"/>
      <c r="U73" s="104">
        <f t="shared" ref="U73:V73" si="53">sum(L68:L73)</f>
        <v>803.52</v>
      </c>
      <c r="V73" s="104">
        <f t="shared" si="53"/>
        <v>8996.66</v>
      </c>
      <c r="W73" s="2"/>
      <c r="X73" s="2"/>
      <c r="Y73" s="2"/>
      <c r="Z73" s="2"/>
    </row>
    <row r="74" outlineLevel="1">
      <c r="A74" s="70" t="str">
        <f t="shared" si="50"/>
        <v>3-2024</v>
      </c>
      <c r="B74" s="103">
        <v>45353.0</v>
      </c>
      <c r="C74" s="92"/>
      <c r="D74" s="93">
        <v>1934.4</v>
      </c>
      <c r="E74" s="94">
        <v>59.0</v>
      </c>
      <c r="F74" s="94">
        <v>58.0</v>
      </c>
      <c r="G74" s="95">
        <f t="shared" si="10"/>
        <v>1.017241379</v>
      </c>
      <c r="H74" s="93">
        <f t="shared" si="51"/>
        <v>33.35172414</v>
      </c>
      <c r="I74" s="93">
        <f t="shared" si="52"/>
        <v>32.78644068</v>
      </c>
      <c r="J74" s="96">
        <v>3186.0</v>
      </c>
      <c r="K74" s="97">
        <f t="shared" si="13"/>
        <v>0.01851851852</v>
      </c>
      <c r="L74" s="93">
        <v>145.36</v>
      </c>
      <c r="M74" s="93">
        <v>1052.1</v>
      </c>
      <c r="N74" s="94">
        <v>33.0</v>
      </c>
      <c r="O74" s="96">
        <v>156438.0</v>
      </c>
      <c r="P74" s="97">
        <f t="shared" si="14"/>
        <v>0.1381617717</v>
      </c>
      <c r="Q74" s="98">
        <f t="shared" si="15"/>
        <v>7.23789213</v>
      </c>
      <c r="R74" s="97">
        <f t="shared" si="16"/>
        <v>0.5438895782</v>
      </c>
      <c r="S74" s="99"/>
      <c r="T74" s="100"/>
      <c r="U74" s="2"/>
      <c r="V74" s="2"/>
      <c r="W74" s="2"/>
      <c r="X74" s="2"/>
      <c r="Y74" s="2"/>
      <c r="Z74" s="2"/>
    </row>
    <row r="75">
      <c r="A75" s="52" t="s">
        <v>105</v>
      </c>
      <c r="B75" s="53"/>
      <c r="C75" s="54"/>
      <c r="D75" s="55">
        <f t="shared" ref="D75:F75" si="54">SUM(D68:D74)</f>
        <v>14873.1</v>
      </c>
      <c r="E75" s="56">
        <f t="shared" si="54"/>
        <v>418</v>
      </c>
      <c r="F75" s="56">
        <f t="shared" si="54"/>
        <v>414</v>
      </c>
      <c r="G75" s="75">
        <f t="shared" si="10"/>
        <v>1.009661836</v>
      </c>
      <c r="H75" s="55">
        <f>AVERAGE(H68:H74)</f>
        <v>36.02186026</v>
      </c>
      <c r="I75" s="76">
        <f>H75/G75</f>
        <v>35.67715347</v>
      </c>
      <c r="J75" s="59">
        <f>SUM(J68:J74)</f>
        <v>19124</v>
      </c>
      <c r="K75" s="60">
        <f t="shared" si="13"/>
        <v>0.02185735202</v>
      </c>
      <c r="L75" s="55">
        <f t="shared" ref="L75:O75" si="55">SUM(L68:L74)</f>
        <v>948.88</v>
      </c>
      <c r="M75" s="55">
        <f t="shared" si="55"/>
        <v>10048.76</v>
      </c>
      <c r="N75" s="56">
        <f t="shared" si="55"/>
        <v>280</v>
      </c>
      <c r="O75" s="59">
        <f t="shared" si="55"/>
        <v>1050464</v>
      </c>
      <c r="P75" s="60">
        <f t="shared" si="14"/>
        <v>0.09442757116</v>
      </c>
      <c r="Q75" s="78">
        <f t="shared" si="15"/>
        <v>10.59012731</v>
      </c>
      <c r="R75" s="62">
        <f t="shared" si="16"/>
        <v>0.6756331901</v>
      </c>
      <c r="S75" s="54" t="str">
        <f>iferror((D75-#REF!)/D75,)</f>
        <v/>
      </c>
      <c r="T75" s="63" t="str">
        <f>iferror((F75-#REF!)/F75,)</f>
        <v/>
      </c>
      <c r="U75" s="64">
        <f t="shared" ref="U75:V75" si="56">sum(U27:U74)</f>
        <v>4522.18</v>
      </c>
      <c r="V75" s="64">
        <f t="shared" si="56"/>
        <v>44110.29</v>
      </c>
      <c r="W75" s="6">
        <f>U75/V75</f>
        <v>0.1025198429</v>
      </c>
      <c r="X75" s="6"/>
      <c r="Y75" s="6"/>
      <c r="Z75" s="6"/>
    </row>
    <row r="76" outlineLevel="1">
      <c r="A76" s="33" t="str">
        <f t="shared" ref="A76:A82" si="57">iferror(if(B76&gt;0,month(B76)&amp;"-"&amp;year(B76),B76),)</f>
        <v>3-2024</v>
      </c>
      <c r="B76" s="34">
        <v>45354.0</v>
      </c>
      <c r="C76" s="35"/>
      <c r="D76" s="36">
        <v>3713.7</v>
      </c>
      <c r="E76" s="37">
        <v>103.0</v>
      </c>
      <c r="F76" s="37">
        <v>103.0</v>
      </c>
      <c r="G76" s="38">
        <f t="shared" si="10"/>
        <v>1</v>
      </c>
      <c r="H76" s="36">
        <f t="shared" ref="H76:H82" si="58">D76/F76</f>
        <v>36.05533981</v>
      </c>
      <c r="I76" s="36">
        <f t="shared" ref="I76:I82" si="59">D76/E76</f>
        <v>36.05533981</v>
      </c>
      <c r="J76" s="39">
        <v>4173.0</v>
      </c>
      <c r="K76" s="40">
        <f t="shared" si="13"/>
        <v>0.02468248263</v>
      </c>
      <c r="L76" s="36">
        <v>203.75</v>
      </c>
      <c r="M76" s="36">
        <v>2742.9</v>
      </c>
      <c r="N76" s="37">
        <v>78.0</v>
      </c>
      <c r="O76" s="39">
        <v>222449.0</v>
      </c>
      <c r="P76" s="40">
        <f t="shared" si="14"/>
        <v>0.0742826935</v>
      </c>
      <c r="Q76" s="41">
        <f t="shared" si="15"/>
        <v>13.46208589</v>
      </c>
      <c r="R76" s="40">
        <f t="shared" si="16"/>
        <v>0.7385895468</v>
      </c>
      <c r="S76" s="42"/>
      <c r="T76" s="43"/>
      <c r="U76" s="6"/>
      <c r="V76" s="6"/>
      <c r="W76" s="6"/>
      <c r="X76" s="6"/>
      <c r="Y76" s="6"/>
      <c r="Z76" s="6"/>
    </row>
    <row r="77" outlineLevel="1">
      <c r="A77" s="44" t="str">
        <f t="shared" si="57"/>
        <v>3-2024</v>
      </c>
      <c r="B77" s="101">
        <v>45355.0</v>
      </c>
      <c r="C77" s="45"/>
      <c r="D77" s="46">
        <v>3157.3</v>
      </c>
      <c r="E77" s="47">
        <v>85.0</v>
      </c>
      <c r="F77" s="47">
        <v>85.0</v>
      </c>
      <c r="G77" s="48">
        <f t="shared" si="10"/>
        <v>1</v>
      </c>
      <c r="H77" s="46">
        <f t="shared" si="58"/>
        <v>37.14470588</v>
      </c>
      <c r="I77" s="46">
        <f t="shared" si="59"/>
        <v>37.14470588</v>
      </c>
      <c r="J77" s="49">
        <v>3263.0</v>
      </c>
      <c r="K77" s="50">
        <f t="shared" si="13"/>
        <v>0.02604964756</v>
      </c>
      <c r="L77" s="46">
        <v>151.48</v>
      </c>
      <c r="M77" s="46">
        <v>1965.3</v>
      </c>
      <c r="N77" s="47">
        <v>55.0</v>
      </c>
      <c r="O77" s="49">
        <v>179325.0</v>
      </c>
      <c r="P77" s="50">
        <f t="shared" si="14"/>
        <v>0.077077291</v>
      </c>
      <c r="Q77" s="51">
        <f t="shared" si="15"/>
        <v>12.97398997</v>
      </c>
      <c r="R77" s="50">
        <f t="shared" si="16"/>
        <v>0.6224622304</v>
      </c>
      <c r="S77" s="16"/>
      <c r="T77" s="25"/>
      <c r="U77" s="6"/>
      <c r="V77" s="6"/>
      <c r="W77" s="6"/>
      <c r="X77" s="6"/>
      <c r="Y77" s="6"/>
      <c r="Z77" s="6"/>
    </row>
    <row r="78" outlineLevel="1">
      <c r="A78" s="44" t="str">
        <f t="shared" si="57"/>
        <v>3-2024</v>
      </c>
      <c r="B78" s="101">
        <v>45356.0</v>
      </c>
      <c r="C78" s="45"/>
      <c r="D78" s="46">
        <v>3082.0</v>
      </c>
      <c r="E78" s="47">
        <v>79.0</v>
      </c>
      <c r="F78" s="47">
        <v>79.0</v>
      </c>
      <c r="G78" s="48">
        <f t="shared" si="10"/>
        <v>1</v>
      </c>
      <c r="H78" s="46">
        <f t="shared" si="58"/>
        <v>39.01265823</v>
      </c>
      <c r="I78" s="46">
        <f t="shared" si="59"/>
        <v>39.01265823</v>
      </c>
      <c r="J78" s="49">
        <v>3358.0</v>
      </c>
      <c r="K78" s="50">
        <f t="shared" si="13"/>
        <v>0.02352590828</v>
      </c>
      <c r="L78" s="46">
        <v>154.46</v>
      </c>
      <c r="M78" s="46">
        <v>2180.7</v>
      </c>
      <c r="N78" s="47">
        <v>53.0</v>
      </c>
      <c r="O78" s="49">
        <v>143641.0</v>
      </c>
      <c r="P78" s="50">
        <f t="shared" si="14"/>
        <v>0.07083046728</v>
      </c>
      <c r="Q78" s="51">
        <f t="shared" si="15"/>
        <v>14.11821831</v>
      </c>
      <c r="R78" s="50">
        <f t="shared" si="16"/>
        <v>0.707560026</v>
      </c>
      <c r="S78" s="16"/>
      <c r="T78" s="25"/>
      <c r="U78" s="6"/>
      <c r="V78" s="6"/>
      <c r="W78" s="6"/>
      <c r="X78" s="6"/>
      <c r="Y78" s="6"/>
      <c r="Z78" s="6"/>
    </row>
    <row r="79" outlineLevel="1">
      <c r="A79" s="44" t="str">
        <f t="shared" si="57"/>
        <v>3-2024</v>
      </c>
      <c r="B79" s="101">
        <v>45357.0</v>
      </c>
      <c r="C79" s="45"/>
      <c r="D79" s="46">
        <v>2761.5</v>
      </c>
      <c r="E79" s="47">
        <v>76.0</v>
      </c>
      <c r="F79" s="47">
        <v>76.0</v>
      </c>
      <c r="G79" s="48">
        <f t="shared" si="10"/>
        <v>1</v>
      </c>
      <c r="H79" s="46">
        <f t="shared" si="58"/>
        <v>36.33552632</v>
      </c>
      <c r="I79" s="46">
        <f t="shared" si="59"/>
        <v>36.33552632</v>
      </c>
      <c r="J79" s="49">
        <v>3082.0</v>
      </c>
      <c r="K79" s="50">
        <f t="shared" si="13"/>
        <v>0.02465931213</v>
      </c>
      <c r="L79" s="46">
        <v>129.63</v>
      </c>
      <c r="M79" s="46">
        <v>1940.69</v>
      </c>
      <c r="N79" s="47">
        <v>53.0</v>
      </c>
      <c r="O79" s="49">
        <v>136897.0</v>
      </c>
      <c r="P79" s="50">
        <f t="shared" si="14"/>
        <v>0.06679583035</v>
      </c>
      <c r="Q79" s="51">
        <f t="shared" si="15"/>
        <v>14.97099437</v>
      </c>
      <c r="R79" s="50">
        <f t="shared" si="16"/>
        <v>0.7027666123</v>
      </c>
      <c r="S79" s="16"/>
      <c r="T79" s="25"/>
      <c r="U79" s="6"/>
      <c r="V79" s="6"/>
      <c r="W79" s="6"/>
      <c r="X79" s="6"/>
      <c r="Y79" s="6"/>
      <c r="Z79" s="6"/>
    </row>
    <row r="80" outlineLevel="1">
      <c r="A80" s="44" t="str">
        <f t="shared" si="57"/>
        <v>3-2024</v>
      </c>
      <c r="B80" s="101">
        <v>45358.0</v>
      </c>
      <c r="C80" s="45"/>
      <c r="D80" s="46">
        <v>2230.7</v>
      </c>
      <c r="E80" s="47">
        <v>59.0</v>
      </c>
      <c r="F80" s="47">
        <v>59.0</v>
      </c>
      <c r="G80" s="48">
        <f t="shared" si="10"/>
        <v>1</v>
      </c>
      <c r="H80" s="46">
        <f t="shared" si="58"/>
        <v>37.80847458</v>
      </c>
      <c r="I80" s="46">
        <f t="shared" si="59"/>
        <v>37.80847458</v>
      </c>
      <c r="J80" s="49">
        <v>3082.0</v>
      </c>
      <c r="K80" s="50">
        <f t="shared" si="13"/>
        <v>0.01914341337</v>
      </c>
      <c r="L80" s="46">
        <v>134.0</v>
      </c>
      <c r="M80" s="46">
        <v>1398.9</v>
      </c>
      <c r="N80" s="47">
        <v>37.0</v>
      </c>
      <c r="O80" s="49">
        <v>132376.0</v>
      </c>
      <c r="P80" s="50">
        <f t="shared" si="14"/>
        <v>0.09578954893</v>
      </c>
      <c r="Q80" s="51">
        <f t="shared" si="15"/>
        <v>10.43955224</v>
      </c>
      <c r="R80" s="50">
        <f t="shared" si="16"/>
        <v>0.6271125656</v>
      </c>
      <c r="S80" s="16"/>
      <c r="T80" s="25"/>
      <c r="U80" s="6"/>
      <c r="V80" s="6"/>
      <c r="W80" s="6"/>
      <c r="X80" s="6"/>
      <c r="Y80" s="6"/>
      <c r="Z80" s="6"/>
    </row>
    <row r="81" outlineLevel="1">
      <c r="A81" s="44" t="str">
        <f t="shared" si="57"/>
        <v>3-2024</v>
      </c>
      <c r="B81" s="101">
        <v>45359.0</v>
      </c>
      <c r="C81" s="45"/>
      <c r="D81" s="46">
        <v>2110.2</v>
      </c>
      <c r="E81" s="47">
        <v>60.0</v>
      </c>
      <c r="F81" s="47">
        <v>60.0</v>
      </c>
      <c r="G81" s="48">
        <f t="shared" si="10"/>
        <v>1</v>
      </c>
      <c r="H81" s="46">
        <f t="shared" si="58"/>
        <v>35.17</v>
      </c>
      <c r="I81" s="46">
        <f t="shared" si="59"/>
        <v>35.17</v>
      </c>
      <c r="J81" s="49">
        <v>2720.0</v>
      </c>
      <c r="K81" s="50">
        <f t="shared" si="13"/>
        <v>0.02205882353</v>
      </c>
      <c r="L81" s="46">
        <v>110.35</v>
      </c>
      <c r="M81" s="46">
        <v>1718.8</v>
      </c>
      <c r="N81" s="47">
        <v>41.0</v>
      </c>
      <c r="O81" s="49">
        <v>121266.0</v>
      </c>
      <c r="P81" s="50">
        <f t="shared" si="14"/>
        <v>0.06420176868</v>
      </c>
      <c r="Q81" s="51">
        <f t="shared" si="15"/>
        <v>15.57589488</v>
      </c>
      <c r="R81" s="50">
        <f t="shared" si="16"/>
        <v>0.8145199507</v>
      </c>
      <c r="S81" s="16"/>
      <c r="T81" s="25"/>
      <c r="U81" s="6"/>
      <c r="V81" s="6"/>
      <c r="W81" s="6"/>
      <c r="X81" s="6"/>
      <c r="Y81" s="6"/>
      <c r="Z81" s="6"/>
    </row>
    <row r="82" outlineLevel="1">
      <c r="A82" s="44" t="str">
        <f t="shared" si="57"/>
        <v>3-2024</v>
      </c>
      <c r="B82" s="101">
        <v>45360.0</v>
      </c>
      <c r="C82" s="45"/>
      <c r="D82" s="46">
        <v>2260.0</v>
      </c>
      <c r="E82" s="47">
        <v>55.0</v>
      </c>
      <c r="F82" s="47">
        <v>55.0</v>
      </c>
      <c r="G82" s="48">
        <f t="shared" si="10"/>
        <v>1</v>
      </c>
      <c r="H82" s="46">
        <f t="shared" si="58"/>
        <v>41.09090909</v>
      </c>
      <c r="I82" s="46">
        <f t="shared" si="59"/>
        <v>41.09090909</v>
      </c>
      <c r="J82" s="49">
        <v>3673.0</v>
      </c>
      <c r="K82" s="50">
        <f t="shared" si="13"/>
        <v>0.01497413558</v>
      </c>
      <c r="L82" s="46">
        <v>163.86</v>
      </c>
      <c r="M82" s="46">
        <v>1993.0</v>
      </c>
      <c r="N82" s="47">
        <v>48.0</v>
      </c>
      <c r="O82" s="49">
        <v>162615.0</v>
      </c>
      <c r="P82" s="50">
        <f t="shared" si="14"/>
        <v>0.08221776217</v>
      </c>
      <c r="Q82" s="51">
        <f t="shared" si="15"/>
        <v>12.16282192</v>
      </c>
      <c r="R82" s="50">
        <f t="shared" si="16"/>
        <v>0.8818584071</v>
      </c>
      <c r="S82" s="16"/>
      <c r="T82" s="25"/>
      <c r="U82" s="6"/>
      <c r="V82" s="6"/>
      <c r="W82" s="6"/>
      <c r="X82" s="6"/>
      <c r="Y82" s="6"/>
      <c r="Z82" s="6"/>
    </row>
    <row r="83">
      <c r="A83" s="52" t="s">
        <v>106</v>
      </c>
      <c r="B83" s="53"/>
      <c r="C83" s="54"/>
      <c r="D83" s="55">
        <f t="shared" ref="D83:F83" si="60">SUM(D76:D82)</f>
        <v>19315.4</v>
      </c>
      <c r="E83" s="56">
        <f t="shared" si="60"/>
        <v>517</v>
      </c>
      <c r="F83" s="56">
        <f t="shared" si="60"/>
        <v>517</v>
      </c>
      <c r="G83" s="75">
        <f t="shared" si="10"/>
        <v>1</v>
      </c>
      <c r="H83" s="55">
        <f>AVERAGE(H76:H82)</f>
        <v>37.51680199</v>
      </c>
      <c r="I83" s="76">
        <f>H83/G83</f>
        <v>37.51680199</v>
      </c>
      <c r="J83" s="59">
        <f>SUM(J76:J82)</f>
        <v>23351</v>
      </c>
      <c r="K83" s="60">
        <f t="shared" si="13"/>
        <v>0.02214037943</v>
      </c>
      <c r="L83" s="55">
        <f t="shared" ref="L83:N83" si="61">SUM(L76:L82)</f>
        <v>1047.53</v>
      </c>
      <c r="M83" s="55">
        <f t="shared" si="61"/>
        <v>13940.29</v>
      </c>
      <c r="N83" s="56">
        <f t="shared" si="61"/>
        <v>365</v>
      </c>
      <c r="O83" s="59">
        <f>sum(O76:O82)</f>
        <v>1098569</v>
      </c>
      <c r="P83" s="60">
        <f t="shared" si="14"/>
        <v>0.07514406085</v>
      </c>
      <c r="Q83" s="78">
        <f t="shared" si="15"/>
        <v>13.30777162</v>
      </c>
      <c r="R83" s="62">
        <f t="shared" si="16"/>
        <v>0.7217189393</v>
      </c>
      <c r="S83" s="54" t="str">
        <f>iferror((D83-#REF!)/D83,)</f>
        <v/>
      </c>
      <c r="T83" s="63" t="str">
        <f>iferror((F83-#REF!)/F83,)</f>
        <v/>
      </c>
      <c r="U83" s="6"/>
      <c r="V83" s="6"/>
      <c r="W83" s="6"/>
      <c r="X83" s="6"/>
      <c r="Y83" s="6"/>
      <c r="Z83" s="6"/>
    </row>
    <row r="84" outlineLevel="1">
      <c r="A84" s="33" t="str">
        <f t="shared" ref="A84:A90" si="62">iferror(if(B84&gt;0,month(B84)&amp;"-"&amp;year(B84),B84),)</f>
        <v>3-2024</v>
      </c>
      <c r="B84" s="34">
        <v>45361.0</v>
      </c>
      <c r="C84" s="35"/>
      <c r="D84" s="36">
        <v>4119.7</v>
      </c>
      <c r="E84" s="37">
        <v>98.0</v>
      </c>
      <c r="F84" s="37">
        <v>95.0</v>
      </c>
      <c r="G84" s="38">
        <f t="shared" si="10"/>
        <v>1.031578947</v>
      </c>
      <c r="H84" s="36">
        <f t="shared" ref="H84:H90" si="63">D84/F84</f>
        <v>43.36526316</v>
      </c>
      <c r="I84" s="36">
        <f t="shared" ref="I84:I90" si="64">D84/E84</f>
        <v>42.0377551</v>
      </c>
      <c r="J84" s="39">
        <v>3878.0</v>
      </c>
      <c r="K84" s="40">
        <f t="shared" si="13"/>
        <v>0.02527075812</v>
      </c>
      <c r="L84" s="36">
        <v>161.89</v>
      </c>
      <c r="M84" s="36">
        <v>2233.0</v>
      </c>
      <c r="N84" s="37">
        <v>53.0</v>
      </c>
      <c r="O84" s="39">
        <v>177299.0</v>
      </c>
      <c r="P84" s="40">
        <f t="shared" si="14"/>
        <v>0.07249888043</v>
      </c>
      <c r="Q84" s="41">
        <f t="shared" si="15"/>
        <v>13.79331645</v>
      </c>
      <c r="R84" s="40">
        <f t="shared" si="16"/>
        <v>0.5420297594</v>
      </c>
      <c r="S84" s="42"/>
      <c r="T84" s="43"/>
      <c r="U84" s="6"/>
      <c r="V84" s="6"/>
      <c r="W84" s="6"/>
      <c r="X84" s="6"/>
      <c r="Y84" s="6"/>
      <c r="Z84" s="6"/>
    </row>
    <row r="85" outlineLevel="1">
      <c r="A85" s="44" t="str">
        <f t="shared" si="62"/>
        <v>3-2024</v>
      </c>
      <c r="B85" s="101">
        <v>45362.0</v>
      </c>
      <c r="C85" s="45"/>
      <c r="D85" s="46">
        <v>2568.9</v>
      </c>
      <c r="E85" s="47">
        <v>76.0</v>
      </c>
      <c r="F85" s="47">
        <v>75.0</v>
      </c>
      <c r="G85" s="48">
        <f t="shared" si="10"/>
        <v>1.013333333</v>
      </c>
      <c r="H85" s="46">
        <f t="shared" si="63"/>
        <v>34.252</v>
      </c>
      <c r="I85" s="46">
        <f t="shared" si="64"/>
        <v>33.80131579</v>
      </c>
      <c r="J85" s="49">
        <v>3442.0</v>
      </c>
      <c r="K85" s="50">
        <f t="shared" si="13"/>
        <v>0.02208018594</v>
      </c>
      <c r="L85" s="46">
        <v>170.09</v>
      </c>
      <c r="M85" s="46">
        <v>1108.0</v>
      </c>
      <c r="N85" s="47">
        <v>36.0</v>
      </c>
      <c r="O85" s="49">
        <v>153159.0</v>
      </c>
      <c r="P85" s="50">
        <f t="shared" si="14"/>
        <v>0.1535108303</v>
      </c>
      <c r="Q85" s="51">
        <f t="shared" si="15"/>
        <v>6.514198366</v>
      </c>
      <c r="R85" s="50">
        <f t="shared" si="16"/>
        <v>0.4313130134</v>
      </c>
      <c r="S85" s="16"/>
      <c r="T85" s="25"/>
      <c r="U85" s="6"/>
      <c r="V85" s="6"/>
      <c r="W85" s="6"/>
      <c r="X85" s="6"/>
      <c r="Y85" s="6"/>
      <c r="Z85" s="6"/>
    </row>
    <row r="86" outlineLevel="1">
      <c r="A86" s="44" t="str">
        <f t="shared" si="62"/>
        <v>3-2024</v>
      </c>
      <c r="B86" s="101">
        <v>45363.0</v>
      </c>
      <c r="C86" s="45"/>
      <c r="D86" s="46">
        <v>2680.5</v>
      </c>
      <c r="E86" s="47">
        <v>76.0</v>
      </c>
      <c r="F86" s="47">
        <v>76.0</v>
      </c>
      <c r="G86" s="48">
        <f t="shared" si="10"/>
        <v>1</v>
      </c>
      <c r="H86" s="46">
        <f t="shared" si="63"/>
        <v>35.26973684</v>
      </c>
      <c r="I86" s="46">
        <f t="shared" si="64"/>
        <v>35.26973684</v>
      </c>
      <c r="J86" s="49">
        <v>3581.0</v>
      </c>
      <c r="K86" s="50">
        <f t="shared" si="13"/>
        <v>0.02122312203</v>
      </c>
      <c r="L86" s="46">
        <v>159.32</v>
      </c>
      <c r="M86" s="46">
        <v>1651.0</v>
      </c>
      <c r="N86" s="47">
        <v>51.0</v>
      </c>
      <c r="O86" s="49">
        <v>161726.0</v>
      </c>
      <c r="P86" s="50">
        <f t="shared" si="14"/>
        <v>0.09649909146</v>
      </c>
      <c r="Q86" s="51">
        <f t="shared" si="15"/>
        <v>10.36279187</v>
      </c>
      <c r="R86" s="50">
        <f t="shared" si="16"/>
        <v>0.6159298638</v>
      </c>
      <c r="S86" s="16"/>
      <c r="T86" s="25"/>
      <c r="U86" s="6"/>
      <c r="V86" s="6"/>
      <c r="W86" s="6"/>
      <c r="X86" s="6"/>
      <c r="Y86" s="6"/>
      <c r="Z86" s="6"/>
    </row>
    <row r="87" outlineLevel="1">
      <c r="A87" s="44" t="str">
        <f t="shared" si="62"/>
        <v>3-2024</v>
      </c>
      <c r="B87" s="101">
        <v>45364.0</v>
      </c>
      <c r="C87" s="45"/>
      <c r="D87" s="46">
        <v>3062.7</v>
      </c>
      <c r="E87" s="47">
        <v>83.0</v>
      </c>
      <c r="F87" s="47">
        <v>82.0</v>
      </c>
      <c r="G87" s="48">
        <f t="shared" si="10"/>
        <v>1.012195122</v>
      </c>
      <c r="H87" s="46">
        <f t="shared" si="63"/>
        <v>37.35</v>
      </c>
      <c r="I87" s="46">
        <f t="shared" si="64"/>
        <v>36.9</v>
      </c>
      <c r="J87" s="49">
        <v>3205.0</v>
      </c>
      <c r="K87" s="50">
        <f t="shared" si="13"/>
        <v>0.02589703588</v>
      </c>
      <c r="L87" s="46">
        <v>149.38</v>
      </c>
      <c r="M87" s="46">
        <v>1560.2</v>
      </c>
      <c r="N87" s="47">
        <v>41.0</v>
      </c>
      <c r="O87" s="49">
        <v>156381.0</v>
      </c>
      <c r="P87" s="50">
        <f t="shared" si="14"/>
        <v>0.09574413537</v>
      </c>
      <c r="Q87" s="51">
        <f t="shared" si="15"/>
        <v>10.44450395</v>
      </c>
      <c r="R87" s="50">
        <f t="shared" si="16"/>
        <v>0.509419793</v>
      </c>
      <c r="S87" s="16"/>
      <c r="T87" s="25"/>
      <c r="U87" s="6"/>
      <c r="V87" s="6"/>
      <c r="W87" s="6"/>
      <c r="X87" s="6"/>
      <c r="Y87" s="6"/>
      <c r="Z87" s="6"/>
    </row>
    <row r="88" outlineLevel="1">
      <c r="A88" s="44" t="str">
        <f t="shared" si="62"/>
        <v>3-2024</v>
      </c>
      <c r="B88" s="101">
        <v>45365.0</v>
      </c>
      <c r="C88" s="45"/>
      <c r="D88" s="46">
        <v>2793.1</v>
      </c>
      <c r="E88" s="47">
        <v>77.0</v>
      </c>
      <c r="F88" s="47">
        <v>77.0</v>
      </c>
      <c r="G88" s="48">
        <f t="shared" si="10"/>
        <v>1</v>
      </c>
      <c r="H88" s="46">
        <f t="shared" si="63"/>
        <v>36.27402597</v>
      </c>
      <c r="I88" s="46">
        <f t="shared" si="64"/>
        <v>36.27402597</v>
      </c>
      <c r="J88" s="49">
        <v>3254.0</v>
      </c>
      <c r="K88" s="50">
        <f t="shared" si="13"/>
        <v>0.02366318377</v>
      </c>
      <c r="L88" s="46">
        <v>162.66</v>
      </c>
      <c r="M88" s="46">
        <v>2191.8</v>
      </c>
      <c r="N88" s="47">
        <v>57.0</v>
      </c>
      <c r="O88" s="49">
        <v>160114.0</v>
      </c>
      <c r="P88" s="50">
        <f t="shared" si="14"/>
        <v>0.07421297564</v>
      </c>
      <c r="Q88" s="51">
        <f t="shared" si="15"/>
        <v>13.47473257</v>
      </c>
      <c r="R88" s="50">
        <f t="shared" si="16"/>
        <v>0.7847194873</v>
      </c>
      <c r="S88" s="16"/>
      <c r="T88" s="25"/>
      <c r="U88" s="6"/>
      <c r="V88" s="6"/>
      <c r="W88" s="6"/>
      <c r="X88" s="6"/>
      <c r="Y88" s="6"/>
      <c r="Z88" s="6"/>
    </row>
    <row r="89" outlineLevel="1">
      <c r="A89" s="44" t="str">
        <f t="shared" si="62"/>
        <v>3-2024</v>
      </c>
      <c r="B89" s="101">
        <v>45366.0</v>
      </c>
      <c r="C89" s="45"/>
      <c r="D89" s="46">
        <v>2520.5</v>
      </c>
      <c r="E89" s="47">
        <v>69.0</v>
      </c>
      <c r="F89" s="47">
        <v>68.0</v>
      </c>
      <c r="G89" s="48">
        <f t="shared" si="10"/>
        <v>1.014705882</v>
      </c>
      <c r="H89" s="46">
        <f t="shared" si="63"/>
        <v>37.06617647</v>
      </c>
      <c r="I89" s="46">
        <f t="shared" si="64"/>
        <v>36.52898551</v>
      </c>
      <c r="J89" s="49">
        <v>3208.0</v>
      </c>
      <c r="K89" s="50">
        <f t="shared" si="13"/>
        <v>0.02150872818</v>
      </c>
      <c r="L89" s="46">
        <v>155.23</v>
      </c>
      <c r="M89" s="46">
        <v>1146.6</v>
      </c>
      <c r="N89" s="47">
        <v>34.0</v>
      </c>
      <c r="O89" s="49">
        <v>143381.0</v>
      </c>
      <c r="P89" s="50">
        <f t="shared" si="14"/>
        <v>0.1353828711</v>
      </c>
      <c r="Q89" s="51">
        <f t="shared" si="15"/>
        <v>7.386458803</v>
      </c>
      <c r="R89" s="50">
        <f t="shared" si="16"/>
        <v>0.4549097401</v>
      </c>
      <c r="S89" s="16"/>
      <c r="T89" s="25"/>
      <c r="U89" s="6"/>
      <c r="V89" s="6"/>
      <c r="W89" s="6"/>
      <c r="X89" s="6"/>
      <c r="Y89" s="6"/>
      <c r="Z89" s="6"/>
    </row>
    <row r="90" outlineLevel="1">
      <c r="A90" s="44" t="str">
        <f t="shared" si="62"/>
        <v>3-2024</v>
      </c>
      <c r="B90" s="101">
        <v>45367.0</v>
      </c>
      <c r="C90" s="45"/>
      <c r="D90" s="46">
        <v>3340.7</v>
      </c>
      <c r="E90" s="47">
        <v>84.0</v>
      </c>
      <c r="F90" s="47">
        <v>83.0</v>
      </c>
      <c r="G90" s="48">
        <f t="shared" si="10"/>
        <v>1.012048193</v>
      </c>
      <c r="H90" s="46">
        <f t="shared" si="63"/>
        <v>40.24939759</v>
      </c>
      <c r="I90" s="46">
        <f t="shared" si="64"/>
        <v>39.7702381</v>
      </c>
      <c r="J90" s="49">
        <v>3874.0</v>
      </c>
      <c r="K90" s="50">
        <f t="shared" si="13"/>
        <v>0.02168301497</v>
      </c>
      <c r="L90" s="46">
        <v>180.3</v>
      </c>
      <c r="M90" s="46">
        <v>1908.3</v>
      </c>
      <c r="N90" s="47">
        <v>52.0</v>
      </c>
      <c r="O90" s="49">
        <v>165579.0</v>
      </c>
      <c r="P90" s="50">
        <f t="shared" si="14"/>
        <v>0.09448199969</v>
      </c>
      <c r="Q90" s="51">
        <f t="shared" si="15"/>
        <v>10.58402662</v>
      </c>
      <c r="R90" s="50">
        <f t="shared" si="16"/>
        <v>0.571227587</v>
      </c>
      <c r="S90" s="16"/>
      <c r="T90" s="25"/>
      <c r="U90" s="6"/>
      <c r="V90" s="6"/>
      <c r="W90" s="6"/>
      <c r="X90" s="6"/>
      <c r="Y90" s="6"/>
      <c r="Z90" s="6"/>
    </row>
    <row r="91">
      <c r="A91" s="52" t="s">
        <v>107</v>
      </c>
      <c r="B91" s="53"/>
      <c r="C91" s="54"/>
      <c r="D91" s="55">
        <f t="shared" ref="D91:F91" si="65">SUM(D84:D90)</f>
        <v>21086.1</v>
      </c>
      <c r="E91" s="56">
        <f t="shared" si="65"/>
        <v>563</v>
      </c>
      <c r="F91" s="56">
        <f t="shared" si="65"/>
        <v>556</v>
      </c>
      <c r="G91" s="75">
        <f t="shared" si="10"/>
        <v>1.012589928</v>
      </c>
      <c r="H91" s="55">
        <f>AVERAGE(H84:H90)</f>
        <v>37.68951429</v>
      </c>
      <c r="I91" s="76">
        <f>H91/G91</f>
        <v>37.22090576</v>
      </c>
      <c r="J91" s="59">
        <f>SUM(J84:J90)</f>
        <v>24442</v>
      </c>
      <c r="K91" s="60">
        <f t="shared" si="13"/>
        <v>0.02303412159</v>
      </c>
      <c r="L91" s="55">
        <f t="shared" ref="L91:O91" si="66">SUM(L84:L90)</f>
        <v>1138.87</v>
      </c>
      <c r="M91" s="55">
        <f t="shared" si="66"/>
        <v>11798.9</v>
      </c>
      <c r="N91" s="56">
        <f t="shared" si="66"/>
        <v>324</v>
      </c>
      <c r="O91" s="59">
        <f t="shared" si="66"/>
        <v>1117639</v>
      </c>
      <c r="P91" s="60">
        <f t="shared" si="14"/>
        <v>0.09652340472</v>
      </c>
      <c r="Q91" s="78">
        <f t="shared" si="15"/>
        <v>10.36018158</v>
      </c>
      <c r="R91" s="62">
        <f t="shared" si="16"/>
        <v>0.5595581924</v>
      </c>
      <c r="S91" s="54" t="str">
        <f>iferror((D91-#REF!)/D91,)</f>
        <v/>
      </c>
      <c r="T91" s="63" t="str">
        <f>iferror((F91-#REF!)/F91,)</f>
        <v/>
      </c>
      <c r="U91" s="6"/>
      <c r="V91" s="6"/>
      <c r="W91" s="6"/>
      <c r="X91" s="6"/>
      <c r="Y91" s="6"/>
      <c r="Z91" s="6"/>
    </row>
    <row r="92" outlineLevel="1">
      <c r="A92" s="33" t="str">
        <f t="shared" ref="A92:A98" si="67">iferror(if(B92&gt;0,month(B92)&amp;"-"&amp;year(B92),B92),)</f>
        <v>3-2024</v>
      </c>
      <c r="B92" s="34">
        <v>45368.0</v>
      </c>
      <c r="C92" s="35"/>
      <c r="D92" s="36">
        <v>4210.0</v>
      </c>
      <c r="E92" s="37">
        <v>108.0</v>
      </c>
      <c r="F92" s="37">
        <v>106.0</v>
      </c>
      <c r="G92" s="38">
        <f t="shared" si="10"/>
        <v>1.018867925</v>
      </c>
      <c r="H92" s="36">
        <f t="shared" ref="H92:H98" si="68">D92/F92</f>
        <v>39.71698113</v>
      </c>
      <c r="I92" s="36">
        <f t="shared" ref="I92:I98" si="69">D92/E92</f>
        <v>38.98148148</v>
      </c>
      <c r="J92" s="39">
        <v>4811.0</v>
      </c>
      <c r="K92" s="40">
        <f t="shared" si="13"/>
        <v>0.02244855539</v>
      </c>
      <c r="L92" s="36">
        <v>235.8</v>
      </c>
      <c r="M92" s="36">
        <v>2755.87</v>
      </c>
      <c r="N92" s="37">
        <v>70.0</v>
      </c>
      <c r="O92" s="39">
        <v>235174.0</v>
      </c>
      <c r="P92" s="40">
        <f t="shared" si="14"/>
        <v>0.08556281682</v>
      </c>
      <c r="Q92" s="41">
        <f t="shared" si="15"/>
        <v>11.68731976</v>
      </c>
      <c r="R92" s="40">
        <f t="shared" si="16"/>
        <v>0.6546009501</v>
      </c>
      <c r="S92" s="42"/>
      <c r="T92" s="43"/>
      <c r="U92" s="6"/>
      <c r="V92" s="6"/>
      <c r="W92" s="6"/>
      <c r="X92" s="6"/>
      <c r="Y92" s="6"/>
      <c r="Z92" s="6"/>
    </row>
    <row r="93" outlineLevel="1">
      <c r="A93" s="44" t="str">
        <f t="shared" si="67"/>
        <v>3-2024</v>
      </c>
      <c r="B93" s="101">
        <v>45369.0</v>
      </c>
      <c r="C93" s="45"/>
      <c r="D93" s="46">
        <v>4694.2</v>
      </c>
      <c r="E93" s="47">
        <v>117.0</v>
      </c>
      <c r="F93" s="47">
        <v>117.0</v>
      </c>
      <c r="G93" s="48">
        <f t="shared" si="10"/>
        <v>1</v>
      </c>
      <c r="H93" s="46">
        <f t="shared" si="68"/>
        <v>40.12136752</v>
      </c>
      <c r="I93" s="46">
        <f t="shared" si="69"/>
        <v>40.12136752</v>
      </c>
      <c r="J93" s="49">
        <v>4397.0</v>
      </c>
      <c r="K93" s="50">
        <f t="shared" si="13"/>
        <v>0.02660905163</v>
      </c>
      <c r="L93" s="46">
        <v>200.44</v>
      </c>
      <c r="M93" s="46">
        <v>3263.2</v>
      </c>
      <c r="N93" s="47">
        <v>83.0</v>
      </c>
      <c r="O93" s="49">
        <v>201210.0</v>
      </c>
      <c r="P93" s="50">
        <f t="shared" si="14"/>
        <v>0.06142436872</v>
      </c>
      <c r="Q93" s="51">
        <f t="shared" si="15"/>
        <v>16.2801836</v>
      </c>
      <c r="R93" s="50">
        <f t="shared" si="16"/>
        <v>0.6951557241</v>
      </c>
      <c r="S93" s="16"/>
      <c r="T93" s="25"/>
      <c r="U93" s="6"/>
      <c r="V93" s="6"/>
      <c r="W93" s="6"/>
      <c r="X93" s="6"/>
      <c r="Y93" s="6"/>
      <c r="Z93" s="6"/>
    </row>
    <row r="94" outlineLevel="1">
      <c r="A94" s="44" t="str">
        <f t="shared" si="67"/>
        <v>3-2024</v>
      </c>
      <c r="B94" s="101">
        <v>45370.0</v>
      </c>
      <c r="C94" s="45"/>
      <c r="D94" s="46">
        <v>3575.0</v>
      </c>
      <c r="E94" s="47">
        <v>95.0</v>
      </c>
      <c r="F94" s="47">
        <v>92.0</v>
      </c>
      <c r="G94" s="48">
        <f t="shared" si="10"/>
        <v>1.032608696</v>
      </c>
      <c r="H94" s="46">
        <f t="shared" si="68"/>
        <v>38.85869565</v>
      </c>
      <c r="I94" s="46">
        <f t="shared" si="69"/>
        <v>37.63157895</v>
      </c>
      <c r="J94" s="49">
        <v>4094.0</v>
      </c>
      <c r="K94" s="50">
        <f t="shared" si="13"/>
        <v>0.02320468979</v>
      </c>
      <c r="L94" s="46">
        <v>193.81</v>
      </c>
      <c r="M94" s="46">
        <v>2209.0</v>
      </c>
      <c r="N94" s="47">
        <v>57.0</v>
      </c>
      <c r="O94" s="49">
        <v>193077.0</v>
      </c>
      <c r="P94" s="50">
        <f t="shared" si="14"/>
        <v>0.08773653237</v>
      </c>
      <c r="Q94" s="51">
        <f t="shared" si="15"/>
        <v>11.39776069</v>
      </c>
      <c r="R94" s="50">
        <f t="shared" si="16"/>
        <v>0.6179020979</v>
      </c>
      <c r="S94" s="16"/>
      <c r="T94" s="25"/>
      <c r="U94" s="6"/>
      <c r="V94" s="6"/>
      <c r="W94" s="6"/>
      <c r="X94" s="6"/>
      <c r="Y94" s="6"/>
      <c r="Z94" s="6"/>
    </row>
    <row r="95" outlineLevel="1">
      <c r="A95" s="44" t="str">
        <f t="shared" si="67"/>
        <v>3-2024</v>
      </c>
      <c r="B95" s="101">
        <v>45371.0</v>
      </c>
      <c r="C95" s="45"/>
      <c r="D95" s="46">
        <v>4086.2</v>
      </c>
      <c r="E95" s="47">
        <v>109.0</v>
      </c>
      <c r="F95" s="47">
        <v>106.0</v>
      </c>
      <c r="G95" s="48">
        <f t="shared" si="10"/>
        <v>1.028301887</v>
      </c>
      <c r="H95" s="46">
        <f t="shared" si="68"/>
        <v>38.5490566</v>
      </c>
      <c r="I95" s="46">
        <f t="shared" si="69"/>
        <v>37.48807339</v>
      </c>
      <c r="J95" s="49">
        <v>4074.0</v>
      </c>
      <c r="K95" s="50">
        <f t="shared" si="13"/>
        <v>0.02675503191</v>
      </c>
      <c r="L95" s="46">
        <v>209.04</v>
      </c>
      <c r="M95" s="46">
        <v>2599.14</v>
      </c>
      <c r="N95" s="47">
        <v>70.0</v>
      </c>
      <c r="O95" s="49">
        <v>212186.0</v>
      </c>
      <c r="P95" s="50">
        <f t="shared" si="14"/>
        <v>0.08042660265</v>
      </c>
      <c r="Q95" s="51">
        <f t="shared" si="15"/>
        <v>12.4336969</v>
      </c>
      <c r="R95" s="50">
        <f t="shared" si="16"/>
        <v>0.6360775292</v>
      </c>
      <c r="S95" s="16"/>
      <c r="T95" s="25"/>
      <c r="U95" s="6"/>
      <c r="V95" s="6"/>
      <c r="W95" s="6"/>
      <c r="X95" s="6"/>
      <c r="Y95" s="6"/>
      <c r="Z95" s="6"/>
    </row>
    <row r="96" outlineLevel="1">
      <c r="A96" s="44" t="str">
        <f t="shared" si="67"/>
        <v>3-2024</v>
      </c>
      <c r="B96" s="101">
        <v>45372.0</v>
      </c>
      <c r="C96" s="45"/>
      <c r="D96" s="46">
        <v>2978.8</v>
      </c>
      <c r="E96" s="47">
        <v>81.0</v>
      </c>
      <c r="F96" s="47">
        <v>79.0</v>
      </c>
      <c r="G96" s="48">
        <f t="shared" si="10"/>
        <v>1.025316456</v>
      </c>
      <c r="H96" s="46">
        <f t="shared" si="68"/>
        <v>37.70632911</v>
      </c>
      <c r="I96" s="46">
        <f t="shared" si="69"/>
        <v>36.77530864</v>
      </c>
      <c r="J96" s="49">
        <v>3960.0</v>
      </c>
      <c r="K96" s="50">
        <f t="shared" si="13"/>
        <v>0.02045454545</v>
      </c>
      <c r="L96" s="46">
        <v>217.69</v>
      </c>
      <c r="M96" s="46">
        <v>2004.5</v>
      </c>
      <c r="N96" s="47">
        <v>52.0</v>
      </c>
      <c r="O96" s="49">
        <v>206236.0</v>
      </c>
      <c r="P96" s="50">
        <f t="shared" si="14"/>
        <v>0.1086006485</v>
      </c>
      <c r="Q96" s="51">
        <f t="shared" si="15"/>
        <v>9.208048142</v>
      </c>
      <c r="R96" s="50">
        <f t="shared" si="16"/>
        <v>0.672921982</v>
      </c>
      <c r="S96" s="16"/>
      <c r="T96" s="25"/>
      <c r="U96" s="6"/>
      <c r="V96" s="6"/>
      <c r="W96" s="6"/>
      <c r="X96" s="6"/>
      <c r="Y96" s="6"/>
      <c r="Z96" s="6"/>
    </row>
    <row r="97" outlineLevel="1">
      <c r="A97" s="44" t="str">
        <f t="shared" si="67"/>
        <v>3-2024</v>
      </c>
      <c r="B97" s="101">
        <v>45373.0</v>
      </c>
      <c r="C97" s="45"/>
      <c r="D97" s="46">
        <v>2341.3</v>
      </c>
      <c r="E97" s="47">
        <v>65.0</v>
      </c>
      <c r="F97" s="47">
        <v>65.0</v>
      </c>
      <c r="G97" s="48">
        <f t="shared" si="10"/>
        <v>1</v>
      </c>
      <c r="H97" s="46">
        <f t="shared" si="68"/>
        <v>36.02</v>
      </c>
      <c r="I97" s="46">
        <f t="shared" si="69"/>
        <v>36.02</v>
      </c>
      <c r="J97" s="49">
        <v>4104.0</v>
      </c>
      <c r="K97" s="50">
        <f t="shared" si="13"/>
        <v>0.01583820663</v>
      </c>
      <c r="L97" s="46">
        <v>226.68</v>
      </c>
      <c r="M97" s="46">
        <v>1762.97</v>
      </c>
      <c r="N97" s="47">
        <v>52.0</v>
      </c>
      <c r="O97" s="49">
        <v>222820.0</v>
      </c>
      <c r="P97" s="50">
        <f t="shared" si="14"/>
        <v>0.1285784784</v>
      </c>
      <c r="Q97" s="51">
        <f t="shared" si="15"/>
        <v>7.777351332</v>
      </c>
      <c r="R97" s="50">
        <f t="shared" si="16"/>
        <v>0.7529876564</v>
      </c>
      <c r="S97" s="16"/>
      <c r="T97" s="25"/>
      <c r="U97" s="6"/>
      <c r="V97" s="6"/>
      <c r="W97" s="6"/>
      <c r="X97" s="6"/>
      <c r="Y97" s="6"/>
      <c r="Z97" s="6"/>
    </row>
    <row r="98" outlineLevel="1">
      <c r="A98" s="44" t="str">
        <f t="shared" si="67"/>
        <v>3-2024</v>
      </c>
      <c r="B98" s="101">
        <v>45374.0</v>
      </c>
      <c r="C98" s="45"/>
      <c r="D98" s="46">
        <v>5392.5</v>
      </c>
      <c r="E98" s="47">
        <v>135.0</v>
      </c>
      <c r="F98" s="47">
        <v>134.0</v>
      </c>
      <c r="G98" s="48">
        <f t="shared" si="10"/>
        <v>1.007462687</v>
      </c>
      <c r="H98" s="46">
        <f t="shared" si="68"/>
        <v>40.24253731</v>
      </c>
      <c r="I98" s="46">
        <f t="shared" si="69"/>
        <v>39.94444444</v>
      </c>
      <c r="J98" s="49">
        <v>5418.0</v>
      </c>
      <c r="K98" s="50">
        <f t="shared" si="13"/>
        <v>0.02491694352</v>
      </c>
      <c r="L98" s="46">
        <v>300.08</v>
      </c>
      <c r="M98" s="46">
        <v>3515.1</v>
      </c>
      <c r="N98" s="47">
        <v>90.0</v>
      </c>
      <c r="O98" s="49">
        <v>284938.0</v>
      </c>
      <c r="P98" s="50">
        <f t="shared" si="14"/>
        <v>0.0853688373</v>
      </c>
      <c r="Q98" s="51">
        <f t="shared" si="15"/>
        <v>11.7138763</v>
      </c>
      <c r="R98" s="50">
        <f t="shared" si="16"/>
        <v>0.6518497914</v>
      </c>
      <c r="S98" s="16"/>
      <c r="T98" s="25"/>
      <c r="U98" s="6"/>
      <c r="V98" s="6"/>
      <c r="W98" s="6"/>
      <c r="X98" s="6"/>
      <c r="Y98" s="6"/>
      <c r="Z98" s="6"/>
    </row>
    <row r="99">
      <c r="A99" s="52" t="s">
        <v>108</v>
      </c>
      <c r="B99" s="53"/>
      <c r="C99" s="54"/>
      <c r="D99" s="55">
        <f t="shared" ref="D99:F99" si="70">SUM(D92:D98)</f>
        <v>27278</v>
      </c>
      <c r="E99" s="56">
        <f t="shared" si="70"/>
        <v>710</v>
      </c>
      <c r="F99" s="56">
        <f t="shared" si="70"/>
        <v>699</v>
      </c>
      <c r="G99" s="75">
        <f t="shared" si="10"/>
        <v>1.015736767</v>
      </c>
      <c r="H99" s="55">
        <f>AVERAGE(H92:H98)</f>
        <v>38.74499533</v>
      </c>
      <c r="I99" s="76">
        <f>H99/G99</f>
        <v>38.14472076</v>
      </c>
      <c r="J99" s="59">
        <f>SUM(J92:J98)</f>
        <v>30858</v>
      </c>
      <c r="K99" s="60">
        <f t="shared" si="13"/>
        <v>0.02300862013</v>
      </c>
      <c r="L99" s="55">
        <f t="shared" ref="L99:O99" si="71">SUM(L92:L98)</f>
        <v>1583.54</v>
      </c>
      <c r="M99" s="55">
        <f t="shared" si="71"/>
        <v>18109.78</v>
      </c>
      <c r="N99" s="56">
        <f t="shared" si="71"/>
        <v>474</v>
      </c>
      <c r="O99" s="59">
        <f t="shared" si="71"/>
        <v>1555641</v>
      </c>
      <c r="P99" s="60">
        <f t="shared" si="14"/>
        <v>0.08744115058</v>
      </c>
      <c r="Q99" s="78">
        <f t="shared" si="15"/>
        <v>11.43626306</v>
      </c>
      <c r="R99" s="62">
        <f t="shared" si="16"/>
        <v>0.6638969133</v>
      </c>
      <c r="S99" s="54" t="str">
        <f>iferror((D99-#REF!)/D99,)</f>
        <v/>
      </c>
      <c r="T99" s="63" t="str">
        <f>iferror((F99-#REF!)/F99,)</f>
        <v/>
      </c>
      <c r="U99" s="6">
        <f>L99/D99</f>
        <v>0.05805190996</v>
      </c>
      <c r="V99" s="6"/>
      <c r="W99" s="6"/>
      <c r="X99" s="6"/>
      <c r="Y99" s="6"/>
      <c r="Z99" s="6"/>
    </row>
    <row r="100" outlineLevel="1">
      <c r="A100" s="44" t="str">
        <f t="shared" ref="A100:A106" si="72">iferror(if(B100&gt;0,month(B100)&amp;"-"&amp;year(B100),B100),)</f>
        <v>3-2024</v>
      </c>
      <c r="B100" s="105">
        <v>45375.0</v>
      </c>
      <c r="C100" s="45"/>
      <c r="D100" s="71">
        <v>7680.7</v>
      </c>
      <c r="E100" s="72">
        <v>194.0</v>
      </c>
      <c r="F100" s="72">
        <v>193.0</v>
      </c>
      <c r="G100" s="48">
        <f t="shared" si="10"/>
        <v>1.005181347</v>
      </c>
      <c r="H100" s="46">
        <f t="shared" ref="H100:H106" si="73">D100/F100</f>
        <v>39.79637306</v>
      </c>
      <c r="I100" s="46">
        <f t="shared" ref="I100:I106" si="74">D100/E100</f>
        <v>39.59123711</v>
      </c>
      <c r="J100" s="73">
        <v>7680.0</v>
      </c>
      <c r="K100" s="50">
        <f t="shared" si="13"/>
        <v>0.02526041667</v>
      </c>
      <c r="L100" s="71">
        <v>435.77</v>
      </c>
      <c r="M100" s="71">
        <v>5204.4</v>
      </c>
      <c r="N100" s="72">
        <v>132.0</v>
      </c>
      <c r="O100" s="73">
        <v>376246.0</v>
      </c>
      <c r="P100" s="50">
        <f t="shared" si="14"/>
        <v>0.08373107371</v>
      </c>
      <c r="Q100" s="51">
        <f t="shared" si="15"/>
        <v>11.94299745</v>
      </c>
      <c r="R100" s="50">
        <f t="shared" si="16"/>
        <v>0.6775944901</v>
      </c>
      <c r="S100" s="16"/>
      <c r="T100" s="25"/>
      <c r="U100" s="6"/>
      <c r="V100" s="6"/>
      <c r="W100" s="7"/>
      <c r="X100" s="7"/>
      <c r="Y100" s="7"/>
      <c r="Z100" s="7"/>
    </row>
    <row r="101" outlineLevel="1">
      <c r="A101" s="44" t="str">
        <f t="shared" si="72"/>
        <v>3-2024</v>
      </c>
      <c r="B101" s="105">
        <v>45376.0</v>
      </c>
      <c r="C101" s="45"/>
      <c r="D101" s="71">
        <v>6639.6</v>
      </c>
      <c r="E101" s="72">
        <v>163.0</v>
      </c>
      <c r="F101" s="72">
        <v>163.0</v>
      </c>
      <c r="G101" s="48">
        <f t="shared" si="10"/>
        <v>1</v>
      </c>
      <c r="H101" s="46">
        <f t="shared" si="73"/>
        <v>40.73374233</v>
      </c>
      <c r="I101" s="46">
        <f t="shared" si="74"/>
        <v>40.73374233</v>
      </c>
      <c r="J101" s="73">
        <v>6996.0</v>
      </c>
      <c r="K101" s="50">
        <f t="shared" si="13"/>
        <v>0.02329902802</v>
      </c>
      <c r="L101" s="71">
        <v>381.88</v>
      </c>
      <c r="M101" s="71">
        <v>4733.5</v>
      </c>
      <c r="N101" s="72">
        <v>118.0</v>
      </c>
      <c r="O101" s="73">
        <v>333222.0</v>
      </c>
      <c r="P101" s="50">
        <f t="shared" si="14"/>
        <v>0.08067603253</v>
      </c>
      <c r="Q101" s="51">
        <f t="shared" si="15"/>
        <v>12.39525505</v>
      </c>
      <c r="R101" s="50">
        <f t="shared" si="16"/>
        <v>0.712919453</v>
      </c>
      <c r="S101" s="16"/>
      <c r="T101" s="25"/>
      <c r="U101" s="6"/>
      <c r="V101" s="6"/>
      <c r="W101" s="7"/>
      <c r="X101" s="7"/>
      <c r="Y101" s="7"/>
      <c r="Z101" s="7"/>
    </row>
    <row r="102" outlineLevel="1">
      <c r="A102" s="44" t="str">
        <f t="shared" si="72"/>
        <v>3-2024</v>
      </c>
      <c r="B102" s="105">
        <v>45377.0</v>
      </c>
      <c r="C102" s="45"/>
      <c r="D102" s="71">
        <v>6189.0</v>
      </c>
      <c r="E102" s="72">
        <v>161.0</v>
      </c>
      <c r="F102" s="72">
        <v>161.0</v>
      </c>
      <c r="G102" s="48">
        <f t="shared" si="10"/>
        <v>1</v>
      </c>
      <c r="H102" s="46">
        <f t="shared" si="73"/>
        <v>38.44099379</v>
      </c>
      <c r="I102" s="46">
        <f t="shared" si="74"/>
        <v>38.44099379</v>
      </c>
      <c r="J102" s="73">
        <v>6084.0</v>
      </c>
      <c r="K102" s="50">
        <f t="shared" si="13"/>
        <v>0.02646285339</v>
      </c>
      <c r="L102" s="71">
        <v>320.69</v>
      </c>
      <c r="M102" s="71">
        <v>4226.9</v>
      </c>
      <c r="N102" s="72">
        <v>118.0</v>
      </c>
      <c r="O102" s="73">
        <v>299086.0</v>
      </c>
      <c r="P102" s="50">
        <f t="shared" si="14"/>
        <v>0.07586884005</v>
      </c>
      <c r="Q102" s="51">
        <f t="shared" si="15"/>
        <v>13.18064174</v>
      </c>
      <c r="R102" s="50">
        <f t="shared" si="16"/>
        <v>0.6829697851</v>
      </c>
      <c r="S102" s="16"/>
      <c r="T102" s="25"/>
      <c r="U102" s="6"/>
      <c r="V102" s="6"/>
      <c r="W102" s="7"/>
      <c r="X102" s="7"/>
      <c r="Y102" s="7"/>
      <c r="Z102" s="7"/>
    </row>
    <row r="103" outlineLevel="1">
      <c r="A103" s="44" t="str">
        <f t="shared" si="72"/>
        <v>3-2024</v>
      </c>
      <c r="B103" s="105">
        <v>45378.0</v>
      </c>
      <c r="C103" s="45"/>
      <c r="D103" s="71">
        <v>5646.7</v>
      </c>
      <c r="E103" s="72">
        <v>145.0</v>
      </c>
      <c r="F103" s="72">
        <v>145.0</v>
      </c>
      <c r="G103" s="48">
        <f t="shared" si="10"/>
        <v>1</v>
      </c>
      <c r="H103" s="46">
        <f t="shared" si="73"/>
        <v>38.94275862</v>
      </c>
      <c r="I103" s="46">
        <f t="shared" si="74"/>
        <v>38.94275862</v>
      </c>
      <c r="J103" s="73">
        <v>5312.0</v>
      </c>
      <c r="K103" s="50">
        <f t="shared" si="13"/>
        <v>0.02729668675</v>
      </c>
      <c r="L103" s="71">
        <v>285.3</v>
      </c>
      <c r="M103" s="71">
        <v>3937.1</v>
      </c>
      <c r="N103" s="72">
        <v>99.0</v>
      </c>
      <c r="O103" s="73">
        <v>250505.0</v>
      </c>
      <c r="P103" s="50">
        <f t="shared" si="14"/>
        <v>0.07246450433</v>
      </c>
      <c r="Q103" s="51">
        <f t="shared" si="15"/>
        <v>13.7998598</v>
      </c>
      <c r="R103" s="50">
        <f t="shared" si="16"/>
        <v>0.6972390954</v>
      </c>
      <c r="S103" s="16"/>
      <c r="T103" s="25"/>
      <c r="U103" s="6"/>
      <c r="V103" s="6"/>
      <c r="W103" s="7"/>
      <c r="X103" s="7"/>
      <c r="Y103" s="7"/>
      <c r="Z103" s="7"/>
    </row>
    <row r="104" outlineLevel="1">
      <c r="A104" s="44" t="str">
        <f t="shared" si="72"/>
        <v>3-2024</v>
      </c>
      <c r="B104" s="105">
        <v>45379.0</v>
      </c>
      <c r="C104" s="45"/>
      <c r="D104" s="71">
        <v>4994.8</v>
      </c>
      <c r="E104" s="72">
        <v>137.0</v>
      </c>
      <c r="F104" s="72">
        <v>137.0</v>
      </c>
      <c r="G104" s="48">
        <f t="shared" si="10"/>
        <v>1</v>
      </c>
      <c r="H104" s="46">
        <f t="shared" si="73"/>
        <v>36.45839416</v>
      </c>
      <c r="I104" s="46">
        <f t="shared" si="74"/>
        <v>36.45839416</v>
      </c>
      <c r="J104" s="73">
        <v>4080.0</v>
      </c>
      <c r="K104" s="50">
        <f t="shared" si="13"/>
        <v>0.03357843137</v>
      </c>
      <c r="L104" s="71">
        <v>214.37</v>
      </c>
      <c r="M104" s="71">
        <v>2173.7</v>
      </c>
      <c r="N104" s="72">
        <v>63.0</v>
      </c>
      <c r="O104" s="73">
        <v>201600.0</v>
      </c>
      <c r="P104" s="50">
        <f t="shared" si="14"/>
        <v>0.09861986475</v>
      </c>
      <c r="Q104" s="51">
        <f t="shared" si="15"/>
        <v>10.13994495</v>
      </c>
      <c r="R104" s="50">
        <f t="shared" si="16"/>
        <v>0.4351926003</v>
      </c>
      <c r="S104" s="16"/>
      <c r="T104" s="25"/>
      <c r="U104" s="6"/>
      <c r="V104" s="6"/>
      <c r="W104" s="7"/>
      <c r="X104" s="7"/>
      <c r="Y104" s="7"/>
      <c r="Z104" s="7"/>
    </row>
    <row r="105" outlineLevel="1">
      <c r="A105" s="44" t="str">
        <f t="shared" si="72"/>
        <v>3-2024</v>
      </c>
      <c r="B105" s="105">
        <v>45380.0</v>
      </c>
      <c r="C105" s="45"/>
      <c r="D105" s="71">
        <v>2524.6</v>
      </c>
      <c r="E105" s="72">
        <v>72.0</v>
      </c>
      <c r="F105" s="72">
        <v>72.0</v>
      </c>
      <c r="G105" s="48">
        <f t="shared" si="10"/>
        <v>1</v>
      </c>
      <c r="H105" s="46">
        <f t="shared" si="73"/>
        <v>35.06388889</v>
      </c>
      <c r="I105" s="46">
        <f t="shared" si="74"/>
        <v>35.06388889</v>
      </c>
      <c r="J105" s="73">
        <v>3388.0</v>
      </c>
      <c r="K105" s="50">
        <f t="shared" si="13"/>
        <v>0.0212514758</v>
      </c>
      <c r="L105" s="71">
        <v>167.24</v>
      </c>
      <c r="M105" s="71">
        <v>1552.98</v>
      </c>
      <c r="N105" s="72">
        <v>46.0</v>
      </c>
      <c r="O105" s="73">
        <v>168862.0</v>
      </c>
      <c r="P105" s="50">
        <f t="shared" si="14"/>
        <v>0.107689732</v>
      </c>
      <c r="Q105" s="51">
        <f t="shared" si="15"/>
        <v>9.285936379</v>
      </c>
      <c r="R105" s="50">
        <f t="shared" si="16"/>
        <v>0.6151390319</v>
      </c>
      <c r="S105" s="16"/>
      <c r="T105" s="25"/>
      <c r="U105" s="6"/>
      <c r="V105" s="6"/>
      <c r="W105" s="7"/>
      <c r="X105" s="7"/>
      <c r="Y105" s="7"/>
      <c r="Z105" s="7"/>
    </row>
    <row r="106" outlineLevel="1">
      <c r="A106" s="44" t="str">
        <f t="shared" si="72"/>
        <v>3-2024</v>
      </c>
      <c r="B106" s="105">
        <v>45381.0</v>
      </c>
      <c r="C106" s="45"/>
      <c r="D106" s="71">
        <v>2676.7</v>
      </c>
      <c r="E106" s="72">
        <v>74.0</v>
      </c>
      <c r="F106" s="72">
        <v>74.0</v>
      </c>
      <c r="G106" s="48">
        <f t="shared" si="10"/>
        <v>1</v>
      </c>
      <c r="H106" s="46">
        <f t="shared" si="73"/>
        <v>36.17162162</v>
      </c>
      <c r="I106" s="46">
        <f t="shared" si="74"/>
        <v>36.17162162</v>
      </c>
      <c r="J106" s="73">
        <v>3135.0</v>
      </c>
      <c r="K106" s="50">
        <f t="shared" si="13"/>
        <v>0.02360446571</v>
      </c>
      <c r="L106" s="71">
        <v>149.25</v>
      </c>
      <c r="M106" s="71">
        <v>1664.9</v>
      </c>
      <c r="N106" s="72">
        <v>42.0</v>
      </c>
      <c r="O106" s="73">
        <v>179668.0</v>
      </c>
      <c r="P106" s="50">
        <f t="shared" si="14"/>
        <v>0.08964502373</v>
      </c>
      <c r="Q106" s="51">
        <f t="shared" si="15"/>
        <v>11.15510888</v>
      </c>
      <c r="R106" s="50">
        <f t="shared" si="16"/>
        <v>0.6219972354</v>
      </c>
      <c r="S106" s="16"/>
      <c r="T106" s="25"/>
      <c r="U106" s="6"/>
      <c r="V106" s="6"/>
      <c r="W106" s="7"/>
      <c r="X106" s="7"/>
      <c r="Y106" s="7"/>
      <c r="Z106" s="7"/>
    </row>
    <row r="107">
      <c r="A107" s="52" t="s">
        <v>109</v>
      </c>
      <c r="B107" s="53"/>
      <c r="C107" s="54"/>
      <c r="D107" s="55">
        <f t="shared" ref="D107:F107" si="75">SUM(D100:D106)</f>
        <v>36352.1</v>
      </c>
      <c r="E107" s="74">
        <f t="shared" si="75"/>
        <v>946</v>
      </c>
      <c r="F107" s="74">
        <f t="shared" si="75"/>
        <v>945</v>
      </c>
      <c r="G107" s="75">
        <f t="shared" si="10"/>
        <v>1.001058201</v>
      </c>
      <c r="H107" s="55">
        <f>AVERAGE(H100:H106)</f>
        <v>37.9439675</v>
      </c>
      <c r="I107" s="76">
        <f>H107/G107</f>
        <v>37.90385759</v>
      </c>
      <c r="J107" s="59">
        <f>SUM(J100:J106)</f>
        <v>36675</v>
      </c>
      <c r="K107" s="60">
        <f t="shared" si="13"/>
        <v>0.0257941377</v>
      </c>
      <c r="L107" s="55">
        <f t="shared" ref="L107:O107" si="76">SUM(L100:L106)</f>
        <v>1954.5</v>
      </c>
      <c r="M107" s="55">
        <f t="shared" si="76"/>
        <v>23493.48</v>
      </c>
      <c r="N107" s="74">
        <f t="shared" si="76"/>
        <v>618</v>
      </c>
      <c r="O107" s="59">
        <f t="shared" si="76"/>
        <v>1809189</v>
      </c>
      <c r="P107" s="60">
        <f t="shared" si="14"/>
        <v>0.08319329448</v>
      </c>
      <c r="Q107" s="78">
        <f t="shared" si="15"/>
        <v>12.02019954</v>
      </c>
      <c r="R107" s="62">
        <f t="shared" si="16"/>
        <v>0.646275731</v>
      </c>
      <c r="S107" s="54" t="str">
        <f>iferror((D107-#REF!)/D107,)</f>
        <v/>
      </c>
      <c r="T107" s="63" t="str">
        <f>iferror((F107-#REF!)/F107,)</f>
        <v/>
      </c>
      <c r="U107" s="6"/>
      <c r="V107" s="6"/>
      <c r="W107" s="7"/>
      <c r="X107" s="7"/>
      <c r="Y107" s="7"/>
      <c r="Z107" s="7"/>
    </row>
    <row r="108" outlineLevel="1">
      <c r="A108" s="33" t="str">
        <f t="shared" ref="A108:A114" si="77">iferror(if(B108&gt;0,month(B108)&amp;"-"&amp;year(B108),B108),)</f>
        <v>3-2024</v>
      </c>
      <c r="B108" s="34">
        <v>45382.0</v>
      </c>
      <c r="C108" s="35"/>
      <c r="D108" s="36">
        <v>3410.0</v>
      </c>
      <c r="E108" s="37">
        <v>93.0</v>
      </c>
      <c r="F108" s="37">
        <v>93.0</v>
      </c>
      <c r="G108" s="38">
        <f t="shared" si="10"/>
        <v>1</v>
      </c>
      <c r="H108" s="36">
        <f t="shared" ref="H108:H114" si="78">D108/F108</f>
        <v>36.66666667</v>
      </c>
      <c r="I108" s="36">
        <f t="shared" ref="I108:I114" si="79">D108/E108</f>
        <v>36.66666667</v>
      </c>
      <c r="J108" s="39">
        <v>3923.0</v>
      </c>
      <c r="K108" s="40">
        <f t="shared" si="13"/>
        <v>0.02370634718</v>
      </c>
      <c r="L108" s="36">
        <v>202.45</v>
      </c>
      <c r="M108" s="36">
        <v>2489.77</v>
      </c>
      <c r="N108" s="37">
        <v>67.0</v>
      </c>
      <c r="O108" s="39">
        <v>214692.0</v>
      </c>
      <c r="P108" s="40">
        <f t="shared" si="14"/>
        <v>0.0813127317</v>
      </c>
      <c r="Q108" s="41">
        <f t="shared" si="15"/>
        <v>12.29819709</v>
      </c>
      <c r="R108" s="40">
        <f t="shared" si="16"/>
        <v>0.7301378299</v>
      </c>
      <c r="S108" s="42"/>
      <c r="T108" s="43"/>
      <c r="U108" s="6"/>
      <c r="V108" s="6"/>
      <c r="W108" s="6"/>
      <c r="X108" s="6"/>
      <c r="Y108" s="6"/>
      <c r="Z108" s="6"/>
    </row>
    <row r="109" outlineLevel="1">
      <c r="A109" s="44" t="str">
        <f t="shared" si="77"/>
        <v>4-2024</v>
      </c>
      <c r="B109" s="101">
        <v>45383.0</v>
      </c>
      <c r="C109" s="45"/>
      <c r="D109" s="46">
        <v>1732.2</v>
      </c>
      <c r="E109" s="47">
        <v>51.0</v>
      </c>
      <c r="F109" s="47">
        <v>50.0</v>
      </c>
      <c r="G109" s="48">
        <f t="shared" si="10"/>
        <v>1.02</v>
      </c>
      <c r="H109" s="46">
        <f t="shared" si="78"/>
        <v>34.644</v>
      </c>
      <c r="I109" s="46">
        <f t="shared" si="79"/>
        <v>33.96470588</v>
      </c>
      <c r="J109" s="49">
        <v>3535.0</v>
      </c>
      <c r="K109" s="50">
        <f t="shared" si="13"/>
        <v>0.014427157</v>
      </c>
      <c r="L109" s="46">
        <v>171.7</v>
      </c>
      <c r="M109" s="46">
        <v>1596.8</v>
      </c>
      <c r="N109" s="47">
        <v>42.0</v>
      </c>
      <c r="O109" s="49">
        <v>196796.0</v>
      </c>
      <c r="P109" s="50">
        <f t="shared" si="14"/>
        <v>0.1075275551</v>
      </c>
      <c r="Q109" s="51">
        <f t="shared" si="15"/>
        <v>9.299941759</v>
      </c>
      <c r="R109" s="50">
        <f t="shared" si="16"/>
        <v>0.9218335065</v>
      </c>
      <c r="S109" s="16"/>
      <c r="T109" s="25"/>
      <c r="U109" s="6"/>
      <c r="V109" s="6"/>
      <c r="W109" s="6"/>
      <c r="X109" s="6"/>
      <c r="Y109" s="6"/>
      <c r="Z109" s="6"/>
    </row>
    <row r="110" outlineLevel="1">
      <c r="A110" s="44" t="str">
        <f t="shared" si="77"/>
        <v>4-2024</v>
      </c>
      <c r="B110" s="101">
        <v>45384.0</v>
      </c>
      <c r="C110" s="45"/>
      <c r="D110" s="46">
        <v>2762.6</v>
      </c>
      <c r="E110" s="47">
        <v>66.0</v>
      </c>
      <c r="F110" s="47">
        <v>66.0</v>
      </c>
      <c r="G110" s="48">
        <f t="shared" si="10"/>
        <v>1</v>
      </c>
      <c r="H110" s="46">
        <f t="shared" si="78"/>
        <v>41.85757576</v>
      </c>
      <c r="I110" s="46">
        <f t="shared" si="79"/>
        <v>41.85757576</v>
      </c>
      <c r="J110" s="49">
        <v>3814.0</v>
      </c>
      <c r="K110" s="50">
        <f t="shared" si="13"/>
        <v>0.01730466702</v>
      </c>
      <c r="L110" s="46">
        <v>193.78</v>
      </c>
      <c r="M110" s="46">
        <v>1718.0</v>
      </c>
      <c r="N110" s="47">
        <v>42.0</v>
      </c>
      <c r="O110" s="49">
        <v>192112.0</v>
      </c>
      <c r="P110" s="50">
        <f t="shared" si="14"/>
        <v>0.1127939464</v>
      </c>
      <c r="Q110" s="51">
        <f t="shared" si="15"/>
        <v>8.865724017</v>
      </c>
      <c r="R110" s="50">
        <f t="shared" si="16"/>
        <v>0.6218779411</v>
      </c>
      <c r="S110" s="16"/>
      <c r="T110" s="25"/>
      <c r="U110" s="6"/>
      <c r="V110" s="6"/>
      <c r="W110" s="6"/>
      <c r="X110" s="6"/>
      <c r="Y110" s="6"/>
      <c r="Z110" s="6"/>
    </row>
    <row r="111" outlineLevel="1">
      <c r="A111" s="44" t="str">
        <f t="shared" si="77"/>
        <v>4-2024</v>
      </c>
      <c r="B111" s="101">
        <v>45385.0</v>
      </c>
      <c r="C111" s="45"/>
      <c r="D111" s="46">
        <v>2573.2</v>
      </c>
      <c r="E111" s="47">
        <v>72.0</v>
      </c>
      <c r="F111" s="47">
        <v>72.0</v>
      </c>
      <c r="G111" s="48">
        <f t="shared" si="10"/>
        <v>1</v>
      </c>
      <c r="H111" s="46">
        <f t="shared" si="78"/>
        <v>35.73888889</v>
      </c>
      <c r="I111" s="46">
        <f t="shared" si="79"/>
        <v>35.73888889</v>
      </c>
      <c r="J111" s="49">
        <v>3496.0</v>
      </c>
      <c r="K111" s="50">
        <f t="shared" si="13"/>
        <v>0.02059496568</v>
      </c>
      <c r="L111" s="46">
        <v>170.95</v>
      </c>
      <c r="M111" s="46">
        <v>1486.8</v>
      </c>
      <c r="N111" s="47">
        <v>37.0</v>
      </c>
      <c r="O111" s="49">
        <v>197897.0</v>
      </c>
      <c r="P111" s="50">
        <f t="shared" si="14"/>
        <v>0.1149784773</v>
      </c>
      <c r="Q111" s="51">
        <f t="shared" si="15"/>
        <v>8.697279906</v>
      </c>
      <c r="R111" s="50">
        <f t="shared" si="16"/>
        <v>0.5778019587</v>
      </c>
      <c r="S111" s="16"/>
      <c r="T111" s="25"/>
      <c r="U111" s="6"/>
      <c r="V111" s="6"/>
      <c r="W111" s="6"/>
      <c r="X111" s="6"/>
      <c r="Y111" s="6"/>
      <c r="Z111" s="6"/>
    </row>
    <row r="112" outlineLevel="1">
      <c r="A112" s="44" t="str">
        <f t="shared" si="77"/>
        <v>4-2024</v>
      </c>
      <c r="B112" s="101">
        <v>45386.0</v>
      </c>
      <c r="C112" s="45"/>
      <c r="D112" s="46">
        <v>1867.2</v>
      </c>
      <c r="E112" s="47">
        <v>53.0</v>
      </c>
      <c r="F112" s="47">
        <v>53.0</v>
      </c>
      <c r="G112" s="48">
        <f t="shared" si="10"/>
        <v>1</v>
      </c>
      <c r="H112" s="46">
        <f t="shared" si="78"/>
        <v>35.23018868</v>
      </c>
      <c r="I112" s="46">
        <f t="shared" si="79"/>
        <v>35.23018868</v>
      </c>
      <c r="J112" s="49">
        <v>3058.0</v>
      </c>
      <c r="K112" s="50">
        <f t="shared" si="13"/>
        <v>0.01733158927</v>
      </c>
      <c r="L112" s="46">
        <v>156.43</v>
      </c>
      <c r="M112" s="46">
        <v>953.1</v>
      </c>
      <c r="N112" s="47">
        <v>29.0</v>
      </c>
      <c r="O112" s="49">
        <v>186234.0</v>
      </c>
      <c r="P112" s="50">
        <f t="shared" si="14"/>
        <v>0.1641275837</v>
      </c>
      <c r="Q112" s="51">
        <f t="shared" si="15"/>
        <v>6.09282107</v>
      </c>
      <c r="R112" s="50">
        <f t="shared" si="16"/>
        <v>0.5104434447</v>
      </c>
      <c r="S112" s="16"/>
      <c r="T112" s="25"/>
      <c r="U112" s="6"/>
      <c r="V112" s="6"/>
      <c r="W112" s="6"/>
      <c r="X112" s="6"/>
      <c r="Y112" s="6"/>
      <c r="Z112" s="6"/>
    </row>
    <row r="113" outlineLevel="1">
      <c r="A113" s="44" t="str">
        <f t="shared" si="77"/>
        <v>4-2024</v>
      </c>
      <c r="B113" s="101">
        <v>45387.0</v>
      </c>
      <c r="C113" s="45"/>
      <c r="D113" s="46">
        <v>2205.7</v>
      </c>
      <c r="E113" s="47">
        <v>61.0</v>
      </c>
      <c r="F113" s="47">
        <v>61.0</v>
      </c>
      <c r="G113" s="48">
        <f t="shared" si="10"/>
        <v>1</v>
      </c>
      <c r="H113" s="46">
        <f t="shared" si="78"/>
        <v>36.15901639</v>
      </c>
      <c r="I113" s="46">
        <f t="shared" si="79"/>
        <v>36.15901639</v>
      </c>
      <c r="J113" s="49">
        <v>2786.0</v>
      </c>
      <c r="K113" s="50">
        <f t="shared" si="13"/>
        <v>0.02189519024</v>
      </c>
      <c r="L113" s="46">
        <v>141.71</v>
      </c>
      <c r="M113" s="46">
        <v>1301.79</v>
      </c>
      <c r="N113" s="47">
        <v>40.0</v>
      </c>
      <c r="O113" s="49">
        <v>169348.0</v>
      </c>
      <c r="P113" s="50">
        <f t="shared" si="14"/>
        <v>0.1088578035</v>
      </c>
      <c r="Q113" s="51">
        <f t="shared" si="15"/>
        <v>9.186295957</v>
      </c>
      <c r="R113" s="50">
        <f t="shared" si="16"/>
        <v>0.5901935893</v>
      </c>
      <c r="S113" s="16"/>
      <c r="T113" s="25"/>
      <c r="U113" s="6"/>
      <c r="V113" s="6"/>
      <c r="W113" s="6"/>
      <c r="X113" s="6"/>
      <c r="Y113" s="6"/>
      <c r="Z113" s="6"/>
    </row>
    <row r="114" outlineLevel="1">
      <c r="A114" s="44" t="str">
        <f t="shared" si="77"/>
        <v>4-2024</v>
      </c>
      <c r="B114" s="101">
        <v>45388.0</v>
      </c>
      <c r="C114" s="45"/>
      <c r="D114" s="46">
        <v>2988.7</v>
      </c>
      <c r="E114" s="47">
        <v>71.0</v>
      </c>
      <c r="F114" s="47">
        <v>71.0</v>
      </c>
      <c r="G114" s="48">
        <f t="shared" si="10"/>
        <v>1</v>
      </c>
      <c r="H114" s="46">
        <f t="shared" si="78"/>
        <v>42.0943662</v>
      </c>
      <c r="I114" s="46">
        <f t="shared" si="79"/>
        <v>42.0943662</v>
      </c>
      <c r="J114" s="49">
        <v>3752.0</v>
      </c>
      <c r="K114" s="50">
        <f t="shared" si="13"/>
        <v>0.01892324094</v>
      </c>
      <c r="L114" s="46">
        <v>179.03</v>
      </c>
      <c r="M114" s="46">
        <v>1768.2</v>
      </c>
      <c r="N114" s="47">
        <v>52.0</v>
      </c>
      <c r="O114" s="49">
        <v>208982.0</v>
      </c>
      <c r="P114" s="50">
        <f t="shared" si="14"/>
        <v>0.1012498586</v>
      </c>
      <c r="Q114" s="51">
        <f t="shared" si="15"/>
        <v>9.876557002</v>
      </c>
      <c r="R114" s="50">
        <f t="shared" si="16"/>
        <v>0.5916284672</v>
      </c>
      <c r="S114" s="16"/>
      <c r="T114" s="25"/>
      <c r="U114" s="6"/>
      <c r="V114" s="6"/>
      <c r="W114" s="6"/>
      <c r="X114" s="6"/>
      <c r="Y114" s="6"/>
      <c r="Z114" s="6"/>
    </row>
    <row r="115">
      <c r="A115" s="52" t="s">
        <v>110</v>
      </c>
      <c r="B115" s="53"/>
      <c r="C115" s="54"/>
      <c r="D115" s="55">
        <f t="shared" ref="D115:F115" si="80">SUM(D108:D114)</f>
        <v>17539.6</v>
      </c>
      <c r="E115" s="56">
        <f t="shared" si="80"/>
        <v>467</v>
      </c>
      <c r="F115" s="56">
        <f t="shared" si="80"/>
        <v>466</v>
      </c>
      <c r="G115" s="75">
        <f t="shared" si="10"/>
        <v>1.002145923</v>
      </c>
      <c r="H115" s="55">
        <f>AVERAGE(H108:H114)</f>
        <v>37.48438608</v>
      </c>
      <c r="I115" s="76">
        <f>H115/G115</f>
        <v>37.40411973</v>
      </c>
      <c r="J115" s="59">
        <f>SUM(J108:J114)</f>
        <v>24364</v>
      </c>
      <c r="K115" s="60">
        <f t="shared" si="13"/>
        <v>0.01916762436</v>
      </c>
      <c r="L115" s="55">
        <f t="shared" ref="L115:O115" si="81">SUM(L108:L114)</f>
        <v>1216.05</v>
      </c>
      <c r="M115" s="55">
        <f t="shared" si="81"/>
        <v>11314.46</v>
      </c>
      <c r="N115" s="56">
        <f t="shared" si="81"/>
        <v>309</v>
      </c>
      <c r="O115" s="59">
        <f t="shared" si="81"/>
        <v>1366061</v>
      </c>
      <c r="P115" s="60">
        <f t="shared" si="14"/>
        <v>0.1074775111</v>
      </c>
      <c r="Q115" s="78">
        <f t="shared" si="15"/>
        <v>9.304272028</v>
      </c>
      <c r="R115" s="62">
        <f t="shared" si="16"/>
        <v>0.6450808456</v>
      </c>
      <c r="S115" s="54" t="str">
        <f>iferror((D115-#REF!)/D115,)</f>
        <v/>
      </c>
      <c r="T115" s="63" t="str">
        <f>iferror((F115-#REF!)/F115,)</f>
        <v/>
      </c>
      <c r="U115" s="6"/>
      <c r="V115" s="6"/>
      <c r="W115" s="6"/>
      <c r="X115" s="6"/>
      <c r="Y115" s="6"/>
      <c r="Z115" s="6"/>
    </row>
    <row r="116" hidden="1" outlineLevel="1">
      <c r="A116" s="33" t="str">
        <f t="shared" ref="A116:A122" si="82">iferror(if(B116&gt;0,month(B116)&amp;"-"&amp;year(B116),B116),)</f>
        <v>4-2024</v>
      </c>
      <c r="B116" s="34">
        <v>45389.0</v>
      </c>
      <c r="C116" s="35"/>
      <c r="D116" s="36">
        <v>2948.2</v>
      </c>
      <c r="E116" s="37">
        <v>77.0</v>
      </c>
      <c r="F116" s="37">
        <v>77.0</v>
      </c>
      <c r="G116" s="38">
        <f t="shared" si="10"/>
        <v>1</v>
      </c>
      <c r="H116" s="36">
        <f t="shared" ref="H116:H122" si="83">D116/F116</f>
        <v>38.28831169</v>
      </c>
      <c r="I116" s="36">
        <f t="shared" ref="I116:I122" si="84">D116/E116</f>
        <v>38.28831169</v>
      </c>
      <c r="J116" s="39">
        <v>4187.0</v>
      </c>
      <c r="K116" s="40">
        <f t="shared" si="13"/>
        <v>0.01839025555</v>
      </c>
      <c r="L116" s="36">
        <v>227.44</v>
      </c>
      <c r="M116" s="36">
        <v>1829.8</v>
      </c>
      <c r="N116" s="37">
        <v>49.0</v>
      </c>
      <c r="O116" s="39">
        <v>251071.0</v>
      </c>
      <c r="P116" s="40">
        <f t="shared" si="14"/>
        <v>0.1242977375</v>
      </c>
      <c r="Q116" s="41">
        <f t="shared" si="15"/>
        <v>8.045198734</v>
      </c>
      <c r="R116" s="40">
        <f t="shared" si="16"/>
        <v>0.6206498881</v>
      </c>
      <c r="S116" s="42"/>
      <c r="T116" s="43"/>
      <c r="U116" s="6"/>
      <c r="V116" s="6"/>
      <c r="W116" s="6"/>
      <c r="X116" s="6"/>
      <c r="Y116" s="6"/>
      <c r="Z116" s="6"/>
    </row>
    <row r="117" hidden="1" outlineLevel="1">
      <c r="A117" s="44" t="str">
        <f t="shared" si="82"/>
        <v>4-2024</v>
      </c>
      <c r="B117" s="101">
        <v>45390.0</v>
      </c>
      <c r="C117" s="45"/>
      <c r="D117" s="46">
        <v>2696.1</v>
      </c>
      <c r="E117" s="47">
        <v>75.0</v>
      </c>
      <c r="F117" s="47">
        <v>75.0</v>
      </c>
      <c r="G117" s="48">
        <f t="shared" si="10"/>
        <v>1</v>
      </c>
      <c r="H117" s="46">
        <f t="shared" si="83"/>
        <v>35.948</v>
      </c>
      <c r="I117" s="46">
        <f t="shared" si="84"/>
        <v>35.948</v>
      </c>
      <c r="J117" s="49">
        <v>3818.0</v>
      </c>
      <c r="K117" s="50">
        <f t="shared" si="13"/>
        <v>0.01964379256</v>
      </c>
      <c r="L117" s="46">
        <v>196.53</v>
      </c>
      <c r="M117" s="46">
        <v>1617.9</v>
      </c>
      <c r="N117" s="47">
        <v>47.0</v>
      </c>
      <c r="O117" s="49">
        <v>225792.0</v>
      </c>
      <c r="P117" s="50">
        <f t="shared" si="14"/>
        <v>0.1214722789</v>
      </c>
      <c r="Q117" s="51">
        <f t="shared" si="15"/>
        <v>8.232330942</v>
      </c>
      <c r="R117" s="50">
        <f t="shared" si="16"/>
        <v>0.6000890175</v>
      </c>
      <c r="S117" s="16"/>
      <c r="T117" s="25"/>
      <c r="U117" s="6"/>
      <c r="V117" s="6"/>
      <c r="W117" s="6"/>
      <c r="X117" s="6"/>
      <c r="Y117" s="6"/>
      <c r="Z117" s="6"/>
    </row>
    <row r="118" hidden="1" outlineLevel="1">
      <c r="A118" s="44" t="str">
        <f t="shared" si="82"/>
        <v>4-2024</v>
      </c>
      <c r="B118" s="101">
        <v>45391.0</v>
      </c>
      <c r="C118" s="45"/>
      <c r="D118" s="46">
        <v>2025.2</v>
      </c>
      <c r="E118" s="47">
        <v>56.0</v>
      </c>
      <c r="F118" s="47">
        <v>56.0</v>
      </c>
      <c r="G118" s="48">
        <f t="shared" si="10"/>
        <v>1</v>
      </c>
      <c r="H118" s="46">
        <f t="shared" si="83"/>
        <v>36.16428571</v>
      </c>
      <c r="I118" s="46">
        <f t="shared" si="84"/>
        <v>36.16428571</v>
      </c>
      <c r="J118" s="49">
        <v>3058.0</v>
      </c>
      <c r="K118" s="50">
        <f t="shared" si="13"/>
        <v>0.01831262263</v>
      </c>
      <c r="L118" s="46">
        <v>110.66</v>
      </c>
      <c r="M118" s="46">
        <v>1170.8</v>
      </c>
      <c r="N118" s="47">
        <v>33.0</v>
      </c>
      <c r="O118" s="49">
        <v>163462.0</v>
      </c>
      <c r="P118" s="50">
        <f t="shared" si="14"/>
        <v>0.09451656987</v>
      </c>
      <c r="Q118" s="51">
        <f t="shared" si="15"/>
        <v>10.58015543</v>
      </c>
      <c r="R118" s="50">
        <f t="shared" si="16"/>
        <v>0.5781157417</v>
      </c>
      <c r="S118" s="16"/>
      <c r="T118" s="25"/>
      <c r="U118" s="6"/>
      <c r="V118" s="6"/>
      <c r="W118" s="6"/>
      <c r="X118" s="6"/>
      <c r="Y118" s="6"/>
      <c r="Z118" s="6"/>
    </row>
    <row r="119" hidden="1" outlineLevel="1">
      <c r="A119" s="44" t="str">
        <f t="shared" si="82"/>
        <v>4-2024</v>
      </c>
      <c r="B119" s="101">
        <v>45392.0</v>
      </c>
      <c r="C119" s="45"/>
      <c r="D119" s="46">
        <v>2628.7</v>
      </c>
      <c r="E119" s="47">
        <v>73.0</v>
      </c>
      <c r="F119" s="47">
        <v>72.0</v>
      </c>
      <c r="G119" s="48">
        <f t="shared" si="10"/>
        <v>1.013888889</v>
      </c>
      <c r="H119" s="46">
        <f t="shared" si="83"/>
        <v>36.50972222</v>
      </c>
      <c r="I119" s="46">
        <f t="shared" si="84"/>
        <v>36.00958904</v>
      </c>
      <c r="J119" s="49">
        <v>3042.0</v>
      </c>
      <c r="K119" s="50">
        <f t="shared" si="13"/>
        <v>0.02399737015</v>
      </c>
      <c r="L119" s="46">
        <v>78.42</v>
      </c>
      <c r="M119" s="46">
        <v>864.4</v>
      </c>
      <c r="N119" s="47">
        <v>26.0</v>
      </c>
      <c r="O119" s="49">
        <v>128193.0</v>
      </c>
      <c r="P119" s="50">
        <f t="shared" si="14"/>
        <v>0.09072188801</v>
      </c>
      <c r="Q119" s="51">
        <f t="shared" si="15"/>
        <v>11.02269829</v>
      </c>
      <c r="R119" s="50">
        <f t="shared" si="16"/>
        <v>0.3288317419</v>
      </c>
      <c r="S119" s="16"/>
      <c r="T119" s="25"/>
      <c r="U119" s="6"/>
      <c r="V119" s="6"/>
      <c r="W119" s="6"/>
      <c r="X119" s="6"/>
      <c r="Y119" s="6"/>
      <c r="Z119" s="6"/>
    </row>
    <row r="120" hidden="1" outlineLevel="1">
      <c r="A120" s="44" t="str">
        <f t="shared" si="82"/>
        <v>4-2024</v>
      </c>
      <c r="B120" s="101">
        <v>45393.0</v>
      </c>
      <c r="C120" s="45"/>
      <c r="D120" s="46">
        <v>2656.6</v>
      </c>
      <c r="E120" s="47">
        <v>81.0</v>
      </c>
      <c r="F120" s="47">
        <v>80.0</v>
      </c>
      <c r="G120" s="48">
        <f t="shared" si="10"/>
        <v>1.0125</v>
      </c>
      <c r="H120" s="46">
        <f t="shared" si="83"/>
        <v>33.2075</v>
      </c>
      <c r="I120" s="46">
        <f t="shared" si="84"/>
        <v>32.79753086</v>
      </c>
      <c r="J120" s="49">
        <v>2810.0</v>
      </c>
      <c r="K120" s="50">
        <f t="shared" si="13"/>
        <v>0.02882562278</v>
      </c>
      <c r="L120" s="46">
        <v>84.15</v>
      </c>
      <c r="M120" s="46">
        <v>1521.2</v>
      </c>
      <c r="N120" s="47">
        <v>44.0</v>
      </c>
      <c r="O120" s="49">
        <v>123517.0</v>
      </c>
      <c r="P120" s="50">
        <f t="shared" si="14"/>
        <v>0.05531816987</v>
      </c>
      <c r="Q120" s="51">
        <f t="shared" si="15"/>
        <v>18.07724302</v>
      </c>
      <c r="R120" s="50">
        <f t="shared" si="16"/>
        <v>0.5726116088</v>
      </c>
      <c r="S120" s="16"/>
      <c r="T120" s="25"/>
      <c r="U120" s="6"/>
      <c r="V120" s="6"/>
      <c r="W120" s="6"/>
      <c r="X120" s="6"/>
      <c r="Y120" s="6"/>
      <c r="Z120" s="6"/>
    </row>
    <row r="121" hidden="1" outlineLevel="1">
      <c r="A121" s="44" t="str">
        <f t="shared" si="82"/>
        <v>4-2024</v>
      </c>
      <c r="B121" s="101">
        <v>45394.0</v>
      </c>
      <c r="C121" s="45"/>
      <c r="D121" s="46">
        <v>2977.7</v>
      </c>
      <c r="E121" s="47">
        <v>82.0</v>
      </c>
      <c r="F121" s="47">
        <v>81.0</v>
      </c>
      <c r="G121" s="48">
        <f t="shared" si="10"/>
        <v>1.012345679</v>
      </c>
      <c r="H121" s="46">
        <f t="shared" si="83"/>
        <v>36.7617284</v>
      </c>
      <c r="I121" s="46">
        <f t="shared" si="84"/>
        <v>36.31341463</v>
      </c>
      <c r="J121" s="49">
        <v>2460.0</v>
      </c>
      <c r="K121" s="50">
        <f t="shared" si="13"/>
        <v>0.03333333333</v>
      </c>
      <c r="L121" s="46">
        <v>68.73</v>
      </c>
      <c r="M121" s="46">
        <v>1709.2</v>
      </c>
      <c r="N121" s="47">
        <v>53.0</v>
      </c>
      <c r="O121" s="49">
        <v>106016.0</v>
      </c>
      <c r="P121" s="50">
        <f t="shared" si="14"/>
        <v>0.04021179499</v>
      </c>
      <c r="Q121" s="51">
        <f t="shared" si="15"/>
        <v>24.86832533</v>
      </c>
      <c r="R121" s="50">
        <f t="shared" si="16"/>
        <v>0.5740000672</v>
      </c>
      <c r="S121" s="16"/>
      <c r="T121" s="25"/>
      <c r="U121" s="6"/>
      <c r="V121" s="6"/>
      <c r="W121" s="6"/>
      <c r="X121" s="6"/>
      <c r="Y121" s="6"/>
      <c r="Z121" s="6"/>
    </row>
    <row r="122" hidden="1" outlineLevel="1">
      <c r="A122" s="44" t="str">
        <f t="shared" si="82"/>
        <v>4-2024</v>
      </c>
      <c r="B122" s="101">
        <v>45395.0</v>
      </c>
      <c r="C122" s="45"/>
      <c r="D122" s="46">
        <v>3145.9</v>
      </c>
      <c r="E122" s="47">
        <v>92.0</v>
      </c>
      <c r="F122" s="47">
        <v>90.0</v>
      </c>
      <c r="G122" s="48">
        <f t="shared" si="10"/>
        <v>1.022222222</v>
      </c>
      <c r="H122" s="46">
        <f t="shared" si="83"/>
        <v>34.95444444</v>
      </c>
      <c r="I122" s="46">
        <f t="shared" si="84"/>
        <v>34.19456522</v>
      </c>
      <c r="J122" s="49">
        <v>3078.0</v>
      </c>
      <c r="K122" s="50">
        <f t="shared" si="13"/>
        <v>0.02988953866</v>
      </c>
      <c r="L122" s="46">
        <v>95.58</v>
      </c>
      <c r="M122" s="46">
        <v>1682.5</v>
      </c>
      <c r="N122" s="47">
        <v>51.0</v>
      </c>
      <c r="O122" s="49">
        <v>134321.0</v>
      </c>
      <c r="P122" s="50">
        <f t="shared" si="14"/>
        <v>0.05680832095</v>
      </c>
      <c r="Q122" s="51">
        <f t="shared" si="15"/>
        <v>17.60305503</v>
      </c>
      <c r="R122" s="50">
        <f t="shared" si="16"/>
        <v>0.5348231031</v>
      </c>
      <c r="S122" s="16"/>
      <c r="T122" s="25"/>
      <c r="U122" s="6"/>
      <c r="V122" s="6"/>
      <c r="W122" s="6"/>
      <c r="X122" s="6"/>
      <c r="Y122" s="6"/>
      <c r="Z122" s="6"/>
    </row>
    <row r="123" collapsed="1">
      <c r="A123" s="52" t="s">
        <v>111</v>
      </c>
      <c r="B123" s="53"/>
      <c r="C123" s="54"/>
      <c r="D123" s="55">
        <f t="shared" ref="D123:F123" si="85">SUM(D116:D122)</f>
        <v>19078.4</v>
      </c>
      <c r="E123" s="56">
        <f t="shared" si="85"/>
        <v>536</v>
      </c>
      <c r="F123" s="56">
        <f t="shared" si="85"/>
        <v>531</v>
      </c>
      <c r="G123" s="75">
        <f t="shared" si="10"/>
        <v>1.009416196</v>
      </c>
      <c r="H123" s="55">
        <f>AVERAGE(H116:H122)</f>
        <v>35.97628464</v>
      </c>
      <c r="I123" s="76">
        <f>H123/G123</f>
        <v>35.64068497</v>
      </c>
      <c r="J123" s="59">
        <f>SUM(J116:J122)</f>
        <v>22453</v>
      </c>
      <c r="K123" s="60">
        <f t="shared" si="13"/>
        <v>0.02387208836</v>
      </c>
      <c r="L123" s="55">
        <f t="shared" ref="L123:O123" si="86">SUM(L116:L122)</f>
        <v>861.51</v>
      </c>
      <c r="M123" s="55">
        <f t="shared" si="86"/>
        <v>10395.8</v>
      </c>
      <c r="N123" s="56">
        <f t="shared" si="86"/>
        <v>303</v>
      </c>
      <c r="O123" s="59">
        <f t="shared" si="86"/>
        <v>1132372</v>
      </c>
      <c r="P123" s="60">
        <f t="shared" si="14"/>
        <v>0.08287096712</v>
      </c>
      <c r="Q123" s="78">
        <f t="shared" si="15"/>
        <v>12.06695221</v>
      </c>
      <c r="R123" s="62">
        <f t="shared" si="16"/>
        <v>0.5448989433</v>
      </c>
      <c r="S123" s="54" t="str">
        <f>iferror((D123-#REF!)/D123,)</f>
        <v/>
      </c>
      <c r="T123" s="63" t="str">
        <f>iferror((F123-#REF!)/F123,)</f>
        <v/>
      </c>
      <c r="U123" s="6"/>
      <c r="V123" s="6"/>
      <c r="W123" s="6"/>
      <c r="X123" s="6"/>
      <c r="Y123" s="6"/>
      <c r="Z123" s="6"/>
    </row>
    <row r="124" hidden="1" outlineLevel="1">
      <c r="A124" s="44" t="str">
        <f t="shared" ref="A124:A130" si="87">iferror(if(B124&gt;0,month(B124)&amp;"-"&amp;year(B124),B124),)</f>
        <v>4-2024</v>
      </c>
      <c r="B124" s="105">
        <v>45396.0</v>
      </c>
      <c r="C124" s="45"/>
      <c r="D124" s="71">
        <v>3343.8</v>
      </c>
      <c r="E124" s="72">
        <v>93.0</v>
      </c>
      <c r="F124" s="72">
        <v>93.0</v>
      </c>
      <c r="G124" s="48">
        <f t="shared" si="10"/>
        <v>1</v>
      </c>
      <c r="H124" s="46">
        <f t="shared" ref="H124:H130" si="88">D124/F124</f>
        <v>35.95483871</v>
      </c>
      <c r="I124" s="46">
        <f t="shared" ref="I124:I130" si="89">D124/E124</f>
        <v>35.95483871</v>
      </c>
      <c r="J124" s="73">
        <v>4029.0</v>
      </c>
      <c r="K124" s="50">
        <f t="shared" si="13"/>
        <v>0.02308265078</v>
      </c>
      <c r="L124" s="71">
        <v>134.87</v>
      </c>
      <c r="M124" s="71">
        <v>2125.7</v>
      </c>
      <c r="N124" s="72">
        <v>56.0</v>
      </c>
      <c r="O124" s="73">
        <v>188819.0</v>
      </c>
      <c r="P124" s="50">
        <f t="shared" si="14"/>
        <v>0.063447335</v>
      </c>
      <c r="Q124" s="51">
        <f t="shared" si="15"/>
        <v>15.76110328</v>
      </c>
      <c r="R124" s="50">
        <f t="shared" si="16"/>
        <v>0.6357138585</v>
      </c>
      <c r="S124" s="16"/>
      <c r="T124" s="25"/>
      <c r="U124" s="6"/>
      <c r="V124" s="6"/>
      <c r="W124" s="7"/>
      <c r="X124" s="7"/>
      <c r="Y124" s="7"/>
      <c r="Z124" s="7"/>
    </row>
    <row r="125" hidden="1" outlineLevel="1">
      <c r="A125" s="44" t="str">
        <f t="shared" si="87"/>
        <v>4-2024</v>
      </c>
      <c r="B125" s="105">
        <v>45397.0</v>
      </c>
      <c r="C125" s="45"/>
      <c r="D125" s="71">
        <v>3602.7</v>
      </c>
      <c r="E125" s="72">
        <v>93.0</v>
      </c>
      <c r="F125" s="72">
        <v>93.0</v>
      </c>
      <c r="G125" s="48">
        <f t="shared" si="10"/>
        <v>1</v>
      </c>
      <c r="H125" s="46">
        <f t="shared" si="88"/>
        <v>38.73870968</v>
      </c>
      <c r="I125" s="46">
        <f t="shared" si="89"/>
        <v>38.73870968</v>
      </c>
      <c r="J125" s="73">
        <v>3680.0</v>
      </c>
      <c r="K125" s="50">
        <f t="shared" si="13"/>
        <v>0.02527173913</v>
      </c>
      <c r="L125" s="71">
        <v>107.49</v>
      </c>
      <c r="M125" s="71">
        <v>1821.4</v>
      </c>
      <c r="N125" s="72">
        <v>48.0</v>
      </c>
      <c r="O125" s="73">
        <v>153460.0</v>
      </c>
      <c r="P125" s="50">
        <f t="shared" si="14"/>
        <v>0.05901504337</v>
      </c>
      <c r="Q125" s="51">
        <f t="shared" si="15"/>
        <v>16.94483208</v>
      </c>
      <c r="R125" s="50">
        <f t="shared" si="16"/>
        <v>0.5055652705</v>
      </c>
      <c r="S125" s="16"/>
      <c r="T125" s="25"/>
      <c r="U125" s="6"/>
      <c r="V125" s="6"/>
      <c r="W125" s="7"/>
      <c r="X125" s="7"/>
      <c r="Y125" s="7"/>
      <c r="Z125" s="7"/>
    </row>
    <row r="126" hidden="1" outlineLevel="1">
      <c r="A126" s="44" t="str">
        <f t="shared" si="87"/>
        <v>4-2024</v>
      </c>
      <c r="B126" s="105">
        <v>45398.0</v>
      </c>
      <c r="C126" s="45"/>
      <c r="D126" s="71">
        <v>3989.6</v>
      </c>
      <c r="E126" s="72">
        <v>116.0</v>
      </c>
      <c r="F126" s="72">
        <v>115.0</v>
      </c>
      <c r="G126" s="48">
        <f t="shared" si="10"/>
        <v>1.008695652</v>
      </c>
      <c r="H126" s="46">
        <f t="shared" si="88"/>
        <v>34.69217391</v>
      </c>
      <c r="I126" s="46">
        <f t="shared" si="89"/>
        <v>34.39310345</v>
      </c>
      <c r="J126" s="73">
        <v>4150.0</v>
      </c>
      <c r="K126" s="50">
        <f t="shared" si="13"/>
        <v>0.02795180723</v>
      </c>
      <c r="L126" s="71">
        <v>115.23</v>
      </c>
      <c r="M126" s="71">
        <v>2090.1</v>
      </c>
      <c r="N126" s="72">
        <v>59.0</v>
      </c>
      <c r="O126" s="73">
        <v>169255.0</v>
      </c>
      <c r="P126" s="50">
        <f t="shared" si="14"/>
        <v>0.05513133343</v>
      </c>
      <c r="Q126" s="51">
        <f t="shared" si="15"/>
        <v>18.1385056</v>
      </c>
      <c r="R126" s="50">
        <f t="shared" si="16"/>
        <v>0.5238871065</v>
      </c>
      <c r="S126" s="16"/>
      <c r="T126" s="25"/>
      <c r="U126" s="6"/>
      <c r="V126" s="6"/>
      <c r="W126" s="7"/>
      <c r="X126" s="7"/>
      <c r="Y126" s="7"/>
      <c r="Z126" s="7"/>
    </row>
    <row r="127" hidden="1" outlineLevel="1">
      <c r="A127" s="44" t="str">
        <f t="shared" si="87"/>
        <v>4-2024</v>
      </c>
      <c r="B127" s="105">
        <v>45399.0</v>
      </c>
      <c r="C127" s="45"/>
      <c r="D127" s="71">
        <v>2806.8</v>
      </c>
      <c r="E127" s="72">
        <v>70.0</v>
      </c>
      <c r="F127" s="72">
        <v>70.0</v>
      </c>
      <c r="G127" s="48">
        <f t="shared" si="10"/>
        <v>1</v>
      </c>
      <c r="H127" s="46">
        <f t="shared" si="88"/>
        <v>40.09714286</v>
      </c>
      <c r="I127" s="46">
        <f t="shared" si="89"/>
        <v>40.09714286</v>
      </c>
      <c r="J127" s="73">
        <v>3201.0</v>
      </c>
      <c r="K127" s="50">
        <f t="shared" si="13"/>
        <v>0.0218681662</v>
      </c>
      <c r="L127" s="71">
        <v>109.29</v>
      </c>
      <c r="M127" s="71">
        <v>1783.6</v>
      </c>
      <c r="N127" s="72">
        <v>50.0</v>
      </c>
      <c r="O127" s="73">
        <v>149217.0</v>
      </c>
      <c r="P127" s="50">
        <f t="shared" si="14"/>
        <v>0.06127494954</v>
      </c>
      <c r="Q127" s="51">
        <f t="shared" si="15"/>
        <v>16.31988288</v>
      </c>
      <c r="R127" s="50">
        <f t="shared" si="16"/>
        <v>0.6354567479</v>
      </c>
      <c r="S127" s="16"/>
      <c r="T127" s="25"/>
      <c r="U127" s="6"/>
      <c r="V127" s="6"/>
      <c r="W127" s="7"/>
      <c r="X127" s="7"/>
      <c r="Y127" s="7"/>
      <c r="Z127" s="7"/>
    </row>
    <row r="128" hidden="1" outlineLevel="1">
      <c r="A128" s="44" t="str">
        <f t="shared" si="87"/>
        <v>4-2024</v>
      </c>
      <c r="B128" s="105">
        <v>45400.0</v>
      </c>
      <c r="C128" s="45"/>
      <c r="D128" s="71">
        <v>2993.6</v>
      </c>
      <c r="E128" s="72">
        <v>86.0</v>
      </c>
      <c r="F128" s="72">
        <v>86.0</v>
      </c>
      <c r="G128" s="48">
        <f t="shared" si="10"/>
        <v>1</v>
      </c>
      <c r="H128" s="46">
        <f t="shared" si="88"/>
        <v>34.80930233</v>
      </c>
      <c r="I128" s="46">
        <f t="shared" si="89"/>
        <v>34.80930233</v>
      </c>
      <c r="J128" s="73">
        <v>3123.0</v>
      </c>
      <c r="K128" s="50">
        <f t="shared" si="13"/>
        <v>0.02753762408</v>
      </c>
      <c r="L128" s="71">
        <v>91.92</v>
      </c>
      <c r="M128" s="71">
        <v>1582.19</v>
      </c>
      <c r="N128" s="72">
        <v>45.0</v>
      </c>
      <c r="O128" s="73">
        <v>146359.0</v>
      </c>
      <c r="P128" s="50">
        <f t="shared" si="14"/>
        <v>0.05809668877</v>
      </c>
      <c r="Q128" s="51">
        <f t="shared" si="15"/>
        <v>17.21268494</v>
      </c>
      <c r="R128" s="50">
        <f t="shared" si="16"/>
        <v>0.5285241849</v>
      </c>
      <c r="S128" s="16"/>
      <c r="T128" s="25"/>
      <c r="U128" s="6"/>
      <c r="V128" s="6"/>
      <c r="W128" s="7"/>
      <c r="X128" s="7"/>
      <c r="Y128" s="7"/>
      <c r="Z128" s="7"/>
    </row>
    <row r="129" hidden="1" outlineLevel="1">
      <c r="A129" s="44" t="str">
        <f t="shared" si="87"/>
        <v>4-2024</v>
      </c>
      <c r="B129" s="105">
        <v>45401.0</v>
      </c>
      <c r="C129" s="45"/>
      <c r="D129" s="71">
        <v>2597.7</v>
      </c>
      <c r="E129" s="72">
        <v>69.0</v>
      </c>
      <c r="F129" s="72">
        <v>69.0</v>
      </c>
      <c r="G129" s="48">
        <f t="shared" si="10"/>
        <v>1</v>
      </c>
      <c r="H129" s="46">
        <f t="shared" si="88"/>
        <v>37.64782609</v>
      </c>
      <c r="I129" s="46">
        <f t="shared" si="89"/>
        <v>37.64782609</v>
      </c>
      <c r="J129" s="73">
        <v>2959.0</v>
      </c>
      <c r="K129" s="50">
        <f t="shared" si="13"/>
        <v>0.02331868875</v>
      </c>
      <c r="L129" s="71">
        <v>94.27</v>
      </c>
      <c r="M129" s="71">
        <v>1332.37</v>
      </c>
      <c r="N129" s="72">
        <v>36.0</v>
      </c>
      <c r="O129" s="73">
        <v>126547.0</v>
      </c>
      <c r="P129" s="50">
        <f t="shared" si="14"/>
        <v>0.07075361949</v>
      </c>
      <c r="Q129" s="51">
        <f t="shared" si="15"/>
        <v>14.13355256</v>
      </c>
      <c r="R129" s="50">
        <f t="shared" si="16"/>
        <v>0.5129037225</v>
      </c>
      <c r="S129" s="16"/>
      <c r="T129" s="25"/>
      <c r="U129" s="6"/>
      <c r="V129" s="6"/>
      <c r="W129" s="7"/>
      <c r="X129" s="7"/>
      <c r="Y129" s="7"/>
      <c r="Z129" s="7"/>
    </row>
    <row r="130" hidden="1" outlineLevel="1">
      <c r="A130" s="44" t="str">
        <f t="shared" si="87"/>
        <v>4-2024</v>
      </c>
      <c r="B130" s="105">
        <v>45402.0</v>
      </c>
      <c r="C130" s="45"/>
      <c r="D130" s="71">
        <v>3130.3</v>
      </c>
      <c r="E130" s="72">
        <v>82.0</v>
      </c>
      <c r="F130" s="72">
        <v>82.0</v>
      </c>
      <c r="G130" s="48">
        <f t="shared" si="10"/>
        <v>1</v>
      </c>
      <c r="H130" s="46">
        <f t="shared" si="88"/>
        <v>38.17439024</v>
      </c>
      <c r="I130" s="46">
        <f t="shared" si="89"/>
        <v>38.17439024</v>
      </c>
      <c r="J130" s="73">
        <v>3634.0</v>
      </c>
      <c r="K130" s="50">
        <f t="shared" si="13"/>
        <v>0.02256466703</v>
      </c>
      <c r="L130" s="71">
        <v>113.72</v>
      </c>
      <c r="M130" s="71">
        <v>1599.1</v>
      </c>
      <c r="N130" s="72">
        <v>42.0</v>
      </c>
      <c r="O130" s="73">
        <v>156887.0</v>
      </c>
      <c r="P130" s="50">
        <f t="shared" si="14"/>
        <v>0.07111500219</v>
      </c>
      <c r="Q130" s="51">
        <f t="shared" si="15"/>
        <v>14.06173057</v>
      </c>
      <c r="R130" s="50">
        <f t="shared" si="16"/>
        <v>0.5108456059</v>
      </c>
      <c r="S130" s="16"/>
      <c r="T130" s="25"/>
      <c r="U130" s="6"/>
      <c r="V130" s="6"/>
      <c r="W130" s="7"/>
      <c r="X130" s="7"/>
      <c r="Y130" s="7"/>
      <c r="Z130" s="7"/>
    </row>
    <row r="131" collapsed="1">
      <c r="A131" s="52" t="s">
        <v>112</v>
      </c>
      <c r="B131" s="53"/>
      <c r="C131" s="54"/>
      <c r="D131" s="55">
        <f t="shared" ref="D131:F131" si="90">SUM(D124:D130)</f>
        <v>22464.5</v>
      </c>
      <c r="E131" s="74">
        <f t="shared" si="90"/>
        <v>609</v>
      </c>
      <c r="F131" s="74">
        <f t="shared" si="90"/>
        <v>608</v>
      </c>
      <c r="G131" s="75">
        <f t="shared" si="10"/>
        <v>1.001644737</v>
      </c>
      <c r="H131" s="55">
        <f>AVERAGE(H124:H130)</f>
        <v>37.15919769</v>
      </c>
      <c r="I131" s="76">
        <f>H131/G131</f>
        <v>37.09818094</v>
      </c>
      <c r="J131" s="59">
        <f>SUM(J124:J130)</f>
        <v>24776</v>
      </c>
      <c r="K131" s="60">
        <f t="shared" si="13"/>
        <v>0.02458023894</v>
      </c>
      <c r="L131" s="55">
        <f t="shared" ref="L131:O131" si="91">SUM(L124:L130)</f>
        <v>766.79</v>
      </c>
      <c r="M131" s="55">
        <f t="shared" si="91"/>
        <v>12334.46</v>
      </c>
      <c r="N131" s="74">
        <f t="shared" si="91"/>
        <v>336</v>
      </c>
      <c r="O131" s="59">
        <f t="shared" si="91"/>
        <v>1090544</v>
      </c>
      <c r="P131" s="60">
        <f t="shared" si="14"/>
        <v>0.06216648317</v>
      </c>
      <c r="Q131" s="78">
        <f t="shared" si="15"/>
        <v>16.08583837</v>
      </c>
      <c r="R131" s="62">
        <f t="shared" si="16"/>
        <v>0.549064524</v>
      </c>
      <c r="S131" s="54" t="str">
        <f>iferror((D131-#REF!)/D131,)</f>
        <v/>
      </c>
      <c r="T131" s="63" t="str">
        <f>iferror((F131-#REF!)/F131,)</f>
        <v/>
      </c>
      <c r="U131" s="6"/>
      <c r="V131" s="6"/>
      <c r="W131" s="7"/>
      <c r="X131" s="7"/>
      <c r="Y131" s="7"/>
      <c r="Z131" s="7"/>
    </row>
    <row r="132" hidden="1" outlineLevel="1">
      <c r="A132" s="44" t="str">
        <f t="shared" ref="A132:A138" si="92">iferror(if(B132&gt;0,month(B132)&amp;"-"&amp;year(B132),B132),)</f>
        <v>4-2024</v>
      </c>
      <c r="B132" s="105">
        <v>45403.0</v>
      </c>
      <c r="C132" s="45"/>
      <c r="D132" s="71">
        <v>2555.3</v>
      </c>
      <c r="E132" s="72">
        <v>75.0</v>
      </c>
      <c r="F132" s="72">
        <v>75.0</v>
      </c>
      <c r="G132" s="48">
        <f t="shared" si="10"/>
        <v>1</v>
      </c>
      <c r="H132" s="46">
        <f t="shared" ref="H132:H138" si="93">D132/F132</f>
        <v>34.07066667</v>
      </c>
      <c r="I132" s="46">
        <f t="shared" ref="I132:I138" si="94">D132/E132</f>
        <v>34.07066667</v>
      </c>
      <c r="J132" s="73">
        <v>4188.0</v>
      </c>
      <c r="K132" s="50">
        <f t="shared" si="13"/>
        <v>0.01790830946</v>
      </c>
      <c r="L132" s="71">
        <v>146.9</v>
      </c>
      <c r="M132" s="71">
        <v>1726.4</v>
      </c>
      <c r="N132" s="72">
        <v>50.0</v>
      </c>
      <c r="O132" s="73">
        <v>190768.0</v>
      </c>
      <c r="P132" s="50">
        <f t="shared" si="14"/>
        <v>0.08509036145</v>
      </c>
      <c r="Q132" s="51">
        <f t="shared" si="15"/>
        <v>11.75221239</v>
      </c>
      <c r="R132" s="50">
        <f t="shared" si="16"/>
        <v>0.6756153876</v>
      </c>
      <c r="S132" s="16"/>
      <c r="T132" s="25"/>
      <c r="U132" s="6"/>
      <c r="V132" s="6"/>
      <c r="W132" s="7"/>
      <c r="X132" s="7"/>
      <c r="Y132" s="7"/>
      <c r="Z132" s="7"/>
    </row>
    <row r="133" hidden="1" outlineLevel="1">
      <c r="A133" s="44" t="str">
        <f t="shared" si="92"/>
        <v>4-2024</v>
      </c>
      <c r="B133" s="105">
        <v>45404.0</v>
      </c>
      <c r="C133" s="45"/>
      <c r="D133" s="71">
        <v>3312.3</v>
      </c>
      <c r="E133" s="72">
        <v>95.0</v>
      </c>
      <c r="F133" s="72">
        <v>95.0</v>
      </c>
      <c r="G133" s="48">
        <f t="shared" si="10"/>
        <v>1</v>
      </c>
      <c r="H133" s="46">
        <f t="shared" si="93"/>
        <v>34.86631579</v>
      </c>
      <c r="I133" s="46">
        <f t="shared" si="94"/>
        <v>34.86631579</v>
      </c>
      <c r="J133" s="73">
        <v>3178.0</v>
      </c>
      <c r="K133" s="50">
        <f t="shared" si="13"/>
        <v>0.02989301447</v>
      </c>
      <c r="L133" s="71">
        <v>97.73</v>
      </c>
      <c r="M133" s="71">
        <v>1647.0</v>
      </c>
      <c r="N133" s="72">
        <v>51.0</v>
      </c>
      <c r="O133" s="73">
        <v>142150.0</v>
      </c>
      <c r="P133" s="50">
        <f t="shared" si="14"/>
        <v>0.05933819065</v>
      </c>
      <c r="Q133" s="51">
        <f t="shared" si="15"/>
        <v>16.85255295</v>
      </c>
      <c r="R133" s="50">
        <f t="shared" si="16"/>
        <v>0.4972375691</v>
      </c>
      <c r="S133" s="16"/>
      <c r="T133" s="25"/>
      <c r="U133" s="6"/>
      <c r="V133" s="6"/>
      <c r="W133" s="7"/>
      <c r="X133" s="7"/>
      <c r="Y133" s="7"/>
      <c r="Z133" s="7"/>
    </row>
    <row r="134" hidden="1" outlineLevel="1">
      <c r="A134" s="44" t="str">
        <f t="shared" si="92"/>
        <v>4-2024</v>
      </c>
      <c r="B134" s="105">
        <v>45405.0</v>
      </c>
      <c r="C134" s="45"/>
      <c r="D134" s="71">
        <v>3546.8</v>
      </c>
      <c r="E134" s="72">
        <v>92.0</v>
      </c>
      <c r="F134" s="72">
        <v>89.0</v>
      </c>
      <c r="G134" s="48">
        <f t="shared" si="10"/>
        <v>1.033707865</v>
      </c>
      <c r="H134" s="46">
        <f t="shared" si="93"/>
        <v>39.85168539</v>
      </c>
      <c r="I134" s="46">
        <f t="shared" si="94"/>
        <v>38.55217391</v>
      </c>
      <c r="J134" s="73">
        <v>3456.0</v>
      </c>
      <c r="K134" s="50">
        <f t="shared" si="13"/>
        <v>0.02662037037</v>
      </c>
      <c r="L134" s="71">
        <v>118.36</v>
      </c>
      <c r="M134" s="71">
        <v>1914.6</v>
      </c>
      <c r="N134" s="72">
        <v>50.0</v>
      </c>
      <c r="O134" s="73">
        <v>148379.0</v>
      </c>
      <c r="P134" s="50">
        <f t="shared" si="14"/>
        <v>0.06181970124</v>
      </c>
      <c r="Q134" s="51">
        <f t="shared" si="15"/>
        <v>16.176073</v>
      </c>
      <c r="R134" s="50">
        <f t="shared" si="16"/>
        <v>0.5398105334</v>
      </c>
      <c r="S134" s="16"/>
      <c r="T134" s="25"/>
      <c r="U134" s="6"/>
      <c r="V134" s="6"/>
      <c r="W134" s="7"/>
      <c r="X134" s="7"/>
      <c r="Y134" s="7"/>
      <c r="Z134" s="7"/>
    </row>
    <row r="135" hidden="1" outlineLevel="1">
      <c r="A135" s="44" t="str">
        <f t="shared" si="92"/>
        <v>4-2024</v>
      </c>
      <c r="B135" s="105">
        <v>45406.0</v>
      </c>
      <c r="C135" s="45"/>
      <c r="D135" s="71">
        <v>2386.8</v>
      </c>
      <c r="E135" s="72">
        <v>64.0</v>
      </c>
      <c r="F135" s="72">
        <v>64.0</v>
      </c>
      <c r="G135" s="48">
        <f t="shared" si="10"/>
        <v>1</v>
      </c>
      <c r="H135" s="46">
        <f t="shared" si="93"/>
        <v>37.29375</v>
      </c>
      <c r="I135" s="46">
        <f t="shared" si="94"/>
        <v>37.29375</v>
      </c>
      <c r="J135" s="73">
        <v>3355.0</v>
      </c>
      <c r="K135" s="50">
        <f t="shared" si="13"/>
        <v>0.01907600596</v>
      </c>
      <c r="L135" s="71">
        <v>114.74</v>
      </c>
      <c r="M135" s="71">
        <v>1866.4</v>
      </c>
      <c r="N135" s="72">
        <v>45.0</v>
      </c>
      <c r="O135" s="73">
        <v>151555.0</v>
      </c>
      <c r="P135" s="50">
        <f t="shared" si="14"/>
        <v>0.06147663952</v>
      </c>
      <c r="Q135" s="51">
        <f t="shared" si="15"/>
        <v>16.26634129</v>
      </c>
      <c r="R135" s="50">
        <f t="shared" si="16"/>
        <v>0.7819674878</v>
      </c>
      <c r="S135" s="16"/>
      <c r="T135" s="25"/>
      <c r="U135" s="6"/>
      <c r="V135" s="6"/>
      <c r="W135" s="7"/>
      <c r="X135" s="7"/>
      <c r="Y135" s="7"/>
      <c r="Z135" s="7"/>
    </row>
    <row r="136" hidden="1" outlineLevel="1">
      <c r="A136" s="44" t="str">
        <f t="shared" si="92"/>
        <v>4-2024</v>
      </c>
      <c r="B136" s="105">
        <v>45407.0</v>
      </c>
      <c r="C136" s="45"/>
      <c r="D136" s="71">
        <v>3164.7</v>
      </c>
      <c r="E136" s="72">
        <v>88.0</v>
      </c>
      <c r="F136" s="72">
        <v>88.0</v>
      </c>
      <c r="G136" s="48">
        <f t="shared" si="10"/>
        <v>1</v>
      </c>
      <c r="H136" s="46">
        <f t="shared" si="93"/>
        <v>35.9625</v>
      </c>
      <c r="I136" s="46">
        <f t="shared" si="94"/>
        <v>35.9625</v>
      </c>
      <c r="J136" s="73">
        <v>3240.0</v>
      </c>
      <c r="K136" s="50">
        <f t="shared" si="13"/>
        <v>0.02716049383</v>
      </c>
      <c r="L136" s="71">
        <v>112.56</v>
      </c>
      <c r="M136" s="71">
        <v>3067.1</v>
      </c>
      <c r="N136" s="72">
        <v>76.0</v>
      </c>
      <c r="O136" s="73">
        <v>137750.0</v>
      </c>
      <c r="P136" s="50">
        <f t="shared" si="14"/>
        <v>0.03669916207</v>
      </c>
      <c r="Q136" s="51">
        <f t="shared" si="15"/>
        <v>27.24857854</v>
      </c>
      <c r="R136" s="50">
        <f t="shared" si="16"/>
        <v>0.969159794</v>
      </c>
      <c r="S136" s="16"/>
      <c r="T136" s="25"/>
      <c r="U136" s="6"/>
      <c r="V136" s="6"/>
      <c r="W136" s="7"/>
      <c r="X136" s="7"/>
      <c r="Y136" s="7"/>
      <c r="Z136" s="7"/>
    </row>
    <row r="137" hidden="1" outlineLevel="1">
      <c r="A137" s="44" t="str">
        <f t="shared" si="92"/>
        <v>4-2024</v>
      </c>
      <c r="B137" s="105">
        <v>45408.0</v>
      </c>
      <c r="C137" s="45"/>
      <c r="D137" s="71">
        <v>2675.3</v>
      </c>
      <c r="E137" s="72">
        <v>74.0</v>
      </c>
      <c r="F137" s="72">
        <v>73.0</v>
      </c>
      <c r="G137" s="48">
        <f t="shared" si="10"/>
        <v>1.01369863</v>
      </c>
      <c r="H137" s="46">
        <f t="shared" si="93"/>
        <v>36.64794521</v>
      </c>
      <c r="I137" s="46">
        <f t="shared" si="94"/>
        <v>36.1527027</v>
      </c>
      <c r="J137" s="73">
        <v>2998.0</v>
      </c>
      <c r="K137" s="50">
        <f t="shared" si="13"/>
        <v>0.02468312208</v>
      </c>
      <c r="L137" s="71">
        <v>89.38</v>
      </c>
      <c r="M137" s="71">
        <v>1434.6</v>
      </c>
      <c r="N137" s="72">
        <v>42.0</v>
      </c>
      <c r="O137" s="73">
        <v>123891.0</v>
      </c>
      <c r="P137" s="50">
        <f t="shared" si="14"/>
        <v>0.062303081</v>
      </c>
      <c r="Q137" s="51">
        <f t="shared" si="15"/>
        <v>16.0505706</v>
      </c>
      <c r="R137" s="50">
        <f t="shared" si="16"/>
        <v>0.5362389265</v>
      </c>
      <c r="S137" s="16"/>
      <c r="T137" s="25"/>
      <c r="U137" s="6"/>
      <c r="V137" s="6"/>
      <c r="W137" s="7"/>
      <c r="X137" s="7"/>
      <c r="Y137" s="7"/>
      <c r="Z137" s="7"/>
    </row>
    <row r="138" hidden="1" outlineLevel="1">
      <c r="A138" s="44" t="str">
        <f t="shared" si="92"/>
        <v>4-2024</v>
      </c>
      <c r="B138" s="105">
        <v>45409.0</v>
      </c>
      <c r="C138" s="45"/>
      <c r="D138" s="71">
        <v>2857.4</v>
      </c>
      <c r="E138" s="72">
        <v>76.0</v>
      </c>
      <c r="F138" s="72">
        <v>75.0</v>
      </c>
      <c r="G138" s="48">
        <f t="shared" si="10"/>
        <v>1.013333333</v>
      </c>
      <c r="H138" s="46">
        <f t="shared" si="93"/>
        <v>38.09866667</v>
      </c>
      <c r="I138" s="46">
        <f t="shared" si="94"/>
        <v>37.59736842</v>
      </c>
      <c r="J138" s="73">
        <v>3157.0</v>
      </c>
      <c r="K138" s="50">
        <f t="shared" si="13"/>
        <v>0.02407348749</v>
      </c>
      <c r="L138" s="71">
        <v>108.32</v>
      </c>
      <c r="M138" s="71">
        <v>1394.7</v>
      </c>
      <c r="N138" s="72">
        <v>34.0</v>
      </c>
      <c r="O138" s="73">
        <v>145677.0</v>
      </c>
      <c r="P138" s="50">
        <f t="shared" si="14"/>
        <v>0.07766544777</v>
      </c>
      <c r="Q138" s="51">
        <f t="shared" si="15"/>
        <v>12.87573855</v>
      </c>
      <c r="R138" s="50">
        <f t="shared" si="16"/>
        <v>0.4881010709</v>
      </c>
      <c r="S138" s="16"/>
      <c r="T138" s="25"/>
      <c r="U138" s="6"/>
      <c r="V138" s="6"/>
      <c r="W138" s="7"/>
      <c r="X138" s="7"/>
      <c r="Y138" s="7"/>
      <c r="Z138" s="7"/>
    </row>
    <row r="139" collapsed="1">
      <c r="A139" s="52" t="s">
        <v>113</v>
      </c>
      <c r="B139" s="53"/>
      <c r="C139" s="54"/>
      <c r="D139" s="55">
        <f t="shared" ref="D139:F139" si="95">SUM(D132:D138)</f>
        <v>20498.6</v>
      </c>
      <c r="E139" s="74">
        <f t="shared" si="95"/>
        <v>564</v>
      </c>
      <c r="F139" s="74">
        <f t="shared" si="95"/>
        <v>559</v>
      </c>
      <c r="G139" s="75">
        <f t="shared" si="10"/>
        <v>1.008944544</v>
      </c>
      <c r="H139" s="55">
        <f>AVERAGE(H132:H138)</f>
        <v>36.68450425</v>
      </c>
      <c r="I139" s="76">
        <f>H139/G139</f>
        <v>36.35928701</v>
      </c>
      <c r="J139" s="59">
        <f>SUM(J132:J138)</f>
        <v>23572</v>
      </c>
      <c r="K139" s="60">
        <f t="shared" si="13"/>
        <v>0.02392669269</v>
      </c>
      <c r="L139" s="55">
        <f t="shared" ref="L139:O139" si="96">SUM(L132:L138)</f>
        <v>787.99</v>
      </c>
      <c r="M139" s="55">
        <f t="shared" si="96"/>
        <v>13050.8</v>
      </c>
      <c r="N139" s="74">
        <f t="shared" si="96"/>
        <v>348</v>
      </c>
      <c r="O139" s="59">
        <f t="shared" si="96"/>
        <v>1040170</v>
      </c>
      <c r="P139" s="60">
        <f t="shared" si="14"/>
        <v>0.0603786741</v>
      </c>
      <c r="Q139" s="78">
        <f t="shared" si="15"/>
        <v>16.56213911</v>
      </c>
      <c r="R139" s="62">
        <f t="shared" si="16"/>
        <v>0.63666787</v>
      </c>
      <c r="S139" s="54">
        <f>iferror((D139-D131)/D139,)</f>
        <v>-0.09590411052</v>
      </c>
      <c r="T139" s="63">
        <f>iferror((F139-E131)/F139,)</f>
        <v>-0.08944543828</v>
      </c>
      <c r="U139" s="6"/>
      <c r="V139" s="6"/>
      <c r="W139" s="7"/>
      <c r="X139" s="7"/>
      <c r="Y139" s="7"/>
      <c r="Z139" s="7"/>
    </row>
    <row r="140" hidden="1" outlineLevel="1">
      <c r="A140" s="44" t="str">
        <f t="shared" ref="A140:A146" si="97">iferror(if(B140&gt;0,month(B140)&amp;"-"&amp;year(B140),B140),)</f>
        <v>4-2024</v>
      </c>
      <c r="B140" s="105">
        <v>45410.0</v>
      </c>
      <c r="C140" s="45"/>
      <c r="D140" s="71">
        <v>3637.5</v>
      </c>
      <c r="E140" s="72">
        <v>93.0</v>
      </c>
      <c r="F140" s="72">
        <v>93.0</v>
      </c>
      <c r="G140" s="48">
        <f t="shared" si="10"/>
        <v>1</v>
      </c>
      <c r="H140" s="46">
        <f t="shared" ref="H140:H146" si="98">D140/F140</f>
        <v>39.11290323</v>
      </c>
      <c r="I140" s="46">
        <f t="shared" ref="I140:I146" si="99">D140/E140</f>
        <v>39.11290323</v>
      </c>
      <c r="J140" s="73">
        <v>4969.0</v>
      </c>
      <c r="K140" s="50">
        <f t="shared" si="13"/>
        <v>0.01871603944</v>
      </c>
      <c r="L140" s="71">
        <v>165.34</v>
      </c>
      <c r="M140" s="71">
        <v>2170.49</v>
      </c>
      <c r="N140" s="72">
        <v>61.0</v>
      </c>
      <c r="O140" s="73">
        <v>215123.0</v>
      </c>
      <c r="P140" s="50">
        <f t="shared" si="14"/>
        <v>0.07617634728</v>
      </c>
      <c r="Q140" s="51">
        <f t="shared" si="15"/>
        <v>13.12743438</v>
      </c>
      <c r="R140" s="50">
        <f t="shared" si="16"/>
        <v>0.5966982818</v>
      </c>
      <c r="S140" s="16"/>
      <c r="T140" s="25"/>
      <c r="U140" s="6"/>
      <c r="V140" s="6"/>
      <c r="W140" s="7"/>
      <c r="X140" s="7"/>
      <c r="Y140" s="7"/>
      <c r="Z140" s="7"/>
    </row>
    <row r="141" hidden="1" outlineLevel="1">
      <c r="A141" s="44" t="str">
        <f t="shared" si="97"/>
        <v>4-2024</v>
      </c>
      <c r="B141" s="105">
        <v>45411.0</v>
      </c>
      <c r="C141" s="45"/>
      <c r="D141" s="71">
        <v>3787.7</v>
      </c>
      <c r="E141" s="72">
        <v>102.0</v>
      </c>
      <c r="F141" s="72">
        <v>99.0</v>
      </c>
      <c r="G141" s="48">
        <f t="shared" si="10"/>
        <v>1.03030303</v>
      </c>
      <c r="H141" s="46">
        <f t="shared" si="98"/>
        <v>38.25959596</v>
      </c>
      <c r="I141" s="46">
        <f t="shared" si="99"/>
        <v>37.13431373</v>
      </c>
      <c r="J141" s="73">
        <v>4719.0</v>
      </c>
      <c r="K141" s="50">
        <f t="shared" si="13"/>
        <v>0.02161474889</v>
      </c>
      <c r="L141" s="71">
        <v>125.47</v>
      </c>
      <c r="M141" s="71">
        <v>2571.49</v>
      </c>
      <c r="N141" s="72">
        <v>65.0</v>
      </c>
      <c r="O141" s="73">
        <v>220455.0</v>
      </c>
      <c r="P141" s="50">
        <f t="shared" si="14"/>
        <v>0.04879272328</v>
      </c>
      <c r="Q141" s="51">
        <f t="shared" si="15"/>
        <v>20.49485933</v>
      </c>
      <c r="R141" s="50">
        <f t="shared" si="16"/>
        <v>0.6789054043</v>
      </c>
      <c r="S141" s="16"/>
      <c r="T141" s="25"/>
      <c r="U141" s="6"/>
      <c r="V141" s="6"/>
      <c r="W141" s="7"/>
      <c r="X141" s="7"/>
      <c r="Y141" s="7"/>
      <c r="Z141" s="7"/>
    </row>
    <row r="142" hidden="1" outlineLevel="1">
      <c r="A142" s="44" t="str">
        <f t="shared" si="97"/>
        <v>4-2024</v>
      </c>
      <c r="B142" s="105">
        <v>45412.0</v>
      </c>
      <c r="C142" s="45"/>
      <c r="D142" s="71">
        <v>3823.8</v>
      </c>
      <c r="E142" s="72">
        <v>110.0</v>
      </c>
      <c r="F142" s="72">
        <v>109.0</v>
      </c>
      <c r="G142" s="48">
        <f t="shared" si="10"/>
        <v>1.009174312</v>
      </c>
      <c r="H142" s="46">
        <f t="shared" si="98"/>
        <v>35.08073394</v>
      </c>
      <c r="I142" s="46">
        <f t="shared" si="99"/>
        <v>34.76181818</v>
      </c>
      <c r="J142" s="73">
        <v>4340.0</v>
      </c>
      <c r="K142" s="50">
        <f t="shared" si="13"/>
        <v>0.02534562212</v>
      </c>
      <c r="L142" s="71">
        <v>113.76</v>
      </c>
      <c r="M142" s="71">
        <v>1505.67</v>
      </c>
      <c r="N142" s="72">
        <v>44.0</v>
      </c>
      <c r="O142" s="73">
        <v>199583.0</v>
      </c>
      <c r="P142" s="50">
        <f t="shared" si="14"/>
        <v>0.07555440435</v>
      </c>
      <c r="Q142" s="51">
        <f t="shared" si="15"/>
        <v>13.23549578</v>
      </c>
      <c r="R142" s="50">
        <f t="shared" si="16"/>
        <v>0.3937627491</v>
      </c>
      <c r="S142" s="16"/>
      <c r="T142" s="25"/>
      <c r="U142" s="6"/>
      <c r="V142" s="6"/>
      <c r="W142" s="7"/>
      <c r="X142" s="7"/>
      <c r="Y142" s="7"/>
      <c r="Z142" s="7"/>
    </row>
    <row r="143" hidden="1" outlineLevel="1">
      <c r="A143" s="44" t="str">
        <f t="shared" si="97"/>
        <v>5-2024</v>
      </c>
      <c r="B143" s="105">
        <v>45413.0</v>
      </c>
      <c r="C143" s="45"/>
      <c r="D143" s="71">
        <v>4289.3</v>
      </c>
      <c r="E143" s="72">
        <v>123.0</v>
      </c>
      <c r="F143" s="72">
        <v>123.0</v>
      </c>
      <c r="G143" s="48">
        <f t="shared" si="10"/>
        <v>1</v>
      </c>
      <c r="H143" s="46">
        <f t="shared" si="98"/>
        <v>34.87235772</v>
      </c>
      <c r="I143" s="46">
        <f t="shared" si="99"/>
        <v>34.87235772</v>
      </c>
      <c r="J143" s="73">
        <v>4894.0</v>
      </c>
      <c r="K143" s="50">
        <f t="shared" si="13"/>
        <v>0.02513281569</v>
      </c>
      <c r="L143" s="71">
        <v>137.46</v>
      </c>
      <c r="M143" s="71">
        <v>2284.9</v>
      </c>
      <c r="N143" s="72">
        <v>64.0</v>
      </c>
      <c r="O143" s="73">
        <v>192290.0</v>
      </c>
      <c r="P143" s="50">
        <f t="shared" si="14"/>
        <v>0.06016018206</v>
      </c>
      <c r="Q143" s="51">
        <f t="shared" si="15"/>
        <v>16.62229012</v>
      </c>
      <c r="R143" s="50">
        <f t="shared" si="16"/>
        <v>0.532697643</v>
      </c>
      <c r="S143" s="16"/>
      <c r="T143" s="25"/>
      <c r="U143" s="6"/>
      <c r="V143" s="6"/>
      <c r="W143" s="7"/>
      <c r="X143" s="7"/>
      <c r="Y143" s="7"/>
      <c r="Z143" s="7"/>
    </row>
    <row r="144" hidden="1" outlineLevel="1">
      <c r="A144" s="44" t="str">
        <f t="shared" si="97"/>
        <v>5-2024</v>
      </c>
      <c r="B144" s="105">
        <v>45414.0</v>
      </c>
      <c r="C144" s="45"/>
      <c r="D144" s="71">
        <v>3821.9</v>
      </c>
      <c r="E144" s="72">
        <v>99.0</v>
      </c>
      <c r="F144" s="72">
        <v>99.0</v>
      </c>
      <c r="G144" s="48">
        <f t="shared" si="10"/>
        <v>1</v>
      </c>
      <c r="H144" s="46">
        <f t="shared" si="98"/>
        <v>38.60505051</v>
      </c>
      <c r="I144" s="46">
        <f t="shared" si="99"/>
        <v>38.60505051</v>
      </c>
      <c r="J144" s="73">
        <v>4043.0</v>
      </c>
      <c r="K144" s="50">
        <f t="shared" si="13"/>
        <v>0.02448676725</v>
      </c>
      <c r="L144" s="71">
        <v>122.37</v>
      </c>
      <c r="M144" s="71">
        <v>1977.4</v>
      </c>
      <c r="N144" s="72">
        <v>57.0</v>
      </c>
      <c r="O144" s="73">
        <v>159841.0</v>
      </c>
      <c r="P144" s="50">
        <f t="shared" si="14"/>
        <v>0.06188429251</v>
      </c>
      <c r="Q144" s="51">
        <f t="shared" si="15"/>
        <v>16.15918934</v>
      </c>
      <c r="R144" s="50">
        <f t="shared" si="16"/>
        <v>0.5173866402</v>
      </c>
      <c r="S144" s="16"/>
      <c r="T144" s="25"/>
      <c r="U144" s="6"/>
      <c r="V144" s="6"/>
      <c r="W144" s="7"/>
      <c r="X144" s="7"/>
      <c r="Y144" s="7"/>
      <c r="Z144" s="7"/>
    </row>
    <row r="145" hidden="1" outlineLevel="1">
      <c r="A145" s="44" t="str">
        <f t="shared" si="97"/>
        <v>5-2024</v>
      </c>
      <c r="B145" s="105">
        <v>45415.0</v>
      </c>
      <c r="C145" s="45"/>
      <c r="D145" s="71">
        <v>2468.0</v>
      </c>
      <c r="E145" s="72">
        <v>73.0</v>
      </c>
      <c r="F145" s="72">
        <v>73.0</v>
      </c>
      <c r="G145" s="48">
        <f t="shared" si="10"/>
        <v>1</v>
      </c>
      <c r="H145" s="46">
        <f t="shared" si="98"/>
        <v>33.80821918</v>
      </c>
      <c r="I145" s="46">
        <f t="shared" si="99"/>
        <v>33.80821918</v>
      </c>
      <c r="J145" s="73">
        <v>4245.0</v>
      </c>
      <c r="K145" s="50">
        <f t="shared" si="13"/>
        <v>0.017196702</v>
      </c>
      <c r="L145" s="71">
        <v>107.6</v>
      </c>
      <c r="M145" s="71">
        <v>1513.9</v>
      </c>
      <c r="N145" s="72">
        <v>44.0</v>
      </c>
      <c r="O145" s="73">
        <v>145039.0</v>
      </c>
      <c r="P145" s="50">
        <f t="shared" si="14"/>
        <v>0.07107470771</v>
      </c>
      <c r="Q145" s="51">
        <f t="shared" si="15"/>
        <v>14.0697026</v>
      </c>
      <c r="R145" s="50">
        <f t="shared" si="16"/>
        <v>0.6134116694</v>
      </c>
      <c r="S145" s="16"/>
      <c r="T145" s="25"/>
      <c r="U145" s="6"/>
      <c r="V145" s="6"/>
      <c r="W145" s="7"/>
      <c r="X145" s="7"/>
      <c r="Y145" s="7"/>
      <c r="Z145" s="7"/>
    </row>
    <row r="146" hidden="1" outlineLevel="1">
      <c r="A146" s="44" t="str">
        <f t="shared" si="97"/>
        <v>5-2024</v>
      </c>
      <c r="B146" s="105">
        <v>45416.0</v>
      </c>
      <c r="C146" s="45"/>
      <c r="D146" s="71">
        <v>3191.1</v>
      </c>
      <c r="E146" s="72">
        <v>97.0</v>
      </c>
      <c r="F146" s="72">
        <v>96.0</v>
      </c>
      <c r="G146" s="48">
        <f t="shared" si="10"/>
        <v>1.010416667</v>
      </c>
      <c r="H146" s="46">
        <f t="shared" si="98"/>
        <v>33.240625</v>
      </c>
      <c r="I146" s="46">
        <f t="shared" si="99"/>
        <v>32.89793814</v>
      </c>
      <c r="J146" s="73">
        <v>4991.0</v>
      </c>
      <c r="K146" s="50">
        <f t="shared" si="13"/>
        <v>0.01943498297</v>
      </c>
      <c r="L146" s="71">
        <v>116.5</v>
      </c>
      <c r="M146" s="71">
        <v>2000.89</v>
      </c>
      <c r="N146" s="72">
        <v>63.0</v>
      </c>
      <c r="O146" s="73">
        <v>164788.0</v>
      </c>
      <c r="P146" s="50">
        <f t="shared" si="14"/>
        <v>0.05822409028</v>
      </c>
      <c r="Q146" s="51">
        <f t="shared" si="15"/>
        <v>17.17502146</v>
      </c>
      <c r="R146" s="50">
        <f t="shared" si="16"/>
        <v>0.62702203</v>
      </c>
      <c r="S146" s="16"/>
      <c r="T146" s="25"/>
      <c r="U146" s="6"/>
      <c r="V146" s="6"/>
      <c r="W146" s="7"/>
      <c r="X146" s="7"/>
      <c r="Y146" s="7"/>
      <c r="Z146" s="7"/>
    </row>
    <row r="147" collapsed="1">
      <c r="A147" s="52" t="s">
        <v>114</v>
      </c>
      <c r="B147" s="53"/>
      <c r="C147" s="54"/>
      <c r="D147" s="55">
        <f t="shared" ref="D147:F147" si="100">SUM(D140:D146)</f>
        <v>25019.3</v>
      </c>
      <c r="E147" s="74">
        <f t="shared" si="100"/>
        <v>697</v>
      </c>
      <c r="F147" s="74">
        <f t="shared" si="100"/>
        <v>692</v>
      </c>
      <c r="G147" s="75">
        <f t="shared" si="10"/>
        <v>1.007225434</v>
      </c>
      <c r="H147" s="55">
        <f>AVERAGE(H140:H146)</f>
        <v>36.13992651</v>
      </c>
      <c r="I147" s="76">
        <f>H147/G147</f>
        <v>35.88067309</v>
      </c>
      <c r="J147" s="59">
        <f>SUM(J140:J146)</f>
        <v>32201</v>
      </c>
      <c r="K147" s="60">
        <f t="shared" si="13"/>
        <v>0.02164529052</v>
      </c>
      <c r="L147" s="55">
        <f t="shared" ref="L147:O147" si="101">SUM(L140:L146)</f>
        <v>888.5</v>
      </c>
      <c r="M147" s="55">
        <f t="shared" si="101"/>
        <v>14024.74</v>
      </c>
      <c r="N147" s="74">
        <f t="shared" si="101"/>
        <v>398</v>
      </c>
      <c r="O147" s="59">
        <f t="shared" si="101"/>
        <v>1297119</v>
      </c>
      <c r="P147" s="60">
        <f t="shared" si="14"/>
        <v>0.06335233309</v>
      </c>
      <c r="Q147" s="78">
        <f t="shared" si="15"/>
        <v>15.78473832</v>
      </c>
      <c r="R147" s="62">
        <f t="shared" si="16"/>
        <v>0.5605568501</v>
      </c>
      <c r="S147" s="54">
        <f>iferror((D147-D131)/D147,)</f>
        <v>0.1021131686</v>
      </c>
      <c r="T147" s="63">
        <f>iferror((F147-E131)/F147,)</f>
        <v>0.1199421965</v>
      </c>
      <c r="U147" s="6"/>
      <c r="V147" s="6"/>
      <c r="W147" s="7"/>
      <c r="X147" s="7"/>
      <c r="Y147" s="7"/>
      <c r="Z147" s="7"/>
    </row>
    <row r="148" hidden="1" outlineLevel="1">
      <c r="A148" s="44" t="str">
        <f t="shared" ref="A148:A154" si="102">iferror(if(B148&gt;0,month(B148)&amp;"-"&amp;year(B148),B148),)</f>
        <v>5-2024</v>
      </c>
      <c r="B148" s="105">
        <v>45417.0</v>
      </c>
      <c r="C148" s="45"/>
      <c r="D148" s="71">
        <v>3595.7</v>
      </c>
      <c r="E148" s="72">
        <v>102.0</v>
      </c>
      <c r="F148" s="72">
        <v>101.0</v>
      </c>
      <c r="G148" s="48">
        <f t="shared" si="10"/>
        <v>1.00990099</v>
      </c>
      <c r="H148" s="46">
        <f t="shared" ref="H148:H154" si="103">D148/F148</f>
        <v>35.6009901</v>
      </c>
      <c r="I148" s="46">
        <f t="shared" ref="I148:I154" si="104">D148/E148</f>
        <v>35.25196078</v>
      </c>
      <c r="J148" s="73">
        <v>5105.0</v>
      </c>
      <c r="K148" s="50">
        <f t="shared" si="13"/>
        <v>0.01998041136</v>
      </c>
      <c r="L148" s="71">
        <v>178.96</v>
      </c>
      <c r="M148" s="71">
        <v>2270.1</v>
      </c>
      <c r="N148" s="72">
        <v>60.0</v>
      </c>
      <c r="O148" s="73">
        <v>214900.0</v>
      </c>
      <c r="P148" s="50">
        <f t="shared" si="14"/>
        <v>0.07883353156</v>
      </c>
      <c r="Q148" s="51">
        <f t="shared" si="15"/>
        <v>12.68495753</v>
      </c>
      <c r="R148" s="50">
        <f t="shared" si="16"/>
        <v>0.6313374308</v>
      </c>
      <c r="S148" s="16"/>
      <c r="T148" s="25"/>
      <c r="U148" s="6"/>
      <c r="V148" s="6"/>
      <c r="W148" s="7"/>
      <c r="X148" s="7"/>
      <c r="Y148" s="7"/>
      <c r="Z148" s="7"/>
    </row>
    <row r="149" hidden="1" outlineLevel="1">
      <c r="A149" s="44" t="str">
        <f t="shared" si="102"/>
        <v>5-2024</v>
      </c>
      <c r="B149" s="105">
        <v>45418.0</v>
      </c>
      <c r="C149" s="45"/>
      <c r="D149" s="71">
        <v>4252.9</v>
      </c>
      <c r="E149" s="72">
        <v>110.0</v>
      </c>
      <c r="F149" s="72">
        <v>109.0</v>
      </c>
      <c r="G149" s="48">
        <f t="shared" si="10"/>
        <v>1.009174312</v>
      </c>
      <c r="H149" s="46">
        <f t="shared" si="103"/>
        <v>39.01743119</v>
      </c>
      <c r="I149" s="46">
        <f t="shared" si="104"/>
        <v>38.66272727</v>
      </c>
      <c r="J149" s="73">
        <v>3972.0</v>
      </c>
      <c r="K149" s="50">
        <f t="shared" si="13"/>
        <v>0.027693857</v>
      </c>
      <c r="L149" s="71">
        <v>133.92</v>
      </c>
      <c r="M149" s="71">
        <v>1995.09</v>
      </c>
      <c r="N149" s="72">
        <v>51.0</v>
      </c>
      <c r="O149" s="73">
        <v>161170.0</v>
      </c>
      <c r="P149" s="50">
        <f t="shared" si="14"/>
        <v>0.06712479136</v>
      </c>
      <c r="Q149" s="51">
        <f t="shared" si="15"/>
        <v>14.89762545</v>
      </c>
      <c r="R149" s="50">
        <f t="shared" si="16"/>
        <v>0.4691128406</v>
      </c>
      <c r="S149" s="16"/>
      <c r="T149" s="25"/>
      <c r="U149" s="6"/>
      <c r="V149" s="6"/>
      <c r="W149" s="7"/>
      <c r="X149" s="7"/>
      <c r="Y149" s="7"/>
      <c r="Z149" s="7"/>
    </row>
    <row r="150" hidden="1" outlineLevel="1">
      <c r="A150" s="44" t="str">
        <f t="shared" si="102"/>
        <v>5-2024</v>
      </c>
      <c r="B150" s="105">
        <v>45419.0</v>
      </c>
      <c r="C150" s="45"/>
      <c r="D150" s="71">
        <v>3600.4</v>
      </c>
      <c r="E150" s="72">
        <v>96.0</v>
      </c>
      <c r="F150" s="72">
        <v>95.0</v>
      </c>
      <c r="G150" s="48">
        <f t="shared" si="10"/>
        <v>1.010526316</v>
      </c>
      <c r="H150" s="46">
        <f t="shared" si="103"/>
        <v>37.89894737</v>
      </c>
      <c r="I150" s="46">
        <f t="shared" si="104"/>
        <v>37.50416667</v>
      </c>
      <c r="J150" s="73">
        <v>3860.0</v>
      </c>
      <c r="K150" s="50">
        <f t="shared" si="13"/>
        <v>0.02487046632</v>
      </c>
      <c r="L150" s="71">
        <v>125.77</v>
      </c>
      <c r="M150" s="71">
        <v>2161.8</v>
      </c>
      <c r="N150" s="72">
        <v>56.0</v>
      </c>
      <c r="O150" s="73">
        <v>152664.0</v>
      </c>
      <c r="P150" s="50">
        <f t="shared" si="14"/>
        <v>0.05817836988</v>
      </c>
      <c r="Q150" s="51">
        <f t="shared" si="15"/>
        <v>17.18851872</v>
      </c>
      <c r="R150" s="50">
        <f t="shared" si="16"/>
        <v>0.6004332852</v>
      </c>
      <c r="S150" s="16"/>
      <c r="T150" s="25"/>
      <c r="U150" s="6"/>
      <c r="V150" s="6"/>
      <c r="W150" s="7"/>
      <c r="X150" s="7"/>
      <c r="Y150" s="7"/>
      <c r="Z150" s="7"/>
    </row>
    <row r="151" hidden="1" outlineLevel="1">
      <c r="A151" s="44" t="str">
        <f t="shared" si="102"/>
        <v>5-2024</v>
      </c>
      <c r="B151" s="105">
        <v>45420.0</v>
      </c>
      <c r="C151" s="45"/>
      <c r="D151" s="71">
        <v>3582.3</v>
      </c>
      <c r="E151" s="72">
        <v>96.0</v>
      </c>
      <c r="F151" s="72">
        <v>96.0</v>
      </c>
      <c r="G151" s="48">
        <f t="shared" si="10"/>
        <v>1</v>
      </c>
      <c r="H151" s="46">
        <f t="shared" si="103"/>
        <v>37.315625</v>
      </c>
      <c r="I151" s="46">
        <f t="shared" si="104"/>
        <v>37.315625</v>
      </c>
      <c r="J151" s="73">
        <v>3556.0</v>
      </c>
      <c r="K151" s="50">
        <f t="shared" si="13"/>
        <v>0.02699662542</v>
      </c>
      <c r="L151" s="71">
        <v>117.36</v>
      </c>
      <c r="M151" s="71">
        <v>1703.17</v>
      </c>
      <c r="N151" s="72">
        <v>53.0</v>
      </c>
      <c r="O151" s="73">
        <v>142198.0</v>
      </c>
      <c r="P151" s="50">
        <f t="shared" si="14"/>
        <v>0.0689068032</v>
      </c>
      <c r="Q151" s="51">
        <f t="shared" si="15"/>
        <v>14.51235515</v>
      </c>
      <c r="R151" s="50">
        <f t="shared" si="16"/>
        <v>0.4754403595</v>
      </c>
      <c r="S151" s="16"/>
      <c r="T151" s="25"/>
      <c r="U151" s="6"/>
      <c r="V151" s="6"/>
      <c r="W151" s="7"/>
      <c r="X151" s="7"/>
      <c r="Y151" s="7"/>
      <c r="Z151" s="7"/>
    </row>
    <row r="152" hidden="1" outlineLevel="1">
      <c r="A152" s="44" t="str">
        <f t="shared" si="102"/>
        <v>5-2024</v>
      </c>
      <c r="B152" s="105">
        <v>45421.0</v>
      </c>
      <c r="C152" s="45"/>
      <c r="D152" s="71">
        <v>3232.7</v>
      </c>
      <c r="E152" s="72">
        <v>97.0</v>
      </c>
      <c r="F152" s="72">
        <v>97.0</v>
      </c>
      <c r="G152" s="48">
        <f t="shared" si="10"/>
        <v>1</v>
      </c>
      <c r="H152" s="46">
        <f t="shared" si="103"/>
        <v>33.32680412</v>
      </c>
      <c r="I152" s="46">
        <f t="shared" si="104"/>
        <v>33.32680412</v>
      </c>
      <c r="J152" s="73">
        <v>3731.0</v>
      </c>
      <c r="K152" s="50">
        <f t="shared" si="13"/>
        <v>0.02599839185</v>
      </c>
      <c r="L152" s="71">
        <v>116.38</v>
      </c>
      <c r="M152" s="71">
        <v>2070.5</v>
      </c>
      <c r="N152" s="72">
        <v>57.0</v>
      </c>
      <c r="O152" s="73">
        <v>130946.0</v>
      </c>
      <c r="P152" s="50">
        <f t="shared" si="14"/>
        <v>0.05620864525</v>
      </c>
      <c r="Q152" s="51">
        <f t="shared" si="15"/>
        <v>17.79085754</v>
      </c>
      <c r="R152" s="50">
        <f t="shared" si="16"/>
        <v>0.6404862808</v>
      </c>
      <c r="S152" s="16"/>
      <c r="T152" s="25"/>
      <c r="U152" s="6"/>
      <c r="V152" s="6"/>
      <c r="W152" s="7"/>
      <c r="X152" s="7"/>
      <c r="Y152" s="7"/>
      <c r="Z152" s="7"/>
    </row>
    <row r="153" hidden="1" outlineLevel="1">
      <c r="A153" s="44" t="str">
        <f t="shared" si="102"/>
        <v>5-2024</v>
      </c>
      <c r="B153" s="105">
        <v>45422.0</v>
      </c>
      <c r="C153" s="45"/>
      <c r="D153" s="71">
        <v>2002.2</v>
      </c>
      <c r="E153" s="72">
        <v>56.0</v>
      </c>
      <c r="F153" s="72">
        <v>56.0</v>
      </c>
      <c r="G153" s="48">
        <f t="shared" si="10"/>
        <v>1</v>
      </c>
      <c r="H153" s="46">
        <f t="shared" si="103"/>
        <v>35.75357143</v>
      </c>
      <c r="I153" s="46">
        <f t="shared" si="104"/>
        <v>35.75357143</v>
      </c>
      <c r="J153" s="73">
        <v>2750.0</v>
      </c>
      <c r="K153" s="50">
        <f t="shared" si="13"/>
        <v>0.02036363636</v>
      </c>
      <c r="L153" s="71">
        <v>73.13</v>
      </c>
      <c r="M153" s="71">
        <v>1152.0</v>
      </c>
      <c r="N153" s="72">
        <v>34.0</v>
      </c>
      <c r="O153" s="73">
        <v>91616.0</v>
      </c>
      <c r="P153" s="50">
        <f t="shared" si="14"/>
        <v>0.06348090278</v>
      </c>
      <c r="Q153" s="51">
        <f t="shared" si="15"/>
        <v>15.75276904</v>
      </c>
      <c r="R153" s="50">
        <f t="shared" si="16"/>
        <v>0.5753670962</v>
      </c>
      <c r="S153" s="16"/>
      <c r="T153" s="25"/>
      <c r="U153" s="6"/>
      <c r="V153" s="6"/>
      <c r="W153" s="7"/>
      <c r="X153" s="7"/>
      <c r="Y153" s="7"/>
      <c r="Z153" s="7"/>
    </row>
    <row r="154" hidden="1" outlineLevel="1">
      <c r="A154" s="44" t="str">
        <f t="shared" si="102"/>
        <v>5-2024</v>
      </c>
      <c r="B154" s="105">
        <v>45423.0</v>
      </c>
      <c r="C154" s="45"/>
      <c r="D154" s="71">
        <v>4126.8</v>
      </c>
      <c r="E154" s="72">
        <v>101.0</v>
      </c>
      <c r="F154" s="72">
        <v>101.0</v>
      </c>
      <c r="G154" s="48">
        <f t="shared" si="10"/>
        <v>1</v>
      </c>
      <c r="H154" s="46">
        <f t="shared" si="103"/>
        <v>40.85940594</v>
      </c>
      <c r="I154" s="46">
        <f t="shared" si="104"/>
        <v>40.85940594</v>
      </c>
      <c r="J154" s="73">
        <v>3042.0</v>
      </c>
      <c r="K154" s="50">
        <f t="shared" si="13"/>
        <v>0.03320184089</v>
      </c>
      <c r="L154" s="71">
        <v>102.67</v>
      </c>
      <c r="M154" s="71">
        <v>2673.49</v>
      </c>
      <c r="N154" s="72">
        <v>64.0</v>
      </c>
      <c r="O154" s="73">
        <v>117548.0</v>
      </c>
      <c r="P154" s="50">
        <f t="shared" si="14"/>
        <v>0.03840298636</v>
      </c>
      <c r="Q154" s="51">
        <f t="shared" si="15"/>
        <v>26.03964157</v>
      </c>
      <c r="R154" s="50">
        <f t="shared" si="16"/>
        <v>0.6478360958</v>
      </c>
      <c r="S154" s="16"/>
      <c r="T154" s="25"/>
      <c r="U154" s="6"/>
      <c r="V154" s="6"/>
      <c r="W154" s="7"/>
      <c r="X154" s="7"/>
      <c r="Y154" s="7"/>
      <c r="Z154" s="7"/>
    </row>
    <row r="155" ht="18.0" customHeight="1" collapsed="1">
      <c r="A155" s="52" t="s">
        <v>115</v>
      </c>
      <c r="B155" s="53"/>
      <c r="C155" s="54"/>
      <c r="D155" s="55">
        <f t="shared" ref="D155:F155" si="105">SUM(D148:D154)</f>
        <v>24393</v>
      </c>
      <c r="E155" s="74">
        <f t="shared" si="105"/>
        <v>658</v>
      </c>
      <c r="F155" s="74">
        <f t="shared" si="105"/>
        <v>655</v>
      </c>
      <c r="G155" s="75">
        <f t="shared" si="10"/>
        <v>1.004580153</v>
      </c>
      <c r="H155" s="55">
        <f>AVERAGE(H148:H154)</f>
        <v>37.11039645</v>
      </c>
      <c r="I155" s="76">
        <f>H155/G155</f>
        <v>36.94120011</v>
      </c>
      <c r="J155" s="59">
        <f>SUM(J148:J154)</f>
        <v>26016</v>
      </c>
      <c r="K155" s="60">
        <f t="shared" si="13"/>
        <v>0.02529212792</v>
      </c>
      <c r="L155" s="55">
        <f t="shared" ref="L155:O155" si="106">SUM(L148:L154)</f>
        <v>848.19</v>
      </c>
      <c r="M155" s="55">
        <f t="shared" si="106"/>
        <v>14026.15</v>
      </c>
      <c r="N155" s="74">
        <f t="shared" si="106"/>
        <v>375</v>
      </c>
      <c r="O155" s="59">
        <f t="shared" si="106"/>
        <v>1011042</v>
      </c>
      <c r="P155" s="60">
        <f t="shared" si="14"/>
        <v>0.06047204686</v>
      </c>
      <c r="Q155" s="78">
        <f t="shared" si="15"/>
        <v>16.5365661</v>
      </c>
      <c r="R155" s="62">
        <f t="shared" si="16"/>
        <v>0.5750071742</v>
      </c>
      <c r="S155" s="54">
        <f>iferror((D155-D131)/D155,)</f>
        <v>0.07905956627</v>
      </c>
      <c r="T155" s="63">
        <f>iferror((F155-E131)/F155,)</f>
        <v>0.07022900763</v>
      </c>
      <c r="U155" s="6"/>
      <c r="V155" s="6"/>
      <c r="W155" s="7"/>
      <c r="X155" s="7"/>
      <c r="Y155" s="7"/>
      <c r="Z155" s="7"/>
    </row>
    <row r="156" hidden="1" outlineLevel="1">
      <c r="A156" s="44" t="str">
        <f t="shared" ref="A156:A162" si="107">iferror(if(B156&gt;0,month(B156)&amp;"-"&amp;year(B156),B156),)</f>
        <v>5-2024</v>
      </c>
      <c r="B156" s="105">
        <v>45424.0</v>
      </c>
      <c r="C156" s="45"/>
      <c r="D156" s="71">
        <v>4993.7</v>
      </c>
      <c r="E156" s="72">
        <v>129.0</v>
      </c>
      <c r="F156" s="72">
        <v>127.0</v>
      </c>
      <c r="G156" s="48">
        <f t="shared" si="10"/>
        <v>1.015748031</v>
      </c>
      <c r="H156" s="46">
        <f t="shared" ref="H156:H162" si="108">D156/F156</f>
        <v>39.32047244</v>
      </c>
      <c r="I156" s="46">
        <f t="shared" ref="I156:I162" si="109">D156/E156</f>
        <v>38.71085271</v>
      </c>
      <c r="J156" s="73">
        <v>4113.0</v>
      </c>
      <c r="K156" s="50">
        <f t="shared" si="13"/>
        <v>0.03136396791</v>
      </c>
      <c r="L156" s="71">
        <v>127.18</v>
      </c>
      <c r="M156" s="71">
        <v>2541.69</v>
      </c>
      <c r="N156" s="72">
        <v>71.0</v>
      </c>
      <c r="O156" s="73">
        <v>160460.0</v>
      </c>
      <c r="P156" s="50">
        <f t="shared" si="14"/>
        <v>0.05003757343</v>
      </c>
      <c r="Q156" s="51">
        <f t="shared" si="15"/>
        <v>19.98498192</v>
      </c>
      <c r="R156" s="50">
        <f t="shared" si="16"/>
        <v>0.5089793139</v>
      </c>
      <c r="S156" s="16"/>
      <c r="T156" s="25"/>
      <c r="U156" s="6"/>
      <c r="V156" s="6"/>
      <c r="W156" s="7"/>
      <c r="X156" s="7"/>
      <c r="Y156" s="7"/>
      <c r="Z156" s="7"/>
    </row>
    <row r="157" hidden="1" outlineLevel="1">
      <c r="A157" s="44" t="str">
        <f t="shared" si="107"/>
        <v>5-2024</v>
      </c>
      <c r="B157" s="105">
        <v>45425.0</v>
      </c>
      <c r="C157" s="45"/>
      <c r="D157" s="71">
        <v>4515.0</v>
      </c>
      <c r="E157" s="72">
        <v>126.0</v>
      </c>
      <c r="F157" s="72">
        <v>126.0</v>
      </c>
      <c r="G157" s="48">
        <f t="shared" si="10"/>
        <v>1</v>
      </c>
      <c r="H157" s="46">
        <f t="shared" si="108"/>
        <v>35.83333333</v>
      </c>
      <c r="I157" s="46">
        <f t="shared" si="109"/>
        <v>35.83333333</v>
      </c>
      <c r="J157" s="73">
        <v>4539.0</v>
      </c>
      <c r="K157" s="50">
        <f t="shared" si="13"/>
        <v>0.02775941837</v>
      </c>
      <c r="L157" s="71">
        <v>132.85</v>
      </c>
      <c r="M157" s="71">
        <v>2636.4</v>
      </c>
      <c r="N157" s="72">
        <v>77.0</v>
      </c>
      <c r="O157" s="73">
        <v>192285.0</v>
      </c>
      <c r="P157" s="50">
        <f t="shared" si="14"/>
        <v>0.05039068427</v>
      </c>
      <c r="Q157" s="51">
        <f t="shared" si="15"/>
        <v>19.8449379</v>
      </c>
      <c r="R157" s="50">
        <f t="shared" si="16"/>
        <v>0.5839202658</v>
      </c>
      <c r="S157" s="16"/>
      <c r="T157" s="25"/>
      <c r="U157" s="6"/>
      <c r="V157" s="6"/>
      <c r="W157" s="7"/>
      <c r="X157" s="7"/>
      <c r="Y157" s="7"/>
      <c r="Z157" s="7"/>
    </row>
    <row r="158" hidden="1" outlineLevel="1">
      <c r="A158" s="44" t="str">
        <f t="shared" si="107"/>
        <v>5-2024</v>
      </c>
      <c r="B158" s="105">
        <v>45426.0</v>
      </c>
      <c r="C158" s="45"/>
      <c r="D158" s="71">
        <v>4431.6</v>
      </c>
      <c r="E158" s="72">
        <v>121.0</v>
      </c>
      <c r="F158" s="72">
        <v>121.0</v>
      </c>
      <c r="G158" s="48">
        <f t="shared" si="10"/>
        <v>1</v>
      </c>
      <c r="H158" s="46">
        <f t="shared" si="108"/>
        <v>36.62479339</v>
      </c>
      <c r="I158" s="46">
        <f t="shared" si="109"/>
        <v>36.62479339</v>
      </c>
      <c r="J158" s="73">
        <v>4239.0</v>
      </c>
      <c r="K158" s="50">
        <f t="shared" si="13"/>
        <v>0.02854446803</v>
      </c>
      <c r="L158" s="71">
        <v>142.25</v>
      </c>
      <c r="M158" s="71">
        <v>2433.77</v>
      </c>
      <c r="N158" s="72">
        <v>69.0</v>
      </c>
      <c r="O158" s="73">
        <v>163463.0</v>
      </c>
      <c r="P158" s="50">
        <f t="shared" si="14"/>
        <v>0.05844841542</v>
      </c>
      <c r="Q158" s="51">
        <f t="shared" si="15"/>
        <v>17.10910369</v>
      </c>
      <c r="R158" s="50">
        <f t="shared" si="16"/>
        <v>0.5491853958</v>
      </c>
      <c r="S158" s="16"/>
      <c r="T158" s="25"/>
      <c r="U158" s="6"/>
      <c r="V158" s="6"/>
      <c r="W158" s="7"/>
      <c r="X158" s="7"/>
      <c r="Y158" s="7"/>
      <c r="Z158" s="7"/>
    </row>
    <row r="159" hidden="1" outlineLevel="1">
      <c r="A159" s="44" t="str">
        <f t="shared" si="107"/>
        <v>5-2024</v>
      </c>
      <c r="B159" s="105">
        <v>45427.0</v>
      </c>
      <c r="C159" s="45"/>
      <c r="D159" s="71">
        <v>5393.9</v>
      </c>
      <c r="E159" s="72">
        <v>152.0</v>
      </c>
      <c r="F159" s="72">
        <v>152.0</v>
      </c>
      <c r="G159" s="48">
        <f t="shared" si="10"/>
        <v>1</v>
      </c>
      <c r="H159" s="46">
        <f t="shared" si="108"/>
        <v>35.48618421</v>
      </c>
      <c r="I159" s="46">
        <f t="shared" si="109"/>
        <v>35.48618421</v>
      </c>
      <c r="J159" s="73">
        <v>3936.0</v>
      </c>
      <c r="K159" s="50">
        <f t="shared" si="13"/>
        <v>0.03861788618</v>
      </c>
      <c r="L159" s="71">
        <v>120.41</v>
      </c>
      <c r="M159" s="71">
        <v>2065.39</v>
      </c>
      <c r="N159" s="72">
        <v>60.0</v>
      </c>
      <c r="O159" s="73">
        <v>155790.0</v>
      </c>
      <c r="P159" s="50">
        <f t="shared" si="14"/>
        <v>0.05829891691</v>
      </c>
      <c r="Q159" s="51">
        <f t="shared" si="15"/>
        <v>17.15297733</v>
      </c>
      <c r="R159" s="50">
        <f t="shared" si="16"/>
        <v>0.3829121786</v>
      </c>
      <c r="S159" s="16"/>
      <c r="T159" s="25"/>
      <c r="U159" s="6"/>
      <c r="V159" s="6"/>
      <c r="W159" s="7"/>
      <c r="X159" s="7"/>
      <c r="Y159" s="7"/>
      <c r="Z159" s="7"/>
    </row>
    <row r="160" hidden="1" outlineLevel="1">
      <c r="A160" s="44" t="str">
        <f t="shared" si="107"/>
        <v>5-2024</v>
      </c>
      <c r="B160" s="105">
        <v>45428.0</v>
      </c>
      <c r="C160" s="45"/>
      <c r="D160" s="71">
        <v>3132.2</v>
      </c>
      <c r="E160" s="72">
        <v>92.0</v>
      </c>
      <c r="F160" s="72">
        <v>92.0</v>
      </c>
      <c r="G160" s="48">
        <f t="shared" si="10"/>
        <v>1</v>
      </c>
      <c r="H160" s="46">
        <f t="shared" si="108"/>
        <v>34.04565217</v>
      </c>
      <c r="I160" s="46">
        <f t="shared" si="109"/>
        <v>34.04565217</v>
      </c>
      <c r="J160" s="73">
        <v>3572.0</v>
      </c>
      <c r="K160" s="50">
        <f t="shared" si="13"/>
        <v>0.02575587906</v>
      </c>
      <c r="L160" s="71">
        <v>100.58</v>
      </c>
      <c r="M160" s="71">
        <v>1650.9</v>
      </c>
      <c r="N160" s="72">
        <v>47.0</v>
      </c>
      <c r="O160" s="73">
        <v>133361.0</v>
      </c>
      <c r="P160" s="50">
        <f t="shared" si="14"/>
        <v>0.0609243443</v>
      </c>
      <c r="Q160" s="51">
        <f t="shared" si="15"/>
        <v>16.41379996</v>
      </c>
      <c r="R160" s="50">
        <f t="shared" si="16"/>
        <v>0.5270736224</v>
      </c>
      <c r="S160" s="16"/>
      <c r="T160" s="25"/>
      <c r="U160" s="6"/>
      <c r="V160" s="6"/>
      <c r="W160" s="7"/>
      <c r="X160" s="7"/>
      <c r="Y160" s="7"/>
      <c r="Z160" s="7"/>
    </row>
    <row r="161" hidden="1" outlineLevel="1">
      <c r="A161" s="44" t="str">
        <f t="shared" si="107"/>
        <v>5-2024</v>
      </c>
      <c r="B161" s="105">
        <v>45429.0</v>
      </c>
      <c r="C161" s="45"/>
      <c r="D161" s="71">
        <v>3581.0</v>
      </c>
      <c r="E161" s="72">
        <v>101.0</v>
      </c>
      <c r="F161" s="72">
        <v>101.0</v>
      </c>
      <c r="G161" s="48">
        <f t="shared" si="10"/>
        <v>1</v>
      </c>
      <c r="H161" s="46">
        <f t="shared" si="108"/>
        <v>35.45544554</v>
      </c>
      <c r="I161" s="46">
        <f t="shared" si="109"/>
        <v>35.45544554</v>
      </c>
      <c r="J161" s="73">
        <v>3985.0</v>
      </c>
      <c r="K161" s="50">
        <f t="shared" si="13"/>
        <v>0.02534504391</v>
      </c>
      <c r="L161" s="71">
        <v>108.08</v>
      </c>
      <c r="M161" s="71">
        <v>1247.69</v>
      </c>
      <c r="N161" s="72">
        <v>38.0</v>
      </c>
      <c r="O161" s="73">
        <v>132801.0</v>
      </c>
      <c r="P161" s="50">
        <f t="shared" si="14"/>
        <v>0.0866240813</v>
      </c>
      <c r="Q161" s="51">
        <f t="shared" si="15"/>
        <v>11.54413397</v>
      </c>
      <c r="R161" s="50">
        <f t="shared" si="16"/>
        <v>0.3484194359</v>
      </c>
      <c r="S161" s="16"/>
      <c r="T161" s="25"/>
      <c r="U161" s="6"/>
      <c r="V161" s="6"/>
      <c r="W161" s="7"/>
      <c r="X161" s="7"/>
      <c r="Y161" s="7"/>
      <c r="Z161" s="7"/>
    </row>
    <row r="162" hidden="1" outlineLevel="1">
      <c r="A162" s="44" t="str">
        <f t="shared" si="107"/>
        <v>5-2024</v>
      </c>
      <c r="B162" s="105">
        <v>45430.0</v>
      </c>
      <c r="C162" s="45"/>
      <c r="D162" s="71">
        <v>3967.0</v>
      </c>
      <c r="E162" s="72">
        <v>121.0</v>
      </c>
      <c r="F162" s="72">
        <v>119.0</v>
      </c>
      <c r="G162" s="48">
        <f t="shared" si="10"/>
        <v>1.016806723</v>
      </c>
      <c r="H162" s="46">
        <f t="shared" si="108"/>
        <v>33.33613445</v>
      </c>
      <c r="I162" s="46">
        <f t="shared" si="109"/>
        <v>32.78512397</v>
      </c>
      <c r="J162" s="73">
        <v>5101.0</v>
      </c>
      <c r="K162" s="50">
        <f t="shared" si="13"/>
        <v>0.02372083905</v>
      </c>
      <c r="L162" s="71">
        <v>180.79</v>
      </c>
      <c r="M162" s="71">
        <v>2801.1</v>
      </c>
      <c r="N162" s="72">
        <v>81.0</v>
      </c>
      <c r="O162" s="73">
        <v>209742.0</v>
      </c>
      <c r="P162" s="50">
        <f t="shared" si="14"/>
        <v>0.06454250116</v>
      </c>
      <c r="Q162" s="51">
        <f t="shared" si="15"/>
        <v>15.49366669</v>
      </c>
      <c r="R162" s="50">
        <f t="shared" si="16"/>
        <v>0.7061003277</v>
      </c>
      <c r="S162" s="16"/>
      <c r="T162" s="25"/>
      <c r="U162" s="6"/>
      <c r="V162" s="6"/>
      <c r="W162" s="7"/>
      <c r="X162" s="7"/>
      <c r="Y162" s="7"/>
      <c r="Z162" s="7"/>
    </row>
    <row r="163" collapsed="1">
      <c r="A163" s="52" t="s">
        <v>116</v>
      </c>
      <c r="B163" s="53"/>
      <c r="C163" s="54"/>
      <c r="D163" s="55">
        <f t="shared" ref="D163:F163" si="110">SUM(D156:D162)</f>
        <v>30014.4</v>
      </c>
      <c r="E163" s="74">
        <f t="shared" si="110"/>
        <v>842</v>
      </c>
      <c r="F163" s="74">
        <f t="shared" si="110"/>
        <v>838</v>
      </c>
      <c r="G163" s="75">
        <f t="shared" si="10"/>
        <v>1.00477327</v>
      </c>
      <c r="H163" s="55">
        <f>AVERAGE(H156:H162)</f>
        <v>35.72885936</v>
      </c>
      <c r="I163" s="76">
        <f>H163/G163</f>
        <v>35.55912607</v>
      </c>
      <c r="J163" s="59">
        <f>SUM(J156:J162)</f>
        <v>29485</v>
      </c>
      <c r="K163" s="60">
        <f t="shared" si="13"/>
        <v>0.02855689334</v>
      </c>
      <c r="L163" s="55">
        <f t="shared" ref="L163:N163" si="111">SUM(L156:L162)</f>
        <v>912.14</v>
      </c>
      <c r="M163" s="55">
        <f t="shared" si="111"/>
        <v>15376.94</v>
      </c>
      <c r="N163" s="74">
        <f t="shared" si="111"/>
        <v>443</v>
      </c>
      <c r="O163" s="59">
        <f>sum(O156:O162)</f>
        <v>1147902</v>
      </c>
      <c r="P163" s="60">
        <f t="shared" si="14"/>
        <v>0.0593186941</v>
      </c>
      <c r="Q163" s="78">
        <f t="shared" si="15"/>
        <v>16.85809196</v>
      </c>
      <c r="R163" s="62">
        <f t="shared" si="16"/>
        <v>0.5123187537</v>
      </c>
      <c r="S163" s="54">
        <f>iferror((D163-D131)/D163,)</f>
        <v>0.2515425929</v>
      </c>
      <c r="T163" s="63">
        <f>iferror((F163-E131)/F163,)</f>
        <v>0.2732696897</v>
      </c>
      <c r="U163" s="6"/>
      <c r="V163" s="6"/>
      <c r="W163" s="7"/>
      <c r="X163" s="7"/>
      <c r="Y163" s="7"/>
      <c r="Z163" s="7"/>
    </row>
    <row r="164" hidden="1" outlineLevel="1">
      <c r="A164" s="44" t="str">
        <f t="shared" ref="A164:A170" si="112">iferror(if(B164&gt;0,month(B164)&amp;"-"&amp;year(B164),B164),)</f>
        <v>5-2024</v>
      </c>
      <c r="B164" s="105">
        <v>45431.0</v>
      </c>
      <c r="C164" s="45"/>
      <c r="D164" s="71">
        <v>5623.3</v>
      </c>
      <c r="E164" s="72">
        <v>155.0</v>
      </c>
      <c r="F164" s="72">
        <v>154.0</v>
      </c>
      <c r="G164" s="48">
        <f t="shared" si="10"/>
        <v>1.006493506</v>
      </c>
      <c r="H164" s="46">
        <f t="shared" ref="H164:H170" si="113">D164/F164</f>
        <v>36.51493506</v>
      </c>
      <c r="I164" s="46">
        <f t="shared" ref="I164:I170" si="114">D164/E164</f>
        <v>36.27935484</v>
      </c>
      <c r="J164" s="73">
        <v>7006.0</v>
      </c>
      <c r="K164" s="50">
        <f t="shared" si="13"/>
        <v>0.02212389381</v>
      </c>
      <c r="L164" s="71">
        <v>237.67</v>
      </c>
      <c r="M164" s="71">
        <v>3559.8</v>
      </c>
      <c r="N164" s="72">
        <v>108.0</v>
      </c>
      <c r="O164" s="73">
        <v>327729.0</v>
      </c>
      <c r="P164" s="50">
        <f t="shared" si="14"/>
        <v>0.0667649868</v>
      </c>
      <c r="Q164" s="51">
        <f t="shared" si="15"/>
        <v>14.97791055</v>
      </c>
      <c r="R164" s="50">
        <f t="shared" si="16"/>
        <v>0.6330446535</v>
      </c>
      <c r="S164" s="16"/>
      <c r="T164" s="25"/>
      <c r="U164" s="6"/>
      <c r="V164" s="6"/>
      <c r="W164" s="7"/>
      <c r="X164" s="7"/>
      <c r="Y164" s="7"/>
      <c r="Z164" s="7"/>
    </row>
    <row r="165" hidden="1" outlineLevel="1">
      <c r="A165" s="44" t="str">
        <f t="shared" si="112"/>
        <v>5-2024</v>
      </c>
      <c r="B165" s="105">
        <v>45432.0</v>
      </c>
      <c r="C165" s="45"/>
      <c r="D165" s="71">
        <v>4681.9</v>
      </c>
      <c r="E165" s="72">
        <v>132.0</v>
      </c>
      <c r="F165" s="72">
        <v>132.0</v>
      </c>
      <c r="G165" s="48">
        <f t="shared" si="10"/>
        <v>1</v>
      </c>
      <c r="H165" s="46">
        <f t="shared" si="113"/>
        <v>35.46893939</v>
      </c>
      <c r="I165" s="46">
        <f t="shared" si="114"/>
        <v>35.46893939</v>
      </c>
      <c r="J165" s="73">
        <v>5699.0</v>
      </c>
      <c r="K165" s="50">
        <f t="shared" si="13"/>
        <v>0.02316195824</v>
      </c>
      <c r="L165" s="71">
        <v>201.99</v>
      </c>
      <c r="M165" s="71">
        <v>2276.0</v>
      </c>
      <c r="N165" s="72">
        <v>64.0</v>
      </c>
      <c r="O165" s="73">
        <v>248186.0</v>
      </c>
      <c r="P165" s="50">
        <f t="shared" si="14"/>
        <v>0.08874780316</v>
      </c>
      <c r="Q165" s="51">
        <f t="shared" si="15"/>
        <v>11.26788455</v>
      </c>
      <c r="R165" s="50">
        <f t="shared" si="16"/>
        <v>0.4861274269</v>
      </c>
      <c r="S165" s="16"/>
      <c r="T165" s="25"/>
      <c r="U165" s="6"/>
      <c r="V165" s="6"/>
      <c r="W165" s="7"/>
      <c r="X165" s="7"/>
      <c r="Y165" s="7"/>
      <c r="Z165" s="7"/>
    </row>
    <row r="166" hidden="1" outlineLevel="1">
      <c r="A166" s="44" t="str">
        <f t="shared" si="112"/>
        <v>5-2024</v>
      </c>
      <c r="B166" s="105">
        <v>45433.0</v>
      </c>
      <c r="C166" s="45"/>
      <c r="D166" s="71">
        <v>5180.2</v>
      </c>
      <c r="E166" s="72">
        <v>134.0</v>
      </c>
      <c r="F166" s="72">
        <v>133.0</v>
      </c>
      <c r="G166" s="48">
        <f t="shared" si="10"/>
        <v>1.007518797</v>
      </c>
      <c r="H166" s="46">
        <f t="shared" si="113"/>
        <v>38.94887218</v>
      </c>
      <c r="I166" s="46">
        <f t="shared" si="114"/>
        <v>38.65820896</v>
      </c>
      <c r="J166" s="73">
        <v>6212.0</v>
      </c>
      <c r="K166" s="50">
        <f t="shared" si="13"/>
        <v>0.02157115261</v>
      </c>
      <c r="L166" s="71">
        <v>180.46</v>
      </c>
      <c r="M166" s="71">
        <v>2758.2</v>
      </c>
      <c r="N166" s="72">
        <v>79.0</v>
      </c>
      <c r="O166" s="73">
        <v>208269.0</v>
      </c>
      <c r="P166" s="50">
        <f t="shared" si="14"/>
        <v>0.06542672758</v>
      </c>
      <c r="Q166" s="51">
        <f t="shared" si="15"/>
        <v>15.28427352</v>
      </c>
      <c r="R166" s="50">
        <f t="shared" si="16"/>
        <v>0.5324504845</v>
      </c>
      <c r="S166" s="16"/>
      <c r="T166" s="25"/>
      <c r="U166" s="6"/>
      <c r="V166" s="6"/>
      <c r="W166" s="7"/>
      <c r="X166" s="7"/>
      <c r="Y166" s="7"/>
      <c r="Z166" s="7"/>
    </row>
    <row r="167" hidden="1" outlineLevel="1">
      <c r="A167" s="44" t="str">
        <f t="shared" si="112"/>
        <v>5-2024</v>
      </c>
      <c r="B167" s="105">
        <v>45434.0</v>
      </c>
      <c r="C167" s="45"/>
      <c r="D167" s="71">
        <v>3434.7</v>
      </c>
      <c r="E167" s="72">
        <v>99.0</v>
      </c>
      <c r="F167" s="72">
        <v>99.0</v>
      </c>
      <c r="G167" s="48">
        <f t="shared" si="10"/>
        <v>1</v>
      </c>
      <c r="H167" s="46">
        <f t="shared" si="113"/>
        <v>34.69393939</v>
      </c>
      <c r="I167" s="46">
        <f t="shared" si="114"/>
        <v>34.69393939</v>
      </c>
      <c r="J167" s="73">
        <v>5415.0</v>
      </c>
      <c r="K167" s="50">
        <f t="shared" si="13"/>
        <v>0.01828254848</v>
      </c>
      <c r="L167" s="71">
        <v>154.38</v>
      </c>
      <c r="M167" s="71">
        <v>2009.5</v>
      </c>
      <c r="N167" s="72">
        <v>59.0</v>
      </c>
      <c r="O167" s="73">
        <v>173274.0</v>
      </c>
      <c r="P167" s="50">
        <f t="shared" si="14"/>
        <v>0.07682508087</v>
      </c>
      <c r="Q167" s="51">
        <f t="shared" si="15"/>
        <v>13.01658246</v>
      </c>
      <c r="R167" s="50">
        <f t="shared" si="16"/>
        <v>0.5850583748</v>
      </c>
      <c r="S167" s="16"/>
      <c r="T167" s="25"/>
      <c r="U167" s="6"/>
      <c r="V167" s="6"/>
      <c r="W167" s="7"/>
      <c r="X167" s="7"/>
      <c r="Y167" s="7"/>
      <c r="Z167" s="7"/>
    </row>
    <row r="168" hidden="1" outlineLevel="1">
      <c r="A168" s="44" t="str">
        <f t="shared" si="112"/>
        <v>5-2024</v>
      </c>
      <c r="B168" s="105">
        <v>45435.0</v>
      </c>
      <c r="C168" s="45"/>
      <c r="D168" s="71">
        <v>3380.7</v>
      </c>
      <c r="E168" s="72">
        <v>107.0</v>
      </c>
      <c r="F168" s="72">
        <v>107.0</v>
      </c>
      <c r="G168" s="48">
        <f t="shared" si="10"/>
        <v>1</v>
      </c>
      <c r="H168" s="46">
        <f t="shared" si="113"/>
        <v>31.5953271</v>
      </c>
      <c r="I168" s="46">
        <f t="shared" si="114"/>
        <v>31.5953271</v>
      </c>
      <c r="J168" s="73">
        <v>4841.0</v>
      </c>
      <c r="K168" s="50">
        <f t="shared" si="13"/>
        <v>0.02210287131</v>
      </c>
      <c r="L168" s="71">
        <v>150.19</v>
      </c>
      <c r="M168" s="71">
        <v>2074.4</v>
      </c>
      <c r="N168" s="72">
        <v>63.0</v>
      </c>
      <c r="O168" s="73">
        <v>174866.0</v>
      </c>
      <c r="P168" s="50">
        <f t="shared" si="14"/>
        <v>0.07240165831</v>
      </c>
      <c r="Q168" s="51">
        <f t="shared" si="15"/>
        <v>13.81183834</v>
      </c>
      <c r="R168" s="50">
        <f t="shared" si="16"/>
        <v>0.6136007336</v>
      </c>
      <c r="S168" s="16"/>
      <c r="T168" s="25"/>
      <c r="U168" s="6"/>
      <c r="V168" s="6"/>
      <c r="W168" s="7"/>
      <c r="X168" s="7"/>
      <c r="Y168" s="7"/>
      <c r="Z168" s="7"/>
    </row>
    <row r="169" hidden="1" outlineLevel="1">
      <c r="A169" s="44" t="str">
        <f t="shared" si="112"/>
        <v>5-2024</v>
      </c>
      <c r="B169" s="105">
        <v>45436.0</v>
      </c>
      <c r="C169" s="45"/>
      <c r="D169" s="71">
        <v>3119.1</v>
      </c>
      <c r="E169" s="72">
        <v>91.0</v>
      </c>
      <c r="F169" s="72">
        <v>91.0</v>
      </c>
      <c r="G169" s="48">
        <f t="shared" si="10"/>
        <v>1</v>
      </c>
      <c r="H169" s="46">
        <f t="shared" si="113"/>
        <v>34.27582418</v>
      </c>
      <c r="I169" s="46">
        <f t="shared" si="114"/>
        <v>34.27582418</v>
      </c>
      <c r="J169" s="73">
        <v>5282.0</v>
      </c>
      <c r="K169" s="50">
        <f t="shared" si="13"/>
        <v>0.01722832261</v>
      </c>
      <c r="L169" s="71">
        <v>170.03</v>
      </c>
      <c r="M169" s="71">
        <v>1408.49</v>
      </c>
      <c r="N169" s="72">
        <v>44.0</v>
      </c>
      <c r="O169" s="73">
        <v>192696.0</v>
      </c>
      <c r="P169" s="50">
        <f t="shared" si="14"/>
        <v>0.120717932</v>
      </c>
      <c r="Q169" s="51">
        <f t="shared" si="15"/>
        <v>8.283773452</v>
      </c>
      <c r="R169" s="50">
        <f t="shared" si="16"/>
        <v>0.451569363</v>
      </c>
      <c r="S169" s="16"/>
      <c r="T169" s="25"/>
      <c r="U169" s="6"/>
      <c r="V169" s="6"/>
      <c r="W169" s="7"/>
      <c r="X169" s="7"/>
      <c r="Y169" s="7"/>
      <c r="Z169" s="7"/>
    </row>
    <row r="170" hidden="1" outlineLevel="1">
      <c r="A170" s="44" t="str">
        <f t="shared" si="112"/>
        <v>5-2024</v>
      </c>
      <c r="B170" s="105">
        <v>45437.0</v>
      </c>
      <c r="C170" s="45"/>
      <c r="D170" s="71">
        <v>3589.7</v>
      </c>
      <c r="E170" s="72">
        <v>109.0</v>
      </c>
      <c r="F170" s="72">
        <v>109.0</v>
      </c>
      <c r="G170" s="48">
        <f t="shared" si="10"/>
        <v>1</v>
      </c>
      <c r="H170" s="46">
        <f t="shared" si="113"/>
        <v>32.93302752</v>
      </c>
      <c r="I170" s="46">
        <f t="shared" si="114"/>
        <v>32.93302752</v>
      </c>
      <c r="J170" s="73">
        <v>5606.0</v>
      </c>
      <c r="K170" s="50">
        <f t="shared" si="13"/>
        <v>0.01944345344</v>
      </c>
      <c r="L170" s="71">
        <v>165.81</v>
      </c>
      <c r="M170" s="71">
        <v>1885.2</v>
      </c>
      <c r="N170" s="72">
        <v>61.0</v>
      </c>
      <c r="O170" s="73">
        <v>193601.0</v>
      </c>
      <c r="P170" s="50">
        <f t="shared" si="14"/>
        <v>0.08795353278</v>
      </c>
      <c r="Q170" s="51">
        <f t="shared" si="15"/>
        <v>11.36963995</v>
      </c>
      <c r="R170" s="50">
        <f t="shared" si="16"/>
        <v>0.5251692342</v>
      </c>
      <c r="S170" s="16"/>
      <c r="T170" s="25"/>
      <c r="U170" s="6"/>
      <c r="V170" s="6"/>
      <c r="W170" s="7"/>
      <c r="X170" s="7"/>
      <c r="Y170" s="7"/>
      <c r="Z170" s="7"/>
    </row>
    <row r="171" collapsed="1">
      <c r="A171" s="52" t="s">
        <v>117</v>
      </c>
      <c r="B171" s="53"/>
      <c r="C171" s="54"/>
      <c r="D171" s="55">
        <f t="shared" ref="D171:F171" si="115">SUM(D164:D170)</f>
        <v>29009.6</v>
      </c>
      <c r="E171" s="74">
        <f t="shared" si="115"/>
        <v>827</v>
      </c>
      <c r="F171" s="74">
        <f t="shared" si="115"/>
        <v>825</v>
      </c>
      <c r="G171" s="75">
        <f t="shared" si="10"/>
        <v>1.002424242</v>
      </c>
      <c r="H171" s="55">
        <f>AVERAGE(H164:H170)</f>
        <v>34.91869498</v>
      </c>
      <c r="I171" s="76">
        <f>H171/G171</f>
        <v>34.83424831</v>
      </c>
      <c r="J171" s="59">
        <f>SUM(J164:J170)</f>
        <v>40061</v>
      </c>
      <c r="K171" s="60">
        <f t="shared" si="13"/>
        <v>0.02064351863</v>
      </c>
      <c r="L171" s="55">
        <f t="shared" ref="L171:N171" si="116">SUM(L164:L170)</f>
        <v>1260.53</v>
      </c>
      <c r="M171" s="55">
        <f t="shared" si="116"/>
        <v>15971.59</v>
      </c>
      <c r="N171" s="74">
        <f t="shared" si="116"/>
        <v>478</v>
      </c>
      <c r="O171" s="59">
        <f>sum(O164:O170)</f>
        <v>1518621</v>
      </c>
      <c r="P171" s="60">
        <f t="shared" si="14"/>
        <v>0.07892326312</v>
      </c>
      <c r="Q171" s="78">
        <f t="shared" si="15"/>
        <v>12.67053541</v>
      </c>
      <c r="R171" s="62">
        <f t="shared" si="16"/>
        <v>0.5505622277</v>
      </c>
      <c r="S171" s="54">
        <f>iferror((D171-D131)/D171,)</f>
        <v>0.225618416</v>
      </c>
      <c r="T171" s="63">
        <f>iferror((F171-E131)/F171,)</f>
        <v>0.2618181818</v>
      </c>
      <c r="U171" s="6"/>
      <c r="V171" s="6"/>
      <c r="W171" s="7"/>
      <c r="X171" s="7"/>
      <c r="Y171" s="7"/>
      <c r="Z171" s="7"/>
    </row>
    <row r="172" hidden="1" outlineLevel="1">
      <c r="A172" s="44" t="str">
        <f t="shared" ref="A172:A178" si="117">iferror(if(B172&gt;0,month(B172)&amp;"-"&amp;year(B172),B172),)</f>
        <v>5-2024</v>
      </c>
      <c r="B172" s="105">
        <v>45438.0</v>
      </c>
      <c r="C172" s="45"/>
      <c r="D172" s="71">
        <v>3650.3</v>
      </c>
      <c r="E172" s="72">
        <v>107.0</v>
      </c>
      <c r="F172" s="72">
        <v>106.0</v>
      </c>
      <c r="G172" s="48">
        <f t="shared" si="10"/>
        <v>1.009433962</v>
      </c>
      <c r="H172" s="46">
        <f t="shared" ref="H172:H178" si="118">D172/F172</f>
        <v>34.43679245</v>
      </c>
      <c r="I172" s="46">
        <f t="shared" ref="I172:I178" si="119">D172/E172</f>
        <v>34.11495327</v>
      </c>
      <c r="J172" s="73">
        <v>6626.0</v>
      </c>
      <c r="K172" s="50">
        <f t="shared" si="13"/>
        <v>0.01614850589</v>
      </c>
      <c r="L172" s="71">
        <v>207.33</v>
      </c>
      <c r="M172" s="71">
        <v>2349.3</v>
      </c>
      <c r="N172" s="72">
        <v>60.0</v>
      </c>
      <c r="O172" s="73">
        <v>234776.0</v>
      </c>
      <c r="P172" s="50">
        <f t="shared" si="14"/>
        <v>0.08825181969</v>
      </c>
      <c r="Q172" s="51">
        <f t="shared" si="15"/>
        <v>11.33121111</v>
      </c>
      <c r="R172" s="50">
        <f t="shared" si="16"/>
        <v>0.6435909377</v>
      </c>
      <c r="S172" s="16"/>
      <c r="T172" s="25"/>
      <c r="U172" s="6"/>
      <c r="V172" s="6"/>
      <c r="W172" s="7"/>
      <c r="X172" s="7"/>
      <c r="Y172" s="7"/>
      <c r="Z172" s="7"/>
    </row>
    <row r="173" hidden="1" outlineLevel="1">
      <c r="A173" s="44" t="str">
        <f t="shared" si="117"/>
        <v>5-2024</v>
      </c>
      <c r="B173" s="105">
        <v>45439.0</v>
      </c>
      <c r="C173" s="45"/>
      <c r="D173" s="71">
        <v>5992.4</v>
      </c>
      <c r="E173" s="72">
        <v>165.0</v>
      </c>
      <c r="F173" s="72">
        <v>165.0</v>
      </c>
      <c r="G173" s="48">
        <f t="shared" si="10"/>
        <v>1</v>
      </c>
      <c r="H173" s="46">
        <f t="shared" si="118"/>
        <v>36.31757576</v>
      </c>
      <c r="I173" s="46">
        <f t="shared" si="119"/>
        <v>36.31757576</v>
      </c>
      <c r="J173" s="73">
        <v>9019.0</v>
      </c>
      <c r="K173" s="50">
        <f t="shared" si="13"/>
        <v>0.01829471117</v>
      </c>
      <c r="L173" s="71">
        <v>295.37</v>
      </c>
      <c r="M173" s="71">
        <v>2700.7</v>
      </c>
      <c r="N173" s="72">
        <v>85.0</v>
      </c>
      <c r="O173" s="73">
        <v>383189.0</v>
      </c>
      <c r="P173" s="50">
        <f t="shared" si="14"/>
        <v>0.1093679416</v>
      </c>
      <c r="Q173" s="51">
        <f t="shared" si="15"/>
        <v>9.143447202</v>
      </c>
      <c r="R173" s="50">
        <f t="shared" si="16"/>
        <v>0.4506875375</v>
      </c>
      <c r="S173" s="16"/>
      <c r="T173" s="25"/>
      <c r="U173" s="6"/>
      <c r="V173" s="6"/>
      <c r="W173" s="7"/>
      <c r="X173" s="7"/>
      <c r="Y173" s="7"/>
      <c r="Z173" s="7"/>
    </row>
    <row r="174" hidden="1" outlineLevel="1">
      <c r="A174" s="44" t="str">
        <f t="shared" si="117"/>
        <v>5-2024</v>
      </c>
      <c r="B174" s="105">
        <v>45440.0</v>
      </c>
      <c r="C174" s="45"/>
      <c r="D174" s="71">
        <v>4205.6</v>
      </c>
      <c r="E174" s="72">
        <v>122.0</v>
      </c>
      <c r="F174" s="72">
        <v>122.0</v>
      </c>
      <c r="G174" s="48">
        <f t="shared" si="10"/>
        <v>1</v>
      </c>
      <c r="H174" s="46">
        <f t="shared" si="118"/>
        <v>34.47213115</v>
      </c>
      <c r="I174" s="46">
        <f t="shared" si="119"/>
        <v>34.47213115</v>
      </c>
      <c r="J174" s="73">
        <v>7093.0</v>
      </c>
      <c r="K174" s="50">
        <f t="shared" si="13"/>
        <v>0.01720005639</v>
      </c>
      <c r="L174" s="71">
        <v>243.23</v>
      </c>
      <c r="M174" s="71">
        <v>2953.67</v>
      </c>
      <c r="N174" s="72">
        <v>80.0</v>
      </c>
      <c r="O174" s="73">
        <v>300311.0</v>
      </c>
      <c r="P174" s="50">
        <f t="shared" si="14"/>
        <v>0.08234840046</v>
      </c>
      <c r="Q174" s="51">
        <f t="shared" si="15"/>
        <v>12.1435267</v>
      </c>
      <c r="R174" s="50">
        <f t="shared" si="16"/>
        <v>0.7023183375</v>
      </c>
      <c r="S174" s="16"/>
      <c r="T174" s="25"/>
      <c r="U174" s="6"/>
      <c r="V174" s="6"/>
      <c r="W174" s="7"/>
      <c r="X174" s="7"/>
      <c r="Y174" s="7"/>
      <c r="Z174" s="7"/>
    </row>
    <row r="175" hidden="1" outlineLevel="1">
      <c r="A175" s="44" t="str">
        <f t="shared" si="117"/>
        <v>5-2024</v>
      </c>
      <c r="B175" s="105">
        <v>45441.0</v>
      </c>
      <c r="C175" s="45"/>
      <c r="D175" s="71">
        <v>4970.4</v>
      </c>
      <c r="E175" s="72">
        <v>132.0</v>
      </c>
      <c r="F175" s="72">
        <v>132.0</v>
      </c>
      <c r="G175" s="48">
        <f t="shared" si="10"/>
        <v>1</v>
      </c>
      <c r="H175" s="46">
        <f t="shared" si="118"/>
        <v>37.65454545</v>
      </c>
      <c r="I175" s="46">
        <f t="shared" si="119"/>
        <v>37.65454545</v>
      </c>
      <c r="J175" s="73">
        <v>6310.0</v>
      </c>
      <c r="K175" s="50">
        <f t="shared" si="13"/>
        <v>0.02091917591</v>
      </c>
      <c r="L175" s="71">
        <v>226.52</v>
      </c>
      <c r="M175" s="71">
        <v>2930.49</v>
      </c>
      <c r="N175" s="72">
        <v>75.0</v>
      </c>
      <c r="O175" s="73">
        <v>243465.0</v>
      </c>
      <c r="P175" s="50">
        <f t="shared" si="14"/>
        <v>0.07729765329</v>
      </c>
      <c r="Q175" s="51">
        <f t="shared" si="15"/>
        <v>12.93700336</v>
      </c>
      <c r="R175" s="50">
        <f t="shared" si="16"/>
        <v>0.5895883631</v>
      </c>
      <c r="S175" s="16"/>
      <c r="T175" s="25"/>
      <c r="U175" s="6"/>
      <c r="V175" s="6"/>
      <c r="W175" s="7"/>
      <c r="X175" s="7"/>
      <c r="Y175" s="7"/>
      <c r="Z175" s="7"/>
    </row>
    <row r="176" hidden="1" outlineLevel="1">
      <c r="A176" s="44" t="str">
        <f t="shared" si="117"/>
        <v>5-2024</v>
      </c>
      <c r="B176" s="105">
        <v>45442.0</v>
      </c>
      <c r="C176" s="45"/>
      <c r="D176" s="71">
        <v>3974.7</v>
      </c>
      <c r="E176" s="72">
        <v>122.0</v>
      </c>
      <c r="F176" s="72">
        <v>120.0</v>
      </c>
      <c r="G176" s="48">
        <f t="shared" si="10"/>
        <v>1.016666667</v>
      </c>
      <c r="H176" s="46">
        <f t="shared" si="118"/>
        <v>33.1225</v>
      </c>
      <c r="I176" s="46">
        <f t="shared" si="119"/>
        <v>32.5795082</v>
      </c>
      <c r="J176" s="73">
        <v>5684.0</v>
      </c>
      <c r="K176" s="50">
        <f t="shared" si="13"/>
        <v>0.02146375792</v>
      </c>
      <c r="L176" s="71">
        <v>171.75</v>
      </c>
      <c r="M176" s="71">
        <v>2747.6</v>
      </c>
      <c r="N176" s="72">
        <v>84.0</v>
      </c>
      <c r="O176" s="73">
        <v>206771.0</v>
      </c>
      <c r="P176" s="50">
        <f t="shared" si="14"/>
        <v>0.06250909885</v>
      </c>
      <c r="Q176" s="51">
        <f t="shared" si="15"/>
        <v>15.99767103</v>
      </c>
      <c r="R176" s="50">
        <f t="shared" si="16"/>
        <v>0.6912722973</v>
      </c>
      <c r="S176" s="16"/>
      <c r="T176" s="25"/>
      <c r="U176" s="6"/>
      <c r="V176" s="6"/>
      <c r="W176" s="7"/>
      <c r="X176" s="7"/>
      <c r="Y176" s="7"/>
      <c r="Z176" s="7"/>
    </row>
    <row r="177" hidden="1" outlineLevel="1">
      <c r="A177" s="44" t="str">
        <f t="shared" si="117"/>
        <v>5-2024</v>
      </c>
      <c r="B177" s="105">
        <v>45443.0</v>
      </c>
      <c r="C177" s="45"/>
      <c r="D177" s="71">
        <v>4216.8</v>
      </c>
      <c r="E177" s="72">
        <v>124.0</v>
      </c>
      <c r="F177" s="72">
        <v>124.0</v>
      </c>
      <c r="G177" s="48">
        <f t="shared" si="10"/>
        <v>1</v>
      </c>
      <c r="H177" s="46">
        <f t="shared" si="118"/>
        <v>34.00645161</v>
      </c>
      <c r="I177" s="46">
        <f t="shared" si="119"/>
        <v>34.00645161</v>
      </c>
      <c r="J177" s="73">
        <v>5230.0</v>
      </c>
      <c r="K177" s="50">
        <f t="shared" si="13"/>
        <v>0.02370936902</v>
      </c>
      <c r="L177" s="71">
        <v>188.33</v>
      </c>
      <c r="M177" s="71">
        <v>2236.6</v>
      </c>
      <c r="N177" s="72">
        <v>65.0</v>
      </c>
      <c r="O177" s="73">
        <v>185661.0</v>
      </c>
      <c r="P177" s="50">
        <f t="shared" si="14"/>
        <v>0.08420370205</v>
      </c>
      <c r="Q177" s="51">
        <f t="shared" si="15"/>
        <v>11.87596241</v>
      </c>
      <c r="R177" s="50">
        <f t="shared" si="16"/>
        <v>0.5304022007</v>
      </c>
      <c r="S177" s="16"/>
      <c r="T177" s="25"/>
      <c r="U177" s="6"/>
      <c r="V177" s="6"/>
      <c r="W177" s="7"/>
      <c r="X177" s="7"/>
      <c r="Y177" s="7"/>
      <c r="Z177" s="7"/>
    </row>
    <row r="178" hidden="1" outlineLevel="1">
      <c r="A178" s="44" t="str">
        <f t="shared" si="117"/>
        <v>6-2024</v>
      </c>
      <c r="B178" s="105">
        <v>45444.0</v>
      </c>
      <c r="C178" s="45"/>
      <c r="D178" s="71">
        <v>4587.6</v>
      </c>
      <c r="E178" s="72">
        <v>134.0</v>
      </c>
      <c r="F178" s="72">
        <v>133.0</v>
      </c>
      <c r="G178" s="48">
        <f t="shared" si="10"/>
        <v>1.007518797</v>
      </c>
      <c r="H178" s="46">
        <f t="shared" si="118"/>
        <v>34.49323308</v>
      </c>
      <c r="I178" s="46">
        <f t="shared" si="119"/>
        <v>34.2358209</v>
      </c>
      <c r="J178" s="73">
        <v>6639.0</v>
      </c>
      <c r="K178" s="50">
        <f t="shared" si="13"/>
        <v>0.02018376261</v>
      </c>
      <c r="L178" s="71">
        <v>226.03</v>
      </c>
      <c r="M178" s="71">
        <v>2905.2</v>
      </c>
      <c r="N178" s="72">
        <v>82.0</v>
      </c>
      <c r="O178" s="73">
        <v>253367.0</v>
      </c>
      <c r="P178" s="50">
        <f t="shared" si="14"/>
        <v>0.0778018725</v>
      </c>
      <c r="Q178" s="51">
        <f t="shared" si="15"/>
        <v>12.85316108</v>
      </c>
      <c r="R178" s="50">
        <f t="shared" si="16"/>
        <v>0.6332722992</v>
      </c>
      <c r="S178" s="16"/>
      <c r="T178" s="25"/>
      <c r="U178" s="6"/>
      <c r="V178" s="6"/>
      <c r="W178" s="7"/>
      <c r="X178" s="7"/>
      <c r="Y178" s="7"/>
      <c r="Z178" s="7"/>
    </row>
    <row r="179" collapsed="1">
      <c r="A179" s="52" t="s">
        <v>118</v>
      </c>
      <c r="B179" s="53"/>
      <c r="C179" s="54"/>
      <c r="D179" s="55">
        <f t="shared" ref="D179:F179" si="120">SUM(D172:D178)</f>
        <v>31597.8</v>
      </c>
      <c r="E179" s="74">
        <f t="shared" si="120"/>
        <v>906</v>
      </c>
      <c r="F179" s="74">
        <f t="shared" si="120"/>
        <v>902</v>
      </c>
      <c r="G179" s="75">
        <f t="shared" si="10"/>
        <v>1.00443459</v>
      </c>
      <c r="H179" s="55">
        <f>AVERAGE(H172:H178)</f>
        <v>34.92903279</v>
      </c>
      <c r="I179" s="76">
        <f>H179/G179</f>
        <v>34.77482072</v>
      </c>
      <c r="J179" s="59">
        <f>SUM(J172:J178)</f>
        <v>46601</v>
      </c>
      <c r="K179" s="60">
        <f t="shared" si="13"/>
        <v>0.01944164288</v>
      </c>
      <c r="L179" s="55">
        <f t="shared" ref="L179:N179" si="121">SUM(L172:L178)</f>
        <v>1558.56</v>
      </c>
      <c r="M179" s="55">
        <f t="shared" si="121"/>
        <v>18823.56</v>
      </c>
      <c r="N179" s="74">
        <f t="shared" si="121"/>
        <v>531</v>
      </c>
      <c r="O179" s="59">
        <f>sum(O172:O178)</f>
        <v>1807540</v>
      </c>
      <c r="P179" s="60">
        <f t="shared" si="14"/>
        <v>0.08279836545</v>
      </c>
      <c r="Q179" s="78">
        <f t="shared" si="15"/>
        <v>12.07753311</v>
      </c>
      <c r="R179" s="62">
        <f t="shared" si="16"/>
        <v>0.5957237529</v>
      </c>
      <c r="S179" s="54">
        <f>iferror((D179-D139)/D179,)</f>
        <v>0.3512649615</v>
      </c>
      <c r="T179" s="63">
        <f>iferror((F179-E139)/F179,)</f>
        <v>0.3747228381</v>
      </c>
      <c r="U179" s="6"/>
      <c r="V179" s="6"/>
      <c r="W179" s="7"/>
      <c r="X179" s="7"/>
      <c r="Y179" s="7"/>
      <c r="Z179" s="7"/>
    </row>
    <row r="180" hidden="1" outlineLevel="1">
      <c r="A180" s="65" t="str">
        <f t="shared" ref="A180:A186" si="122">iferror(if(B180&gt;0,month(B180)&amp;"-"&amp;year(B180),B180),)</f>
        <v>6-2024</v>
      </c>
      <c r="B180" s="82">
        <v>45445.0</v>
      </c>
      <c r="C180" s="83"/>
      <c r="D180" s="84">
        <v>5724.2</v>
      </c>
      <c r="E180" s="85">
        <v>160.0</v>
      </c>
      <c r="F180" s="85">
        <v>160.0</v>
      </c>
      <c r="G180" s="86">
        <f t="shared" si="10"/>
        <v>1</v>
      </c>
      <c r="H180" s="84">
        <f t="shared" ref="H180:H186" si="123">D180/F180</f>
        <v>35.77625</v>
      </c>
      <c r="I180" s="84">
        <f t="shared" ref="I180:I186" si="124">D180/E180</f>
        <v>35.77625</v>
      </c>
      <c r="J180" s="87">
        <v>8408.0</v>
      </c>
      <c r="K180" s="88">
        <f t="shared" si="13"/>
        <v>0.01902949572</v>
      </c>
      <c r="L180" s="84">
        <v>272.62</v>
      </c>
      <c r="M180" s="84">
        <v>3505.89</v>
      </c>
      <c r="N180" s="85">
        <v>96.0</v>
      </c>
      <c r="O180" s="87">
        <v>316809.0</v>
      </c>
      <c r="P180" s="88">
        <f t="shared" si="14"/>
        <v>0.07776056864</v>
      </c>
      <c r="Q180" s="89">
        <f t="shared" si="15"/>
        <v>12.85998826</v>
      </c>
      <c r="R180" s="88">
        <f t="shared" si="16"/>
        <v>0.6124681178</v>
      </c>
      <c r="S180" s="90"/>
      <c r="T180" s="91"/>
      <c r="U180" s="2"/>
      <c r="V180" s="2"/>
      <c r="W180" s="2"/>
      <c r="X180" s="2"/>
      <c r="Y180" s="2"/>
      <c r="Z180" s="2"/>
    </row>
    <row r="181" hidden="1" outlineLevel="1">
      <c r="A181" s="70" t="str">
        <f t="shared" si="122"/>
        <v>6-2024</v>
      </c>
      <c r="B181" s="103">
        <v>45446.0</v>
      </c>
      <c r="C181" s="92"/>
      <c r="D181" s="93">
        <v>4306.6</v>
      </c>
      <c r="E181" s="94">
        <v>123.0</v>
      </c>
      <c r="F181" s="94">
        <v>123.0</v>
      </c>
      <c r="G181" s="95">
        <f t="shared" si="10"/>
        <v>1</v>
      </c>
      <c r="H181" s="93">
        <f t="shared" si="123"/>
        <v>35.01300813</v>
      </c>
      <c r="I181" s="93">
        <f t="shared" si="124"/>
        <v>35.01300813</v>
      </c>
      <c r="J181" s="96">
        <v>6678.0</v>
      </c>
      <c r="K181" s="97">
        <f t="shared" si="13"/>
        <v>0.01841868823</v>
      </c>
      <c r="L181" s="93">
        <v>237.47</v>
      </c>
      <c r="M181" s="93">
        <v>2936.5</v>
      </c>
      <c r="N181" s="94">
        <v>81.0</v>
      </c>
      <c r="O181" s="96">
        <v>231351.0</v>
      </c>
      <c r="P181" s="97">
        <f t="shared" si="14"/>
        <v>0.08086838073</v>
      </c>
      <c r="Q181" s="98">
        <f t="shared" si="15"/>
        <v>12.36577252</v>
      </c>
      <c r="R181" s="97">
        <f t="shared" si="16"/>
        <v>0.6818604003</v>
      </c>
      <c r="S181" s="99"/>
      <c r="T181" s="100"/>
      <c r="U181" s="2"/>
      <c r="V181" s="2"/>
      <c r="W181" s="2"/>
      <c r="X181" s="2"/>
      <c r="Y181" s="2"/>
      <c r="Z181" s="2"/>
    </row>
    <row r="182" hidden="1" outlineLevel="1">
      <c r="A182" s="70" t="str">
        <f t="shared" si="122"/>
        <v>6-2024</v>
      </c>
      <c r="B182" s="103">
        <v>45447.0</v>
      </c>
      <c r="C182" s="92"/>
      <c r="D182" s="93">
        <v>4121.1</v>
      </c>
      <c r="E182" s="94">
        <v>113.0</v>
      </c>
      <c r="F182" s="94">
        <v>113.0</v>
      </c>
      <c r="G182" s="95">
        <f t="shared" si="10"/>
        <v>1</v>
      </c>
      <c r="H182" s="93">
        <f t="shared" si="123"/>
        <v>36.4699115</v>
      </c>
      <c r="I182" s="93">
        <f t="shared" si="124"/>
        <v>36.4699115</v>
      </c>
      <c r="J182" s="96">
        <v>6855.0</v>
      </c>
      <c r="K182" s="97">
        <f t="shared" si="13"/>
        <v>0.01648431802</v>
      </c>
      <c r="L182" s="93">
        <v>240.13</v>
      </c>
      <c r="M182" s="93">
        <v>2909.19</v>
      </c>
      <c r="N182" s="94">
        <v>75.0</v>
      </c>
      <c r="O182" s="96">
        <v>245515.0</v>
      </c>
      <c r="P182" s="97">
        <f t="shared" si="14"/>
        <v>0.08254187592</v>
      </c>
      <c r="Q182" s="98">
        <f t="shared" si="15"/>
        <v>12.11506267</v>
      </c>
      <c r="R182" s="97">
        <f t="shared" si="16"/>
        <v>0.7059256024</v>
      </c>
      <c r="S182" s="99"/>
      <c r="T182" s="100"/>
      <c r="U182" s="2"/>
      <c r="V182" s="2"/>
      <c r="W182" s="2"/>
      <c r="X182" s="2"/>
      <c r="Y182" s="2"/>
      <c r="Z182" s="2"/>
    </row>
    <row r="183" hidden="1" outlineLevel="1">
      <c r="A183" s="70" t="str">
        <f t="shared" si="122"/>
        <v>6-2024</v>
      </c>
      <c r="B183" s="103">
        <v>45448.0</v>
      </c>
      <c r="C183" s="92"/>
      <c r="D183" s="93">
        <v>4057.7</v>
      </c>
      <c r="E183" s="94">
        <v>116.0</v>
      </c>
      <c r="F183" s="94">
        <v>115.0</v>
      </c>
      <c r="G183" s="95">
        <f t="shared" si="10"/>
        <v>1.008695652</v>
      </c>
      <c r="H183" s="93">
        <f t="shared" si="123"/>
        <v>35.28434783</v>
      </c>
      <c r="I183" s="93">
        <f t="shared" si="124"/>
        <v>34.98017241</v>
      </c>
      <c r="J183" s="96">
        <v>6146.0</v>
      </c>
      <c r="K183" s="97">
        <f t="shared" si="13"/>
        <v>0.01887406443</v>
      </c>
      <c r="L183" s="93">
        <v>234.12</v>
      </c>
      <c r="M183" s="93">
        <v>2686.6</v>
      </c>
      <c r="N183" s="94">
        <v>72.0</v>
      </c>
      <c r="O183" s="96">
        <v>230489.0</v>
      </c>
      <c r="P183" s="97">
        <f t="shared" si="14"/>
        <v>0.08714360158</v>
      </c>
      <c r="Q183" s="98">
        <f t="shared" si="15"/>
        <v>11.47531181</v>
      </c>
      <c r="R183" s="97">
        <f t="shared" si="16"/>
        <v>0.6620992188</v>
      </c>
      <c r="S183" s="99"/>
      <c r="T183" s="100"/>
      <c r="U183" s="2"/>
      <c r="V183" s="2"/>
      <c r="W183" s="2"/>
      <c r="X183" s="2"/>
      <c r="Y183" s="2"/>
      <c r="Z183" s="2"/>
    </row>
    <row r="184" hidden="1" outlineLevel="1">
      <c r="A184" s="70" t="str">
        <f t="shared" si="122"/>
        <v>6-2024</v>
      </c>
      <c r="B184" s="103">
        <v>45449.0</v>
      </c>
      <c r="C184" s="92"/>
      <c r="D184" s="93">
        <v>3209.7</v>
      </c>
      <c r="E184" s="94">
        <v>87.0</v>
      </c>
      <c r="F184" s="94">
        <v>87.0</v>
      </c>
      <c r="G184" s="95">
        <f t="shared" si="10"/>
        <v>1</v>
      </c>
      <c r="H184" s="93">
        <f t="shared" si="123"/>
        <v>36.89310345</v>
      </c>
      <c r="I184" s="93">
        <f t="shared" si="124"/>
        <v>36.89310345</v>
      </c>
      <c r="J184" s="96">
        <v>5891.0</v>
      </c>
      <c r="K184" s="97">
        <f t="shared" si="13"/>
        <v>0.01476829061</v>
      </c>
      <c r="L184" s="93">
        <v>198.71</v>
      </c>
      <c r="M184" s="93">
        <v>1727.8</v>
      </c>
      <c r="N184" s="94">
        <v>53.0</v>
      </c>
      <c r="O184" s="96">
        <v>205074.0</v>
      </c>
      <c r="P184" s="97">
        <f t="shared" si="14"/>
        <v>0.115007524</v>
      </c>
      <c r="Q184" s="98">
        <f t="shared" si="15"/>
        <v>8.695083287</v>
      </c>
      <c r="R184" s="97">
        <f t="shared" si="16"/>
        <v>0.5383057607</v>
      </c>
      <c r="S184" s="99"/>
      <c r="T184" s="100"/>
      <c r="U184" s="2"/>
      <c r="V184" s="2"/>
      <c r="W184" s="2"/>
      <c r="X184" s="2"/>
      <c r="Y184" s="2"/>
      <c r="Z184" s="2"/>
    </row>
    <row r="185" hidden="1" outlineLevel="1">
      <c r="A185" s="70" t="str">
        <f t="shared" si="122"/>
        <v>6-2024</v>
      </c>
      <c r="B185" s="103">
        <v>45450.0</v>
      </c>
      <c r="C185" s="92"/>
      <c r="D185" s="93">
        <v>4031.4</v>
      </c>
      <c r="E185" s="94">
        <v>112.0</v>
      </c>
      <c r="F185" s="94">
        <v>112.0</v>
      </c>
      <c r="G185" s="95">
        <f t="shared" si="10"/>
        <v>1</v>
      </c>
      <c r="H185" s="93">
        <f t="shared" si="123"/>
        <v>35.99464286</v>
      </c>
      <c r="I185" s="93">
        <f t="shared" si="124"/>
        <v>35.99464286</v>
      </c>
      <c r="J185" s="96">
        <v>5709.0</v>
      </c>
      <c r="K185" s="97">
        <f t="shared" si="13"/>
        <v>0.01961814679</v>
      </c>
      <c r="L185" s="93">
        <v>200.52</v>
      </c>
      <c r="M185" s="93">
        <v>2392.6</v>
      </c>
      <c r="N185" s="94">
        <v>62.0</v>
      </c>
      <c r="O185" s="96">
        <v>189561.0</v>
      </c>
      <c r="P185" s="97">
        <f t="shared" si="14"/>
        <v>0.08380840926</v>
      </c>
      <c r="Q185" s="98">
        <f t="shared" si="15"/>
        <v>11.93197686</v>
      </c>
      <c r="R185" s="97">
        <f t="shared" si="16"/>
        <v>0.5934910949</v>
      </c>
      <c r="S185" s="99"/>
      <c r="T185" s="100"/>
      <c r="U185" s="2"/>
      <c r="V185" s="2"/>
      <c r="W185" s="2"/>
      <c r="X185" s="2"/>
      <c r="Y185" s="2"/>
      <c r="Z185" s="2"/>
    </row>
    <row r="186" hidden="1" outlineLevel="1">
      <c r="A186" s="70" t="str">
        <f t="shared" si="122"/>
        <v>6-2024</v>
      </c>
      <c r="B186" s="103">
        <v>45451.0</v>
      </c>
      <c r="C186" s="92"/>
      <c r="D186" s="93">
        <v>4203.6</v>
      </c>
      <c r="E186" s="94">
        <v>120.0</v>
      </c>
      <c r="F186" s="94">
        <v>118.0</v>
      </c>
      <c r="G186" s="95">
        <f t="shared" si="10"/>
        <v>1.016949153</v>
      </c>
      <c r="H186" s="93">
        <f t="shared" si="123"/>
        <v>35.62372881</v>
      </c>
      <c r="I186" s="93">
        <f t="shared" si="124"/>
        <v>35.03</v>
      </c>
      <c r="J186" s="96">
        <v>6574.0</v>
      </c>
      <c r="K186" s="97">
        <f t="shared" si="13"/>
        <v>0.0182537268</v>
      </c>
      <c r="L186" s="93">
        <v>240.79</v>
      </c>
      <c r="M186" s="93">
        <v>2383.0</v>
      </c>
      <c r="N186" s="94">
        <v>64.0</v>
      </c>
      <c r="O186" s="96">
        <v>238509.0</v>
      </c>
      <c r="P186" s="97">
        <f t="shared" si="14"/>
        <v>0.1010449014</v>
      </c>
      <c r="Q186" s="98">
        <f t="shared" si="15"/>
        <v>9.89659039</v>
      </c>
      <c r="R186" s="97">
        <f t="shared" si="16"/>
        <v>0.5668950423</v>
      </c>
      <c r="S186" s="99"/>
      <c r="T186" s="100"/>
      <c r="U186" s="2"/>
      <c r="V186" s="2"/>
      <c r="W186" s="2"/>
      <c r="X186" s="2"/>
      <c r="Y186" s="2"/>
      <c r="Z186" s="2"/>
    </row>
    <row r="187" collapsed="1">
      <c r="A187" s="106" t="s">
        <v>119</v>
      </c>
      <c r="B187" s="107"/>
      <c r="C187" s="108"/>
      <c r="D187" s="55">
        <f t="shared" ref="D187:F187" si="125">SUM(D172:D178)</f>
        <v>31597.8</v>
      </c>
      <c r="E187" s="56">
        <f t="shared" si="125"/>
        <v>906</v>
      </c>
      <c r="F187" s="56">
        <f t="shared" si="125"/>
        <v>902</v>
      </c>
      <c r="G187" s="109">
        <f t="shared" si="10"/>
        <v>1.00443459</v>
      </c>
      <c r="H187" s="55">
        <f>AVERAGE(H180:H186)</f>
        <v>35.86499894</v>
      </c>
      <c r="I187" s="55">
        <f>H187/G187</f>
        <v>35.70665457</v>
      </c>
      <c r="J187" s="59">
        <f>SUM(J172:J178)</f>
        <v>46601</v>
      </c>
      <c r="K187" s="60">
        <f t="shared" si="13"/>
        <v>0.01944164288</v>
      </c>
      <c r="L187" s="55">
        <f t="shared" ref="L187:N187" si="126">SUM(L172:L178)</f>
        <v>1558.56</v>
      </c>
      <c r="M187" s="55">
        <f t="shared" si="126"/>
        <v>18823.56</v>
      </c>
      <c r="N187" s="56">
        <f t="shared" si="126"/>
        <v>531</v>
      </c>
      <c r="O187" s="59">
        <f>sum(O172:O178)</f>
        <v>1807540</v>
      </c>
      <c r="P187" s="60">
        <f t="shared" si="14"/>
        <v>0.08279836545</v>
      </c>
      <c r="Q187" s="61">
        <f t="shared" si="15"/>
        <v>12.07753311</v>
      </c>
      <c r="R187" s="62">
        <f t="shared" si="16"/>
        <v>0.5957237529</v>
      </c>
      <c r="S187" s="54">
        <f>iferror((D187-D131)/D187,)</f>
        <v>0.2890486046</v>
      </c>
      <c r="T187" s="110">
        <f>iferror((F187-E131)/F187,)</f>
        <v>0.3248337029</v>
      </c>
      <c r="U187" s="2"/>
      <c r="V187" s="2"/>
      <c r="W187" s="2"/>
      <c r="X187" s="2"/>
      <c r="Y187" s="2"/>
      <c r="Z187" s="2"/>
    </row>
    <row r="188" hidden="1" outlineLevel="1">
      <c r="A188" s="65" t="str">
        <f t="shared" ref="A188:A194" si="127">iferror(if(B188&gt;0,month(B188)&amp;"-"&amp;year(B188),B188),)</f>
        <v>6-2024</v>
      </c>
      <c r="B188" s="82">
        <v>45452.0</v>
      </c>
      <c r="C188" s="83"/>
      <c r="D188" s="36">
        <v>6362.9</v>
      </c>
      <c r="E188" s="37">
        <v>184.0</v>
      </c>
      <c r="F188" s="37">
        <v>184.0</v>
      </c>
      <c r="G188" s="38">
        <f t="shared" si="10"/>
        <v>1</v>
      </c>
      <c r="H188" s="36">
        <f t="shared" ref="H188:H194" si="128">D188/F188</f>
        <v>34.58097826</v>
      </c>
      <c r="I188" s="36">
        <f t="shared" ref="I188:I194" si="129">D188/E188</f>
        <v>34.58097826</v>
      </c>
      <c r="J188" s="39">
        <v>9254.0</v>
      </c>
      <c r="K188" s="40">
        <f t="shared" si="13"/>
        <v>0.01988329371</v>
      </c>
      <c r="L188" s="36">
        <v>347.8</v>
      </c>
      <c r="M188" s="36">
        <v>4790.1</v>
      </c>
      <c r="N188" s="37">
        <v>141.0</v>
      </c>
      <c r="O188" s="39">
        <v>340091.0</v>
      </c>
      <c r="P188" s="40">
        <f t="shared" si="14"/>
        <v>0.07260808751</v>
      </c>
      <c r="Q188" s="41">
        <f t="shared" si="15"/>
        <v>13.77257044</v>
      </c>
      <c r="R188" s="40">
        <f t="shared" si="16"/>
        <v>0.7528171117</v>
      </c>
      <c r="S188" s="42"/>
      <c r="T188" s="91"/>
      <c r="U188" s="2"/>
      <c r="V188" s="2"/>
      <c r="W188" s="2"/>
      <c r="X188" s="2"/>
      <c r="Y188" s="2"/>
      <c r="Z188" s="2"/>
    </row>
    <row r="189" hidden="1" outlineLevel="1">
      <c r="A189" s="70" t="str">
        <f t="shared" si="127"/>
        <v>6-2024</v>
      </c>
      <c r="B189" s="103">
        <v>45453.0</v>
      </c>
      <c r="C189" s="92"/>
      <c r="D189" s="46">
        <v>5862.1</v>
      </c>
      <c r="E189" s="47">
        <v>173.0</v>
      </c>
      <c r="F189" s="47">
        <v>173.0</v>
      </c>
      <c r="G189" s="48">
        <f t="shared" si="10"/>
        <v>1</v>
      </c>
      <c r="H189" s="46">
        <f t="shared" si="128"/>
        <v>33.8849711</v>
      </c>
      <c r="I189" s="46">
        <f t="shared" si="129"/>
        <v>33.8849711</v>
      </c>
      <c r="J189" s="49">
        <v>8421.0</v>
      </c>
      <c r="K189" s="50">
        <f t="shared" si="13"/>
        <v>0.0205438784</v>
      </c>
      <c r="L189" s="46">
        <v>328.0</v>
      </c>
      <c r="M189" s="46">
        <v>3785.6</v>
      </c>
      <c r="N189" s="47">
        <v>108.0</v>
      </c>
      <c r="O189" s="49">
        <v>314708.0</v>
      </c>
      <c r="P189" s="50">
        <f t="shared" si="14"/>
        <v>0.08664412511</v>
      </c>
      <c r="Q189" s="51">
        <f t="shared" si="15"/>
        <v>11.54146341</v>
      </c>
      <c r="R189" s="50">
        <f t="shared" si="16"/>
        <v>0.6457754047</v>
      </c>
      <c r="S189" s="16"/>
      <c r="T189" s="100"/>
      <c r="U189" s="2"/>
      <c r="V189" s="2"/>
      <c r="W189" s="2"/>
      <c r="X189" s="2"/>
      <c r="Y189" s="2"/>
      <c r="Z189" s="2"/>
    </row>
    <row r="190" hidden="1" outlineLevel="1">
      <c r="A190" s="70" t="str">
        <f t="shared" si="127"/>
        <v>6-2024</v>
      </c>
      <c r="B190" s="103">
        <v>45454.0</v>
      </c>
      <c r="C190" s="92"/>
      <c r="D190" s="46">
        <v>5967.3</v>
      </c>
      <c r="E190" s="47">
        <v>157.0</v>
      </c>
      <c r="F190" s="47">
        <v>157.0</v>
      </c>
      <c r="G190" s="48">
        <f t="shared" si="10"/>
        <v>1</v>
      </c>
      <c r="H190" s="46">
        <f t="shared" si="128"/>
        <v>38.00828025</v>
      </c>
      <c r="I190" s="46">
        <f t="shared" si="129"/>
        <v>38.00828025</v>
      </c>
      <c r="J190" s="49">
        <v>9131.0</v>
      </c>
      <c r="K190" s="50">
        <f t="shared" si="13"/>
        <v>0.01719417369</v>
      </c>
      <c r="L190" s="46">
        <v>370.93</v>
      </c>
      <c r="M190" s="46">
        <v>4388.8</v>
      </c>
      <c r="N190" s="47">
        <v>116.0</v>
      </c>
      <c r="O190" s="49">
        <v>319857.0</v>
      </c>
      <c r="P190" s="50">
        <f t="shared" si="14"/>
        <v>0.08451740795</v>
      </c>
      <c r="Q190" s="51">
        <f t="shared" si="15"/>
        <v>11.83188203</v>
      </c>
      <c r="R190" s="50">
        <f t="shared" si="16"/>
        <v>0.7354750054</v>
      </c>
      <c r="S190" s="16"/>
      <c r="T190" s="100"/>
      <c r="U190" s="2"/>
      <c r="V190" s="2"/>
      <c r="W190" s="2"/>
      <c r="X190" s="2"/>
      <c r="Y190" s="2"/>
      <c r="Z190" s="2"/>
    </row>
    <row r="191" hidden="1" outlineLevel="1">
      <c r="A191" s="70" t="str">
        <f t="shared" si="127"/>
        <v>6-2024</v>
      </c>
      <c r="B191" s="103">
        <v>45455.0</v>
      </c>
      <c r="C191" s="92"/>
      <c r="D191" s="46">
        <v>6735.4</v>
      </c>
      <c r="E191" s="47">
        <v>192.0</v>
      </c>
      <c r="F191" s="47">
        <v>189.0</v>
      </c>
      <c r="G191" s="48">
        <f t="shared" si="10"/>
        <v>1.015873016</v>
      </c>
      <c r="H191" s="46">
        <f t="shared" si="128"/>
        <v>35.63703704</v>
      </c>
      <c r="I191" s="46">
        <f t="shared" si="129"/>
        <v>35.08020833</v>
      </c>
      <c r="J191" s="49">
        <v>6396.0</v>
      </c>
      <c r="K191" s="50">
        <f t="shared" si="13"/>
        <v>0.03001876173</v>
      </c>
      <c r="L191" s="46">
        <v>346.47</v>
      </c>
      <c r="M191" s="46">
        <v>4626.47</v>
      </c>
      <c r="N191" s="47">
        <v>128.0</v>
      </c>
      <c r="O191" s="49">
        <v>305019.0</v>
      </c>
      <c r="P191" s="50">
        <f t="shared" si="14"/>
        <v>0.07488862999</v>
      </c>
      <c r="Q191" s="51">
        <f t="shared" si="15"/>
        <v>13.35316189</v>
      </c>
      <c r="R191" s="50">
        <f t="shared" si="16"/>
        <v>0.6868886777</v>
      </c>
      <c r="S191" s="16"/>
      <c r="T191" s="100"/>
      <c r="U191" s="2"/>
      <c r="V191" s="2"/>
      <c r="W191" s="2"/>
      <c r="X191" s="2"/>
      <c r="Y191" s="2"/>
      <c r="Z191" s="2"/>
    </row>
    <row r="192" hidden="1" outlineLevel="1">
      <c r="A192" s="70" t="str">
        <f t="shared" si="127"/>
        <v>6-2024</v>
      </c>
      <c r="B192" s="103">
        <v>45456.0</v>
      </c>
      <c r="C192" s="92"/>
      <c r="D192" s="46">
        <v>4404.74</v>
      </c>
      <c r="E192" s="47">
        <v>128.0</v>
      </c>
      <c r="F192" s="47">
        <v>128.0</v>
      </c>
      <c r="G192" s="48">
        <f t="shared" si="10"/>
        <v>1</v>
      </c>
      <c r="H192" s="46">
        <f t="shared" si="128"/>
        <v>34.41203125</v>
      </c>
      <c r="I192" s="46">
        <f t="shared" si="129"/>
        <v>34.41203125</v>
      </c>
      <c r="J192" s="49">
        <v>5290.0</v>
      </c>
      <c r="K192" s="50">
        <f t="shared" si="13"/>
        <v>0.02419659735</v>
      </c>
      <c r="L192" s="46">
        <v>329.31</v>
      </c>
      <c r="M192" s="46">
        <v>3164.31</v>
      </c>
      <c r="N192" s="47">
        <v>95.0</v>
      </c>
      <c r="O192" s="49">
        <v>289089.0</v>
      </c>
      <c r="P192" s="50">
        <f t="shared" si="14"/>
        <v>0.1040700816</v>
      </c>
      <c r="Q192" s="51">
        <f t="shared" si="15"/>
        <v>9.608909538</v>
      </c>
      <c r="R192" s="50">
        <f t="shared" si="16"/>
        <v>0.7183874644</v>
      </c>
      <c r="S192" s="16"/>
      <c r="T192" s="100"/>
      <c r="U192" s="2"/>
      <c r="V192" s="2"/>
      <c r="W192" s="2"/>
      <c r="X192" s="2"/>
      <c r="Y192" s="2"/>
      <c r="Z192" s="2"/>
    </row>
    <row r="193" hidden="1" outlineLevel="1">
      <c r="A193" s="70" t="str">
        <f t="shared" si="127"/>
        <v>6-2024</v>
      </c>
      <c r="B193" s="103">
        <v>45457.0</v>
      </c>
      <c r="C193" s="92"/>
      <c r="D193" s="46">
        <v>4809.31</v>
      </c>
      <c r="E193" s="47">
        <v>141.0</v>
      </c>
      <c r="F193" s="47">
        <v>141.0</v>
      </c>
      <c r="G193" s="48">
        <f t="shared" si="10"/>
        <v>1</v>
      </c>
      <c r="H193" s="46">
        <f t="shared" si="128"/>
        <v>34.10858156</v>
      </c>
      <c r="I193" s="46">
        <f t="shared" si="129"/>
        <v>34.10858156</v>
      </c>
      <c r="J193" s="49">
        <v>4619.0</v>
      </c>
      <c r="K193" s="50">
        <f t="shared" si="13"/>
        <v>0.0305260879</v>
      </c>
      <c r="L193" s="46">
        <v>274.8</v>
      </c>
      <c r="M193" s="46">
        <v>2532.84</v>
      </c>
      <c r="N193" s="47">
        <v>77.0</v>
      </c>
      <c r="O193" s="49">
        <v>249924.0</v>
      </c>
      <c r="P193" s="50">
        <f t="shared" si="14"/>
        <v>0.1084948121</v>
      </c>
      <c r="Q193" s="51">
        <f t="shared" si="15"/>
        <v>9.217030568</v>
      </c>
      <c r="R193" s="50">
        <f t="shared" si="16"/>
        <v>0.5266535116</v>
      </c>
      <c r="S193" s="16"/>
      <c r="T193" s="100"/>
      <c r="U193" s="2"/>
      <c r="V193" s="2"/>
      <c r="W193" s="2"/>
      <c r="X193" s="2"/>
      <c r="Y193" s="2"/>
      <c r="Z193" s="2"/>
    </row>
    <row r="194" hidden="1" outlineLevel="1">
      <c r="A194" s="70" t="str">
        <f t="shared" si="127"/>
        <v>6-2024</v>
      </c>
      <c r="B194" s="103">
        <v>45458.0</v>
      </c>
      <c r="C194" s="92"/>
      <c r="D194" s="46">
        <v>3566.3</v>
      </c>
      <c r="E194" s="47">
        <v>111.0</v>
      </c>
      <c r="F194" s="47">
        <v>110.0</v>
      </c>
      <c r="G194" s="48">
        <f t="shared" si="10"/>
        <v>1.009090909</v>
      </c>
      <c r="H194" s="46">
        <f t="shared" si="128"/>
        <v>32.42090909</v>
      </c>
      <c r="I194" s="46">
        <f t="shared" si="129"/>
        <v>32.12882883</v>
      </c>
      <c r="J194" s="49">
        <v>4516.0</v>
      </c>
      <c r="K194" s="50">
        <f t="shared" si="13"/>
        <v>0.02457927369</v>
      </c>
      <c r="L194" s="46">
        <v>270.73</v>
      </c>
      <c r="M194" s="46">
        <v>2138.1</v>
      </c>
      <c r="N194" s="47">
        <v>66.0</v>
      </c>
      <c r="O194" s="49">
        <v>220297.0</v>
      </c>
      <c r="P194" s="50">
        <f t="shared" si="14"/>
        <v>0.126621767</v>
      </c>
      <c r="Q194" s="51">
        <f t="shared" si="15"/>
        <v>7.897536291</v>
      </c>
      <c r="R194" s="50">
        <f t="shared" si="16"/>
        <v>0.5995289235</v>
      </c>
      <c r="S194" s="16"/>
      <c r="T194" s="100"/>
      <c r="U194" s="2"/>
      <c r="V194" s="2"/>
      <c r="W194" s="2"/>
      <c r="X194" s="2"/>
      <c r="Y194" s="2"/>
      <c r="Z194" s="2"/>
    </row>
    <row r="195" collapsed="1">
      <c r="A195" s="106" t="s">
        <v>120</v>
      </c>
      <c r="B195" s="107"/>
      <c r="C195" s="108"/>
      <c r="D195" s="55">
        <f t="shared" ref="D195:F195" si="130">SUM(D188:D194)</f>
        <v>37708.05</v>
      </c>
      <c r="E195" s="81">
        <f t="shared" si="130"/>
        <v>1086</v>
      </c>
      <c r="F195" s="81">
        <f t="shared" si="130"/>
        <v>1082</v>
      </c>
      <c r="G195" s="109">
        <f t="shared" si="10"/>
        <v>1.003696858</v>
      </c>
      <c r="H195" s="55">
        <f>AVERAGE(H188:H194)</f>
        <v>34.72182694</v>
      </c>
      <c r="I195" s="55">
        <f>H195/G195</f>
        <v>34.59393807</v>
      </c>
      <c r="J195" s="59">
        <f>SUM(J188:J194)</f>
        <v>47627</v>
      </c>
      <c r="K195" s="60">
        <f t="shared" si="13"/>
        <v>0.02280219203</v>
      </c>
      <c r="L195" s="55">
        <f t="shared" ref="L195:N195" si="131">SUM(L188:L194)</f>
        <v>2268.04</v>
      </c>
      <c r="M195" s="55">
        <f t="shared" si="131"/>
        <v>25426.22</v>
      </c>
      <c r="N195" s="56">
        <f t="shared" si="131"/>
        <v>731</v>
      </c>
      <c r="O195" s="59">
        <f>sum(O188:O194)</f>
        <v>2038985</v>
      </c>
      <c r="P195" s="60">
        <f t="shared" si="14"/>
        <v>0.08920083284</v>
      </c>
      <c r="Q195" s="61">
        <f t="shared" si="15"/>
        <v>11.21065766</v>
      </c>
      <c r="R195" s="62">
        <f t="shared" si="16"/>
        <v>0.6742915637</v>
      </c>
      <c r="S195" s="54">
        <f>iferror((D195-D131)/D195,)</f>
        <v>0.4042518773</v>
      </c>
      <c r="T195" s="110">
        <f>iferror((F195-E131)/F195,)</f>
        <v>0.4371534196</v>
      </c>
      <c r="U195" s="2"/>
      <c r="V195" s="2"/>
      <c r="W195" s="2"/>
      <c r="X195" s="2"/>
      <c r="Y195" s="2"/>
      <c r="Z195" s="2"/>
    </row>
    <row r="196" hidden="1" outlineLevel="1">
      <c r="A196" s="65" t="str">
        <f t="shared" ref="A196:A202" si="132">iferror(if(B196&gt;0,month(B196)&amp;"-"&amp;year(B196),B196),)</f>
        <v>6-2024</v>
      </c>
      <c r="B196" s="66">
        <v>45459.0</v>
      </c>
      <c r="C196" s="35"/>
      <c r="D196" s="67">
        <v>4473.6</v>
      </c>
      <c r="E196" s="68">
        <v>128.0</v>
      </c>
      <c r="F196" s="68">
        <v>128.0</v>
      </c>
      <c r="G196" s="38">
        <f t="shared" si="10"/>
        <v>1</v>
      </c>
      <c r="H196" s="36">
        <f t="shared" ref="H196:H202" si="133">D196/F196</f>
        <v>34.95</v>
      </c>
      <c r="I196" s="36">
        <f t="shared" ref="I196:I202" si="134">D196/E196</f>
        <v>34.95</v>
      </c>
      <c r="J196" s="69">
        <v>5612.0</v>
      </c>
      <c r="K196" s="40">
        <f t="shared" si="13"/>
        <v>0.022808268</v>
      </c>
      <c r="L196" s="67">
        <v>322.58</v>
      </c>
      <c r="M196" s="67">
        <v>3409.03</v>
      </c>
      <c r="N196" s="68">
        <v>97.0</v>
      </c>
      <c r="O196" s="69">
        <v>251144.0</v>
      </c>
      <c r="P196" s="40">
        <f t="shared" si="14"/>
        <v>0.0946251573</v>
      </c>
      <c r="Q196" s="41">
        <f t="shared" si="15"/>
        <v>10.56801414</v>
      </c>
      <c r="R196" s="40">
        <f t="shared" si="16"/>
        <v>0.7620328147</v>
      </c>
      <c r="S196" s="42"/>
      <c r="T196" s="43"/>
      <c r="U196" s="2"/>
      <c r="V196" s="2"/>
      <c r="W196" s="2"/>
      <c r="X196" s="2"/>
      <c r="Y196" s="2"/>
      <c r="Z196" s="2"/>
    </row>
    <row r="197" hidden="1" outlineLevel="1">
      <c r="A197" s="70" t="str">
        <f t="shared" si="132"/>
        <v>6-2024</v>
      </c>
      <c r="B197" s="66">
        <v>45460.0</v>
      </c>
      <c r="C197" s="45"/>
      <c r="D197" s="71">
        <v>4937.18</v>
      </c>
      <c r="E197" s="72">
        <v>137.0</v>
      </c>
      <c r="F197" s="72">
        <v>137.0</v>
      </c>
      <c r="G197" s="48">
        <f t="shared" si="10"/>
        <v>1</v>
      </c>
      <c r="H197" s="46">
        <f t="shared" si="133"/>
        <v>36.03781022</v>
      </c>
      <c r="I197" s="46">
        <f t="shared" si="134"/>
        <v>36.03781022</v>
      </c>
      <c r="J197" s="73">
        <v>4797.0</v>
      </c>
      <c r="K197" s="50">
        <f t="shared" si="13"/>
        <v>0.02855951636</v>
      </c>
      <c r="L197" s="71">
        <v>276.55</v>
      </c>
      <c r="M197" s="71">
        <v>2703.91</v>
      </c>
      <c r="N197" s="72">
        <v>77.0</v>
      </c>
      <c r="O197" s="73">
        <v>222019.0</v>
      </c>
      <c r="P197" s="50">
        <f t="shared" si="14"/>
        <v>0.1022778125</v>
      </c>
      <c r="Q197" s="51">
        <f t="shared" si="15"/>
        <v>9.777291629</v>
      </c>
      <c r="R197" s="50">
        <f t="shared" si="16"/>
        <v>0.5476628359</v>
      </c>
      <c r="S197" s="16"/>
      <c r="T197" s="25"/>
      <c r="U197" s="2"/>
      <c r="V197" s="2"/>
      <c r="W197" s="2"/>
      <c r="X197" s="2"/>
      <c r="Y197" s="2"/>
      <c r="Z197" s="2"/>
    </row>
    <row r="198" hidden="1" outlineLevel="1">
      <c r="A198" s="70" t="str">
        <f t="shared" si="132"/>
        <v>6-2024</v>
      </c>
      <c r="B198" s="66">
        <v>45461.0</v>
      </c>
      <c r="C198" s="45"/>
      <c r="D198" s="71">
        <v>4200.61</v>
      </c>
      <c r="E198" s="72">
        <v>128.0</v>
      </c>
      <c r="F198" s="72">
        <v>128.0</v>
      </c>
      <c r="G198" s="48">
        <f t="shared" si="10"/>
        <v>1</v>
      </c>
      <c r="H198" s="46">
        <f t="shared" si="133"/>
        <v>32.81726563</v>
      </c>
      <c r="I198" s="46">
        <f t="shared" si="134"/>
        <v>32.81726563</v>
      </c>
      <c r="J198" s="73">
        <v>4671.0</v>
      </c>
      <c r="K198" s="50">
        <f t="shared" si="13"/>
        <v>0.02740312567</v>
      </c>
      <c r="L198" s="71">
        <v>300.51</v>
      </c>
      <c r="M198" s="71">
        <v>2564.74</v>
      </c>
      <c r="N198" s="72">
        <v>78.0</v>
      </c>
      <c r="O198" s="73">
        <v>223967.0</v>
      </c>
      <c r="P198" s="50">
        <f t="shared" si="14"/>
        <v>0.1171697716</v>
      </c>
      <c r="Q198" s="51">
        <f t="shared" si="15"/>
        <v>8.534624472</v>
      </c>
      <c r="R198" s="50">
        <f t="shared" si="16"/>
        <v>0.6105637038</v>
      </c>
      <c r="S198" s="16"/>
      <c r="T198" s="25"/>
      <c r="U198" s="2"/>
      <c r="V198" s="2"/>
      <c r="W198" s="2"/>
      <c r="X198" s="2"/>
      <c r="Y198" s="2"/>
      <c r="Z198" s="2"/>
    </row>
    <row r="199" hidden="1" outlineLevel="1">
      <c r="A199" s="70" t="str">
        <f t="shared" si="132"/>
        <v>6-2024</v>
      </c>
      <c r="B199" s="66">
        <v>45462.0</v>
      </c>
      <c r="C199" s="45"/>
      <c r="D199" s="71">
        <v>3122.31</v>
      </c>
      <c r="E199" s="72">
        <v>95.0</v>
      </c>
      <c r="F199" s="72">
        <v>95.0</v>
      </c>
      <c r="G199" s="48">
        <f t="shared" si="10"/>
        <v>1</v>
      </c>
      <c r="H199" s="46">
        <f t="shared" si="133"/>
        <v>32.86642105</v>
      </c>
      <c r="I199" s="46">
        <f t="shared" si="134"/>
        <v>32.86642105</v>
      </c>
      <c r="J199" s="73">
        <v>4264.0</v>
      </c>
      <c r="K199" s="50">
        <f t="shared" si="13"/>
        <v>0.02227954972</v>
      </c>
      <c r="L199" s="71">
        <v>262.49</v>
      </c>
      <c r="M199" s="71">
        <v>1922.94</v>
      </c>
      <c r="N199" s="72">
        <v>60.0</v>
      </c>
      <c r="O199" s="73">
        <v>206298.0</v>
      </c>
      <c r="P199" s="50">
        <f t="shared" si="14"/>
        <v>0.1365045191</v>
      </c>
      <c r="Q199" s="51">
        <f t="shared" si="15"/>
        <v>7.325764791</v>
      </c>
      <c r="R199" s="50">
        <f t="shared" si="16"/>
        <v>0.6158709417</v>
      </c>
      <c r="S199" s="16"/>
      <c r="T199" s="25"/>
      <c r="U199" s="2"/>
      <c r="V199" s="2"/>
      <c r="W199" s="2"/>
      <c r="X199" s="2"/>
      <c r="Y199" s="2"/>
      <c r="Z199" s="2"/>
    </row>
    <row r="200" hidden="1" outlineLevel="1">
      <c r="A200" s="70" t="str">
        <f t="shared" si="132"/>
        <v>6-2024</v>
      </c>
      <c r="B200" s="66">
        <v>45463.0</v>
      </c>
      <c r="C200" s="45"/>
      <c r="D200" s="71">
        <v>3036.87</v>
      </c>
      <c r="E200" s="72">
        <v>91.0</v>
      </c>
      <c r="F200" s="72">
        <v>90.0</v>
      </c>
      <c r="G200" s="48">
        <f t="shared" si="10"/>
        <v>1.011111111</v>
      </c>
      <c r="H200" s="46">
        <f t="shared" si="133"/>
        <v>33.743</v>
      </c>
      <c r="I200" s="46">
        <f t="shared" si="134"/>
        <v>33.3721978</v>
      </c>
      <c r="J200" s="73">
        <v>4003.0</v>
      </c>
      <c r="K200" s="50">
        <f t="shared" si="13"/>
        <v>0.02273295029</v>
      </c>
      <c r="L200" s="71">
        <v>224.51</v>
      </c>
      <c r="M200" s="71">
        <v>1693.1</v>
      </c>
      <c r="N200" s="72">
        <v>57.0</v>
      </c>
      <c r="O200" s="73">
        <v>183288.0</v>
      </c>
      <c r="P200" s="50">
        <f t="shared" si="14"/>
        <v>0.1326029177</v>
      </c>
      <c r="Q200" s="51">
        <f t="shared" si="15"/>
        <v>7.541312191</v>
      </c>
      <c r="R200" s="50">
        <f t="shared" si="16"/>
        <v>0.5575148097</v>
      </c>
      <c r="S200" s="16"/>
      <c r="T200" s="25"/>
      <c r="U200" s="2"/>
      <c r="V200" s="2"/>
      <c r="W200" s="2"/>
      <c r="X200" s="2"/>
      <c r="Y200" s="2"/>
      <c r="Z200" s="2"/>
    </row>
    <row r="201" hidden="1" outlineLevel="1">
      <c r="A201" s="70" t="str">
        <f t="shared" si="132"/>
        <v>6-2024</v>
      </c>
      <c r="B201" s="66">
        <v>45464.0</v>
      </c>
      <c r="C201" s="45"/>
      <c r="D201" s="71">
        <v>3310.91</v>
      </c>
      <c r="E201" s="72">
        <v>102.0</v>
      </c>
      <c r="F201" s="72">
        <v>101.0</v>
      </c>
      <c r="G201" s="48">
        <f t="shared" si="10"/>
        <v>1.00990099</v>
      </c>
      <c r="H201" s="46">
        <f t="shared" si="133"/>
        <v>32.78128713</v>
      </c>
      <c r="I201" s="46">
        <f t="shared" si="134"/>
        <v>32.45990196</v>
      </c>
      <c r="J201" s="73">
        <v>3572.0</v>
      </c>
      <c r="K201" s="50">
        <f t="shared" si="13"/>
        <v>0.02855543113</v>
      </c>
      <c r="L201" s="71">
        <v>200.24</v>
      </c>
      <c r="M201" s="71">
        <v>2072.38</v>
      </c>
      <c r="N201" s="72">
        <v>61.0</v>
      </c>
      <c r="O201" s="73">
        <v>156620.0</v>
      </c>
      <c r="P201" s="50">
        <f t="shared" si="14"/>
        <v>0.09662320617</v>
      </c>
      <c r="Q201" s="51">
        <f t="shared" si="15"/>
        <v>10.34948062</v>
      </c>
      <c r="R201" s="50">
        <f t="shared" si="16"/>
        <v>0.6259245947</v>
      </c>
      <c r="S201" s="16"/>
      <c r="T201" s="25"/>
      <c r="U201" s="2"/>
      <c r="V201" s="2"/>
      <c r="W201" s="2"/>
      <c r="X201" s="2"/>
      <c r="Y201" s="2"/>
      <c r="Z201" s="2"/>
    </row>
    <row r="202" hidden="1" outlineLevel="1">
      <c r="A202" s="70" t="str">
        <f t="shared" si="132"/>
        <v>6-2024</v>
      </c>
      <c r="B202" s="66">
        <v>45465.0</v>
      </c>
      <c r="C202" s="45"/>
      <c r="D202" s="71">
        <v>4101.45</v>
      </c>
      <c r="E202" s="72">
        <v>123.0</v>
      </c>
      <c r="F202" s="72">
        <v>123.0</v>
      </c>
      <c r="G202" s="48">
        <f t="shared" si="10"/>
        <v>1</v>
      </c>
      <c r="H202" s="46">
        <f t="shared" si="133"/>
        <v>33.34512195</v>
      </c>
      <c r="I202" s="46">
        <f t="shared" si="134"/>
        <v>33.34512195</v>
      </c>
      <c r="J202" s="73">
        <v>4192.0</v>
      </c>
      <c r="K202" s="50">
        <f t="shared" si="13"/>
        <v>0.02934160305</v>
      </c>
      <c r="L202" s="71">
        <v>199.15</v>
      </c>
      <c r="M202" s="71">
        <v>2621.68</v>
      </c>
      <c r="N202" s="72">
        <v>80.0</v>
      </c>
      <c r="O202" s="73">
        <v>175598.0</v>
      </c>
      <c r="P202" s="50">
        <f t="shared" si="14"/>
        <v>0.07596274145</v>
      </c>
      <c r="Q202" s="51">
        <f t="shared" si="15"/>
        <v>13.16434848</v>
      </c>
      <c r="R202" s="50">
        <f t="shared" si="16"/>
        <v>0.6392080849</v>
      </c>
      <c r="S202" s="16"/>
      <c r="T202" s="25"/>
      <c r="U202" s="2"/>
      <c r="V202" s="2"/>
      <c r="W202" s="2"/>
      <c r="X202" s="2"/>
      <c r="Y202" s="2"/>
      <c r="Z202" s="2"/>
    </row>
    <row r="203" collapsed="1">
      <c r="A203" s="52" t="s">
        <v>121</v>
      </c>
      <c r="B203" s="53"/>
      <c r="C203" s="54"/>
      <c r="D203" s="55">
        <f t="shared" ref="D203:F203" si="135">SUM(D196:D202)</f>
        <v>27182.93</v>
      </c>
      <c r="E203" s="81">
        <f t="shared" si="135"/>
        <v>804</v>
      </c>
      <c r="F203" s="81">
        <f t="shared" si="135"/>
        <v>802</v>
      </c>
      <c r="G203" s="75">
        <f t="shared" si="10"/>
        <v>1.002493766</v>
      </c>
      <c r="H203" s="55">
        <f>AVERAGE(H196:H202)</f>
        <v>33.791558</v>
      </c>
      <c r="I203" s="76">
        <f>H203/G203</f>
        <v>33.70749939</v>
      </c>
      <c r="J203" s="59">
        <f>SUM(J196:J202)</f>
        <v>31111</v>
      </c>
      <c r="K203" s="60">
        <f t="shared" si="13"/>
        <v>0.02584294944</v>
      </c>
      <c r="L203" s="55">
        <f t="shared" ref="L203:N203" si="136">SUM(L196:L202)</f>
        <v>1786.03</v>
      </c>
      <c r="M203" s="55">
        <f t="shared" si="136"/>
        <v>16987.78</v>
      </c>
      <c r="N203" s="74">
        <f t="shared" si="136"/>
        <v>510</v>
      </c>
      <c r="O203" s="77">
        <f>sum(O196:O202)</f>
        <v>1418934</v>
      </c>
      <c r="P203" s="60">
        <f t="shared" si="14"/>
        <v>0.1051361626</v>
      </c>
      <c r="Q203" s="78">
        <f t="shared" si="15"/>
        <v>9.511475171</v>
      </c>
      <c r="R203" s="62">
        <f t="shared" si="16"/>
        <v>0.6249429329</v>
      </c>
      <c r="S203" s="54">
        <f>iferror((D203-D123)/D203,)</f>
        <v>0.2981477714</v>
      </c>
      <c r="T203" s="63">
        <f>iferror((F203-E123)/F203,)</f>
        <v>0.3316708229</v>
      </c>
      <c r="U203" s="6"/>
      <c r="V203" s="6"/>
      <c r="W203" s="7"/>
      <c r="X203" s="7"/>
      <c r="Y203" s="7"/>
      <c r="Z203" s="7"/>
    </row>
    <row r="204" hidden="1" outlineLevel="1">
      <c r="A204" s="65" t="str">
        <f t="shared" ref="A204:A210" si="137">iferror(if(B204&gt;0,month(B204)&amp;"-"&amp;year(B204),B204),)</f>
        <v>6-2024</v>
      </c>
      <c r="B204" s="82">
        <v>45466.0</v>
      </c>
      <c r="C204" s="83"/>
      <c r="D204" s="84">
        <v>4408.83</v>
      </c>
      <c r="E204" s="85">
        <v>131.0</v>
      </c>
      <c r="F204" s="85">
        <v>128.0</v>
      </c>
      <c r="G204" s="86">
        <f t="shared" si="10"/>
        <v>1.0234375</v>
      </c>
      <c r="H204" s="84">
        <f t="shared" ref="H204:H210" si="138">D204/F204</f>
        <v>34.44398438</v>
      </c>
      <c r="I204" s="84">
        <f t="shared" ref="I204:I210" si="139">D204/E204</f>
        <v>33.65519084</v>
      </c>
      <c r="J204" s="87">
        <v>5168.0</v>
      </c>
      <c r="K204" s="88">
        <f t="shared" si="13"/>
        <v>0.02534829721</v>
      </c>
      <c r="L204" s="84">
        <v>281.93</v>
      </c>
      <c r="M204" s="84">
        <v>2809.47</v>
      </c>
      <c r="N204" s="85">
        <v>80.0</v>
      </c>
      <c r="O204" s="87">
        <v>248775.0</v>
      </c>
      <c r="P204" s="88">
        <f t="shared" si="14"/>
        <v>0.1003498881</v>
      </c>
      <c r="Q204" s="89">
        <f t="shared" si="15"/>
        <v>9.965133189</v>
      </c>
      <c r="R204" s="88">
        <f t="shared" si="16"/>
        <v>0.6372370901</v>
      </c>
      <c r="S204" s="90"/>
      <c r="T204" s="91"/>
      <c r="U204" s="2"/>
      <c r="V204" s="2"/>
      <c r="W204" s="2"/>
      <c r="X204" s="2"/>
      <c r="Y204" s="2"/>
      <c r="Z204" s="2"/>
    </row>
    <row r="205" hidden="1" outlineLevel="1">
      <c r="A205" s="70" t="str">
        <f t="shared" si="137"/>
        <v>6-2024</v>
      </c>
      <c r="B205" s="103">
        <v>45467.0</v>
      </c>
      <c r="C205" s="92"/>
      <c r="D205" s="93">
        <v>5034.48</v>
      </c>
      <c r="E205" s="94">
        <v>150.0</v>
      </c>
      <c r="F205" s="94">
        <v>150.0</v>
      </c>
      <c r="G205" s="95">
        <f t="shared" si="10"/>
        <v>1</v>
      </c>
      <c r="H205" s="93">
        <f t="shared" si="138"/>
        <v>33.5632</v>
      </c>
      <c r="I205" s="93">
        <f t="shared" si="139"/>
        <v>33.5632</v>
      </c>
      <c r="J205" s="96">
        <v>5036.0</v>
      </c>
      <c r="K205" s="97">
        <f t="shared" si="13"/>
        <v>0.02978554408</v>
      </c>
      <c r="L205" s="93">
        <v>251.26</v>
      </c>
      <c r="M205" s="93">
        <v>3729.4</v>
      </c>
      <c r="N205" s="94">
        <v>113.0</v>
      </c>
      <c r="O205" s="96">
        <v>227898.0</v>
      </c>
      <c r="P205" s="97">
        <f t="shared" si="14"/>
        <v>0.06737276774</v>
      </c>
      <c r="Q205" s="98">
        <f t="shared" si="15"/>
        <v>14.84279233</v>
      </c>
      <c r="R205" s="97">
        <f t="shared" si="16"/>
        <v>0.7407716388</v>
      </c>
      <c r="S205" s="99"/>
      <c r="T205" s="100"/>
      <c r="U205" s="2"/>
      <c r="V205" s="2"/>
      <c r="W205" s="2"/>
      <c r="X205" s="2"/>
      <c r="Y205" s="2"/>
      <c r="Z205" s="2"/>
    </row>
    <row r="206" hidden="1" outlineLevel="1">
      <c r="A206" s="70" t="str">
        <f t="shared" si="137"/>
        <v>6-2024</v>
      </c>
      <c r="B206" s="103">
        <v>45468.0</v>
      </c>
      <c r="C206" s="92"/>
      <c r="D206" s="93">
        <v>3747.22</v>
      </c>
      <c r="E206" s="94">
        <v>117.0</v>
      </c>
      <c r="F206" s="94">
        <v>117.0</v>
      </c>
      <c r="G206" s="95">
        <f t="shared" si="10"/>
        <v>1</v>
      </c>
      <c r="H206" s="93">
        <f t="shared" si="138"/>
        <v>32.02752137</v>
      </c>
      <c r="I206" s="93">
        <f t="shared" si="139"/>
        <v>32.02752137</v>
      </c>
      <c r="J206" s="96">
        <v>4821.0</v>
      </c>
      <c r="K206" s="97">
        <f t="shared" si="13"/>
        <v>0.0242688239</v>
      </c>
      <c r="L206" s="93">
        <v>235.54</v>
      </c>
      <c r="M206" s="93">
        <v>2047.91</v>
      </c>
      <c r="N206" s="94">
        <v>68.0</v>
      </c>
      <c r="O206" s="96">
        <v>225408.0</v>
      </c>
      <c r="P206" s="97">
        <f t="shared" si="14"/>
        <v>0.11501482</v>
      </c>
      <c r="Q206" s="98">
        <f t="shared" si="15"/>
        <v>8.694531714</v>
      </c>
      <c r="R206" s="97">
        <f t="shared" si="16"/>
        <v>0.5465144827</v>
      </c>
      <c r="S206" s="99"/>
      <c r="T206" s="100"/>
      <c r="U206" s="2"/>
      <c r="V206" s="2"/>
      <c r="W206" s="2"/>
      <c r="X206" s="2"/>
      <c r="Y206" s="2"/>
      <c r="Z206" s="2"/>
    </row>
    <row r="207" hidden="1" outlineLevel="1">
      <c r="A207" s="70" t="str">
        <f t="shared" si="137"/>
        <v>6-2024</v>
      </c>
      <c r="B207" s="103">
        <v>45469.0</v>
      </c>
      <c r="C207" s="92"/>
      <c r="D207" s="93">
        <v>3710.97</v>
      </c>
      <c r="E207" s="94">
        <v>115.0</v>
      </c>
      <c r="F207" s="94">
        <v>114.0</v>
      </c>
      <c r="G207" s="95">
        <f t="shared" si="10"/>
        <v>1.00877193</v>
      </c>
      <c r="H207" s="93">
        <f t="shared" si="138"/>
        <v>32.55236842</v>
      </c>
      <c r="I207" s="93">
        <f t="shared" si="139"/>
        <v>32.26930435</v>
      </c>
      <c r="J207" s="96">
        <v>4357.0</v>
      </c>
      <c r="K207" s="97">
        <f t="shared" si="13"/>
        <v>0.02639430801</v>
      </c>
      <c r="L207" s="93">
        <v>226.38</v>
      </c>
      <c r="M207" s="93">
        <v>2510.92</v>
      </c>
      <c r="N207" s="94">
        <v>76.0</v>
      </c>
      <c r="O207" s="96">
        <v>201521.0</v>
      </c>
      <c r="P207" s="97">
        <f t="shared" si="14"/>
        <v>0.09015818903</v>
      </c>
      <c r="Q207" s="98">
        <f t="shared" si="15"/>
        <v>11.09161587</v>
      </c>
      <c r="R207" s="97">
        <f t="shared" si="16"/>
        <v>0.6766209374</v>
      </c>
      <c r="S207" s="99"/>
      <c r="T207" s="100"/>
      <c r="U207" s="2"/>
      <c r="V207" s="2"/>
      <c r="W207" s="2"/>
      <c r="X207" s="2"/>
      <c r="Y207" s="2"/>
      <c r="Z207" s="2"/>
    </row>
    <row r="208" hidden="1" outlineLevel="1">
      <c r="A208" s="70" t="str">
        <f t="shared" si="137"/>
        <v>6-2024</v>
      </c>
      <c r="B208" s="103">
        <v>45470.0</v>
      </c>
      <c r="C208" s="92"/>
      <c r="D208" s="93">
        <v>3614.81</v>
      </c>
      <c r="E208" s="94">
        <v>107.0</v>
      </c>
      <c r="F208" s="94">
        <v>107.0</v>
      </c>
      <c r="G208" s="95">
        <f t="shared" si="10"/>
        <v>1</v>
      </c>
      <c r="H208" s="93">
        <f t="shared" si="138"/>
        <v>33.78327103</v>
      </c>
      <c r="I208" s="93">
        <f t="shared" si="139"/>
        <v>33.78327103</v>
      </c>
      <c r="J208" s="96">
        <v>4172.0</v>
      </c>
      <c r="K208" s="97">
        <f t="shared" si="13"/>
        <v>0.02564717162</v>
      </c>
      <c r="L208" s="93">
        <v>218.79</v>
      </c>
      <c r="M208" s="93">
        <v>1754.57</v>
      </c>
      <c r="N208" s="94">
        <v>58.0</v>
      </c>
      <c r="O208" s="96">
        <v>176714.0</v>
      </c>
      <c r="P208" s="97">
        <f t="shared" si="14"/>
        <v>0.1246972193</v>
      </c>
      <c r="Q208" s="98">
        <f t="shared" si="15"/>
        <v>8.019425019</v>
      </c>
      <c r="R208" s="97">
        <f t="shared" si="16"/>
        <v>0.4853837408</v>
      </c>
      <c r="S208" s="99"/>
      <c r="T208" s="100"/>
      <c r="U208" s="2"/>
      <c r="V208" s="2"/>
      <c r="W208" s="2"/>
      <c r="X208" s="2"/>
      <c r="Y208" s="2"/>
      <c r="Z208" s="2"/>
    </row>
    <row r="209" hidden="1" outlineLevel="1">
      <c r="A209" s="70" t="str">
        <f t="shared" si="137"/>
        <v>6-2024</v>
      </c>
      <c r="B209" s="103">
        <v>45471.0</v>
      </c>
      <c r="C209" s="92"/>
      <c r="D209" s="93">
        <v>3960.69</v>
      </c>
      <c r="E209" s="94">
        <v>122.0</v>
      </c>
      <c r="F209" s="94">
        <v>120.0</v>
      </c>
      <c r="G209" s="95">
        <f t="shared" si="10"/>
        <v>1.016666667</v>
      </c>
      <c r="H209" s="93">
        <f t="shared" si="138"/>
        <v>33.00575</v>
      </c>
      <c r="I209" s="93">
        <f t="shared" si="139"/>
        <v>32.46467213</v>
      </c>
      <c r="J209" s="96">
        <v>4260.0</v>
      </c>
      <c r="K209" s="97">
        <f t="shared" si="13"/>
        <v>0.02863849765</v>
      </c>
      <c r="L209" s="93">
        <v>210.18</v>
      </c>
      <c r="M209" s="93">
        <v>2674.15</v>
      </c>
      <c r="N209" s="94">
        <v>81.0</v>
      </c>
      <c r="O209" s="96">
        <v>183270.0</v>
      </c>
      <c r="P209" s="97">
        <f t="shared" si="14"/>
        <v>0.07859693734</v>
      </c>
      <c r="Q209" s="98">
        <f t="shared" si="15"/>
        <v>12.72314207</v>
      </c>
      <c r="R209" s="97">
        <f t="shared" si="16"/>
        <v>0.6751727603</v>
      </c>
      <c r="S209" s="99"/>
      <c r="T209" s="100"/>
      <c r="U209" s="2"/>
      <c r="V209" s="2"/>
      <c r="W209" s="2"/>
      <c r="X209" s="2"/>
      <c r="Y209" s="2"/>
      <c r="Z209" s="2"/>
    </row>
    <row r="210" hidden="1" outlineLevel="1">
      <c r="A210" s="70" t="str">
        <f t="shared" si="137"/>
        <v>6-2024</v>
      </c>
      <c r="B210" s="103">
        <v>45472.0</v>
      </c>
      <c r="C210" s="92"/>
      <c r="D210" s="93">
        <v>4166.87</v>
      </c>
      <c r="E210" s="94">
        <v>120.0</v>
      </c>
      <c r="F210" s="94">
        <v>120.0</v>
      </c>
      <c r="G210" s="95">
        <f t="shared" si="10"/>
        <v>1</v>
      </c>
      <c r="H210" s="93">
        <f t="shared" si="138"/>
        <v>34.72391667</v>
      </c>
      <c r="I210" s="93">
        <f t="shared" si="139"/>
        <v>34.72391667</v>
      </c>
      <c r="J210" s="96">
        <v>4221.0</v>
      </c>
      <c r="K210" s="97">
        <f t="shared" si="13"/>
        <v>0.02842928216</v>
      </c>
      <c r="L210" s="93">
        <v>207.19</v>
      </c>
      <c r="M210" s="93">
        <v>2709.8</v>
      </c>
      <c r="N210" s="94">
        <v>79.0</v>
      </c>
      <c r="O210" s="96">
        <v>205429.0</v>
      </c>
      <c r="P210" s="97">
        <f t="shared" si="14"/>
        <v>0.07645951731</v>
      </c>
      <c r="Q210" s="98">
        <f t="shared" si="15"/>
        <v>13.07881655</v>
      </c>
      <c r="R210" s="97">
        <f t="shared" si="16"/>
        <v>0.6503202644</v>
      </c>
      <c r="S210" s="99"/>
      <c r="T210" s="100"/>
      <c r="U210" s="2"/>
      <c r="V210" s="2"/>
      <c r="W210" s="2"/>
      <c r="X210" s="2"/>
      <c r="Y210" s="2"/>
      <c r="Z210" s="2"/>
    </row>
    <row r="211" collapsed="1">
      <c r="A211" s="52" t="s">
        <v>122</v>
      </c>
      <c r="B211" s="53"/>
      <c r="C211" s="54"/>
      <c r="D211" s="55">
        <f t="shared" ref="D211:F211" si="140">SUM(D204:D210)</f>
        <v>28643.87</v>
      </c>
      <c r="E211" s="81">
        <f t="shared" si="140"/>
        <v>862</v>
      </c>
      <c r="F211" s="81">
        <f t="shared" si="140"/>
        <v>856</v>
      </c>
      <c r="G211" s="109">
        <f t="shared" si="10"/>
        <v>1.007009346</v>
      </c>
      <c r="H211" s="55">
        <f>AVERAGE(H204:H210)</f>
        <v>33.44285884</v>
      </c>
      <c r="I211" s="55">
        <f>H211/G211</f>
        <v>33.21007792</v>
      </c>
      <c r="J211" s="59">
        <f>SUM(J204:J210)</f>
        <v>32035</v>
      </c>
      <c r="K211" s="60">
        <f t="shared" si="13"/>
        <v>0.0269080693</v>
      </c>
      <c r="L211" s="55">
        <f t="shared" ref="L211:N211" si="141">SUM(L204:L210)</f>
        <v>1631.27</v>
      </c>
      <c r="M211" s="55">
        <f t="shared" si="141"/>
        <v>18236.22</v>
      </c>
      <c r="N211" s="56">
        <f t="shared" si="141"/>
        <v>555</v>
      </c>
      <c r="O211" s="59">
        <f>sum(O204:O210)</f>
        <v>1469015</v>
      </c>
      <c r="P211" s="60">
        <f t="shared" si="14"/>
        <v>0.08945220007</v>
      </c>
      <c r="Q211" s="61">
        <f t="shared" si="15"/>
        <v>11.17915489</v>
      </c>
      <c r="R211" s="62">
        <f t="shared" si="16"/>
        <v>0.6366534969</v>
      </c>
      <c r="S211" s="54">
        <f>iferror((D211-D131)/D211,)</f>
        <v>0.2157309749</v>
      </c>
      <c r="T211" s="63">
        <f>iferror((F211-E131)/F211,)</f>
        <v>0.2885514019</v>
      </c>
      <c r="U211" s="6"/>
      <c r="V211" s="6"/>
      <c r="W211" s="6"/>
      <c r="X211" s="6"/>
      <c r="Y211" s="6"/>
      <c r="Z211" s="6"/>
    </row>
    <row r="212" hidden="1" outlineLevel="1">
      <c r="A212" s="33" t="str">
        <f t="shared" ref="A212:A218" si="142">iferror(if(B212&gt;0,month(B212)&amp;"-"&amp;year(B212),B212),)</f>
        <v>6-2024</v>
      </c>
      <c r="B212" s="34">
        <v>45473.0</v>
      </c>
      <c r="C212" s="35"/>
      <c r="D212" s="36">
        <v>5028.85</v>
      </c>
      <c r="E212" s="37">
        <v>147.0</v>
      </c>
      <c r="F212" s="37">
        <v>147.0</v>
      </c>
      <c r="G212" s="38">
        <f t="shared" si="10"/>
        <v>1</v>
      </c>
      <c r="H212" s="36">
        <f t="shared" ref="H212:H218" si="143">D212/F212</f>
        <v>34.20986395</v>
      </c>
      <c r="I212" s="36">
        <f t="shared" ref="I212:I218" si="144">D212/E212</f>
        <v>34.20986395</v>
      </c>
      <c r="J212" s="39">
        <v>5765.0</v>
      </c>
      <c r="K212" s="40">
        <f t="shared" si="13"/>
        <v>0.02549869905</v>
      </c>
      <c r="L212" s="36">
        <v>315.3</v>
      </c>
      <c r="M212" s="36">
        <v>3433.12</v>
      </c>
      <c r="N212" s="37">
        <v>99.0</v>
      </c>
      <c r="O212" s="39">
        <v>283407.0</v>
      </c>
      <c r="P212" s="40">
        <f t="shared" si="14"/>
        <v>0.09184065806</v>
      </c>
      <c r="Q212" s="41">
        <f t="shared" si="15"/>
        <v>10.88842372</v>
      </c>
      <c r="R212" s="40">
        <f t="shared" si="16"/>
        <v>0.6826849081</v>
      </c>
      <c r="S212" s="42"/>
      <c r="T212" s="43"/>
      <c r="U212" s="6"/>
      <c r="V212" s="6"/>
      <c r="W212" s="6"/>
      <c r="X212" s="6"/>
      <c r="Y212" s="6"/>
      <c r="Z212" s="6"/>
    </row>
    <row r="213" hidden="1" outlineLevel="1">
      <c r="A213" s="44" t="str">
        <f t="shared" si="142"/>
        <v>7-2024</v>
      </c>
      <c r="B213" s="34">
        <v>45474.0</v>
      </c>
      <c r="C213" s="45"/>
      <c r="D213" s="46">
        <v>4703.7</v>
      </c>
      <c r="E213" s="47">
        <v>143.0</v>
      </c>
      <c r="F213" s="47">
        <v>142.0</v>
      </c>
      <c r="G213" s="48">
        <f t="shared" si="10"/>
        <v>1.007042254</v>
      </c>
      <c r="H213" s="46">
        <f t="shared" si="143"/>
        <v>33.12464789</v>
      </c>
      <c r="I213" s="46">
        <f t="shared" si="144"/>
        <v>32.89300699</v>
      </c>
      <c r="J213" s="49">
        <v>4589.0</v>
      </c>
      <c r="K213" s="50">
        <f t="shared" si="13"/>
        <v>0.03116147309</v>
      </c>
      <c r="L213" s="46">
        <v>233.76</v>
      </c>
      <c r="M213" s="46">
        <v>2119.7</v>
      </c>
      <c r="N213" s="47">
        <v>62.0</v>
      </c>
      <c r="O213" s="49">
        <v>200734.0</v>
      </c>
      <c r="P213" s="50">
        <f t="shared" si="14"/>
        <v>0.1102797566</v>
      </c>
      <c r="Q213" s="51">
        <f t="shared" si="15"/>
        <v>9.067847365</v>
      </c>
      <c r="R213" s="50">
        <f t="shared" si="16"/>
        <v>0.4506452367</v>
      </c>
      <c r="S213" s="16"/>
      <c r="T213" s="25"/>
      <c r="U213" s="6"/>
      <c r="V213" s="6"/>
      <c r="W213" s="6"/>
      <c r="X213" s="6"/>
      <c r="Y213" s="6"/>
      <c r="Z213" s="6"/>
    </row>
    <row r="214" hidden="1" outlineLevel="1">
      <c r="A214" s="44" t="str">
        <f t="shared" si="142"/>
        <v>7-2024</v>
      </c>
      <c r="B214" s="34">
        <v>45475.0</v>
      </c>
      <c r="C214" s="45"/>
      <c r="D214" s="46">
        <v>4428.43</v>
      </c>
      <c r="E214" s="47">
        <v>125.0</v>
      </c>
      <c r="F214" s="47">
        <v>124.0</v>
      </c>
      <c r="G214" s="48">
        <f t="shared" si="10"/>
        <v>1.008064516</v>
      </c>
      <c r="H214" s="46">
        <f t="shared" si="143"/>
        <v>35.71314516</v>
      </c>
      <c r="I214" s="46">
        <f t="shared" si="144"/>
        <v>35.42744</v>
      </c>
      <c r="J214" s="49">
        <v>4109.0</v>
      </c>
      <c r="K214" s="50">
        <f t="shared" si="13"/>
        <v>0.03042102701</v>
      </c>
      <c r="L214" s="46">
        <v>199.79</v>
      </c>
      <c r="M214" s="46">
        <v>2217.92</v>
      </c>
      <c r="N214" s="47">
        <v>65.0</v>
      </c>
      <c r="O214" s="49">
        <v>170086.0</v>
      </c>
      <c r="P214" s="50">
        <f t="shared" si="14"/>
        <v>0.09007989468</v>
      </c>
      <c r="Q214" s="51">
        <f t="shared" si="15"/>
        <v>11.10125632</v>
      </c>
      <c r="R214" s="50">
        <f t="shared" si="16"/>
        <v>0.5008366396</v>
      </c>
      <c r="S214" s="16"/>
      <c r="T214" s="25"/>
      <c r="U214" s="6"/>
      <c r="V214" s="6"/>
      <c r="W214" s="6"/>
      <c r="X214" s="6"/>
      <c r="Y214" s="6"/>
      <c r="Z214" s="6"/>
    </row>
    <row r="215" hidden="1" outlineLevel="1">
      <c r="A215" s="44" t="str">
        <f t="shared" si="142"/>
        <v>7-2024</v>
      </c>
      <c r="B215" s="34">
        <v>45476.0</v>
      </c>
      <c r="C215" s="45"/>
      <c r="D215" s="46">
        <v>2766.91</v>
      </c>
      <c r="E215" s="47">
        <v>78.0</v>
      </c>
      <c r="F215" s="47">
        <v>76.0</v>
      </c>
      <c r="G215" s="48">
        <f t="shared" si="10"/>
        <v>1.026315789</v>
      </c>
      <c r="H215" s="46">
        <f t="shared" si="143"/>
        <v>36.40671053</v>
      </c>
      <c r="I215" s="46">
        <f t="shared" si="144"/>
        <v>35.47320513</v>
      </c>
      <c r="J215" s="49">
        <v>3189.0</v>
      </c>
      <c r="K215" s="50">
        <f t="shared" si="13"/>
        <v>0.02445907808</v>
      </c>
      <c r="L215" s="46">
        <v>142.35</v>
      </c>
      <c r="M215" s="46">
        <v>1127.31</v>
      </c>
      <c r="N215" s="47">
        <v>32.0</v>
      </c>
      <c r="O215" s="49">
        <v>147626.0</v>
      </c>
      <c r="P215" s="50">
        <f t="shared" si="14"/>
        <v>0.1262740506</v>
      </c>
      <c r="Q215" s="51">
        <f t="shared" si="15"/>
        <v>7.919283456</v>
      </c>
      <c r="R215" s="50">
        <f t="shared" si="16"/>
        <v>0.407425612</v>
      </c>
      <c r="S215" s="16"/>
      <c r="T215" s="25"/>
      <c r="U215" s="6"/>
      <c r="V215" s="6"/>
      <c r="W215" s="6"/>
      <c r="X215" s="6"/>
      <c r="Y215" s="6"/>
      <c r="Z215" s="6"/>
    </row>
    <row r="216" hidden="1" outlineLevel="1">
      <c r="A216" s="44" t="str">
        <f t="shared" si="142"/>
        <v>7-2024</v>
      </c>
      <c r="B216" s="34">
        <v>45477.0</v>
      </c>
      <c r="C216" s="45"/>
      <c r="D216" s="46">
        <v>2921.4</v>
      </c>
      <c r="E216" s="47">
        <v>88.0</v>
      </c>
      <c r="F216" s="47">
        <v>86.0</v>
      </c>
      <c r="G216" s="48">
        <f t="shared" si="10"/>
        <v>1.023255814</v>
      </c>
      <c r="H216" s="46">
        <f t="shared" si="143"/>
        <v>33.96976744</v>
      </c>
      <c r="I216" s="46">
        <f t="shared" si="144"/>
        <v>33.19772727</v>
      </c>
      <c r="J216" s="49">
        <v>3183.0</v>
      </c>
      <c r="K216" s="50">
        <f t="shared" si="13"/>
        <v>0.02764687402</v>
      </c>
      <c r="L216" s="46">
        <v>152.2</v>
      </c>
      <c r="M216" s="46">
        <v>1038.2</v>
      </c>
      <c r="N216" s="47">
        <v>36.0</v>
      </c>
      <c r="O216" s="49">
        <v>145797.0</v>
      </c>
      <c r="P216" s="50">
        <f t="shared" si="14"/>
        <v>0.1465998844</v>
      </c>
      <c r="Q216" s="51">
        <f t="shared" si="15"/>
        <v>6.821287779</v>
      </c>
      <c r="R216" s="50">
        <f t="shared" si="16"/>
        <v>0.3553775587</v>
      </c>
      <c r="S216" s="16"/>
      <c r="T216" s="25"/>
      <c r="U216" s="6"/>
      <c r="V216" s="6"/>
      <c r="W216" s="6"/>
      <c r="X216" s="6"/>
      <c r="Y216" s="6"/>
      <c r="Z216" s="6"/>
    </row>
    <row r="217" hidden="1" outlineLevel="1">
      <c r="A217" s="44" t="str">
        <f t="shared" si="142"/>
        <v>7-2024</v>
      </c>
      <c r="B217" s="34">
        <v>45478.0</v>
      </c>
      <c r="C217" s="45"/>
      <c r="D217" s="46">
        <v>3941.1</v>
      </c>
      <c r="E217" s="47">
        <v>111.0</v>
      </c>
      <c r="F217" s="47">
        <v>110.0</v>
      </c>
      <c r="G217" s="48">
        <f t="shared" si="10"/>
        <v>1.009090909</v>
      </c>
      <c r="H217" s="46">
        <f t="shared" si="143"/>
        <v>35.82818182</v>
      </c>
      <c r="I217" s="46">
        <f t="shared" si="144"/>
        <v>35.50540541</v>
      </c>
      <c r="J217" s="49">
        <v>4136.0</v>
      </c>
      <c r="K217" s="50">
        <f t="shared" si="13"/>
        <v>0.02683752418</v>
      </c>
      <c r="L217" s="46">
        <v>198.73</v>
      </c>
      <c r="M217" s="46">
        <v>2767.9</v>
      </c>
      <c r="N217" s="47">
        <v>81.0</v>
      </c>
      <c r="O217" s="49">
        <v>193432.0</v>
      </c>
      <c r="P217" s="50">
        <f t="shared" si="14"/>
        <v>0.07179811409</v>
      </c>
      <c r="Q217" s="51">
        <f t="shared" si="15"/>
        <v>13.92794243</v>
      </c>
      <c r="R217" s="50">
        <f t="shared" si="16"/>
        <v>0.7023166121</v>
      </c>
      <c r="S217" s="16"/>
      <c r="T217" s="25"/>
      <c r="U217" s="6"/>
      <c r="V217" s="6"/>
      <c r="W217" s="6"/>
      <c r="X217" s="6"/>
      <c r="Y217" s="6"/>
      <c r="Z217" s="6"/>
    </row>
    <row r="218" hidden="1" outlineLevel="1">
      <c r="A218" s="44" t="str">
        <f t="shared" si="142"/>
        <v>7-2024</v>
      </c>
      <c r="B218" s="34">
        <v>45479.0</v>
      </c>
      <c r="C218" s="45"/>
      <c r="D218" s="46">
        <v>4515.1</v>
      </c>
      <c r="E218" s="47">
        <v>140.0</v>
      </c>
      <c r="F218" s="47">
        <v>140.0</v>
      </c>
      <c r="G218" s="48">
        <f t="shared" si="10"/>
        <v>1</v>
      </c>
      <c r="H218" s="46">
        <f t="shared" si="143"/>
        <v>32.25071429</v>
      </c>
      <c r="I218" s="46">
        <f t="shared" si="144"/>
        <v>32.25071429</v>
      </c>
      <c r="J218" s="49">
        <v>4642.0</v>
      </c>
      <c r="K218" s="50">
        <f t="shared" si="13"/>
        <v>0.03015941405</v>
      </c>
      <c r="L218" s="46">
        <v>256.78</v>
      </c>
      <c r="M218" s="46">
        <v>2610.5</v>
      </c>
      <c r="N218" s="47">
        <v>86.0</v>
      </c>
      <c r="O218" s="49">
        <v>217621.0</v>
      </c>
      <c r="P218" s="50">
        <f t="shared" si="14"/>
        <v>0.09836429803</v>
      </c>
      <c r="Q218" s="51">
        <f t="shared" si="15"/>
        <v>10.16629021</v>
      </c>
      <c r="R218" s="50">
        <f t="shared" si="16"/>
        <v>0.5781710261</v>
      </c>
      <c r="S218" s="16"/>
      <c r="T218" s="25"/>
      <c r="U218" s="6"/>
      <c r="V218" s="6"/>
      <c r="W218" s="6"/>
      <c r="X218" s="6"/>
      <c r="Y218" s="6"/>
      <c r="Z218" s="6"/>
    </row>
    <row r="219" collapsed="1">
      <c r="A219" s="52" t="s">
        <v>123</v>
      </c>
      <c r="B219" s="53"/>
      <c r="C219" s="54"/>
      <c r="D219" s="55">
        <f t="shared" ref="D219:F219" si="145">SUM(D212:D218)</f>
        <v>28305.49</v>
      </c>
      <c r="E219" s="81">
        <f t="shared" si="145"/>
        <v>832</v>
      </c>
      <c r="F219" s="81">
        <f t="shared" si="145"/>
        <v>825</v>
      </c>
      <c r="G219" s="57">
        <f t="shared" si="10"/>
        <v>1.008484848</v>
      </c>
      <c r="H219" s="55">
        <f>AVERAGE(H212:H218)</f>
        <v>34.50043301</v>
      </c>
      <c r="I219" s="58">
        <f>H219/G219</f>
        <v>34.21016494</v>
      </c>
      <c r="J219" s="59">
        <f>SUM(J212:J218)</f>
        <v>29613</v>
      </c>
      <c r="K219" s="60">
        <f t="shared" si="13"/>
        <v>0.02809576875</v>
      </c>
      <c r="L219" s="55">
        <f t="shared" ref="L219:N219" si="146">SUM(L212:L218)</f>
        <v>1498.91</v>
      </c>
      <c r="M219" s="55">
        <f t="shared" si="146"/>
        <v>15314.65</v>
      </c>
      <c r="N219" s="56">
        <f t="shared" si="146"/>
        <v>461</v>
      </c>
      <c r="O219" s="59">
        <f>sum(O212:O218)</f>
        <v>1358703</v>
      </c>
      <c r="P219" s="60">
        <f t="shared" si="14"/>
        <v>0.09787425766</v>
      </c>
      <c r="Q219" s="61">
        <f t="shared" si="15"/>
        <v>10.21719116</v>
      </c>
      <c r="R219" s="62">
        <f t="shared" si="16"/>
        <v>0.5410487506</v>
      </c>
      <c r="S219" s="54">
        <f>iferror((D219-D131)/D219,)</f>
        <v>0.2063553749</v>
      </c>
      <c r="T219" s="63">
        <f>iferror((F219-E131)/F219,)</f>
        <v>0.2618181818</v>
      </c>
      <c r="U219" s="6"/>
      <c r="V219" s="6"/>
      <c r="W219" s="6"/>
      <c r="X219" s="6"/>
      <c r="Y219" s="6"/>
      <c r="Z219" s="6"/>
    </row>
    <row r="220" hidden="1" outlineLevel="1">
      <c r="A220" s="33" t="str">
        <f t="shared" ref="A220:A226" si="147">iferror(if(B220&gt;0,month(B220)&amp;"-"&amp;year(B220),B220),)</f>
        <v>7-2024</v>
      </c>
      <c r="B220" s="34">
        <v>45480.0</v>
      </c>
      <c r="C220" s="35"/>
      <c r="D220" s="36">
        <v>4823.9</v>
      </c>
      <c r="E220" s="37">
        <v>156.0</v>
      </c>
      <c r="F220" s="37">
        <v>154.0</v>
      </c>
      <c r="G220" s="38">
        <f t="shared" si="10"/>
        <v>1.012987013</v>
      </c>
      <c r="H220" s="36">
        <f t="shared" ref="H220:H226" si="148">D220/F220</f>
        <v>31.32402597</v>
      </c>
      <c r="I220" s="36">
        <f t="shared" ref="I220:I226" si="149">D220/E220</f>
        <v>30.9224359</v>
      </c>
      <c r="J220" s="39">
        <v>6023.0</v>
      </c>
      <c r="K220" s="40">
        <f t="shared" si="13"/>
        <v>0.02590071393</v>
      </c>
      <c r="L220" s="36">
        <v>324.75</v>
      </c>
      <c r="M220" s="36">
        <v>4004.31</v>
      </c>
      <c r="N220" s="37">
        <v>120.0</v>
      </c>
      <c r="O220" s="39">
        <v>288226.0</v>
      </c>
      <c r="P220" s="40">
        <f t="shared" si="14"/>
        <v>0.08110011463</v>
      </c>
      <c r="Q220" s="41">
        <f t="shared" si="15"/>
        <v>12.3304388</v>
      </c>
      <c r="R220" s="40">
        <f t="shared" si="16"/>
        <v>0.8300980534</v>
      </c>
      <c r="S220" s="42"/>
      <c r="T220" s="43"/>
      <c r="U220" s="6"/>
      <c r="V220" s="6"/>
      <c r="W220" s="6"/>
      <c r="X220" s="6"/>
      <c r="Y220" s="6"/>
      <c r="Z220" s="6"/>
    </row>
    <row r="221" hidden="1" outlineLevel="1">
      <c r="A221" s="44" t="str">
        <f t="shared" si="147"/>
        <v>7-2024</v>
      </c>
      <c r="B221" s="34">
        <v>45481.0</v>
      </c>
      <c r="C221" s="45"/>
      <c r="D221" s="46">
        <v>3907.3</v>
      </c>
      <c r="E221" s="47">
        <v>125.0</v>
      </c>
      <c r="F221" s="47">
        <v>125.0</v>
      </c>
      <c r="G221" s="48">
        <f t="shared" si="10"/>
        <v>1</v>
      </c>
      <c r="H221" s="46">
        <f t="shared" si="148"/>
        <v>31.2584</v>
      </c>
      <c r="I221" s="46">
        <f t="shared" si="149"/>
        <v>31.2584</v>
      </c>
      <c r="J221" s="49">
        <v>4519.0</v>
      </c>
      <c r="K221" s="50">
        <f t="shared" si="13"/>
        <v>0.02766098694</v>
      </c>
      <c r="L221" s="46">
        <v>227.65</v>
      </c>
      <c r="M221" s="46">
        <v>2712.6</v>
      </c>
      <c r="N221" s="47">
        <v>88.0</v>
      </c>
      <c r="O221" s="49">
        <v>232074.0</v>
      </c>
      <c r="P221" s="50">
        <f t="shared" si="14"/>
        <v>0.08392317334</v>
      </c>
      <c r="Q221" s="51">
        <f t="shared" si="15"/>
        <v>11.91566</v>
      </c>
      <c r="R221" s="50">
        <f t="shared" si="16"/>
        <v>0.6942389886</v>
      </c>
      <c r="S221" s="16"/>
      <c r="T221" s="25"/>
      <c r="U221" s="6"/>
      <c r="V221" s="6"/>
      <c r="W221" s="6"/>
      <c r="X221" s="6"/>
      <c r="Y221" s="6"/>
      <c r="Z221" s="6"/>
    </row>
    <row r="222" hidden="1" outlineLevel="1">
      <c r="A222" s="44" t="str">
        <f t="shared" si="147"/>
        <v>7-2024</v>
      </c>
      <c r="B222" s="34">
        <v>45482.0</v>
      </c>
      <c r="C222" s="45"/>
      <c r="D222" s="46">
        <v>3485.3</v>
      </c>
      <c r="E222" s="47">
        <v>111.0</v>
      </c>
      <c r="F222" s="47">
        <v>111.0</v>
      </c>
      <c r="G222" s="48">
        <f t="shared" si="10"/>
        <v>1</v>
      </c>
      <c r="H222" s="46">
        <f t="shared" si="148"/>
        <v>31.3990991</v>
      </c>
      <c r="I222" s="46">
        <f t="shared" si="149"/>
        <v>31.3990991</v>
      </c>
      <c r="J222" s="49">
        <v>4414.0</v>
      </c>
      <c r="K222" s="50">
        <f t="shared" si="13"/>
        <v>0.02514725872</v>
      </c>
      <c r="L222" s="46">
        <v>219.28</v>
      </c>
      <c r="M222" s="46">
        <v>1625.3</v>
      </c>
      <c r="N222" s="47">
        <v>57.0</v>
      </c>
      <c r="O222" s="49">
        <v>206916.0</v>
      </c>
      <c r="P222" s="50">
        <f t="shared" si="14"/>
        <v>0.1349166308</v>
      </c>
      <c r="Q222" s="51">
        <f t="shared" si="15"/>
        <v>7.411984677</v>
      </c>
      <c r="R222" s="50">
        <f t="shared" si="16"/>
        <v>0.4663300146</v>
      </c>
      <c r="S222" s="16"/>
      <c r="T222" s="25"/>
      <c r="U222" s="6"/>
      <c r="V222" s="6"/>
      <c r="W222" s="6"/>
      <c r="X222" s="6"/>
      <c r="Y222" s="6"/>
      <c r="Z222" s="6"/>
    </row>
    <row r="223" hidden="1" outlineLevel="1">
      <c r="A223" s="44" t="str">
        <f t="shared" si="147"/>
        <v>7-2024</v>
      </c>
      <c r="B223" s="34">
        <v>45483.0</v>
      </c>
      <c r="C223" s="45"/>
      <c r="D223" s="46">
        <v>3609.0</v>
      </c>
      <c r="E223" s="47">
        <v>114.0</v>
      </c>
      <c r="F223" s="47">
        <v>114.0</v>
      </c>
      <c r="G223" s="48">
        <f t="shared" si="10"/>
        <v>1</v>
      </c>
      <c r="H223" s="46">
        <f t="shared" si="148"/>
        <v>31.65789474</v>
      </c>
      <c r="I223" s="46">
        <f t="shared" si="149"/>
        <v>31.65789474</v>
      </c>
      <c r="J223" s="49">
        <v>4208.0</v>
      </c>
      <c r="K223" s="50">
        <f t="shared" si="13"/>
        <v>0.02709125475</v>
      </c>
      <c r="L223" s="46">
        <v>203.88</v>
      </c>
      <c r="M223" s="46">
        <v>2421.2</v>
      </c>
      <c r="N223" s="47">
        <v>77.0</v>
      </c>
      <c r="O223" s="49">
        <v>202036.0</v>
      </c>
      <c r="P223" s="50">
        <f t="shared" si="14"/>
        <v>0.08420617875</v>
      </c>
      <c r="Q223" s="51">
        <f t="shared" si="15"/>
        <v>11.87561311</v>
      </c>
      <c r="R223" s="50">
        <f t="shared" si="16"/>
        <v>0.6708783597</v>
      </c>
      <c r="S223" s="16"/>
      <c r="T223" s="25"/>
      <c r="U223" s="6"/>
      <c r="V223" s="6"/>
      <c r="W223" s="6"/>
      <c r="X223" s="6"/>
      <c r="Y223" s="6"/>
      <c r="Z223" s="6"/>
    </row>
    <row r="224" hidden="1" outlineLevel="1">
      <c r="A224" s="44" t="str">
        <f t="shared" si="147"/>
        <v>7-2024</v>
      </c>
      <c r="B224" s="34">
        <v>45484.0</v>
      </c>
      <c r="C224" s="45"/>
      <c r="D224" s="46">
        <v>3569.3</v>
      </c>
      <c r="E224" s="47">
        <v>111.0</v>
      </c>
      <c r="F224" s="47">
        <v>111.0</v>
      </c>
      <c r="G224" s="48">
        <f t="shared" si="10"/>
        <v>1</v>
      </c>
      <c r="H224" s="46">
        <f t="shared" si="148"/>
        <v>32.15585586</v>
      </c>
      <c r="I224" s="46">
        <f t="shared" si="149"/>
        <v>32.15585586</v>
      </c>
      <c r="J224" s="49">
        <v>3782.0</v>
      </c>
      <c r="K224" s="50">
        <f t="shared" si="13"/>
        <v>0.0293495505</v>
      </c>
      <c r="L224" s="46">
        <v>196.14</v>
      </c>
      <c r="M224" s="46">
        <v>2085.27</v>
      </c>
      <c r="N224" s="47">
        <v>66.0</v>
      </c>
      <c r="O224" s="49">
        <v>196110.0</v>
      </c>
      <c r="P224" s="50">
        <f t="shared" si="14"/>
        <v>0.09405976205</v>
      </c>
      <c r="Q224" s="51">
        <f t="shared" si="15"/>
        <v>10.6315387</v>
      </c>
      <c r="R224" s="50">
        <f t="shared" si="16"/>
        <v>0.5842237974</v>
      </c>
      <c r="S224" s="16"/>
      <c r="T224" s="25"/>
      <c r="U224" s="6"/>
      <c r="V224" s="6"/>
      <c r="W224" s="6"/>
      <c r="X224" s="6"/>
      <c r="Y224" s="6"/>
      <c r="Z224" s="6"/>
    </row>
    <row r="225" hidden="1" outlineLevel="1">
      <c r="A225" s="44" t="str">
        <f t="shared" si="147"/>
        <v>7-2024</v>
      </c>
      <c r="B225" s="34">
        <v>45485.0</v>
      </c>
      <c r="C225" s="45"/>
      <c r="D225" s="46">
        <v>2629.6</v>
      </c>
      <c r="E225" s="47">
        <v>82.0</v>
      </c>
      <c r="F225" s="47">
        <v>82.0</v>
      </c>
      <c r="G225" s="48">
        <f t="shared" si="10"/>
        <v>1</v>
      </c>
      <c r="H225" s="46">
        <f t="shared" si="148"/>
        <v>32.06829268</v>
      </c>
      <c r="I225" s="46">
        <f t="shared" si="149"/>
        <v>32.06829268</v>
      </c>
      <c r="J225" s="49">
        <v>4020.0</v>
      </c>
      <c r="K225" s="50">
        <f t="shared" si="13"/>
        <v>0.02039800995</v>
      </c>
      <c r="L225" s="46">
        <v>189.66</v>
      </c>
      <c r="M225" s="46">
        <v>1209.2</v>
      </c>
      <c r="N225" s="47">
        <v>40.0</v>
      </c>
      <c r="O225" s="49">
        <v>190830.0</v>
      </c>
      <c r="P225" s="50">
        <f t="shared" si="14"/>
        <v>0.1568475025</v>
      </c>
      <c r="Q225" s="51">
        <f t="shared" si="15"/>
        <v>6.37561953</v>
      </c>
      <c r="R225" s="50">
        <f t="shared" si="16"/>
        <v>0.459841801</v>
      </c>
      <c r="S225" s="16"/>
      <c r="T225" s="25"/>
      <c r="U225" s="6"/>
      <c r="V225" s="6"/>
      <c r="W225" s="6"/>
      <c r="X225" s="6"/>
      <c r="Y225" s="6"/>
      <c r="Z225" s="6"/>
    </row>
    <row r="226" hidden="1" outlineLevel="1">
      <c r="A226" s="44" t="str">
        <f t="shared" si="147"/>
        <v>7-2024</v>
      </c>
      <c r="B226" s="34">
        <v>45486.0</v>
      </c>
      <c r="C226" s="45"/>
      <c r="D226" s="46">
        <v>3466.9</v>
      </c>
      <c r="E226" s="47">
        <v>115.0</v>
      </c>
      <c r="F226" s="47">
        <v>114.0</v>
      </c>
      <c r="G226" s="48">
        <f t="shared" si="10"/>
        <v>1.00877193</v>
      </c>
      <c r="H226" s="46">
        <f t="shared" si="148"/>
        <v>30.41140351</v>
      </c>
      <c r="I226" s="46">
        <f t="shared" si="149"/>
        <v>30.14695652</v>
      </c>
      <c r="J226" s="49">
        <v>3991.0</v>
      </c>
      <c r="K226" s="50">
        <f t="shared" si="13"/>
        <v>0.02881483338</v>
      </c>
      <c r="L226" s="46">
        <v>192.47</v>
      </c>
      <c r="M226" s="46">
        <v>1892.5</v>
      </c>
      <c r="N226" s="47">
        <v>64.0</v>
      </c>
      <c r="O226" s="49">
        <v>192938.0</v>
      </c>
      <c r="P226" s="50">
        <f t="shared" si="14"/>
        <v>0.1017014531</v>
      </c>
      <c r="Q226" s="51">
        <f t="shared" si="15"/>
        <v>9.8327012</v>
      </c>
      <c r="R226" s="50">
        <f t="shared" si="16"/>
        <v>0.5458767198</v>
      </c>
      <c r="S226" s="16"/>
      <c r="T226" s="25"/>
      <c r="U226" s="6"/>
      <c r="V226" s="6"/>
      <c r="W226" s="6"/>
      <c r="X226" s="6"/>
      <c r="Y226" s="6"/>
      <c r="Z226" s="6"/>
    </row>
    <row r="227" collapsed="1">
      <c r="A227" s="52" t="s">
        <v>124</v>
      </c>
      <c r="B227" s="53"/>
      <c r="C227" s="54"/>
      <c r="D227" s="55">
        <f t="shared" ref="D227:F227" si="150">SUM(D220:D226)</f>
        <v>25491.3</v>
      </c>
      <c r="E227" s="81">
        <f t="shared" si="150"/>
        <v>814</v>
      </c>
      <c r="F227" s="81">
        <f t="shared" si="150"/>
        <v>811</v>
      </c>
      <c r="G227" s="57">
        <f t="shared" si="10"/>
        <v>1.003699137</v>
      </c>
      <c r="H227" s="55">
        <f>AVERAGE(H220:H226)</f>
        <v>31.46785312</v>
      </c>
      <c r="I227" s="58">
        <f>H227/G227</f>
        <v>31.35187823</v>
      </c>
      <c r="J227" s="59">
        <f>SUM(J220:J226)</f>
        <v>30957</v>
      </c>
      <c r="K227" s="60">
        <f t="shared" si="13"/>
        <v>0.02629453758</v>
      </c>
      <c r="L227" s="55">
        <f t="shared" ref="L227:N227" si="151">SUM(L220:L226)</f>
        <v>1553.83</v>
      </c>
      <c r="M227" s="55">
        <f t="shared" si="151"/>
        <v>15950.38</v>
      </c>
      <c r="N227" s="56">
        <f t="shared" si="151"/>
        <v>512</v>
      </c>
      <c r="O227" s="59">
        <f>sum(O220:O226)</f>
        <v>1509130</v>
      </c>
      <c r="P227" s="60">
        <f t="shared" si="14"/>
        <v>0.09741648788</v>
      </c>
      <c r="Q227" s="61">
        <f t="shared" si="15"/>
        <v>10.26520276</v>
      </c>
      <c r="R227" s="62">
        <f t="shared" si="16"/>
        <v>0.6257185785</v>
      </c>
      <c r="S227" s="54">
        <f>iferror((D227-D131)/D227,)</f>
        <v>0.11873855</v>
      </c>
      <c r="T227" s="63">
        <f>iferror((F227-E131)/F227,)</f>
        <v>0.2490752158</v>
      </c>
      <c r="U227" s="6"/>
      <c r="V227" s="6"/>
      <c r="W227" s="6"/>
      <c r="X227" s="6"/>
      <c r="Y227" s="6"/>
      <c r="Z227" s="6"/>
    </row>
    <row r="228" hidden="1" outlineLevel="1">
      <c r="A228" s="33" t="str">
        <f t="shared" ref="A228:A234" si="152">iferror(if(B228&gt;0,month(B228)&amp;"-"&amp;year(B228),B228),)</f>
        <v>7-2024</v>
      </c>
      <c r="B228" s="34">
        <v>45487.0</v>
      </c>
      <c r="C228" s="35"/>
      <c r="D228" s="36">
        <v>3142.9</v>
      </c>
      <c r="E228" s="37">
        <v>98.0</v>
      </c>
      <c r="F228" s="37">
        <v>98.0</v>
      </c>
      <c r="G228" s="38">
        <f t="shared" si="10"/>
        <v>1</v>
      </c>
      <c r="H228" s="36">
        <f t="shared" ref="H228:H234" si="153">D228/F228</f>
        <v>32.07040816</v>
      </c>
      <c r="I228" s="36">
        <f t="shared" ref="I228:I234" si="154">D228/E228</f>
        <v>32.07040816</v>
      </c>
      <c r="J228" s="39">
        <v>5052.0</v>
      </c>
      <c r="K228" s="40">
        <f t="shared" si="13"/>
        <v>0.01939825812</v>
      </c>
      <c r="L228" s="36">
        <v>273.62</v>
      </c>
      <c r="M228" s="36">
        <v>2539.39</v>
      </c>
      <c r="N228" s="37">
        <v>78.0</v>
      </c>
      <c r="O228" s="39">
        <v>266597.0</v>
      </c>
      <c r="P228" s="40">
        <f t="shared" si="14"/>
        <v>0.1077502865</v>
      </c>
      <c r="Q228" s="41">
        <f t="shared" si="15"/>
        <v>9.280717784</v>
      </c>
      <c r="R228" s="40">
        <f t="shared" si="16"/>
        <v>0.8079767094</v>
      </c>
      <c r="S228" s="42"/>
      <c r="T228" s="43"/>
      <c r="U228" s="6"/>
      <c r="V228" s="6"/>
      <c r="W228" s="6"/>
      <c r="X228" s="6"/>
      <c r="Y228" s="6"/>
      <c r="Z228" s="6"/>
    </row>
    <row r="229" hidden="1" outlineLevel="1">
      <c r="A229" s="44" t="str">
        <f t="shared" si="152"/>
        <v>7-2024</v>
      </c>
      <c r="B229" s="34">
        <v>45488.0</v>
      </c>
      <c r="C229" s="45"/>
      <c r="D229" s="46">
        <v>4269.4</v>
      </c>
      <c r="E229" s="47">
        <v>141.0</v>
      </c>
      <c r="F229" s="47">
        <v>140.0</v>
      </c>
      <c r="G229" s="48">
        <f t="shared" si="10"/>
        <v>1.007142857</v>
      </c>
      <c r="H229" s="46">
        <f t="shared" si="153"/>
        <v>30.49571429</v>
      </c>
      <c r="I229" s="46">
        <f t="shared" si="154"/>
        <v>30.27943262</v>
      </c>
      <c r="J229" s="49">
        <v>5912.0</v>
      </c>
      <c r="K229" s="50">
        <f t="shared" si="13"/>
        <v>0.02384979702</v>
      </c>
      <c r="L229" s="46">
        <v>302.21</v>
      </c>
      <c r="M229" s="46">
        <v>3137.7</v>
      </c>
      <c r="N229" s="47">
        <v>102.0</v>
      </c>
      <c r="O229" s="49">
        <v>366832.0</v>
      </c>
      <c r="P229" s="50">
        <f t="shared" si="14"/>
        <v>0.0963157727</v>
      </c>
      <c r="Q229" s="51">
        <f t="shared" si="15"/>
        <v>10.38251547</v>
      </c>
      <c r="R229" s="50">
        <f t="shared" si="16"/>
        <v>0.7349276245</v>
      </c>
      <c r="S229" s="16"/>
      <c r="T229" s="25"/>
      <c r="U229" s="6"/>
      <c r="V229" s="6"/>
      <c r="W229" s="6"/>
      <c r="X229" s="6"/>
      <c r="Y229" s="6"/>
      <c r="Z229" s="6"/>
    </row>
    <row r="230" hidden="1" outlineLevel="1">
      <c r="A230" s="44" t="str">
        <f t="shared" si="152"/>
        <v>7-2024</v>
      </c>
      <c r="B230" s="34">
        <v>45489.0</v>
      </c>
      <c r="C230" s="45"/>
      <c r="D230" s="46">
        <v>8548.1</v>
      </c>
      <c r="E230" s="47">
        <v>287.0</v>
      </c>
      <c r="F230" s="47">
        <v>280.0</v>
      </c>
      <c r="G230" s="48">
        <f t="shared" si="10"/>
        <v>1.025</v>
      </c>
      <c r="H230" s="46">
        <f t="shared" si="153"/>
        <v>30.52892857</v>
      </c>
      <c r="I230" s="46">
        <f t="shared" si="154"/>
        <v>29.78432056</v>
      </c>
      <c r="J230" s="49">
        <v>8734.0</v>
      </c>
      <c r="K230" s="50">
        <f t="shared" si="13"/>
        <v>0.03286008702</v>
      </c>
      <c r="L230" s="46">
        <v>465.74</v>
      </c>
      <c r="M230" s="46">
        <v>4859.27</v>
      </c>
      <c r="N230" s="47">
        <v>162.0</v>
      </c>
      <c r="O230" s="49">
        <v>622879.0</v>
      </c>
      <c r="P230" s="50">
        <f t="shared" si="14"/>
        <v>0.09584567229</v>
      </c>
      <c r="Q230" s="51">
        <f t="shared" si="15"/>
        <v>10.43343926</v>
      </c>
      <c r="R230" s="50">
        <f t="shared" si="16"/>
        <v>0.5684619974</v>
      </c>
      <c r="S230" s="16"/>
      <c r="T230" s="25"/>
      <c r="U230" s="6"/>
      <c r="V230" s="6"/>
      <c r="W230" s="6"/>
      <c r="X230" s="6"/>
      <c r="Y230" s="6"/>
      <c r="Z230" s="6"/>
    </row>
    <row r="231" hidden="1" outlineLevel="1">
      <c r="A231" s="44" t="str">
        <f t="shared" si="152"/>
        <v>7-2024</v>
      </c>
      <c r="B231" s="34">
        <v>45490.0</v>
      </c>
      <c r="C231" s="45"/>
      <c r="D231" s="46">
        <v>7584.3</v>
      </c>
      <c r="E231" s="47">
        <v>254.0</v>
      </c>
      <c r="F231" s="47">
        <v>253.0</v>
      </c>
      <c r="G231" s="48">
        <f t="shared" si="10"/>
        <v>1.003952569</v>
      </c>
      <c r="H231" s="46">
        <f t="shared" si="153"/>
        <v>29.97747036</v>
      </c>
      <c r="I231" s="46">
        <f t="shared" si="154"/>
        <v>29.85944882</v>
      </c>
      <c r="J231" s="49">
        <v>6613.0</v>
      </c>
      <c r="K231" s="50">
        <f t="shared" si="13"/>
        <v>0.03840919401</v>
      </c>
      <c r="L231" s="46">
        <v>360.93</v>
      </c>
      <c r="M231" s="46">
        <v>3702.0</v>
      </c>
      <c r="N231" s="47">
        <v>129.0</v>
      </c>
      <c r="O231" s="49">
        <v>425857.0</v>
      </c>
      <c r="P231" s="50">
        <f t="shared" si="14"/>
        <v>0.09749594814</v>
      </c>
      <c r="Q231" s="51">
        <f t="shared" si="15"/>
        <v>10.25683651</v>
      </c>
      <c r="R231" s="50">
        <f t="shared" si="16"/>
        <v>0.4881136031</v>
      </c>
      <c r="S231" s="16"/>
      <c r="T231" s="25"/>
      <c r="U231" s="6"/>
      <c r="V231" s="6"/>
      <c r="W231" s="6"/>
      <c r="X231" s="6"/>
      <c r="Y231" s="6"/>
      <c r="Z231" s="6"/>
    </row>
    <row r="232" hidden="1" outlineLevel="1">
      <c r="A232" s="44" t="str">
        <f t="shared" si="152"/>
        <v>7-2024</v>
      </c>
      <c r="B232" s="34">
        <v>45491.0</v>
      </c>
      <c r="C232" s="45"/>
      <c r="D232" s="46">
        <v>2755.1</v>
      </c>
      <c r="E232" s="47">
        <v>89.0</v>
      </c>
      <c r="F232" s="47">
        <v>88.0</v>
      </c>
      <c r="G232" s="48">
        <f t="shared" si="10"/>
        <v>1.011363636</v>
      </c>
      <c r="H232" s="46">
        <f t="shared" si="153"/>
        <v>31.30795455</v>
      </c>
      <c r="I232" s="46">
        <f t="shared" si="154"/>
        <v>30.95617978</v>
      </c>
      <c r="J232" s="49">
        <v>3490.0</v>
      </c>
      <c r="K232" s="50">
        <f t="shared" si="13"/>
        <v>0.02550143266</v>
      </c>
      <c r="L232" s="46">
        <v>176.49</v>
      </c>
      <c r="M232" s="46">
        <v>1474.7</v>
      </c>
      <c r="N232" s="47">
        <v>45.0</v>
      </c>
      <c r="O232" s="49">
        <v>174363.0</v>
      </c>
      <c r="P232" s="50">
        <f t="shared" si="14"/>
        <v>0.1196785787</v>
      </c>
      <c r="Q232" s="51">
        <f t="shared" si="15"/>
        <v>8.355714205</v>
      </c>
      <c r="R232" s="50">
        <f t="shared" si="16"/>
        <v>0.535261878</v>
      </c>
      <c r="S232" s="16"/>
      <c r="T232" s="25"/>
      <c r="U232" s="6"/>
      <c r="V232" s="6"/>
      <c r="W232" s="6"/>
      <c r="X232" s="6"/>
      <c r="Y232" s="6"/>
      <c r="Z232" s="6"/>
    </row>
    <row r="233" hidden="1" outlineLevel="1">
      <c r="A233" s="44" t="str">
        <f t="shared" si="152"/>
        <v>7-2024</v>
      </c>
      <c r="B233" s="34">
        <v>45492.0</v>
      </c>
      <c r="C233" s="45"/>
      <c r="D233" s="46">
        <v>3586.3</v>
      </c>
      <c r="E233" s="47">
        <v>114.0</v>
      </c>
      <c r="F233" s="47">
        <v>114.0</v>
      </c>
      <c r="G233" s="48">
        <f t="shared" si="10"/>
        <v>1</v>
      </c>
      <c r="H233" s="46">
        <f t="shared" si="153"/>
        <v>31.45877193</v>
      </c>
      <c r="I233" s="46">
        <f t="shared" si="154"/>
        <v>31.45877193</v>
      </c>
      <c r="J233" s="49">
        <v>3985.0</v>
      </c>
      <c r="K233" s="50">
        <f t="shared" si="13"/>
        <v>0.02860727729</v>
      </c>
      <c r="L233" s="46">
        <v>188.57</v>
      </c>
      <c r="M233" s="46">
        <v>1854.07</v>
      </c>
      <c r="N233" s="47">
        <v>62.0</v>
      </c>
      <c r="O233" s="49">
        <v>163360.0</v>
      </c>
      <c r="P233" s="50">
        <f t="shared" si="14"/>
        <v>0.1017059766</v>
      </c>
      <c r="Q233" s="51">
        <f t="shared" si="15"/>
        <v>9.832263881</v>
      </c>
      <c r="R233" s="50">
        <f t="shared" si="16"/>
        <v>0.5169868667</v>
      </c>
      <c r="S233" s="16"/>
      <c r="T233" s="25"/>
      <c r="U233" s="6"/>
      <c r="V233" s="6"/>
      <c r="W233" s="6"/>
      <c r="X233" s="6"/>
      <c r="Y233" s="6"/>
      <c r="Z233" s="6"/>
    </row>
    <row r="234" hidden="1" outlineLevel="1">
      <c r="A234" s="44" t="str">
        <f t="shared" si="152"/>
        <v>7-2024</v>
      </c>
      <c r="B234" s="34">
        <v>45493.0</v>
      </c>
      <c r="C234" s="45"/>
      <c r="D234" s="46">
        <v>3449.8</v>
      </c>
      <c r="E234" s="47">
        <v>108.0</v>
      </c>
      <c r="F234" s="47">
        <v>108.0</v>
      </c>
      <c r="G234" s="48">
        <f t="shared" si="10"/>
        <v>1</v>
      </c>
      <c r="H234" s="46">
        <f t="shared" si="153"/>
        <v>31.94259259</v>
      </c>
      <c r="I234" s="46">
        <f t="shared" si="154"/>
        <v>31.94259259</v>
      </c>
      <c r="J234" s="49">
        <v>4610.0</v>
      </c>
      <c r="K234" s="50">
        <f t="shared" si="13"/>
        <v>0.02342733189</v>
      </c>
      <c r="L234" s="46">
        <v>218.14</v>
      </c>
      <c r="M234" s="46">
        <v>2165.7</v>
      </c>
      <c r="N234" s="47">
        <v>70.0</v>
      </c>
      <c r="O234" s="49">
        <v>188429.0</v>
      </c>
      <c r="P234" s="50">
        <f t="shared" si="14"/>
        <v>0.1007249388</v>
      </c>
      <c r="Q234" s="51">
        <f t="shared" si="15"/>
        <v>9.928027872</v>
      </c>
      <c r="R234" s="50">
        <f t="shared" si="16"/>
        <v>0.6277755232</v>
      </c>
      <c r="S234" s="16"/>
      <c r="T234" s="25"/>
      <c r="U234" s="6"/>
      <c r="V234" s="6"/>
      <c r="W234" s="6"/>
      <c r="X234" s="6"/>
      <c r="Y234" s="6"/>
      <c r="Z234" s="6"/>
    </row>
    <row r="235" collapsed="1">
      <c r="A235" s="52" t="s">
        <v>125</v>
      </c>
      <c r="B235" s="53"/>
      <c r="C235" s="54"/>
      <c r="D235" s="55">
        <f t="shared" ref="D235:F235" si="155">SUM(D228:D234)</f>
        <v>33335.9</v>
      </c>
      <c r="E235" s="81">
        <f t="shared" si="155"/>
        <v>1091</v>
      </c>
      <c r="F235" s="81">
        <f t="shared" si="155"/>
        <v>1081</v>
      </c>
      <c r="G235" s="57">
        <f t="shared" si="10"/>
        <v>1.009250694</v>
      </c>
      <c r="H235" s="55">
        <f>AVERAGE(H228:H234)</f>
        <v>31.11169149</v>
      </c>
      <c r="I235" s="58">
        <f>H235/G235</f>
        <v>30.82652475</v>
      </c>
      <c r="J235" s="59">
        <f>SUM(J228:J234)</f>
        <v>38396</v>
      </c>
      <c r="K235" s="60">
        <f t="shared" si="13"/>
        <v>0.02841441817</v>
      </c>
      <c r="L235" s="55">
        <f t="shared" ref="L235:N235" si="156">SUM(L228:L234)</f>
        <v>1985.7</v>
      </c>
      <c r="M235" s="55">
        <f t="shared" si="156"/>
        <v>19732.83</v>
      </c>
      <c r="N235" s="56">
        <f t="shared" si="156"/>
        <v>648</v>
      </c>
      <c r="O235" s="59">
        <f>sum(O228:O234)</f>
        <v>2208317</v>
      </c>
      <c r="P235" s="60">
        <f t="shared" si="14"/>
        <v>0.1006292559</v>
      </c>
      <c r="Q235" s="61">
        <f t="shared" si="15"/>
        <v>9.937467895</v>
      </c>
      <c r="R235" s="62">
        <f t="shared" si="16"/>
        <v>0.5919393207</v>
      </c>
      <c r="S235" s="54">
        <f>iferror((D235-D131)/D235,)</f>
        <v>0.326116889</v>
      </c>
      <c r="T235" s="63">
        <f>iferror((F235-E131)/F235,)</f>
        <v>0.4366327475</v>
      </c>
      <c r="U235" s="6"/>
      <c r="V235" s="6"/>
      <c r="W235" s="6"/>
      <c r="X235" s="6"/>
      <c r="Y235" s="6"/>
      <c r="Z235" s="6"/>
    </row>
    <row r="236" hidden="1" outlineLevel="1">
      <c r="A236" s="33" t="str">
        <f t="shared" ref="A236:A242" si="157">iferror(if(B236&gt;0,month(B236)&amp;"-"&amp;year(B236),B236),)</f>
        <v>7-2024</v>
      </c>
      <c r="B236" s="34">
        <v>45494.0</v>
      </c>
      <c r="C236" s="35"/>
      <c r="D236" s="36">
        <v>4475.1</v>
      </c>
      <c r="E236" s="37">
        <v>149.0</v>
      </c>
      <c r="F236" s="37">
        <v>148.0</v>
      </c>
      <c r="G236" s="38">
        <f t="shared" si="10"/>
        <v>1.006756757</v>
      </c>
      <c r="H236" s="36">
        <f t="shared" ref="H236:H242" si="158">D236/F236</f>
        <v>30.23716216</v>
      </c>
      <c r="I236" s="36">
        <f t="shared" ref="I236:I242" si="159">D236/E236</f>
        <v>30.03422819</v>
      </c>
      <c r="J236" s="39">
        <v>5043.0</v>
      </c>
      <c r="K236" s="40">
        <f t="shared" si="13"/>
        <v>0.02954590522</v>
      </c>
      <c r="L236" s="36">
        <v>242.0</v>
      </c>
      <c r="M236" s="36">
        <v>3306.8</v>
      </c>
      <c r="N236" s="37">
        <v>108.0</v>
      </c>
      <c r="O236" s="39">
        <v>202941.0</v>
      </c>
      <c r="P236" s="40">
        <f t="shared" si="14"/>
        <v>0.07318253296</v>
      </c>
      <c r="Q236" s="41">
        <f t="shared" si="15"/>
        <v>13.66446281</v>
      </c>
      <c r="R236" s="40">
        <f t="shared" si="16"/>
        <v>0.7389332082</v>
      </c>
      <c r="S236" s="42"/>
      <c r="T236" s="43"/>
      <c r="U236" s="6"/>
      <c r="V236" s="6"/>
      <c r="W236" s="6"/>
      <c r="X236" s="6"/>
      <c r="Y236" s="6"/>
      <c r="Z236" s="6"/>
    </row>
    <row r="237" hidden="1" outlineLevel="1">
      <c r="A237" s="44" t="str">
        <f t="shared" si="157"/>
        <v>7-2024</v>
      </c>
      <c r="B237" s="34">
        <v>45495.0</v>
      </c>
      <c r="C237" s="45"/>
      <c r="D237" s="46">
        <v>4251.6</v>
      </c>
      <c r="E237" s="47">
        <v>144.0</v>
      </c>
      <c r="F237" s="47">
        <v>142.0</v>
      </c>
      <c r="G237" s="48">
        <f t="shared" si="10"/>
        <v>1.014084507</v>
      </c>
      <c r="H237" s="46">
        <f t="shared" si="158"/>
        <v>29.94084507</v>
      </c>
      <c r="I237" s="46">
        <f t="shared" si="159"/>
        <v>29.525</v>
      </c>
      <c r="J237" s="49">
        <v>4521.0</v>
      </c>
      <c r="K237" s="50">
        <f t="shared" si="13"/>
        <v>0.03185136032</v>
      </c>
      <c r="L237" s="46">
        <v>192.58</v>
      </c>
      <c r="M237" s="46">
        <v>2705.7</v>
      </c>
      <c r="N237" s="47">
        <v>85.0</v>
      </c>
      <c r="O237" s="49">
        <v>186146.0</v>
      </c>
      <c r="P237" s="50">
        <f t="shared" si="14"/>
        <v>0.07117566619</v>
      </c>
      <c r="Q237" s="51">
        <f t="shared" si="15"/>
        <v>14.04974556</v>
      </c>
      <c r="R237" s="50">
        <f t="shared" si="16"/>
        <v>0.6363957099</v>
      </c>
      <c r="S237" s="16"/>
      <c r="T237" s="25"/>
      <c r="U237" s="6"/>
      <c r="V237" s="6"/>
      <c r="W237" s="6"/>
      <c r="X237" s="6"/>
      <c r="Y237" s="6"/>
      <c r="Z237" s="6"/>
    </row>
    <row r="238" hidden="1" outlineLevel="1">
      <c r="A238" s="44" t="str">
        <f t="shared" si="157"/>
        <v>7-2024</v>
      </c>
      <c r="B238" s="34">
        <v>45496.0</v>
      </c>
      <c r="C238" s="45"/>
      <c r="D238" s="46">
        <v>4195.0</v>
      </c>
      <c r="E238" s="47">
        <v>128.0</v>
      </c>
      <c r="F238" s="47">
        <v>127.0</v>
      </c>
      <c r="G238" s="48">
        <f t="shared" si="10"/>
        <v>1.007874016</v>
      </c>
      <c r="H238" s="46">
        <f t="shared" si="158"/>
        <v>33.03149606</v>
      </c>
      <c r="I238" s="46">
        <f t="shared" si="159"/>
        <v>32.7734375</v>
      </c>
      <c r="J238" s="49">
        <v>4475.0</v>
      </c>
      <c r="K238" s="50">
        <f t="shared" si="13"/>
        <v>0.02860335196</v>
      </c>
      <c r="L238" s="46">
        <v>247.71</v>
      </c>
      <c r="M238" s="46">
        <v>3271.38</v>
      </c>
      <c r="N238" s="47">
        <v>94.0</v>
      </c>
      <c r="O238" s="49">
        <v>204934.0</v>
      </c>
      <c r="P238" s="50">
        <f t="shared" si="14"/>
        <v>0.07572033821</v>
      </c>
      <c r="Q238" s="51">
        <f t="shared" si="15"/>
        <v>13.20649146</v>
      </c>
      <c r="R238" s="50">
        <f t="shared" si="16"/>
        <v>0.7798283671</v>
      </c>
      <c r="S238" s="16"/>
      <c r="T238" s="25"/>
      <c r="U238" s="6"/>
      <c r="V238" s="6"/>
      <c r="W238" s="6"/>
      <c r="X238" s="6"/>
      <c r="Y238" s="6"/>
      <c r="Z238" s="6"/>
    </row>
    <row r="239" hidden="1" outlineLevel="1">
      <c r="A239" s="44" t="str">
        <f t="shared" si="157"/>
        <v>7-2024</v>
      </c>
      <c r="B239" s="34">
        <v>45497.0</v>
      </c>
      <c r="C239" s="45"/>
      <c r="D239" s="46">
        <v>5393.2</v>
      </c>
      <c r="E239" s="47">
        <v>154.0</v>
      </c>
      <c r="F239" s="47">
        <v>153.0</v>
      </c>
      <c r="G239" s="48">
        <f t="shared" si="10"/>
        <v>1.006535948</v>
      </c>
      <c r="H239" s="46">
        <f t="shared" si="158"/>
        <v>35.2496732</v>
      </c>
      <c r="I239" s="46">
        <f t="shared" si="159"/>
        <v>35.02077922</v>
      </c>
      <c r="J239" s="49">
        <v>4754.0</v>
      </c>
      <c r="K239" s="50">
        <f t="shared" si="13"/>
        <v>0.03239377366</v>
      </c>
      <c r="L239" s="46">
        <v>253.17</v>
      </c>
      <c r="M239" s="46">
        <v>3335.2</v>
      </c>
      <c r="N239" s="47">
        <v>93.0</v>
      </c>
      <c r="O239" s="49">
        <v>223416.0</v>
      </c>
      <c r="P239" s="50">
        <f t="shared" si="14"/>
        <v>0.07590849124</v>
      </c>
      <c r="Q239" s="51">
        <f t="shared" si="15"/>
        <v>13.17375676</v>
      </c>
      <c r="R239" s="50">
        <f t="shared" si="16"/>
        <v>0.6184083661</v>
      </c>
      <c r="S239" s="16"/>
      <c r="T239" s="25"/>
      <c r="U239" s="6"/>
      <c r="V239" s="6"/>
      <c r="W239" s="6"/>
      <c r="X239" s="6"/>
      <c r="Y239" s="6"/>
      <c r="Z239" s="6"/>
    </row>
    <row r="240" hidden="1" outlineLevel="1">
      <c r="A240" s="44" t="str">
        <f t="shared" si="157"/>
        <v>7-2024</v>
      </c>
      <c r="B240" s="34">
        <v>45498.0</v>
      </c>
      <c r="C240" s="45"/>
      <c r="D240" s="46">
        <v>3915.2</v>
      </c>
      <c r="E240" s="47">
        <v>137.0</v>
      </c>
      <c r="F240" s="47">
        <v>137.0</v>
      </c>
      <c r="G240" s="48">
        <f t="shared" si="10"/>
        <v>1</v>
      </c>
      <c r="H240" s="46">
        <f t="shared" si="158"/>
        <v>28.57810219</v>
      </c>
      <c r="I240" s="46">
        <f t="shared" si="159"/>
        <v>28.57810219</v>
      </c>
      <c r="J240" s="49">
        <v>4505.0</v>
      </c>
      <c r="K240" s="50">
        <f t="shared" si="13"/>
        <v>0.03041065483</v>
      </c>
      <c r="L240" s="46">
        <v>210.82</v>
      </c>
      <c r="M240" s="46">
        <v>2163.0</v>
      </c>
      <c r="N240" s="47">
        <v>72.0</v>
      </c>
      <c r="O240" s="49">
        <v>211085.0</v>
      </c>
      <c r="P240" s="50">
        <f t="shared" si="14"/>
        <v>0.09746648174</v>
      </c>
      <c r="Q240" s="51">
        <f t="shared" si="15"/>
        <v>10.25993739</v>
      </c>
      <c r="R240" s="50">
        <f t="shared" si="16"/>
        <v>0.5524621986</v>
      </c>
      <c r="S240" s="16"/>
      <c r="T240" s="25"/>
      <c r="U240" s="6"/>
      <c r="V240" s="6"/>
      <c r="W240" s="6"/>
      <c r="X240" s="6"/>
      <c r="Y240" s="6"/>
      <c r="Z240" s="6"/>
    </row>
    <row r="241" hidden="1" outlineLevel="1">
      <c r="A241" s="44" t="str">
        <f t="shared" si="157"/>
        <v>7-2024</v>
      </c>
      <c r="B241" s="34">
        <v>45499.0</v>
      </c>
      <c r="C241" s="45"/>
      <c r="D241" s="46">
        <v>3971.5</v>
      </c>
      <c r="E241" s="47">
        <v>138.0</v>
      </c>
      <c r="F241" s="47">
        <v>138.0</v>
      </c>
      <c r="G241" s="48">
        <f t="shared" si="10"/>
        <v>1</v>
      </c>
      <c r="H241" s="46">
        <f t="shared" si="158"/>
        <v>28.77898551</v>
      </c>
      <c r="I241" s="46">
        <f t="shared" si="159"/>
        <v>28.77898551</v>
      </c>
      <c r="J241" s="49">
        <v>4322.0</v>
      </c>
      <c r="K241" s="50">
        <f t="shared" si="13"/>
        <v>0.03192966219</v>
      </c>
      <c r="L241" s="46">
        <v>210.79</v>
      </c>
      <c r="M241" s="46">
        <v>2423.7</v>
      </c>
      <c r="N241" s="47">
        <v>87.0</v>
      </c>
      <c r="O241" s="49">
        <v>213280.0</v>
      </c>
      <c r="P241" s="50">
        <f t="shared" si="14"/>
        <v>0.08697033461</v>
      </c>
      <c r="Q241" s="51">
        <f t="shared" si="15"/>
        <v>11.49817354</v>
      </c>
      <c r="R241" s="50">
        <f t="shared" si="16"/>
        <v>0.6102731965</v>
      </c>
      <c r="S241" s="16"/>
      <c r="T241" s="25"/>
      <c r="U241" s="6"/>
      <c r="V241" s="6"/>
      <c r="W241" s="6"/>
      <c r="X241" s="6"/>
      <c r="Y241" s="6"/>
      <c r="Z241" s="6"/>
    </row>
    <row r="242" hidden="1" outlineLevel="1">
      <c r="A242" s="44" t="str">
        <f t="shared" si="157"/>
        <v>7-2024</v>
      </c>
      <c r="B242" s="34">
        <v>45500.0</v>
      </c>
      <c r="C242" s="45"/>
      <c r="D242" s="46">
        <v>4479.6</v>
      </c>
      <c r="E242" s="47">
        <v>148.0</v>
      </c>
      <c r="F242" s="47">
        <v>147.0</v>
      </c>
      <c r="G242" s="48">
        <f t="shared" si="10"/>
        <v>1.006802721</v>
      </c>
      <c r="H242" s="46">
        <f t="shared" si="158"/>
        <v>30.47346939</v>
      </c>
      <c r="I242" s="46">
        <f t="shared" si="159"/>
        <v>30.26756757</v>
      </c>
      <c r="J242" s="49">
        <v>5017.0</v>
      </c>
      <c r="K242" s="50">
        <f t="shared" si="13"/>
        <v>0.02949970102</v>
      </c>
      <c r="L242" s="46">
        <v>255.19</v>
      </c>
      <c r="M242" s="46">
        <v>2263.57</v>
      </c>
      <c r="N242" s="47">
        <v>81.0</v>
      </c>
      <c r="O242" s="49">
        <v>264745.0</v>
      </c>
      <c r="P242" s="50">
        <f t="shared" si="14"/>
        <v>0.1127378433</v>
      </c>
      <c r="Q242" s="51">
        <f t="shared" si="15"/>
        <v>8.870135977</v>
      </c>
      <c r="R242" s="50">
        <f t="shared" si="16"/>
        <v>0.5053062773</v>
      </c>
      <c r="S242" s="16"/>
      <c r="T242" s="25"/>
      <c r="U242" s="6"/>
      <c r="V242" s="6"/>
      <c r="W242" s="6"/>
      <c r="X242" s="6"/>
      <c r="Y242" s="6"/>
      <c r="Z242" s="6"/>
    </row>
    <row r="243" collapsed="1">
      <c r="A243" s="52" t="s">
        <v>126</v>
      </c>
      <c r="B243" s="53"/>
      <c r="C243" s="54"/>
      <c r="D243" s="55">
        <f t="shared" ref="D243:F243" si="160">SUM(D236:D242)</f>
        <v>30681.2</v>
      </c>
      <c r="E243" s="81">
        <f t="shared" si="160"/>
        <v>998</v>
      </c>
      <c r="F243" s="81">
        <f t="shared" si="160"/>
        <v>992</v>
      </c>
      <c r="G243" s="57">
        <f t="shared" si="10"/>
        <v>1.006048387</v>
      </c>
      <c r="H243" s="55">
        <f>AVERAGE(H236:H242)</f>
        <v>30.89853337</v>
      </c>
      <c r="I243" s="58">
        <f>H243/G243</f>
        <v>30.71277064</v>
      </c>
      <c r="J243" s="59">
        <f>SUM(J236:J242)</f>
        <v>32637</v>
      </c>
      <c r="K243" s="60">
        <f t="shared" si="13"/>
        <v>0.03057879094</v>
      </c>
      <c r="L243" s="55">
        <f t="shared" ref="L243:N243" si="161">SUM(L236:L242)</f>
        <v>1612.26</v>
      </c>
      <c r="M243" s="55">
        <f t="shared" si="161"/>
        <v>19469.35</v>
      </c>
      <c r="N243" s="56">
        <f t="shared" si="161"/>
        <v>620</v>
      </c>
      <c r="O243" s="59">
        <f>sum(O236:O242)</f>
        <v>1506547</v>
      </c>
      <c r="P243" s="60">
        <f t="shared" si="14"/>
        <v>0.08281016059</v>
      </c>
      <c r="Q243" s="61">
        <f t="shared" si="15"/>
        <v>12.07581283</v>
      </c>
      <c r="R243" s="62">
        <f t="shared" si="16"/>
        <v>0.634569378</v>
      </c>
      <c r="S243" s="54">
        <f>iferror((D243-D131)/D243,)</f>
        <v>0.2678089514</v>
      </c>
      <c r="T243" s="63">
        <f>iferror((F243-E131)/F243,)</f>
        <v>0.3860887097</v>
      </c>
      <c r="U243" s="6"/>
      <c r="V243" s="6"/>
      <c r="W243" s="6"/>
      <c r="X243" s="6"/>
      <c r="Y243" s="6"/>
      <c r="Z243" s="6"/>
    </row>
    <row r="244" hidden="1" outlineLevel="1">
      <c r="A244" s="33" t="str">
        <f t="shared" ref="A244:A250" si="162">iferror(if(B244&gt;0,month(B244)&amp;"-"&amp;year(B244),B244),)</f>
        <v>7-2024</v>
      </c>
      <c r="B244" s="34">
        <v>45501.0</v>
      </c>
      <c r="C244" s="35"/>
      <c r="D244" s="36">
        <v>4892.1</v>
      </c>
      <c r="E244" s="37">
        <v>162.0</v>
      </c>
      <c r="F244" s="37">
        <v>161.0</v>
      </c>
      <c r="G244" s="38">
        <f t="shared" si="10"/>
        <v>1.00621118</v>
      </c>
      <c r="H244" s="36">
        <f t="shared" ref="H244:H250" si="163">D244/F244</f>
        <v>30.38571429</v>
      </c>
      <c r="I244" s="36">
        <f t="shared" ref="I244:I250" si="164">D244/E244</f>
        <v>30.19814815</v>
      </c>
      <c r="J244" s="39">
        <v>5769.0</v>
      </c>
      <c r="K244" s="40">
        <f t="shared" si="13"/>
        <v>0.02808112324</v>
      </c>
      <c r="L244" s="36">
        <v>304.57</v>
      </c>
      <c r="M244" s="36">
        <v>3125.2</v>
      </c>
      <c r="N244" s="37">
        <v>103.0</v>
      </c>
      <c r="O244" s="39">
        <v>291699.0</v>
      </c>
      <c r="P244" s="40">
        <f t="shared" si="14"/>
        <v>0.09745616281</v>
      </c>
      <c r="Q244" s="41">
        <f t="shared" si="15"/>
        <v>10.26102374</v>
      </c>
      <c r="R244" s="40">
        <f t="shared" si="16"/>
        <v>0.6388258621</v>
      </c>
      <c r="S244" s="42"/>
      <c r="T244" s="43"/>
      <c r="U244" s="6"/>
      <c r="V244" s="6"/>
      <c r="W244" s="6"/>
      <c r="X244" s="6"/>
      <c r="Y244" s="6"/>
      <c r="Z244" s="6"/>
    </row>
    <row r="245" hidden="1" outlineLevel="1">
      <c r="A245" s="44" t="str">
        <f t="shared" si="162"/>
        <v>7-2024</v>
      </c>
      <c r="B245" s="34">
        <v>45502.0</v>
      </c>
      <c r="C245" s="45"/>
      <c r="D245" s="46">
        <v>5738.6</v>
      </c>
      <c r="E245" s="47">
        <v>177.0</v>
      </c>
      <c r="F245" s="47">
        <v>175.0</v>
      </c>
      <c r="G245" s="48">
        <f t="shared" si="10"/>
        <v>1.011428571</v>
      </c>
      <c r="H245" s="46">
        <f t="shared" si="163"/>
        <v>32.792</v>
      </c>
      <c r="I245" s="46">
        <f t="shared" si="164"/>
        <v>32.42146893</v>
      </c>
      <c r="J245" s="49">
        <v>4691.0</v>
      </c>
      <c r="K245" s="50">
        <f t="shared" si="13"/>
        <v>0.0377318269</v>
      </c>
      <c r="L245" s="46">
        <v>249.61</v>
      </c>
      <c r="M245" s="46">
        <v>3919.14</v>
      </c>
      <c r="N245" s="47">
        <v>120.0</v>
      </c>
      <c r="O245" s="49">
        <v>243031.0</v>
      </c>
      <c r="P245" s="50">
        <f t="shared" si="14"/>
        <v>0.06368999321</v>
      </c>
      <c r="Q245" s="51">
        <f t="shared" si="15"/>
        <v>15.70105364</v>
      </c>
      <c r="R245" s="50">
        <f t="shared" si="16"/>
        <v>0.6829435751</v>
      </c>
      <c r="S245" s="16"/>
      <c r="T245" s="25"/>
      <c r="U245" s="6"/>
      <c r="V245" s="6"/>
      <c r="W245" s="6"/>
      <c r="X245" s="6"/>
      <c r="Y245" s="6"/>
      <c r="Z245" s="6"/>
    </row>
    <row r="246" hidden="1" outlineLevel="1">
      <c r="A246" s="44" t="str">
        <f t="shared" si="162"/>
        <v>7-2024</v>
      </c>
      <c r="B246" s="34">
        <v>45503.0</v>
      </c>
      <c r="C246" s="45"/>
      <c r="D246" s="46">
        <v>5910.7</v>
      </c>
      <c r="E246" s="47">
        <v>184.0</v>
      </c>
      <c r="F246" s="47">
        <v>184.0</v>
      </c>
      <c r="G246" s="48">
        <f t="shared" si="10"/>
        <v>1</v>
      </c>
      <c r="H246" s="46">
        <f t="shared" si="163"/>
        <v>32.12336957</v>
      </c>
      <c r="I246" s="46">
        <f t="shared" si="164"/>
        <v>32.12336957</v>
      </c>
      <c r="J246" s="49">
        <v>4882.0</v>
      </c>
      <c r="K246" s="50">
        <f t="shared" si="13"/>
        <v>0.03768947153</v>
      </c>
      <c r="L246" s="46">
        <v>243.82</v>
      </c>
      <c r="M246" s="46">
        <v>4775.1</v>
      </c>
      <c r="N246" s="47">
        <v>147.0</v>
      </c>
      <c r="O246" s="49">
        <v>233384.0</v>
      </c>
      <c r="P246" s="50">
        <f t="shared" si="14"/>
        <v>0.05106071077</v>
      </c>
      <c r="Q246" s="51">
        <f t="shared" si="15"/>
        <v>19.58452957</v>
      </c>
      <c r="R246" s="50">
        <f t="shared" si="16"/>
        <v>0.8078738559</v>
      </c>
      <c r="S246" s="16"/>
      <c r="T246" s="25"/>
      <c r="U246" s="6"/>
      <c r="V246" s="6"/>
      <c r="W246" s="6"/>
      <c r="X246" s="6"/>
      <c r="Y246" s="6"/>
      <c r="Z246" s="6"/>
    </row>
    <row r="247" hidden="1" outlineLevel="1">
      <c r="A247" s="44" t="str">
        <f t="shared" si="162"/>
        <v>7-2024</v>
      </c>
      <c r="B247" s="34">
        <v>45504.0</v>
      </c>
      <c r="C247" s="45"/>
      <c r="D247" s="46">
        <v>4877.3</v>
      </c>
      <c r="E247" s="47">
        <v>168.0</v>
      </c>
      <c r="F247" s="47">
        <v>168.0</v>
      </c>
      <c r="G247" s="48">
        <f t="shared" si="10"/>
        <v>1</v>
      </c>
      <c r="H247" s="46">
        <f t="shared" si="163"/>
        <v>29.03154762</v>
      </c>
      <c r="I247" s="46">
        <f t="shared" si="164"/>
        <v>29.03154762</v>
      </c>
      <c r="J247" s="49">
        <v>4532.0</v>
      </c>
      <c r="K247" s="50">
        <f t="shared" si="13"/>
        <v>0.03706972639</v>
      </c>
      <c r="L247" s="46">
        <v>253.8</v>
      </c>
      <c r="M247" s="46">
        <v>3232.8</v>
      </c>
      <c r="N247" s="47">
        <v>110.0</v>
      </c>
      <c r="O247" s="49">
        <v>226175.0</v>
      </c>
      <c r="P247" s="50">
        <f t="shared" si="14"/>
        <v>0.0785077951</v>
      </c>
      <c r="Q247" s="51">
        <f t="shared" si="15"/>
        <v>12.73758865</v>
      </c>
      <c r="R247" s="50">
        <f t="shared" si="16"/>
        <v>0.6628257438</v>
      </c>
      <c r="S247" s="16"/>
      <c r="T247" s="25"/>
      <c r="U247" s="6"/>
      <c r="V247" s="6"/>
      <c r="W247" s="6"/>
      <c r="X247" s="6"/>
      <c r="Y247" s="6"/>
      <c r="Z247" s="6"/>
    </row>
    <row r="248" hidden="1" outlineLevel="1">
      <c r="A248" s="44" t="str">
        <f t="shared" si="162"/>
        <v>8-2024</v>
      </c>
      <c r="B248" s="34">
        <v>45505.0</v>
      </c>
      <c r="C248" s="45"/>
      <c r="D248" s="46">
        <v>5001.7</v>
      </c>
      <c r="E248" s="47">
        <v>155.0</v>
      </c>
      <c r="F248" s="47">
        <v>155.0</v>
      </c>
      <c r="G248" s="48">
        <f t="shared" si="10"/>
        <v>1</v>
      </c>
      <c r="H248" s="46">
        <f t="shared" si="163"/>
        <v>32.26903226</v>
      </c>
      <c r="I248" s="46">
        <f t="shared" si="164"/>
        <v>32.26903226</v>
      </c>
      <c r="J248" s="49">
        <v>4041.0</v>
      </c>
      <c r="K248" s="50">
        <f t="shared" si="13"/>
        <v>0.03835684237</v>
      </c>
      <c r="L248" s="46">
        <v>219.94</v>
      </c>
      <c r="M248" s="46">
        <v>2563.84</v>
      </c>
      <c r="N248" s="47">
        <v>77.0</v>
      </c>
      <c r="O248" s="49">
        <v>189547.0</v>
      </c>
      <c r="P248" s="50">
        <f t="shared" si="14"/>
        <v>0.08578538442</v>
      </c>
      <c r="Q248" s="51">
        <f t="shared" si="15"/>
        <v>11.65699736</v>
      </c>
      <c r="R248" s="50">
        <f t="shared" si="16"/>
        <v>0.5125937181</v>
      </c>
      <c r="S248" s="16"/>
      <c r="T248" s="25"/>
      <c r="U248" s="6"/>
      <c r="V248" s="6"/>
      <c r="W248" s="6"/>
      <c r="X248" s="6"/>
      <c r="Y248" s="6"/>
      <c r="Z248" s="6"/>
    </row>
    <row r="249" hidden="1" outlineLevel="1">
      <c r="A249" s="44" t="str">
        <f t="shared" si="162"/>
        <v>8-2024</v>
      </c>
      <c r="B249" s="34">
        <v>45506.0</v>
      </c>
      <c r="C249" s="45"/>
      <c r="D249" s="46">
        <v>5072.9</v>
      </c>
      <c r="E249" s="47">
        <v>163.0</v>
      </c>
      <c r="F249" s="47">
        <v>162.0</v>
      </c>
      <c r="G249" s="48">
        <f t="shared" si="10"/>
        <v>1.00617284</v>
      </c>
      <c r="H249" s="46">
        <f t="shared" si="163"/>
        <v>31.31419753</v>
      </c>
      <c r="I249" s="46">
        <f t="shared" si="164"/>
        <v>31.12208589</v>
      </c>
      <c r="J249" s="49">
        <v>3835.0</v>
      </c>
      <c r="K249" s="50">
        <f t="shared" si="13"/>
        <v>0.04250325945</v>
      </c>
      <c r="L249" s="46">
        <v>203.32</v>
      </c>
      <c r="M249" s="46">
        <v>3192.7</v>
      </c>
      <c r="N249" s="47">
        <v>100.0</v>
      </c>
      <c r="O249" s="49">
        <v>176305.0</v>
      </c>
      <c r="P249" s="50">
        <f t="shared" si="14"/>
        <v>0.06368277633</v>
      </c>
      <c r="Q249" s="51">
        <f t="shared" si="15"/>
        <v>15.70283297</v>
      </c>
      <c r="R249" s="50">
        <f t="shared" si="16"/>
        <v>0.6293638747</v>
      </c>
      <c r="S249" s="16"/>
      <c r="T249" s="25"/>
      <c r="U249" s="6"/>
      <c r="V249" s="6"/>
      <c r="W249" s="6"/>
      <c r="X249" s="6"/>
      <c r="Y249" s="6"/>
      <c r="Z249" s="6"/>
    </row>
    <row r="250" hidden="1" outlineLevel="1">
      <c r="A250" s="44" t="str">
        <f t="shared" si="162"/>
        <v>8-2024</v>
      </c>
      <c r="B250" s="34">
        <v>45507.0</v>
      </c>
      <c r="C250" s="45"/>
      <c r="D250" s="46">
        <v>4142.8</v>
      </c>
      <c r="E250" s="47">
        <v>121.0</v>
      </c>
      <c r="F250" s="47">
        <v>120.0</v>
      </c>
      <c r="G250" s="48">
        <f t="shared" si="10"/>
        <v>1.008333333</v>
      </c>
      <c r="H250" s="46">
        <f t="shared" si="163"/>
        <v>34.52333333</v>
      </c>
      <c r="I250" s="46">
        <f t="shared" si="164"/>
        <v>34.23801653</v>
      </c>
      <c r="J250" s="49">
        <v>4287.0</v>
      </c>
      <c r="K250" s="50">
        <f t="shared" si="13"/>
        <v>0.02822486587</v>
      </c>
      <c r="L250" s="46">
        <v>205.57</v>
      </c>
      <c r="M250" s="46">
        <v>2292.3</v>
      </c>
      <c r="N250" s="47">
        <v>64.0</v>
      </c>
      <c r="O250" s="49">
        <v>174049.0</v>
      </c>
      <c r="P250" s="50">
        <f t="shared" si="14"/>
        <v>0.08967848885</v>
      </c>
      <c r="Q250" s="51">
        <f t="shared" si="15"/>
        <v>11.15094615</v>
      </c>
      <c r="R250" s="50">
        <f t="shared" si="16"/>
        <v>0.5533214251</v>
      </c>
      <c r="S250" s="16"/>
      <c r="T250" s="25"/>
      <c r="U250" s="6"/>
      <c r="V250" s="6"/>
      <c r="W250" s="6"/>
      <c r="X250" s="6"/>
      <c r="Y250" s="6"/>
      <c r="Z250" s="6"/>
    </row>
    <row r="251" collapsed="1">
      <c r="A251" s="52" t="s">
        <v>127</v>
      </c>
      <c r="B251" s="53"/>
      <c r="C251" s="54"/>
      <c r="D251" s="55">
        <f t="shared" ref="D251:F251" si="165">SUM(D244:D250)</f>
        <v>35636.1</v>
      </c>
      <c r="E251" s="81">
        <f t="shared" si="165"/>
        <v>1130</v>
      </c>
      <c r="F251" s="81">
        <f t="shared" si="165"/>
        <v>1125</v>
      </c>
      <c r="G251" s="57">
        <f t="shared" si="10"/>
        <v>1.004444444</v>
      </c>
      <c r="H251" s="55">
        <f>AVERAGE(H244:H250)</f>
        <v>31.7770278</v>
      </c>
      <c r="I251" s="58">
        <f>H251/G251</f>
        <v>31.63642148</v>
      </c>
      <c r="J251" s="59">
        <f>SUM(J244:J250)</f>
        <v>32037</v>
      </c>
      <c r="K251" s="60">
        <f t="shared" si="13"/>
        <v>0.03527171708</v>
      </c>
      <c r="L251" s="55">
        <f t="shared" ref="L251:N251" si="166">SUM(L244:L250)</f>
        <v>1680.63</v>
      </c>
      <c r="M251" s="55">
        <f t="shared" si="166"/>
        <v>23101.08</v>
      </c>
      <c r="N251" s="56">
        <f t="shared" si="166"/>
        <v>721</v>
      </c>
      <c r="O251" s="59">
        <f>sum(O244:O250)</f>
        <v>1534190</v>
      </c>
      <c r="P251" s="60">
        <f t="shared" si="14"/>
        <v>0.0727511441</v>
      </c>
      <c r="Q251" s="61">
        <f t="shared" si="15"/>
        <v>13.7454883</v>
      </c>
      <c r="R251" s="62">
        <f t="shared" si="16"/>
        <v>0.6482493876</v>
      </c>
      <c r="S251" s="54">
        <f>iferror((D251-D131)/D251,)</f>
        <v>0.3696139589</v>
      </c>
      <c r="T251" s="63">
        <f>iferror((F251-E131)/F251,)</f>
        <v>0.4586666667</v>
      </c>
      <c r="U251" s="6"/>
      <c r="V251" s="6"/>
      <c r="W251" s="6"/>
      <c r="X251" s="6"/>
      <c r="Y251" s="6"/>
      <c r="Z251" s="6"/>
    </row>
    <row r="252" hidden="1" outlineLevel="1">
      <c r="A252" s="33" t="str">
        <f t="shared" ref="A252:A258" si="167">iferror(if(B252&gt;0,month(B252)&amp;"-"&amp;year(B252),B252),)</f>
        <v>8-2024</v>
      </c>
      <c r="B252" s="34">
        <v>45508.0</v>
      </c>
      <c r="C252" s="35"/>
      <c r="D252" s="36">
        <v>4695.8</v>
      </c>
      <c r="E252" s="37">
        <v>148.0</v>
      </c>
      <c r="F252" s="37">
        <v>148.0</v>
      </c>
      <c r="G252" s="38">
        <f t="shared" si="10"/>
        <v>1</v>
      </c>
      <c r="H252" s="36">
        <f t="shared" ref="H252:H258" si="168">D252/F252</f>
        <v>31.72837838</v>
      </c>
      <c r="I252" s="36">
        <f t="shared" ref="I252:I258" si="169">D252/E252</f>
        <v>31.72837838</v>
      </c>
      <c r="J252" s="39">
        <v>5113.0</v>
      </c>
      <c r="K252" s="40">
        <f t="shared" si="13"/>
        <v>0.02894582437</v>
      </c>
      <c r="L252" s="36">
        <v>242.38</v>
      </c>
      <c r="M252" s="36">
        <v>2415.24</v>
      </c>
      <c r="N252" s="37">
        <v>76.0</v>
      </c>
      <c r="O252" s="39">
        <v>210012.0</v>
      </c>
      <c r="P252" s="40">
        <f t="shared" si="14"/>
        <v>0.1003544161</v>
      </c>
      <c r="Q252" s="41">
        <f t="shared" si="15"/>
        <v>9.964683555</v>
      </c>
      <c r="R252" s="40">
        <f t="shared" si="16"/>
        <v>0.5143404745</v>
      </c>
      <c r="S252" s="42"/>
      <c r="T252" s="43"/>
      <c r="U252" s="6"/>
      <c r="V252" s="6"/>
      <c r="W252" s="6"/>
      <c r="X252" s="6"/>
      <c r="Y252" s="6"/>
      <c r="Z252" s="6"/>
    </row>
    <row r="253" hidden="1" outlineLevel="1">
      <c r="A253" s="44" t="str">
        <f t="shared" si="167"/>
        <v>8-2024</v>
      </c>
      <c r="B253" s="34">
        <v>45509.0</v>
      </c>
      <c r="C253" s="45"/>
      <c r="D253" s="46">
        <v>2872.7</v>
      </c>
      <c r="E253" s="47">
        <v>92.0</v>
      </c>
      <c r="F253" s="47">
        <v>92.0</v>
      </c>
      <c r="G253" s="48">
        <f t="shared" si="10"/>
        <v>1</v>
      </c>
      <c r="H253" s="46">
        <f t="shared" si="168"/>
        <v>31.225</v>
      </c>
      <c r="I253" s="46">
        <f t="shared" si="169"/>
        <v>31.225</v>
      </c>
      <c r="J253" s="49">
        <v>3659.0</v>
      </c>
      <c r="K253" s="50">
        <f t="shared" si="13"/>
        <v>0.02514348183</v>
      </c>
      <c r="L253" s="46">
        <v>200.65</v>
      </c>
      <c r="M253" s="46">
        <v>1882.94</v>
      </c>
      <c r="N253" s="47">
        <v>58.0</v>
      </c>
      <c r="O253" s="49">
        <v>168853.0</v>
      </c>
      <c r="P253" s="50">
        <f t="shared" si="14"/>
        <v>0.1065620785</v>
      </c>
      <c r="Q253" s="51">
        <f t="shared" si="15"/>
        <v>9.384201346</v>
      </c>
      <c r="R253" s="50">
        <f t="shared" si="16"/>
        <v>0.6554600202</v>
      </c>
      <c r="S253" s="16"/>
      <c r="T253" s="25"/>
      <c r="U253" s="6"/>
      <c r="V253" s="6"/>
      <c r="W253" s="6"/>
      <c r="X253" s="6"/>
      <c r="Y253" s="6"/>
      <c r="Z253" s="6"/>
    </row>
    <row r="254" hidden="1" outlineLevel="1">
      <c r="A254" s="44" t="str">
        <f t="shared" si="167"/>
        <v>8-2024</v>
      </c>
      <c r="B254" s="34">
        <v>45510.0</v>
      </c>
      <c r="C254" s="45"/>
      <c r="D254" s="46">
        <v>3743.5</v>
      </c>
      <c r="E254" s="47">
        <v>118.0</v>
      </c>
      <c r="F254" s="47">
        <v>117.0</v>
      </c>
      <c r="G254" s="48">
        <f t="shared" si="10"/>
        <v>1.008547009</v>
      </c>
      <c r="H254" s="46">
        <f t="shared" si="168"/>
        <v>31.9957265</v>
      </c>
      <c r="I254" s="46">
        <f t="shared" si="169"/>
        <v>31.72457627</v>
      </c>
      <c r="J254" s="49">
        <v>3890.0</v>
      </c>
      <c r="K254" s="50">
        <f t="shared" si="13"/>
        <v>0.03033419023</v>
      </c>
      <c r="L254" s="46">
        <v>218.37</v>
      </c>
      <c r="M254" s="46">
        <v>2492.8</v>
      </c>
      <c r="N254" s="47">
        <v>78.0</v>
      </c>
      <c r="O254" s="49">
        <v>186558.0</v>
      </c>
      <c r="P254" s="50">
        <f t="shared" si="14"/>
        <v>0.08760028883</v>
      </c>
      <c r="Q254" s="51">
        <f t="shared" si="15"/>
        <v>11.41548748</v>
      </c>
      <c r="R254" s="50">
        <f t="shared" si="16"/>
        <v>0.6659008949</v>
      </c>
      <c r="S254" s="16"/>
      <c r="T254" s="25"/>
      <c r="U254" s="6"/>
      <c r="V254" s="6"/>
      <c r="W254" s="6"/>
      <c r="X254" s="6"/>
      <c r="Y254" s="6"/>
      <c r="Z254" s="6"/>
    </row>
    <row r="255" hidden="1" outlineLevel="1">
      <c r="A255" s="44" t="str">
        <f t="shared" si="167"/>
        <v>8-2024</v>
      </c>
      <c r="B255" s="34">
        <v>45511.0</v>
      </c>
      <c r="C255" s="45"/>
      <c r="D255" s="46">
        <v>3356.1</v>
      </c>
      <c r="E255" s="47">
        <v>105.0</v>
      </c>
      <c r="F255" s="47">
        <v>105.0</v>
      </c>
      <c r="G255" s="48">
        <f t="shared" si="10"/>
        <v>1</v>
      </c>
      <c r="H255" s="46">
        <f t="shared" si="168"/>
        <v>31.96285714</v>
      </c>
      <c r="I255" s="46">
        <f t="shared" si="169"/>
        <v>31.96285714</v>
      </c>
      <c r="J255" s="49">
        <v>3969.0</v>
      </c>
      <c r="K255" s="50">
        <f t="shared" si="13"/>
        <v>0.02645502646</v>
      </c>
      <c r="L255" s="46">
        <v>247.01</v>
      </c>
      <c r="M255" s="46">
        <v>2073.3</v>
      </c>
      <c r="N255" s="47">
        <v>61.0</v>
      </c>
      <c r="O255" s="49">
        <v>250267.0</v>
      </c>
      <c r="P255" s="50">
        <f t="shared" si="14"/>
        <v>0.1191385714</v>
      </c>
      <c r="Q255" s="51">
        <f t="shared" si="15"/>
        <v>8.393587304</v>
      </c>
      <c r="R255" s="50">
        <f t="shared" si="16"/>
        <v>0.6177706266</v>
      </c>
      <c r="S255" s="16"/>
      <c r="T255" s="25"/>
      <c r="U255" s="6"/>
      <c r="V255" s="6"/>
      <c r="W255" s="6"/>
      <c r="X255" s="6"/>
      <c r="Y255" s="6"/>
      <c r="Z255" s="6"/>
    </row>
    <row r="256" hidden="1" outlineLevel="1">
      <c r="A256" s="44" t="str">
        <f t="shared" si="167"/>
        <v>8-2024</v>
      </c>
      <c r="B256" s="34">
        <v>45512.0</v>
      </c>
      <c r="C256" s="45"/>
      <c r="D256" s="46">
        <v>3476.5</v>
      </c>
      <c r="E256" s="47">
        <v>105.0</v>
      </c>
      <c r="F256" s="47">
        <v>105.0</v>
      </c>
      <c r="G256" s="48">
        <f t="shared" si="10"/>
        <v>1</v>
      </c>
      <c r="H256" s="46">
        <f t="shared" si="168"/>
        <v>33.10952381</v>
      </c>
      <c r="I256" s="46">
        <f t="shared" si="169"/>
        <v>33.10952381</v>
      </c>
      <c r="J256" s="49">
        <v>3932.0</v>
      </c>
      <c r="K256" s="50">
        <f t="shared" si="13"/>
        <v>0.02670396745</v>
      </c>
      <c r="L256" s="46">
        <v>239.21</v>
      </c>
      <c r="M256" s="46">
        <v>2447.07</v>
      </c>
      <c r="N256" s="47">
        <v>70.0</v>
      </c>
      <c r="O256" s="49">
        <v>252693.0</v>
      </c>
      <c r="P256" s="50">
        <f t="shared" si="14"/>
        <v>0.09775364007</v>
      </c>
      <c r="Q256" s="51">
        <f t="shared" si="15"/>
        <v>10.22979809</v>
      </c>
      <c r="R256" s="50">
        <f t="shared" si="16"/>
        <v>0.7038889688</v>
      </c>
      <c r="S256" s="16"/>
      <c r="T256" s="25"/>
      <c r="U256" s="6"/>
      <c r="V256" s="6"/>
      <c r="W256" s="6"/>
      <c r="X256" s="6"/>
      <c r="Y256" s="6"/>
      <c r="Z256" s="6"/>
    </row>
    <row r="257" hidden="1" outlineLevel="1">
      <c r="A257" s="44" t="str">
        <f t="shared" si="167"/>
        <v>8-2024</v>
      </c>
      <c r="B257" s="34">
        <v>45513.0</v>
      </c>
      <c r="C257" s="45"/>
      <c r="D257" s="46">
        <v>3334.9</v>
      </c>
      <c r="E257" s="47">
        <v>116.0</v>
      </c>
      <c r="F257" s="47">
        <v>115.0</v>
      </c>
      <c r="G257" s="48">
        <f t="shared" si="10"/>
        <v>1.008695652</v>
      </c>
      <c r="H257" s="46">
        <f t="shared" si="168"/>
        <v>28.99913043</v>
      </c>
      <c r="I257" s="46">
        <f t="shared" si="169"/>
        <v>28.74913793</v>
      </c>
      <c r="J257" s="49">
        <v>3730.0</v>
      </c>
      <c r="K257" s="50">
        <f t="shared" si="13"/>
        <v>0.03109919571</v>
      </c>
      <c r="L257" s="46">
        <v>223.1</v>
      </c>
      <c r="M257" s="46">
        <v>1821.1</v>
      </c>
      <c r="N257" s="47">
        <v>68.0</v>
      </c>
      <c r="O257" s="49">
        <v>230828.0</v>
      </c>
      <c r="P257" s="50">
        <f t="shared" si="14"/>
        <v>0.1225083741</v>
      </c>
      <c r="Q257" s="51">
        <f t="shared" si="15"/>
        <v>8.162707306</v>
      </c>
      <c r="R257" s="50">
        <f t="shared" si="16"/>
        <v>0.5460733455</v>
      </c>
      <c r="S257" s="16"/>
      <c r="T257" s="25"/>
      <c r="U257" s="6"/>
      <c r="V257" s="6"/>
      <c r="W257" s="6"/>
      <c r="X257" s="6"/>
      <c r="Y257" s="6"/>
      <c r="Z257" s="6"/>
    </row>
    <row r="258" hidden="1" outlineLevel="1">
      <c r="A258" s="44" t="str">
        <f t="shared" si="167"/>
        <v>8-2024</v>
      </c>
      <c r="B258" s="34">
        <v>45514.0</v>
      </c>
      <c r="C258" s="45"/>
      <c r="D258" s="46">
        <v>2883.1</v>
      </c>
      <c r="E258" s="47">
        <v>92.0</v>
      </c>
      <c r="F258" s="47">
        <v>92.0</v>
      </c>
      <c r="G258" s="48">
        <f t="shared" si="10"/>
        <v>1</v>
      </c>
      <c r="H258" s="46">
        <f t="shared" si="168"/>
        <v>31.33804348</v>
      </c>
      <c r="I258" s="46">
        <f t="shared" si="169"/>
        <v>31.33804348</v>
      </c>
      <c r="J258" s="49">
        <v>4214.0</v>
      </c>
      <c r="K258" s="50">
        <f t="shared" si="13"/>
        <v>0.02183198861</v>
      </c>
      <c r="L258" s="46">
        <v>265.64</v>
      </c>
      <c r="M258" s="46">
        <v>1661.0</v>
      </c>
      <c r="N258" s="47">
        <v>58.0</v>
      </c>
      <c r="O258" s="49">
        <v>243582.0</v>
      </c>
      <c r="P258" s="50">
        <f t="shared" si="14"/>
        <v>0.1599277544</v>
      </c>
      <c r="Q258" s="51">
        <f t="shared" si="15"/>
        <v>6.25282337</v>
      </c>
      <c r="R258" s="50">
        <f t="shared" si="16"/>
        <v>0.5761159863</v>
      </c>
      <c r="S258" s="16"/>
      <c r="T258" s="25"/>
      <c r="U258" s="6"/>
      <c r="V258" s="6"/>
      <c r="W258" s="6"/>
      <c r="X258" s="6"/>
      <c r="Y258" s="6"/>
      <c r="Z258" s="6"/>
    </row>
    <row r="259" collapsed="1">
      <c r="A259" s="52" t="s">
        <v>128</v>
      </c>
      <c r="B259" s="53"/>
      <c r="C259" s="54"/>
      <c r="D259" s="55">
        <f t="shared" ref="D259:F259" si="170">SUM(D252:D258)</f>
        <v>24362.6</v>
      </c>
      <c r="E259" s="81">
        <f t="shared" si="170"/>
        <v>776</v>
      </c>
      <c r="F259" s="81">
        <f t="shared" si="170"/>
        <v>774</v>
      </c>
      <c r="G259" s="57">
        <f t="shared" si="10"/>
        <v>1.002583979</v>
      </c>
      <c r="H259" s="55">
        <f>AVERAGE(H252:H258)</f>
        <v>31.47980853</v>
      </c>
      <c r="I259" s="58">
        <f>H259/G259</f>
        <v>31.39867501</v>
      </c>
      <c r="J259" s="59">
        <f>SUM(J252:J258)</f>
        <v>28507</v>
      </c>
      <c r="K259" s="60">
        <f t="shared" si="13"/>
        <v>0.02722138422</v>
      </c>
      <c r="L259" s="55">
        <f t="shared" ref="L259:N259" si="171">SUM(L252:L258)</f>
        <v>1636.36</v>
      </c>
      <c r="M259" s="55">
        <f t="shared" si="171"/>
        <v>14793.45</v>
      </c>
      <c r="N259" s="56">
        <f t="shared" si="171"/>
        <v>469</v>
      </c>
      <c r="O259" s="59">
        <f>sum(O252:O258)</f>
        <v>1542793</v>
      </c>
      <c r="P259" s="60">
        <f t="shared" si="14"/>
        <v>0.110613819</v>
      </c>
      <c r="Q259" s="61">
        <f t="shared" si="15"/>
        <v>9.040461757</v>
      </c>
      <c r="R259" s="62">
        <f t="shared" si="16"/>
        <v>0.6072196728</v>
      </c>
      <c r="S259" s="54">
        <f>iferror((D259-D131)/D259,)</f>
        <v>0.07791040365</v>
      </c>
      <c r="T259" s="63">
        <f>iferror((F259-E131)/F259,)</f>
        <v>0.2131782946</v>
      </c>
      <c r="U259" s="6"/>
      <c r="V259" s="6"/>
      <c r="W259" s="6"/>
      <c r="X259" s="6"/>
      <c r="Y259" s="6"/>
      <c r="Z259" s="6"/>
    </row>
    <row r="260" hidden="1" outlineLevel="1">
      <c r="A260" s="33" t="str">
        <f t="shared" ref="A260:A266" si="172">iferror(if(B260&gt;0,month(B260)&amp;"-"&amp;year(B260),B260),)</f>
        <v>8-2024</v>
      </c>
      <c r="B260" s="34">
        <v>45515.0</v>
      </c>
      <c r="C260" s="35"/>
      <c r="D260" s="36">
        <v>3337.7</v>
      </c>
      <c r="E260" s="37">
        <v>99.0</v>
      </c>
      <c r="F260" s="37">
        <v>99.0</v>
      </c>
      <c r="G260" s="38">
        <f t="shared" si="10"/>
        <v>1</v>
      </c>
      <c r="H260" s="36">
        <f t="shared" ref="H260:H266" si="173">D260/F260</f>
        <v>33.71414141</v>
      </c>
      <c r="I260" s="36">
        <f t="shared" ref="I260:I266" si="174">D260/E260</f>
        <v>33.71414141</v>
      </c>
      <c r="J260" s="39">
        <v>4251.0</v>
      </c>
      <c r="K260" s="40">
        <f t="shared" si="13"/>
        <v>0.02328863797</v>
      </c>
      <c r="L260" s="36">
        <v>246.76</v>
      </c>
      <c r="M260" s="36">
        <v>1887.8</v>
      </c>
      <c r="N260" s="37">
        <v>54.0</v>
      </c>
      <c r="O260" s="39">
        <v>241235.0</v>
      </c>
      <c r="P260" s="40">
        <f t="shared" si="14"/>
        <v>0.1307129993</v>
      </c>
      <c r="Q260" s="41">
        <f t="shared" si="15"/>
        <v>7.650348517</v>
      </c>
      <c r="R260" s="40">
        <f t="shared" si="16"/>
        <v>0.5655990652</v>
      </c>
      <c r="S260" s="42"/>
      <c r="T260" s="43"/>
      <c r="U260" s="6"/>
      <c r="V260" s="6"/>
      <c r="W260" s="6"/>
      <c r="X260" s="6"/>
      <c r="Y260" s="6"/>
      <c r="Z260" s="6"/>
    </row>
    <row r="261" hidden="1" outlineLevel="1">
      <c r="A261" s="44" t="str">
        <f t="shared" si="172"/>
        <v>8-2024</v>
      </c>
      <c r="B261" s="34">
        <v>45516.0</v>
      </c>
      <c r="C261" s="45"/>
      <c r="D261" s="46">
        <v>2894.5</v>
      </c>
      <c r="E261" s="47">
        <v>86.0</v>
      </c>
      <c r="F261" s="47">
        <v>84.0</v>
      </c>
      <c r="G261" s="48">
        <f t="shared" si="10"/>
        <v>1.023809524</v>
      </c>
      <c r="H261" s="46">
        <f t="shared" si="173"/>
        <v>34.45833333</v>
      </c>
      <c r="I261" s="46">
        <f t="shared" si="174"/>
        <v>33.65697674</v>
      </c>
      <c r="J261" s="49">
        <v>3069.0</v>
      </c>
      <c r="K261" s="50">
        <f t="shared" si="13"/>
        <v>0.02802215705</v>
      </c>
      <c r="L261" s="46">
        <v>185.04</v>
      </c>
      <c r="M261" s="46">
        <v>1819.3</v>
      </c>
      <c r="N261" s="47">
        <v>59.0</v>
      </c>
      <c r="O261" s="49">
        <v>181160.0</v>
      </c>
      <c r="P261" s="50">
        <f t="shared" si="14"/>
        <v>0.1017094487</v>
      </c>
      <c r="Q261" s="51">
        <f t="shared" si="15"/>
        <v>9.831928232</v>
      </c>
      <c r="R261" s="50">
        <f t="shared" si="16"/>
        <v>0.6285368803</v>
      </c>
      <c r="S261" s="16"/>
      <c r="T261" s="25"/>
      <c r="U261" s="6"/>
      <c r="V261" s="6"/>
      <c r="W261" s="6"/>
      <c r="X261" s="6"/>
      <c r="Y261" s="6"/>
      <c r="Z261" s="6"/>
    </row>
    <row r="262" hidden="1" outlineLevel="1">
      <c r="A262" s="44" t="str">
        <f t="shared" si="172"/>
        <v>8-2024</v>
      </c>
      <c r="B262" s="34">
        <v>45517.0</v>
      </c>
      <c r="C262" s="45"/>
      <c r="D262" s="46">
        <v>2738.8</v>
      </c>
      <c r="E262" s="47">
        <v>83.0</v>
      </c>
      <c r="F262" s="47">
        <v>82.0</v>
      </c>
      <c r="G262" s="48">
        <f t="shared" si="10"/>
        <v>1.012195122</v>
      </c>
      <c r="H262" s="46">
        <f t="shared" si="173"/>
        <v>33.4</v>
      </c>
      <c r="I262" s="46">
        <f t="shared" si="174"/>
        <v>32.99759036</v>
      </c>
      <c r="J262" s="49">
        <v>3080.0</v>
      </c>
      <c r="K262" s="50">
        <f t="shared" si="13"/>
        <v>0.02694805195</v>
      </c>
      <c r="L262" s="46">
        <v>169.27</v>
      </c>
      <c r="M262" s="46">
        <v>1749.41</v>
      </c>
      <c r="N262" s="47">
        <v>51.0</v>
      </c>
      <c r="O262" s="49">
        <v>177171.0</v>
      </c>
      <c r="P262" s="50">
        <f t="shared" si="14"/>
        <v>0.09675833567</v>
      </c>
      <c r="Q262" s="51">
        <f t="shared" si="15"/>
        <v>10.33502688</v>
      </c>
      <c r="R262" s="50">
        <f t="shared" si="16"/>
        <v>0.6387505477</v>
      </c>
      <c r="S262" s="16"/>
      <c r="T262" s="25"/>
      <c r="U262" s="6"/>
      <c r="V262" s="6"/>
      <c r="W262" s="6"/>
      <c r="X262" s="6"/>
      <c r="Y262" s="6"/>
      <c r="Z262" s="6"/>
    </row>
    <row r="263" hidden="1" outlineLevel="1">
      <c r="A263" s="44" t="str">
        <f t="shared" si="172"/>
        <v>8-2024</v>
      </c>
      <c r="B263" s="34">
        <v>45518.0</v>
      </c>
      <c r="C263" s="45"/>
      <c r="D263" s="46">
        <v>2194.4</v>
      </c>
      <c r="E263" s="47">
        <v>74.0</v>
      </c>
      <c r="F263" s="47">
        <v>73.0</v>
      </c>
      <c r="G263" s="48">
        <f t="shared" si="10"/>
        <v>1.01369863</v>
      </c>
      <c r="H263" s="46">
        <f t="shared" si="173"/>
        <v>30.06027397</v>
      </c>
      <c r="I263" s="46">
        <f t="shared" si="174"/>
        <v>29.65405405</v>
      </c>
      <c r="J263" s="49">
        <v>3183.0</v>
      </c>
      <c r="K263" s="50">
        <f t="shared" si="13"/>
        <v>0.0232485077</v>
      </c>
      <c r="L263" s="46">
        <v>175.21</v>
      </c>
      <c r="M263" s="46">
        <v>1645.87</v>
      </c>
      <c r="N263" s="47">
        <v>50.0</v>
      </c>
      <c r="O263" s="49">
        <v>163815.0</v>
      </c>
      <c r="P263" s="50">
        <f t="shared" si="14"/>
        <v>0.1064543372</v>
      </c>
      <c r="Q263" s="51">
        <f t="shared" si="15"/>
        <v>9.39369899</v>
      </c>
      <c r="R263" s="50">
        <f t="shared" si="16"/>
        <v>0.7500318994</v>
      </c>
      <c r="S263" s="16"/>
      <c r="T263" s="25"/>
      <c r="U263" s="6"/>
      <c r="V263" s="6"/>
      <c r="W263" s="6"/>
      <c r="X263" s="6"/>
      <c r="Y263" s="6"/>
      <c r="Z263" s="6"/>
    </row>
    <row r="264" hidden="1" outlineLevel="1">
      <c r="A264" s="44" t="str">
        <f t="shared" si="172"/>
        <v>8-2024</v>
      </c>
      <c r="B264" s="34">
        <v>45519.0</v>
      </c>
      <c r="C264" s="45"/>
      <c r="D264" s="46">
        <v>2875.0</v>
      </c>
      <c r="E264" s="47">
        <v>85.0</v>
      </c>
      <c r="F264" s="47">
        <v>85.0</v>
      </c>
      <c r="G264" s="48">
        <f t="shared" si="10"/>
        <v>1</v>
      </c>
      <c r="H264" s="46">
        <f t="shared" si="173"/>
        <v>33.82352941</v>
      </c>
      <c r="I264" s="46">
        <f t="shared" si="174"/>
        <v>33.82352941</v>
      </c>
      <c r="J264" s="49">
        <v>3401.0</v>
      </c>
      <c r="K264" s="50">
        <f t="shared" si="13"/>
        <v>0.02499264922</v>
      </c>
      <c r="L264" s="46">
        <v>182.93</v>
      </c>
      <c r="M264" s="46">
        <v>1687.0</v>
      </c>
      <c r="N264" s="47">
        <v>47.0</v>
      </c>
      <c r="O264" s="49">
        <v>165195.0</v>
      </c>
      <c r="P264" s="50">
        <f t="shared" si="14"/>
        <v>0.1084350919</v>
      </c>
      <c r="Q264" s="51">
        <f t="shared" si="15"/>
        <v>9.222106817</v>
      </c>
      <c r="R264" s="50">
        <f t="shared" si="16"/>
        <v>0.5867826087</v>
      </c>
      <c r="S264" s="16"/>
      <c r="T264" s="25"/>
      <c r="U264" s="6"/>
      <c r="V264" s="6"/>
      <c r="W264" s="6"/>
      <c r="X264" s="6"/>
      <c r="Y264" s="6"/>
      <c r="Z264" s="6"/>
    </row>
    <row r="265" hidden="1" outlineLevel="1">
      <c r="A265" s="44" t="str">
        <f t="shared" si="172"/>
        <v>8-2024</v>
      </c>
      <c r="B265" s="34">
        <v>45520.0</v>
      </c>
      <c r="C265" s="45"/>
      <c r="D265" s="46">
        <v>2063.7</v>
      </c>
      <c r="E265" s="47">
        <v>67.0</v>
      </c>
      <c r="F265" s="47">
        <v>66.0</v>
      </c>
      <c r="G265" s="48">
        <f t="shared" si="10"/>
        <v>1.015151515</v>
      </c>
      <c r="H265" s="46">
        <f t="shared" si="173"/>
        <v>31.26818182</v>
      </c>
      <c r="I265" s="46">
        <f t="shared" si="174"/>
        <v>30.80149254</v>
      </c>
      <c r="J265" s="49">
        <v>2202.0</v>
      </c>
      <c r="K265" s="50">
        <f t="shared" si="13"/>
        <v>0.03042688465</v>
      </c>
      <c r="L265" s="46">
        <v>139.98</v>
      </c>
      <c r="M265" s="46">
        <v>1399.4</v>
      </c>
      <c r="N265" s="47">
        <v>45.0</v>
      </c>
      <c r="O265" s="49">
        <v>129535.0</v>
      </c>
      <c r="P265" s="50">
        <f t="shared" si="14"/>
        <v>0.1000285837</v>
      </c>
      <c r="Q265" s="51">
        <f t="shared" si="15"/>
        <v>9.997142449</v>
      </c>
      <c r="R265" s="50">
        <f t="shared" si="16"/>
        <v>0.6781024374</v>
      </c>
      <c r="S265" s="16"/>
      <c r="T265" s="25"/>
      <c r="U265" s="6"/>
      <c r="V265" s="6"/>
      <c r="W265" s="6"/>
      <c r="X265" s="6"/>
      <c r="Y265" s="6"/>
      <c r="Z265" s="6"/>
    </row>
    <row r="266" hidden="1" outlineLevel="1">
      <c r="A266" s="44" t="str">
        <f t="shared" si="172"/>
        <v>8-2024</v>
      </c>
      <c r="B266" s="34">
        <v>45521.0</v>
      </c>
      <c r="C266" s="45"/>
      <c r="D266" s="46">
        <v>2637.4</v>
      </c>
      <c r="E266" s="47">
        <v>84.0</v>
      </c>
      <c r="F266" s="47">
        <v>84.0</v>
      </c>
      <c r="G266" s="48">
        <f t="shared" si="10"/>
        <v>1</v>
      </c>
      <c r="H266" s="46">
        <f t="shared" si="173"/>
        <v>31.39761905</v>
      </c>
      <c r="I266" s="46">
        <f t="shared" si="174"/>
        <v>31.39761905</v>
      </c>
      <c r="J266" s="49">
        <v>3214.0</v>
      </c>
      <c r="K266" s="50">
        <f t="shared" si="13"/>
        <v>0.0261356565</v>
      </c>
      <c r="L266" s="46">
        <v>163.43</v>
      </c>
      <c r="M266" s="46">
        <v>1499.7</v>
      </c>
      <c r="N266" s="47">
        <v>42.0</v>
      </c>
      <c r="O266" s="49">
        <v>153994.0</v>
      </c>
      <c r="P266" s="50">
        <f t="shared" si="14"/>
        <v>0.1089751284</v>
      </c>
      <c r="Q266" s="51">
        <f t="shared" si="15"/>
        <v>9.176405801</v>
      </c>
      <c r="R266" s="50">
        <f t="shared" si="16"/>
        <v>0.5686281944</v>
      </c>
      <c r="S266" s="16"/>
      <c r="T266" s="25"/>
      <c r="U266" s="6"/>
      <c r="V266" s="6"/>
      <c r="W266" s="6"/>
      <c r="X266" s="6"/>
      <c r="Y266" s="6"/>
      <c r="Z266" s="6"/>
    </row>
    <row r="267" collapsed="1">
      <c r="A267" s="52" t="s">
        <v>129</v>
      </c>
      <c r="B267" s="53"/>
      <c r="C267" s="54"/>
      <c r="D267" s="55">
        <f t="shared" ref="D267:F267" si="175">SUM(D260:D266)</f>
        <v>18741.5</v>
      </c>
      <c r="E267" s="81">
        <f t="shared" si="175"/>
        <v>578</v>
      </c>
      <c r="F267" s="81">
        <f t="shared" si="175"/>
        <v>573</v>
      </c>
      <c r="G267" s="57">
        <f t="shared" si="10"/>
        <v>1.008726003</v>
      </c>
      <c r="H267" s="55">
        <f>AVERAGE(H260:H266)</f>
        <v>32.58886843</v>
      </c>
      <c r="I267" s="58">
        <f>H267/G267</f>
        <v>32.3069578</v>
      </c>
      <c r="J267" s="59">
        <f>SUM(J260:J266)</f>
        <v>22400</v>
      </c>
      <c r="K267" s="60">
        <f t="shared" si="13"/>
        <v>0.02580357143</v>
      </c>
      <c r="L267" s="55">
        <f t="shared" ref="L267:N267" si="176">SUM(L260:L266)</f>
        <v>1262.62</v>
      </c>
      <c r="M267" s="55">
        <f t="shared" si="176"/>
        <v>11688.48</v>
      </c>
      <c r="N267" s="56">
        <f t="shared" si="176"/>
        <v>348</v>
      </c>
      <c r="O267" s="59">
        <f>sum(O260:O266)</f>
        <v>1212105</v>
      </c>
      <c r="P267" s="60">
        <f t="shared" si="14"/>
        <v>0.1080226</v>
      </c>
      <c r="Q267" s="61">
        <f t="shared" si="15"/>
        <v>9.257322076</v>
      </c>
      <c r="R267" s="62">
        <f t="shared" si="16"/>
        <v>0.6236683296</v>
      </c>
      <c r="S267" s="54">
        <f>iferror((D267-D131)/D267,)</f>
        <v>-0.1986500547</v>
      </c>
      <c r="T267" s="63">
        <f>iferror((F267-E131)/F267,)</f>
        <v>-0.06282722513</v>
      </c>
      <c r="U267" s="6"/>
      <c r="V267" s="6"/>
      <c r="W267" s="6"/>
      <c r="X267" s="6"/>
      <c r="Y267" s="6"/>
      <c r="Z267" s="6"/>
    </row>
    <row r="268" hidden="1" outlineLevel="1">
      <c r="A268" s="33" t="str">
        <f t="shared" ref="A268:A274" si="177">iferror(if(B268&gt;0,month(B268)&amp;"-"&amp;year(B268),B268),)</f>
        <v>8-2024</v>
      </c>
      <c r="B268" s="34">
        <v>45522.0</v>
      </c>
      <c r="C268" s="35"/>
      <c r="D268" s="36">
        <v>2661.4</v>
      </c>
      <c r="E268" s="37">
        <v>80.0</v>
      </c>
      <c r="F268" s="37">
        <v>80.0</v>
      </c>
      <c r="G268" s="38">
        <f t="shared" si="10"/>
        <v>1</v>
      </c>
      <c r="H268" s="36">
        <f t="shared" ref="H268:H274" si="178">D268/F268</f>
        <v>33.2675</v>
      </c>
      <c r="I268" s="36">
        <f t="shared" ref="I268:I274" si="179">D268/E268</f>
        <v>33.2675</v>
      </c>
      <c r="J268" s="39">
        <v>3832.0</v>
      </c>
      <c r="K268" s="40">
        <f t="shared" si="13"/>
        <v>0.02087682672</v>
      </c>
      <c r="L268" s="36">
        <v>209.14</v>
      </c>
      <c r="M268" s="36">
        <v>1404.4</v>
      </c>
      <c r="N268" s="37">
        <v>45.0</v>
      </c>
      <c r="O268" s="39">
        <v>193942.0</v>
      </c>
      <c r="P268" s="40">
        <f t="shared" si="14"/>
        <v>0.1489176873</v>
      </c>
      <c r="Q268" s="41">
        <f t="shared" si="15"/>
        <v>6.715119059</v>
      </c>
      <c r="R268" s="40">
        <f t="shared" si="16"/>
        <v>0.5276921921</v>
      </c>
      <c r="S268" s="42"/>
      <c r="T268" s="43"/>
      <c r="U268" s="6"/>
      <c r="V268" s="6"/>
      <c r="W268" s="6"/>
      <c r="X268" s="6"/>
      <c r="Y268" s="6"/>
      <c r="Z268" s="6"/>
    </row>
    <row r="269" hidden="1" outlineLevel="1">
      <c r="A269" s="44" t="str">
        <f t="shared" si="177"/>
        <v>8-2024</v>
      </c>
      <c r="B269" s="34">
        <v>45523.0</v>
      </c>
      <c r="C269" s="45"/>
      <c r="D269" s="46">
        <v>2633.1</v>
      </c>
      <c r="E269" s="47">
        <v>82.0</v>
      </c>
      <c r="F269" s="47">
        <v>82.0</v>
      </c>
      <c r="G269" s="48">
        <f t="shared" si="10"/>
        <v>1</v>
      </c>
      <c r="H269" s="46">
        <f t="shared" si="178"/>
        <v>32.11097561</v>
      </c>
      <c r="I269" s="46">
        <f t="shared" si="179"/>
        <v>32.11097561</v>
      </c>
      <c r="J269" s="49">
        <v>2830.0</v>
      </c>
      <c r="K269" s="50">
        <f t="shared" si="13"/>
        <v>0.02897526502</v>
      </c>
      <c r="L269" s="46">
        <v>146.32</v>
      </c>
      <c r="M269" s="46">
        <v>1712.4</v>
      </c>
      <c r="N269" s="47">
        <v>50.0</v>
      </c>
      <c r="O269" s="49">
        <v>134355.0</v>
      </c>
      <c r="P269" s="50">
        <f t="shared" si="14"/>
        <v>0.08544732539</v>
      </c>
      <c r="Q269" s="51">
        <f t="shared" si="15"/>
        <v>11.70311646</v>
      </c>
      <c r="R269" s="50">
        <f t="shared" si="16"/>
        <v>0.6503361057</v>
      </c>
      <c r="S269" s="16"/>
      <c r="T269" s="25"/>
      <c r="U269" s="6"/>
      <c r="V269" s="6"/>
      <c r="W269" s="6"/>
      <c r="X269" s="6"/>
      <c r="Y269" s="6"/>
      <c r="Z269" s="6"/>
    </row>
    <row r="270" hidden="1" outlineLevel="1">
      <c r="A270" s="44" t="str">
        <f t="shared" si="177"/>
        <v>8-2024</v>
      </c>
      <c r="B270" s="34">
        <v>45524.0</v>
      </c>
      <c r="C270" s="45"/>
      <c r="D270" s="46">
        <v>2851.9</v>
      </c>
      <c r="E270" s="47">
        <v>83.0</v>
      </c>
      <c r="F270" s="47">
        <v>81.0</v>
      </c>
      <c r="G270" s="48">
        <f t="shared" si="10"/>
        <v>1.024691358</v>
      </c>
      <c r="H270" s="46">
        <f t="shared" si="178"/>
        <v>35.20864198</v>
      </c>
      <c r="I270" s="46">
        <f t="shared" si="179"/>
        <v>34.36024096</v>
      </c>
      <c r="J270" s="49">
        <v>2974.0</v>
      </c>
      <c r="K270" s="50">
        <f t="shared" si="13"/>
        <v>0.02790854069</v>
      </c>
      <c r="L270" s="46">
        <v>137.97</v>
      </c>
      <c r="M270" s="46">
        <v>1731.4</v>
      </c>
      <c r="N270" s="47">
        <v>48.0</v>
      </c>
      <c r="O270" s="49">
        <v>140484.0</v>
      </c>
      <c r="P270" s="50">
        <f t="shared" si="14"/>
        <v>0.07968695853</v>
      </c>
      <c r="Q270" s="51">
        <f t="shared" si="15"/>
        <v>12.54910488</v>
      </c>
      <c r="R270" s="50">
        <f t="shared" si="16"/>
        <v>0.6071040359</v>
      </c>
      <c r="S270" s="16"/>
      <c r="T270" s="25"/>
      <c r="U270" s="6"/>
      <c r="V270" s="6"/>
      <c r="W270" s="6"/>
      <c r="X270" s="6"/>
      <c r="Y270" s="6"/>
      <c r="Z270" s="6"/>
    </row>
    <row r="271" hidden="1" outlineLevel="1">
      <c r="A271" s="44" t="str">
        <f t="shared" si="177"/>
        <v>8-2024</v>
      </c>
      <c r="B271" s="34">
        <v>45525.0</v>
      </c>
      <c r="C271" s="45"/>
      <c r="D271" s="46">
        <v>3157.4</v>
      </c>
      <c r="E271" s="47">
        <v>91.0</v>
      </c>
      <c r="F271" s="47">
        <v>91.0</v>
      </c>
      <c r="G271" s="48">
        <f t="shared" si="10"/>
        <v>1</v>
      </c>
      <c r="H271" s="46">
        <f t="shared" si="178"/>
        <v>34.6967033</v>
      </c>
      <c r="I271" s="46">
        <f t="shared" si="179"/>
        <v>34.6967033</v>
      </c>
      <c r="J271" s="49">
        <v>3025.0</v>
      </c>
      <c r="K271" s="50">
        <f t="shared" si="13"/>
        <v>0.03008264463</v>
      </c>
      <c r="L271" s="46">
        <v>137.18</v>
      </c>
      <c r="M271" s="46">
        <v>1685.3</v>
      </c>
      <c r="N271" s="47">
        <v>50.0</v>
      </c>
      <c r="O271" s="49">
        <v>141174.0</v>
      </c>
      <c r="P271" s="50">
        <f t="shared" si="14"/>
        <v>0.08139797069</v>
      </c>
      <c r="Q271" s="51">
        <f t="shared" si="15"/>
        <v>12.28531856</v>
      </c>
      <c r="R271" s="50">
        <f t="shared" si="16"/>
        <v>0.533761956</v>
      </c>
      <c r="S271" s="16"/>
      <c r="T271" s="25"/>
      <c r="U271" s="6"/>
      <c r="V271" s="6"/>
      <c r="W271" s="6"/>
      <c r="X271" s="6"/>
      <c r="Y271" s="6"/>
      <c r="Z271" s="6"/>
    </row>
    <row r="272" hidden="1" outlineLevel="1">
      <c r="A272" s="44" t="str">
        <f t="shared" si="177"/>
        <v>8-2024</v>
      </c>
      <c r="B272" s="34">
        <v>45526.0</v>
      </c>
      <c r="C272" s="45"/>
      <c r="D272" s="46">
        <v>2399.8</v>
      </c>
      <c r="E272" s="47">
        <v>72.0</v>
      </c>
      <c r="F272" s="47">
        <v>72.0</v>
      </c>
      <c r="G272" s="48">
        <f t="shared" si="10"/>
        <v>1</v>
      </c>
      <c r="H272" s="46">
        <f t="shared" si="178"/>
        <v>33.33055556</v>
      </c>
      <c r="I272" s="46">
        <f t="shared" si="179"/>
        <v>33.33055556</v>
      </c>
      <c r="J272" s="49">
        <v>2761.0</v>
      </c>
      <c r="K272" s="50">
        <f t="shared" si="13"/>
        <v>0.02607750815</v>
      </c>
      <c r="L272" s="46">
        <v>151.09</v>
      </c>
      <c r="M272" s="46">
        <v>1344.9</v>
      </c>
      <c r="N272" s="47">
        <v>40.0</v>
      </c>
      <c r="O272" s="49">
        <v>141206.0</v>
      </c>
      <c r="P272" s="50">
        <f t="shared" si="14"/>
        <v>0.1123429251</v>
      </c>
      <c r="Q272" s="51">
        <f t="shared" si="15"/>
        <v>8.901317096</v>
      </c>
      <c r="R272" s="50">
        <f t="shared" si="16"/>
        <v>0.5604217018</v>
      </c>
      <c r="S272" s="16"/>
      <c r="T272" s="25"/>
      <c r="U272" s="6"/>
      <c r="V272" s="6"/>
      <c r="W272" s="6"/>
      <c r="X272" s="6"/>
      <c r="Y272" s="6"/>
      <c r="Z272" s="6"/>
    </row>
    <row r="273" hidden="1" outlineLevel="1">
      <c r="A273" s="44" t="str">
        <f t="shared" si="177"/>
        <v>8-2024</v>
      </c>
      <c r="B273" s="34">
        <v>45527.0</v>
      </c>
      <c r="C273" s="45"/>
      <c r="D273" s="46">
        <v>2144.8</v>
      </c>
      <c r="E273" s="47">
        <v>50.0</v>
      </c>
      <c r="F273" s="47">
        <v>50.0</v>
      </c>
      <c r="G273" s="48">
        <f t="shared" si="10"/>
        <v>1</v>
      </c>
      <c r="H273" s="46">
        <f t="shared" si="178"/>
        <v>42.896</v>
      </c>
      <c r="I273" s="46">
        <f t="shared" si="179"/>
        <v>42.896</v>
      </c>
      <c r="J273" s="49">
        <v>2169.0</v>
      </c>
      <c r="K273" s="50">
        <f t="shared" si="13"/>
        <v>0.02305209774</v>
      </c>
      <c r="L273" s="46">
        <v>117.33</v>
      </c>
      <c r="M273" s="46">
        <v>1170.47</v>
      </c>
      <c r="N273" s="47">
        <v>24.0</v>
      </c>
      <c r="O273" s="49">
        <v>121284.0</v>
      </c>
      <c r="P273" s="50">
        <f t="shared" si="14"/>
        <v>0.1002417832</v>
      </c>
      <c r="Q273" s="51">
        <f t="shared" si="15"/>
        <v>9.975879997</v>
      </c>
      <c r="R273" s="50">
        <f t="shared" si="16"/>
        <v>0.5457245431</v>
      </c>
      <c r="S273" s="16"/>
      <c r="T273" s="25"/>
      <c r="U273" s="6"/>
      <c r="V273" s="6"/>
      <c r="W273" s="6"/>
      <c r="X273" s="6"/>
      <c r="Y273" s="6"/>
      <c r="Z273" s="6"/>
    </row>
    <row r="274" hidden="1" outlineLevel="1">
      <c r="A274" s="44" t="str">
        <f t="shared" si="177"/>
        <v>8-2024</v>
      </c>
      <c r="B274" s="34">
        <v>45528.0</v>
      </c>
      <c r="C274" s="45"/>
      <c r="D274" s="46">
        <v>1705.9</v>
      </c>
      <c r="E274" s="47">
        <v>48.0</v>
      </c>
      <c r="F274" s="47">
        <v>48.0</v>
      </c>
      <c r="G274" s="48">
        <f t="shared" si="10"/>
        <v>1</v>
      </c>
      <c r="H274" s="46">
        <f t="shared" si="178"/>
        <v>35.53958333</v>
      </c>
      <c r="I274" s="46">
        <f t="shared" si="179"/>
        <v>35.53958333</v>
      </c>
      <c r="J274" s="49">
        <v>2569.0</v>
      </c>
      <c r="K274" s="50">
        <f t="shared" si="13"/>
        <v>0.01868431296</v>
      </c>
      <c r="L274" s="46">
        <v>135.37</v>
      </c>
      <c r="M274" s="46">
        <v>796.47</v>
      </c>
      <c r="N274" s="47">
        <v>20.0</v>
      </c>
      <c r="O274" s="49">
        <v>140776.0</v>
      </c>
      <c r="P274" s="50">
        <f t="shared" si="14"/>
        <v>0.1699624594</v>
      </c>
      <c r="Q274" s="51">
        <f t="shared" si="15"/>
        <v>5.883652212</v>
      </c>
      <c r="R274" s="50">
        <f t="shared" si="16"/>
        <v>0.466891377</v>
      </c>
      <c r="S274" s="16"/>
      <c r="T274" s="25"/>
      <c r="U274" s="6"/>
      <c r="V274" s="6"/>
      <c r="W274" s="6"/>
      <c r="X274" s="6"/>
      <c r="Y274" s="6"/>
      <c r="Z274" s="6"/>
    </row>
    <row r="275" collapsed="1">
      <c r="A275" s="52" t="s">
        <v>130</v>
      </c>
      <c r="B275" s="53"/>
      <c r="C275" s="54"/>
      <c r="D275" s="55">
        <f t="shared" ref="D275:F275" si="180">SUM(D268:D274)</f>
        <v>17554.3</v>
      </c>
      <c r="E275" s="81">
        <f t="shared" si="180"/>
        <v>506</v>
      </c>
      <c r="F275" s="81">
        <f t="shared" si="180"/>
        <v>504</v>
      </c>
      <c r="G275" s="57">
        <f t="shared" si="10"/>
        <v>1.003968254</v>
      </c>
      <c r="H275" s="55">
        <f>AVERAGE(H268:H274)</f>
        <v>35.2928514</v>
      </c>
      <c r="I275" s="58">
        <f>H275/G275</f>
        <v>35.15335396</v>
      </c>
      <c r="J275" s="59">
        <f>SUM(J268:J274)</f>
        <v>20160</v>
      </c>
      <c r="K275" s="60">
        <f t="shared" si="13"/>
        <v>0.02509920635</v>
      </c>
      <c r="L275" s="55">
        <f t="shared" ref="L275:N275" si="181">SUM(L268:L274)</f>
        <v>1034.4</v>
      </c>
      <c r="M275" s="55">
        <f t="shared" si="181"/>
        <v>9845.34</v>
      </c>
      <c r="N275" s="56">
        <f t="shared" si="181"/>
        <v>277</v>
      </c>
      <c r="O275" s="59">
        <f>sum(O268:O274)</f>
        <v>1013221</v>
      </c>
      <c r="P275" s="60">
        <f t="shared" si="14"/>
        <v>0.1050649343</v>
      </c>
      <c r="Q275" s="61">
        <f t="shared" si="15"/>
        <v>9.517923434</v>
      </c>
      <c r="R275" s="62">
        <f t="shared" si="16"/>
        <v>0.5608506178</v>
      </c>
      <c r="S275" s="54">
        <f>iferror((D275-D131)/D275,)</f>
        <v>-0.2797149416</v>
      </c>
      <c r="T275" s="63">
        <f>iferror((F275-E131)/F275,)</f>
        <v>-0.2083333333</v>
      </c>
      <c r="U275" s="6"/>
      <c r="V275" s="6"/>
      <c r="W275" s="6"/>
      <c r="X275" s="6"/>
      <c r="Y275" s="6"/>
      <c r="Z275" s="6"/>
    </row>
    <row r="276" hidden="1" outlineLevel="1">
      <c r="A276" s="33" t="str">
        <f t="shared" ref="A276:A282" si="182">iferror(if(B276&gt;0,month(B276)&amp;"-"&amp;year(B276),B276),)</f>
        <v>8-2024</v>
      </c>
      <c r="B276" s="34">
        <v>45529.0</v>
      </c>
      <c r="C276" s="35"/>
      <c r="D276" s="36">
        <v>2665.2</v>
      </c>
      <c r="E276" s="37">
        <v>78.0</v>
      </c>
      <c r="F276" s="37">
        <v>78.0</v>
      </c>
      <c r="G276" s="38">
        <f t="shared" si="10"/>
        <v>1</v>
      </c>
      <c r="H276" s="36">
        <f t="shared" ref="H276:H282" si="183">D276/F276</f>
        <v>34.16923077</v>
      </c>
      <c r="I276" s="36">
        <f t="shared" ref="I276:I282" si="184">D276/E276</f>
        <v>34.16923077</v>
      </c>
      <c r="J276" s="39">
        <v>3179.0</v>
      </c>
      <c r="K276" s="40">
        <f t="shared" si="13"/>
        <v>0.02453601762</v>
      </c>
      <c r="L276" s="36">
        <v>184.83</v>
      </c>
      <c r="M276" s="36">
        <v>1494.1</v>
      </c>
      <c r="N276" s="37">
        <v>45.0</v>
      </c>
      <c r="O276" s="39">
        <v>185193.0</v>
      </c>
      <c r="P276" s="40">
        <f t="shared" si="14"/>
        <v>0.1237065792</v>
      </c>
      <c r="Q276" s="41">
        <f t="shared" si="15"/>
        <v>8.08364443</v>
      </c>
      <c r="R276" s="40">
        <f t="shared" si="16"/>
        <v>0.5605958277</v>
      </c>
      <c r="S276" s="42"/>
      <c r="T276" s="43"/>
      <c r="U276" s="6"/>
      <c r="V276" s="6"/>
      <c r="W276" s="6"/>
      <c r="X276" s="6"/>
      <c r="Y276" s="6"/>
      <c r="Z276" s="6"/>
    </row>
    <row r="277" hidden="1" outlineLevel="1">
      <c r="A277" s="44" t="str">
        <f t="shared" si="182"/>
        <v>8-2024</v>
      </c>
      <c r="B277" s="34">
        <v>45530.0</v>
      </c>
      <c r="C277" s="45"/>
      <c r="D277" s="46">
        <v>2528.8</v>
      </c>
      <c r="E277" s="47">
        <v>76.0</v>
      </c>
      <c r="F277" s="47">
        <v>75.0</v>
      </c>
      <c r="G277" s="48">
        <f t="shared" si="10"/>
        <v>1.013333333</v>
      </c>
      <c r="H277" s="46">
        <f t="shared" si="183"/>
        <v>33.71733333</v>
      </c>
      <c r="I277" s="46">
        <f t="shared" si="184"/>
        <v>33.27368421</v>
      </c>
      <c r="J277" s="49">
        <v>2676.0</v>
      </c>
      <c r="K277" s="50">
        <f t="shared" si="13"/>
        <v>0.02840059791</v>
      </c>
      <c r="L277" s="46">
        <v>158.44</v>
      </c>
      <c r="M277" s="46">
        <v>1745.5</v>
      </c>
      <c r="N277" s="47">
        <v>51.0</v>
      </c>
      <c r="O277" s="49">
        <v>156933.0</v>
      </c>
      <c r="P277" s="50">
        <f t="shared" si="14"/>
        <v>0.09077055285</v>
      </c>
      <c r="Q277" s="51">
        <f t="shared" si="15"/>
        <v>11.01678869</v>
      </c>
      <c r="R277" s="50">
        <f t="shared" si="16"/>
        <v>0.6902483391</v>
      </c>
      <c r="S277" s="16"/>
      <c r="T277" s="25"/>
      <c r="U277" s="6"/>
      <c r="V277" s="6"/>
      <c r="W277" s="6"/>
      <c r="X277" s="6"/>
      <c r="Y277" s="6"/>
      <c r="Z277" s="6"/>
    </row>
    <row r="278" hidden="1" outlineLevel="1">
      <c r="A278" s="44" t="str">
        <f t="shared" si="182"/>
        <v>8-2024</v>
      </c>
      <c r="B278" s="34">
        <v>45531.0</v>
      </c>
      <c r="C278" s="45"/>
      <c r="D278" s="46">
        <v>2260.2</v>
      </c>
      <c r="E278" s="47">
        <v>66.0</v>
      </c>
      <c r="F278" s="47">
        <v>66.0</v>
      </c>
      <c r="G278" s="48">
        <f t="shared" si="10"/>
        <v>1</v>
      </c>
      <c r="H278" s="46">
        <f t="shared" si="183"/>
        <v>34.24545455</v>
      </c>
      <c r="I278" s="46">
        <f t="shared" si="184"/>
        <v>34.24545455</v>
      </c>
      <c r="J278" s="49">
        <v>2868.0</v>
      </c>
      <c r="K278" s="50">
        <f t="shared" si="13"/>
        <v>0.0230125523</v>
      </c>
      <c r="L278" s="46">
        <v>177.73</v>
      </c>
      <c r="M278" s="46">
        <v>1757.7</v>
      </c>
      <c r="N278" s="47">
        <v>47.0</v>
      </c>
      <c r="O278" s="49">
        <v>156855.0</v>
      </c>
      <c r="P278" s="50">
        <f t="shared" si="14"/>
        <v>0.1011150936</v>
      </c>
      <c r="Q278" s="51">
        <f t="shared" si="15"/>
        <v>9.889720362</v>
      </c>
      <c r="R278" s="50">
        <f t="shared" si="16"/>
        <v>0.7776745421</v>
      </c>
      <c r="S278" s="16"/>
      <c r="T278" s="25"/>
      <c r="U278" s="6"/>
      <c r="V278" s="6"/>
      <c r="W278" s="6"/>
      <c r="X278" s="6"/>
      <c r="Y278" s="6"/>
      <c r="Z278" s="6"/>
    </row>
    <row r="279" hidden="1" outlineLevel="1">
      <c r="A279" s="44" t="str">
        <f t="shared" si="182"/>
        <v>8-2024</v>
      </c>
      <c r="B279" s="34">
        <v>45532.0</v>
      </c>
      <c r="C279" s="45"/>
      <c r="D279" s="46">
        <v>2266.7</v>
      </c>
      <c r="E279" s="47">
        <v>69.0</v>
      </c>
      <c r="F279" s="47">
        <v>69.0</v>
      </c>
      <c r="G279" s="48">
        <f t="shared" si="10"/>
        <v>1</v>
      </c>
      <c r="H279" s="46">
        <f t="shared" si="183"/>
        <v>32.85072464</v>
      </c>
      <c r="I279" s="46">
        <f t="shared" si="184"/>
        <v>32.85072464</v>
      </c>
      <c r="J279" s="49">
        <v>2789.0</v>
      </c>
      <c r="K279" s="50">
        <f t="shared" si="13"/>
        <v>0.0247400502</v>
      </c>
      <c r="L279" s="46">
        <v>188.7</v>
      </c>
      <c r="M279" s="46">
        <v>1421.0</v>
      </c>
      <c r="N279" s="47">
        <v>43.0</v>
      </c>
      <c r="O279" s="49">
        <v>167059.0</v>
      </c>
      <c r="P279" s="50">
        <f t="shared" si="14"/>
        <v>0.1327938072</v>
      </c>
      <c r="Q279" s="51">
        <f t="shared" si="15"/>
        <v>7.530471648</v>
      </c>
      <c r="R279" s="50">
        <f t="shared" si="16"/>
        <v>0.6269025456</v>
      </c>
      <c r="S279" s="16"/>
      <c r="T279" s="25"/>
      <c r="U279" s="6"/>
      <c r="V279" s="6"/>
      <c r="W279" s="6"/>
      <c r="X279" s="6"/>
      <c r="Y279" s="6"/>
      <c r="Z279" s="6"/>
    </row>
    <row r="280" hidden="1" outlineLevel="1">
      <c r="A280" s="44" t="str">
        <f t="shared" si="182"/>
        <v>8-2024</v>
      </c>
      <c r="B280" s="34">
        <v>45533.0</v>
      </c>
      <c r="C280" s="45"/>
      <c r="D280" s="46">
        <v>2318.2</v>
      </c>
      <c r="E280" s="47">
        <v>65.0</v>
      </c>
      <c r="F280" s="47">
        <v>64.0</v>
      </c>
      <c r="G280" s="48">
        <f t="shared" si="10"/>
        <v>1.015625</v>
      </c>
      <c r="H280" s="46">
        <f t="shared" si="183"/>
        <v>36.221875</v>
      </c>
      <c r="I280" s="46">
        <f t="shared" si="184"/>
        <v>35.66461538</v>
      </c>
      <c r="J280" s="49">
        <v>2320.0</v>
      </c>
      <c r="K280" s="50">
        <f t="shared" si="13"/>
        <v>0.02801724138</v>
      </c>
      <c r="L280" s="46">
        <v>118.73</v>
      </c>
      <c r="M280" s="46">
        <v>1272.2</v>
      </c>
      <c r="N280" s="47">
        <v>33.0</v>
      </c>
      <c r="O280" s="49">
        <v>130119.0</v>
      </c>
      <c r="P280" s="50">
        <f t="shared" si="14"/>
        <v>0.09332652099</v>
      </c>
      <c r="Q280" s="51">
        <f t="shared" si="15"/>
        <v>10.7150678</v>
      </c>
      <c r="R280" s="50">
        <f t="shared" si="16"/>
        <v>0.5487878526</v>
      </c>
      <c r="S280" s="16"/>
      <c r="T280" s="25"/>
      <c r="U280" s="6"/>
      <c r="V280" s="6"/>
      <c r="W280" s="6"/>
      <c r="X280" s="6"/>
      <c r="Y280" s="6"/>
      <c r="Z280" s="6"/>
    </row>
    <row r="281" hidden="1" outlineLevel="1">
      <c r="A281" s="44" t="str">
        <f t="shared" si="182"/>
        <v>8-2024</v>
      </c>
      <c r="B281" s="34">
        <v>45534.0</v>
      </c>
      <c r="C281" s="45"/>
      <c r="D281" s="46">
        <v>1715.9</v>
      </c>
      <c r="E281" s="47">
        <v>47.0</v>
      </c>
      <c r="F281" s="47">
        <v>47.0</v>
      </c>
      <c r="G281" s="48">
        <f t="shared" si="10"/>
        <v>1</v>
      </c>
      <c r="H281" s="46">
        <f t="shared" si="183"/>
        <v>36.50851064</v>
      </c>
      <c r="I281" s="46">
        <f t="shared" si="184"/>
        <v>36.50851064</v>
      </c>
      <c r="J281" s="49">
        <v>2264.0</v>
      </c>
      <c r="K281" s="50">
        <f t="shared" si="13"/>
        <v>0.02075971731</v>
      </c>
      <c r="L281" s="46">
        <v>115.75</v>
      </c>
      <c r="M281" s="46">
        <v>1416.3</v>
      </c>
      <c r="N281" s="47">
        <v>34.0</v>
      </c>
      <c r="O281" s="49">
        <v>120503.0</v>
      </c>
      <c r="P281" s="50">
        <f t="shared" si="14"/>
        <v>0.08172703523</v>
      </c>
      <c r="Q281" s="51">
        <f t="shared" si="15"/>
        <v>12.23585313</v>
      </c>
      <c r="R281" s="50">
        <f t="shared" si="16"/>
        <v>0.8253977505</v>
      </c>
      <c r="S281" s="16"/>
      <c r="T281" s="25"/>
      <c r="U281" s="6"/>
      <c r="V281" s="6"/>
      <c r="W281" s="6"/>
      <c r="X281" s="6"/>
      <c r="Y281" s="6"/>
      <c r="Z281" s="6"/>
    </row>
    <row r="282" hidden="1" outlineLevel="1">
      <c r="A282" s="44" t="str">
        <f t="shared" si="182"/>
        <v>8-2024</v>
      </c>
      <c r="B282" s="34">
        <v>45535.0</v>
      </c>
      <c r="C282" s="45"/>
      <c r="D282" s="46">
        <v>1861.6</v>
      </c>
      <c r="E282" s="47">
        <v>50.0</v>
      </c>
      <c r="F282" s="47">
        <v>50.0</v>
      </c>
      <c r="G282" s="48">
        <f t="shared" si="10"/>
        <v>1</v>
      </c>
      <c r="H282" s="46">
        <f t="shared" si="183"/>
        <v>37.232</v>
      </c>
      <c r="I282" s="46">
        <f t="shared" si="184"/>
        <v>37.232</v>
      </c>
      <c r="J282" s="49">
        <v>2508.0</v>
      </c>
      <c r="K282" s="50">
        <f t="shared" si="13"/>
        <v>0.01993620415</v>
      </c>
      <c r="L282" s="46">
        <v>152.28</v>
      </c>
      <c r="M282" s="46">
        <v>939.67</v>
      </c>
      <c r="N282" s="47">
        <v>24.0</v>
      </c>
      <c r="O282" s="49">
        <v>181179.0</v>
      </c>
      <c r="P282" s="50">
        <f t="shared" si="14"/>
        <v>0.1620568923</v>
      </c>
      <c r="Q282" s="51">
        <f t="shared" si="15"/>
        <v>6.170672445</v>
      </c>
      <c r="R282" s="50">
        <f t="shared" si="16"/>
        <v>0.5047647185</v>
      </c>
      <c r="S282" s="16"/>
      <c r="T282" s="25"/>
      <c r="U282" s="6"/>
      <c r="V282" s="6"/>
      <c r="W282" s="6"/>
      <c r="X282" s="6"/>
      <c r="Y282" s="6"/>
      <c r="Z282" s="6"/>
    </row>
    <row r="283" collapsed="1">
      <c r="A283" s="52" t="s">
        <v>131</v>
      </c>
      <c r="B283" s="53"/>
      <c r="C283" s="54"/>
      <c r="D283" s="55">
        <f t="shared" ref="D283:F283" si="185">SUM(D276:D282)</f>
        <v>15616.6</v>
      </c>
      <c r="E283" s="81">
        <f t="shared" si="185"/>
        <v>451</v>
      </c>
      <c r="F283" s="81">
        <f t="shared" si="185"/>
        <v>449</v>
      </c>
      <c r="G283" s="57">
        <f t="shared" si="10"/>
        <v>1.004454343</v>
      </c>
      <c r="H283" s="55">
        <f>AVERAGE(H276:H282)</f>
        <v>34.99216127</v>
      </c>
      <c r="I283" s="58">
        <f>H283/G283</f>
        <v>34.83698539</v>
      </c>
      <c r="J283" s="59">
        <f>SUM(J276:J282)</f>
        <v>18604</v>
      </c>
      <c r="K283" s="60">
        <f t="shared" si="13"/>
        <v>0.02424209847</v>
      </c>
      <c r="L283" s="55">
        <f t="shared" ref="L283:N283" si="186">SUM(L276:L282)</f>
        <v>1096.46</v>
      </c>
      <c r="M283" s="55">
        <f t="shared" si="186"/>
        <v>10046.47</v>
      </c>
      <c r="N283" s="56">
        <f t="shared" si="186"/>
        <v>277</v>
      </c>
      <c r="O283" s="59">
        <f>sum(O276:O282)</f>
        <v>1097841</v>
      </c>
      <c r="P283" s="60">
        <f t="shared" si="14"/>
        <v>0.1091388318</v>
      </c>
      <c r="Q283" s="61">
        <f t="shared" si="15"/>
        <v>9.162641592</v>
      </c>
      <c r="R283" s="62">
        <f t="shared" si="16"/>
        <v>0.6433199288</v>
      </c>
      <c r="S283" s="54">
        <f>iferror((D283-D131)/D283,)</f>
        <v>-0.4385013383</v>
      </c>
      <c r="T283" s="63">
        <f>iferror((F283-E131)/F283,)</f>
        <v>-0.3563474388</v>
      </c>
      <c r="U283" s="6"/>
      <c r="V283" s="6"/>
      <c r="W283" s="6"/>
      <c r="X283" s="6"/>
      <c r="Y283" s="6"/>
      <c r="Z283" s="6"/>
    </row>
    <row r="284" hidden="1" outlineLevel="1">
      <c r="A284" s="33" t="str">
        <f t="shared" ref="A284:A290" si="187">iferror(if(B284&gt;0,month(B284)&amp;"-"&amp;year(B284),B284),)</f>
        <v>9-2024</v>
      </c>
      <c r="B284" s="34">
        <v>45536.0</v>
      </c>
      <c r="C284" s="35"/>
      <c r="D284" s="36">
        <v>1728.1</v>
      </c>
      <c r="E284" s="37">
        <v>51.0</v>
      </c>
      <c r="F284" s="37">
        <v>51.0</v>
      </c>
      <c r="G284" s="38">
        <f t="shared" si="10"/>
        <v>1</v>
      </c>
      <c r="H284" s="36">
        <f t="shared" ref="H284:H290" si="188">D284/F284</f>
        <v>33.88431373</v>
      </c>
      <c r="I284" s="36">
        <f t="shared" ref="I284:I290" si="189">D284/E284</f>
        <v>33.88431373</v>
      </c>
      <c r="J284" s="39">
        <v>2894.0</v>
      </c>
      <c r="K284" s="40">
        <f t="shared" si="13"/>
        <v>0.01762266759</v>
      </c>
      <c r="L284" s="36">
        <v>162.25</v>
      </c>
      <c r="M284" s="36">
        <v>1200.4</v>
      </c>
      <c r="N284" s="37">
        <v>37.0</v>
      </c>
      <c r="O284" s="39">
        <v>168968.0</v>
      </c>
      <c r="P284" s="40">
        <f t="shared" si="14"/>
        <v>0.1351632789</v>
      </c>
      <c r="Q284" s="41">
        <f t="shared" si="15"/>
        <v>7.398459168</v>
      </c>
      <c r="R284" s="40">
        <f t="shared" si="16"/>
        <v>0.6946357271</v>
      </c>
      <c r="S284" s="42"/>
      <c r="T284" s="43"/>
      <c r="U284" s="6"/>
      <c r="V284" s="6"/>
      <c r="W284" s="6"/>
      <c r="X284" s="6"/>
      <c r="Y284" s="6"/>
      <c r="Z284" s="6"/>
    </row>
    <row r="285" hidden="1" outlineLevel="1">
      <c r="A285" s="44" t="str">
        <f t="shared" si="187"/>
        <v>9-2024</v>
      </c>
      <c r="B285" s="34">
        <v>45537.0</v>
      </c>
      <c r="C285" s="45"/>
      <c r="D285" s="46">
        <v>2205.6</v>
      </c>
      <c r="E285" s="47">
        <v>69.0</v>
      </c>
      <c r="F285" s="47">
        <v>69.0</v>
      </c>
      <c r="G285" s="48">
        <f t="shared" si="10"/>
        <v>1</v>
      </c>
      <c r="H285" s="46">
        <f t="shared" si="188"/>
        <v>31.96521739</v>
      </c>
      <c r="I285" s="46">
        <f t="shared" si="189"/>
        <v>31.96521739</v>
      </c>
      <c r="J285" s="49">
        <v>2970.0</v>
      </c>
      <c r="K285" s="50">
        <f t="shared" si="13"/>
        <v>0.02323232323</v>
      </c>
      <c r="L285" s="46">
        <v>177.83</v>
      </c>
      <c r="M285" s="46">
        <v>1319.2</v>
      </c>
      <c r="N285" s="47">
        <v>41.0</v>
      </c>
      <c r="O285" s="49">
        <v>195876.0</v>
      </c>
      <c r="P285" s="50">
        <f t="shared" si="14"/>
        <v>0.1348013948</v>
      </c>
      <c r="Q285" s="51">
        <f t="shared" si="15"/>
        <v>7.418320868</v>
      </c>
      <c r="R285" s="50">
        <f t="shared" si="16"/>
        <v>0.5981138919</v>
      </c>
      <c r="S285" s="16"/>
      <c r="T285" s="25"/>
      <c r="U285" s="6"/>
      <c r="V285" s="6"/>
      <c r="W285" s="6"/>
      <c r="X285" s="6"/>
      <c r="Y285" s="6"/>
      <c r="Z285" s="6"/>
    </row>
    <row r="286" hidden="1" outlineLevel="1">
      <c r="A286" s="44" t="str">
        <f t="shared" si="187"/>
        <v>9-2024</v>
      </c>
      <c r="B286" s="34">
        <v>45538.0</v>
      </c>
      <c r="C286" s="45"/>
      <c r="D286" s="46">
        <v>2109.4</v>
      </c>
      <c r="E286" s="47">
        <v>57.0</v>
      </c>
      <c r="F286" s="47">
        <v>57.0</v>
      </c>
      <c r="G286" s="48">
        <f t="shared" si="10"/>
        <v>1</v>
      </c>
      <c r="H286" s="46">
        <f t="shared" si="188"/>
        <v>37.00701754</v>
      </c>
      <c r="I286" s="46">
        <f t="shared" si="189"/>
        <v>37.00701754</v>
      </c>
      <c r="J286" s="49">
        <v>2742.0</v>
      </c>
      <c r="K286" s="50">
        <f t="shared" si="13"/>
        <v>0.02078774617</v>
      </c>
      <c r="L286" s="46">
        <v>151.86</v>
      </c>
      <c r="M286" s="46">
        <v>1247.3</v>
      </c>
      <c r="N286" s="47">
        <v>33.0</v>
      </c>
      <c r="O286" s="49">
        <v>161331.0</v>
      </c>
      <c r="P286" s="50">
        <f t="shared" si="14"/>
        <v>0.1217509821</v>
      </c>
      <c r="Q286" s="51">
        <f t="shared" si="15"/>
        <v>8.213486106</v>
      </c>
      <c r="R286" s="50">
        <f t="shared" si="16"/>
        <v>0.5913055845</v>
      </c>
      <c r="S286" s="16"/>
      <c r="T286" s="25"/>
      <c r="U286" s="6"/>
      <c r="V286" s="6"/>
      <c r="W286" s="6"/>
      <c r="X286" s="6"/>
      <c r="Y286" s="6"/>
      <c r="Z286" s="6"/>
    </row>
    <row r="287" hidden="1" outlineLevel="1">
      <c r="A287" s="44" t="str">
        <f t="shared" si="187"/>
        <v>9-2024</v>
      </c>
      <c r="B287" s="34">
        <v>45539.0</v>
      </c>
      <c r="C287" s="45"/>
      <c r="D287" s="46">
        <v>2657.8</v>
      </c>
      <c r="E287" s="47">
        <v>71.0</v>
      </c>
      <c r="F287" s="47">
        <v>70.0</v>
      </c>
      <c r="G287" s="48">
        <f t="shared" si="10"/>
        <v>1.014285714</v>
      </c>
      <c r="H287" s="46">
        <f t="shared" si="188"/>
        <v>37.96857143</v>
      </c>
      <c r="I287" s="46">
        <f t="shared" si="189"/>
        <v>37.43380282</v>
      </c>
      <c r="J287" s="49">
        <v>2519.0</v>
      </c>
      <c r="K287" s="50">
        <f t="shared" si="13"/>
        <v>0.02818578801</v>
      </c>
      <c r="L287" s="46">
        <v>132.18</v>
      </c>
      <c r="M287" s="46">
        <v>1516.1</v>
      </c>
      <c r="N287" s="47">
        <v>39.0</v>
      </c>
      <c r="O287" s="49">
        <v>141567.0</v>
      </c>
      <c r="P287" s="50">
        <f t="shared" si="14"/>
        <v>0.08718422268</v>
      </c>
      <c r="Q287" s="51">
        <f t="shared" si="15"/>
        <v>11.4699652</v>
      </c>
      <c r="R287" s="50">
        <f t="shared" si="16"/>
        <v>0.5704341937</v>
      </c>
      <c r="S287" s="16"/>
      <c r="T287" s="25"/>
      <c r="U287" s="6"/>
      <c r="V287" s="6"/>
      <c r="W287" s="6"/>
      <c r="X287" s="6"/>
      <c r="Y287" s="6"/>
      <c r="Z287" s="6"/>
    </row>
    <row r="288" hidden="1" outlineLevel="1">
      <c r="A288" s="44" t="str">
        <f t="shared" si="187"/>
        <v>9-2024</v>
      </c>
      <c r="B288" s="34">
        <v>45540.0</v>
      </c>
      <c r="C288" s="45"/>
      <c r="D288" s="46">
        <v>1985.1</v>
      </c>
      <c r="E288" s="47">
        <v>58.0</v>
      </c>
      <c r="F288" s="47">
        <v>58.0</v>
      </c>
      <c r="G288" s="48">
        <f t="shared" si="10"/>
        <v>1</v>
      </c>
      <c r="H288" s="46">
        <f t="shared" si="188"/>
        <v>34.22586207</v>
      </c>
      <c r="I288" s="46">
        <f t="shared" si="189"/>
        <v>34.22586207</v>
      </c>
      <c r="J288" s="49">
        <v>0.0</v>
      </c>
      <c r="K288" s="50" t="str">
        <f t="shared" si="13"/>
        <v>#DIV/0!</v>
      </c>
      <c r="L288" s="46">
        <v>109.55</v>
      </c>
      <c r="M288" s="46">
        <v>1043.97</v>
      </c>
      <c r="N288" s="47">
        <v>31.0</v>
      </c>
      <c r="O288" s="49">
        <v>115585.0</v>
      </c>
      <c r="P288" s="50">
        <f t="shared" si="14"/>
        <v>0.1049359656</v>
      </c>
      <c r="Q288" s="51">
        <f t="shared" si="15"/>
        <v>9.529621178</v>
      </c>
      <c r="R288" s="50">
        <f t="shared" si="16"/>
        <v>0.5259029772</v>
      </c>
      <c r="S288" s="16"/>
      <c r="T288" s="25"/>
      <c r="U288" s="6"/>
      <c r="V288" s="6"/>
      <c r="W288" s="6"/>
      <c r="X288" s="6"/>
      <c r="Y288" s="6"/>
      <c r="Z288" s="6"/>
    </row>
    <row r="289" hidden="1" outlineLevel="1">
      <c r="A289" s="44" t="str">
        <f t="shared" si="187"/>
        <v>9-2024</v>
      </c>
      <c r="B289" s="34">
        <v>45541.0</v>
      </c>
      <c r="C289" s="45"/>
      <c r="D289" s="46">
        <v>1801.0</v>
      </c>
      <c r="E289" s="47">
        <v>56.0</v>
      </c>
      <c r="F289" s="47">
        <v>56.0</v>
      </c>
      <c r="G289" s="48">
        <f t="shared" si="10"/>
        <v>1</v>
      </c>
      <c r="H289" s="46">
        <f t="shared" si="188"/>
        <v>32.16071429</v>
      </c>
      <c r="I289" s="46">
        <f t="shared" si="189"/>
        <v>32.16071429</v>
      </c>
      <c r="J289" s="49">
        <v>0.0</v>
      </c>
      <c r="K289" s="50" t="str">
        <f t="shared" si="13"/>
        <v>#DIV/0!</v>
      </c>
      <c r="L289" s="46">
        <v>99.31</v>
      </c>
      <c r="M289" s="46">
        <v>1112.1</v>
      </c>
      <c r="N289" s="47">
        <v>32.0</v>
      </c>
      <c r="O289" s="49">
        <v>96122.0</v>
      </c>
      <c r="P289" s="50">
        <f t="shared" si="14"/>
        <v>0.08929952342</v>
      </c>
      <c r="Q289" s="51">
        <f t="shared" si="15"/>
        <v>11.19826805</v>
      </c>
      <c r="R289" s="50">
        <f t="shared" si="16"/>
        <v>0.6174902832</v>
      </c>
      <c r="S289" s="16"/>
      <c r="T289" s="25"/>
      <c r="U289" s="6"/>
      <c r="V289" s="6"/>
      <c r="W289" s="6"/>
      <c r="X289" s="6"/>
      <c r="Y289" s="6"/>
      <c r="Z289" s="6"/>
    </row>
    <row r="290" hidden="1" outlineLevel="1">
      <c r="A290" s="44" t="str">
        <f t="shared" si="187"/>
        <v>9-2024</v>
      </c>
      <c r="B290" s="34">
        <v>45542.0</v>
      </c>
      <c r="C290" s="45"/>
      <c r="D290" s="46">
        <v>1817.3</v>
      </c>
      <c r="E290" s="47">
        <v>53.0</v>
      </c>
      <c r="F290" s="47">
        <v>53.0</v>
      </c>
      <c r="G290" s="48">
        <f t="shared" si="10"/>
        <v>1</v>
      </c>
      <c r="H290" s="46">
        <f t="shared" si="188"/>
        <v>34.28867925</v>
      </c>
      <c r="I290" s="46">
        <f t="shared" si="189"/>
        <v>34.28867925</v>
      </c>
      <c r="J290" s="49">
        <v>0.0</v>
      </c>
      <c r="K290" s="50" t="str">
        <f t="shared" si="13"/>
        <v>#DIV/0!</v>
      </c>
      <c r="L290" s="46">
        <v>119.61</v>
      </c>
      <c r="M290" s="46">
        <v>901.37</v>
      </c>
      <c r="N290" s="47">
        <v>24.0</v>
      </c>
      <c r="O290" s="49">
        <v>114976.0</v>
      </c>
      <c r="P290" s="50">
        <f t="shared" si="14"/>
        <v>0.1326980041</v>
      </c>
      <c r="Q290" s="51">
        <f t="shared" si="15"/>
        <v>7.535908369</v>
      </c>
      <c r="R290" s="50">
        <f t="shared" si="16"/>
        <v>0.4959940571</v>
      </c>
      <c r="S290" s="16"/>
      <c r="T290" s="25"/>
      <c r="U290" s="6"/>
      <c r="V290" s="6"/>
      <c r="W290" s="6"/>
      <c r="X290" s="6"/>
      <c r="Y290" s="6"/>
      <c r="Z290" s="6"/>
    </row>
    <row r="291" collapsed="1">
      <c r="A291" s="52" t="s">
        <v>132</v>
      </c>
      <c r="B291" s="53"/>
      <c r="C291" s="54"/>
      <c r="D291" s="55">
        <f t="shared" ref="D291:F291" si="190">SUM(D284:D290)</f>
        <v>14304.3</v>
      </c>
      <c r="E291" s="81">
        <f t="shared" si="190"/>
        <v>415</v>
      </c>
      <c r="F291" s="81">
        <f t="shared" si="190"/>
        <v>414</v>
      </c>
      <c r="G291" s="57">
        <f t="shared" si="10"/>
        <v>1.002415459</v>
      </c>
      <c r="H291" s="55">
        <f>AVERAGE(H284:H290)</f>
        <v>34.50005367</v>
      </c>
      <c r="I291" s="58">
        <f>H291/G291</f>
        <v>34.41692101</v>
      </c>
      <c r="J291" s="59">
        <f>SUM(J284:J290)</f>
        <v>11125</v>
      </c>
      <c r="K291" s="60">
        <f t="shared" si="13"/>
        <v>0.03730337079</v>
      </c>
      <c r="L291" s="55">
        <f t="shared" ref="L291:N291" si="191">SUM(L284:L290)</f>
        <v>952.59</v>
      </c>
      <c r="M291" s="55">
        <f t="shared" si="191"/>
        <v>8340.44</v>
      </c>
      <c r="N291" s="56">
        <f t="shared" si="191"/>
        <v>237</v>
      </c>
      <c r="O291" s="59">
        <f>sum(O284:O290)</f>
        <v>994425</v>
      </c>
      <c r="P291" s="60">
        <f t="shared" si="14"/>
        <v>0.1142133988</v>
      </c>
      <c r="Q291" s="61">
        <f t="shared" si="15"/>
        <v>8.755540159</v>
      </c>
      <c r="R291" s="62">
        <f t="shared" si="16"/>
        <v>0.583072223</v>
      </c>
      <c r="S291" s="54">
        <f>iferror((D291-D131)/D291,)</f>
        <v>-0.5704718162</v>
      </c>
      <c r="T291" s="63">
        <f>iferror((F291-E131)/F291,)</f>
        <v>-0.4710144928</v>
      </c>
      <c r="U291" s="6"/>
      <c r="V291" s="6"/>
      <c r="W291" s="6"/>
      <c r="X291" s="6"/>
      <c r="Y291" s="6"/>
      <c r="Z291" s="6"/>
    </row>
    <row r="292" hidden="1" outlineLevel="1">
      <c r="A292" s="33" t="str">
        <f t="shared" ref="A292:A298" si="192">iferror(if(B292&gt;0,month(B292)&amp;"-"&amp;year(B292),B292),)</f>
        <v>9-2024</v>
      </c>
      <c r="B292" s="34">
        <v>45543.0</v>
      </c>
      <c r="C292" s="35"/>
      <c r="D292" s="36">
        <v>2280.3</v>
      </c>
      <c r="E292" s="37">
        <v>60.0</v>
      </c>
      <c r="F292" s="37">
        <v>60.0</v>
      </c>
      <c r="G292" s="38">
        <f t="shared" si="10"/>
        <v>1</v>
      </c>
      <c r="H292" s="36">
        <f t="shared" ref="H292:H298" si="193">D292/F292</f>
        <v>38.005</v>
      </c>
      <c r="I292" s="36">
        <f t="shared" ref="I292:I298" si="194">D292/E292</f>
        <v>38.005</v>
      </c>
      <c r="J292" s="39">
        <v>3046.0</v>
      </c>
      <c r="K292" s="40">
        <f t="shared" si="13"/>
        <v>0.01969796454</v>
      </c>
      <c r="L292" s="36">
        <v>148.99</v>
      </c>
      <c r="M292" s="36">
        <v>1647.37</v>
      </c>
      <c r="N292" s="37">
        <v>42.0</v>
      </c>
      <c r="O292" s="39">
        <v>148341.0</v>
      </c>
      <c r="P292" s="40">
        <f t="shared" si="14"/>
        <v>0.09044112737</v>
      </c>
      <c r="Q292" s="41">
        <f t="shared" si="15"/>
        <v>11.05691657</v>
      </c>
      <c r="R292" s="40">
        <f t="shared" si="16"/>
        <v>0.7224356444</v>
      </c>
      <c r="S292" s="42"/>
      <c r="T292" s="43"/>
      <c r="U292" s="6"/>
      <c r="V292" s="6"/>
      <c r="W292" s="6"/>
      <c r="X292" s="6"/>
      <c r="Y292" s="6"/>
      <c r="Z292" s="6"/>
    </row>
    <row r="293" hidden="1" outlineLevel="1">
      <c r="A293" s="44" t="str">
        <f t="shared" si="192"/>
        <v>9-2024</v>
      </c>
      <c r="B293" s="34">
        <v>45544.0</v>
      </c>
      <c r="C293" s="45"/>
      <c r="D293" s="46">
        <v>1629.6</v>
      </c>
      <c r="E293" s="47">
        <v>42.0</v>
      </c>
      <c r="F293" s="47">
        <v>42.0</v>
      </c>
      <c r="G293" s="48">
        <f t="shared" si="10"/>
        <v>1</v>
      </c>
      <c r="H293" s="46">
        <f t="shared" si="193"/>
        <v>38.8</v>
      </c>
      <c r="I293" s="46">
        <f t="shared" si="194"/>
        <v>38.8</v>
      </c>
      <c r="J293" s="49">
        <v>2429.0</v>
      </c>
      <c r="K293" s="50">
        <f t="shared" si="13"/>
        <v>0.01729106628</v>
      </c>
      <c r="L293" s="46">
        <v>117.45</v>
      </c>
      <c r="M293" s="46">
        <v>1148.57</v>
      </c>
      <c r="N293" s="47">
        <v>30.0</v>
      </c>
      <c r="O293" s="49">
        <v>120588.0</v>
      </c>
      <c r="P293" s="50">
        <f t="shared" si="14"/>
        <v>0.1022575899</v>
      </c>
      <c r="Q293" s="51">
        <f t="shared" si="15"/>
        <v>9.779225202</v>
      </c>
      <c r="R293" s="50">
        <f t="shared" si="16"/>
        <v>0.704817133</v>
      </c>
      <c r="S293" s="16"/>
      <c r="T293" s="25"/>
      <c r="U293" s="6"/>
      <c r="V293" s="6"/>
      <c r="W293" s="6"/>
      <c r="X293" s="6"/>
      <c r="Y293" s="6"/>
      <c r="Z293" s="6"/>
    </row>
    <row r="294" hidden="1" outlineLevel="1">
      <c r="A294" s="44" t="str">
        <f t="shared" si="192"/>
        <v>9-2024</v>
      </c>
      <c r="B294" s="34">
        <v>45545.0</v>
      </c>
      <c r="C294" s="45"/>
      <c r="D294" s="46">
        <v>1733.2</v>
      </c>
      <c r="E294" s="47">
        <v>46.0</v>
      </c>
      <c r="F294" s="47">
        <v>46.0</v>
      </c>
      <c r="G294" s="48">
        <f t="shared" si="10"/>
        <v>1</v>
      </c>
      <c r="H294" s="46">
        <f t="shared" si="193"/>
        <v>37.67826087</v>
      </c>
      <c r="I294" s="46">
        <f t="shared" si="194"/>
        <v>37.67826087</v>
      </c>
      <c r="J294" s="49">
        <v>2272.0</v>
      </c>
      <c r="K294" s="50">
        <f t="shared" si="13"/>
        <v>0.02024647887</v>
      </c>
      <c r="L294" s="46">
        <v>110.11</v>
      </c>
      <c r="M294" s="46">
        <v>788.3</v>
      </c>
      <c r="N294" s="47">
        <v>18.0</v>
      </c>
      <c r="O294" s="49">
        <v>115696.0</v>
      </c>
      <c r="P294" s="50">
        <f t="shared" si="14"/>
        <v>0.1396803247</v>
      </c>
      <c r="Q294" s="51">
        <f t="shared" si="15"/>
        <v>7.159204432</v>
      </c>
      <c r="R294" s="50">
        <f t="shared" si="16"/>
        <v>0.454823448</v>
      </c>
      <c r="S294" s="16"/>
      <c r="T294" s="25"/>
      <c r="U294" s="6"/>
      <c r="V294" s="6"/>
      <c r="W294" s="6"/>
      <c r="X294" s="6"/>
      <c r="Y294" s="6"/>
      <c r="Z294" s="6"/>
    </row>
    <row r="295" hidden="1" outlineLevel="1">
      <c r="A295" s="44" t="str">
        <f t="shared" si="192"/>
        <v>9-2024</v>
      </c>
      <c r="B295" s="34">
        <v>45546.0</v>
      </c>
      <c r="C295" s="45"/>
      <c r="D295" s="46">
        <v>1761.4</v>
      </c>
      <c r="E295" s="47">
        <v>48.0</v>
      </c>
      <c r="F295" s="47">
        <v>48.0</v>
      </c>
      <c r="G295" s="48">
        <f t="shared" si="10"/>
        <v>1</v>
      </c>
      <c r="H295" s="46">
        <f t="shared" si="193"/>
        <v>36.69583333</v>
      </c>
      <c r="I295" s="46">
        <f t="shared" si="194"/>
        <v>36.69583333</v>
      </c>
      <c r="J295" s="49">
        <v>2027.0</v>
      </c>
      <c r="K295" s="50">
        <f t="shared" si="13"/>
        <v>0.02368031574</v>
      </c>
      <c r="L295" s="46">
        <v>93.24</v>
      </c>
      <c r="M295" s="46">
        <v>1079.1</v>
      </c>
      <c r="N295" s="47">
        <v>28.0</v>
      </c>
      <c r="O295" s="49">
        <v>102955.0</v>
      </c>
      <c r="P295" s="50">
        <f t="shared" si="14"/>
        <v>0.08640533778</v>
      </c>
      <c r="Q295" s="51">
        <f t="shared" si="15"/>
        <v>11.57335907</v>
      </c>
      <c r="R295" s="50">
        <f t="shared" si="16"/>
        <v>0.6126376746</v>
      </c>
      <c r="S295" s="16"/>
      <c r="T295" s="25"/>
      <c r="U295" s="6"/>
      <c r="V295" s="6"/>
      <c r="W295" s="6"/>
      <c r="X295" s="6"/>
      <c r="Y295" s="6"/>
      <c r="Z295" s="6"/>
    </row>
    <row r="296" hidden="1" outlineLevel="1">
      <c r="A296" s="44" t="str">
        <f t="shared" si="192"/>
        <v>9-2024</v>
      </c>
      <c r="B296" s="34">
        <v>45547.0</v>
      </c>
      <c r="C296" s="45"/>
      <c r="D296" s="46">
        <v>1388.0</v>
      </c>
      <c r="E296" s="47">
        <v>41.0</v>
      </c>
      <c r="F296" s="47">
        <v>40.0</v>
      </c>
      <c r="G296" s="48">
        <f t="shared" si="10"/>
        <v>1.025</v>
      </c>
      <c r="H296" s="46">
        <f t="shared" si="193"/>
        <v>34.7</v>
      </c>
      <c r="I296" s="46">
        <f t="shared" si="194"/>
        <v>33.85365854</v>
      </c>
      <c r="J296" s="49">
        <v>1836.0</v>
      </c>
      <c r="K296" s="50">
        <f t="shared" si="13"/>
        <v>0.02233115468</v>
      </c>
      <c r="L296" s="46">
        <v>74.08</v>
      </c>
      <c r="M296" s="46">
        <v>420.2</v>
      </c>
      <c r="N296" s="47">
        <v>15.0</v>
      </c>
      <c r="O296" s="49">
        <v>100004.0</v>
      </c>
      <c r="P296" s="50">
        <f t="shared" si="14"/>
        <v>0.1762970014</v>
      </c>
      <c r="Q296" s="51">
        <f t="shared" si="15"/>
        <v>5.67224622</v>
      </c>
      <c r="R296" s="50">
        <f t="shared" si="16"/>
        <v>0.3027377522</v>
      </c>
      <c r="S296" s="16"/>
      <c r="T296" s="25"/>
      <c r="U296" s="6"/>
      <c r="V296" s="6"/>
      <c r="W296" s="6"/>
      <c r="X296" s="6"/>
      <c r="Y296" s="6"/>
      <c r="Z296" s="6"/>
    </row>
    <row r="297" hidden="1" outlineLevel="1">
      <c r="A297" s="44" t="str">
        <f t="shared" si="192"/>
        <v>9-2024</v>
      </c>
      <c r="B297" s="34">
        <v>45548.0</v>
      </c>
      <c r="C297" s="45"/>
      <c r="D297" s="46">
        <v>1246.4</v>
      </c>
      <c r="E297" s="47">
        <v>31.0</v>
      </c>
      <c r="F297" s="47">
        <v>31.0</v>
      </c>
      <c r="G297" s="48">
        <f t="shared" si="10"/>
        <v>1</v>
      </c>
      <c r="H297" s="46">
        <f t="shared" si="193"/>
        <v>40.20645161</v>
      </c>
      <c r="I297" s="46">
        <f t="shared" si="194"/>
        <v>40.20645161</v>
      </c>
      <c r="J297" s="49">
        <v>2074.0</v>
      </c>
      <c r="K297" s="50">
        <f t="shared" si="13"/>
        <v>0.01494696239</v>
      </c>
      <c r="L297" s="46">
        <v>74.3</v>
      </c>
      <c r="M297" s="46">
        <v>504.47</v>
      </c>
      <c r="N297" s="47">
        <v>13.0</v>
      </c>
      <c r="O297" s="49">
        <v>97405.0</v>
      </c>
      <c r="P297" s="50">
        <f t="shared" si="14"/>
        <v>0.1472832874</v>
      </c>
      <c r="Q297" s="51">
        <f t="shared" si="15"/>
        <v>6.789636608</v>
      </c>
      <c r="R297" s="50">
        <f t="shared" si="16"/>
        <v>0.404741656</v>
      </c>
      <c r="S297" s="16"/>
      <c r="T297" s="25"/>
      <c r="U297" s="6"/>
      <c r="V297" s="6"/>
      <c r="W297" s="6"/>
      <c r="X297" s="6"/>
      <c r="Y297" s="6"/>
      <c r="Z297" s="6"/>
    </row>
    <row r="298" hidden="1" outlineLevel="1">
      <c r="A298" s="44" t="str">
        <f t="shared" si="192"/>
        <v>9-2024</v>
      </c>
      <c r="B298" s="34">
        <v>45549.0</v>
      </c>
      <c r="C298" s="45"/>
      <c r="D298" s="46">
        <v>1336.5</v>
      </c>
      <c r="E298" s="47">
        <v>35.0</v>
      </c>
      <c r="F298" s="47">
        <v>35.0</v>
      </c>
      <c r="G298" s="48">
        <f t="shared" si="10"/>
        <v>1</v>
      </c>
      <c r="H298" s="46">
        <f t="shared" si="193"/>
        <v>38.18571429</v>
      </c>
      <c r="I298" s="46">
        <f t="shared" si="194"/>
        <v>38.18571429</v>
      </c>
      <c r="J298" s="49">
        <v>2382.0</v>
      </c>
      <c r="K298" s="50">
        <f t="shared" si="13"/>
        <v>0.01469353484</v>
      </c>
      <c r="L298" s="46">
        <v>83.81</v>
      </c>
      <c r="M298" s="46">
        <v>485.2</v>
      </c>
      <c r="N298" s="47">
        <v>13.0</v>
      </c>
      <c r="O298" s="49">
        <v>107632.0</v>
      </c>
      <c r="P298" s="50">
        <f t="shared" si="14"/>
        <v>0.1727328937</v>
      </c>
      <c r="Q298" s="51">
        <f t="shared" si="15"/>
        <v>5.789285288</v>
      </c>
      <c r="R298" s="50">
        <f t="shared" si="16"/>
        <v>0.3630377853</v>
      </c>
      <c r="S298" s="16"/>
      <c r="T298" s="25"/>
      <c r="U298" s="6"/>
      <c r="V298" s="6"/>
      <c r="W298" s="6"/>
      <c r="X298" s="6"/>
      <c r="Y298" s="6"/>
      <c r="Z298" s="6"/>
    </row>
    <row r="299" collapsed="1">
      <c r="A299" s="52" t="s">
        <v>133</v>
      </c>
      <c r="B299" s="53"/>
      <c r="C299" s="54"/>
      <c r="D299" s="55">
        <f t="shared" ref="D299:F299" si="195">SUM(D292:D298)</f>
        <v>11375.4</v>
      </c>
      <c r="E299" s="81">
        <f t="shared" si="195"/>
        <v>303</v>
      </c>
      <c r="F299" s="81">
        <f t="shared" si="195"/>
        <v>302</v>
      </c>
      <c r="G299" s="57">
        <f t="shared" si="10"/>
        <v>1.003311258</v>
      </c>
      <c r="H299" s="55">
        <f>AVERAGE(H292:H298)</f>
        <v>37.75303716</v>
      </c>
      <c r="I299" s="58">
        <f>H299/G299</f>
        <v>37.62843967</v>
      </c>
      <c r="J299" s="59">
        <f>SUM(J292:J298)</f>
        <v>16066</v>
      </c>
      <c r="K299" s="60">
        <f t="shared" si="13"/>
        <v>0.01885970372</v>
      </c>
      <c r="L299" s="55">
        <f t="shared" ref="L299:N299" si="196">SUM(L292:L298)</f>
        <v>701.98</v>
      </c>
      <c r="M299" s="55">
        <f t="shared" si="196"/>
        <v>6073.21</v>
      </c>
      <c r="N299" s="56">
        <f t="shared" si="196"/>
        <v>159</v>
      </c>
      <c r="O299" s="59">
        <f>sum(O292:O298)</f>
        <v>792621</v>
      </c>
      <c r="P299" s="60">
        <f t="shared" si="14"/>
        <v>0.1155863209</v>
      </c>
      <c r="Q299" s="61">
        <f t="shared" si="15"/>
        <v>8.651542779</v>
      </c>
      <c r="R299" s="62">
        <f t="shared" si="16"/>
        <v>0.5338897973</v>
      </c>
      <c r="S299" s="54">
        <f>iferror((D299-D131)/D299,)</f>
        <v>-0.9748316543</v>
      </c>
      <c r="T299" s="63">
        <f>iferror((F299-E131)/F299,)</f>
        <v>-1.016556291</v>
      </c>
      <c r="U299" s="6"/>
      <c r="V299" s="6"/>
      <c r="W299" s="6"/>
      <c r="X299" s="6"/>
      <c r="Y299" s="6"/>
      <c r="Z299" s="6"/>
    </row>
    <row r="300" hidden="1" outlineLevel="1">
      <c r="A300" s="33" t="str">
        <f t="shared" ref="A300:A306" si="197">iferror(if(B300&gt;0,month(B300)&amp;"-"&amp;year(B300),B300),)</f>
        <v>9-2024</v>
      </c>
      <c r="B300" s="34">
        <v>45550.0</v>
      </c>
      <c r="C300" s="35"/>
      <c r="D300" s="36">
        <v>1635.7</v>
      </c>
      <c r="E300" s="37">
        <v>44.0</v>
      </c>
      <c r="F300" s="37">
        <v>44.0</v>
      </c>
      <c r="G300" s="38">
        <f t="shared" si="10"/>
        <v>1</v>
      </c>
      <c r="H300" s="36">
        <f t="shared" ref="H300:H306" si="198">D300/F300</f>
        <v>37.175</v>
      </c>
      <c r="I300" s="36">
        <f t="shared" ref="I300:I306" si="199">D300/E300</f>
        <v>37.175</v>
      </c>
      <c r="J300" s="39">
        <v>2950.0</v>
      </c>
      <c r="K300" s="40">
        <f t="shared" si="13"/>
        <v>0.01491525424</v>
      </c>
      <c r="L300" s="36">
        <v>127.51</v>
      </c>
      <c r="M300" s="36">
        <v>1083.4</v>
      </c>
      <c r="N300" s="37">
        <v>28.0</v>
      </c>
      <c r="O300" s="39">
        <v>141648.0</v>
      </c>
      <c r="P300" s="40">
        <f t="shared" si="14"/>
        <v>0.1176942957</v>
      </c>
      <c r="Q300" s="41">
        <f t="shared" si="15"/>
        <v>8.496588503</v>
      </c>
      <c r="R300" s="40">
        <f t="shared" si="16"/>
        <v>0.662346396</v>
      </c>
      <c r="S300" s="42"/>
      <c r="T300" s="43"/>
      <c r="U300" s="6"/>
      <c r="V300" s="6"/>
      <c r="W300" s="6"/>
      <c r="X300" s="6"/>
      <c r="Y300" s="6"/>
      <c r="Z300" s="6"/>
    </row>
    <row r="301" hidden="1" outlineLevel="1">
      <c r="A301" s="44" t="str">
        <f t="shared" si="197"/>
        <v>9-2024</v>
      </c>
      <c r="B301" s="34">
        <v>45551.0</v>
      </c>
      <c r="C301" s="45"/>
      <c r="D301" s="46">
        <v>1686.1</v>
      </c>
      <c r="E301" s="47">
        <v>53.0</v>
      </c>
      <c r="F301" s="47">
        <v>52.0</v>
      </c>
      <c r="G301" s="48">
        <f t="shared" si="10"/>
        <v>1.019230769</v>
      </c>
      <c r="H301" s="46">
        <f t="shared" si="198"/>
        <v>32.425</v>
      </c>
      <c r="I301" s="46">
        <f t="shared" si="199"/>
        <v>31.81320755</v>
      </c>
      <c r="J301" s="49">
        <v>2248.0</v>
      </c>
      <c r="K301" s="50">
        <f t="shared" si="13"/>
        <v>0.02357651246</v>
      </c>
      <c r="L301" s="46">
        <v>95.07</v>
      </c>
      <c r="M301" s="46">
        <v>593.0</v>
      </c>
      <c r="N301" s="47">
        <v>16.0</v>
      </c>
      <c r="O301" s="49">
        <v>109187.0</v>
      </c>
      <c r="P301" s="50">
        <f t="shared" si="14"/>
        <v>0.1603204047</v>
      </c>
      <c r="Q301" s="51">
        <f t="shared" si="15"/>
        <v>6.237509204</v>
      </c>
      <c r="R301" s="50">
        <f t="shared" si="16"/>
        <v>0.3516991875</v>
      </c>
      <c r="S301" s="16"/>
      <c r="T301" s="25"/>
      <c r="U301" s="6"/>
      <c r="V301" s="6"/>
      <c r="W301" s="6"/>
      <c r="X301" s="6"/>
      <c r="Y301" s="6"/>
      <c r="Z301" s="6"/>
    </row>
    <row r="302" hidden="1" outlineLevel="1">
      <c r="A302" s="44" t="str">
        <f t="shared" si="197"/>
        <v>9-2024</v>
      </c>
      <c r="B302" s="34">
        <v>45552.0</v>
      </c>
      <c r="C302" s="45"/>
      <c r="D302" s="46">
        <v>1426.3</v>
      </c>
      <c r="E302" s="47">
        <v>42.0</v>
      </c>
      <c r="F302" s="47">
        <v>42.0</v>
      </c>
      <c r="G302" s="48">
        <f t="shared" si="10"/>
        <v>1</v>
      </c>
      <c r="H302" s="46">
        <f t="shared" si="198"/>
        <v>33.95952381</v>
      </c>
      <c r="I302" s="46">
        <f t="shared" si="199"/>
        <v>33.95952381</v>
      </c>
      <c r="J302" s="49">
        <v>2270.0</v>
      </c>
      <c r="K302" s="50">
        <f t="shared" si="13"/>
        <v>0.01850220264</v>
      </c>
      <c r="L302" s="46">
        <v>82.53</v>
      </c>
      <c r="M302" s="46">
        <v>876.0</v>
      </c>
      <c r="N302" s="47">
        <v>26.0</v>
      </c>
      <c r="O302" s="49">
        <v>101327.0</v>
      </c>
      <c r="P302" s="50">
        <f t="shared" si="14"/>
        <v>0.09421232877</v>
      </c>
      <c r="Q302" s="51">
        <f t="shared" si="15"/>
        <v>10.61432206</v>
      </c>
      <c r="R302" s="50">
        <f t="shared" si="16"/>
        <v>0.6141765407</v>
      </c>
      <c r="S302" s="16"/>
      <c r="T302" s="25"/>
      <c r="U302" s="6"/>
      <c r="V302" s="6"/>
      <c r="W302" s="6"/>
      <c r="X302" s="6"/>
      <c r="Y302" s="6"/>
      <c r="Z302" s="6"/>
    </row>
    <row r="303" hidden="1" outlineLevel="1">
      <c r="A303" s="44" t="str">
        <f t="shared" si="197"/>
        <v>9-2024</v>
      </c>
      <c r="B303" s="34">
        <v>45553.0</v>
      </c>
      <c r="C303" s="45"/>
      <c r="D303" s="46">
        <v>1912.0</v>
      </c>
      <c r="E303" s="47">
        <v>60.0</v>
      </c>
      <c r="F303" s="47">
        <v>60.0</v>
      </c>
      <c r="G303" s="48">
        <f t="shared" si="10"/>
        <v>1</v>
      </c>
      <c r="H303" s="46">
        <f t="shared" si="198"/>
        <v>31.86666667</v>
      </c>
      <c r="I303" s="46">
        <f t="shared" si="199"/>
        <v>31.86666667</v>
      </c>
      <c r="J303" s="49">
        <v>2670.0</v>
      </c>
      <c r="K303" s="50">
        <f t="shared" si="13"/>
        <v>0.02247191011</v>
      </c>
      <c r="L303" s="46">
        <v>116.81</v>
      </c>
      <c r="M303" s="46">
        <v>895.0</v>
      </c>
      <c r="N303" s="47">
        <v>29.0</v>
      </c>
      <c r="O303" s="49">
        <v>107671.0</v>
      </c>
      <c r="P303" s="50">
        <f t="shared" si="14"/>
        <v>0.1305139665</v>
      </c>
      <c r="Q303" s="51">
        <f t="shared" si="15"/>
        <v>7.662015238</v>
      </c>
      <c r="R303" s="50">
        <f t="shared" si="16"/>
        <v>0.4680962343</v>
      </c>
      <c r="S303" s="16"/>
      <c r="T303" s="25"/>
      <c r="U303" s="6"/>
      <c r="V303" s="6"/>
      <c r="W303" s="6"/>
      <c r="X303" s="6"/>
      <c r="Y303" s="6"/>
      <c r="Z303" s="6"/>
    </row>
    <row r="304" hidden="1" outlineLevel="1">
      <c r="A304" s="44" t="str">
        <f t="shared" si="197"/>
        <v>9-2024</v>
      </c>
      <c r="B304" s="34">
        <v>45554.0</v>
      </c>
      <c r="C304" s="45"/>
      <c r="D304" s="46">
        <v>2093.0</v>
      </c>
      <c r="E304" s="47">
        <v>64.0</v>
      </c>
      <c r="F304" s="47">
        <v>64.0</v>
      </c>
      <c r="G304" s="48">
        <f t="shared" si="10"/>
        <v>1</v>
      </c>
      <c r="H304" s="46">
        <f t="shared" si="198"/>
        <v>32.703125</v>
      </c>
      <c r="I304" s="46">
        <f t="shared" si="199"/>
        <v>32.703125</v>
      </c>
      <c r="J304" s="49">
        <v>2627.0</v>
      </c>
      <c r="K304" s="50">
        <f t="shared" si="13"/>
        <v>0.02436239056</v>
      </c>
      <c r="L304" s="46">
        <v>111.22</v>
      </c>
      <c r="M304" s="46">
        <v>1078.0</v>
      </c>
      <c r="N304" s="47">
        <v>34.0</v>
      </c>
      <c r="O304" s="49">
        <v>106587.0</v>
      </c>
      <c r="P304" s="50">
        <f t="shared" si="14"/>
        <v>0.1031725417</v>
      </c>
      <c r="Q304" s="51">
        <f t="shared" si="15"/>
        <v>9.692501349</v>
      </c>
      <c r="R304" s="50">
        <f t="shared" si="16"/>
        <v>0.5150501672</v>
      </c>
      <c r="S304" s="16"/>
      <c r="T304" s="25"/>
      <c r="U304" s="6"/>
      <c r="V304" s="6"/>
      <c r="W304" s="6"/>
      <c r="X304" s="6"/>
      <c r="Y304" s="6"/>
      <c r="Z304" s="6"/>
    </row>
    <row r="305" hidden="1" outlineLevel="1">
      <c r="A305" s="44" t="str">
        <f t="shared" si="197"/>
        <v>9-2024</v>
      </c>
      <c r="B305" s="34">
        <v>45555.0</v>
      </c>
      <c r="C305" s="45"/>
      <c r="D305" s="46">
        <v>1475.0</v>
      </c>
      <c r="E305" s="47">
        <v>40.0</v>
      </c>
      <c r="F305" s="47">
        <v>39.0</v>
      </c>
      <c r="G305" s="48">
        <f t="shared" si="10"/>
        <v>1.025641026</v>
      </c>
      <c r="H305" s="46">
        <f t="shared" si="198"/>
        <v>37.82051282</v>
      </c>
      <c r="I305" s="46">
        <f t="shared" si="199"/>
        <v>36.875</v>
      </c>
      <c r="J305" s="49">
        <v>2138.0</v>
      </c>
      <c r="K305" s="50">
        <f t="shared" si="13"/>
        <v>0.0187090739</v>
      </c>
      <c r="L305" s="46">
        <v>71.25</v>
      </c>
      <c r="M305" s="46">
        <v>524.0</v>
      </c>
      <c r="N305" s="47">
        <v>15.0</v>
      </c>
      <c r="O305" s="49">
        <v>83358.0</v>
      </c>
      <c r="P305" s="50">
        <f t="shared" si="14"/>
        <v>0.1359732824</v>
      </c>
      <c r="Q305" s="51">
        <f t="shared" si="15"/>
        <v>7.354385965</v>
      </c>
      <c r="R305" s="50">
        <f t="shared" si="16"/>
        <v>0.3552542373</v>
      </c>
      <c r="S305" s="16"/>
      <c r="T305" s="25"/>
      <c r="U305" s="6"/>
      <c r="V305" s="6"/>
      <c r="W305" s="6"/>
      <c r="X305" s="6"/>
      <c r="Y305" s="6"/>
      <c r="Z305" s="6"/>
    </row>
    <row r="306" hidden="1" outlineLevel="1">
      <c r="A306" s="44" t="str">
        <f t="shared" si="197"/>
        <v>9-2024</v>
      </c>
      <c r="B306" s="34">
        <v>45556.0</v>
      </c>
      <c r="C306" s="45"/>
      <c r="D306" s="46">
        <v>1799.0</v>
      </c>
      <c r="E306" s="47">
        <v>51.0</v>
      </c>
      <c r="F306" s="47">
        <v>51.0</v>
      </c>
      <c r="G306" s="48">
        <f t="shared" si="10"/>
        <v>1</v>
      </c>
      <c r="H306" s="46">
        <f t="shared" si="198"/>
        <v>35.2745098</v>
      </c>
      <c r="I306" s="46">
        <f t="shared" si="199"/>
        <v>35.2745098</v>
      </c>
      <c r="J306" s="49">
        <v>2608.0</v>
      </c>
      <c r="K306" s="50">
        <f t="shared" si="13"/>
        <v>0.01955521472</v>
      </c>
      <c r="L306" s="46">
        <v>96.24</v>
      </c>
      <c r="M306" s="46">
        <v>735.0</v>
      </c>
      <c r="N306" s="47">
        <v>24.0</v>
      </c>
      <c r="O306" s="49">
        <v>104976.0</v>
      </c>
      <c r="P306" s="50">
        <f t="shared" si="14"/>
        <v>0.1309387755</v>
      </c>
      <c r="Q306" s="51">
        <f t="shared" si="15"/>
        <v>7.637157107</v>
      </c>
      <c r="R306" s="50">
        <f t="shared" si="16"/>
        <v>0.4085603113</v>
      </c>
      <c r="S306" s="16"/>
      <c r="T306" s="25"/>
      <c r="U306" s="6"/>
      <c r="V306" s="6"/>
      <c r="W306" s="6"/>
      <c r="X306" s="6"/>
      <c r="Y306" s="6"/>
      <c r="Z306" s="6"/>
    </row>
    <row r="307" collapsed="1">
      <c r="A307" s="52" t="s">
        <v>134</v>
      </c>
      <c r="B307" s="53"/>
      <c r="C307" s="54"/>
      <c r="D307" s="55">
        <f t="shared" ref="D307:F307" si="200">SUM(D300:D306)</f>
        <v>12027.1</v>
      </c>
      <c r="E307" s="81">
        <f t="shared" si="200"/>
        <v>354</v>
      </c>
      <c r="F307" s="81">
        <f t="shared" si="200"/>
        <v>352</v>
      </c>
      <c r="G307" s="57">
        <f t="shared" si="10"/>
        <v>1.005681818</v>
      </c>
      <c r="H307" s="55">
        <f>AVERAGE(H300:H306)</f>
        <v>34.46061973</v>
      </c>
      <c r="I307" s="58">
        <f>H307/G307</f>
        <v>34.26592696</v>
      </c>
      <c r="J307" s="59">
        <f>SUM(J300:J306)</f>
        <v>17511</v>
      </c>
      <c r="K307" s="60">
        <f t="shared" si="13"/>
        <v>0.02021586431</v>
      </c>
      <c r="L307" s="55">
        <f t="shared" ref="L307:N307" si="201">SUM(L300:L306)</f>
        <v>700.63</v>
      </c>
      <c r="M307" s="55">
        <f t="shared" si="201"/>
        <v>5784.4</v>
      </c>
      <c r="N307" s="56">
        <f t="shared" si="201"/>
        <v>172</v>
      </c>
      <c r="O307" s="59">
        <f>sum(O300:O306)</f>
        <v>754754</v>
      </c>
      <c r="P307" s="60">
        <f t="shared" si="14"/>
        <v>0.1211240578</v>
      </c>
      <c r="Q307" s="61">
        <f t="shared" si="15"/>
        <v>8.255998173</v>
      </c>
      <c r="R307" s="62">
        <f t="shared" si="16"/>
        <v>0.4809471943</v>
      </c>
      <c r="S307" s="54">
        <f>iferror((D307-D131)/D307,)</f>
        <v>-0.8678234986</v>
      </c>
      <c r="T307" s="63">
        <f>iferror((F307-E131)/F307,)</f>
        <v>-0.7301136364</v>
      </c>
      <c r="U307" s="6"/>
      <c r="V307" s="6"/>
      <c r="W307" s="6"/>
      <c r="X307" s="6"/>
      <c r="Y307" s="6"/>
      <c r="Z307" s="6"/>
    </row>
    <row r="308" hidden="1" outlineLevel="1">
      <c r="A308" s="33" t="str">
        <f t="shared" ref="A308:A314" si="202">iferror(if(B308&gt;0,month(B308)&amp;"-"&amp;year(B308),B308),)</f>
        <v>9-2024</v>
      </c>
      <c r="B308" s="34">
        <v>45557.0</v>
      </c>
      <c r="C308" s="35"/>
      <c r="D308" s="36">
        <v>2638.0</v>
      </c>
      <c r="E308" s="37">
        <v>80.0</v>
      </c>
      <c r="F308" s="37">
        <v>79.0</v>
      </c>
      <c r="G308" s="38">
        <f t="shared" si="10"/>
        <v>1.012658228</v>
      </c>
      <c r="H308" s="36">
        <f t="shared" ref="H308:H314" si="203">D308/F308</f>
        <v>33.39240506</v>
      </c>
      <c r="I308" s="36">
        <f t="shared" ref="I308:I314" si="204">D308/E308</f>
        <v>32.975</v>
      </c>
      <c r="J308" s="39">
        <v>3203.0</v>
      </c>
      <c r="K308" s="40">
        <f t="shared" si="13"/>
        <v>0.02497658445</v>
      </c>
      <c r="L308" s="36">
        <v>117.24</v>
      </c>
      <c r="M308" s="36">
        <v>1158.0</v>
      </c>
      <c r="N308" s="37">
        <v>37.0</v>
      </c>
      <c r="O308" s="39">
        <v>135357.0</v>
      </c>
      <c r="P308" s="40">
        <f t="shared" si="14"/>
        <v>0.1012435233</v>
      </c>
      <c r="Q308" s="41">
        <f t="shared" si="15"/>
        <v>9.877175026</v>
      </c>
      <c r="R308" s="40">
        <f t="shared" si="16"/>
        <v>0.4389689158</v>
      </c>
      <c r="S308" s="42"/>
      <c r="T308" s="43"/>
      <c r="U308" s="6"/>
      <c r="V308" s="6"/>
      <c r="W308" s="6"/>
      <c r="X308" s="6"/>
      <c r="Y308" s="6"/>
      <c r="Z308" s="6"/>
    </row>
    <row r="309" hidden="1" outlineLevel="1">
      <c r="A309" s="44" t="str">
        <f t="shared" si="202"/>
        <v>9-2024</v>
      </c>
      <c r="B309" s="34">
        <v>45558.0</v>
      </c>
      <c r="C309" s="45"/>
      <c r="D309" s="46">
        <v>2597.0</v>
      </c>
      <c r="E309" s="47">
        <v>75.0</v>
      </c>
      <c r="F309" s="47">
        <v>75.0</v>
      </c>
      <c r="G309" s="48">
        <f t="shared" si="10"/>
        <v>1</v>
      </c>
      <c r="H309" s="46">
        <f t="shared" si="203"/>
        <v>34.62666667</v>
      </c>
      <c r="I309" s="46">
        <f t="shared" si="204"/>
        <v>34.62666667</v>
      </c>
      <c r="J309" s="49">
        <v>2567.0</v>
      </c>
      <c r="K309" s="50">
        <f t="shared" si="13"/>
        <v>0.02921698481</v>
      </c>
      <c r="L309" s="46">
        <v>93.93</v>
      </c>
      <c r="M309" s="46">
        <v>1701.0</v>
      </c>
      <c r="N309" s="47">
        <v>49.0</v>
      </c>
      <c r="O309" s="49">
        <v>114067.0</v>
      </c>
      <c r="P309" s="50">
        <f t="shared" si="14"/>
        <v>0.05522045855</v>
      </c>
      <c r="Q309" s="51">
        <f t="shared" si="15"/>
        <v>18.10923028</v>
      </c>
      <c r="R309" s="50">
        <f t="shared" si="16"/>
        <v>0.6549865229</v>
      </c>
      <c r="S309" s="16"/>
      <c r="T309" s="25"/>
      <c r="U309" s="6"/>
      <c r="V309" s="6"/>
      <c r="W309" s="6"/>
      <c r="X309" s="6"/>
      <c r="Y309" s="6"/>
      <c r="Z309" s="6"/>
    </row>
    <row r="310" hidden="1" outlineLevel="1">
      <c r="A310" s="44" t="str">
        <f t="shared" si="202"/>
        <v>9-2024</v>
      </c>
      <c r="B310" s="34">
        <v>45559.0</v>
      </c>
      <c r="C310" s="45"/>
      <c r="D310" s="46">
        <v>2218.0</v>
      </c>
      <c r="E310" s="47">
        <v>64.0</v>
      </c>
      <c r="F310" s="47">
        <v>64.0</v>
      </c>
      <c r="G310" s="48">
        <f t="shared" si="10"/>
        <v>1</v>
      </c>
      <c r="H310" s="46">
        <f t="shared" si="203"/>
        <v>34.65625</v>
      </c>
      <c r="I310" s="46">
        <f t="shared" si="204"/>
        <v>34.65625</v>
      </c>
      <c r="J310" s="49">
        <v>3033.0</v>
      </c>
      <c r="K310" s="50">
        <f t="shared" si="13"/>
        <v>0.02110121991</v>
      </c>
      <c r="L310" s="46">
        <v>117.09</v>
      </c>
      <c r="M310" s="46">
        <v>1035.0</v>
      </c>
      <c r="N310" s="47">
        <v>29.0</v>
      </c>
      <c r="O310" s="49">
        <v>113093.0</v>
      </c>
      <c r="P310" s="50">
        <f t="shared" si="14"/>
        <v>0.1131304348</v>
      </c>
      <c r="Q310" s="51">
        <f t="shared" si="15"/>
        <v>8.839354343</v>
      </c>
      <c r="R310" s="50">
        <f t="shared" si="16"/>
        <v>0.4666366096</v>
      </c>
      <c r="S310" s="16"/>
      <c r="T310" s="25"/>
      <c r="U310" s="6"/>
      <c r="V310" s="6"/>
      <c r="W310" s="6"/>
      <c r="X310" s="6"/>
      <c r="Y310" s="6"/>
      <c r="Z310" s="6"/>
    </row>
    <row r="311" hidden="1" outlineLevel="1">
      <c r="A311" s="44" t="str">
        <f t="shared" si="202"/>
        <v>9-2024</v>
      </c>
      <c r="B311" s="34">
        <v>45560.0</v>
      </c>
      <c r="C311" s="45"/>
      <c r="D311" s="46">
        <v>1556.0</v>
      </c>
      <c r="E311" s="47">
        <v>44.0</v>
      </c>
      <c r="F311" s="47">
        <v>44.0</v>
      </c>
      <c r="G311" s="48">
        <f t="shared" si="10"/>
        <v>1</v>
      </c>
      <c r="H311" s="46">
        <f t="shared" si="203"/>
        <v>35.36363636</v>
      </c>
      <c r="I311" s="46">
        <f t="shared" si="204"/>
        <v>35.36363636</v>
      </c>
      <c r="J311" s="49">
        <v>2805.0</v>
      </c>
      <c r="K311" s="50">
        <f t="shared" si="13"/>
        <v>0.01568627451</v>
      </c>
      <c r="L311" s="46">
        <v>110.03</v>
      </c>
      <c r="M311" s="46">
        <v>790.0</v>
      </c>
      <c r="N311" s="47">
        <v>25.0</v>
      </c>
      <c r="O311" s="49">
        <v>107944.0</v>
      </c>
      <c r="P311" s="50">
        <f t="shared" si="14"/>
        <v>0.139278481</v>
      </c>
      <c r="Q311" s="51">
        <f t="shared" si="15"/>
        <v>7.179860038</v>
      </c>
      <c r="R311" s="50">
        <f t="shared" si="16"/>
        <v>0.5077120823</v>
      </c>
      <c r="S311" s="16"/>
      <c r="T311" s="25"/>
      <c r="U311" s="6"/>
      <c r="V311" s="6"/>
      <c r="W311" s="6"/>
      <c r="X311" s="6"/>
      <c r="Y311" s="6"/>
      <c r="Z311" s="6"/>
    </row>
    <row r="312" hidden="1" outlineLevel="1">
      <c r="A312" s="44" t="str">
        <f t="shared" si="202"/>
        <v>9-2024</v>
      </c>
      <c r="B312" s="34">
        <v>45561.0</v>
      </c>
      <c r="C312" s="45"/>
      <c r="D312" s="46">
        <v>1949.0</v>
      </c>
      <c r="E312" s="47">
        <v>61.0</v>
      </c>
      <c r="F312" s="47">
        <v>60.0</v>
      </c>
      <c r="G312" s="48">
        <f t="shared" si="10"/>
        <v>1.016666667</v>
      </c>
      <c r="H312" s="46">
        <f t="shared" si="203"/>
        <v>32.48333333</v>
      </c>
      <c r="I312" s="46">
        <f t="shared" si="204"/>
        <v>31.95081967</v>
      </c>
      <c r="J312" s="49">
        <v>2600.0</v>
      </c>
      <c r="K312" s="50">
        <f t="shared" si="13"/>
        <v>0.02346153846</v>
      </c>
      <c r="L312" s="46">
        <v>106.26</v>
      </c>
      <c r="M312" s="46">
        <v>1399.0</v>
      </c>
      <c r="N312" s="47">
        <v>42.0</v>
      </c>
      <c r="O312" s="49">
        <v>102866.0</v>
      </c>
      <c r="P312" s="50">
        <f t="shared" si="14"/>
        <v>0.07595425304</v>
      </c>
      <c r="Q312" s="51">
        <f t="shared" si="15"/>
        <v>13.16581969</v>
      </c>
      <c r="R312" s="50">
        <f t="shared" si="16"/>
        <v>0.7178040021</v>
      </c>
      <c r="S312" s="16"/>
      <c r="T312" s="25"/>
      <c r="U312" s="6"/>
      <c r="V312" s="6"/>
      <c r="W312" s="6"/>
      <c r="X312" s="6"/>
      <c r="Y312" s="6"/>
      <c r="Z312" s="6"/>
    </row>
    <row r="313" hidden="1" outlineLevel="1">
      <c r="A313" s="44" t="str">
        <f t="shared" si="202"/>
        <v>9-2024</v>
      </c>
      <c r="B313" s="34">
        <v>45562.0</v>
      </c>
      <c r="C313" s="45"/>
      <c r="D313" s="46">
        <v>2035.0</v>
      </c>
      <c r="E313" s="47">
        <v>63.0</v>
      </c>
      <c r="F313" s="47">
        <v>63.0</v>
      </c>
      <c r="G313" s="48">
        <f t="shared" si="10"/>
        <v>1</v>
      </c>
      <c r="H313" s="46">
        <f t="shared" si="203"/>
        <v>32.3015873</v>
      </c>
      <c r="I313" s="46">
        <f t="shared" si="204"/>
        <v>32.3015873</v>
      </c>
      <c r="J313" s="49">
        <v>2320.0</v>
      </c>
      <c r="K313" s="50">
        <f t="shared" si="13"/>
        <v>0.02715517241</v>
      </c>
      <c r="L313" s="46">
        <v>76.54</v>
      </c>
      <c r="M313" s="46">
        <v>1146.0</v>
      </c>
      <c r="N313" s="47">
        <v>37.0</v>
      </c>
      <c r="O313" s="49">
        <v>89881.0</v>
      </c>
      <c r="P313" s="50">
        <f t="shared" si="14"/>
        <v>0.06678883072</v>
      </c>
      <c r="Q313" s="51">
        <f t="shared" si="15"/>
        <v>14.97256337</v>
      </c>
      <c r="R313" s="50">
        <f t="shared" si="16"/>
        <v>0.5631449631</v>
      </c>
      <c r="S313" s="16"/>
      <c r="T313" s="25"/>
      <c r="U313" s="6"/>
      <c r="V313" s="6"/>
      <c r="W313" s="6"/>
      <c r="X313" s="6"/>
      <c r="Y313" s="6"/>
      <c r="Z313" s="6"/>
    </row>
    <row r="314" hidden="1" outlineLevel="1">
      <c r="A314" s="44" t="str">
        <f t="shared" si="202"/>
        <v>9-2024</v>
      </c>
      <c r="B314" s="34">
        <v>45563.0</v>
      </c>
      <c r="C314" s="45"/>
      <c r="D314" s="46">
        <v>1670.0</v>
      </c>
      <c r="E314" s="47">
        <v>49.0</v>
      </c>
      <c r="F314" s="47">
        <v>47.0</v>
      </c>
      <c r="G314" s="48">
        <f t="shared" si="10"/>
        <v>1.042553191</v>
      </c>
      <c r="H314" s="46">
        <f t="shared" si="203"/>
        <v>35.53191489</v>
      </c>
      <c r="I314" s="46">
        <f t="shared" si="204"/>
        <v>34.08163265</v>
      </c>
      <c r="J314" s="49">
        <v>2755.0</v>
      </c>
      <c r="K314" s="50">
        <f t="shared" si="13"/>
        <v>0.01778584392</v>
      </c>
      <c r="L314" s="46">
        <v>107.04</v>
      </c>
      <c r="M314" s="46">
        <v>1177.94</v>
      </c>
      <c r="N314" s="47">
        <v>31.0</v>
      </c>
      <c r="O314" s="49">
        <v>106368.0</v>
      </c>
      <c r="P314" s="50">
        <f t="shared" si="14"/>
        <v>0.09087050274</v>
      </c>
      <c r="Q314" s="51">
        <f t="shared" si="15"/>
        <v>11.00467115</v>
      </c>
      <c r="R314" s="50">
        <f t="shared" si="16"/>
        <v>0.7053532934</v>
      </c>
      <c r="S314" s="16"/>
      <c r="T314" s="25"/>
      <c r="U314" s="6"/>
      <c r="V314" s="6"/>
      <c r="W314" s="6"/>
      <c r="X314" s="6"/>
      <c r="Y314" s="6"/>
      <c r="Z314" s="6"/>
    </row>
    <row r="315" collapsed="1">
      <c r="A315" s="52" t="s">
        <v>135</v>
      </c>
      <c r="B315" s="53"/>
      <c r="C315" s="54"/>
      <c r="D315" s="55">
        <f t="shared" ref="D315:F315" si="205">SUM(D308:D314)</f>
        <v>14663</v>
      </c>
      <c r="E315" s="81">
        <f t="shared" si="205"/>
        <v>436</v>
      </c>
      <c r="F315" s="81">
        <f t="shared" si="205"/>
        <v>432</v>
      </c>
      <c r="G315" s="57">
        <f t="shared" si="10"/>
        <v>1.009259259</v>
      </c>
      <c r="H315" s="55">
        <f>AVERAGE(H308:H314)</f>
        <v>34.05082766</v>
      </c>
      <c r="I315" s="58">
        <f>H315/G315</f>
        <v>33.73843475</v>
      </c>
      <c r="J315" s="59">
        <f>SUM(J308:J314)</f>
        <v>19283</v>
      </c>
      <c r="K315" s="60">
        <f t="shared" si="13"/>
        <v>0.02261058964</v>
      </c>
      <c r="L315" s="55">
        <f t="shared" ref="L315:N315" si="206">SUM(L308:L314)</f>
        <v>728.13</v>
      </c>
      <c r="M315" s="55">
        <f t="shared" si="206"/>
        <v>8406.94</v>
      </c>
      <c r="N315" s="56">
        <f t="shared" si="206"/>
        <v>250</v>
      </c>
      <c r="O315" s="59">
        <f>sum(O308:O314)</f>
        <v>769576</v>
      </c>
      <c r="P315" s="60">
        <f t="shared" si="14"/>
        <v>0.08661058602</v>
      </c>
      <c r="Q315" s="61">
        <f t="shared" si="15"/>
        <v>11.54593273</v>
      </c>
      <c r="R315" s="62">
        <f t="shared" si="16"/>
        <v>0.5733437905</v>
      </c>
      <c r="S315" s="54">
        <f>iferror((D315-D131)/D315,)</f>
        <v>-0.5320534679</v>
      </c>
      <c r="T315" s="63">
        <f>iferror((F315-E131)/F315,)</f>
        <v>-0.4097222222</v>
      </c>
      <c r="U315" s="6"/>
      <c r="V315" s="6"/>
      <c r="W315" s="6"/>
      <c r="X315" s="6"/>
      <c r="Y315" s="6"/>
      <c r="Z315" s="6"/>
    </row>
    <row r="316" hidden="1" outlineLevel="1">
      <c r="A316" s="33" t="str">
        <f t="shared" ref="A316:A322" si="207">iferror(if(B316&gt;0,month(B316)&amp;"-"&amp;year(B316),B316),)</f>
        <v>9-2024</v>
      </c>
      <c r="B316" s="34">
        <v>45564.0</v>
      </c>
      <c r="C316" s="35"/>
      <c r="D316" s="36">
        <v>2974.0</v>
      </c>
      <c r="E316" s="37">
        <v>84.0</v>
      </c>
      <c r="F316" s="37">
        <v>84.0</v>
      </c>
      <c r="G316" s="38">
        <f t="shared" si="10"/>
        <v>1</v>
      </c>
      <c r="H316" s="36">
        <f t="shared" ref="H316:H322" si="208">D316/F316</f>
        <v>35.4047619</v>
      </c>
      <c r="I316" s="36">
        <f t="shared" ref="I316:I322" si="209">D316/E316</f>
        <v>35.4047619</v>
      </c>
      <c r="J316" s="39">
        <v>3654.0</v>
      </c>
      <c r="K316" s="40">
        <f t="shared" si="13"/>
        <v>0.02298850575</v>
      </c>
      <c r="L316" s="36">
        <v>156.27</v>
      </c>
      <c r="M316" s="36">
        <v>1859.0</v>
      </c>
      <c r="N316" s="37">
        <v>52.0</v>
      </c>
      <c r="O316" s="39">
        <v>148063.0</v>
      </c>
      <c r="P316" s="40">
        <f t="shared" si="14"/>
        <v>0.08406132329</v>
      </c>
      <c r="Q316" s="41">
        <f t="shared" si="15"/>
        <v>11.8960773</v>
      </c>
      <c r="R316" s="40">
        <f t="shared" si="16"/>
        <v>0.6250840619</v>
      </c>
      <c r="S316" s="42"/>
      <c r="T316" s="43"/>
      <c r="U316" s="6"/>
      <c r="V316" s="6"/>
      <c r="W316" s="6"/>
      <c r="X316" s="6"/>
      <c r="Y316" s="6"/>
      <c r="Z316" s="6"/>
    </row>
    <row r="317" hidden="1" outlineLevel="1">
      <c r="A317" s="44" t="str">
        <f t="shared" si="207"/>
        <v>9-2024</v>
      </c>
      <c r="B317" s="34">
        <v>45565.0</v>
      </c>
      <c r="C317" s="45"/>
      <c r="D317" s="46">
        <v>1974.0</v>
      </c>
      <c r="E317" s="47">
        <v>59.0</v>
      </c>
      <c r="F317" s="47">
        <v>59.0</v>
      </c>
      <c r="G317" s="48">
        <f t="shared" si="10"/>
        <v>1</v>
      </c>
      <c r="H317" s="46">
        <f t="shared" si="208"/>
        <v>33.45762712</v>
      </c>
      <c r="I317" s="46">
        <f t="shared" si="209"/>
        <v>33.45762712</v>
      </c>
      <c r="J317" s="49">
        <v>2605.0</v>
      </c>
      <c r="K317" s="50">
        <f t="shared" si="13"/>
        <v>0.0226487524</v>
      </c>
      <c r="L317" s="46">
        <v>109.21</v>
      </c>
      <c r="M317" s="46">
        <v>895.0</v>
      </c>
      <c r="N317" s="47">
        <v>27.0</v>
      </c>
      <c r="O317" s="49">
        <v>124002.0</v>
      </c>
      <c r="P317" s="50">
        <f t="shared" si="14"/>
        <v>0.1220223464</v>
      </c>
      <c r="Q317" s="51">
        <f t="shared" si="15"/>
        <v>8.195220218</v>
      </c>
      <c r="R317" s="50">
        <f t="shared" si="16"/>
        <v>0.4533941236</v>
      </c>
      <c r="S317" s="16"/>
      <c r="T317" s="25"/>
      <c r="U317" s="6"/>
      <c r="V317" s="6"/>
      <c r="W317" s="6"/>
      <c r="X317" s="6"/>
      <c r="Y317" s="6"/>
      <c r="Z317" s="6"/>
    </row>
    <row r="318" hidden="1" outlineLevel="1">
      <c r="A318" s="44" t="str">
        <f t="shared" si="207"/>
        <v>10-2024</v>
      </c>
      <c r="B318" s="34">
        <v>45566.0</v>
      </c>
      <c r="C318" s="45"/>
      <c r="D318" s="46">
        <v>2391.0</v>
      </c>
      <c r="E318" s="47">
        <v>65.0</v>
      </c>
      <c r="F318" s="47">
        <v>65.0</v>
      </c>
      <c r="G318" s="48">
        <f t="shared" si="10"/>
        <v>1</v>
      </c>
      <c r="H318" s="46">
        <f t="shared" si="208"/>
        <v>36.78461538</v>
      </c>
      <c r="I318" s="46">
        <f t="shared" si="209"/>
        <v>36.78461538</v>
      </c>
      <c r="J318" s="49">
        <v>3092.0</v>
      </c>
      <c r="K318" s="50">
        <f t="shared" si="13"/>
        <v>0.02102199224</v>
      </c>
      <c r="L318" s="46">
        <v>132.06</v>
      </c>
      <c r="M318" s="46">
        <v>1032.0</v>
      </c>
      <c r="N318" s="47">
        <v>28.0</v>
      </c>
      <c r="O318" s="49">
        <v>123036.0</v>
      </c>
      <c r="P318" s="50">
        <f t="shared" si="14"/>
        <v>0.1279651163</v>
      </c>
      <c r="Q318" s="51">
        <f t="shared" si="15"/>
        <v>7.814629714</v>
      </c>
      <c r="R318" s="50">
        <f t="shared" si="16"/>
        <v>0.4316185696</v>
      </c>
      <c r="S318" s="16"/>
      <c r="T318" s="25"/>
      <c r="U318" s="6"/>
      <c r="V318" s="6"/>
      <c r="W318" s="6"/>
      <c r="X318" s="6"/>
      <c r="Y318" s="6"/>
      <c r="Z318" s="6"/>
    </row>
    <row r="319" hidden="1" outlineLevel="1">
      <c r="A319" s="44" t="str">
        <f t="shared" si="207"/>
        <v>10-2024</v>
      </c>
      <c r="B319" s="34">
        <v>45567.0</v>
      </c>
      <c r="C319" s="45"/>
      <c r="D319" s="46">
        <v>2331.0</v>
      </c>
      <c r="E319" s="47">
        <v>67.0</v>
      </c>
      <c r="F319" s="47">
        <v>65.0</v>
      </c>
      <c r="G319" s="48">
        <f t="shared" si="10"/>
        <v>1.030769231</v>
      </c>
      <c r="H319" s="46">
        <f t="shared" si="208"/>
        <v>35.86153846</v>
      </c>
      <c r="I319" s="46">
        <f t="shared" si="209"/>
        <v>34.79104478</v>
      </c>
      <c r="J319" s="49">
        <v>2748.0</v>
      </c>
      <c r="K319" s="50">
        <f t="shared" si="13"/>
        <v>0.02438136827</v>
      </c>
      <c r="L319" s="46">
        <v>104.47</v>
      </c>
      <c r="M319" s="46">
        <v>1463.0</v>
      </c>
      <c r="N319" s="47">
        <v>38.0</v>
      </c>
      <c r="O319" s="49">
        <v>112116.0</v>
      </c>
      <c r="P319" s="50">
        <f t="shared" si="14"/>
        <v>0.07140806562</v>
      </c>
      <c r="Q319" s="51">
        <f t="shared" si="15"/>
        <v>14.00402029</v>
      </c>
      <c r="R319" s="50">
        <f t="shared" si="16"/>
        <v>0.6276276276</v>
      </c>
      <c r="S319" s="16"/>
      <c r="T319" s="25"/>
      <c r="U319" s="6"/>
      <c r="V319" s="6"/>
      <c r="W319" s="6"/>
      <c r="X319" s="6"/>
      <c r="Y319" s="6"/>
      <c r="Z319" s="6"/>
    </row>
    <row r="320" hidden="1" outlineLevel="1">
      <c r="A320" s="44" t="str">
        <f t="shared" si="207"/>
        <v>10-2024</v>
      </c>
      <c r="B320" s="34">
        <v>45568.0</v>
      </c>
      <c r="C320" s="45"/>
      <c r="D320" s="46">
        <v>2734.0</v>
      </c>
      <c r="E320" s="47">
        <v>77.0</v>
      </c>
      <c r="F320" s="47">
        <v>77.0</v>
      </c>
      <c r="G320" s="48">
        <f t="shared" si="10"/>
        <v>1</v>
      </c>
      <c r="H320" s="46">
        <f t="shared" si="208"/>
        <v>35.50649351</v>
      </c>
      <c r="I320" s="46">
        <f t="shared" si="209"/>
        <v>35.50649351</v>
      </c>
      <c r="J320" s="49">
        <v>2698.0</v>
      </c>
      <c r="K320" s="50">
        <f t="shared" si="13"/>
        <v>0.02853965901</v>
      </c>
      <c r="L320" s="46">
        <v>105.71</v>
      </c>
      <c r="M320" s="46">
        <v>1500.0</v>
      </c>
      <c r="N320" s="47">
        <v>43.0</v>
      </c>
      <c r="O320" s="49">
        <v>105633.0</v>
      </c>
      <c r="P320" s="50">
        <f t="shared" si="14"/>
        <v>0.07047333333</v>
      </c>
      <c r="Q320" s="51">
        <f t="shared" si="15"/>
        <v>14.18976445</v>
      </c>
      <c r="R320" s="50">
        <f t="shared" si="16"/>
        <v>0.5486466715</v>
      </c>
      <c r="S320" s="16"/>
      <c r="T320" s="25"/>
      <c r="U320" s="6"/>
      <c r="V320" s="6"/>
      <c r="W320" s="6"/>
      <c r="X320" s="6"/>
      <c r="Y320" s="6"/>
      <c r="Z320" s="6"/>
    </row>
    <row r="321" hidden="1" outlineLevel="1">
      <c r="A321" s="44" t="str">
        <f t="shared" si="207"/>
        <v>10-2024</v>
      </c>
      <c r="B321" s="34">
        <v>45569.0</v>
      </c>
      <c r="C321" s="45"/>
      <c r="D321" s="46">
        <v>1474.0</v>
      </c>
      <c r="E321" s="47">
        <v>48.0</v>
      </c>
      <c r="F321" s="47">
        <v>47.0</v>
      </c>
      <c r="G321" s="48">
        <f t="shared" si="10"/>
        <v>1.021276596</v>
      </c>
      <c r="H321" s="46">
        <f t="shared" si="208"/>
        <v>31.36170213</v>
      </c>
      <c r="I321" s="46">
        <f t="shared" si="209"/>
        <v>30.70833333</v>
      </c>
      <c r="J321" s="49">
        <v>2459.0</v>
      </c>
      <c r="K321" s="50">
        <f t="shared" si="13"/>
        <v>0.01952013013</v>
      </c>
      <c r="L321" s="46">
        <v>104.04</v>
      </c>
      <c r="M321" s="46">
        <v>548.0</v>
      </c>
      <c r="N321" s="47">
        <v>20.0</v>
      </c>
      <c r="O321" s="49">
        <v>92376.0</v>
      </c>
      <c r="P321" s="50">
        <f t="shared" si="14"/>
        <v>0.1898540146</v>
      </c>
      <c r="Q321" s="51">
        <f t="shared" si="15"/>
        <v>5.267204921</v>
      </c>
      <c r="R321" s="50">
        <f t="shared" si="16"/>
        <v>0.3717774763</v>
      </c>
      <c r="S321" s="16"/>
      <c r="T321" s="25"/>
      <c r="U321" s="6"/>
      <c r="V321" s="6"/>
      <c r="W321" s="6"/>
      <c r="X321" s="6"/>
      <c r="Y321" s="6"/>
      <c r="Z321" s="6"/>
    </row>
    <row r="322" hidden="1" outlineLevel="1">
      <c r="A322" s="44" t="str">
        <f t="shared" si="207"/>
        <v>10-2024</v>
      </c>
      <c r="B322" s="34">
        <v>45570.0</v>
      </c>
      <c r="C322" s="45"/>
      <c r="D322" s="46">
        <v>2066.0</v>
      </c>
      <c r="E322" s="47">
        <v>63.0</v>
      </c>
      <c r="F322" s="47">
        <v>63.0</v>
      </c>
      <c r="G322" s="48">
        <f t="shared" si="10"/>
        <v>1</v>
      </c>
      <c r="H322" s="46">
        <f t="shared" si="208"/>
        <v>32.79365079</v>
      </c>
      <c r="I322" s="46">
        <f t="shared" si="209"/>
        <v>32.79365079</v>
      </c>
      <c r="J322" s="49">
        <v>2535.0</v>
      </c>
      <c r="K322" s="50">
        <f t="shared" si="13"/>
        <v>0.02485207101</v>
      </c>
      <c r="L322" s="46">
        <v>101.95</v>
      </c>
      <c r="M322" s="46">
        <v>833.0</v>
      </c>
      <c r="N322" s="47">
        <v>27.0</v>
      </c>
      <c r="O322" s="49">
        <v>106116.0</v>
      </c>
      <c r="P322" s="50">
        <f t="shared" si="14"/>
        <v>0.1223889556</v>
      </c>
      <c r="Q322" s="51">
        <f t="shared" si="15"/>
        <v>8.170671898</v>
      </c>
      <c r="R322" s="50">
        <f t="shared" si="16"/>
        <v>0.4031945789</v>
      </c>
      <c r="S322" s="16"/>
      <c r="T322" s="25"/>
      <c r="U322" s="6"/>
      <c r="V322" s="6"/>
      <c r="W322" s="6"/>
      <c r="X322" s="6"/>
      <c r="Y322" s="6"/>
      <c r="Z322" s="6"/>
    </row>
    <row r="323" collapsed="1">
      <c r="A323" s="52" t="s">
        <v>136</v>
      </c>
      <c r="B323" s="53"/>
      <c r="C323" s="54"/>
      <c r="D323" s="55">
        <f t="shared" ref="D323:F323" si="210">SUM(D316:D322)</f>
        <v>15944</v>
      </c>
      <c r="E323" s="81">
        <f t="shared" si="210"/>
        <v>463</v>
      </c>
      <c r="F323" s="81">
        <f t="shared" si="210"/>
        <v>460</v>
      </c>
      <c r="G323" s="57">
        <f t="shared" si="10"/>
        <v>1.006521739</v>
      </c>
      <c r="H323" s="55">
        <f>AVERAGE(H316:H322)</f>
        <v>34.45291276</v>
      </c>
      <c r="I323" s="58">
        <f>H323/G323</f>
        <v>34.22967574</v>
      </c>
      <c r="J323" s="59">
        <f>SUM(J316:J322)</f>
        <v>19791</v>
      </c>
      <c r="K323" s="60">
        <f t="shared" si="13"/>
        <v>0.02339447223</v>
      </c>
      <c r="L323" s="55">
        <f t="shared" ref="L323:N323" si="211">SUM(L316:L322)</f>
        <v>813.71</v>
      </c>
      <c r="M323" s="55">
        <f t="shared" si="211"/>
        <v>8130</v>
      </c>
      <c r="N323" s="56">
        <f t="shared" si="211"/>
        <v>235</v>
      </c>
      <c r="O323" s="59">
        <f>sum(O316:O322)</f>
        <v>811342</v>
      </c>
      <c r="P323" s="60">
        <f t="shared" si="14"/>
        <v>0.1000873309</v>
      </c>
      <c r="Q323" s="61">
        <f t="shared" si="15"/>
        <v>9.991274533</v>
      </c>
      <c r="R323" s="62">
        <f t="shared" si="16"/>
        <v>0.5099096839</v>
      </c>
      <c r="S323" s="54">
        <f>iferror((D323-D131)/D323,)</f>
        <v>-0.4089626192</v>
      </c>
      <c r="T323" s="63">
        <f>iferror((F323-E131)/F323,)</f>
        <v>-0.3239130435</v>
      </c>
      <c r="U323" s="6"/>
      <c r="V323" s="6"/>
      <c r="W323" s="6"/>
      <c r="X323" s="6"/>
      <c r="Y323" s="6"/>
      <c r="Z323" s="6"/>
    </row>
    <row r="324" hidden="1" outlineLevel="1">
      <c r="A324" s="33" t="str">
        <f t="shared" ref="A324:A330" si="212">iferror(if(B324&gt;0,month(B324)&amp;"-"&amp;year(B324),B324),)</f>
        <v>10-2024</v>
      </c>
      <c r="B324" s="34">
        <v>45571.0</v>
      </c>
      <c r="C324" s="35"/>
      <c r="D324" s="36">
        <v>2799.0</v>
      </c>
      <c r="E324" s="37">
        <v>66.0</v>
      </c>
      <c r="F324" s="37">
        <v>66.0</v>
      </c>
      <c r="G324" s="38">
        <f t="shared" si="10"/>
        <v>1</v>
      </c>
      <c r="H324" s="36">
        <f t="shared" ref="H324:H330" si="213">D324/F324</f>
        <v>42.40909091</v>
      </c>
      <c r="I324" s="36">
        <f t="shared" ref="I324:I330" si="214">D324/E324</f>
        <v>42.40909091</v>
      </c>
      <c r="J324" s="39">
        <v>3307.0</v>
      </c>
      <c r="K324" s="40">
        <f t="shared" si="13"/>
        <v>0.01995766556</v>
      </c>
      <c r="L324" s="36">
        <v>124.92</v>
      </c>
      <c r="M324" s="36">
        <v>2409.3</v>
      </c>
      <c r="N324" s="37">
        <v>55.0</v>
      </c>
      <c r="O324" s="39">
        <v>117112.0</v>
      </c>
      <c r="P324" s="40">
        <f t="shared" si="14"/>
        <v>0.0518490848</v>
      </c>
      <c r="Q324" s="41">
        <f t="shared" si="15"/>
        <v>19.28674352</v>
      </c>
      <c r="R324" s="40">
        <f t="shared" si="16"/>
        <v>0.8607717042</v>
      </c>
      <c r="S324" s="42"/>
      <c r="T324" s="43"/>
      <c r="U324" s="6"/>
      <c r="V324" s="6"/>
      <c r="W324" s="6"/>
      <c r="X324" s="6"/>
      <c r="Y324" s="6"/>
      <c r="Z324" s="6"/>
    </row>
    <row r="325" hidden="1" outlineLevel="1">
      <c r="A325" s="44" t="str">
        <f t="shared" si="212"/>
        <v>10-2024</v>
      </c>
      <c r="B325" s="34">
        <v>45572.0</v>
      </c>
      <c r="C325" s="45"/>
      <c r="D325" s="46">
        <v>2370.0</v>
      </c>
      <c r="E325" s="47">
        <v>63.0</v>
      </c>
      <c r="F325" s="47">
        <v>62.0</v>
      </c>
      <c r="G325" s="48">
        <f t="shared" si="10"/>
        <v>1.016129032</v>
      </c>
      <c r="H325" s="46">
        <f t="shared" si="213"/>
        <v>38.22580645</v>
      </c>
      <c r="I325" s="46">
        <f t="shared" si="214"/>
        <v>37.61904762</v>
      </c>
      <c r="J325" s="49">
        <v>2939.0</v>
      </c>
      <c r="K325" s="50">
        <f t="shared" si="13"/>
        <v>0.02143586254</v>
      </c>
      <c r="L325" s="46">
        <v>105.2</v>
      </c>
      <c r="M325" s="46">
        <v>1363.0</v>
      </c>
      <c r="N325" s="47">
        <v>33.0</v>
      </c>
      <c r="O325" s="49">
        <v>102827.0</v>
      </c>
      <c r="P325" s="50">
        <f t="shared" si="14"/>
        <v>0.07718268525</v>
      </c>
      <c r="Q325" s="51">
        <f t="shared" si="15"/>
        <v>12.95627376</v>
      </c>
      <c r="R325" s="50">
        <f t="shared" si="16"/>
        <v>0.5751054852</v>
      </c>
      <c r="S325" s="16"/>
      <c r="T325" s="25"/>
      <c r="U325" s="6"/>
      <c r="V325" s="6"/>
      <c r="W325" s="6"/>
      <c r="X325" s="6"/>
      <c r="Y325" s="6"/>
      <c r="Z325" s="6"/>
    </row>
    <row r="326" hidden="1" outlineLevel="1">
      <c r="A326" s="44" t="str">
        <f t="shared" si="212"/>
        <v>10-2024</v>
      </c>
      <c r="B326" s="34">
        <v>45573.0</v>
      </c>
      <c r="C326" s="45"/>
      <c r="D326" s="46">
        <v>3016.0</v>
      </c>
      <c r="E326" s="47">
        <v>92.0</v>
      </c>
      <c r="F326" s="47">
        <v>92.0</v>
      </c>
      <c r="G326" s="48">
        <f t="shared" si="10"/>
        <v>1</v>
      </c>
      <c r="H326" s="46">
        <f t="shared" si="213"/>
        <v>32.7826087</v>
      </c>
      <c r="I326" s="46">
        <f t="shared" si="214"/>
        <v>32.7826087</v>
      </c>
      <c r="J326" s="49">
        <v>3723.0</v>
      </c>
      <c r="K326" s="50">
        <f t="shared" si="13"/>
        <v>0.02471125436</v>
      </c>
      <c r="L326" s="46">
        <v>187.87</v>
      </c>
      <c r="M326" s="46">
        <v>1548.0</v>
      </c>
      <c r="N326" s="47">
        <v>41.0</v>
      </c>
      <c r="O326" s="49">
        <v>160436.0</v>
      </c>
      <c r="P326" s="50">
        <f t="shared" si="14"/>
        <v>0.1213630491</v>
      </c>
      <c r="Q326" s="51">
        <f t="shared" si="15"/>
        <v>8.239740246</v>
      </c>
      <c r="R326" s="50">
        <f t="shared" si="16"/>
        <v>0.5132625995</v>
      </c>
      <c r="S326" s="16"/>
      <c r="T326" s="25"/>
      <c r="U326" s="6"/>
      <c r="V326" s="6"/>
      <c r="W326" s="6"/>
      <c r="X326" s="6"/>
      <c r="Y326" s="6"/>
      <c r="Z326" s="6"/>
    </row>
    <row r="327" hidden="1" outlineLevel="1">
      <c r="A327" s="44" t="str">
        <f t="shared" si="212"/>
        <v>10-2024</v>
      </c>
      <c r="B327" s="34">
        <v>45574.0</v>
      </c>
      <c r="C327" s="45"/>
      <c r="D327" s="46">
        <v>3043.3</v>
      </c>
      <c r="E327" s="47">
        <v>88.0</v>
      </c>
      <c r="F327" s="47">
        <v>88.0</v>
      </c>
      <c r="G327" s="48">
        <f t="shared" si="10"/>
        <v>1</v>
      </c>
      <c r="H327" s="46">
        <f t="shared" si="213"/>
        <v>34.58295455</v>
      </c>
      <c r="I327" s="46">
        <f t="shared" si="214"/>
        <v>34.58295455</v>
      </c>
      <c r="J327" s="49">
        <v>3068.0</v>
      </c>
      <c r="K327" s="50">
        <f t="shared" si="13"/>
        <v>0.02868318123</v>
      </c>
      <c r="L327" s="46">
        <v>125.57</v>
      </c>
      <c r="M327" s="46">
        <v>1118.0</v>
      </c>
      <c r="N327" s="47">
        <v>34.0</v>
      </c>
      <c r="O327" s="49">
        <v>138455.0</v>
      </c>
      <c r="P327" s="50">
        <f t="shared" si="14"/>
        <v>0.1123166369</v>
      </c>
      <c r="Q327" s="51">
        <f t="shared" si="15"/>
        <v>8.903400494</v>
      </c>
      <c r="R327" s="50">
        <f t="shared" si="16"/>
        <v>0.3673643742</v>
      </c>
      <c r="S327" s="16"/>
      <c r="T327" s="25"/>
      <c r="U327" s="6"/>
      <c r="V327" s="6"/>
      <c r="W327" s="6"/>
      <c r="X327" s="6"/>
      <c r="Y327" s="6"/>
      <c r="Z327" s="6"/>
    </row>
    <row r="328" hidden="1" outlineLevel="1">
      <c r="A328" s="44" t="str">
        <f t="shared" si="212"/>
        <v>10-2024</v>
      </c>
      <c r="B328" s="34">
        <v>45575.0</v>
      </c>
      <c r="C328" s="45"/>
      <c r="D328" s="46">
        <v>1573.0</v>
      </c>
      <c r="E328" s="47">
        <v>54.0</v>
      </c>
      <c r="F328" s="47">
        <v>54.0</v>
      </c>
      <c r="G328" s="48">
        <f t="shared" si="10"/>
        <v>1</v>
      </c>
      <c r="H328" s="46">
        <f t="shared" si="213"/>
        <v>29.12962963</v>
      </c>
      <c r="I328" s="46">
        <f t="shared" si="214"/>
        <v>29.12962963</v>
      </c>
      <c r="J328" s="49">
        <v>2880.0</v>
      </c>
      <c r="K328" s="50">
        <f t="shared" si="13"/>
        <v>0.01875</v>
      </c>
      <c r="L328" s="46">
        <v>107.1</v>
      </c>
      <c r="M328" s="46">
        <v>1030.0</v>
      </c>
      <c r="N328" s="47">
        <v>37.0</v>
      </c>
      <c r="O328" s="49">
        <v>106994.0</v>
      </c>
      <c r="P328" s="50">
        <f t="shared" si="14"/>
        <v>0.1039805825</v>
      </c>
      <c r="Q328" s="51">
        <f t="shared" si="15"/>
        <v>9.617180205</v>
      </c>
      <c r="R328" s="50">
        <f t="shared" si="16"/>
        <v>0.6547997457</v>
      </c>
      <c r="S328" s="16"/>
      <c r="T328" s="25"/>
      <c r="U328" s="6"/>
      <c r="V328" s="6"/>
      <c r="W328" s="6"/>
      <c r="X328" s="6"/>
      <c r="Y328" s="6"/>
      <c r="Z328" s="6"/>
    </row>
    <row r="329" hidden="1" outlineLevel="1">
      <c r="A329" s="44" t="str">
        <f t="shared" si="212"/>
        <v>10-2024</v>
      </c>
      <c r="B329" s="34">
        <v>45576.0</v>
      </c>
      <c r="C329" s="45"/>
      <c r="D329" s="46">
        <v>1702.0</v>
      </c>
      <c r="E329" s="47">
        <v>57.0</v>
      </c>
      <c r="F329" s="47">
        <v>57.0</v>
      </c>
      <c r="G329" s="48">
        <f t="shared" si="10"/>
        <v>1</v>
      </c>
      <c r="H329" s="46">
        <f t="shared" si="213"/>
        <v>29.85964912</v>
      </c>
      <c r="I329" s="46">
        <f t="shared" si="214"/>
        <v>29.85964912</v>
      </c>
      <c r="J329" s="49">
        <v>2644.0</v>
      </c>
      <c r="K329" s="50">
        <f t="shared" si="13"/>
        <v>0.02155824508</v>
      </c>
      <c r="L329" s="46">
        <v>137.48</v>
      </c>
      <c r="M329" s="46">
        <v>873.0</v>
      </c>
      <c r="N329" s="47">
        <v>35.0</v>
      </c>
      <c r="O329" s="49">
        <v>146133.0</v>
      </c>
      <c r="P329" s="50">
        <f t="shared" si="14"/>
        <v>0.1574799542</v>
      </c>
      <c r="Q329" s="51">
        <f t="shared" si="15"/>
        <v>6.350014548</v>
      </c>
      <c r="R329" s="50">
        <f t="shared" si="16"/>
        <v>0.5129259694</v>
      </c>
      <c r="S329" s="16"/>
      <c r="T329" s="25"/>
      <c r="U329" s="6"/>
      <c r="V329" s="6"/>
      <c r="W329" s="6"/>
      <c r="X329" s="6"/>
      <c r="Y329" s="6"/>
      <c r="Z329" s="6"/>
    </row>
    <row r="330" hidden="1" outlineLevel="1">
      <c r="A330" s="44" t="str">
        <f t="shared" si="212"/>
        <v>10-2024</v>
      </c>
      <c r="B330" s="34">
        <v>45577.0</v>
      </c>
      <c r="C330" s="45"/>
      <c r="D330" s="46">
        <v>2877.0</v>
      </c>
      <c r="E330" s="47">
        <v>91.0</v>
      </c>
      <c r="F330" s="47">
        <v>90.0</v>
      </c>
      <c r="G330" s="48">
        <f t="shared" si="10"/>
        <v>1.011111111</v>
      </c>
      <c r="H330" s="46">
        <f t="shared" si="213"/>
        <v>31.96666667</v>
      </c>
      <c r="I330" s="46">
        <f t="shared" si="214"/>
        <v>31.61538462</v>
      </c>
      <c r="J330" s="49">
        <v>3834.0</v>
      </c>
      <c r="K330" s="50">
        <f t="shared" si="13"/>
        <v>0.02373500261</v>
      </c>
      <c r="L330" s="46">
        <v>169.14</v>
      </c>
      <c r="M330" s="46">
        <v>1814.0</v>
      </c>
      <c r="N330" s="47">
        <v>52.0</v>
      </c>
      <c r="O330" s="49">
        <v>178282.0</v>
      </c>
      <c r="P330" s="50">
        <f t="shared" si="14"/>
        <v>0.09324145535</v>
      </c>
      <c r="Q330" s="51">
        <f t="shared" si="15"/>
        <v>10.72484333</v>
      </c>
      <c r="R330" s="50">
        <f t="shared" si="16"/>
        <v>0.6305179006</v>
      </c>
      <c r="S330" s="16"/>
      <c r="T330" s="25"/>
      <c r="U330" s="6"/>
      <c r="V330" s="6"/>
      <c r="W330" s="6"/>
      <c r="X330" s="6"/>
      <c r="Y330" s="6"/>
      <c r="Z330" s="6"/>
    </row>
    <row r="331" collapsed="1">
      <c r="A331" s="52" t="s">
        <v>137</v>
      </c>
      <c r="B331" s="53"/>
      <c r="C331" s="54"/>
      <c r="D331" s="55">
        <f t="shared" ref="D331:F331" si="215">SUM(D324:D330)</f>
        <v>17380.3</v>
      </c>
      <c r="E331" s="81">
        <f t="shared" si="215"/>
        <v>511</v>
      </c>
      <c r="F331" s="81">
        <f t="shared" si="215"/>
        <v>509</v>
      </c>
      <c r="G331" s="57">
        <f t="shared" si="10"/>
        <v>1.003929273</v>
      </c>
      <c r="H331" s="55">
        <f>AVERAGE(H324:H330)</f>
        <v>34.13662943</v>
      </c>
      <c r="I331" s="58">
        <f>H331/G331</f>
        <v>34.00302227</v>
      </c>
      <c r="J331" s="59">
        <f>SUM(J324:J330)</f>
        <v>22395</v>
      </c>
      <c r="K331" s="60">
        <f t="shared" si="13"/>
        <v>0.02281759321</v>
      </c>
      <c r="L331" s="55">
        <f t="shared" ref="L331:N331" si="216">SUM(L324:L330)</f>
        <v>957.28</v>
      </c>
      <c r="M331" s="55">
        <f t="shared" si="216"/>
        <v>10155.3</v>
      </c>
      <c r="N331" s="56">
        <f t="shared" si="216"/>
        <v>287</v>
      </c>
      <c r="O331" s="59">
        <f>sum(O324:O330)</f>
        <v>950239</v>
      </c>
      <c r="P331" s="60">
        <f t="shared" si="14"/>
        <v>0.09426407886</v>
      </c>
      <c r="Q331" s="61">
        <f t="shared" si="15"/>
        <v>10.6084949</v>
      </c>
      <c r="R331" s="62">
        <f t="shared" si="16"/>
        <v>0.5842994655</v>
      </c>
      <c r="S331" s="54">
        <f>iferror((D331-D131)/D331,)</f>
        <v>-0.2925265962</v>
      </c>
      <c r="T331" s="63">
        <f>iferror((F331-E131)/F331,)</f>
        <v>-0.1964636542</v>
      </c>
      <c r="U331" s="6"/>
      <c r="V331" s="6"/>
      <c r="W331" s="6"/>
      <c r="X331" s="6"/>
      <c r="Y331" s="6"/>
      <c r="Z331" s="6"/>
    </row>
    <row r="332" hidden="1" outlineLevel="1">
      <c r="A332" s="33" t="str">
        <f t="shared" ref="A332:A338" si="217">iferror(if(B332&gt;0,month(B332)&amp;"-"&amp;year(B332),B332),)</f>
        <v>10-2024</v>
      </c>
      <c r="B332" s="34">
        <v>45578.0</v>
      </c>
      <c r="C332" s="35"/>
      <c r="D332" s="36">
        <v>2461.0</v>
      </c>
      <c r="E332" s="37">
        <v>63.0</v>
      </c>
      <c r="F332" s="37">
        <v>63.0</v>
      </c>
      <c r="G332" s="38">
        <f t="shared" si="10"/>
        <v>1</v>
      </c>
      <c r="H332" s="36">
        <f t="shared" ref="H332:H338" si="218">D332/F332</f>
        <v>39.06349206</v>
      </c>
      <c r="I332" s="36">
        <f t="shared" ref="I332:I338" si="219">D332/E332</f>
        <v>39.06349206</v>
      </c>
      <c r="J332" s="39">
        <v>4000.0</v>
      </c>
      <c r="K332" s="40">
        <f t="shared" si="13"/>
        <v>0.01575</v>
      </c>
      <c r="L332" s="36">
        <v>145.34</v>
      </c>
      <c r="M332" s="36">
        <v>1654.0</v>
      </c>
      <c r="N332" s="37">
        <v>44.0</v>
      </c>
      <c r="O332" s="39">
        <v>165433.0</v>
      </c>
      <c r="P332" s="40">
        <f t="shared" si="14"/>
        <v>0.08787182588</v>
      </c>
      <c r="Q332" s="41">
        <f t="shared" si="15"/>
        <v>11.38021192</v>
      </c>
      <c r="R332" s="40">
        <f t="shared" si="16"/>
        <v>0.6720845185</v>
      </c>
      <c r="S332" s="42"/>
      <c r="T332" s="43"/>
      <c r="U332" s="6"/>
      <c r="V332" s="6"/>
      <c r="W332" s="6"/>
      <c r="X332" s="6"/>
      <c r="Y332" s="6"/>
      <c r="Z332" s="6"/>
    </row>
    <row r="333" hidden="1" outlineLevel="1">
      <c r="A333" s="44" t="str">
        <f t="shared" si="217"/>
        <v>10-2024</v>
      </c>
      <c r="B333" s="34">
        <v>45579.0</v>
      </c>
      <c r="C333" s="45"/>
      <c r="D333" s="46">
        <v>2779.0</v>
      </c>
      <c r="E333" s="47">
        <v>68.0</v>
      </c>
      <c r="F333" s="47">
        <v>68.0</v>
      </c>
      <c r="G333" s="48">
        <f t="shared" si="10"/>
        <v>1</v>
      </c>
      <c r="H333" s="46">
        <f t="shared" si="218"/>
        <v>40.86764706</v>
      </c>
      <c r="I333" s="46">
        <f t="shared" si="219"/>
        <v>40.86764706</v>
      </c>
      <c r="J333" s="49">
        <v>3327.0</v>
      </c>
      <c r="K333" s="50">
        <f t="shared" si="13"/>
        <v>0.02043883378</v>
      </c>
      <c r="L333" s="46">
        <v>112.02</v>
      </c>
      <c r="M333" s="46">
        <v>1395.0</v>
      </c>
      <c r="N333" s="47">
        <v>36.0</v>
      </c>
      <c r="O333" s="49">
        <v>123231.0</v>
      </c>
      <c r="P333" s="50">
        <f t="shared" si="14"/>
        <v>0.08030107527</v>
      </c>
      <c r="Q333" s="51">
        <f t="shared" si="15"/>
        <v>12.45313337</v>
      </c>
      <c r="R333" s="50">
        <f t="shared" si="16"/>
        <v>0.5019791292</v>
      </c>
      <c r="S333" s="16"/>
      <c r="T333" s="25"/>
      <c r="U333" s="6"/>
      <c r="V333" s="6"/>
      <c r="W333" s="6"/>
      <c r="X333" s="6"/>
      <c r="Y333" s="6"/>
      <c r="Z333" s="6"/>
    </row>
    <row r="334" hidden="1" outlineLevel="1">
      <c r="A334" s="44" t="str">
        <f t="shared" si="217"/>
        <v>10-2024</v>
      </c>
      <c r="B334" s="34">
        <v>45580.0</v>
      </c>
      <c r="C334" s="45"/>
      <c r="D334" s="46">
        <v>1804.0</v>
      </c>
      <c r="E334" s="47">
        <v>51.0</v>
      </c>
      <c r="F334" s="47">
        <v>50.0</v>
      </c>
      <c r="G334" s="48">
        <f t="shared" si="10"/>
        <v>1.02</v>
      </c>
      <c r="H334" s="46">
        <f t="shared" si="218"/>
        <v>36.08</v>
      </c>
      <c r="I334" s="46">
        <f t="shared" si="219"/>
        <v>35.37254902</v>
      </c>
      <c r="J334" s="49">
        <v>3068.0</v>
      </c>
      <c r="K334" s="50">
        <f t="shared" si="13"/>
        <v>0.0166232073</v>
      </c>
      <c r="L334" s="46">
        <v>94.5</v>
      </c>
      <c r="M334" s="46">
        <v>1123.97</v>
      </c>
      <c r="N334" s="47">
        <v>29.0</v>
      </c>
      <c r="O334" s="49">
        <v>111090.0</v>
      </c>
      <c r="P334" s="50">
        <f t="shared" si="14"/>
        <v>0.08407697714</v>
      </c>
      <c r="Q334" s="51">
        <f t="shared" si="15"/>
        <v>11.89386243</v>
      </c>
      <c r="R334" s="50">
        <f t="shared" si="16"/>
        <v>0.6230432373</v>
      </c>
      <c r="S334" s="16"/>
      <c r="T334" s="25"/>
      <c r="U334" s="6"/>
      <c r="V334" s="6"/>
      <c r="W334" s="6"/>
      <c r="X334" s="6"/>
      <c r="Y334" s="6"/>
      <c r="Z334" s="6"/>
    </row>
    <row r="335" hidden="1" outlineLevel="1">
      <c r="A335" s="44" t="str">
        <f t="shared" si="217"/>
        <v>10-2024</v>
      </c>
      <c r="B335" s="34">
        <v>45581.0</v>
      </c>
      <c r="C335" s="45"/>
      <c r="D335" s="46">
        <v>2717.0</v>
      </c>
      <c r="E335" s="47">
        <v>77.0</v>
      </c>
      <c r="F335" s="47">
        <v>77.0</v>
      </c>
      <c r="G335" s="48">
        <f t="shared" si="10"/>
        <v>1</v>
      </c>
      <c r="H335" s="46">
        <f t="shared" si="218"/>
        <v>35.28571429</v>
      </c>
      <c r="I335" s="46">
        <f t="shared" si="219"/>
        <v>35.28571429</v>
      </c>
      <c r="J335" s="49">
        <v>3189.0</v>
      </c>
      <c r="K335" s="50">
        <f t="shared" si="13"/>
        <v>0.02414550016</v>
      </c>
      <c r="L335" s="46">
        <v>97.42</v>
      </c>
      <c r="M335" s="46">
        <v>1573.0</v>
      </c>
      <c r="N335" s="47">
        <v>44.0</v>
      </c>
      <c r="O335" s="49">
        <v>104731.0</v>
      </c>
      <c r="P335" s="50">
        <f t="shared" si="14"/>
        <v>0.06193261284</v>
      </c>
      <c r="Q335" s="51">
        <f t="shared" si="15"/>
        <v>16.14658181</v>
      </c>
      <c r="R335" s="50">
        <f t="shared" si="16"/>
        <v>0.5789473684</v>
      </c>
      <c r="S335" s="16"/>
      <c r="T335" s="25"/>
      <c r="U335" s="6"/>
      <c r="V335" s="6"/>
      <c r="W335" s="6"/>
      <c r="X335" s="6"/>
      <c r="Y335" s="6"/>
      <c r="Z335" s="6"/>
    </row>
    <row r="336" hidden="1" outlineLevel="1">
      <c r="A336" s="44" t="str">
        <f t="shared" si="217"/>
        <v>10-2024</v>
      </c>
      <c r="B336" s="34">
        <v>45582.0</v>
      </c>
      <c r="C336" s="45"/>
      <c r="D336" s="46">
        <v>2476.0</v>
      </c>
      <c r="E336" s="47">
        <v>67.0</v>
      </c>
      <c r="F336" s="47">
        <v>66.0</v>
      </c>
      <c r="G336" s="48">
        <f t="shared" si="10"/>
        <v>1.015151515</v>
      </c>
      <c r="H336" s="46">
        <f t="shared" si="218"/>
        <v>37.51515152</v>
      </c>
      <c r="I336" s="46">
        <f t="shared" si="219"/>
        <v>36.95522388</v>
      </c>
      <c r="J336" s="49">
        <v>2500.0</v>
      </c>
      <c r="K336" s="50">
        <f t="shared" si="13"/>
        <v>0.0268</v>
      </c>
      <c r="L336" s="46">
        <v>84.58</v>
      </c>
      <c r="M336" s="46">
        <v>1409.0</v>
      </c>
      <c r="N336" s="47">
        <v>33.0</v>
      </c>
      <c r="O336" s="49">
        <v>83233.0</v>
      </c>
      <c r="P336" s="50">
        <f t="shared" si="14"/>
        <v>0.06002838893</v>
      </c>
      <c r="Q336" s="51">
        <f t="shared" si="15"/>
        <v>16.65878458</v>
      </c>
      <c r="R336" s="50">
        <f t="shared" si="16"/>
        <v>0.5690630048</v>
      </c>
      <c r="S336" s="16"/>
      <c r="T336" s="25"/>
      <c r="U336" s="6"/>
      <c r="V336" s="6"/>
      <c r="W336" s="6"/>
      <c r="X336" s="6"/>
      <c r="Y336" s="6"/>
      <c r="Z336" s="6"/>
    </row>
    <row r="337" hidden="1" outlineLevel="1">
      <c r="A337" s="44" t="str">
        <f t="shared" si="217"/>
        <v>10-2024</v>
      </c>
      <c r="B337" s="34">
        <v>45583.0</v>
      </c>
      <c r="C337" s="45"/>
      <c r="D337" s="46">
        <v>2514.0</v>
      </c>
      <c r="E337" s="47">
        <v>68.0</v>
      </c>
      <c r="F337" s="47">
        <v>68.0</v>
      </c>
      <c r="G337" s="48">
        <f t="shared" si="10"/>
        <v>1</v>
      </c>
      <c r="H337" s="46">
        <f t="shared" si="218"/>
        <v>36.97058824</v>
      </c>
      <c r="I337" s="46">
        <f t="shared" si="219"/>
        <v>36.97058824</v>
      </c>
      <c r="J337" s="49">
        <v>2924.0</v>
      </c>
      <c r="K337" s="50">
        <f t="shared" si="13"/>
        <v>0.02325581395</v>
      </c>
      <c r="L337" s="46">
        <v>105.18</v>
      </c>
      <c r="M337" s="46">
        <v>1345.0</v>
      </c>
      <c r="N337" s="47">
        <v>37.0</v>
      </c>
      <c r="O337" s="49">
        <v>92137.0</v>
      </c>
      <c r="P337" s="50">
        <f t="shared" si="14"/>
        <v>0.07820074349</v>
      </c>
      <c r="Q337" s="51">
        <f t="shared" si="15"/>
        <v>12.78760221</v>
      </c>
      <c r="R337" s="50">
        <f t="shared" si="16"/>
        <v>0.5350039777</v>
      </c>
      <c r="S337" s="16"/>
      <c r="T337" s="25"/>
      <c r="U337" s="6"/>
      <c r="V337" s="6"/>
      <c r="W337" s="6"/>
      <c r="X337" s="6"/>
      <c r="Y337" s="6"/>
      <c r="Z337" s="6"/>
    </row>
    <row r="338" hidden="1" outlineLevel="1">
      <c r="A338" s="44" t="str">
        <f t="shared" si="217"/>
        <v>10-2024</v>
      </c>
      <c r="B338" s="34">
        <v>45584.0</v>
      </c>
      <c r="C338" s="45"/>
      <c r="D338" s="46">
        <v>2770.0</v>
      </c>
      <c r="E338" s="47">
        <v>67.0</v>
      </c>
      <c r="F338" s="47">
        <v>67.0</v>
      </c>
      <c r="G338" s="48">
        <f t="shared" si="10"/>
        <v>1</v>
      </c>
      <c r="H338" s="46">
        <f t="shared" si="218"/>
        <v>41.34328358</v>
      </c>
      <c r="I338" s="46">
        <f t="shared" si="219"/>
        <v>41.34328358</v>
      </c>
      <c r="J338" s="49">
        <v>2725.0</v>
      </c>
      <c r="K338" s="50">
        <f t="shared" si="13"/>
        <v>0.02458715596</v>
      </c>
      <c r="L338" s="46">
        <v>98.4</v>
      </c>
      <c r="M338" s="46">
        <v>995.0</v>
      </c>
      <c r="N338" s="47">
        <v>26.0</v>
      </c>
      <c r="O338" s="49">
        <v>101727.0</v>
      </c>
      <c r="P338" s="50">
        <f t="shared" si="14"/>
        <v>0.09889447236</v>
      </c>
      <c r="Q338" s="51">
        <f t="shared" si="15"/>
        <v>10.11178862</v>
      </c>
      <c r="R338" s="50">
        <f t="shared" si="16"/>
        <v>0.3592057762</v>
      </c>
      <c r="S338" s="16"/>
      <c r="T338" s="25"/>
      <c r="U338" s="6"/>
      <c r="V338" s="6"/>
      <c r="W338" s="6"/>
      <c r="X338" s="6"/>
      <c r="Y338" s="6"/>
      <c r="Z338" s="6"/>
    </row>
    <row r="339" collapsed="1">
      <c r="A339" s="52" t="s">
        <v>138</v>
      </c>
      <c r="B339" s="53"/>
      <c r="C339" s="54"/>
      <c r="D339" s="55">
        <f t="shared" ref="D339:F339" si="220">SUM(D332:D338)</f>
        <v>17521</v>
      </c>
      <c r="E339" s="81">
        <f t="shared" si="220"/>
        <v>461</v>
      </c>
      <c r="F339" s="81">
        <f t="shared" si="220"/>
        <v>459</v>
      </c>
      <c r="G339" s="57">
        <f t="shared" si="10"/>
        <v>1.004357298</v>
      </c>
      <c r="H339" s="55">
        <f>AVERAGE(H332:H338)</f>
        <v>38.16083953</v>
      </c>
      <c r="I339" s="58">
        <f>H339/G339</f>
        <v>37.99528275</v>
      </c>
      <c r="J339" s="59">
        <f>SUM(J332:J338)</f>
        <v>21733</v>
      </c>
      <c r="K339" s="60">
        <f t="shared" si="13"/>
        <v>0.02121198178</v>
      </c>
      <c r="L339" s="55">
        <f t="shared" ref="L339:N339" si="221">SUM(L332:L338)</f>
        <v>737.44</v>
      </c>
      <c r="M339" s="55">
        <f t="shared" si="221"/>
        <v>9494.97</v>
      </c>
      <c r="N339" s="56">
        <f t="shared" si="221"/>
        <v>249</v>
      </c>
      <c r="O339" s="59">
        <f>sum(O332:O338)</f>
        <v>781582</v>
      </c>
      <c r="P339" s="60">
        <f t="shared" si="14"/>
        <v>0.07766638547</v>
      </c>
      <c r="Q339" s="61">
        <f t="shared" si="15"/>
        <v>12.8755831</v>
      </c>
      <c r="R339" s="62">
        <f t="shared" si="16"/>
        <v>0.541919411</v>
      </c>
      <c r="S339" s="54">
        <f>iferror((D339-D131)/D339,)</f>
        <v>-0.2821471377</v>
      </c>
      <c r="T339" s="63">
        <f>iferror((F339-E131)/F339,)</f>
        <v>-0.3267973856</v>
      </c>
      <c r="U339" s="6"/>
      <c r="V339" s="6"/>
      <c r="W339" s="6"/>
      <c r="X339" s="6"/>
      <c r="Y339" s="6"/>
      <c r="Z339" s="6"/>
    </row>
    <row r="340" hidden="1" outlineLevel="1">
      <c r="A340" s="33" t="str">
        <f t="shared" ref="A340:A346" si="222">iferror(if(B340&gt;0,month(B340)&amp;"-"&amp;year(B340),B340),)</f>
        <v>10-2024</v>
      </c>
      <c r="B340" s="34">
        <v>45585.0</v>
      </c>
      <c r="C340" s="35"/>
      <c r="D340" s="36">
        <v>1935.0</v>
      </c>
      <c r="E340" s="37">
        <v>59.0</v>
      </c>
      <c r="F340" s="37">
        <v>59.0</v>
      </c>
      <c r="G340" s="38">
        <f t="shared" si="10"/>
        <v>1</v>
      </c>
      <c r="H340" s="36">
        <f t="shared" ref="H340:H346" si="223">D340/F340</f>
        <v>32.79661017</v>
      </c>
      <c r="I340" s="36">
        <f t="shared" ref="I340:I346" si="224">D340/E340</f>
        <v>32.79661017</v>
      </c>
      <c r="J340" s="39">
        <v>3340.0</v>
      </c>
      <c r="K340" s="40">
        <f t="shared" si="13"/>
        <v>0.01766467066</v>
      </c>
      <c r="L340" s="36">
        <v>131.24</v>
      </c>
      <c r="M340" s="36">
        <v>984.0</v>
      </c>
      <c r="N340" s="37">
        <v>28.0</v>
      </c>
      <c r="O340" s="39">
        <v>128559.0</v>
      </c>
      <c r="P340" s="40">
        <f t="shared" si="14"/>
        <v>0.1333739837</v>
      </c>
      <c r="Q340" s="41">
        <f t="shared" si="15"/>
        <v>7.497714112</v>
      </c>
      <c r="R340" s="40">
        <f t="shared" si="16"/>
        <v>0.5085271318</v>
      </c>
      <c r="S340" s="42"/>
      <c r="T340" s="43"/>
      <c r="U340" s="6"/>
      <c r="V340" s="6"/>
      <c r="W340" s="6"/>
      <c r="X340" s="6"/>
      <c r="Y340" s="6"/>
      <c r="Z340" s="6"/>
    </row>
    <row r="341" hidden="1" outlineLevel="1">
      <c r="A341" s="44" t="str">
        <f t="shared" si="222"/>
        <v>10-2024</v>
      </c>
      <c r="B341" s="34">
        <v>45586.0</v>
      </c>
      <c r="C341" s="45"/>
      <c r="D341" s="46">
        <v>3132.0</v>
      </c>
      <c r="E341" s="47">
        <v>86.0</v>
      </c>
      <c r="F341" s="47">
        <v>85.0</v>
      </c>
      <c r="G341" s="48">
        <f t="shared" si="10"/>
        <v>1.011764706</v>
      </c>
      <c r="H341" s="46">
        <f t="shared" si="223"/>
        <v>36.84705882</v>
      </c>
      <c r="I341" s="46">
        <f t="shared" si="224"/>
        <v>36.41860465</v>
      </c>
      <c r="J341" s="49">
        <v>3076.0</v>
      </c>
      <c r="K341" s="50">
        <f t="shared" si="13"/>
        <v>0.02795838752</v>
      </c>
      <c r="L341" s="46">
        <v>108.43</v>
      </c>
      <c r="M341" s="46">
        <v>2252.0</v>
      </c>
      <c r="N341" s="47">
        <v>61.0</v>
      </c>
      <c r="O341" s="49">
        <v>117761.0</v>
      </c>
      <c r="P341" s="50">
        <f t="shared" si="14"/>
        <v>0.04814831261</v>
      </c>
      <c r="Q341" s="51">
        <f t="shared" si="15"/>
        <v>20.76915983</v>
      </c>
      <c r="R341" s="50">
        <f t="shared" si="16"/>
        <v>0.7190293742</v>
      </c>
      <c r="S341" s="16"/>
      <c r="T341" s="25"/>
      <c r="U341" s="6"/>
      <c r="V341" s="6"/>
      <c r="W341" s="6"/>
      <c r="X341" s="6"/>
      <c r="Y341" s="6"/>
      <c r="Z341" s="6"/>
    </row>
    <row r="342" hidden="1" outlineLevel="1">
      <c r="A342" s="44" t="str">
        <f t="shared" si="222"/>
        <v>10-2024</v>
      </c>
      <c r="B342" s="34">
        <v>45587.0</v>
      </c>
      <c r="C342" s="45"/>
      <c r="D342" s="46">
        <v>2222.0</v>
      </c>
      <c r="E342" s="47">
        <v>63.0</v>
      </c>
      <c r="F342" s="47">
        <v>62.0</v>
      </c>
      <c r="G342" s="48">
        <f t="shared" si="10"/>
        <v>1.016129032</v>
      </c>
      <c r="H342" s="46">
        <f t="shared" si="223"/>
        <v>35.83870968</v>
      </c>
      <c r="I342" s="46">
        <f t="shared" si="224"/>
        <v>35.26984127</v>
      </c>
      <c r="J342" s="49">
        <v>3121.0</v>
      </c>
      <c r="K342" s="50">
        <f t="shared" si="13"/>
        <v>0.02018583787</v>
      </c>
      <c r="L342" s="46">
        <v>144.06</v>
      </c>
      <c r="M342" s="46">
        <v>1024.0</v>
      </c>
      <c r="N342" s="47">
        <v>31.0</v>
      </c>
      <c r="O342" s="49">
        <v>110679.0</v>
      </c>
      <c r="P342" s="50">
        <f t="shared" si="14"/>
        <v>0.1406835938</v>
      </c>
      <c r="Q342" s="51">
        <f t="shared" si="15"/>
        <v>7.108149382</v>
      </c>
      <c r="R342" s="50">
        <f t="shared" si="16"/>
        <v>0.4608460846</v>
      </c>
      <c r="S342" s="16"/>
      <c r="T342" s="25"/>
      <c r="U342" s="6"/>
      <c r="V342" s="6"/>
      <c r="W342" s="6"/>
      <c r="X342" s="6"/>
      <c r="Y342" s="6"/>
      <c r="Z342" s="6"/>
    </row>
    <row r="343" hidden="1" outlineLevel="1">
      <c r="A343" s="44" t="str">
        <f t="shared" si="222"/>
        <v>10-2024</v>
      </c>
      <c r="B343" s="34">
        <v>45588.0</v>
      </c>
      <c r="C343" s="45"/>
      <c r="D343" s="46">
        <v>2659.0</v>
      </c>
      <c r="E343" s="47">
        <v>74.0</v>
      </c>
      <c r="F343" s="47">
        <v>73.0</v>
      </c>
      <c r="G343" s="48">
        <f t="shared" si="10"/>
        <v>1.01369863</v>
      </c>
      <c r="H343" s="46">
        <f t="shared" si="223"/>
        <v>36.42465753</v>
      </c>
      <c r="I343" s="46">
        <f t="shared" si="224"/>
        <v>35.93243243</v>
      </c>
      <c r="J343" s="49">
        <v>2889.0</v>
      </c>
      <c r="K343" s="50">
        <f t="shared" si="13"/>
        <v>0.02561439945</v>
      </c>
      <c r="L343" s="46">
        <v>124.87</v>
      </c>
      <c r="M343" s="46">
        <v>1310.0</v>
      </c>
      <c r="N343" s="47">
        <v>42.0</v>
      </c>
      <c r="O343" s="49">
        <v>112601.0</v>
      </c>
      <c r="P343" s="50">
        <f t="shared" si="14"/>
        <v>0.09532061069</v>
      </c>
      <c r="Q343" s="51">
        <f t="shared" si="15"/>
        <v>10.49091055</v>
      </c>
      <c r="R343" s="50">
        <f t="shared" si="16"/>
        <v>0.4926664159</v>
      </c>
      <c r="S343" s="16"/>
      <c r="T343" s="25"/>
      <c r="U343" s="6"/>
      <c r="V343" s="6"/>
      <c r="W343" s="6"/>
      <c r="X343" s="6"/>
      <c r="Y343" s="6"/>
      <c r="Z343" s="6"/>
    </row>
    <row r="344" hidden="1" outlineLevel="1">
      <c r="A344" s="44" t="str">
        <f t="shared" si="222"/>
        <v>10-2024</v>
      </c>
      <c r="B344" s="34">
        <v>45589.0</v>
      </c>
      <c r="C344" s="45"/>
      <c r="D344" s="46">
        <v>2495.0</v>
      </c>
      <c r="E344" s="47">
        <v>74.0</v>
      </c>
      <c r="F344" s="47">
        <v>74.0</v>
      </c>
      <c r="G344" s="48">
        <f t="shared" si="10"/>
        <v>1</v>
      </c>
      <c r="H344" s="46">
        <f t="shared" si="223"/>
        <v>33.71621622</v>
      </c>
      <c r="I344" s="46">
        <f t="shared" si="224"/>
        <v>33.71621622</v>
      </c>
      <c r="J344" s="49">
        <v>2617.0</v>
      </c>
      <c r="K344" s="50">
        <f t="shared" si="13"/>
        <v>0.02827665266</v>
      </c>
      <c r="L344" s="46">
        <v>119.75</v>
      </c>
      <c r="M344" s="46">
        <v>1145.0</v>
      </c>
      <c r="N344" s="47">
        <v>38.0</v>
      </c>
      <c r="O344" s="49">
        <v>96896.0</v>
      </c>
      <c r="P344" s="50">
        <f t="shared" si="14"/>
        <v>0.1045851528</v>
      </c>
      <c r="Q344" s="51">
        <f t="shared" si="15"/>
        <v>9.561586639</v>
      </c>
      <c r="R344" s="50">
        <f t="shared" si="16"/>
        <v>0.4589178357</v>
      </c>
      <c r="S344" s="16"/>
      <c r="T344" s="25"/>
      <c r="U344" s="6"/>
      <c r="V344" s="6"/>
      <c r="W344" s="6"/>
      <c r="X344" s="6"/>
      <c r="Y344" s="6"/>
      <c r="Z344" s="6"/>
    </row>
    <row r="345" hidden="1" outlineLevel="1">
      <c r="A345" s="44" t="str">
        <f t="shared" si="222"/>
        <v>10-2024</v>
      </c>
      <c r="B345" s="34">
        <v>45590.0</v>
      </c>
      <c r="C345" s="45"/>
      <c r="D345" s="46">
        <v>2414.0</v>
      </c>
      <c r="E345" s="47">
        <v>60.0</v>
      </c>
      <c r="F345" s="47">
        <v>60.0</v>
      </c>
      <c r="G345" s="48">
        <f t="shared" si="10"/>
        <v>1</v>
      </c>
      <c r="H345" s="46">
        <f t="shared" si="223"/>
        <v>40.23333333</v>
      </c>
      <c r="I345" s="46">
        <f t="shared" si="224"/>
        <v>40.23333333</v>
      </c>
      <c r="J345" s="49">
        <v>2023.0</v>
      </c>
      <c r="K345" s="50">
        <f t="shared" si="13"/>
        <v>0.02965892239</v>
      </c>
      <c r="L345" s="46">
        <v>86.97</v>
      </c>
      <c r="M345" s="46">
        <v>1157.0</v>
      </c>
      <c r="N345" s="47">
        <v>34.0</v>
      </c>
      <c r="O345" s="49">
        <v>76261.0</v>
      </c>
      <c r="P345" s="50">
        <f t="shared" si="14"/>
        <v>0.07516853933</v>
      </c>
      <c r="Q345" s="51">
        <f t="shared" si="15"/>
        <v>13.30343797</v>
      </c>
      <c r="R345" s="50">
        <f t="shared" si="16"/>
        <v>0.4792874896</v>
      </c>
      <c r="S345" s="16"/>
      <c r="T345" s="25"/>
      <c r="U345" s="6"/>
      <c r="V345" s="6"/>
      <c r="W345" s="6"/>
      <c r="X345" s="6"/>
      <c r="Y345" s="6"/>
      <c r="Z345" s="6"/>
    </row>
    <row r="346" hidden="1" outlineLevel="1">
      <c r="A346" s="44" t="str">
        <f t="shared" si="222"/>
        <v>10-2024</v>
      </c>
      <c r="B346" s="34">
        <v>45591.0</v>
      </c>
      <c r="C346" s="45"/>
      <c r="D346" s="46">
        <v>2380.0</v>
      </c>
      <c r="E346" s="47">
        <v>66.0</v>
      </c>
      <c r="F346" s="47">
        <v>66.0</v>
      </c>
      <c r="G346" s="48">
        <f t="shared" si="10"/>
        <v>1</v>
      </c>
      <c r="H346" s="46">
        <f t="shared" si="223"/>
        <v>36.06060606</v>
      </c>
      <c r="I346" s="46">
        <f t="shared" si="224"/>
        <v>36.06060606</v>
      </c>
      <c r="J346" s="49">
        <v>2515.0</v>
      </c>
      <c r="K346" s="50">
        <f t="shared" si="13"/>
        <v>0.02624254473</v>
      </c>
      <c r="L346" s="46">
        <v>121.01</v>
      </c>
      <c r="M346" s="46">
        <v>1056.0</v>
      </c>
      <c r="N346" s="47">
        <v>30.0</v>
      </c>
      <c r="O346" s="49">
        <v>90398.0</v>
      </c>
      <c r="P346" s="50">
        <f t="shared" si="14"/>
        <v>0.114592803</v>
      </c>
      <c r="Q346" s="51">
        <f t="shared" si="15"/>
        <v>8.726551525</v>
      </c>
      <c r="R346" s="50">
        <f t="shared" si="16"/>
        <v>0.443697479</v>
      </c>
      <c r="S346" s="16"/>
      <c r="T346" s="25"/>
      <c r="U346" s="6"/>
      <c r="V346" s="6"/>
      <c r="W346" s="6"/>
      <c r="X346" s="6"/>
      <c r="Y346" s="6"/>
      <c r="Z346" s="6"/>
    </row>
    <row r="347" collapsed="1">
      <c r="A347" s="52" t="s">
        <v>139</v>
      </c>
      <c r="B347" s="53"/>
      <c r="C347" s="54"/>
      <c r="D347" s="55">
        <f t="shared" ref="D347:F347" si="225">SUM(D340:D346)</f>
        <v>17237</v>
      </c>
      <c r="E347" s="81">
        <f t="shared" si="225"/>
        <v>482</v>
      </c>
      <c r="F347" s="81">
        <f t="shared" si="225"/>
        <v>479</v>
      </c>
      <c r="G347" s="57">
        <f t="shared" si="10"/>
        <v>1.006263048</v>
      </c>
      <c r="H347" s="55">
        <f>AVERAGE(H340:H346)</f>
        <v>35.98817026</v>
      </c>
      <c r="I347" s="58">
        <f>H347/G347</f>
        <v>35.7641775</v>
      </c>
      <c r="J347" s="59">
        <f>SUM(J340:J346)</f>
        <v>19581</v>
      </c>
      <c r="K347" s="60">
        <f t="shared" si="13"/>
        <v>0.02461569889</v>
      </c>
      <c r="L347" s="55">
        <f t="shared" ref="L347:N347" si="226">SUM(L340:L346)</f>
        <v>836.33</v>
      </c>
      <c r="M347" s="55">
        <f t="shared" si="226"/>
        <v>8928</v>
      </c>
      <c r="N347" s="56">
        <f t="shared" si="226"/>
        <v>264</v>
      </c>
      <c r="O347" s="59">
        <f>sum(O340:O346)</f>
        <v>733155</v>
      </c>
      <c r="P347" s="60">
        <f t="shared" si="14"/>
        <v>0.0936749552</v>
      </c>
      <c r="Q347" s="61">
        <f t="shared" si="15"/>
        <v>10.67521194</v>
      </c>
      <c r="R347" s="62">
        <f t="shared" si="16"/>
        <v>0.5179555607</v>
      </c>
      <c r="S347" s="54">
        <f>iferror((D347-D131)/D347,)</f>
        <v>-0.3032720311</v>
      </c>
      <c r="T347" s="63">
        <f>iferror((F347-E131)/F347,)</f>
        <v>-0.2713987474</v>
      </c>
      <c r="U347" s="6"/>
      <c r="V347" s="6"/>
      <c r="W347" s="6"/>
      <c r="X347" s="6"/>
      <c r="Y347" s="6"/>
      <c r="Z347" s="6"/>
    </row>
    <row r="348" hidden="1" outlineLevel="1">
      <c r="A348" s="33" t="str">
        <f t="shared" ref="A348:A354" si="227">iferror(if(B348&gt;0,month(B348)&amp;"-"&amp;year(B348),B348),)</f>
        <v>10-2024</v>
      </c>
      <c r="B348" s="34">
        <v>45592.0</v>
      </c>
      <c r="C348" s="35"/>
      <c r="D348" s="36">
        <v>2809.0</v>
      </c>
      <c r="E348" s="37">
        <v>77.0</v>
      </c>
      <c r="F348" s="37">
        <v>77.0</v>
      </c>
      <c r="G348" s="38">
        <f t="shared" si="10"/>
        <v>1</v>
      </c>
      <c r="H348" s="36">
        <f t="shared" ref="H348:H354" si="228">D348/F348</f>
        <v>36.48051948</v>
      </c>
      <c r="I348" s="36">
        <f t="shared" ref="I348:I354" si="229">D348/E348</f>
        <v>36.48051948</v>
      </c>
      <c r="J348" s="39">
        <v>3422.0</v>
      </c>
      <c r="K348" s="40">
        <f t="shared" si="13"/>
        <v>0.02250146113</v>
      </c>
      <c r="L348" s="36">
        <v>153.49</v>
      </c>
      <c r="M348" s="36">
        <v>1702.0</v>
      </c>
      <c r="N348" s="37">
        <v>47.0</v>
      </c>
      <c r="O348" s="39">
        <v>122129.0</v>
      </c>
      <c r="P348" s="40">
        <f t="shared" si="14"/>
        <v>0.09018213866</v>
      </c>
      <c r="Q348" s="41">
        <f t="shared" si="15"/>
        <v>11.08867027</v>
      </c>
      <c r="R348" s="40">
        <f t="shared" si="16"/>
        <v>0.6059095764</v>
      </c>
      <c r="S348" s="42"/>
      <c r="T348" s="43"/>
      <c r="U348" s="6"/>
      <c r="V348" s="6"/>
      <c r="W348" s="6"/>
      <c r="X348" s="6"/>
      <c r="Y348" s="6"/>
      <c r="Z348" s="6"/>
    </row>
    <row r="349" hidden="1" outlineLevel="1">
      <c r="A349" s="44" t="str">
        <f t="shared" si="227"/>
        <v>10-2024</v>
      </c>
      <c r="B349" s="34">
        <v>45593.0</v>
      </c>
      <c r="C349" s="45"/>
      <c r="D349" s="46">
        <v>2391.0</v>
      </c>
      <c r="E349" s="47">
        <v>64.0</v>
      </c>
      <c r="F349" s="47">
        <v>64.0</v>
      </c>
      <c r="G349" s="48">
        <f t="shared" si="10"/>
        <v>1</v>
      </c>
      <c r="H349" s="46">
        <f t="shared" si="228"/>
        <v>37.359375</v>
      </c>
      <c r="I349" s="46">
        <f t="shared" si="229"/>
        <v>37.359375</v>
      </c>
      <c r="J349" s="49">
        <v>3648.0</v>
      </c>
      <c r="K349" s="50">
        <f t="shared" si="13"/>
        <v>0.01754385965</v>
      </c>
      <c r="L349" s="46">
        <v>172.46</v>
      </c>
      <c r="M349" s="46">
        <v>1785.97</v>
      </c>
      <c r="N349" s="47">
        <v>45.0</v>
      </c>
      <c r="O349" s="49">
        <v>125991.0</v>
      </c>
      <c r="P349" s="50">
        <f t="shared" si="14"/>
        <v>0.09656377207</v>
      </c>
      <c r="Q349" s="51">
        <f t="shared" si="15"/>
        <v>10.35585063</v>
      </c>
      <c r="R349" s="50">
        <f t="shared" si="16"/>
        <v>0.7469552488</v>
      </c>
      <c r="S349" s="16"/>
      <c r="T349" s="25"/>
      <c r="U349" s="6"/>
      <c r="V349" s="6"/>
      <c r="W349" s="6"/>
      <c r="X349" s="6"/>
      <c r="Y349" s="6"/>
      <c r="Z349" s="6"/>
    </row>
    <row r="350" hidden="1" outlineLevel="1">
      <c r="A350" s="44" t="str">
        <f t="shared" si="227"/>
        <v>10-2024</v>
      </c>
      <c r="B350" s="34">
        <v>45594.0</v>
      </c>
      <c r="C350" s="45"/>
      <c r="D350" s="46">
        <v>2153.0</v>
      </c>
      <c r="E350" s="47">
        <v>59.0</v>
      </c>
      <c r="F350" s="47">
        <v>59.0</v>
      </c>
      <c r="G350" s="48">
        <f t="shared" si="10"/>
        <v>1</v>
      </c>
      <c r="H350" s="46">
        <f t="shared" si="228"/>
        <v>36.49152542</v>
      </c>
      <c r="I350" s="46">
        <f t="shared" si="229"/>
        <v>36.49152542</v>
      </c>
      <c r="J350" s="49">
        <v>3271.0</v>
      </c>
      <c r="K350" s="50">
        <f t="shared" si="13"/>
        <v>0.01803729746</v>
      </c>
      <c r="L350" s="46">
        <v>139.44</v>
      </c>
      <c r="M350" s="46">
        <v>1223.0</v>
      </c>
      <c r="N350" s="47">
        <v>32.0</v>
      </c>
      <c r="O350" s="49">
        <v>115055.0</v>
      </c>
      <c r="P350" s="50">
        <f t="shared" si="14"/>
        <v>0.1140147179</v>
      </c>
      <c r="Q350" s="51">
        <f t="shared" si="15"/>
        <v>8.770797476</v>
      </c>
      <c r="R350" s="50">
        <f t="shared" si="16"/>
        <v>0.5680445889</v>
      </c>
      <c r="S350" s="16"/>
      <c r="T350" s="25"/>
      <c r="U350" s="6"/>
      <c r="V350" s="6"/>
      <c r="W350" s="6"/>
      <c r="X350" s="6"/>
      <c r="Y350" s="6"/>
      <c r="Z350" s="6"/>
    </row>
    <row r="351" hidden="1" outlineLevel="1">
      <c r="A351" s="44" t="str">
        <f t="shared" si="227"/>
        <v>10-2024</v>
      </c>
      <c r="B351" s="34">
        <v>45595.0</v>
      </c>
      <c r="C351" s="45"/>
      <c r="D351" s="46">
        <v>1795.0</v>
      </c>
      <c r="E351" s="47">
        <v>59.0</v>
      </c>
      <c r="F351" s="47">
        <v>59.0</v>
      </c>
      <c r="G351" s="48">
        <f t="shared" si="10"/>
        <v>1</v>
      </c>
      <c r="H351" s="46">
        <f t="shared" si="228"/>
        <v>30.42372881</v>
      </c>
      <c r="I351" s="46">
        <f t="shared" si="229"/>
        <v>30.42372881</v>
      </c>
      <c r="J351" s="49">
        <v>2739.0</v>
      </c>
      <c r="K351" s="50">
        <f t="shared" si="13"/>
        <v>0.02154070829</v>
      </c>
      <c r="L351" s="46">
        <v>116.96</v>
      </c>
      <c r="M351" s="46">
        <v>800.0</v>
      </c>
      <c r="N351" s="47">
        <v>30.0</v>
      </c>
      <c r="O351" s="49">
        <v>88658.0</v>
      </c>
      <c r="P351" s="50">
        <f t="shared" si="14"/>
        <v>0.1462</v>
      </c>
      <c r="Q351" s="51">
        <f t="shared" si="15"/>
        <v>6.83994528</v>
      </c>
      <c r="R351" s="50">
        <f t="shared" si="16"/>
        <v>0.4456824513</v>
      </c>
      <c r="S351" s="16"/>
      <c r="T351" s="25"/>
      <c r="U351" s="6"/>
      <c r="V351" s="6"/>
      <c r="W351" s="6"/>
      <c r="X351" s="6"/>
      <c r="Y351" s="6"/>
      <c r="Z351" s="6"/>
    </row>
    <row r="352" hidden="1" outlineLevel="1">
      <c r="A352" s="44" t="str">
        <f t="shared" si="227"/>
        <v>10-2024</v>
      </c>
      <c r="B352" s="34">
        <v>45596.0</v>
      </c>
      <c r="C352" s="45"/>
      <c r="D352" s="46">
        <v>2316.0</v>
      </c>
      <c r="E352" s="47">
        <v>69.0</v>
      </c>
      <c r="F352" s="47">
        <v>69.0</v>
      </c>
      <c r="G352" s="48">
        <f t="shared" si="10"/>
        <v>1</v>
      </c>
      <c r="H352" s="46">
        <f t="shared" si="228"/>
        <v>33.56521739</v>
      </c>
      <c r="I352" s="46">
        <f t="shared" si="229"/>
        <v>33.56521739</v>
      </c>
      <c r="J352" s="49">
        <v>2412.0</v>
      </c>
      <c r="K352" s="50">
        <f t="shared" si="13"/>
        <v>0.02860696517</v>
      </c>
      <c r="L352" s="46">
        <v>96.04</v>
      </c>
      <c r="M352" s="46">
        <v>1089.0</v>
      </c>
      <c r="N352" s="47">
        <v>35.0</v>
      </c>
      <c r="O352" s="49">
        <v>71454.0</v>
      </c>
      <c r="P352" s="50">
        <f t="shared" si="14"/>
        <v>0.08819100092</v>
      </c>
      <c r="Q352" s="51">
        <f t="shared" si="15"/>
        <v>11.33902541</v>
      </c>
      <c r="R352" s="50">
        <f t="shared" si="16"/>
        <v>0.4702072539</v>
      </c>
      <c r="S352" s="16"/>
      <c r="T352" s="25"/>
      <c r="U352" s="6"/>
      <c r="V352" s="6"/>
      <c r="W352" s="6"/>
      <c r="X352" s="6"/>
      <c r="Y352" s="6"/>
      <c r="Z352" s="6"/>
    </row>
    <row r="353" hidden="1" outlineLevel="1">
      <c r="A353" s="44" t="str">
        <f t="shared" si="227"/>
        <v>11-2024</v>
      </c>
      <c r="B353" s="34">
        <v>45597.0</v>
      </c>
      <c r="C353" s="45"/>
      <c r="D353" s="46">
        <v>1758.0</v>
      </c>
      <c r="E353" s="47">
        <v>54.0</v>
      </c>
      <c r="F353" s="47">
        <v>54.0</v>
      </c>
      <c r="G353" s="48">
        <f t="shared" si="10"/>
        <v>1</v>
      </c>
      <c r="H353" s="46">
        <f t="shared" si="228"/>
        <v>32.55555556</v>
      </c>
      <c r="I353" s="46">
        <f t="shared" si="229"/>
        <v>32.55555556</v>
      </c>
      <c r="J353" s="49">
        <v>2435.0</v>
      </c>
      <c r="K353" s="50">
        <f t="shared" si="13"/>
        <v>0.02217659138</v>
      </c>
      <c r="L353" s="46">
        <v>121.96</v>
      </c>
      <c r="M353" s="46">
        <v>896.94</v>
      </c>
      <c r="N353" s="47">
        <v>28.0</v>
      </c>
      <c r="O353" s="49">
        <v>82757.0</v>
      </c>
      <c r="P353" s="50">
        <f t="shared" si="14"/>
        <v>0.1359734207</v>
      </c>
      <c r="Q353" s="51">
        <f t="shared" si="15"/>
        <v>7.354378485</v>
      </c>
      <c r="R353" s="50">
        <f t="shared" si="16"/>
        <v>0.5102047782</v>
      </c>
      <c r="S353" s="16"/>
      <c r="T353" s="25"/>
      <c r="U353" s="6"/>
      <c r="V353" s="6"/>
      <c r="W353" s="6"/>
      <c r="X353" s="6"/>
      <c r="Y353" s="6"/>
      <c r="Z353" s="6"/>
    </row>
    <row r="354" hidden="1" outlineLevel="1">
      <c r="A354" s="44" t="str">
        <f t="shared" si="227"/>
        <v>11-2024</v>
      </c>
      <c r="B354" s="34">
        <v>45598.0</v>
      </c>
      <c r="C354" s="45"/>
      <c r="D354" s="46">
        <v>1485.0</v>
      </c>
      <c r="E354" s="47">
        <v>48.0</v>
      </c>
      <c r="F354" s="47">
        <v>46.0</v>
      </c>
      <c r="G354" s="48">
        <f t="shared" si="10"/>
        <v>1.043478261</v>
      </c>
      <c r="H354" s="46">
        <f t="shared" si="228"/>
        <v>32.2826087</v>
      </c>
      <c r="I354" s="46">
        <f t="shared" si="229"/>
        <v>30.9375</v>
      </c>
      <c r="J354" s="49">
        <v>2995.0</v>
      </c>
      <c r="K354" s="50">
        <f t="shared" si="13"/>
        <v>0.01602671119</v>
      </c>
      <c r="L354" s="46">
        <v>157.99</v>
      </c>
      <c r="M354" s="46">
        <v>681.91</v>
      </c>
      <c r="N354" s="47">
        <v>21.0</v>
      </c>
      <c r="O354" s="49">
        <v>102896.0</v>
      </c>
      <c r="P354" s="50">
        <f t="shared" si="14"/>
        <v>0.2316874661</v>
      </c>
      <c r="Q354" s="51">
        <f t="shared" si="15"/>
        <v>4.316159251</v>
      </c>
      <c r="R354" s="50">
        <f t="shared" si="16"/>
        <v>0.4591986532</v>
      </c>
      <c r="S354" s="16"/>
      <c r="T354" s="25"/>
      <c r="U354" s="6"/>
      <c r="V354" s="6"/>
      <c r="W354" s="6"/>
      <c r="X354" s="6"/>
      <c r="Y354" s="6"/>
      <c r="Z354" s="6"/>
    </row>
    <row r="355" collapsed="1">
      <c r="A355" s="52" t="s">
        <v>140</v>
      </c>
      <c r="B355" s="53"/>
      <c r="C355" s="54"/>
      <c r="D355" s="55">
        <f t="shared" ref="D355:F355" si="230">SUM(D348:D354)</f>
        <v>14707</v>
      </c>
      <c r="E355" s="81">
        <f t="shared" si="230"/>
        <v>430</v>
      </c>
      <c r="F355" s="81">
        <f t="shared" si="230"/>
        <v>428</v>
      </c>
      <c r="G355" s="57">
        <f t="shared" si="10"/>
        <v>1.004672897</v>
      </c>
      <c r="H355" s="55">
        <f>AVERAGE(H348:H354)</f>
        <v>34.16550434</v>
      </c>
      <c r="I355" s="58">
        <f>H355/G355</f>
        <v>34.00659501</v>
      </c>
      <c r="J355" s="59">
        <f>SUM(J348:J354)</f>
        <v>20922</v>
      </c>
      <c r="K355" s="60">
        <f t="shared" si="13"/>
        <v>0.02055252844</v>
      </c>
      <c r="L355" s="55">
        <f t="shared" ref="L355:N355" si="231">SUM(L348:L354)</f>
        <v>958.34</v>
      </c>
      <c r="M355" s="55">
        <f t="shared" si="231"/>
        <v>8178.82</v>
      </c>
      <c r="N355" s="56">
        <f t="shared" si="231"/>
        <v>238</v>
      </c>
      <c r="O355" s="59">
        <f>sum(O348:O354)</f>
        <v>708940</v>
      </c>
      <c r="P355" s="60">
        <f t="shared" si="14"/>
        <v>0.117173382</v>
      </c>
      <c r="Q355" s="61">
        <f t="shared" si="15"/>
        <v>8.5343615</v>
      </c>
      <c r="R355" s="62">
        <f t="shared" si="16"/>
        <v>0.5561174951</v>
      </c>
      <c r="S355" s="54">
        <f>iferror((D355-D131)/D355,)</f>
        <v>-0.5274699123</v>
      </c>
      <c r="T355" s="63">
        <f>iferror((F355-E131)/F355,)</f>
        <v>-0.4228971963</v>
      </c>
      <c r="U355" s="6"/>
      <c r="V355" s="6"/>
      <c r="W355" s="6"/>
      <c r="X355" s="6"/>
      <c r="Y355" s="6"/>
      <c r="Z355" s="6"/>
    </row>
    <row r="356" hidden="1" outlineLevel="1">
      <c r="A356" s="33" t="str">
        <f t="shared" ref="A356:A362" si="232">iferror(if(B356&gt;0,month(B356)&amp;"-"&amp;year(B356),B356),)</f>
        <v>11-2024</v>
      </c>
      <c r="B356" s="34">
        <v>45599.0</v>
      </c>
      <c r="C356" s="35"/>
      <c r="D356" s="36">
        <v>2575.0</v>
      </c>
      <c r="E356" s="37">
        <v>77.0</v>
      </c>
      <c r="F356" s="37">
        <v>77.0</v>
      </c>
      <c r="G356" s="38">
        <f t="shared" si="10"/>
        <v>1</v>
      </c>
      <c r="H356" s="36">
        <f t="shared" ref="H356:H362" si="233">D356/F356</f>
        <v>33.44155844</v>
      </c>
      <c r="I356" s="36">
        <f t="shared" ref="I356:I362" si="234">D356/E356</f>
        <v>33.44155844</v>
      </c>
      <c r="J356" s="39">
        <v>4329.0</v>
      </c>
      <c r="K356" s="40">
        <f t="shared" si="13"/>
        <v>0.01778701779</v>
      </c>
      <c r="L356" s="36">
        <v>226.86</v>
      </c>
      <c r="M356" s="36">
        <v>1618.0</v>
      </c>
      <c r="N356" s="37">
        <v>56.0</v>
      </c>
      <c r="O356" s="39">
        <v>143043.0</v>
      </c>
      <c r="P356" s="40">
        <f t="shared" si="14"/>
        <v>0.140210136</v>
      </c>
      <c r="Q356" s="41">
        <f t="shared" si="15"/>
        <v>7.132151988</v>
      </c>
      <c r="R356" s="40">
        <f t="shared" si="16"/>
        <v>0.6283495146</v>
      </c>
      <c r="S356" s="42"/>
      <c r="T356" s="43"/>
      <c r="U356" s="6"/>
      <c r="V356" s="6"/>
      <c r="W356" s="6"/>
      <c r="X356" s="6"/>
      <c r="Y356" s="6"/>
      <c r="Z356" s="6"/>
    </row>
    <row r="357" hidden="1" outlineLevel="1">
      <c r="A357" s="44" t="str">
        <f t="shared" si="232"/>
        <v>11-2024</v>
      </c>
      <c r="B357" s="34">
        <v>45600.0</v>
      </c>
      <c r="C357" s="45"/>
      <c r="D357" s="46">
        <v>2418.0</v>
      </c>
      <c r="E357" s="47">
        <v>77.0</v>
      </c>
      <c r="F357" s="47">
        <v>77.0</v>
      </c>
      <c r="G357" s="48">
        <f t="shared" si="10"/>
        <v>1</v>
      </c>
      <c r="H357" s="46">
        <f t="shared" si="233"/>
        <v>31.4025974</v>
      </c>
      <c r="I357" s="46">
        <f t="shared" si="234"/>
        <v>31.4025974</v>
      </c>
      <c r="J357" s="49">
        <v>3588.0</v>
      </c>
      <c r="K357" s="50">
        <f t="shared" si="13"/>
        <v>0.02146042363</v>
      </c>
      <c r="L357" s="46">
        <v>155.31</v>
      </c>
      <c r="M357" s="46">
        <v>1250.0</v>
      </c>
      <c r="N357" s="47">
        <v>40.0</v>
      </c>
      <c r="O357" s="49">
        <v>122076.0</v>
      </c>
      <c r="P357" s="50">
        <f t="shared" si="14"/>
        <v>0.124248</v>
      </c>
      <c r="Q357" s="51">
        <f t="shared" si="15"/>
        <v>8.04841929</v>
      </c>
      <c r="R357" s="50">
        <f t="shared" si="16"/>
        <v>0.5169561621</v>
      </c>
      <c r="S357" s="16"/>
      <c r="T357" s="25"/>
      <c r="U357" s="6"/>
      <c r="V357" s="6"/>
      <c r="W357" s="6"/>
      <c r="X357" s="6"/>
      <c r="Y357" s="6"/>
      <c r="Z357" s="6"/>
    </row>
    <row r="358" hidden="1" outlineLevel="1">
      <c r="A358" s="44" t="str">
        <f t="shared" si="232"/>
        <v>11-2024</v>
      </c>
      <c r="B358" s="34">
        <v>45601.0</v>
      </c>
      <c r="C358" s="45"/>
      <c r="D358" s="46">
        <v>2208.0</v>
      </c>
      <c r="E358" s="47">
        <v>63.0</v>
      </c>
      <c r="F358" s="47">
        <v>59.0</v>
      </c>
      <c r="G358" s="48">
        <f t="shared" si="10"/>
        <v>1.06779661</v>
      </c>
      <c r="H358" s="46">
        <f t="shared" si="233"/>
        <v>37.42372881</v>
      </c>
      <c r="I358" s="46">
        <f t="shared" si="234"/>
        <v>35.04761905</v>
      </c>
      <c r="J358" s="49">
        <v>3188.0</v>
      </c>
      <c r="K358" s="50">
        <f t="shared" si="13"/>
        <v>0.01976160602</v>
      </c>
      <c r="L358" s="46">
        <v>140.67</v>
      </c>
      <c r="M358" s="46">
        <v>1269.0</v>
      </c>
      <c r="N358" s="47">
        <v>43.0</v>
      </c>
      <c r="O358" s="49">
        <v>103161.0</v>
      </c>
      <c r="P358" s="50">
        <f t="shared" si="14"/>
        <v>0.1108510638</v>
      </c>
      <c r="Q358" s="51">
        <f t="shared" si="15"/>
        <v>9.021113244</v>
      </c>
      <c r="R358" s="50">
        <f t="shared" si="16"/>
        <v>0.5747282609</v>
      </c>
      <c r="S358" s="16"/>
      <c r="T358" s="25"/>
      <c r="U358" s="6"/>
      <c r="V358" s="6"/>
      <c r="W358" s="6"/>
      <c r="X358" s="6"/>
      <c r="Y358" s="6"/>
      <c r="Z358" s="6"/>
    </row>
    <row r="359" hidden="1" outlineLevel="1">
      <c r="A359" s="44" t="str">
        <f t="shared" si="232"/>
        <v>11-2024</v>
      </c>
      <c r="B359" s="34">
        <v>45602.0</v>
      </c>
      <c r="C359" s="45"/>
      <c r="D359" s="46">
        <v>1834.0</v>
      </c>
      <c r="E359" s="47">
        <v>51.0</v>
      </c>
      <c r="F359" s="47">
        <v>51.0</v>
      </c>
      <c r="G359" s="48">
        <f t="shared" si="10"/>
        <v>1</v>
      </c>
      <c r="H359" s="46">
        <f t="shared" si="233"/>
        <v>35.96078431</v>
      </c>
      <c r="I359" s="46">
        <f t="shared" si="234"/>
        <v>35.96078431</v>
      </c>
      <c r="J359" s="49">
        <v>2734.0</v>
      </c>
      <c r="K359" s="50">
        <f t="shared" si="13"/>
        <v>0.01865398683</v>
      </c>
      <c r="L359" s="46">
        <v>125.66</v>
      </c>
      <c r="M359" s="46">
        <v>785.0</v>
      </c>
      <c r="N359" s="47">
        <v>26.0</v>
      </c>
      <c r="O359" s="49">
        <v>94754.0</v>
      </c>
      <c r="P359" s="50">
        <f t="shared" si="14"/>
        <v>0.1600764331</v>
      </c>
      <c r="Q359" s="51">
        <f t="shared" si="15"/>
        <v>6.247015757</v>
      </c>
      <c r="R359" s="50">
        <f t="shared" si="16"/>
        <v>0.4280261723</v>
      </c>
      <c r="S359" s="16"/>
      <c r="T359" s="25"/>
      <c r="U359" s="6"/>
      <c r="V359" s="6"/>
      <c r="W359" s="6"/>
      <c r="X359" s="6"/>
      <c r="Y359" s="6"/>
      <c r="Z359" s="6"/>
    </row>
    <row r="360" hidden="1" outlineLevel="1">
      <c r="A360" s="44" t="str">
        <f t="shared" si="232"/>
        <v>11-2024</v>
      </c>
      <c r="B360" s="34">
        <v>45603.0</v>
      </c>
      <c r="C360" s="45"/>
      <c r="D360" s="46">
        <v>3340.0</v>
      </c>
      <c r="E360" s="47">
        <v>90.0</v>
      </c>
      <c r="F360" s="47">
        <v>89.0</v>
      </c>
      <c r="G360" s="48">
        <f t="shared" si="10"/>
        <v>1.011235955</v>
      </c>
      <c r="H360" s="46">
        <f t="shared" si="233"/>
        <v>37.52808989</v>
      </c>
      <c r="I360" s="46">
        <f t="shared" si="234"/>
        <v>37.11111111</v>
      </c>
      <c r="J360" s="49">
        <v>3766.0</v>
      </c>
      <c r="K360" s="50">
        <f t="shared" si="13"/>
        <v>0.02389803505</v>
      </c>
      <c r="L360" s="46">
        <v>166.15</v>
      </c>
      <c r="M360" s="46">
        <v>1902.97</v>
      </c>
      <c r="N360" s="47">
        <v>49.0</v>
      </c>
      <c r="O360" s="49">
        <v>129248.0</v>
      </c>
      <c r="P360" s="50">
        <f t="shared" si="14"/>
        <v>0.08731088772</v>
      </c>
      <c r="Q360" s="51">
        <f t="shared" si="15"/>
        <v>11.45332531</v>
      </c>
      <c r="R360" s="50">
        <f t="shared" si="16"/>
        <v>0.569751497</v>
      </c>
      <c r="S360" s="16"/>
      <c r="T360" s="25"/>
      <c r="U360" s="6"/>
      <c r="V360" s="6"/>
      <c r="W360" s="6"/>
      <c r="X360" s="6"/>
      <c r="Y360" s="6"/>
      <c r="Z360" s="6"/>
    </row>
    <row r="361" hidden="1" outlineLevel="1">
      <c r="A361" s="44" t="str">
        <f t="shared" si="232"/>
        <v>11-2024</v>
      </c>
      <c r="B361" s="34">
        <v>45604.0</v>
      </c>
      <c r="C361" s="45"/>
      <c r="D361" s="46">
        <v>2357.0</v>
      </c>
      <c r="E361" s="47">
        <v>71.0</v>
      </c>
      <c r="F361" s="47">
        <v>71.0</v>
      </c>
      <c r="G361" s="48">
        <f t="shared" si="10"/>
        <v>1</v>
      </c>
      <c r="H361" s="46">
        <f t="shared" si="233"/>
        <v>33.1971831</v>
      </c>
      <c r="I361" s="46">
        <f t="shared" si="234"/>
        <v>33.1971831</v>
      </c>
      <c r="J361" s="49">
        <v>2857.0</v>
      </c>
      <c r="K361" s="50">
        <f t="shared" si="13"/>
        <v>0.02485124256</v>
      </c>
      <c r="L361" s="46">
        <v>143.85</v>
      </c>
      <c r="M361" s="46">
        <v>800.0</v>
      </c>
      <c r="N361" s="47">
        <v>25.0</v>
      </c>
      <c r="O361" s="49">
        <v>113737.0</v>
      </c>
      <c r="P361" s="50">
        <f t="shared" si="14"/>
        <v>0.1798125</v>
      </c>
      <c r="Q361" s="51">
        <f t="shared" si="15"/>
        <v>5.561348627</v>
      </c>
      <c r="R361" s="50">
        <f t="shared" si="16"/>
        <v>0.33941451</v>
      </c>
      <c r="S361" s="16"/>
      <c r="T361" s="25"/>
      <c r="U361" s="6"/>
      <c r="V361" s="6"/>
      <c r="W361" s="6"/>
      <c r="X361" s="6"/>
      <c r="Y361" s="6"/>
      <c r="Z361" s="6"/>
    </row>
    <row r="362" hidden="1" outlineLevel="1">
      <c r="A362" s="44" t="str">
        <f t="shared" si="232"/>
        <v>11-2024</v>
      </c>
      <c r="B362" s="34">
        <v>45605.0</v>
      </c>
      <c r="C362" s="45"/>
      <c r="D362" s="46">
        <v>2924.0</v>
      </c>
      <c r="E362" s="47">
        <v>82.0</v>
      </c>
      <c r="F362" s="47">
        <v>80.0</v>
      </c>
      <c r="G362" s="48">
        <f t="shared" si="10"/>
        <v>1.025</v>
      </c>
      <c r="H362" s="46">
        <f t="shared" si="233"/>
        <v>36.55</v>
      </c>
      <c r="I362" s="46">
        <f t="shared" si="234"/>
        <v>35.65853659</v>
      </c>
      <c r="J362" s="49">
        <v>3930.0</v>
      </c>
      <c r="K362" s="50">
        <f t="shared" si="13"/>
        <v>0.02086513995</v>
      </c>
      <c r="L362" s="46">
        <v>177.35</v>
      </c>
      <c r="M362" s="46">
        <v>1475.97</v>
      </c>
      <c r="N362" s="47">
        <v>43.0</v>
      </c>
      <c r="O362" s="49">
        <v>144359.0</v>
      </c>
      <c r="P362" s="50">
        <f t="shared" si="14"/>
        <v>0.1201582688</v>
      </c>
      <c r="Q362" s="51">
        <f t="shared" si="15"/>
        <v>8.322356921</v>
      </c>
      <c r="R362" s="50">
        <f t="shared" si="16"/>
        <v>0.5047777018</v>
      </c>
      <c r="S362" s="16"/>
      <c r="T362" s="25"/>
      <c r="U362" s="6"/>
      <c r="V362" s="6"/>
      <c r="W362" s="6"/>
      <c r="X362" s="6"/>
      <c r="Y362" s="6"/>
      <c r="Z362" s="6"/>
    </row>
    <row r="363" collapsed="1">
      <c r="A363" s="52" t="s">
        <v>141</v>
      </c>
      <c r="B363" s="53"/>
      <c r="C363" s="54"/>
      <c r="D363" s="55">
        <f t="shared" ref="D363:F363" si="235">SUM(D356:D362)</f>
        <v>17656</v>
      </c>
      <c r="E363" s="81">
        <f t="shared" si="235"/>
        <v>511</v>
      </c>
      <c r="F363" s="81">
        <f t="shared" si="235"/>
        <v>504</v>
      </c>
      <c r="G363" s="57">
        <f t="shared" si="10"/>
        <v>1.013888889</v>
      </c>
      <c r="H363" s="55">
        <f>AVERAGE(H356:H362)</f>
        <v>35.07199171</v>
      </c>
      <c r="I363" s="58">
        <f>H363/G363</f>
        <v>34.59155347</v>
      </c>
      <c r="J363" s="59">
        <f>SUM(J356:J362)</f>
        <v>24392</v>
      </c>
      <c r="K363" s="60">
        <f t="shared" si="13"/>
        <v>0.02094949164</v>
      </c>
      <c r="L363" s="55">
        <f t="shared" ref="L363:N363" si="236">SUM(L356:L362)</f>
        <v>1135.85</v>
      </c>
      <c r="M363" s="55">
        <f t="shared" si="236"/>
        <v>9100.94</v>
      </c>
      <c r="N363" s="56">
        <f t="shared" si="236"/>
        <v>282</v>
      </c>
      <c r="O363" s="59">
        <f>sum(O356:O362)</f>
        <v>850378</v>
      </c>
      <c r="P363" s="60">
        <f t="shared" si="14"/>
        <v>0.1248057893</v>
      </c>
      <c r="Q363" s="61">
        <f t="shared" si="15"/>
        <v>8.012448827</v>
      </c>
      <c r="R363" s="62">
        <f t="shared" si="16"/>
        <v>0.5154587676</v>
      </c>
      <c r="S363" s="54">
        <f>iferror((D363-D131)/D363,)</f>
        <v>-0.2723436792</v>
      </c>
      <c r="T363" s="63">
        <f>iferror((F363-E131)/F363,)</f>
        <v>-0.2083333333</v>
      </c>
      <c r="U363" s="6"/>
      <c r="V363" s="6"/>
      <c r="W363" s="6"/>
      <c r="X363" s="6"/>
      <c r="Y363" s="6"/>
      <c r="Z363" s="6"/>
    </row>
    <row r="364" hidden="1" outlineLevel="1">
      <c r="A364" s="33" t="str">
        <f t="shared" ref="A364:A370" si="237">iferror(if(B364&gt;0,month(B364)&amp;"-"&amp;year(B364),B364),)</f>
        <v>11-2024</v>
      </c>
      <c r="B364" s="34">
        <v>45606.0</v>
      </c>
      <c r="C364" s="35"/>
      <c r="D364" s="36">
        <v>4505.0</v>
      </c>
      <c r="E364" s="37">
        <v>134.0</v>
      </c>
      <c r="F364" s="37">
        <v>134.0</v>
      </c>
      <c r="G364" s="38">
        <f t="shared" si="10"/>
        <v>1</v>
      </c>
      <c r="H364" s="36">
        <f t="shared" ref="H364:H370" si="238">D364/F364</f>
        <v>33.61940299</v>
      </c>
      <c r="I364" s="36">
        <f t="shared" ref="I364:I370" si="239">D364/E364</f>
        <v>33.61940299</v>
      </c>
      <c r="J364" s="39">
        <v>5157.0</v>
      </c>
      <c r="K364" s="40">
        <f t="shared" si="13"/>
        <v>0.02598409928</v>
      </c>
      <c r="L364" s="36">
        <v>232.09</v>
      </c>
      <c r="M364" s="36">
        <v>3189.0</v>
      </c>
      <c r="N364" s="37">
        <v>96.0</v>
      </c>
      <c r="O364" s="39">
        <v>184597.0</v>
      </c>
      <c r="P364" s="40">
        <f t="shared" si="14"/>
        <v>0.07277830041</v>
      </c>
      <c r="Q364" s="41">
        <f t="shared" si="15"/>
        <v>13.74035934</v>
      </c>
      <c r="R364" s="40">
        <f t="shared" si="16"/>
        <v>0.7078801332</v>
      </c>
      <c r="S364" s="42"/>
      <c r="T364" s="43"/>
      <c r="U364" s="6"/>
      <c r="V364" s="6"/>
      <c r="W364" s="6"/>
      <c r="X364" s="6"/>
      <c r="Y364" s="6"/>
      <c r="Z364" s="6"/>
    </row>
    <row r="365" hidden="1" outlineLevel="1">
      <c r="A365" s="44" t="str">
        <f t="shared" si="237"/>
        <v>11-2024</v>
      </c>
      <c r="B365" s="34">
        <v>45607.0</v>
      </c>
      <c r="C365" s="45"/>
      <c r="D365" s="46">
        <v>3777.0</v>
      </c>
      <c r="E365" s="47">
        <v>104.0</v>
      </c>
      <c r="F365" s="47">
        <v>104.0</v>
      </c>
      <c r="G365" s="48">
        <f t="shared" si="10"/>
        <v>1</v>
      </c>
      <c r="H365" s="46">
        <f t="shared" si="238"/>
        <v>36.31730769</v>
      </c>
      <c r="I365" s="46">
        <f t="shared" si="239"/>
        <v>36.31730769</v>
      </c>
      <c r="J365" s="49">
        <v>4398.0</v>
      </c>
      <c r="K365" s="50">
        <f t="shared" si="13"/>
        <v>0.02364711232</v>
      </c>
      <c r="L365" s="46">
        <v>189.4</v>
      </c>
      <c r="M365" s="46">
        <v>1978.0</v>
      </c>
      <c r="N365" s="47">
        <v>56.0</v>
      </c>
      <c r="O365" s="49">
        <v>160630.0</v>
      </c>
      <c r="P365" s="50">
        <f t="shared" si="14"/>
        <v>0.09575328615</v>
      </c>
      <c r="Q365" s="51">
        <f t="shared" si="15"/>
        <v>10.44350581</v>
      </c>
      <c r="R365" s="50">
        <f t="shared" si="16"/>
        <v>0.5236960551</v>
      </c>
      <c r="S365" s="16"/>
      <c r="T365" s="25"/>
      <c r="U365" s="6"/>
      <c r="V365" s="6"/>
      <c r="W365" s="6"/>
      <c r="X365" s="6"/>
      <c r="Y365" s="6"/>
      <c r="Z365" s="6"/>
    </row>
    <row r="366" hidden="1" outlineLevel="1">
      <c r="A366" s="44" t="str">
        <f t="shared" si="237"/>
        <v>11-2024</v>
      </c>
      <c r="B366" s="34">
        <v>45608.0</v>
      </c>
      <c r="C366" s="45"/>
      <c r="D366" s="46">
        <v>2129.0</v>
      </c>
      <c r="E366" s="47">
        <v>63.0</v>
      </c>
      <c r="F366" s="47">
        <v>63.0</v>
      </c>
      <c r="G366" s="48">
        <f t="shared" si="10"/>
        <v>1</v>
      </c>
      <c r="H366" s="46">
        <f t="shared" si="238"/>
        <v>33.79365079</v>
      </c>
      <c r="I366" s="46">
        <f t="shared" si="239"/>
        <v>33.79365079</v>
      </c>
      <c r="J366" s="49">
        <v>4009.0</v>
      </c>
      <c r="K366" s="50">
        <f t="shared" si="13"/>
        <v>0.01571464206</v>
      </c>
      <c r="L366" s="46">
        <v>189.53</v>
      </c>
      <c r="M366" s="46">
        <v>1590.0</v>
      </c>
      <c r="N366" s="47">
        <v>42.0</v>
      </c>
      <c r="O366" s="49">
        <v>153270.0</v>
      </c>
      <c r="P366" s="50">
        <f t="shared" si="14"/>
        <v>0.1192012579</v>
      </c>
      <c r="Q366" s="51">
        <f t="shared" si="15"/>
        <v>8.389173218</v>
      </c>
      <c r="R366" s="50">
        <f t="shared" si="16"/>
        <v>0.7468294974</v>
      </c>
      <c r="S366" s="16"/>
      <c r="T366" s="25"/>
      <c r="U366" s="6"/>
      <c r="V366" s="6"/>
      <c r="W366" s="6"/>
      <c r="X366" s="6"/>
      <c r="Y366" s="6"/>
      <c r="Z366" s="6"/>
    </row>
    <row r="367" hidden="1" outlineLevel="1">
      <c r="A367" s="44" t="str">
        <f t="shared" si="237"/>
        <v>11-2024</v>
      </c>
      <c r="B367" s="34">
        <v>45609.0</v>
      </c>
      <c r="C367" s="45"/>
      <c r="D367" s="46">
        <v>3462.0</v>
      </c>
      <c r="E367" s="47">
        <v>101.0</v>
      </c>
      <c r="F367" s="47">
        <v>101.0</v>
      </c>
      <c r="G367" s="48">
        <f t="shared" si="10"/>
        <v>1</v>
      </c>
      <c r="H367" s="46">
        <f t="shared" si="238"/>
        <v>34.27722772</v>
      </c>
      <c r="I367" s="46">
        <f t="shared" si="239"/>
        <v>34.27722772</v>
      </c>
      <c r="J367" s="49">
        <v>4071.0</v>
      </c>
      <c r="K367" s="50">
        <f t="shared" si="13"/>
        <v>0.02480962908</v>
      </c>
      <c r="L367" s="46">
        <v>148.06</v>
      </c>
      <c r="M367" s="46">
        <v>1650.0</v>
      </c>
      <c r="N367" s="47">
        <v>47.0</v>
      </c>
      <c r="O367" s="49">
        <v>141049.0</v>
      </c>
      <c r="P367" s="50">
        <f t="shared" si="14"/>
        <v>0.08973333333</v>
      </c>
      <c r="Q367" s="51">
        <f t="shared" si="15"/>
        <v>11.14413076</v>
      </c>
      <c r="R367" s="50">
        <f t="shared" si="16"/>
        <v>0.4766031196</v>
      </c>
      <c r="S367" s="16"/>
      <c r="T367" s="25"/>
      <c r="U367" s="6"/>
      <c r="V367" s="6"/>
      <c r="W367" s="6"/>
      <c r="X367" s="6"/>
      <c r="Y367" s="6"/>
      <c r="Z367" s="6"/>
    </row>
    <row r="368" hidden="1" outlineLevel="1">
      <c r="A368" s="44" t="str">
        <f t="shared" si="237"/>
        <v>11-2024</v>
      </c>
      <c r="B368" s="34">
        <v>45610.0</v>
      </c>
      <c r="C368" s="45"/>
      <c r="D368" s="46">
        <v>3291.0</v>
      </c>
      <c r="E368" s="47">
        <v>99.0</v>
      </c>
      <c r="F368" s="47">
        <v>99.0</v>
      </c>
      <c r="G368" s="48">
        <f t="shared" si="10"/>
        <v>1</v>
      </c>
      <c r="H368" s="46">
        <f t="shared" si="238"/>
        <v>33.24242424</v>
      </c>
      <c r="I368" s="46">
        <f t="shared" si="239"/>
        <v>33.24242424</v>
      </c>
      <c r="J368" s="49">
        <v>3742.0</v>
      </c>
      <c r="K368" s="50">
        <f t="shared" si="13"/>
        <v>0.02645644041</v>
      </c>
      <c r="L368" s="46">
        <v>145.45</v>
      </c>
      <c r="M368" s="46">
        <v>1120.97</v>
      </c>
      <c r="N368" s="47">
        <v>34.0</v>
      </c>
      <c r="O368" s="49">
        <v>131310.0</v>
      </c>
      <c r="P368" s="50">
        <f t="shared" si="14"/>
        <v>0.1297536955</v>
      </c>
      <c r="Q368" s="51">
        <f t="shared" si="15"/>
        <v>7.706909591</v>
      </c>
      <c r="R368" s="50">
        <f t="shared" si="16"/>
        <v>0.3406168338</v>
      </c>
      <c r="S368" s="16"/>
      <c r="T368" s="25"/>
      <c r="U368" s="6"/>
      <c r="V368" s="6"/>
      <c r="W368" s="6"/>
      <c r="X368" s="6"/>
      <c r="Y368" s="6"/>
      <c r="Z368" s="6"/>
    </row>
    <row r="369" hidden="1" outlineLevel="1">
      <c r="A369" s="44" t="str">
        <f t="shared" si="237"/>
        <v>11-2024</v>
      </c>
      <c r="B369" s="34">
        <v>45611.0</v>
      </c>
      <c r="C369" s="45"/>
      <c r="D369" s="46">
        <v>2649.0</v>
      </c>
      <c r="E369" s="47">
        <v>76.0</v>
      </c>
      <c r="F369" s="47">
        <v>76.0</v>
      </c>
      <c r="G369" s="48">
        <f t="shared" si="10"/>
        <v>1</v>
      </c>
      <c r="H369" s="46">
        <f t="shared" si="238"/>
        <v>34.85526316</v>
      </c>
      <c r="I369" s="46">
        <f t="shared" si="239"/>
        <v>34.85526316</v>
      </c>
      <c r="J369" s="49">
        <v>3333.0</v>
      </c>
      <c r="K369" s="50">
        <f t="shared" si="13"/>
        <v>0.02280228023</v>
      </c>
      <c r="L369" s="46">
        <v>123.98</v>
      </c>
      <c r="M369" s="46">
        <v>920.0</v>
      </c>
      <c r="N369" s="47">
        <v>29.0</v>
      </c>
      <c r="O369" s="49">
        <v>118494.0</v>
      </c>
      <c r="P369" s="50">
        <f t="shared" si="14"/>
        <v>0.1347608696</v>
      </c>
      <c r="Q369" s="51">
        <f t="shared" si="15"/>
        <v>7.420551702</v>
      </c>
      <c r="R369" s="50">
        <f t="shared" si="16"/>
        <v>0.3473008683</v>
      </c>
      <c r="S369" s="16"/>
      <c r="T369" s="25"/>
      <c r="U369" s="6"/>
      <c r="V369" s="6"/>
      <c r="W369" s="6"/>
      <c r="X369" s="6"/>
      <c r="Y369" s="6"/>
      <c r="Z369" s="6"/>
    </row>
    <row r="370" hidden="1" outlineLevel="1">
      <c r="A370" s="44" t="str">
        <f t="shared" si="237"/>
        <v>11-2024</v>
      </c>
      <c r="B370" s="34">
        <v>45612.0</v>
      </c>
      <c r="C370" s="45"/>
      <c r="D370" s="46">
        <v>3291.0</v>
      </c>
      <c r="E370" s="47">
        <v>92.0</v>
      </c>
      <c r="F370" s="47">
        <v>91.0</v>
      </c>
      <c r="G370" s="48">
        <f t="shared" si="10"/>
        <v>1.010989011</v>
      </c>
      <c r="H370" s="46">
        <f t="shared" si="238"/>
        <v>36.16483516</v>
      </c>
      <c r="I370" s="46">
        <f t="shared" si="239"/>
        <v>35.77173913</v>
      </c>
      <c r="J370" s="49">
        <v>4518.0</v>
      </c>
      <c r="K370" s="50">
        <f t="shared" si="13"/>
        <v>0.02036299247</v>
      </c>
      <c r="L370" s="46">
        <v>165.1</v>
      </c>
      <c r="M370" s="46">
        <v>1730.0</v>
      </c>
      <c r="N370" s="47">
        <v>44.0</v>
      </c>
      <c r="O370" s="49">
        <v>160089.0</v>
      </c>
      <c r="P370" s="50">
        <f t="shared" si="14"/>
        <v>0.09543352601</v>
      </c>
      <c r="Q370" s="51">
        <f t="shared" si="15"/>
        <v>10.47849788</v>
      </c>
      <c r="R370" s="50">
        <f t="shared" si="16"/>
        <v>0.5256760863</v>
      </c>
      <c r="S370" s="16"/>
      <c r="T370" s="25"/>
      <c r="U370" s="6"/>
      <c r="V370" s="6"/>
      <c r="W370" s="6"/>
      <c r="X370" s="6"/>
      <c r="Y370" s="6"/>
      <c r="Z370" s="6"/>
    </row>
    <row r="371" collapsed="1">
      <c r="A371" s="52" t="s">
        <v>142</v>
      </c>
      <c r="B371" s="53"/>
      <c r="C371" s="54"/>
      <c r="D371" s="55">
        <f t="shared" ref="D371:F371" si="240">SUM(D364:D370)</f>
        <v>23104</v>
      </c>
      <c r="E371" s="81">
        <f t="shared" si="240"/>
        <v>669</v>
      </c>
      <c r="F371" s="81">
        <f t="shared" si="240"/>
        <v>668</v>
      </c>
      <c r="G371" s="57">
        <f t="shared" si="10"/>
        <v>1.001497006</v>
      </c>
      <c r="H371" s="55">
        <f>AVERAGE(H364:H370)</f>
        <v>34.61001597</v>
      </c>
      <c r="I371" s="58">
        <f>H371/G371</f>
        <v>34.55828201</v>
      </c>
      <c r="J371" s="59">
        <f>SUM(J364:J370)</f>
        <v>29228</v>
      </c>
      <c r="K371" s="60">
        <f t="shared" si="13"/>
        <v>0.02288901054</v>
      </c>
      <c r="L371" s="55">
        <f t="shared" ref="L371:N371" si="241">SUM(L364:L370)</f>
        <v>1193.61</v>
      </c>
      <c r="M371" s="55">
        <f t="shared" si="241"/>
        <v>12177.97</v>
      </c>
      <c r="N371" s="56">
        <f t="shared" si="241"/>
        <v>348</v>
      </c>
      <c r="O371" s="59">
        <f>sum(O364:O370)</f>
        <v>1049439</v>
      </c>
      <c r="P371" s="60">
        <f t="shared" si="14"/>
        <v>0.09801387259</v>
      </c>
      <c r="Q371" s="61">
        <f t="shared" si="15"/>
        <v>10.20263738</v>
      </c>
      <c r="R371" s="62">
        <f t="shared" si="16"/>
        <v>0.5270935769</v>
      </c>
      <c r="S371" s="54">
        <f>iferror((D371-D131)/D371,)</f>
        <v>0.02767918975</v>
      </c>
      <c r="T371" s="63">
        <f>iferror((F371-E131)/F371,)</f>
        <v>0.08832335329</v>
      </c>
      <c r="U371" s="6"/>
      <c r="V371" s="6"/>
      <c r="W371" s="6"/>
      <c r="X371" s="6"/>
      <c r="Y371" s="6"/>
      <c r="Z371" s="6"/>
    </row>
    <row r="372" hidden="1" outlineLevel="1">
      <c r="A372" s="33" t="str">
        <f t="shared" ref="A372:A378" si="242">iferror(if(B372&gt;0,month(B372)&amp;"-"&amp;year(B372),B372),)</f>
        <v>11-2024</v>
      </c>
      <c r="B372" s="34">
        <v>45613.0</v>
      </c>
      <c r="C372" s="35"/>
      <c r="D372" s="36">
        <v>3969.0</v>
      </c>
      <c r="E372" s="37">
        <v>111.0</v>
      </c>
      <c r="F372" s="37">
        <v>110.0</v>
      </c>
      <c r="G372" s="38">
        <f t="shared" si="10"/>
        <v>1.009090909</v>
      </c>
      <c r="H372" s="36">
        <f t="shared" ref="H372:H378" si="243">D372/F372</f>
        <v>36.08181818</v>
      </c>
      <c r="I372" s="36">
        <f t="shared" ref="I372:I378" si="244">D372/E372</f>
        <v>35.75675676</v>
      </c>
      <c r="J372" s="39">
        <v>5529.0</v>
      </c>
      <c r="K372" s="40">
        <f t="shared" si="13"/>
        <v>0.0200759631</v>
      </c>
      <c r="L372" s="36">
        <v>221.19</v>
      </c>
      <c r="M372" s="36">
        <v>2002.0</v>
      </c>
      <c r="N372" s="37">
        <v>57.0</v>
      </c>
      <c r="O372" s="39">
        <v>195064.0</v>
      </c>
      <c r="P372" s="40">
        <f t="shared" si="14"/>
        <v>0.1104845155</v>
      </c>
      <c r="Q372" s="41">
        <f t="shared" si="15"/>
        <v>9.051042091</v>
      </c>
      <c r="R372" s="40">
        <f t="shared" si="16"/>
        <v>0.5044091711</v>
      </c>
      <c r="S372" s="42"/>
      <c r="T372" s="43"/>
      <c r="U372" s="6"/>
      <c r="V372" s="6"/>
      <c r="W372" s="6"/>
      <c r="X372" s="6"/>
      <c r="Y372" s="6"/>
      <c r="Z372" s="6"/>
    </row>
    <row r="373" hidden="1" outlineLevel="1">
      <c r="A373" s="44" t="str">
        <f t="shared" si="242"/>
        <v>11-2024</v>
      </c>
      <c r="B373" s="34">
        <v>45614.0</v>
      </c>
      <c r="C373" s="45"/>
      <c r="D373" s="46">
        <v>4373.0</v>
      </c>
      <c r="E373" s="47">
        <v>125.0</v>
      </c>
      <c r="F373" s="47">
        <v>125.0</v>
      </c>
      <c r="G373" s="48">
        <f t="shared" si="10"/>
        <v>1</v>
      </c>
      <c r="H373" s="46">
        <f t="shared" si="243"/>
        <v>34.984</v>
      </c>
      <c r="I373" s="46">
        <f t="shared" si="244"/>
        <v>34.984</v>
      </c>
      <c r="J373" s="49">
        <v>4638.0</v>
      </c>
      <c r="K373" s="50">
        <f t="shared" si="13"/>
        <v>0.0269512721</v>
      </c>
      <c r="L373" s="46">
        <v>204.85</v>
      </c>
      <c r="M373" s="46">
        <v>1692.0</v>
      </c>
      <c r="N373" s="47">
        <v>52.0</v>
      </c>
      <c r="O373" s="49">
        <v>142524.0</v>
      </c>
      <c r="P373" s="50">
        <f t="shared" si="14"/>
        <v>0.12106974</v>
      </c>
      <c r="Q373" s="51">
        <f t="shared" si="15"/>
        <v>8.259702221</v>
      </c>
      <c r="R373" s="50">
        <f t="shared" si="16"/>
        <v>0.3869197347</v>
      </c>
      <c r="S373" s="16"/>
      <c r="T373" s="25"/>
      <c r="U373" s="6"/>
      <c r="V373" s="6"/>
      <c r="W373" s="6"/>
      <c r="X373" s="6"/>
      <c r="Y373" s="6"/>
      <c r="Z373" s="6"/>
    </row>
    <row r="374" hidden="1" outlineLevel="1">
      <c r="A374" s="44" t="str">
        <f t="shared" si="242"/>
        <v>11-2024</v>
      </c>
      <c r="B374" s="34">
        <v>45615.0</v>
      </c>
      <c r="C374" s="45"/>
      <c r="D374" s="46">
        <v>2864.0</v>
      </c>
      <c r="E374" s="47">
        <v>88.0</v>
      </c>
      <c r="F374" s="47">
        <v>87.0</v>
      </c>
      <c r="G374" s="48">
        <f t="shared" si="10"/>
        <v>1.011494253</v>
      </c>
      <c r="H374" s="46">
        <f t="shared" si="243"/>
        <v>32.91954023</v>
      </c>
      <c r="I374" s="46">
        <f t="shared" si="244"/>
        <v>32.54545455</v>
      </c>
      <c r="J374" s="49">
        <v>4527.0</v>
      </c>
      <c r="K374" s="50">
        <f t="shared" si="13"/>
        <v>0.01943892202</v>
      </c>
      <c r="L374" s="46">
        <v>197.78</v>
      </c>
      <c r="M374" s="46">
        <v>1820.0</v>
      </c>
      <c r="N374" s="47">
        <v>51.0</v>
      </c>
      <c r="O374" s="49">
        <v>129823.0</v>
      </c>
      <c r="P374" s="50">
        <f t="shared" si="14"/>
        <v>0.1086703297</v>
      </c>
      <c r="Q374" s="51">
        <f t="shared" si="15"/>
        <v>9.202143796</v>
      </c>
      <c r="R374" s="50">
        <f t="shared" si="16"/>
        <v>0.6354748603</v>
      </c>
      <c r="S374" s="16"/>
      <c r="T374" s="25"/>
      <c r="U374" s="6"/>
      <c r="V374" s="6"/>
      <c r="W374" s="6"/>
      <c r="X374" s="6"/>
      <c r="Y374" s="6"/>
      <c r="Z374" s="6"/>
    </row>
    <row r="375" hidden="1" outlineLevel="1">
      <c r="A375" s="44" t="str">
        <f t="shared" si="242"/>
        <v>11-2024</v>
      </c>
      <c r="B375" s="34">
        <v>45616.0</v>
      </c>
      <c r="C375" s="45"/>
      <c r="D375" s="46">
        <v>3810.0</v>
      </c>
      <c r="E375" s="47">
        <v>109.0</v>
      </c>
      <c r="F375" s="47">
        <v>109.0</v>
      </c>
      <c r="G375" s="48">
        <f t="shared" si="10"/>
        <v>1</v>
      </c>
      <c r="H375" s="46">
        <f t="shared" si="243"/>
        <v>34.95412844</v>
      </c>
      <c r="I375" s="46">
        <f t="shared" si="244"/>
        <v>34.95412844</v>
      </c>
      <c r="J375" s="49">
        <v>4113.0</v>
      </c>
      <c r="K375" s="50">
        <f t="shared" si="13"/>
        <v>0.02650133722</v>
      </c>
      <c r="L375" s="46">
        <v>172.7</v>
      </c>
      <c r="M375" s="46">
        <v>2333.0</v>
      </c>
      <c r="N375" s="47">
        <v>67.0</v>
      </c>
      <c r="O375" s="49">
        <v>123793.0</v>
      </c>
      <c r="P375" s="50">
        <f t="shared" si="14"/>
        <v>0.07402486069</v>
      </c>
      <c r="Q375" s="51">
        <f t="shared" si="15"/>
        <v>13.5089751</v>
      </c>
      <c r="R375" s="50">
        <f t="shared" si="16"/>
        <v>0.612335958</v>
      </c>
      <c r="S375" s="16"/>
      <c r="T375" s="25"/>
      <c r="U375" s="6"/>
      <c r="V375" s="6"/>
      <c r="W375" s="6"/>
      <c r="X375" s="6"/>
      <c r="Y375" s="6"/>
      <c r="Z375" s="6"/>
    </row>
    <row r="376" hidden="1" outlineLevel="1">
      <c r="A376" s="44" t="str">
        <f t="shared" si="242"/>
        <v>11-2024</v>
      </c>
      <c r="B376" s="34">
        <v>45617.0</v>
      </c>
      <c r="C376" s="45"/>
      <c r="D376" s="46">
        <v>4685.0</v>
      </c>
      <c r="E376" s="47">
        <v>141.0</v>
      </c>
      <c r="F376" s="47">
        <v>141.0</v>
      </c>
      <c r="G376" s="48">
        <f t="shared" si="10"/>
        <v>1</v>
      </c>
      <c r="H376" s="46">
        <f t="shared" si="243"/>
        <v>33.22695035</v>
      </c>
      <c r="I376" s="46">
        <f t="shared" si="244"/>
        <v>33.22695035</v>
      </c>
      <c r="J376" s="49">
        <v>4286.0</v>
      </c>
      <c r="K376" s="50">
        <f t="shared" si="13"/>
        <v>0.03289780681</v>
      </c>
      <c r="L376" s="46">
        <v>176.56</v>
      </c>
      <c r="M376" s="46">
        <v>1955.0</v>
      </c>
      <c r="N376" s="47">
        <v>60.0</v>
      </c>
      <c r="O376" s="49">
        <v>147510.0</v>
      </c>
      <c r="P376" s="50">
        <f t="shared" si="14"/>
        <v>0.09031202046</v>
      </c>
      <c r="Q376" s="51">
        <f t="shared" si="15"/>
        <v>11.07272315</v>
      </c>
      <c r="R376" s="50">
        <f t="shared" si="16"/>
        <v>0.4172892209</v>
      </c>
      <c r="S376" s="16"/>
      <c r="T376" s="25"/>
      <c r="U376" s="6"/>
      <c r="V376" s="6"/>
      <c r="W376" s="6"/>
      <c r="X376" s="6"/>
      <c r="Y376" s="6"/>
      <c r="Z376" s="6"/>
    </row>
    <row r="377" hidden="1" outlineLevel="1">
      <c r="A377" s="44" t="str">
        <f t="shared" si="242"/>
        <v>11-2024</v>
      </c>
      <c r="B377" s="34">
        <v>45618.0</v>
      </c>
      <c r="C377" s="45"/>
      <c r="D377" s="46">
        <v>5325.0</v>
      </c>
      <c r="E377" s="47">
        <v>125.0</v>
      </c>
      <c r="F377" s="47">
        <v>124.0</v>
      </c>
      <c r="G377" s="48">
        <f t="shared" si="10"/>
        <v>1.008064516</v>
      </c>
      <c r="H377" s="46">
        <f t="shared" si="243"/>
        <v>42.94354839</v>
      </c>
      <c r="I377" s="46">
        <f t="shared" si="244"/>
        <v>42.6</v>
      </c>
      <c r="J377" s="49">
        <v>4275.0</v>
      </c>
      <c r="K377" s="50">
        <f t="shared" si="13"/>
        <v>0.02923976608</v>
      </c>
      <c r="L377" s="46">
        <v>177.12</v>
      </c>
      <c r="M377" s="46">
        <v>2437.0</v>
      </c>
      <c r="N377" s="47">
        <v>56.0</v>
      </c>
      <c r="O377" s="49">
        <v>139239.0</v>
      </c>
      <c r="P377" s="50">
        <f t="shared" si="14"/>
        <v>0.072679524</v>
      </c>
      <c r="Q377" s="51">
        <f t="shared" si="15"/>
        <v>13.75903342</v>
      </c>
      <c r="R377" s="50">
        <f t="shared" si="16"/>
        <v>0.4576525822</v>
      </c>
      <c r="S377" s="16"/>
      <c r="T377" s="25"/>
      <c r="U377" s="6"/>
      <c r="V377" s="6"/>
      <c r="W377" s="6"/>
      <c r="X377" s="6"/>
      <c r="Y377" s="6"/>
      <c r="Z377" s="6"/>
    </row>
    <row r="378" hidden="1" outlineLevel="1">
      <c r="A378" s="44" t="str">
        <f t="shared" si="242"/>
        <v>11-2024</v>
      </c>
      <c r="B378" s="34">
        <v>45619.0</v>
      </c>
      <c r="C378" s="45"/>
      <c r="D378" s="46">
        <v>5345.0</v>
      </c>
      <c r="E378" s="47">
        <v>158.0</v>
      </c>
      <c r="F378" s="47">
        <v>158.0</v>
      </c>
      <c r="G378" s="48">
        <f t="shared" si="10"/>
        <v>1</v>
      </c>
      <c r="H378" s="46">
        <f t="shared" si="243"/>
        <v>33.82911392</v>
      </c>
      <c r="I378" s="46">
        <f t="shared" si="244"/>
        <v>33.82911392</v>
      </c>
      <c r="J378" s="49">
        <v>5910.0</v>
      </c>
      <c r="K378" s="50">
        <f t="shared" si="13"/>
        <v>0.02673434856</v>
      </c>
      <c r="L378" s="46">
        <v>262.67</v>
      </c>
      <c r="M378" s="46">
        <v>2238.0</v>
      </c>
      <c r="N378" s="47">
        <v>67.0</v>
      </c>
      <c r="O378" s="49">
        <v>198358.0</v>
      </c>
      <c r="P378" s="50">
        <f t="shared" si="14"/>
        <v>0.1173681859</v>
      </c>
      <c r="Q378" s="51">
        <f t="shared" si="15"/>
        <v>8.520196444</v>
      </c>
      <c r="R378" s="50">
        <f t="shared" si="16"/>
        <v>0.4187090739</v>
      </c>
      <c r="S378" s="16"/>
      <c r="T378" s="25"/>
      <c r="U378" s="6"/>
      <c r="V378" s="6"/>
      <c r="W378" s="6"/>
      <c r="X378" s="6"/>
      <c r="Y378" s="6"/>
      <c r="Z378" s="6"/>
    </row>
    <row r="379" collapsed="1">
      <c r="A379" s="52" t="s">
        <v>143</v>
      </c>
      <c r="B379" s="53"/>
      <c r="C379" s="54"/>
      <c r="D379" s="55">
        <f t="shared" ref="D379:F379" si="245">SUM(D372:D378)</f>
        <v>30371</v>
      </c>
      <c r="E379" s="81">
        <f t="shared" si="245"/>
        <v>857</v>
      </c>
      <c r="F379" s="81">
        <f t="shared" si="245"/>
        <v>854</v>
      </c>
      <c r="G379" s="57">
        <f t="shared" si="10"/>
        <v>1.003512881</v>
      </c>
      <c r="H379" s="55">
        <f>AVERAGE(H372:H378)</f>
        <v>35.5627285</v>
      </c>
      <c r="I379" s="58">
        <f>H379/G379</f>
        <v>35.4382382</v>
      </c>
      <c r="J379" s="59">
        <f>SUM(J372:J378)</f>
        <v>33278</v>
      </c>
      <c r="K379" s="60">
        <f t="shared" si="13"/>
        <v>0.02575274956</v>
      </c>
      <c r="L379" s="55">
        <f t="shared" ref="L379:N379" si="246">SUM(L372:L378)</f>
        <v>1412.87</v>
      </c>
      <c r="M379" s="55">
        <f t="shared" si="246"/>
        <v>14477</v>
      </c>
      <c r="N379" s="56">
        <f t="shared" si="246"/>
        <v>410</v>
      </c>
      <c r="O379" s="59">
        <f>sum(O372:O378)</f>
        <v>1076311</v>
      </c>
      <c r="P379" s="60">
        <f t="shared" si="14"/>
        <v>0.0975941148</v>
      </c>
      <c r="Q379" s="61">
        <f t="shared" si="15"/>
        <v>10.2465195</v>
      </c>
      <c r="R379" s="62">
        <f t="shared" si="16"/>
        <v>0.4766718251</v>
      </c>
      <c r="S379" s="54">
        <f>iferror((D379-D131)/D379,)</f>
        <v>0.2603305785</v>
      </c>
      <c r="T379" s="63">
        <f>iferror((F379-E131)/F379,)</f>
        <v>0.2868852459</v>
      </c>
      <c r="U379" s="6"/>
      <c r="V379" s="6"/>
      <c r="W379" s="6"/>
      <c r="X379" s="6"/>
      <c r="Y379" s="6"/>
      <c r="Z379" s="6"/>
    </row>
    <row r="380" hidden="1" outlineLevel="1">
      <c r="A380" s="33" t="str">
        <f t="shared" ref="A380:A386" si="247">iferror(if(B380&gt;0,month(B380)&amp;"-"&amp;year(B380),B380),)</f>
        <v>11-2024</v>
      </c>
      <c r="B380" s="34">
        <v>45620.0</v>
      </c>
      <c r="C380" s="35"/>
      <c r="D380" s="36">
        <v>4743.0</v>
      </c>
      <c r="E380" s="37">
        <v>137.0</v>
      </c>
      <c r="F380" s="37">
        <v>137.0</v>
      </c>
      <c r="G380" s="38">
        <f t="shared" si="10"/>
        <v>1</v>
      </c>
      <c r="H380" s="36">
        <f t="shared" ref="H380:H386" si="248">D380/F380</f>
        <v>34.62043796</v>
      </c>
      <c r="I380" s="36">
        <f t="shared" ref="I380:I386" si="249">D380/E380</f>
        <v>34.62043796</v>
      </c>
      <c r="J380" s="39">
        <v>6446.0</v>
      </c>
      <c r="K380" s="40">
        <f t="shared" si="13"/>
        <v>0.02125349054</v>
      </c>
      <c r="L380" s="36">
        <v>308.79</v>
      </c>
      <c r="M380" s="36">
        <v>2789.0</v>
      </c>
      <c r="N380" s="37">
        <v>74.0</v>
      </c>
      <c r="O380" s="39">
        <v>248798.0</v>
      </c>
      <c r="P380" s="40">
        <f t="shared" si="14"/>
        <v>0.1107171029</v>
      </c>
      <c r="Q380" s="41">
        <f t="shared" si="15"/>
        <v>9.032028239</v>
      </c>
      <c r="R380" s="40">
        <f t="shared" si="16"/>
        <v>0.5880244571</v>
      </c>
      <c r="S380" s="42"/>
      <c r="T380" s="43"/>
      <c r="U380" s="6"/>
      <c r="V380" s="6"/>
      <c r="W380" s="6"/>
      <c r="X380" s="6"/>
      <c r="Y380" s="6"/>
      <c r="Z380" s="6"/>
    </row>
    <row r="381" hidden="1" outlineLevel="1">
      <c r="A381" s="44" t="str">
        <f t="shared" si="247"/>
        <v>11-2024</v>
      </c>
      <c r="B381" s="34">
        <v>45621.0</v>
      </c>
      <c r="C381" s="45"/>
      <c r="D381" s="46">
        <v>5709.0</v>
      </c>
      <c r="E381" s="47">
        <v>153.0</v>
      </c>
      <c r="F381" s="47">
        <v>152.0</v>
      </c>
      <c r="G381" s="48">
        <f t="shared" si="10"/>
        <v>1.006578947</v>
      </c>
      <c r="H381" s="46">
        <f t="shared" si="248"/>
        <v>37.55921053</v>
      </c>
      <c r="I381" s="46">
        <f t="shared" si="249"/>
        <v>37.31372549</v>
      </c>
      <c r="J381" s="49">
        <v>6303.0</v>
      </c>
      <c r="K381" s="50">
        <f t="shared" si="13"/>
        <v>0.02427415516</v>
      </c>
      <c r="L381" s="46">
        <v>267.08</v>
      </c>
      <c r="M381" s="46">
        <v>3474.0</v>
      </c>
      <c r="N381" s="47">
        <v>93.0</v>
      </c>
      <c r="O381" s="49">
        <v>233378.0</v>
      </c>
      <c r="P381" s="50">
        <f t="shared" si="14"/>
        <v>0.07687967761</v>
      </c>
      <c r="Q381" s="51">
        <f t="shared" si="15"/>
        <v>13.00733863</v>
      </c>
      <c r="R381" s="50">
        <f t="shared" si="16"/>
        <v>0.6085128744</v>
      </c>
      <c r="S381" s="16"/>
      <c r="T381" s="25"/>
      <c r="U381" s="6"/>
      <c r="V381" s="6"/>
      <c r="W381" s="6"/>
      <c r="X381" s="6"/>
      <c r="Y381" s="6"/>
      <c r="Z381" s="6"/>
    </row>
    <row r="382" hidden="1" outlineLevel="1">
      <c r="A382" s="44" t="str">
        <f t="shared" si="247"/>
        <v>11-2024</v>
      </c>
      <c r="B382" s="34">
        <v>45622.0</v>
      </c>
      <c r="C382" s="45"/>
      <c r="D382" s="46">
        <v>5192.0</v>
      </c>
      <c r="E382" s="47">
        <v>146.0</v>
      </c>
      <c r="F382" s="47">
        <v>145.0</v>
      </c>
      <c r="G382" s="48">
        <f t="shared" si="10"/>
        <v>1.006896552</v>
      </c>
      <c r="H382" s="46">
        <f t="shared" si="248"/>
        <v>35.80689655</v>
      </c>
      <c r="I382" s="46">
        <f t="shared" si="249"/>
        <v>35.56164384</v>
      </c>
      <c r="J382" s="49">
        <v>5660.0</v>
      </c>
      <c r="K382" s="50">
        <f t="shared" si="13"/>
        <v>0.025795053</v>
      </c>
      <c r="L382" s="46">
        <v>281.7</v>
      </c>
      <c r="M382" s="46">
        <v>3061.97</v>
      </c>
      <c r="N382" s="47">
        <v>86.0</v>
      </c>
      <c r="O382" s="49">
        <v>225796.0</v>
      </c>
      <c r="P382" s="50">
        <f t="shared" si="14"/>
        <v>0.09199959503</v>
      </c>
      <c r="Q382" s="51">
        <f t="shared" si="15"/>
        <v>10.86961306</v>
      </c>
      <c r="R382" s="50">
        <f t="shared" si="16"/>
        <v>0.5897476888</v>
      </c>
      <c r="S382" s="16"/>
      <c r="T382" s="25"/>
      <c r="U382" s="6"/>
      <c r="V382" s="6"/>
      <c r="W382" s="6"/>
      <c r="X382" s="6"/>
      <c r="Y382" s="6"/>
      <c r="Z382" s="6"/>
    </row>
    <row r="383" hidden="1" outlineLevel="1">
      <c r="A383" s="44" t="str">
        <f t="shared" si="247"/>
        <v>11-2024</v>
      </c>
      <c r="B383" s="34">
        <v>45623.0</v>
      </c>
      <c r="C383" s="45"/>
      <c r="D383" s="46">
        <v>5455.0</v>
      </c>
      <c r="E383" s="47">
        <v>154.0</v>
      </c>
      <c r="F383" s="47">
        <v>153.0</v>
      </c>
      <c r="G383" s="48">
        <f t="shared" si="10"/>
        <v>1.006535948</v>
      </c>
      <c r="H383" s="46">
        <f t="shared" si="248"/>
        <v>35.65359477</v>
      </c>
      <c r="I383" s="46">
        <f t="shared" si="249"/>
        <v>35.42207792</v>
      </c>
      <c r="J383" s="49">
        <v>5626.0</v>
      </c>
      <c r="K383" s="50">
        <f t="shared" si="13"/>
        <v>0.02737291148</v>
      </c>
      <c r="L383" s="46">
        <v>288.59</v>
      </c>
      <c r="M383" s="46">
        <v>2994.97</v>
      </c>
      <c r="N383" s="47">
        <v>88.0</v>
      </c>
      <c r="O383" s="49">
        <v>230472.0</v>
      </c>
      <c r="P383" s="50">
        <f t="shared" si="14"/>
        <v>0.09635822729</v>
      </c>
      <c r="Q383" s="51">
        <f t="shared" si="15"/>
        <v>10.37794102</v>
      </c>
      <c r="R383" s="50">
        <f t="shared" si="16"/>
        <v>0.5490320807</v>
      </c>
      <c r="S383" s="16"/>
      <c r="T383" s="25"/>
      <c r="U383" s="6"/>
      <c r="V383" s="6"/>
      <c r="W383" s="6"/>
      <c r="X383" s="6"/>
      <c r="Y383" s="6"/>
      <c r="Z383" s="6"/>
    </row>
    <row r="384" hidden="1" outlineLevel="1">
      <c r="A384" s="44" t="str">
        <f t="shared" si="247"/>
        <v>11-2024</v>
      </c>
      <c r="B384" s="34">
        <v>45624.0</v>
      </c>
      <c r="C384" s="45"/>
      <c r="D384" s="46">
        <v>4676.0</v>
      </c>
      <c r="E384" s="47">
        <v>147.0</v>
      </c>
      <c r="F384" s="47">
        <v>147.0</v>
      </c>
      <c r="G384" s="48">
        <f t="shared" si="10"/>
        <v>1</v>
      </c>
      <c r="H384" s="46">
        <f t="shared" si="248"/>
        <v>31.80952381</v>
      </c>
      <c r="I384" s="46">
        <f t="shared" si="249"/>
        <v>31.80952381</v>
      </c>
      <c r="J384" s="49">
        <v>5973.0</v>
      </c>
      <c r="K384" s="50">
        <f t="shared" si="13"/>
        <v>0.02461074837</v>
      </c>
      <c r="L384" s="46">
        <v>308.07</v>
      </c>
      <c r="M384" s="46">
        <v>2971.77</v>
      </c>
      <c r="N384" s="47">
        <v>96.0</v>
      </c>
      <c r="O384" s="49">
        <v>256862.0</v>
      </c>
      <c r="P384" s="50">
        <f t="shared" si="14"/>
        <v>0.1036654923</v>
      </c>
      <c r="Q384" s="51">
        <f t="shared" si="15"/>
        <v>9.64641153</v>
      </c>
      <c r="R384" s="50">
        <f t="shared" si="16"/>
        <v>0.6355367836</v>
      </c>
      <c r="S384" s="16"/>
      <c r="T384" s="25"/>
      <c r="U384" s="6"/>
      <c r="V384" s="6"/>
      <c r="W384" s="6"/>
      <c r="X384" s="6"/>
      <c r="Y384" s="6"/>
      <c r="Z384" s="6"/>
    </row>
    <row r="385" hidden="1" outlineLevel="1">
      <c r="A385" s="44" t="str">
        <f t="shared" si="247"/>
        <v>11-2024</v>
      </c>
      <c r="B385" s="34">
        <v>45625.0</v>
      </c>
      <c r="C385" s="45"/>
      <c r="D385" s="46">
        <v>13273.0</v>
      </c>
      <c r="E385" s="47">
        <v>397.0</v>
      </c>
      <c r="F385" s="47">
        <v>390.0</v>
      </c>
      <c r="G385" s="48">
        <f t="shared" si="10"/>
        <v>1.017948718</v>
      </c>
      <c r="H385" s="46">
        <f t="shared" si="248"/>
        <v>34.03333333</v>
      </c>
      <c r="I385" s="46">
        <f t="shared" si="249"/>
        <v>33.43324937</v>
      </c>
      <c r="J385" s="49">
        <v>9551.0</v>
      </c>
      <c r="K385" s="50">
        <f t="shared" si="13"/>
        <v>0.04156632813</v>
      </c>
      <c r="L385" s="46">
        <v>490.51</v>
      </c>
      <c r="M385" s="46">
        <v>6782.91</v>
      </c>
      <c r="N385" s="47">
        <v>196.0</v>
      </c>
      <c r="O385" s="49">
        <v>390753.0</v>
      </c>
      <c r="P385" s="50">
        <f t="shared" si="14"/>
        <v>0.07231556957</v>
      </c>
      <c r="Q385" s="51">
        <f t="shared" si="15"/>
        <v>13.82828077</v>
      </c>
      <c r="R385" s="50">
        <f t="shared" si="16"/>
        <v>0.5110306638</v>
      </c>
      <c r="S385" s="16"/>
      <c r="T385" s="25"/>
      <c r="U385" s="6"/>
      <c r="V385" s="6"/>
      <c r="W385" s="6"/>
      <c r="X385" s="6"/>
      <c r="Y385" s="6"/>
      <c r="Z385" s="6"/>
    </row>
    <row r="386" hidden="1" outlineLevel="1">
      <c r="A386" s="44" t="str">
        <f t="shared" si="247"/>
        <v>11-2024</v>
      </c>
      <c r="B386" s="34">
        <v>45626.0</v>
      </c>
      <c r="C386" s="45"/>
      <c r="D386" s="46">
        <v>5923.0</v>
      </c>
      <c r="E386" s="47">
        <v>171.0</v>
      </c>
      <c r="F386" s="47">
        <v>171.0</v>
      </c>
      <c r="G386" s="48">
        <f t="shared" si="10"/>
        <v>1</v>
      </c>
      <c r="H386" s="46">
        <f t="shared" si="248"/>
        <v>34.6374269</v>
      </c>
      <c r="I386" s="46">
        <f t="shared" si="249"/>
        <v>34.6374269</v>
      </c>
      <c r="J386" s="49">
        <v>6619.0</v>
      </c>
      <c r="K386" s="50">
        <f t="shared" si="13"/>
        <v>0.02583471824</v>
      </c>
      <c r="L386" s="46">
        <v>371.96</v>
      </c>
      <c r="M386" s="46">
        <v>3068.0</v>
      </c>
      <c r="N386" s="47">
        <v>87.0</v>
      </c>
      <c r="O386" s="49">
        <v>286159.0</v>
      </c>
      <c r="P386" s="50">
        <f t="shared" si="14"/>
        <v>0.1212385919</v>
      </c>
      <c r="Q386" s="51">
        <f t="shared" si="15"/>
        <v>8.248198731</v>
      </c>
      <c r="R386" s="50">
        <f t="shared" si="16"/>
        <v>0.517980753</v>
      </c>
      <c r="S386" s="16"/>
      <c r="T386" s="25"/>
      <c r="U386" s="6"/>
      <c r="V386" s="6"/>
      <c r="W386" s="6"/>
      <c r="X386" s="6"/>
      <c r="Y386" s="6"/>
      <c r="Z386" s="6"/>
    </row>
    <row r="387" collapsed="1">
      <c r="A387" s="52" t="s">
        <v>144</v>
      </c>
      <c r="B387" s="53"/>
      <c r="C387" s="54"/>
      <c r="D387" s="55">
        <f t="shared" ref="D387:F387" si="250">SUM(D380:D386)</f>
        <v>44971</v>
      </c>
      <c r="E387" s="81">
        <f t="shared" si="250"/>
        <v>1305</v>
      </c>
      <c r="F387" s="81">
        <f t="shared" si="250"/>
        <v>1295</v>
      </c>
      <c r="G387" s="57">
        <f t="shared" si="10"/>
        <v>1.007722008</v>
      </c>
      <c r="H387" s="55">
        <f>AVERAGE(H380:H386)</f>
        <v>34.87434626</v>
      </c>
      <c r="I387" s="58">
        <f>H387/G387</f>
        <v>34.60710989</v>
      </c>
      <c r="J387" s="59">
        <f>SUM(J380:J386)</f>
        <v>46178</v>
      </c>
      <c r="K387" s="60">
        <f t="shared" si="13"/>
        <v>0.02826021049</v>
      </c>
      <c r="L387" s="55">
        <f t="shared" ref="L387:N387" si="251">SUM(L380:L386)</f>
        <v>2316.7</v>
      </c>
      <c r="M387" s="55">
        <f t="shared" si="251"/>
        <v>25142.62</v>
      </c>
      <c r="N387" s="56">
        <f t="shared" si="251"/>
        <v>720</v>
      </c>
      <c r="O387" s="59">
        <f>sum(O380:O386)</f>
        <v>1872218</v>
      </c>
      <c r="P387" s="60">
        <f t="shared" si="14"/>
        <v>0.09214234634</v>
      </c>
      <c r="Q387" s="61">
        <f t="shared" si="15"/>
        <v>10.85277334</v>
      </c>
      <c r="R387" s="62">
        <f t="shared" si="16"/>
        <v>0.5590851882</v>
      </c>
      <c r="S387" s="54">
        <f>iferror((D387-D131)/D387,)</f>
        <v>0.5004669676</v>
      </c>
      <c r="T387" s="63">
        <f>iferror((F387-E131)/F387,)</f>
        <v>0.5297297297</v>
      </c>
      <c r="U387" s="6"/>
      <c r="V387" s="6"/>
      <c r="W387" s="6"/>
      <c r="X387" s="6"/>
      <c r="Y387" s="6"/>
      <c r="Z387" s="6"/>
    </row>
    <row r="388" hidden="1" outlineLevel="1">
      <c r="A388" s="33" t="str">
        <f t="shared" ref="A388:A394" si="252">iferror(if(B388&gt;0,month(B388)&amp;"-"&amp;year(B388),B388),)</f>
        <v>12-2024</v>
      </c>
      <c r="B388" s="34">
        <v>45627.0</v>
      </c>
      <c r="C388" s="35"/>
      <c r="D388" s="36">
        <v>6704.0</v>
      </c>
      <c r="E388" s="37">
        <v>192.0</v>
      </c>
      <c r="F388" s="37">
        <v>191.0</v>
      </c>
      <c r="G388" s="38">
        <f t="shared" si="10"/>
        <v>1.005235602</v>
      </c>
      <c r="H388" s="36">
        <f t="shared" ref="H388:H394" si="253">D388/F388</f>
        <v>35.09947644</v>
      </c>
      <c r="I388" s="36">
        <f t="shared" ref="I388:I394" si="254">D388/E388</f>
        <v>34.91666667</v>
      </c>
      <c r="J388" s="39">
        <v>8233.0</v>
      </c>
      <c r="K388" s="40">
        <f t="shared" si="13"/>
        <v>0.02332078222</v>
      </c>
      <c r="L388" s="36">
        <v>386.59</v>
      </c>
      <c r="M388" s="36">
        <v>2969.97</v>
      </c>
      <c r="N388" s="37">
        <v>85.0</v>
      </c>
      <c r="O388" s="39">
        <v>310572.0</v>
      </c>
      <c r="P388" s="40">
        <f t="shared" si="14"/>
        <v>0.130166298</v>
      </c>
      <c r="Q388" s="41">
        <f t="shared" si="15"/>
        <v>7.682480147</v>
      </c>
      <c r="R388" s="40">
        <f t="shared" si="16"/>
        <v>0.4430146181</v>
      </c>
      <c r="S388" s="42"/>
      <c r="T388" s="43"/>
      <c r="U388" s="6"/>
      <c r="V388" s="6"/>
      <c r="W388" s="6"/>
      <c r="X388" s="6"/>
      <c r="Y388" s="6"/>
      <c r="Z388" s="6"/>
    </row>
    <row r="389" hidden="1" outlineLevel="1">
      <c r="A389" s="44" t="str">
        <f t="shared" si="252"/>
        <v>12-2024</v>
      </c>
      <c r="B389" s="34">
        <v>45628.0</v>
      </c>
      <c r="C389" s="45"/>
      <c r="D389" s="46">
        <v>8853.0</v>
      </c>
      <c r="E389" s="47">
        <v>258.0</v>
      </c>
      <c r="F389" s="47">
        <v>257.0</v>
      </c>
      <c r="G389" s="48">
        <f t="shared" si="10"/>
        <v>1.003891051</v>
      </c>
      <c r="H389" s="46">
        <f t="shared" si="253"/>
        <v>34.44747082</v>
      </c>
      <c r="I389" s="46">
        <f t="shared" si="254"/>
        <v>34.31395349</v>
      </c>
      <c r="J389" s="49">
        <v>8467.0</v>
      </c>
      <c r="K389" s="50">
        <f t="shared" si="13"/>
        <v>0.03047124129</v>
      </c>
      <c r="L389" s="46">
        <v>404.76</v>
      </c>
      <c r="M389" s="46">
        <v>4039.0</v>
      </c>
      <c r="N389" s="47">
        <v>114.0</v>
      </c>
      <c r="O389" s="49">
        <v>332003.0</v>
      </c>
      <c r="P389" s="50">
        <f t="shared" si="14"/>
        <v>0.100212924</v>
      </c>
      <c r="Q389" s="51">
        <f t="shared" si="15"/>
        <v>9.978752841</v>
      </c>
      <c r="R389" s="50">
        <f t="shared" si="16"/>
        <v>0.4562295267</v>
      </c>
      <c r="S389" s="16"/>
      <c r="T389" s="25"/>
      <c r="U389" s="6"/>
      <c r="V389" s="6"/>
      <c r="W389" s="6"/>
      <c r="X389" s="6"/>
      <c r="Y389" s="6"/>
      <c r="Z389" s="6"/>
    </row>
    <row r="390" hidden="1" outlineLevel="1">
      <c r="A390" s="44" t="str">
        <f t="shared" si="252"/>
        <v>12-2024</v>
      </c>
      <c r="B390" s="34">
        <v>45629.0</v>
      </c>
      <c r="C390" s="45"/>
      <c r="D390" s="46">
        <v>5795.0</v>
      </c>
      <c r="E390" s="47">
        <v>154.0</v>
      </c>
      <c r="F390" s="47">
        <v>154.0</v>
      </c>
      <c r="G390" s="48">
        <f t="shared" si="10"/>
        <v>1</v>
      </c>
      <c r="H390" s="46">
        <f t="shared" si="253"/>
        <v>37.62987013</v>
      </c>
      <c r="I390" s="46">
        <f t="shared" si="254"/>
        <v>37.62987013</v>
      </c>
      <c r="J390" s="49">
        <v>6300.0</v>
      </c>
      <c r="K390" s="50">
        <f t="shared" si="13"/>
        <v>0.02444444444</v>
      </c>
      <c r="L390" s="46">
        <v>281.27</v>
      </c>
      <c r="M390" s="46">
        <v>2786.0</v>
      </c>
      <c r="N390" s="47">
        <v>74.0</v>
      </c>
      <c r="O390" s="49">
        <v>206114.0</v>
      </c>
      <c r="P390" s="50">
        <f t="shared" si="14"/>
        <v>0.1009583632</v>
      </c>
      <c r="Q390" s="51">
        <f t="shared" si="15"/>
        <v>9.905073417</v>
      </c>
      <c r="R390" s="50">
        <f t="shared" si="16"/>
        <v>0.4807592752</v>
      </c>
      <c r="S390" s="16"/>
      <c r="T390" s="25"/>
      <c r="U390" s="6"/>
      <c r="V390" s="6"/>
      <c r="W390" s="6"/>
      <c r="X390" s="6"/>
      <c r="Y390" s="6"/>
      <c r="Z390" s="6"/>
    </row>
    <row r="391" hidden="1" outlineLevel="1">
      <c r="A391" s="44" t="str">
        <f t="shared" si="252"/>
        <v>12-2024</v>
      </c>
      <c r="B391" s="34">
        <v>45630.0</v>
      </c>
      <c r="C391" s="45"/>
      <c r="D391" s="46">
        <v>5246.0</v>
      </c>
      <c r="E391" s="47">
        <v>150.0</v>
      </c>
      <c r="F391" s="47">
        <v>148.0</v>
      </c>
      <c r="G391" s="48">
        <f t="shared" si="10"/>
        <v>1.013513514</v>
      </c>
      <c r="H391" s="46">
        <f t="shared" si="253"/>
        <v>35.44594595</v>
      </c>
      <c r="I391" s="46">
        <f t="shared" si="254"/>
        <v>34.97333333</v>
      </c>
      <c r="J391" s="49">
        <v>6081.0</v>
      </c>
      <c r="K391" s="50">
        <f t="shared" si="13"/>
        <v>0.02466699556</v>
      </c>
      <c r="L391" s="46">
        <v>273.63</v>
      </c>
      <c r="M391" s="46">
        <v>3037.0</v>
      </c>
      <c r="N391" s="47">
        <v>86.0</v>
      </c>
      <c r="O391" s="49">
        <v>182876.0</v>
      </c>
      <c r="P391" s="50">
        <f t="shared" si="14"/>
        <v>0.09009878169</v>
      </c>
      <c r="Q391" s="51">
        <f t="shared" si="15"/>
        <v>11.09892921</v>
      </c>
      <c r="R391" s="50">
        <f t="shared" si="16"/>
        <v>0.5789172703</v>
      </c>
      <c r="S391" s="16"/>
      <c r="T391" s="25"/>
      <c r="U391" s="6"/>
      <c r="V391" s="6"/>
      <c r="W391" s="6"/>
      <c r="X391" s="6"/>
      <c r="Y391" s="6"/>
      <c r="Z391" s="6"/>
    </row>
    <row r="392" hidden="1" outlineLevel="1">
      <c r="A392" s="44" t="str">
        <f t="shared" si="252"/>
        <v>12-2024</v>
      </c>
      <c r="B392" s="34">
        <v>45631.0</v>
      </c>
      <c r="C392" s="45"/>
      <c r="D392" s="46">
        <v>5799.0</v>
      </c>
      <c r="E392" s="47">
        <v>154.0</v>
      </c>
      <c r="F392" s="47">
        <v>154.0</v>
      </c>
      <c r="G392" s="48">
        <f t="shared" si="10"/>
        <v>1</v>
      </c>
      <c r="H392" s="46">
        <f t="shared" si="253"/>
        <v>37.65584416</v>
      </c>
      <c r="I392" s="46">
        <f t="shared" si="254"/>
        <v>37.65584416</v>
      </c>
      <c r="J392" s="49">
        <v>6153.0</v>
      </c>
      <c r="K392" s="50">
        <f t="shared" si="13"/>
        <v>0.02502844141</v>
      </c>
      <c r="L392" s="46">
        <v>281.78</v>
      </c>
      <c r="M392" s="46">
        <v>2908.97</v>
      </c>
      <c r="N392" s="47">
        <v>82.0</v>
      </c>
      <c r="O392" s="49">
        <v>183873.0</v>
      </c>
      <c r="P392" s="50">
        <f t="shared" si="14"/>
        <v>0.09686590099</v>
      </c>
      <c r="Q392" s="51">
        <f t="shared" si="15"/>
        <v>10.32355029</v>
      </c>
      <c r="R392" s="50">
        <f t="shared" si="16"/>
        <v>0.5016330402</v>
      </c>
      <c r="S392" s="16"/>
      <c r="T392" s="25"/>
      <c r="U392" s="6"/>
      <c r="V392" s="6"/>
      <c r="W392" s="6"/>
      <c r="X392" s="6"/>
      <c r="Y392" s="6"/>
      <c r="Z392" s="6"/>
    </row>
    <row r="393" hidden="1" outlineLevel="1">
      <c r="A393" s="44" t="str">
        <f t="shared" si="252"/>
        <v>12-2024</v>
      </c>
      <c r="B393" s="34">
        <v>45632.0</v>
      </c>
      <c r="C393" s="45"/>
      <c r="D393" s="46">
        <v>5390.0</v>
      </c>
      <c r="E393" s="47">
        <v>153.0</v>
      </c>
      <c r="F393" s="47">
        <v>152.0</v>
      </c>
      <c r="G393" s="48">
        <f t="shared" si="10"/>
        <v>1.006578947</v>
      </c>
      <c r="H393" s="46">
        <f t="shared" si="253"/>
        <v>35.46052632</v>
      </c>
      <c r="I393" s="46">
        <f t="shared" si="254"/>
        <v>35.22875817</v>
      </c>
      <c r="J393" s="49">
        <v>5755.0</v>
      </c>
      <c r="K393" s="50">
        <f t="shared" si="13"/>
        <v>0.02658557776</v>
      </c>
      <c r="L393" s="46">
        <v>309.02</v>
      </c>
      <c r="M393" s="46">
        <v>2995.0</v>
      </c>
      <c r="N393" s="47">
        <v>85.0</v>
      </c>
      <c r="O393" s="49">
        <v>190175.0</v>
      </c>
      <c r="P393" s="50">
        <f t="shared" si="14"/>
        <v>0.1031786311</v>
      </c>
      <c r="Q393" s="51">
        <f t="shared" si="15"/>
        <v>9.691929325</v>
      </c>
      <c r="R393" s="50">
        <f t="shared" si="16"/>
        <v>0.5556586271</v>
      </c>
      <c r="S393" s="16"/>
      <c r="T393" s="25"/>
      <c r="U393" s="6"/>
      <c r="V393" s="6"/>
      <c r="W393" s="6"/>
      <c r="X393" s="6"/>
      <c r="Y393" s="6"/>
      <c r="Z393" s="6"/>
    </row>
    <row r="394" hidden="1" outlineLevel="1">
      <c r="A394" s="44" t="str">
        <f t="shared" si="252"/>
        <v>12-2024</v>
      </c>
      <c r="B394" s="34">
        <v>45633.0</v>
      </c>
      <c r="C394" s="45"/>
      <c r="D394" s="46">
        <v>6164.0</v>
      </c>
      <c r="E394" s="47">
        <v>172.0</v>
      </c>
      <c r="F394" s="47">
        <v>170.0</v>
      </c>
      <c r="G394" s="48">
        <f t="shared" si="10"/>
        <v>1.011764706</v>
      </c>
      <c r="H394" s="46">
        <f t="shared" si="253"/>
        <v>36.25882353</v>
      </c>
      <c r="I394" s="46">
        <f t="shared" si="254"/>
        <v>35.8372093</v>
      </c>
      <c r="J394" s="49">
        <v>7364.0</v>
      </c>
      <c r="K394" s="50">
        <f t="shared" si="13"/>
        <v>0.02335687127</v>
      </c>
      <c r="L394" s="46">
        <v>354.82</v>
      </c>
      <c r="M394" s="46">
        <v>2671.0</v>
      </c>
      <c r="N394" s="47">
        <v>70.0</v>
      </c>
      <c r="O394" s="49">
        <v>240455.0</v>
      </c>
      <c r="P394" s="50">
        <f t="shared" si="14"/>
        <v>0.1328416323</v>
      </c>
      <c r="Q394" s="51">
        <f t="shared" si="15"/>
        <v>7.527760555</v>
      </c>
      <c r="R394" s="50">
        <f t="shared" si="16"/>
        <v>0.4333225178</v>
      </c>
      <c r="S394" s="16"/>
      <c r="T394" s="25"/>
      <c r="U394" s="6"/>
      <c r="V394" s="6"/>
      <c r="W394" s="6"/>
      <c r="X394" s="6"/>
      <c r="Y394" s="6"/>
      <c r="Z394" s="6"/>
    </row>
    <row r="395" collapsed="1">
      <c r="A395" s="52" t="s">
        <v>145</v>
      </c>
      <c r="B395" s="53"/>
      <c r="C395" s="54"/>
      <c r="D395" s="55">
        <f t="shared" ref="D395:F395" si="255">SUM(D388:D394)</f>
        <v>43951</v>
      </c>
      <c r="E395" s="81">
        <f t="shared" si="255"/>
        <v>1233</v>
      </c>
      <c r="F395" s="81">
        <f t="shared" si="255"/>
        <v>1226</v>
      </c>
      <c r="G395" s="57">
        <f t="shared" si="10"/>
        <v>1.005709625</v>
      </c>
      <c r="H395" s="55">
        <f>AVERAGE(H388:H394)</f>
        <v>35.99970819</v>
      </c>
      <c r="I395" s="58">
        <f>H395/G395</f>
        <v>35.79533029</v>
      </c>
      <c r="J395" s="59">
        <f>SUM(J388:J394)</f>
        <v>48353</v>
      </c>
      <c r="K395" s="60">
        <f t="shared" si="13"/>
        <v>0.02549996898</v>
      </c>
      <c r="L395" s="55">
        <f t="shared" ref="L395:N395" si="256">SUM(L388:L394)</f>
        <v>2291.87</v>
      </c>
      <c r="M395" s="55">
        <f t="shared" si="256"/>
        <v>21406.94</v>
      </c>
      <c r="N395" s="56">
        <f t="shared" si="256"/>
        <v>596</v>
      </c>
      <c r="O395" s="59">
        <f>sum(O388:O394)</f>
        <v>1646068</v>
      </c>
      <c r="P395" s="60">
        <f t="shared" si="14"/>
        <v>0.1070620089</v>
      </c>
      <c r="Q395" s="61">
        <f t="shared" si="15"/>
        <v>9.340381435</v>
      </c>
      <c r="R395" s="62">
        <f t="shared" si="16"/>
        <v>0.4870637756</v>
      </c>
      <c r="S395" s="54">
        <f>iferror((D395-D131)/D395,)</f>
        <v>0.4888739733</v>
      </c>
      <c r="T395" s="63">
        <f>iferror((F395-E131)/F395,)</f>
        <v>0.5032626427</v>
      </c>
      <c r="U395" s="6"/>
      <c r="V395" s="6"/>
      <c r="W395" s="6"/>
      <c r="X395" s="6"/>
      <c r="Y395" s="6"/>
      <c r="Z395" s="6"/>
    </row>
    <row r="396" hidden="1" outlineLevel="1">
      <c r="A396" s="33" t="str">
        <f t="shared" ref="A396:A402" si="257">iferror(if(B396&gt;0,month(B396)&amp;"-"&amp;year(B396),B396),)</f>
        <v>12-2024</v>
      </c>
      <c r="B396" s="34">
        <v>45634.0</v>
      </c>
      <c r="C396" s="35"/>
      <c r="D396" s="36">
        <v>7476.0</v>
      </c>
      <c r="E396" s="37">
        <v>196.0</v>
      </c>
      <c r="F396" s="37">
        <v>196.0</v>
      </c>
      <c r="G396" s="38">
        <f t="shared" si="10"/>
        <v>1</v>
      </c>
      <c r="H396" s="36">
        <f t="shared" ref="H396:H402" si="258">D396/F396</f>
        <v>38.14285714</v>
      </c>
      <c r="I396" s="36">
        <f t="shared" ref="I396:I402" si="259">D396/E396</f>
        <v>38.14285714</v>
      </c>
      <c r="J396" s="39">
        <v>9179.0</v>
      </c>
      <c r="K396" s="40">
        <f t="shared" si="13"/>
        <v>0.02135308857</v>
      </c>
      <c r="L396" s="36">
        <v>375.35</v>
      </c>
      <c r="M396" s="36">
        <v>4872.88</v>
      </c>
      <c r="N396" s="37">
        <v>133.0</v>
      </c>
      <c r="O396" s="39">
        <v>305574.0</v>
      </c>
      <c r="P396" s="40">
        <f t="shared" si="14"/>
        <v>0.07702836926</v>
      </c>
      <c r="Q396" s="41">
        <f t="shared" si="15"/>
        <v>12.98222992</v>
      </c>
      <c r="R396" s="40">
        <f t="shared" si="16"/>
        <v>0.6518031033</v>
      </c>
      <c r="S396" s="42"/>
      <c r="T396" s="43"/>
      <c r="U396" s="6"/>
      <c r="V396" s="6"/>
      <c r="W396" s="6"/>
      <c r="X396" s="6"/>
      <c r="Y396" s="6"/>
      <c r="Z396" s="6"/>
    </row>
    <row r="397" hidden="1" outlineLevel="1">
      <c r="A397" s="44" t="str">
        <f t="shared" si="257"/>
        <v>12-2024</v>
      </c>
      <c r="B397" s="34">
        <v>45635.0</v>
      </c>
      <c r="C397" s="45"/>
      <c r="D397" s="46">
        <v>7498.0</v>
      </c>
      <c r="E397" s="47">
        <v>225.0</v>
      </c>
      <c r="F397" s="47">
        <v>223.0</v>
      </c>
      <c r="G397" s="48">
        <f t="shared" si="10"/>
        <v>1.00896861</v>
      </c>
      <c r="H397" s="46">
        <f t="shared" si="258"/>
        <v>33.62331839</v>
      </c>
      <c r="I397" s="46">
        <f t="shared" si="259"/>
        <v>33.32444444</v>
      </c>
      <c r="J397" s="49">
        <v>8603.0</v>
      </c>
      <c r="K397" s="50">
        <f t="shared" si="13"/>
        <v>0.02615366733</v>
      </c>
      <c r="L397" s="46">
        <v>380.85</v>
      </c>
      <c r="M397" s="46">
        <v>5059.0</v>
      </c>
      <c r="N397" s="47">
        <v>146.0</v>
      </c>
      <c r="O397" s="49">
        <v>329922.0</v>
      </c>
      <c r="P397" s="50">
        <f t="shared" si="14"/>
        <v>0.07528167622</v>
      </c>
      <c r="Q397" s="51">
        <f t="shared" si="15"/>
        <v>13.28344493</v>
      </c>
      <c r="R397" s="50">
        <f t="shared" si="16"/>
        <v>0.6747132569</v>
      </c>
      <c r="S397" s="16"/>
      <c r="T397" s="25"/>
      <c r="U397" s="6"/>
      <c r="V397" s="6"/>
      <c r="W397" s="6"/>
      <c r="X397" s="6"/>
      <c r="Y397" s="6"/>
      <c r="Z397" s="6"/>
    </row>
    <row r="398" hidden="1" outlineLevel="1">
      <c r="A398" s="44" t="str">
        <f t="shared" si="257"/>
        <v>12-2024</v>
      </c>
      <c r="B398" s="34">
        <v>45636.0</v>
      </c>
      <c r="C398" s="45"/>
      <c r="D398" s="46">
        <v>7463.0</v>
      </c>
      <c r="E398" s="47">
        <v>207.0</v>
      </c>
      <c r="F398" s="47">
        <v>207.0</v>
      </c>
      <c r="G398" s="48">
        <f t="shared" si="10"/>
        <v>1</v>
      </c>
      <c r="H398" s="46">
        <f t="shared" si="258"/>
        <v>36.0531401</v>
      </c>
      <c r="I398" s="46">
        <f t="shared" si="259"/>
        <v>36.0531401</v>
      </c>
      <c r="J398" s="49">
        <v>7912.0</v>
      </c>
      <c r="K398" s="50">
        <f t="shared" si="13"/>
        <v>0.0261627907</v>
      </c>
      <c r="L398" s="46">
        <v>364.39</v>
      </c>
      <c r="M398" s="46">
        <v>4072.0</v>
      </c>
      <c r="N398" s="47">
        <v>116.0</v>
      </c>
      <c r="O398" s="49">
        <v>324833.0</v>
      </c>
      <c r="P398" s="50">
        <f t="shared" si="14"/>
        <v>0.0894867387</v>
      </c>
      <c r="Q398" s="51">
        <f t="shared" si="15"/>
        <v>11.17484014</v>
      </c>
      <c r="R398" s="50">
        <f t="shared" si="16"/>
        <v>0.5456250837</v>
      </c>
      <c r="S398" s="16"/>
      <c r="T398" s="25"/>
      <c r="U398" s="6"/>
      <c r="V398" s="6"/>
      <c r="W398" s="6"/>
      <c r="X398" s="6"/>
      <c r="Y398" s="6"/>
      <c r="Z398" s="6"/>
    </row>
    <row r="399" hidden="1" outlineLevel="1">
      <c r="A399" s="44" t="str">
        <f t="shared" si="257"/>
        <v>12-2024</v>
      </c>
      <c r="B399" s="34">
        <v>45637.0</v>
      </c>
      <c r="C399" s="45"/>
      <c r="D399" s="46">
        <v>8132.0</v>
      </c>
      <c r="E399" s="47">
        <v>220.0</v>
      </c>
      <c r="F399" s="47">
        <v>220.0</v>
      </c>
      <c r="G399" s="48">
        <f t="shared" si="10"/>
        <v>1</v>
      </c>
      <c r="H399" s="46">
        <f t="shared" si="258"/>
        <v>36.96363636</v>
      </c>
      <c r="I399" s="46">
        <f t="shared" si="259"/>
        <v>36.96363636</v>
      </c>
      <c r="J399" s="49">
        <v>8119.0</v>
      </c>
      <c r="K399" s="50">
        <f t="shared" si="13"/>
        <v>0.02709693312</v>
      </c>
      <c r="L399" s="46">
        <v>390.38</v>
      </c>
      <c r="M399" s="46">
        <v>5329.97</v>
      </c>
      <c r="N399" s="47">
        <v>138.0</v>
      </c>
      <c r="O399" s="49">
        <v>342186.0</v>
      </c>
      <c r="P399" s="50">
        <f t="shared" si="14"/>
        <v>0.07324243851</v>
      </c>
      <c r="Q399" s="51">
        <f t="shared" si="15"/>
        <v>13.65328654</v>
      </c>
      <c r="R399" s="50">
        <f t="shared" si="16"/>
        <v>0.6554316281</v>
      </c>
      <c r="S399" s="16"/>
      <c r="T399" s="25"/>
      <c r="U399" s="6"/>
      <c r="V399" s="6"/>
      <c r="W399" s="6"/>
      <c r="X399" s="6"/>
      <c r="Y399" s="6"/>
      <c r="Z399" s="6"/>
    </row>
    <row r="400" hidden="1" outlineLevel="1">
      <c r="A400" s="44" t="str">
        <f t="shared" si="257"/>
        <v>12-2024</v>
      </c>
      <c r="B400" s="34">
        <v>45638.0</v>
      </c>
      <c r="C400" s="45"/>
      <c r="D400" s="46">
        <v>7194.0</v>
      </c>
      <c r="E400" s="47">
        <v>201.0</v>
      </c>
      <c r="F400" s="47">
        <v>201.0</v>
      </c>
      <c r="G400" s="48">
        <f t="shared" si="10"/>
        <v>1</v>
      </c>
      <c r="H400" s="46">
        <f t="shared" si="258"/>
        <v>35.79104478</v>
      </c>
      <c r="I400" s="46">
        <f t="shared" si="259"/>
        <v>35.79104478</v>
      </c>
      <c r="J400" s="49">
        <v>7773.0</v>
      </c>
      <c r="K400" s="50">
        <f t="shared" si="13"/>
        <v>0.0258587418</v>
      </c>
      <c r="L400" s="46">
        <v>395.48</v>
      </c>
      <c r="M400" s="46">
        <v>4185.0</v>
      </c>
      <c r="N400" s="47">
        <v>122.0</v>
      </c>
      <c r="O400" s="49">
        <v>305774.0</v>
      </c>
      <c r="P400" s="50">
        <f t="shared" si="14"/>
        <v>0.09449940263</v>
      </c>
      <c r="Q400" s="51">
        <f t="shared" si="15"/>
        <v>10.58207748</v>
      </c>
      <c r="R400" s="50">
        <f t="shared" si="16"/>
        <v>0.581734779</v>
      </c>
      <c r="S400" s="16"/>
      <c r="T400" s="25"/>
      <c r="U400" s="6"/>
      <c r="V400" s="6"/>
      <c r="W400" s="6"/>
      <c r="X400" s="6"/>
      <c r="Y400" s="6"/>
      <c r="Z400" s="6"/>
    </row>
    <row r="401" hidden="1" outlineLevel="1">
      <c r="A401" s="44" t="str">
        <f t="shared" si="257"/>
        <v>12-2024</v>
      </c>
      <c r="B401" s="34">
        <v>45639.0</v>
      </c>
      <c r="C401" s="45"/>
      <c r="D401" s="46">
        <v>8743.0</v>
      </c>
      <c r="E401" s="47">
        <v>232.0</v>
      </c>
      <c r="F401" s="47">
        <v>229.0</v>
      </c>
      <c r="G401" s="48">
        <f t="shared" si="10"/>
        <v>1.013100437</v>
      </c>
      <c r="H401" s="46">
        <f t="shared" si="258"/>
        <v>38.1790393</v>
      </c>
      <c r="I401" s="46">
        <f t="shared" si="259"/>
        <v>37.68534483</v>
      </c>
      <c r="J401" s="49">
        <v>7437.0</v>
      </c>
      <c r="K401" s="50">
        <f t="shared" si="13"/>
        <v>0.03119537448</v>
      </c>
      <c r="L401" s="46">
        <v>365.13</v>
      </c>
      <c r="M401" s="46">
        <v>4423.97</v>
      </c>
      <c r="N401" s="47">
        <v>117.0</v>
      </c>
      <c r="O401" s="49">
        <v>297733.0</v>
      </c>
      <c r="P401" s="50">
        <f t="shared" si="14"/>
        <v>0.08253446565</v>
      </c>
      <c r="Q401" s="51">
        <f t="shared" si="15"/>
        <v>12.11615041</v>
      </c>
      <c r="R401" s="50">
        <f t="shared" si="16"/>
        <v>0.5060013725</v>
      </c>
      <c r="S401" s="16"/>
      <c r="T401" s="25"/>
      <c r="U401" s="6"/>
      <c r="V401" s="6"/>
      <c r="W401" s="6"/>
      <c r="X401" s="6"/>
      <c r="Y401" s="6"/>
      <c r="Z401" s="6"/>
    </row>
    <row r="402" hidden="1" outlineLevel="1">
      <c r="A402" s="44" t="str">
        <f t="shared" si="257"/>
        <v>12-2024</v>
      </c>
      <c r="B402" s="34">
        <v>45640.0</v>
      </c>
      <c r="C402" s="45"/>
      <c r="D402" s="46">
        <v>8124.0</v>
      </c>
      <c r="E402" s="47">
        <v>226.0</v>
      </c>
      <c r="F402" s="47">
        <v>225.0</v>
      </c>
      <c r="G402" s="48">
        <f t="shared" si="10"/>
        <v>1.004444444</v>
      </c>
      <c r="H402" s="46">
        <f t="shared" si="258"/>
        <v>36.10666667</v>
      </c>
      <c r="I402" s="46">
        <f t="shared" si="259"/>
        <v>35.94690265</v>
      </c>
      <c r="J402" s="49">
        <v>8505.0</v>
      </c>
      <c r="K402" s="50">
        <f t="shared" si="13"/>
        <v>0.02657260435</v>
      </c>
      <c r="L402" s="46">
        <v>418.11</v>
      </c>
      <c r="M402" s="46">
        <v>4262.94</v>
      </c>
      <c r="N402" s="47">
        <v>119.0</v>
      </c>
      <c r="O402" s="49">
        <v>333573.0</v>
      </c>
      <c r="P402" s="50">
        <f t="shared" si="14"/>
        <v>0.09808019817</v>
      </c>
      <c r="Q402" s="51">
        <f t="shared" si="15"/>
        <v>10.19573796</v>
      </c>
      <c r="R402" s="50">
        <f t="shared" si="16"/>
        <v>0.5247341211</v>
      </c>
      <c r="S402" s="16"/>
      <c r="T402" s="25"/>
      <c r="U402" s="6"/>
      <c r="V402" s="6"/>
      <c r="W402" s="6"/>
      <c r="X402" s="6"/>
      <c r="Y402" s="6"/>
      <c r="Z402" s="6"/>
    </row>
    <row r="403" collapsed="1">
      <c r="A403" s="52" t="s">
        <v>146</v>
      </c>
      <c r="B403" s="53"/>
      <c r="C403" s="54"/>
      <c r="D403" s="55">
        <f t="shared" ref="D403:F403" si="260">SUM(D396:D402)</f>
        <v>54630</v>
      </c>
      <c r="E403" s="81">
        <f t="shared" si="260"/>
        <v>1507</v>
      </c>
      <c r="F403" s="81">
        <f t="shared" si="260"/>
        <v>1501</v>
      </c>
      <c r="G403" s="57">
        <f t="shared" si="10"/>
        <v>1.003997335</v>
      </c>
      <c r="H403" s="55">
        <f>AVERAGE(H396:H402)</f>
        <v>36.40852896</v>
      </c>
      <c r="I403" s="58">
        <f>H403/G403</f>
        <v>36.26357132</v>
      </c>
      <c r="J403" s="59">
        <f>SUM(J396:J402)</f>
        <v>57528</v>
      </c>
      <c r="K403" s="60">
        <f t="shared" si="13"/>
        <v>0.02619593937</v>
      </c>
      <c r="L403" s="55">
        <f t="shared" ref="L403:N403" si="261">SUM(L396:L402)</f>
        <v>2689.69</v>
      </c>
      <c r="M403" s="55">
        <f t="shared" si="261"/>
        <v>32205.76</v>
      </c>
      <c r="N403" s="56">
        <f t="shared" si="261"/>
        <v>891</v>
      </c>
      <c r="O403" s="59">
        <f>sum(O396:O402)</f>
        <v>2239595</v>
      </c>
      <c r="P403" s="60">
        <f t="shared" si="14"/>
        <v>0.08351580587</v>
      </c>
      <c r="Q403" s="61">
        <f t="shared" si="15"/>
        <v>11.97378137</v>
      </c>
      <c r="R403" s="62">
        <f t="shared" si="16"/>
        <v>0.5895251693</v>
      </c>
      <c r="S403" s="54">
        <f>iferror((D403-D131)/D403,)</f>
        <v>0.5887882116</v>
      </c>
      <c r="T403" s="63">
        <f>iferror((F403-E131)/F403,)</f>
        <v>0.5942704863</v>
      </c>
      <c r="U403" s="6"/>
      <c r="V403" s="6"/>
      <c r="W403" s="6"/>
      <c r="X403" s="6"/>
      <c r="Y403" s="6"/>
      <c r="Z403" s="6"/>
    </row>
    <row r="404" outlineLevel="1">
      <c r="A404" s="33" t="str">
        <f t="shared" ref="A404:A410" si="262">iferror(if(B404&gt;0,month(B404)&amp;"-"&amp;year(B404),B404),)</f>
        <v>12-2024</v>
      </c>
      <c r="B404" s="34">
        <v>45641.0</v>
      </c>
      <c r="C404" s="35"/>
      <c r="D404" s="36">
        <v>8700.0</v>
      </c>
      <c r="E404" s="37">
        <v>239.0</v>
      </c>
      <c r="F404" s="37">
        <v>239.0</v>
      </c>
      <c r="G404" s="38">
        <f t="shared" si="10"/>
        <v>1</v>
      </c>
      <c r="H404" s="36">
        <f t="shared" ref="H404:H410" si="263">D404/F404</f>
        <v>36.40167364</v>
      </c>
      <c r="I404" s="36">
        <f t="shared" ref="I404:I410" si="264">D404/E404</f>
        <v>36.40167364</v>
      </c>
      <c r="J404" s="39">
        <v>10145.0</v>
      </c>
      <c r="K404" s="40">
        <f t="shared" si="13"/>
        <v>0.02355840315</v>
      </c>
      <c r="L404" s="36">
        <v>503.8</v>
      </c>
      <c r="M404" s="36">
        <v>5397.0</v>
      </c>
      <c r="N404" s="37">
        <v>148.0</v>
      </c>
      <c r="O404" s="39">
        <v>394950.0</v>
      </c>
      <c r="P404" s="40">
        <f t="shared" si="14"/>
        <v>0.09334815638</v>
      </c>
      <c r="Q404" s="41">
        <f t="shared" si="15"/>
        <v>10.71258436</v>
      </c>
      <c r="R404" s="40">
        <f t="shared" si="16"/>
        <v>0.6203448276</v>
      </c>
      <c r="S404" s="42"/>
      <c r="T404" s="43"/>
      <c r="U404" s="6"/>
      <c r="V404" s="6"/>
      <c r="W404" s="6"/>
      <c r="X404" s="6"/>
      <c r="Y404" s="6"/>
      <c r="Z404" s="6"/>
    </row>
    <row r="405" outlineLevel="1">
      <c r="A405" s="44" t="str">
        <f t="shared" si="262"/>
        <v>12-2024</v>
      </c>
      <c r="B405" s="34">
        <v>45642.0</v>
      </c>
      <c r="C405" s="45"/>
      <c r="D405" s="46">
        <v>9478.0</v>
      </c>
      <c r="E405" s="47">
        <v>266.0</v>
      </c>
      <c r="F405" s="47">
        <v>264.0</v>
      </c>
      <c r="G405" s="48">
        <f t="shared" si="10"/>
        <v>1.007575758</v>
      </c>
      <c r="H405" s="46">
        <f t="shared" si="263"/>
        <v>35.90151515</v>
      </c>
      <c r="I405" s="46">
        <f t="shared" si="264"/>
        <v>35.63157895</v>
      </c>
      <c r="J405" s="49">
        <v>9096.0</v>
      </c>
      <c r="K405" s="50">
        <f t="shared" si="13"/>
        <v>0.02924362357</v>
      </c>
      <c r="L405" s="46">
        <v>460.07</v>
      </c>
      <c r="M405" s="46">
        <v>6194.88</v>
      </c>
      <c r="N405" s="47">
        <v>169.0</v>
      </c>
      <c r="O405" s="49">
        <v>364597.0</v>
      </c>
      <c r="P405" s="50">
        <f t="shared" si="14"/>
        <v>0.07426616819</v>
      </c>
      <c r="Q405" s="51">
        <f t="shared" si="15"/>
        <v>13.4650814</v>
      </c>
      <c r="R405" s="50">
        <f t="shared" si="16"/>
        <v>0.653606246</v>
      </c>
      <c r="S405" s="16"/>
      <c r="T405" s="25"/>
      <c r="U405" s="6"/>
      <c r="V405" s="6"/>
      <c r="W405" s="6"/>
      <c r="X405" s="6"/>
      <c r="Y405" s="6"/>
      <c r="Z405" s="6"/>
    </row>
    <row r="406" outlineLevel="1">
      <c r="A406" s="44" t="str">
        <f t="shared" si="262"/>
        <v>12-2024</v>
      </c>
      <c r="B406" s="34">
        <v>45643.0</v>
      </c>
      <c r="C406" s="45"/>
      <c r="D406" s="46">
        <v>9087.0</v>
      </c>
      <c r="E406" s="47">
        <v>241.0</v>
      </c>
      <c r="F406" s="47">
        <v>240.0</v>
      </c>
      <c r="G406" s="48">
        <f t="shared" si="10"/>
        <v>1.004166667</v>
      </c>
      <c r="H406" s="46">
        <f t="shared" si="263"/>
        <v>37.8625</v>
      </c>
      <c r="I406" s="46">
        <f t="shared" si="264"/>
        <v>37.70539419</v>
      </c>
      <c r="J406" s="49">
        <v>8315.0</v>
      </c>
      <c r="K406" s="50">
        <f t="shared" si="13"/>
        <v>0.02898376428</v>
      </c>
      <c r="L406" s="46">
        <v>445.76</v>
      </c>
      <c r="M406" s="46">
        <v>5788.0</v>
      </c>
      <c r="N406" s="47">
        <v>157.0</v>
      </c>
      <c r="O406" s="49">
        <v>328408.0</v>
      </c>
      <c r="P406" s="50">
        <f t="shared" si="14"/>
        <v>0.07701451279</v>
      </c>
      <c r="Q406" s="51">
        <f t="shared" si="15"/>
        <v>12.98456569</v>
      </c>
      <c r="R406" s="50">
        <f t="shared" si="16"/>
        <v>0.6369538902</v>
      </c>
      <c r="S406" s="16"/>
      <c r="T406" s="25"/>
      <c r="U406" s="6"/>
      <c r="V406" s="6"/>
      <c r="W406" s="6"/>
      <c r="X406" s="6"/>
      <c r="Y406" s="6"/>
      <c r="Z406" s="6"/>
    </row>
    <row r="407" outlineLevel="1">
      <c r="A407" s="44" t="str">
        <f t="shared" si="262"/>
        <v>12-2024</v>
      </c>
      <c r="B407" s="34">
        <v>45644.0</v>
      </c>
      <c r="C407" s="45"/>
      <c r="D407" s="46">
        <v>7083.0</v>
      </c>
      <c r="E407" s="47">
        <v>215.0</v>
      </c>
      <c r="F407" s="47">
        <v>212.0</v>
      </c>
      <c r="G407" s="48">
        <f t="shared" si="10"/>
        <v>1.014150943</v>
      </c>
      <c r="H407" s="46">
        <f t="shared" si="263"/>
        <v>33.41037736</v>
      </c>
      <c r="I407" s="46">
        <f t="shared" si="264"/>
        <v>32.94418605</v>
      </c>
      <c r="J407" s="49">
        <v>7697.0</v>
      </c>
      <c r="K407" s="50">
        <f t="shared" si="13"/>
        <v>0.02793296089</v>
      </c>
      <c r="L407" s="46">
        <v>406.17</v>
      </c>
      <c r="M407" s="46">
        <v>4134.0</v>
      </c>
      <c r="N407" s="47">
        <v>117.0</v>
      </c>
      <c r="O407" s="49">
        <v>292325.0</v>
      </c>
      <c r="P407" s="50">
        <f t="shared" si="14"/>
        <v>0.09825108853</v>
      </c>
      <c r="Q407" s="51">
        <f t="shared" si="15"/>
        <v>10.17800428</v>
      </c>
      <c r="R407" s="50">
        <f t="shared" si="16"/>
        <v>0.5836509953</v>
      </c>
      <c r="S407" s="16"/>
      <c r="T407" s="25"/>
      <c r="U407" s="6"/>
      <c r="V407" s="6"/>
      <c r="W407" s="6"/>
      <c r="X407" s="6"/>
      <c r="Y407" s="6"/>
      <c r="Z407" s="6"/>
    </row>
    <row r="408" outlineLevel="1">
      <c r="A408" s="44" t="str">
        <f t="shared" si="262"/>
        <v>12-2024</v>
      </c>
      <c r="B408" s="34">
        <v>45645.0</v>
      </c>
      <c r="C408" s="45"/>
      <c r="D408" s="46">
        <v>6501.0</v>
      </c>
      <c r="E408" s="47">
        <v>190.0</v>
      </c>
      <c r="F408" s="47">
        <v>190.0</v>
      </c>
      <c r="G408" s="48">
        <f t="shared" si="10"/>
        <v>1</v>
      </c>
      <c r="H408" s="46">
        <f t="shared" si="263"/>
        <v>34.21578947</v>
      </c>
      <c r="I408" s="46">
        <f t="shared" si="264"/>
        <v>34.21578947</v>
      </c>
      <c r="J408" s="49">
        <v>6659.0</v>
      </c>
      <c r="K408" s="50">
        <f t="shared" si="13"/>
        <v>0.02853281273</v>
      </c>
      <c r="L408" s="46">
        <v>338.59</v>
      </c>
      <c r="M408" s="46">
        <v>4343.0</v>
      </c>
      <c r="N408" s="47">
        <v>131.0</v>
      </c>
      <c r="O408" s="49">
        <v>248385.0</v>
      </c>
      <c r="P408" s="50">
        <f t="shared" si="14"/>
        <v>0.07796223808</v>
      </c>
      <c r="Q408" s="51">
        <f t="shared" si="15"/>
        <v>12.82672258</v>
      </c>
      <c r="R408" s="50">
        <f t="shared" si="16"/>
        <v>0.6680510691</v>
      </c>
      <c r="S408" s="16"/>
      <c r="T408" s="25"/>
      <c r="U408" s="6"/>
      <c r="V408" s="6"/>
      <c r="W408" s="6"/>
      <c r="X408" s="6"/>
      <c r="Y408" s="6"/>
      <c r="Z408" s="6"/>
    </row>
    <row r="409" outlineLevel="1">
      <c r="A409" s="44" t="str">
        <f t="shared" si="262"/>
        <v>12-2024</v>
      </c>
      <c r="B409" s="34">
        <v>45646.0</v>
      </c>
      <c r="C409" s="45"/>
      <c r="D409" s="46">
        <v>5984.0</v>
      </c>
      <c r="E409" s="47">
        <v>171.0</v>
      </c>
      <c r="F409" s="47">
        <v>171.0</v>
      </c>
      <c r="G409" s="48">
        <f t="shared" si="10"/>
        <v>1</v>
      </c>
      <c r="H409" s="46">
        <f t="shared" si="263"/>
        <v>34.99415205</v>
      </c>
      <c r="I409" s="46">
        <f t="shared" si="264"/>
        <v>34.99415205</v>
      </c>
      <c r="J409" s="49">
        <v>5549.0</v>
      </c>
      <c r="K409" s="50">
        <f t="shared" si="13"/>
        <v>0.03081636331</v>
      </c>
      <c r="L409" s="46">
        <v>321.34</v>
      </c>
      <c r="M409" s="46">
        <v>3328.0</v>
      </c>
      <c r="N409" s="47">
        <v>95.0</v>
      </c>
      <c r="O409" s="49">
        <v>225127.0</v>
      </c>
      <c r="P409" s="50">
        <f t="shared" si="14"/>
        <v>0.09655649038</v>
      </c>
      <c r="Q409" s="51">
        <f t="shared" si="15"/>
        <v>10.35663161</v>
      </c>
      <c r="R409" s="50">
        <f t="shared" si="16"/>
        <v>0.5561497326</v>
      </c>
      <c r="S409" s="16"/>
      <c r="T409" s="25"/>
      <c r="U409" s="6"/>
      <c r="V409" s="6"/>
      <c r="W409" s="6"/>
      <c r="X409" s="6"/>
      <c r="Y409" s="6"/>
      <c r="Z409" s="6"/>
    </row>
    <row r="410" outlineLevel="1">
      <c r="A410" s="44" t="str">
        <f t="shared" si="262"/>
        <v>12-2024</v>
      </c>
      <c r="B410" s="34">
        <v>45647.0</v>
      </c>
      <c r="C410" s="45"/>
      <c r="D410" s="46">
        <v>4571.0</v>
      </c>
      <c r="E410" s="47">
        <v>124.0</v>
      </c>
      <c r="F410" s="47">
        <v>121.0</v>
      </c>
      <c r="G410" s="48">
        <f t="shared" si="10"/>
        <v>1.024793388</v>
      </c>
      <c r="H410" s="46">
        <f t="shared" si="263"/>
        <v>37.7768595</v>
      </c>
      <c r="I410" s="46">
        <f t="shared" si="264"/>
        <v>36.86290323</v>
      </c>
      <c r="J410" s="49">
        <v>5195.0</v>
      </c>
      <c r="K410" s="50">
        <f t="shared" si="13"/>
        <v>0.02386910491</v>
      </c>
      <c r="L410" s="46">
        <v>337.72</v>
      </c>
      <c r="M410" s="46">
        <v>2887.0</v>
      </c>
      <c r="N410" s="47">
        <v>77.0</v>
      </c>
      <c r="O410" s="49">
        <v>239519.0</v>
      </c>
      <c r="P410" s="50">
        <f t="shared" si="14"/>
        <v>0.1169795636</v>
      </c>
      <c r="Q410" s="51">
        <f t="shared" si="15"/>
        <v>8.548501717</v>
      </c>
      <c r="R410" s="50">
        <f t="shared" si="16"/>
        <v>0.6315904616</v>
      </c>
      <c r="S410" s="16"/>
      <c r="T410" s="25"/>
      <c r="U410" s="6"/>
      <c r="V410" s="6"/>
      <c r="W410" s="6"/>
      <c r="X410" s="6"/>
      <c r="Y410" s="6"/>
      <c r="Z410" s="6"/>
    </row>
    <row r="411">
      <c r="A411" s="52" t="s">
        <v>147</v>
      </c>
      <c r="B411" s="53"/>
      <c r="C411" s="54"/>
      <c r="D411" s="55">
        <f t="shared" ref="D411:F411" si="265">SUM(D404:D410)</f>
        <v>51404</v>
      </c>
      <c r="E411" s="81">
        <f t="shared" si="265"/>
        <v>1446</v>
      </c>
      <c r="F411" s="81">
        <f t="shared" si="265"/>
        <v>1437</v>
      </c>
      <c r="G411" s="57">
        <f t="shared" si="10"/>
        <v>1.006263048</v>
      </c>
      <c r="H411" s="55">
        <f>AVERAGE(H404:H410)</f>
        <v>35.79469531</v>
      </c>
      <c r="I411" s="58">
        <f>H411/G411</f>
        <v>35.57190675</v>
      </c>
      <c r="J411" s="59">
        <f>SUM(J404:J410)</f>
        <v>52656</v>
      </c>
      <c r="K411" s="60">
        <f t="shared" si="13"/>
        <v>0.02746125798</v>
      </c>
      <c r="L411" s="55">
        <f t="shared" ref="L411:N411" si="266">SUM(L404:L410)</f>
        <v>2813.45</v>
      </c>
      <c r="M411" s="55">
        <f t="shared" si="266"/>
        <v>32071.88</v>
      </c>
      <c r="N411" s="56">
        <f t="shared" si="266"/>
        <v>894</v>
      </c>
      <c r="O411" s="59">
        <f>sum(O404:O410)</f>
        <v>2093311</v>
      </c>
      <c r="P411" s="60">
        <f t="shared" si="14"/>
        <v>0.08772326412</v>
      </c>
      <c r="Q411" s="61">
        <f t="shared" si="15"/>
        <v>11.39948462</v>
      </c>
      <c r="R411" s="62">
        <f t="shared" si="16"/>
        <v>0.623917983</v>
      </c>
      <c r="S411" s="54">
        <f>iferror((D411-D131)/D411,)</f>
        <v>0.56298148</v>
      </c>
      <c r="T411" s="63">
        <f>iferror((F411-E131)/F411,)</f>
        <v>0.5762004175</v>
      </c>
      <c r="U411" s="6"/>
      <c r="V411" s="6"/>
      <c r="W411" s="6"/>
      <c r="X411" s="6"/>
      <c r="Y411" s="6"/>
      <c r="Z411" s="6"/>
    </row>
    <row r="412">
      <c r="A412" s="65" t="str">
        <f t="shared" ref="A412:A418" si="267">iferror(if(B412&gt;0,month(B412)&amp;"-"&amp;year(B412),B412),)</f>
        <v>12-2024</v>
      </c>
      <c r="B412" s="66">
        <v>45648.0</v>
      </c>
      <c r="C412" s="35"/>
      <c r="D412" s="67">
        <v>2385.0</v>
      </c>
      <c r="E412" s="68">
        <v>68.0</v>
      </c>
      <c r="F412" s="68">
        <v>68.0</v>
      </c>
      <c r="G412" s="38">
        <f t="shared" si="10"/>
        <v>1</v>
      </c>
      <c r="H412" s="36">
        <f t="shared" ref="H412:H418" si="268">D412/F412</f>
        <v>35.07352941</v>
      </c>
      <c r="I412" s="36">
        <f t="shared" ref="I412:I418" si="269">D412/E412</f>
        <v>35.07352941</v>
      </c>
      <c r="J412" s="69">
        <v>4564.0</v>
      </c>
      <c r="K412" s="40">
        <f t="shared" si="13"/>
        <v>0.01489921122</v>
      </c>
      <c r="L412" s="67">
        <v>317.87</v>
      </c>
      <c r="M412" s="67">
        <v>1560.0</v>
      </c>
      <c r="N412" s="68">
        <v>48.0</v>
      </c>
      <c r="O412" s="69">
        <v>223827.0</v>
      </c>
      <c r="P412" s="40">
        <f t="shared" si="14"/>
        <v>0.2037628205</v>
      </c>
      <c r="Q412" s="41">
        <f t="shared" si="15"/>
        <v>4.907666656</v>
      </c>
      <c r="R412" s="40">
        <f t="shared" si="16"/>
        <v>0.6540880503</v>
      </c>
      <c r="S412" s="42"/>
      <c r="T412" s="43"/>
      <c r="U412" s="2"/>
      <c r="V412" s="2"/>
      <c r="W412" s="2"/>
      <c r="X412" s="2"/>
      <c r="Y412" s="2"/>
      <c r="Z412" s="2"/>
    </row>
    <row r="413">
      <c r="A413" s="70" t="str">
        <f t="shared" si="267"/>
        <v>12-2024</v>
      </c>
      <c r="B413" s="66">
        <v>45649.0</v>
      </c>
      <c r="C413" s="45"/>
      <c r="D413" s="71">
        <v>1186.0</v>
      </c>
      <c r="E413" s="72">
        <v>31.0</v>
      </c>
      <c r="F413" s="72">
        <v>31.0</v>
      </c>
      <c r="G413" s="48">
        <f t="shared" si="10"/>
        <v>1</v>
      </c>
      <c r="H413" s="46">
        <f t="shared" si="268"/>
        <v>38.25806452</v>
      </c>
      <c r="I413" s="46">
        <f t="shared" si="269"/>
        <v>38.25806452</v>
      </c>
      <c r="J413" s="73">
        <v>2767.0</v>
      </c>
      <c r="K413" s="50">
        <f t="shared" si="13"/>
        <v>0.01120346946</v>
      </c>
      <c r="L413" s="71">
        <v>178.83</v>
      </c>
      <c r="M413" s="71">
        <v>746.0</v>
      </c>
      <c r="N413" s="72">
        <v>22.0</v>
      </c>
      <c r="O413" s="73">
        <v>139288.0</v>
      </c>
      <c r="P413" s="50">
        <f t="shared" si="14"/>
        <v>0.2397184987</v>
      </c>
      <c r="Q413" s="51">
        <f t="shared" si="15"/>
        <v>4.171559582</v>
      </c>
      <c r="R413" s="50">
        <f t="shared" si="16"/>
        <v>0.629005059</v>
      </c>
      <c r="S413" s="16"/>
      <c r="T413" s="25"/>
      <c r="U413" s="2"/>
      <c r="V413" s="2"/>
      <c r="W413" s="2"/>
      <c r="X413" s="2"/>
      <c r="Y413" s="2"/>
      <c r="Z413" s="2"/>
    </row>
    <row r="414">
      <c r="A414" s="70" t="str">
        <f t="shared" si="267"/>
        <v>12-2024</v>
      </c>
      <c r="B414" s="66">
        <v>45650.0</v>
      </c>
      <c r="C414" s="45"/>
      <c r="D414" s="71">
        <v>857.0</v>
      </c>
      <c r="E414" s="72">
        <v>26.0</v>
      </c>
      <c r="F414" s="72">
        <v>26.0</v>
      </c>
      <c r="G414" s="48">
        <f t="shared" si="10"/>
        <v>1</v>
      </c>
      <c r="H414" s="46">
        <f t="shared" si="268"/>
        <v>32.96153846</v>
      </c>
      <c r="I414" s="46">
        <f t="shared" si="269"/>
        <v>32.96153846</v>
      </c>
      <c r="J414" s="73">
        <v>2373.0</v>
      </c>
      <c r="K414" s="50">
        <f t="shared" si="13"/>
        <v>0.01095659503</v>
      </c>
      <c r="L414" s="71">
        <v>153.17</v>
      </c>
      <c r="M414" s="71">
        <v>666.97</v>
      </c>
      <c r="N414" s="72">
        <v>17.0</v>
      </c>
      <c r="O414" s="73">
        <v>107188.0</v>
      </c>
      <c r="P414" s="50">
        <f t="shared" si="14"/>
        <v>0.229650509</v>
      </c>
      <c r="Q414" s="51">
        <f t="shared" si="15"/>
        <v>4.354442776</v>
      </c>
      <c r="R414" s="50">
        <f t="shared" si="16"/>
        <v>0.7782613769</v>
      </c>
      <c r="S414" s="16"/>
      <c r="T414" s="25"/>
      <c r="U414" s="2"/>
      <c r="V414" s="2"/>
      <c r="W414" s="2"/>
      <c r="X414" s="2"/>
      <c r="Y414" s="2"/>
      <c r="Z414" s="2"/>
    </row>
    <row r="415">
      <c r="A415" s="70" t="str">
        <f t="shared" si="267"/>
        <v>12-2024</v>
      </c>
      <c r="B415" s="66">
        <v>45651.0</v>
      </c>
      <c r="C415" s="45"/>
      <c r="D415" s="71">
        <v>2394.0</v>
      </c>
      <c r="E415" s="72">
        <v>63.0</v>
      </c>
      <c r="F415" s="72">
        <v>63.0</v>
      </c>
      <c r="G415" s="48">
        <f t="shared" si="10"/>
        <v>1</v>
      </c>
      <c r="H415" s="46">
        <f t="shared" si="268"/>
        <v>38</v>
      </c>
      <c r="I415" s="46">
        <f t="shared" si="269"/>
        <v>38</v>
      </c>
      <c r="J415" s="73">
        <v>3848.0</v>
      </c>
      <c r="K415" s="50">
        <f t="shared" si="13"/>
        <v>0.01637214137</v>
      </c>
      <c r="L415" s="71">
        <v>225.01</v>
      </c>
      <c r="M415" s="71">
        <v>1548.0</v>
      </c>
      <c r="N415" s="72">
        <v>39.0</v>
      </c>
      <c r="O415" s="73">
        <v>176023.0</v>
      </c>
      <c r="P415" s="50">
        <f t="shared" si="14"/>
        <v>0.1453552972</v>
      </c>
      <c r="Q415" s="51">
        <f t="shared" si="15"/>
        <v>6.879694236</v>
      </c>
      <c r="R415" s="50">
        <f t="shared" si="16"/>
        <v>0.6466165414</v>
      </c>
      <c r="S415" s="16"/>
      <c r="T415" s="25"/>
      <c r="U415" s="2"/>
      <c r="V415" s="2"/>
      <c r="W415" s="2"/>
      <c r="X415" s="2"/>
      <c r="Y415" s="2"/>
      <c r="Z415" s="2"/>
    </row>
    <row r="416">
      <c r="A416" s="70" t="str">
        <f t="shared" si="267"/>
        <v>12-2024</v>
      </c>
      <c r="B416" s="66">
        <v>45652.0</v>
      </c>
      <c r="C416" s="45"/>
      <c r="D416" s="71">
        <v>2869.0</v>
      </c>
      <c r="E416" s="72">
        <v>75.0</v>
      </c>
      <c r="F416" s="72">
        <v>75.0</v>
      </c>
      <c r="G416" s="48">
        <f t="shared" si="10"/>
        <v>1</v>
      </c>
      <c r="H416" s="46">
        <f t="shared" si="268"/>
        <v>38.25333333</v>
      </c>
      <c r="I416" s="46">
        <f t="shared" si="269"/>
        <v>38.25333333</v>
      </c>
      <c r="J416" s="73">
        <v>4781.0</v>
      </c>
      <c r="K416" s="50">
        <f t="shared" si="13"/>
        <v>0.01568709475</v>
      </c>
      <c r="L416" s="71">
        <v>286.19</v>
      </c>
      <c r="M416" s="71">
        <v>1609.0</v>
      </c>
      <c r="N416" s="72">
        <v>41.0</v>
      </c>
      <c r="O416" s="73">
        <v>202033.0</v>
      </c>
      <c r="P416" s="50">
        <f t="shared" si="14"/>
        <v>0.1778682411</v>
      </c>
      <c r="Q416" s="51">
        <f t="shared" si="15"/>
        <v>5.622139138</v>
      </c>
      <c r="R416" s="50">
        <f t="shared" si="16"/>
        <v>0.5608225863</v>
      </c>
      <c r="S416" s="16"/>
      <c r="T416" s="25"/>
      <c r="U416" s="2"/>
      <c r="V416" s="2"/>
      <c r="W416" s="2"/>
      <c r="X416" s="2"/>
      <c r="Y416" s="2"/>
      <c r="Z416" s="2"/>
    </row>
    <row r="417">
      <c r="A417" s="70" t="str">
        <f t="shared" si="267"/>
        <v>12-2024</v>
      </c>
      <c r="B417" s="66">
        <v>45653.0</v>
      </c>
      <c r="C417" s="45"/>
      <c r="D417" s="71">
        <v>1675.0</v>
      </c>
      <c r="E417" s="72">
        <v>45.0</v>
      </c>
      <c r="F417" s="72">
        <v>44.0</v>
      </c>
      <c r="G417" s="48">
        <f t="shared" si="10"/>
        <v>1.022727273</v>
      </c>
      <c r="H417" s="46">
        <f t="shared" si="268"/>
        <v>38.06818182</v>
      </c>
      <c r="I417" s="46">
        <f t="shared" si="269"/>
        <v>37.22222222</v>
      </c>
      <c r="J417" s="73">
        <v>3964.0</v>
      </c>
      <c r="K417" s="50">
        <f t="shared" si="13"/>
        <v>0.01135216953</v>
      </c>
      <c r="L417" s="71">
        <v>217.07</v>
      </c>
      <c r="M417" s="71">
        <v>965.0</v>
      </c>
      <c r="N417" s="72">
        <v>24.0</v>
      </c>
      <c r="O417" s="73">
        <v>166991.0</v>
      </c>
      <c r="P417" s="50">
        <f t="shared" si="14"/>
        <v>0.2249430052</v>
      </c>
      <c r="Q417" s="51">
        <f t="shared" si="15"/>
        <v>4.445570553</v>
      </c>
      <c r="R417" s="50">
        <f t="shared" si="16"/>
        <v>0.576119403</v>
      </c>
      <c r="S417" s="16"/>
      <c r="T417" s="25"/>
      <c r="U417" s="2"/>
      <c r="V417" s="2"/>
      <c r="W417" s="2"/>
      <c r="X417" s="2"/>
      <c r="Y417" s="2"/>
      <c r="Z417" s="2"/>
    </row>
    <row r="418">
      <c r="A418" s="70" t="str">
        <f t="shared" si="267"/>
        <v>12-2024</v>
      </c>
      <c r="B418" s="66">
        <v>45654.0</v>
      </c>
      <c r="C418" s="45"/>
      <c r="D418" s="71">
        <v>1905.0</v>
      </c>
      <c r="E418" s="72">
        <v>53.0</v>
      </c>
      <c r="F418" s="72">
        <v>53.0</v>
      </c>
      <c r="G418" s="48">
        <f t="shared" si="10"/>
        <v>1</v>
      </c>
      <c r="H418" s="46">
        <f t="shared" si="268"/>
        <v>35.94339623</v>
      </c>
      <c r="I418" s="46">
        <f t="shared" si="269"/>
        <v>35.94339623</v>
      </c>
      <c r="J418" s="73">
        <v>4594.0</v>
      </c>
      <c r="K418" s="50">
        <f t="shared" si="13"/>
        <v>0.01153678711</v>
      </c>
      <c r="L418" s="71">
        <v>252.36</v>
      </c>
      <c r="M418" s="71">
        <v>1266.97</v>
      </c>
      <c r="N418" s="72">
        <v>39.0</v>
      </c>
      <c r="O418" s="73">
        <v>184919.0</v>
      </c>
      <c r="P418" s="50">
        <f t="shared" si="14"/>
        <v>0.1991838796</v>
      </c>
      <c r="Q418" s="51">
        <f t="shared" si="15"/>
        <v>5.020486606</v>
      </c>
      <c r="R418" s="50">
        <f t="shared" si="16"/>
        <v>0.6650761155</v>
      </c>
      <c r="S418" s="16"/>
      <c r="T418" s="25"/>
      <c r="U418" s="2"/>
      <c r="V418" s="2"/>
      <c r="W418" s="2"/>
      <c r="X418" s="2"/>
      <c r="Y418" s="2"/>
      <c r="Z418" s="2"/>
    </row>
    <row r="419">
      <c r="A419" s="52" t="s">
        <v>44</v>
      </c>
      <c r="B419" s="53"/>
      <c r="C419" s="54"/>
      <c r="D419" s="55">
        <f t="shared" ref="D419:F419" si="270">SUM(D412:D418)</f>
        <v>13271</v>
      </c>
      <c r="E419" s="81">
        <f t="shared" si="270"/>
        <v>361</v>
      </c>
      <c r="F419" s="81">
        <f t="shared" si="270"/>
        <v>360</v>
      </c>
      <c r="G419" s="75">
        <f t="shared" si="10"/>
        <v>1.002777778</v>
      </c>
      <c r="H419" s="55">
        <f>AVERAGE(H412:H418)</f>
        <v>36.65114911</v>
      </c>
      <c r="I419" s="76">
        <f>H419/G419</f>
        <v>36.54962238</v>
      </c>
      <c r="J419" s="59">
        <f>SUM(J412:J418)</f>
        <v>26891</v>
      </c>
      <c r="K419" s="60">
        <f t="shared" si="13"/>
        <v>0.01342456584</v>
      </c>
      <c r="L419" s="55">
        <f t="shared" ref="L419:N419" si="271">SUM(L412:L418)</f>
        <v>1630.5</v>
      </c>
      <c r="M419" s="55">
        <f t="shared" si="271"/>
        <v>8361.94</v>
      </c>
      <c r="N419" s="74">
        <f t="shared" si="271"/>
        <v>230</v>
      </c>
      <c r="O419" s="77">
        <f>sum(O412:O418)</f>
        <v>1200269</v>
      </c>
      <c r="P419" s="60">
        <f t="shared" si="14"/>
        <v>0.1949906361</v>
      </c>
      <c r="Q419" s="78">
        <f t="shared" si="15"/>
        <v>5.128451395</v>
      </c>
      <c r="R419" s="62">
        <f t="shared" si="16"/>
        <v>0.6300911762</v>
      </c>
      <c r="S419" s="54">
        <f>iferror((D419-D131)/D419,)</f>
        <v>-0.6927511114</v>
      </c>
      <c r="T419" s="63">
        <f>iferror((F419-E131)/F419,)</f>
        <v>-0.6916666667</v>
      </c>
      <c r="U419" s="6"/>
      <c r="V419" s="6"/>
      <c r="W419" s="7"/>
      <c r="X419" s="7"/>
      <c r="Y419" s="7"/>
      <c r="Z419" s="7"/>
    </row>
    <row r="420">
      <c r="A420" s="65" t="str">
        <f t="shared" ref="A420:A426" si="272">iferror(if(B420&gt;0,month(B420)&amp;"-"&amp;year(B420),B420),)</f>
        <v>12-2024</v>
      </c>
      <c r="B420" s="66">
        <v>45655.0</v>
      </c>
      <c r="C420" s="35"/>
      <c r="D420" s="67">
        <v>1649.0</v>
      </c>
      <c r="E420" s="68">
        <v>47.0</v>
      </c>
      <c r="F420" s="68">
        <v>47.0</v>
      </c>
      <c r="G420" s="38">
        <f t="shared" si="10"/>
        <v>1</v>
      </c>
      <c r="H420" s="36">
        <f t="shared" ref="H420:H426" si="273">D420/F420</f>
        <v>35.08510638</v>
      </c>
      <c r="I420" s="36">
        <f t="shared" ref="I420:I426" si="274">D420/E420</f>
        <v>35.08510638</v>
      </c>
      <c r="J420" s="69">
        <v>4463.0</v>
      </c>
      <c r="K420" s="40">
        <f t="shared" si="13"/>
        <v>0.01053103294</v>
      </c>
      <c r="L420" s="67">
        <v>241.31</v>
      </c>
      <c r="M420" s="67">
        <v>1529.0</v>
      </c>
      <c r="N420" s="68">
        <v>38.0</v>
      </c>
      <c r="O420" s="69">
        <v>195626.0</v>
      </c>
      <c r="P420" s="40">
        <f t="shared" si="14"/>
        <v>0.157822106</v>
      </c>
      <c r="Q420" s="41">
        <f t="shared" si="15"/>
        <v>6.33624798</v>
      </c>
      <c r="R420" s="40">
        <f t="shared" si="16"/>
        <v>0.9272286234</v>
      </c>
      <c r="S420" s="42"/>
      <c r="T420" s="43"/>
      <c r="U420" s="2"/>
      <c r="V420" s="2"/>
      <c r="W420" s="2"/>
      <c r="X420" s="2"/>
      <c r="Y420" s="2"/>
      <c r="Z420" s="2"/>
    </row>
    <row r="421">
      <c r="A421" s="70" t="str">
        <f t="shared" si="272"/>
        <v>12-2024</v>
      </c>
      <c r="B421" s="66">
        <v>45656.0</v>
      </c>
      <c r="C421" s="45"/>
      <c r="D421" s="71">
        <v>1374.0</v>
      </c>
      <c r="E421" s="72">
        <v>32.0</v>
      </c>
      <c r="F421" s="72">
        <v>31.0</v>
      </c>
      <c r="G421" s="48">
        <f t="shared" si="10"/>
        <v>1.032258065</v>
      </c>
      <c r="H421" s="46">
        <f t="shared" si="273"/>
        <v>44.32258065</v>
      </c>
      <c r="I421" s="46">
        <f t="shared" si="274"/>
        <v>42.9375</v>
      </c>
      <c r="J421" s="73">
        <v>3581.0</v>
      </c>
      <c r="K421" s="50">
        <f t="shared" si="13"/>
        <v>0.008936051382</v>
      </c>
      <c r="L421" s="71">
        <v>158.62</v>
      </c>
      <c r="M421" s="71">
        <v>990.94</v>
      </c>
      <c r="N421" s="72">
        <v>24.0</v>
      </c>
      <c r="O421" s="73">
        <v>150233.0</v>
      </c>
      <c r="P421" s="50">
        <f t="shared" si="14"/>
        <v>0.1600702363</v>
      </c>
      <c r="Q421" s="51">
        <f t="shared" si="15"/>
        <v>6.247257597</v>
      </c>
      <c r="R421" s="50">
        <f t="shared" si="16"/>
        <v>0.7212081514</v>
      </c>
      <c r="S421" s="16"/>
      <c r="T421" s="25"/>
      <c r="U421" s="2"/>
      <c r="V421" s="2"/>
      <c r="W421" s="2"/>
      <c r="X421" s="2"/>
      <c r="Y421" s="2"/>
      <c r="Z421" s="2"/>
    </row>
    <row r="422">
      <c r="A422" s="70" t="str">
        <f t="shared" si="272"/>
        <v>12-2024</v>
      </c>
      <c r="B422" s="66">
        <v>45657.0</v>
      </c>
      <c r="C422" s="45"/>
      <c r="D422" s="71">
        <v>952.0</v>
      </c>
      <c r="E422" s="72">
        <v>27.0</v>
      </c>
      <c r="F422" s="72">
        <v>27.0</v>
      </c>
      <c r="G422" s="48">
        <f t="shared" si="10"/>
        <v>1</v>
      </c>
      <c r="H422" s="46">
        <f t="shared" si="273"/>
        <v>35.25925926</v>
      </c>
      <c r="I422" s="46">
        <f t="shared" si="274"/>
        <v>35.25925926</v>
      </c>
      <c r="J422" s="73">
        <v>2503.0</v>
      </c>
      <c r="K422" s="50">
        <f t="shared" si="13"/>
        <v>0.01078705553</v>
      </c>
      <c r="L422" s="71">
        <v>112.77</v>
      </c>
      <c r="M422" s="71">
        <v>675.0</v>
      </c>
      <c r="N422" s="72">
        <v>19.0</v>
      </c>
      <c r="O422" s="73">
        <v>106987.0</v>
      </c>
      <c r="P422" s="50">
        <f t="shared" si="14"/>
        <v>0.1670666667</v>
      </c>
      <c r="Q422" s="51">
        <f t="shared" si="15"/>
        <v>5.985634477</v>
      </c>
      <c r="R422" s="50">
        <f t="shared" si="16"/>
        <v>0.7090336134</v>
      </c>
      <c r="S422" s="16"/>
      <c r="T422" s="25"/>
      <c r="U422" s="2"/>
      <c r="V422" s="2"/>
      <c r="W422" s="2"/>
      <c r="X422" s="2"/>
      <c r="Y422" s="2"/>
      <c r="Z422" s="2"/>
    </row>
    <row r="423">
      <c r="A423" s="70" t="str">
        <f t="shared" si="272"/>
        <v>1-2025</v>
      </c>
      <c r="B423" s="66">
        <v>45658.0</v>
      </c>
      <c r="C423" s="45"/>
      <c r="D423" s="71">
        <v>1445.0</v>
      </c>
      <c r="E423" s="72">
        <v>43.0</v>
      </c>
      <c r="F423" s="72">
        <v>43.0</v>
      </c>
      <c r="G423" s="48">
        <f t="shared" si="10"/>
        <v>1</v>
      </c>
      <c r="H423" s="46">
        <f t="shared" si="273"/>
        <v>33.60465116</v>
      </c>
      <c r="I423" s="46">
        <f t="shared" si="274"/>
        <v>33.60465116</v>
      </c>
      <c r="J423" s="73">
        <v>3403.0</v>
      </c>
      <c r="K423" s="50">
        <f t="shared" si="13"/>
        <v>0.01263590949</v>
      </c>
      <c r="L423" s="71">
        <v>193.84</v>
      </c>
      <c r="M423" s="71">
        <v>925.0</v>
      </c>
      <c r="N423" s="72">
        <v>29.0</v>
      </c>
      <c r="O423" s="73">
        <v>159822.0</v>
      </c>
      <c r="P423" s="50">
        <f t="shared" si="14"/>
        <v>0.2095567568</v>
      </c>
      <c r="Q423" s="51">
        <f t="shared" si="15"/>
        <v>4.771976888</v>
      </c>
      <c r="R423" s="50">
        <f t="shared" si="16"/>
        <v>0.6401384083</v>
      </c>
      <c r="S423" s="16"/>
      <c r="T423" s="25"/>
      <c r="U423" s="2"/>
      <c r="V423" s="2"/>
      <c r="W423" s="2"/>
      <c r="X423" s="2"/>
      <c r="Y423" s="2"/>
      <c r="Z423" s="2"/>
    </row>
    <row r="424">
      <c r="A424" s="70" t="str">
        <f t="shared" si="272"/>
        <v>1-2025</v>
      </c>
      <c r="B424" s="66">
        <v>45659.0</v>
      </c>
      <c r="C424" s="45"/>
      <c r="D424" s="71">
        <v>1159.0</v>
      </c>
      <c r="E424" s="72">
        <v>32.0</v>
      </c>
      <c r="F424" s="72">
        <v>32.0</v>
      </c>
      <c r="G424" s="48">
        <f t="shared" si="10"/>
        <v>1</v>
      </c>
      <c r="H424" s="46">
        <f t="shared" si="273"/>
        <v>36.21875</v>
      </c>
      <c r="I424" s="46">
        <f t="shared" si="274"/>
        <v>36.21875</v>
      </c>
      <c r="J424" s="73">
        <v>3160.0</v>
      </c>
      <c r="K424" s="50">
        <f t="shared" si="13"/>
        <v>0.01012658228</v>
      </c>
      <c r="L424" s="71">
        <v>153.45</v>
      </c>
      <c r="M424" s="71">
        <v>569.0</v>
      </c>
      <c r="N424" s="72">
        <v>15.0</v>
      </c>
      <c r="O424" s="73">
        <v>145092.0</v>
      </c>
      <c r="P424" s="50">
        <f t="shared" si="14"/>
        <v>0.2696836555</v>
      </c>
      <c r="Q424" s="51">
        <f t="shared" si="15"/>
        <v>3.708048224</v>
      </c>
      <c r="R424" s="50">
        <f t="shared" si="16"/>
        <v>0.4909404659</v>
      </c>
      <c r="S424" s="16"/>
      <c r="T424" s="25"/>
      <c r="U424" s="2"/>
      <c r="V424" s="2"/>
      <c r="W424" s="2"/>
      <c r="X424" s="2"/>
      <c r="Y424" s="2"/>
      <c r="Z424" s="2"/>
    </row>
    <row r="425">
      <c r="A425" s="70" t="str">
        <f t="shared" si="272"/>
        <v>1-2025</v>
      </c>
      <c r="B425" s="66">
        <v>45660.0</v>
      </c>
      <c r="C425" s="45"/>
      <c r="D425" s="71">
        <v>1699.0</v>
      </c>
      <c r="E425" s="72">
        <v>51.0</v>
      </c>
      <c r="F425" s="72">
        <v>51.0</v>
      </c>
      <c r="G425" s="48">
        <f t="shared" si="10"/>
        <v>1</v>
      </c>
      <c r="H425" s="46">
        <f t="shared" si="273"/>
        <v>33.31372549</v>
      </c>
      <c r="I425" s="46">
        <f t="shared" si="274"/>
        <v>33.31372549</v>
      </c>
      <c r="J425" s="73">
        <v>2932.0</v>
      </c>
      <c r="K425" s="50">
        <f t="shared" si="13"/>
        <v>0.01739427012</v>
      </c>
      <c r="L425" s="71">
        <v>157.79</v>
      </c>
      <c r="M425" s="71">
        <v>1179.0</v>
      </c>
      <c r="N425" s="72">
        <v>37.0</v>
      </c>
      <c r="O425" s="73">
        <v>137010.0</v>
      </c>
      <c r="P425" s="50">
        <f t="shared" si="14"/>
        <v>0.1338337574</v>
      </c>
      <c r="Q425" s="51">
        <f t="shared" si="15"/>
        <v>7.471956398</v>
      </c>
      <c r="R425" s="50">
        <f t="shared" si="16"/>
        <v>0.6939376104</v>
      </c>
      <c r="S425" s="16"/>
      <c r="T425" s="25"/>
      <c r="U425" s="2"/>
      <c r="V425" s="2"/>
      <c r="W425" s="2"/>
      <c r="X425" s="2"/>
      <c r="Y425" s="2"/>
      <c r="Z425" s="2"/>
    </row>
    <row r="426">
      <c r="A426" s="70" t="str">
        <f t="shared" si="272"/>
        <v>1-2025</v>
      </c>
      <c r="B426" s="66">
        <v>45661.0</v>
      </c>
      <c r="C426" s="45"/>
      <c r="D426" s="71">
        <v>1274.0</v>
      </c>
      <c r="E426" s="72">
        <v>35.0</v>
      </c>
      <c r="F426" s="72">
        <v>35.0</v>
      </c>
      <c r="G426" s="48">
        <f t="shared" si="10"/>
        <v>1</v>
      </c>
      <c r="H426" s="46">
        <f t="shared" si="273"/>
        <v>36.4</v>
      </c>
      <c r="I426" s="46">
        <f t="shared" si="274"/>
        <v>36.4</v>
      </c>
      <c r="J426" s="73">
        <v>3414.0</v>
      </c>
      <c r="K426" s="50">
        <f t="shared" si="13"/>
        <v>0.01025190393</v>
      </c>
      <c r="L426" s="71">
        <v>200.8</v>
      </c>
      <c r="M426" s="71">
        <v>1146.0</v>
      </c>
      <c r="N426" s="72">
        <v>34.0</v>
      </c>
      <c r="O426" s="73">
        <v>164979.0</v>
      </c>
      <c r="P426" s="50">
        <f t="shared" si="14"/>
        <v>0.1752181501</v>
      </c>
      <c r="Q426" s="51">
        <f t="shared" si="15"/>
        <v>5.707171315</v>
      </c>
      <c r="R426" s="50">
        <f t="shared" si="16"/>
        <v>0.8995290424</v>
      </c>
      <c r="S426" s="16"/>
      <c r="T426" s="25"/>
      <c r="U426" s="2"/>
      <c r="V426" s="2"/>
      <c r="W426" s="2"/>
      <c r="X426" s="2"/>
      <c r="Y426" s="2"/>
      <c r="Z426" s="2"/>
    </row>
    <row r="427">
      <c r="A427" s="74" t="s">
        <v>45</v>
      </c>
      <c r="B427" s="53"/>
      <c r="C427" s="54"/>
      <c r="D427" s="55">
        <f t="shared" ref="D427:F427" si="275">SUM(D420:D426)</f>
        <v>9552</v>
      </c>
      <c r="E427" s="74">
        <f t="shared" si="275"/>
        <v>267</v>
      </c>
      <c r="F427" s="74">
        <f t="shared" si="275"/>
        <v>266</v>
      </c>
      <c r="G427" s="75">
        <f t="shared" si="10"/>
        <v>1.003759398</v>
      </c>
      <c r="H427" s="55">
        <f>AVERAGE(H420:H426)</f>
        <v>36.31486756</v>
      </c>
      <c r="I427" s="76">
        <f>H427/G427</f>
        <v>36.17885682</v>
      </c>
      <c r="J427" s="59">
        <f>SUM(J420:J426)</f>
        <v>23456</v>
      </c>
      <c r="K427" s="60">
        <f t="shared" si="13"/>
        <v>0.01138301501</v>
      </c>
      <c r="L427" s="55">
        <f t="shared" ref="L427:N427" si="276">SUM(L420:L426)</f>
        <v>1218.58</v>
      </c>
      <c r="M427" s="55">
        <f t="shared" si="276"/>
        <v>7013.94</v>
      </c>
      <c r="N427" s="74">
        <f t="shared" si="276"/>
        <v>196</v>
      </c>
      <c r="O427" s="77">
        <f>sum(O420:O426)</f>
        <v>1059749</v>
      </c>
      <c r="P427" s="60">
        <f t="shared" si="14"/>
        <v>0.1737368726</v>
      </c>
      <c r="Q427" s="78">
        <f t="shared" si="15"/>
        <v>5.755830557</v>
      </c>
      <c r="R427" s="62">
        <f t="shared" si="16"/>
        <v>0.734290201</v>
      </c>
      <c r="S427" s="54">
        <f>iferror((D427-D139)/D427,)</f>
        <v>-1.146000838</v>
      </c>
      <c r="T427" s="63">
        <f>iferror((F427-E139)/F427,)</f>
        <v>-1.120300752</v>
      </c>
      <c r="U427" s="6"/>
      <c r="V427" s="6"/>
      <c r="W427" s="7"/>
      <c r="X427" s="7"/>
      <c r="Y427" s="7"/>
      <c r="Z427" s="7"/>
    </row>
    <row r="428">
      <c r="A428" s="6"/>
      <c r="B428" s="6"/>
      <c r="C428" s="6"/>
      <c r="D428" s="6"/>
      <c r="E428" s="6"/>
      <c r="F428" s="6"/>
      <c r="G428" s="6"/>
      <c r="H428" s="6"/>
      <c r="I428" s="6"/>
      <c r="J428" s="6"/>
      <c r="K428" s="6"/>
      <c r="L428" s="80"/>
      <c r="M428" s="80"/>
      <c r="N428" s="80"/>
      <c r="O428" s="80"/>
      <c r="P428" s="6"/>
      <c r="Q428" s="6"/>
      <c r="R428" s="6"/>
      <c r="S428" s="6"/>
      <c r="T428" s="6"/>
      <c r="U428" s="6"/>
      <c r="V428" s="6"/>
      <c r="W428" s="7"/>
      <c r="X428" s="7"/>
      <c r="Y428" s="7"/>
      <c r="Z428" s="7"/>
    </row>
    <row r="429">
      <c r="A429" s="6"/>
      <c r="B429" s="6"/>
      <c r="C429" s="6"/>
      <c r="D429" s="6"/>
      <c r="E429" s="6"/>
      <c r="F429" s="6"/>
      <c r="G429" s="6"/>
      <c r="H429" s="6"/>
      <c r="I429" s="6"/>
      <c r="J429" s="6"/>
      <c r="K429" s="6"/>
      <c r="L429" s="80"/>
      <c r="M429" s="80"/>
      <c r="N429" s="80"/>
      <c r="O429" s="80"/>
      <c r="P429" s="6"/>
      <c r="Q429" s="6"/>
      <c r="R429" s="6"/>
      <c r="S429" s="6"/>
      <c r="T429" s="6"/>
      <c r="U429" s="6"/>
      <c r="V429" s="6"/>
      <c r="W429" s="7"/>
      <c r="X429" s="7"/>
      <c r="Y429" s="7"/>
      <c r="Z429" s="7"/>
    </row>
    <row r="430">
      <c r="A430" s="6"/>
      <c r="B430" s="6"/>
      <c r="C430" s="6"/>
      <c r="D430" s="6"/>
      <c r="E430" s="6"/>
      <c r="F430" s="6"/>
      <c r="G430" s="6"/>
      <c r="H430" s="6"/>
      <c r="I430" s="6"/>
      <c r="J430" s="6"/>
      <c r="K430" s="6"/>
      <c r="L430" s="80"/>
      <c r="M430" s="80"/>
      <c r="N430" s="80"/>
      <c r="O430" s="80"/>
      <c r="P430" s="6"/>
      <c r="Q430" s="6"/>
      <c r="R430" s="6"/>
      <c r="S430" s="6"/>
      <c r="T430" s="6"/>
      <c r="U430" s="6"/>
      <c r="V430" s="6"/>
      <c r="W430" s="7"/>
      <c r="X430" s="7"/>
      <c r="Y430" s="7"/>
      <c r="Z430" s="7"/>
    </row>
    <row r="431">
      <c r="A431" s="6"/>
      <c r="B431" s="6"/>
      <c r="C431" s="6"/>
      <c r="D431" s="6"/>
      <c r="E431" s="6"/>
      <c r="F431" s="6"/>
      <c r="G431" s="6"/>
      <c r="H431" s="6"/>
      <c r="I431" s="6"/>
      <c r="J431" s="6"/>
      <c r="K431" s="6"/>
      <c r="L431" s="80"/>
      <c r="M431" s="80"/>
      <c r="N431" s="80"/>
      <c r="O431" s="80"/>
      <c r="P431" s="6"/>
      <c r="Q431" s="6"/>
      <c r="R431" s="6"/>
      <c r="S431" s="6"/>
      <c r="T431" s="6"/>
      <c r="U431" s="6"/>
      <c r="V431" s="6"/>
      <c r="W431" s="7"/>
      <c r="X431" s="7"/>
      <c r="Y431" s="7"/>
      <c r="Z431" s="7"/>
    </row>
    <row r="432">
      <c r="A432" s="6"/>
      <c r="B432" s="6"/>
      <c r="C432" s="6"/>
      <c r="D432" s="6"/>
      <c r="E432" s="6"/>
      <c r="F432" s="6"/>
      <c r="G432" s="6"/>
      <c r="H432" s="6"/>
      <c r="I432" s="6"/>
      <c r="J432" s="6"/>
      <c r="K432" s="6"/>
      <c r="L432" s="80"/>
      <c r="M432" s="80"/>
      <c r="N432" s="80"/>
      <c r="O432" s="80"/>
      <c r="P432" s="6"/>
      <c r="Q432" s="6"/>
      <c r="R432" s="6"/>
      <c r="S432" s="6"/>
      <c r="T432" s="6"/>
      <c r="U432" s="6"/>
      <c r="V432" s="6"/>
      <c r="W432" s="7"/>
      <c r="X432" s="7"/>
      <c r="Y432" s="7"/>
      <c r="Z432" s="7"/>
    </row>
    <row r="433">
      <c r="A433" s="6"/>
      <c r="B433" s="6"/>
      <c r="C433" s="6"/>
      <c r="D433" s="6"/>
      <c r="E433" s="6"/>
      <c r="F433" s="6"/>
      <c r="G433" s="6"/>
      <c r="H433" s="6"/>
      <c r="I433" s="6"/>
      <c r="J433" s="6"/>
      <c r="K433" s="6"/>
      <c r="L433" s="80"/>
      <c r="M433" s="80"/>
      <c r="N433" s="80"/>
      <c r="O433" s="80"/>
      <c r="P433" s="6"/>
      <c r="Q433" s="6"/>
      <c r="R433" s="6"/>
      <c r="S433" s="6"/>
      <c r="T433" s="6"/>
      <c r="U433" s="6"/>
      <c r="V433" s="6"/>
      <c r="W433" s="7"/>
      <c r="X433" s="7"/>
      <c r="Y433" s="7"/>
      <c r="Z433" s="7"/>
    </row>
    <row r="434">
      <c r="A434" s="6"/>
      <c r="B434" s="6"/>
      <c r="C434" s="6"/>
      <c r="D434" s="6"/>
      <c r="E434" s="6"/>
      <c r="F434" s="6"/>
      <c r="G434" s="6"/>
      <c r="H434" s="6"/>
      <c r="I434" s="6"/>
      <c r="J434" s="6"/>
      <c r="K434" s="6"/>
      <c r="L434" s="80"/>
      <c r="M434" s="80"/>
      <c r="N434" s="80"/>
      <c r="O434" s="80"/>
      <c r="P434" s="6"/>
      <c r="Q434" s="6"/>
      <c r="R434" s="6"/>
      <c r="S434" s="6"/>
      <c r="T434" s="6"/>
      <c r="U434" s="6"/>
      <c r="V434" s="6"/>
      <c r="W434" s="7"/>
      <c r="X434" s="7"/>
      <c r="Y434" s="7"/>
      <c r="Z434" s="7"/>
    </row>
    <row r="435">
      <c r="A435" s="6"/>
      <c r="B435" s="6"/>
      <c r="C435" s="6"/>
      <c r="D435" s="6"/>
      <c r="E435" s="6"/>
      <c r="F435" s="6"/>
      <c r="G435" s="6"/>
      <c r="H435" s="6"/>
      <c r="I435" s="6"/>
      <c r="J435" s="6"/>
      <c r="K435" s="6"/>
      <c r="L435" s="80"/>
      <c r="M435" s="80"/>
      <c r="N435" s="80"/>
      <c r="O435" s="80"/>
      <c r="P435" s="6"/>
      <c r="Q435" s="6"/>
      <c r="R435" s="6"/>
      <c r="S435" s="6"/>
      <c r="T435" s="6"/>
      <c r="U435" s="6"/>
      <c r="V435" s="6"/>
      <c r="W435" s="7"/>
      <c r="X435" s="7"/>
      <c r="Y435" s="7"/>
      <c r="Z435" s="7"/>
    </row>
    <row r="436">
      <c r="A436" s="6"/>
      <c r="B436" s="6"/>
      <c r="C436" s="6"/>
      <c r="D436" s="6"/>
      <c r="E436" s="6"/>
      <c r="F436" s="6"/>
      <c r="G436" s="6"/>
      <c r="H436" s="6"/>
      <c r="I436" s="6"/>
      <c r="J436" s="6"/>
      <c r="K436" s="6"/>
      <c r="L436" s="80"/>
      <c r="M436" s="80"/>
      <c r="N436" s="80"/>
      <c r="O436" s="80"/>
      <c r="P436" s="6"/>
      <c r="Q436" s="6"/>
      <c r="R436" s="6"/>
      <c r="S436" s="6"/>
      <c r="T436" s="6"/>
      <c r="U436" s="6"/>
      <c r="V436" s="6"/>
      <c r="W436" s="7"/>
      <c r="X436" s="7"/>
      <c r="Y436" s="7"/>
      <c r="Z436" s="7"/>
    </row>
    <row r="437">
      <c r="A437" s="6"/>
      <c r="B437" s="6"/>
      <c r="C437" s="6"/>
      <c r="D437" s="6"/>
      <c r="E437" s="6"/>
      <c r="F437" s="6"/>
      <c r="G437" s="6"/>
      <c r="H437" s="6"/>
      <c r="I437" s="6"/>
      <c r="J437" s="6"/>
      <c r="K437" s="6"/>
      <c r="L437" s="80"/>
      <c r="M437" s="80"/>
      <c r="N437" s="80"/>
      <c r="O437" s="80"/>
      <c r="P437" s="6"/>
      <c r="Q437" s="6"/>
      <c r="R437" s="6"/>
      <c r="S437" s="6"/>
      <c r="T437" s="6"/>
      <c r="U437" s="6"/>
      <c r="V437" s="6"/>
      <c r="W437" s="7"/>
      <c r="X437" s="7"/>
      <c r="Y437" s="7"/>
      <c r="Z437" s="7"/>
    </row>
    <row r="438">
      <c r="A438" s="6"/>
      <c r="B438" s="6"/>
      <c r="C438" s="6"/>
      <c r="D438" s="6"/>
      <c r="E438" s="6"/>
      <c r="F438" s="6"/>
      <c r="G438" s="6"/>
      <c r="H438" s="6"/>
      <c r="I438" s="6"/>
      <c r="J438" s="6"/>
      <c r="K438" s="6"/>
      <c r="L438" s="80"/>
      <c r="M438" s="80"/>
      <c r="N438" s="80"/>
      <c r="O438" s="80"/>
      <c r="P438" s="6"/>
      <c r="Q438" s="6"/>
      <c r="R438" s="6"/>
      <c r="S438" s="6"/>
      <c r="T438" s="6"/>
      <c r="U438" s="6"/>
      <c r="V438" s="6"/>
      <c r="W438" s="7"/>
      <c r="X438" s="7"/>
      <c r="Y438" s="7"/>
      <c r="Z438" s="7"/>
    </row>
    <row r="439">
      <c r="A439" s="6"/>
      <c r="B439" s="6"/>
      <c r="C439" s="6"/>
      <c r="D439" s="6"/>
      <c r="E439" s="6"/>
      <c r="F439" s="6"/>
      <c r="G439" s="6"/>
      <c r="H439" s="6"/>
      <c r="I439" s="6"/>
      <c r="J439" s="6"/>
      <c r="K439" s="6"/>
      <c r="L439" s="80"/>
      <c r="M439" s="80"/>
      <c r="N439" s="80"/>
      <c r="O439" s="80"/>
      <c r="P439" s="6"/>
      <c r="Q439" s="6"/>
      <c r="R439" s="6"/>
      <c r="S439" s="6"/>
      <c r="T439" s="6"/>
      <c r="U439" s="6"/>
      <c r="V439" s="6"/>
      <c r="W439" s="7"/>
      <c r="X439" s="7"/>
      <c r="Y439" s="7"/>
      <c r="Z439" s="7"/>
    </row>
    <row r="440">
      <c r="A440" s="6"/>
      <c r="B440" s="6"/>
      <c r="C440" s="6"/>
      <c r="D440" s="6"/>
      <c r="E440" s="6"/>
      <c r="F440" s="6"/>
      <c r="G440" s="6"/>
      <c r="H440" s="6"/>
      <c r="I440" s="6"/>
      <c r="J440" s="6"/>
      <c r="K440" s="6"/>
      <c r="L440" s="80"/>
      <c r="M440" s="80"/>
      <c r="N440" s="80"/>
      <c r="O440" s="80"/>
      <c r="P440" s="6"/>
      <c r="Q440" s="6"/>
      <c r="R440" s="6"/>
      <c r="S440" s="6"/>
      <c r="T440" s="6"/>
      <c r="U440" s="6"/>
      <c r="V440" s="6"/>
      <c r="W440" s="7"/>
      <c r="X440" s="7"/>
      <c r="Y440" s="7"/>
      <c r="Z440" s="7"/>
    </row>
    <row r="441">
      <c r="A441" s="6"/>
      <c r="B441" s="6"/>
      <c r="C441" s="6"/>
      <c r="D441" s="6"/>
      <c r="E441" s="6"/>
      <c r="F441" s="6"/>
      <c r="G441" s="6"/>
      <c r="H441" s="6"/>
      <c r="I441" s="6"/>
      <c r="J441" s="6"/>
      <c r="K441" s="6"/>
      <c r="L441" s="80"/>
      <c r="M441" s="80"/>
      <c r="N441" s="80"/>
      <c r="O441" s="80"/>
      <c r="P441" s="6"/>
      <c r="Q441" s="6"/>
      <c r="R441" s="6"/>
      <c r="S441" s="6"/>
      <c r="T441" s="6"/>
      <c r="U441" s="6"/>
      <c r="V441" s="6"/>
      <c r="W441" s="7"/>
      <c r="X441" s="7"/>
      <c r="Y441" s="7"/>
      <c r="Z441" s="7"/>
    </row>
    <row r="442">
      <c r="A442" s="6"/>
      <c r="B442" s="6"/>
      <c r="C442" s="6"/>
      <c r="D442" s="6"/>
      <c r="E442" s="6"/>
      <c r="F442" s="6"/>
      <c r="G442" s="6"/>
      <c r="H442" s="6"/>
      <c r="I442" s="6"/>
      <c r="J442" s="6"/>
      <c r="K442" s="6"/>
      <c r="L442" s="80"/>
      <c r="M442" s="80"/>
      <c r="N442" s="80"/>
      <c r="O442" s="80"/>
      <c r="P442" s="6"/>
      <c r="Q442" s="6"/>
      <c r="R442" s="6"/>
      <c r="S442" s="6"/>
      <c r="T442" s="6"/>
      <c r="U442" s="6"/>
      <c r="V442" s="6"/>
      <c r="W442" s="7"/>
      <c r="X442" s="7"/>
      <c r="Y442" s="7"/>
      <c r="Z442" s="7"/>
    </row>
    <row r="443">
      <c r="A443" s="6"/>
      <c r="B443" s="6"/>
      <c r="C443" s="6"/>
      <c r="D443" s="6"/>
      <c r="E443" s="6"/>
      <c r="F443" s="6"/>
      <c r="G443" s="6"/>
      <c r="H443" s="6"/>
      <c r="I443" s="6"/>
      <c r="J443" s="6"/>
      <c r="K443" s="6"/>
      <c r="L443" s="80"/>
      <c r="M443" s="80"/>
      <c r="N443" s="80"/>
      <c r="O443" s="80"/>
      <c r="P443" s="6"/>
      <c r="Q443" s="6"/>
      <c r="R443" s="6"/>
      <c r="S443" s="6"/>
      <c r="T443" s="6"/>
      <c r="U443" s="6"/>
      <c r="V443" s="6"/>
      <c r="W443" s="7"/>
      <c r="X443" s="7"/>
      <c r="Y443" s="7"/>
      <c r="Z443" s="7"/>
    </row>
    <row r="444">
      <c r="A444" s="6"/>
      <c r="B444" s="6"/>
      <c r="C444" s="6"/>
      <c r="D444" s="6"/>
      <c r="E444" s="6"/>
      <c r="F444" s="6"/>
      <c r="G444" s="6"/>
      <c r="H444" s="6"/>
      <c r="I444" s="6"/>
      <c r="J444" s="6"/>
      <c r="K444" s="6"/>
      <c r="L444" s="80"/>
      <c r="M444" s="80"/>
      <c r="N444" s="80"/>
      <c r="O444" s="80"/>
      <c r="P444" s="6"/>
      <c r="Q444" s="6"/>
      <c r="R444" s="6"/>
      <c r="S444" s="6"/>
      <c r="T444" s="6"/>
      <c r="U444" s="6"/>
      <c r="V444" s="6"/>
      <c r="W444" s="7"/>
      <c r="X444" s="7"/>
      <c r="Y444" s="7"/>
      <c r="Z444" s="7"/>
    </row>
    <row r="445">
      <c r="A445" s="6"/>
      <c r="B445" s="6"/>
      <c r="C445" s="6"/>
      <c r="D445" s="6"/>
      <c r="E445" s="6"/>
      <c r="F445" s="6"/>
      <c r="G445" s="6"/>
      <c r="H445" s="6"/>
      <c r="I445" s="6"/>
      <c r="J445" s="6"/>
      <c r="K445" s="6"/>
      <c r="L445" s="80"/>
      <c r="M445" s="80"/>
      <c r="N445" s="80"/>
      <c r="O445" s="80"/>
      <c r="P445" s="6"/>
      <c r="Q445" s="6"/>
      <c r="R445" s="6"/>
      <c r="S445" s="6"/>
      <c r="T445" s="6"/>
      <c r="U445" s="6"/>
      <c r="V445" s="6"/>
      <c r="W445" s="7"/>
      <c r="X445" s="7"/>
      <c r="Y445" s="7"/>
      <c r="Z445" s="7"/>
    </row>
    <row r="446">
      <c r="A446" s="6"/>
      <c r="B446" s="6"/>
      <c r="C446" s="6"/>
      <c r="D446" s="6"/>
      <c r="E446" s="6"/>
      <c r="F446" s="6"/>
      <c r="G446" s="6"/>
      <c r="H446" s="6"/>
      <c r="I446" s="6"/>
      <c r="J446" s="6"/>
      <c r="K446" s="6"/>
      <c r="L446" s="80"/>
      <c r="M446" s="80"/>
      <c r="N446" s="80"/>
      <c r="O446" s="80"/>
      <c r="P446" s="6"/>
      <c r="Q446" s="6"/>
      <c r="R446" s="6"/>
      <c r="S446" s="6"/>
      <c r="T446" s="6"/>
      <c r="U446" s="6"/>
      <c r="V446" s="6"/>
      <c r="W446" s="7"/>
      <c r="X446" s="7"/>
      <c r="Y446" s="7"/>
      <c r="Z446" s="7"/>
    </row>
    <row r="447">
      <c r="A447" s="6"/>
      <c r="B447" s="6"/>
      <c r="C447" s="6"/>
      <c r="D447" s="6"/>
      <c r="E447" s="6"/>
      <c r="F447" s="6"/>
      <c r="G447" s="6"/>
      <c r="H447" s="6"/>
      <c r="I447" s="6"/>
      <c r="J447" s="6"/>
      <c r="K447" s="6"/>
      <c r="L447" s="80"/>
      <c r="M447" s="80"/>
      <c r="N447" s="80"/>
      <c r="O447" s="80"/>
      <c r="P447" s="6"/>
      <c r="Q447" s="6"/>
      <c r="R447" s="6"/>
      <c r="S447" s="6"/>
      <c r="T447" s="6"/>
      <c r="U447" s="6"/>
      <c r="V447" s="6"/>
      <c r="W447" s="7"/>
      <c r="X447" s="7"/>
      <c r="Y447" s="7"/>
      <c r="Z447" s="7"/>
    </row>
    <row r="448">
      <c r="A448" s="6"/>
      <c r="B448" s="6"/>
      <c r="C448" s="6"/>
      <c r="D448" s="6"/>
      <c r="E448" s="6"/>
      <c r="F448" s="6"/>
      <c r="G448" s="6"/>
      <c r="H448" s="6"/>
      <c r="I448" s="6"/>
      <c r="J448" s="6"/>
      <c r="K448" s="6"/>
      <c r="L448" s="80"/>
      <c r="M448" s="80"/>
      <c r="N448" s="80"/>
      <c r="O448" s="80"/>
      <c r="P448" s="6"/>
      <c r="Q448" s="6"/>
      <c r="R448" s="6"/>
      <c r="S448" s="6"/>
      <c r="T448" s="6"/>
      <c r="U448" s="6"/>
      <c r="V448" s="6"/>
      <c r="W448" s="7"/>
      <c r="X448" s="7"/>
      <c r="Y448" s="7"/>
      <c r="Z448" s="7"/>
    </row>
    <row r="449">
      <c r="A449" s="6"/>
      <c r="B449" s="6"/>
      <c r="C449" s="6"/>
      <c r="D449" s="6"/>
      <c r="E449" s="6"/>
      <c r="F449" s="6"/>
      <c r="G449" s="6"/>
      <c r="H449" s="6"/>
      <c r="I449" s="6"/>
      <c r="J449" s="6"/>
      <c r="K449" s="6"/>
      <c r="L449" s="80"/>
      <c r="M449" s="80"/>
      <c r="N449" s="80"/>
      <c r="O449" s="80"/>
      <c r="P449" s="6"/>
      <c r="Q449" s="6"/>
      <c r="R449" s="6"/>
      <c r="S449" s="6"/>
      <c r="T449" s="6"/>
      <c r="U449" s="6"/>
      <c r="V449" s="6"/>
      <c r="W449" s="7"/>
      <c r="X449" s="7"/>
      <c r="Y449" s="7"/>
      <c r="Z449" s="7"/>
    </row>
    <row r="450">
      <c r="A450" s="6"/>
      <c r="B450" s="6"/>
      <c r="C450" s="6"/>
      <c r="D450" s="6"/>
      <c r="E450" s="6"/>
      <c r="F450" s="6"/>
      <c r="G450" s="6"/>
      <c r="H450" s="6"/>
      <c r="I450" s="6"/>
      <c r="J450" s="6"/>
      <c r="K450" s="6"/>
      <c r="L450" s="80"/>
      <c r="M450" s="80"/>
      <c r="N450" s="80"/>
      <c r="O450" s="80"/>
      <c r="P450" s="6"/>
      <c r="Q450" s="6"/>
      <c r="R450" s="6"/>
      <c r="S450" s="6"/>
      <c r="T450" s="6"/>
      <c r="U450" s="6"/>
      <c r="V450" s="6"/>
      <c r="W450" s="7"/>
      <c r="X450" s="7"/>
      <c r="Y450" s="7"/>
      <c r="Z450" s="7"/>
    </row>
    <row r="451">
      <c r="A451" s="6"/>
      <c r="B451" s="6"/>
      <c r="C451" s="6"/>
      <c r="D451" s="6"/>
      <c r="E451" s="6"/>
      <c r="F451" s="6"/>
      <c r="G451" s="6"/>
      <c r="H451" s="6"/>
      <c r="I451" s="6"/>
      <c r="J451" s="6"/>
      <c r="K451" s="6"/>
      <c r="L451" s="80"/>
      <c r="M451" s="80"/>
      <c r="N451" s="80"/>
      <c r="O451" s="80"/>
      <c r="P451" s="6"/>
      <c r="Q451" s="6"/>
      <c r="R451" s="6"/>
      <c r="S451" s="6"/>
      <c r="T451" s="6"/>
      <c r="U451" s="6"/>
      <c r="V451" s="6"/>
      <c r="W451" s="7"/>
      <c r="X451" s="7"/>
      <c r="Y451" s="7"/>
      <c r="Z451" s="7"/>
    </row>
    <row r="452">
      <c r="A452" s="6"/>
      <c r="B452" s="6"/>
      <c r="C452" s="6"/>
      <c r="D452" s="6"/>
      <c r="E452" s="6"/>
      <c r="F452" s="6"/>
      <c r="G452" s="6"/>
      <c r="H452" s="6"/>
      <c r="I452" s="6"/>
      <c r="J452" s="6"/>
      <c r="K452" s="6"/>
      <c r="L452" s="80"/>
      <c r="M452" s="80"/>
      <c r="N452" s="80"/>
      <c r="O452" s="80"/>
      <c r="P452" s="6"/>
      <c r="Q452" s="6"/>
      <c r="R452" s="6"/>
      <c r="S452" s="6"/>
      <c r="T452" s="6"/>
      <c r="U452" s="6"/>
      <c r="V452" s="6"/>
      <c r="W452" s="7"/>
      <c r="X452" s="7"/>
      <c r="Y452" s="7"/>
      <c r="Z452" s="7"/>
    </row>
    <row r="453">
      <c r="A453" s="6"/>
      <c r="B453" s="6"/>
      <c r="C453" s="6"/>
      <c r="D453" s="6"/>
      <c r="E453" s="6"/>
      <c r="F453" s="6"/>
      <c r="G453" s="6"/>
      <c r="H453" s="6"/>
      <c r="I453" s="6"/>
      <c r="J453" s="6"/>
      <c r="K453" s="6"/>
      <c r="L453" s="80"/>
      <c r="M453" s="80"/>
      <c r="N453" s="80"/>
      <c r="O453" s="80"/>
      <c r="P453" s="6"/>
      <c r="Q453" s="6"/>
      <c r="R453" s="6"/>
      <c r="S453" s="6"/>
      <c r="T453" s="6"/>
      <c r="U453" s="6"/>
      <c r="V453" s="6"/>
      <c r="W453" s="7"/>
      <c r="X453" s="7"/>
      <c r="Y453" s="7"/>
      <c r="Z453" s="7"/>
    </row>
    <row r="454">
      <c r="A454" s="6"/>
      <c r="B454" s="6"/>
      <c r="C454" s="6"/>
      <c r="D454" s="6"/>
      <c r="E454" s="6"/>
      <c r="F454" s="6"/>
      <c r="G454" s="6"/>
      <c r="H454" s="6"/>
      <c r="I454" s="6"/>
      <c r="J454" s="6"/>
      <c r="K454" s="6"/>
      <c r="L454" s="80"/>
      <c r="M454" s="80"/>
      <c r="N454" s="80"/>
      <c r="O454" s="80"/>
      <c r="P454" s="6"/>
      <c r="Q454" s="6"/>
      <c r="R454" s="6"/>
      <c r="S454" s="6"/>
      <c r="T454" s="6"/>
      <c r="U454" s="6"/>
      <c r="V454" s="6"/>
      <c r="W454" s="7"/>
      <c r="X454" s="7"/>
      <c r="Y454" s="7"/>
      <c r="Z454" s="7"/>
    </row>
    <row r="455">
      <c r="A455" s="6"/>
      <c r="B455" s="6"/>
      <c r="C455" s="6"/>
      <c r="D455" s="6"/>
      <c r="E455" s="6"/>
      <c r="F455" s="6"/>
      <c r="G455" s="6"/>
      <c r="H455" s="6"/>
      <c r="I455" s="6"/>
      <c r="J455" s="6"/>
      <c r="K455" s="6"/>
      <c r="L455" s="80"/>
      <c r="M455" s="80"/>
      <c r="N455" s="80"/>
      <c r="O455" s="80"/>
      <c r="P455" s="6"/>
      <c r="Q455" s="6"/>
      <c r="R455" s="6"/>
      <c r="S455" s="6"/>
      <c r="T455" s="6"/>
      <c r="U455" s="6"/>
      <c r="V455" s="6"/>
      <c r="W455" s="7"/>
      <c r="X455" s="7"/>
      <c r="Y455" s="7"/>
      <c r="Z455" s="7"/>
    </row>
    <row r="456">
      <c r="A456" s="6"/>
      <c r="B456" s="6"/>
      <c r="C456" s="6"/>
      <c r="D456" s="6"/>
      <c r="E456" s="6"/>
      <c r="F456" s="6"/>
      <c r="G456" s="6"/>
      <c r="H456" s="6"/>
      <c r="I456" s="6"/>
      <c r="J456" s="6"/>
      <c r="K456" s="6"/>
      <c r="L456" s="80"/>
      <c r="M456" s="80"/>
      <c r="N456" s="80"/>
      <c r="O456" s="80"/>
      <c r="P456" s="6"/>
      <c r="Q456" s="6"/>
      <c r="R456" s="6"/>
      <c r="S456" s="6"/>
      <c r="T456" s="6"/>
      <c r="U456" s="6"/>
      <c r="V456" s="6"/>
      <c r="W456" s="7"/>
      <c r="X456" s="7"/>
      <c r="Y456" s="7"/>
      <c r="Z456" s="7"/>
    </row>
    <row r="457">
      <c r="A457" s="6"/>
      <c r="B457" s="6"/>
      <c r="C457" s="6"/>
      <c r="D457" s="6"/>
      <c r="E457" s="6"/>
      <c r="F457" s="6"/>
      <c r="G457" s="6"/>
      <c r="H457" s="6"/>
      <c r="I457" s="6"/>
      <c r="J457" s="6"/>
      <c r="K457" s="6"/>
      <c r="L457" s="80"/>
      <c r="M457" s="80"/>
      <c r="N457" s="80"/>
      <c r="O457" s="80"/>
      <c r="P457" s="6"/>
      <c r="Q457" s="6"/>
      <c r="R457" s="6"/>
      <c r="S457" s="6"/>
      <c r="T457" s="6"/>
      <c r="U457" s="6"/>
      <c r="V457" s="6"/>
      <c r="W457" s="7"/>
      <c r="X457" s="7"/>
      <c r="Y457" s="7"/>
      <c r="Z457" s="7"/>
    </row>
    <row r="458">
      <c r="A458" s="6"/>
      <c r="B458" s="6"/>
      <c r="C458" s="6"/>
      <c r="D458" s="6"/>
      <c r="E458" s="6"/>
      <c r="F458" s="6"/>
      <c r="G458" s="6"/>
      <c r="H458" s="6"/>
      <c r="I458" s="6"/>
      <c r="J458" s="6"/>
      <c r="K458" s="6"/>
      <c r="L458" s="80"/>
      <c r="M458" s="80"/>
      <c r="N458" s="80"/>
      <c r="O458" s="80"/>
      <c r="P458" s="6"/>
      <c r="Q458" s="6"/>
      <c r="R458" s="6"/>
      <c r="S458" s="6"/>
      <c r="T458" s="6"/>
      <c r="U458" s="6"/>
      <c r="V458" s="6"/>
      <c r="W458" s="7"/>
      <c r="X458" s="7"/>
      <c r="Y458" s="7"/>
      <c r="Z458" s="7"/>
    </row>
    <row r="459">
      <c r="A459" s="6"/>
      <c r="B459" s="6"/>
      <c r="C459" s="6"/>
      <c r="D459" s="6"/>
      <c r="E459" s="6"/>
      <c r="F459" s="6"/>
      <c r="G459" s="6"/>
      <c r="H459" s="6"/>
      <c r="I459" s="6"/>
      <c r="J459" s="6"/>
      <c r="K459" s="6"/>
      <c r="L459" s="80"/>
      <c r="M459" s="80"/>
      <c r="N459" s="80"/>
      <c r="O459" s="80"/>
      <c r="P459" s="6"/>
      <c r="Q459" s="6"/>
      <c r="R459" s="6"/>
      <c r="S459" s="6"/>
      <c r="T459" s="6"/>
      <c r="U459" s="6"/>
      <c r="V459" s="6"/>
      <c r="W459" s="7"/>
      <c r="X459" s="7"/>
      <c r="Y459" s="7"/>
      <c r="Z459" s="7"/>
    </row>
    <row r="460">
      <c r="A460" s="6"/>
      <c r="B460" s="6"/>
      <c r="C460" s="6"/>
      <c r="D460" s="6"/>
      <c r="E460" s="6"/>
      <c r="F460" s="6"/>
      <c r="G460" s="6"/>
      <c r="H460" s="6"/>
      <c r="I460" s="6"/>
      <c r="J460" s="6"/>
      <c r="K460" s="6"/>
      <c r="L460" s="80"/>
      <c r="M460" s="80"/>
      <c r="N460" s="80"/>
      <c r="O460" s="80"/>
      <c r="P460" s="6"/>
      <c r="Q460" s="6"/>
      <c r="R460" s="6"/>
      <c r="S460" s="6"/>
      <c r="T460" s="6"/>
      <c r="U460" s="6"/>
      <c r="V460" s="6"/>
      <c r="W460" s="7"/>
      <c r="X460" s="7"/>
      <c r="Y460" s="7"/>
      <c r="Z460" s="7"/>
    </row>
    <row r="461">
      <c r="A461" s="6"/>
      <c r="B461" s="6"/>
      <c r="C461" s="6"/>
      <c r="D461" s="6"/>
      <c r="E461" s="6"/>
      <c r="F461" s="6"/>
      <c r="G461" s="6"/>
      <c r="H461" s="6"/>
      <c r="I461" s="6"/>
      <c r="J461" s="6"/>
      <c r="K461" s="6"/>
      <c r="L461" s="80"/>
      <c r="M461" s="80"/>
      <c r="N461" s="80"/>
      <c r="O461" s="80"/>
      <c r="P461" s="6"/>
      <c r="Q461" s="6"/>
      <c r="R461" s="6"/>
      <c r="S461" s="6"/>
      <c r="T461" s="6"/>
      <c r="U461" s="6"/>
      <c r="V461" s="6"/>
      <c r="W461" s="7"/>
      <c r="X461" s="7"/>
      <c r="Y461" s="7"/>
      <c r="Z461" s="7"/>
    </row>
    <row r="462">
      <c r="A462" s="6"/>
      <c r="B462" s="6"/>
      <c r="C462" s="6"/>
      <c r="D462" s="6"/>
      <c r="E462" s="6"/>
      <c r="F462" s="6"/>
      <c r="G462" s="6"/>
      <c r="H462" s="6"/>
      <c r="I462" s="6"/>
      <c r="J462" s="6"/>
      <c r="K462" s="6"/>
      <c r="L462" s="80"/>
      <c r="M462" s="80"/>
      <c r="N462" s="80"/>
      <c r="O462" s="80"/>
      <c r="P462" s="6"/>
      <c r="Q462" s="6"/>
      <c r="R462" s="6"/>
      <c r="S462" s="6"/>
      <c r="T462" s="6"/>
      <c r="U462" s="6"/>
      <c r="V462" s="6"/>
      <c r="W462" s="7"/>
      <c r="X462" s="7"/>
      <c r="Y462" s="7"/>
      <c r="Z462" s="7"/>
    </row>
    <row r="463">
      <c r="A463" s="6"/>
      <c r="B463" s="6"/>
      <c r="C463" s="6"/>
      <c r="D463" s="6"/>
      <c r="E463" s="6"/>
      <c r="F463" s="6"/>
      <c r="G463" s="6"/>
      <c r="H463" s="6"/>
      <c r="I463" s="6"/>
      <c r="J463" s="6"/>
      <c r="K463" s="6"/>
      <c r="L463" s="80"/>
      <c r="M463" s="80"/>
      <c r="N463" s="80"/>
      <c r="O463" s="80"/>
      <c r="P463" s="6"/>
      <c r="Q463" s="6"/>
      <c r="R463" s="6"/>
      <c r="S463" s="6"/>
      <c r="T463" s="6"/>
      <c r="U463" s="6"/>
      <c r="V463" s="6"/>
      <c r="W463" s="7"/>
      <c r="X463" s="7"/>
      <c r="Y463" s="7"/>
      <c r="Z463" s="7"/>
    </row>
    <row r="464">
      <c r="A464" s="6"/>
      <c r="B464" s="6"/>
      <c r="C464" s="6"/>
      <c r="D464" s="6"/>
      <c r="E464" s="6"/>
      <c r="F464" s="6"/>
      <c r="G464" s="6"/>
      <c r="H464" s="6"/>
      <c r="I464" s="6"/>
      <c r="J464" s="6"/>
      <c r="K464" s="6"/>
      <c r="L464" s="80"/>
      <c r="M464" s="80"/>
      <c r="N464" s="80"/>
      <c r="O464" s="80"/>
      <c r="P464" s="6"/>
      <c r="Q464" s="6"/>
      <c r="R464" s="6"/>
      <c r="S464" s="6"/>
      <c r="T464" s="6"/>
      <c r="U464" s="6"/>
      <c r="V464" s="6"/>
      <c r="W464" s="7"/>
      <c r="X464" s="7"/>
      <c r="Y464" s="7"/>
      <c r="Z464" s="7"/>
    </row>
    <row r="465">
      <c r="A465" s="6"/>
      <c r="B465" s="6"/>
      <c r="C465" s="6"/>
      <c r="D465" s="6"/>
      <c r="E465" s="6"/>
      <c r="F465" s="6"/>
      <c r="G465" s="6"/>
      <c r="H465" s="6"/>
      <c r="I465" s="6"/>
      <c r="J465" s="6"/>
      <c r="K465" s="6"/>
      <c r="L465" s="80"/>
      <c r="M465" s="80"/>
      <c r="N465" s="80"/>
      <c r="O465" s="80"/>
      <c r="P465" s="6"/>
      <c r="Q465" s="6"/>
      <c r="R465" s="6"/>
      <c r="S465" s="6"/>
      <c r="T465" s="6"/>
      <c r="U465" s="6"/>
      <c r="V465" s="6"/>
      <c r="W465" s="7"/>
      <c r="X465" s="7"/>
      <c r="Y465" s="7"/>
      <c r="Z465" s="7"/>
    </row>
    <row r="466">
      <c r="A466" s="6"/>
      <c r="B466" s="6"/>
      <c r="C466" s="6"/>
      <c r="D466" s="6"/>
      <c r="E466" s="6"/>
      <c r="F466" s="6"/>
      <c r="G466" s="6"/>
      <c r="H466" s="6"/>
      <c r="I466" s="6"/>
      <c r="J466" s="6"/>
      <c r="K466" s="6"/>
      <c r="L466" s="80"/>
      <c r="M466" s="80"/>
      <c r="N466" s="80"/>
      <c r="O466" s="80"/>
      <c r="P466" s="6"/>
      <c r="Q466" s="6"/>
      <c r="R466" s="6"/>
      <c r="S466" s="6"/>
      <c r="T466" s="6"/>
      <c r="U466" s="6"/>
      <c r="V466" s="6"/>
      <c r="W466" s="7"/>
      <c r="X466" s="7"/>
      <c r="Y466" s="7"/>
      <c r="Z466" s="7"/>
    </row>
    <row r="467">
      <c r="A467" s="6"/>
      <c r="B467" s="6"/>
      <c r="C467" s="6"/>
      <c r="D467" s="6"/>
      <c r="E467" s="6"/>
      <c r="F467" s="6"/>
      <c r="G467" s="6"/>
      <c r="H467" s="6"/>
      <c r="I467" s="6"/>
      <c r="J467" s="6"/>
      <c r="K467" s="6"/>
      <c r="L467" s="80"/>
      <c r="M467" s="80"/>
      <c r="N467" s="80"/>
      <c r="O467" s="80"/>
      <c r="P467" s="6"/>
      <c r="Q467" s="6"/>
      <c r="R467" s="6"/>
      <c r="S467" s="6"/>
      <c r="T467" s="6"/>
      <c r="U467" s="6"/>
      <c r="V467" s="6"/>
      <c r="W467" s="7"/>
      <c r="X467" s="7"/>
      <c r="Y467" s="7"/>
      <c r="Z467" s="7"/>
    </row>
    <row r="468">
      <c r="A468" s="6"/>
      <c r="B468" s="6"/>
      <c r="C468" s="6"/>
      <c r="D468" s="6"/>
      <c r="E468" s="6"/>
      <c r="F468" s="6"/>
      <c r="G468" s="6"/>
      <c r="H468" s="6"/>
      <c r="I468" s="6"/>
      <c r="J468" s="6"/>
      <c r="K468" s="6"/>
      <c r="L468" s="80"/>
      <c r="M468" s="80"/>
      <c r="N468" s="80"/>
      <c r="O468" s="80"/>
      <c r="P468" s="6"/>
      <c r="Q468" s="6"/>
      <c r="R468" s="6"/>
      <c r="S468" s="6"/>
      <c r="T468" s="6"/>
      <c r="U468" s="6"/>
      <c r="V468" s="6"/>
      <c r="W468" s="7"/>
      <c r="X468" s="7"/>
      <c r="Y468" s="7"/>
      <c r="Z468" s="7"/>
    </row>
    <row r="469">
      <c r="A469" s="6"/>
      <c r="B469" s="6"/>
      <c r="C469" s="6"/>
      <c r="D469" s="6"/>
      <c r="E469" s="6"/>
      <c r="F469" s="6"/>
      <c r="G469" s="6"/>
      <c r="H469" s="6"/>
      <c r="I469" s="6"/>
      <c r="J469" s="6"/>
      <c r="K469" s="6"/>
      <c r="L469" s="80"/>
      <c r="M469" s="80"/>
      <c r="N469" s="80"/>
      <c r="O469" s="80"/>
      <c r="P469" s="6"/>
      <c r="Q469" s="6"/>
      <c r="R469" s="6"/>
      <c r="S469" s="6"/>
      <c r="T469" s="6"/>
      <c r="U469" s="6"/>
      <c r="V469" s="6"/>
      <c r="W469" s="7"/>
      <c r="X469" s="7"/>
      <c r="Y469" s="7"/>
      <c r="Z469" s="7"/>
    </row>
    <row r="470">
      <c r="A470" s="6"/>
      <c r="B470" s="6"/>
      <c r="C470" s="6"/>
      <c r="D470" s="6"/>
      <c r="E470" s="6"/>
      <c r="F470" s="6"/>
      <c r="G470" s="6"/>
      <c r="H470" s="6"/>
      <c r="I470" s="6"/>
      <c r="J470" s="6"/>
      <c r="K470" s="6"/>
      <c r="L470" s="80"/>
      <c r="M470" s="80"/>
      <c r="N470" s="80"/>
      <c r="O470" s="80"/>
      <c r="P470" s="6"/>
      <c r="Q470" s="6"/>
      <c r="R470" s="6"/>
      <c r="S470" s="6"/>
      <c r="T470" s="6"/>
      <c r="U470" s="6"/>
      <c r="V470" s="6"/>
      <c r="W470" s="7"/>
      <c r="X470" s="7"/>
      <c r="Y470" s="7"/>
      <c r="Z470" s="7"/>
    </row>
    <row r="471">
      <c r="A471" s="6"/>
      <c r="B471" s="6"/>
      <c r="C471" s="6"/>
      <c r="D471" s="6"/>
      <c r="E471" s="6"/>
      <c r="F471" s="6"/>
      <c r="G471" s="6"/>
      <c r="H471" s="6"/>
      <c r="I471" s="6"/>
      <c r="J471" s="6"/>
      <c r="K471" s="6"/>
      <c r="L471" s="80"/>
      <c r="M471" s="80"/>
      <c r="N471" s="80"/>
      <c r="O471" s="80"/>
      <c r="P471" s="6"/>
      <c r="Q471" s="6"/>
      <c r="R471" s="6"/>
      <c r="S471" s="6"/>
      <c r="T471" s="6"/>
      <c r="U471" s="6"/>
      <c r="V471" s="6"/>
      <c r="W471" s="7"/>
      <c r="X471" s="7"/>
      <c r="Y471" s="7"/>
      <c r="Z471" s="7"/>
    </row>
    <row r="472">
      <c r="A472" s="6"/>
      <c r="B472" s="6"/>
      <c r="C472" s="6"/>
      <c r="D472" s="6"/>
      <c r="E472" s="6"/>
      <c r="F472" s="6"/>
      <c r="G472" s="6"/>
      <c r="H472" s="6"/>
      <c r="I472" s="6"/>
      <c r="J472" s="6"/>
      <c r="K472" s="6"/>
      <c r="L472" s="80"/>
      <c r="M472" s="80"/>
      <c r="N472" s="80"/>
      <c r="O472" s="80"/>
      <c r="P472" s="6"/>
      <c r="Q472" s="6"/>
      <c r="R472" s="6"/>
      <c r="S472" s="6"/>
      <c r="T472" s="6"/>
      <c r="U472" s="6"/>
      <c r="V472" s="6"/>
      <c r="W472" s="7"/>
      <c r="X472" s="7"/>
      <c r="Y472" s="7"/>
      <c r="Z472" s="7"/>
    </row>
    <row r="473">
      <c r="A473" s="6"/>
      <c r="B473" s="6"/>
      <c r="C473" s="6"/>
      <c r="D473" s="6"/>
      <c r="E473" s="6"/>
      <c r="F473" s="6"/>
      <c r="G473" s="6"/>
      <c r="H473" s="6"/>
      <c r="I473" s="6"/>
      <c r="J473" s="6"/>
      <c r="K473" s="6"/>
      <c r="L473" s="80"/>
      <c r="M473" s="80"/>
      <c r="N473" s="80"/>
      <c r="O473" s="80"/>
      <c r="P473" s="6"/>
      <c r="Q473" s="6"/>
      <c r="R473" s="6"/>
      <c r="S473" s="6"/>
      <c r="T473" s="6"/>
      <c r="U473" s="6"/>
      <c r="V473" s="6"/>
      <c r="W473" s="7"/>
      <c r="X473" s="7"/>
      <c r="Y473" s="7"/>
      <c r="Z473" s="7"/>
    </row>
    <row r="474">
      <c r="A474" s="6"/>
      <c r="B474" s="6"/>
      <c r="C474" s="6"/>
      <c r="D474" s="6"/>
      <c r="E474" s="6"/>
      <c r="F474" s="6"/>
      <c r="G474" s="6"/>
      <c r="H474" s="6"/>
      <c r="I474" s="6"/>
      <c r="J474" s="6"/>
      <c r="K474" s="6"/>
      <c r="L474" s="80"/>
      <c r="M474" s="80"/>
      <c r="N474" s="80"/>
      <c r="O474" s="80"/>
      <c r="P474" s="6"/>
      <c r="Q474" s="6"/>
      <c r="R474" s="6"/>
      <c r="S474" s="6"/>
      <c r="T474" s="6"/>
      <c r="U474" s="6"/>
      <c r="V474" s="6"/>
      <c r="W474" s="7"/>
      <c r="X474" s="7"/>
      <c r="Y474" s="7"/>
      <c r="Z474" s="7"/>
    </row>
    <row r="475">
      <c r="A475" s="6"/>
      <c r="B475" s="6"/>
      <c r="C475" s="6"/>
      <c r="D475" s="6"/>
      <c r="E475" s="6"/>
      <c r="F475" s="6"/>
      <c r="G475" s="6"/>
      <c r="H475" s="6"/>
      <c r="I475" s="6"/>
      <c r="J475" s="6"/>
      <c r="K475" s="6"/>
      <c r="L475" s="80"/>
      <c r="M475" s="80"/>
      <c r="N475" s="80"/>
      <c r="O475" s="80"/>
      <c r="P475" s="6"/>
      <c r="Q475" s="6"/>
      <c r="R475" s="6"/>
      <c r="S475" s="6"/>
      <c r="T475" s="6"/>
      <c r="U475" s="6"/>
      <c r="V475" s="6"/>
      <c r="W475" s="7"/>
      <c r="X475" s="7"/>
      <c r="Y475" s="7"/>
      <c r="Z475" s="7"/>
    </row>
    <row r="476">
      <c r="A476" s="6"/>
      <c r="B476" s="6"/>
      <c r="C476" s="6"/>
      <c r="D476" s="6"/>
      <c r="E476" s="6"/>
      <c r="F476" s="6"/>
      <c r="G476" s="6"/>
      <c r="H476" s="6"/>
      <c r="I476" s="6"/>
      <c r="J476" s="6"/>
      <c r="K476" s="6"/>
      <c r="L476" s="80"/>
      <c r="M476" s="80"/>
      <c r="N476" s="80"/>
      <c r="O476" s="80"/>
      <c r="P476" s="6"/>
      <c r="Q476" s="6"/>
      <c r="R476" s="6"/>
      <c r="S476" s="6"/>
      <c r="T476" s="6"/>
      <c r="U476" s="6"/>
      <c r="V476" s="6"/>
      <c r="W476" s="7"/>
      <c r="X476" s="7"/>
      <c r="Y476" s="7"/>
      <c r="Z476" s="7"/>
    </row>
    <row r="477">
      <c r="A477" s="6"/>
      <c r="B477" s="6"/>
      <c r="C477" s="6"/>
      <c r="D477" s="6"/>
      <c r="E477" s="6"/>
      <c r="F477" s="6"/>
      <c r="G477" s="6"/>
      <c r="H477" s="6"/>
      <c r="I477" s="6"/>
      <c r="J477" s="6"/>
      <c r="K477" s="6"/>
      <c r="L477" s="80"/>
      <c r="M477" s="80"/>
      <c r="N477" s="80"/>
      <c r="O477" s="80"/>
      <c r="P477" s="6"/>
      <c r="Q477" s="6"/>
      <c r="R477" s="6"/>
      <c r="S477" s="6"/>
      <c r="T477" s="6"/>
      <c r="U477" s="6"/>
      <c r="V477" s="6"/>
      <c r="W477" s="7"/>
      <c r="X477" s="7"/>
      <c r="Y477" s="7"/>
      <c r="Z477" s="7"/>
    </row>
    <row r="478">
      <c r="A478" s="6"/>
      <c r="B478" s="6"/>
      <c r="C478" s="6"/>
      <c r="D478" s="6"/>
      <c r="E478" s="6"/>
      <c r="F478" s="6"/>
      <c r="G478" s="6"/>
      <c r="H478" s="6"/>
      <c r="I478" s="6"/>
      <c r="J478" s="6"/>
      <c r="K478" s="6"/>
      <c r="L478" s="80"/>
      <c r="M478" s="80"/>
      <c r="N478" s="80"/>
      <c r="O478" s="80"/>
      <c r="P478" s="6"/>
      <c r="Q478" s="6"/>
      <c r="R478" s="6"/>
      <c r="S478" s="6"/>
      <c r="T478" s="6"/>
      <c r="U478" s="6"/>
      <c r="V478" s="6"/>
      <c r="W478" s="7"/>
      <c r="X478" s="7"/>
      <c r="Y478" s="7"/>
      <c r="Z478" s="7"/>
    </row>
    <row r="479">
      <c r="A479" s="6"/>
      <c r="B479" s="6"/>
      <c r="C479" s="6"/>
      <c r="D479" s="6"/>
      <c r="E479" s="6"/>
      <c r="F479" s="6"/>
      <c r="G479" s="6"/>
      <c r="H479" s="6"/>
      <c r="I479" s="6"/>
      <c r="J479" s="6"/>
      <c r="K479" s="6"/>
      <c r="L479" s="80"/>
      <c r="M479" s="80"/>
      <c r="N479" s="80"/>
      <c r="O479" s="80"/>
      <c r="P479" s="6"/>
      <c r="Q479" s="6"/>
      <c r="R479" s="6"/>
      <c r="S479" s="6"/>
      <c r="T479" s="6"/>
      <c r="U479" s="6"/>
      <c r="V479" s="6"/>
      <c r="W479" s="7"/>
      <c r="X479" s="7"/>
      <c r="Y479" s="7"/>
      <c r="Z479" s="7"/>
    </row>
    <row r="480">
      <c r="A480" s="6"/>
      <c r="B480" s="6"/>
      <c r="C480" s="6"/>
      <c r="D480" s="6"/>
      <c r="E480" s="6"/>
      <c r="F480" s="6"/>
      <c r="G480" s="6"/>
      <c r="H480" s="6"/>
      <c r="I480" s="6"/>
      <c r="J480" s="6"/>
      <c r="K480" s="6"/>
      <c r="L480" s="80"/>
      <c r="M480" s="80"/>
      <c r="N480" s="80"/>
      <c r="O480" s="80"/>
      <c r="P480" s="6"/>
      <c r="Q480" s="6"/>
      <c r="R480" s="6"/>
      <c r="S480" s="6"/>
      <c r="T480" s="6"/>
      <c r="U480" s="6"/>
      <c r="V480" s="6"/>
      <c r="W480" s="7"/>
      <c r="X480" s="7"/>
      <c r="Y480" s="7"/>
      <c r="Z480" s="7"/>
    </row>
    <row r="481">
      <c r="A481" s="6"/>
      <c r="B481" s="6"/>
      <c r="C481" s="6"/>
      <c r="D481" s="6"/>
      <c r="E481" s="6"/>
      <c r="F481" s="6"/>
      <c r="G481" s="6"/>
      <c r="H481" s="6"/>
      <c r="I481" s="6"/>
      <c r="J481" s="6"/>
      <c r="K481" s="6"/>
      <c r="L481" s="80"/>
      <c r="M481" s="80"/>
      <c r="N481" s="80"/>
      <c r="O481" s="80"/>
      <c r="P481" s="6"/>
      <c r="Q481" s="6"/>
      <c r="R481" s="6"/>
      <c r="S481" s="6"/>
      <c r="T481" s="6"/>
      <c r="U481" s="6"/>
      <c r="V481" s="6"/>
      <c r="W481" s="7"/>
      <c r="X481" s="7"/>
      <c r="Y481" s="7"/>
      <c r="Z481" s="7"/>
    </row>
    <row r="482">
      <c r="A482" s="6"/>
      <c r="B482" s="6"/>
      <c r="C482" s="6"/>
      <c r="D482" s="6"/>
      <c r="E482" s="6"/>
      <c r="F482" s="6"/>
      <c r="G482" s="6"/>
      <c r="H482" s="6"/>
      <c r="I482" s="6"/>
      <c r="J482" s="6"/>
      <c r="K482" s="6"/>
      <c r="L482" s="80"/>
      <c r="M482" s="80"/>
      <c r="N482" s="80"/>
      <c r="O482" s="80"/>
      <c r="P482" s="6"/>
      <c r="Q482" s="6"/>
      <c r="R482" s="6"/>
      <c r="S482" s="6"/>
      <c r="T482" s="6"/>
      <c r="U482" s="6"/>
      <c r="V482" s="6"/>
      <c r="W482" s="7"/>
      <c r="X482" s="7"/>
      <c r="Y482" s="7"/>
      <c r="Z482" s="7"/>
    </row>
    <row r="483">
      <c r="A483" s="6"/>
      <c r="B483" s="6"/>
      <c r="C483" s="6"/>
      <c r="D483" s="6"/>
      <c r="E483" s="6"/>
      <c r="F483" s="6"/>
      <c r="G483" s="6"/>
      <c r="H483" s="6"/>
      <c r="I483" s="6"/>
      <c r="J483" s="6"/>
      <c r="K483" s="6"/>
      <c r="L483" s="80"/>
      <c r="M483" s="80"/>
      <c r="N483" s="80"/>
      <c r="O483" s="80"/>
      <c r="P483" s="6"/>
      <c r="Q483" s="6"/>
      <c r="R483" s="6"/>
      <c r="S483" s="6"/>
      <c r="T483" s="6"/>
      <c r="U483" s="6"/>
      <c r="V483" s="6"/>
      <c r="W483" s="7"/>
      <c r="X483" s="7"/>
      <c r="Y483" s="7"/>
      <c r="Z483" s="7"/>
    </row>
    <row r="484">
      <c r="A484" s="6"/>
      <c r="B484" s="6"/>
      <c r="C484" s="6"/>
      <c r="D484" s="6"/>
      <c r="E484" s="6"/>
      <c r="F484" s="6"/>
      <c r="G484" s="6"/>
      <c r="H484" s="6"/>
      <c r="I484" s="6"/>
      <c r="J484" s="6"/>
      <c r="K484" s="6"/>
      <c r="L484" s="80"/>
      <c r="M484" s="80"/>
      <c r="N484" s="80"/>
      <c r="O484" s="80"/>
      <c r="P484" s="6"/>
      <c r="Q484" s="6"/>
      <c r="R484" s="6"/>
      <c r="S484" s="6"/>
      <c r="T484" s="6"/>
      <c r="U484" s="6"/>
      <c r="V484" s="6"/>
      <c r="W484" s="7"/>
      <c r="X484" s="7"/>
      <c r="Y484" s="7"/>
      <c r="Z484" s="7"/>
    </row>
    <row r="485">
      <c r="A485" s="6"/>
      <c r="B485" s="6"/>
      <c r="C485" s="6"/>
      <c r="D485" s="6"/>
      <c r="E485" s="6"/>
      <c r="F485" s="6"/>
      <c r="G485" s="6"/>
      <c r="H485" s="6"/>
      <c r="I485" s="6"/>
      <c r="J485" s="6"/>
      <c r="K485" s="6"/>
      <c r="L485" s="80"/>
      <c r="M485" s="80"/>
      <c r="N485" s="80"/>
      <c r="O485" s="80"/>
      <c r="P485" s="6"/>
      <c r="Q485" s="6"/>
      <c r="R485" s="6"/>
      <c r="S485" s="6"/>
      <c r="T485" s="6"/>
      <c r="U485" s="6"/>
      <c r="V485" s="6"/>
      <c r="W485" s="7"/>
      <c r="X485" s="7"/>
      <c r="Y485" s="7"/>
      <c r="Z485" s="7"/>
    </row>
    <row r="486">
      <c r="A486" s="6"/>
      <c r="B486" s="6"/>
      <c r="C486" s="6"/>
      <c r="D486" s="6"/>
      <c r="E486" s="6"/>
      <c r="F486" s="6"/>
      <c r="G486" s="6"/>
      <c r="H486" s="6"/>
      <c r="I486" s="6"/>
      <c r="J486" s="6"/>
      <c r="K486" s="6"/>
      <c r="L486" s="80"/>
      <c r="M486" s="80"/>
      <c r="N486" s="80"/>
      <c r="O486" s="80"/>
      <c r="P486" s="6"/>
      <c r="Q486" s="6"/>
      <c r="R486" s="6"/>
      <c r="S486" s="6"/>
      <c r="T486" s="6"/>
      <c r="U486" s="6"/>
      <c r="V486" s="6"/>
      <c r="W486" s="7"/>
      <c r="X486" s="7"/>
      <c r="Y486" s="7"/>
      <c r="Z486" s="7"/>
    </row>
    <row r="487">
      <c r="A487" s="6"/>
      <c r="B487" s="6"/>
      <c r="C487" s="6"/>
      <c r="D487" s="6"/>
      <c r="E487" s="6"/>
      <c r="F487" s="6"/>
      <c r="G487" s="6"/>
      <c r="H487" s="6"/>
      <c r="I487" s="6"/>
      <c r="J487" s="6"/>
      <c r="K487" s="6"/>
      <c r="L487" s="80"/>
      <c r="M487" s="80"/>
      <c r="N487" s="80"/>
      <c r="O487" s="80"/>
      <c r="P487" s="6"/>
      <c r="Q487" s="6"/>
      <c r="R487" s="6"/>
      <c r="S487" s="6"/>
      <c r="T487" s="6"/>
      <c r="U487" s="6"/>
      <c r="V487" s="6"/>
      <c r="W487" s="7"/>
      <c r="X487" s="7"/>
      <c r="Y487" s="7"/>
      <c r="Z487" s="7"/>
    </row>
    <row r="488">
      <c r="A488" s="6"/>
      <c r="B488" s="6"/>
      <c r="C488" s="6"/>
      <c r="D488" s="6"/>
      <c r="E488" s="6"/>
      <c r="F488" s="6"/>
      <c r="G488" s="6"/>
      <c r="H488" s="6"/>
      <c r="I488" s="6"/>
      <c r="J488" s="6"/>
      <c r="K488" s="6"/>
      <c r="L488" s="80"/>
      <c r="M488" s="80"/>
      <c r="N488" s="80"/>
      <c r="O488" s="80"/>
      <c r="P488" s="6"/>
      <c r="Q488" s="6"/>
      <c r="R488" s="6"/>
      <c r="S488" s="6"/>
      <c r="T488" s="6"/>
      <c r="U488" s="6"/>
      <c r="V488" s="6"/>
      <c r="W488" s="7"/>
      <c r="X488" s="7"/>
      <c r="Y488" s="7"/>
      <c r="Z488" s="7"/>
    </row>
    <row r="489">
      <c r="A489" s="6"/>
      <c r="B489" s="6"/>
      <c r="C489" s="6"/>
      <c r="D489" s="6"/>
      <c r="E489" s="6"/>
      <c r="F489" s="6"/>
      <c r="G489" s="6"/>
      <c r="H489" s="6"/>
      <c r="I489" s="6"/>
      <c r="J489" s="6"/>
      <c r="K489" s="6"/>
      <c r="L489" s="80"/>
      <c r="M489" s="80"/>
      <c r="N489" s="80"/>
      <c r="O489" s="80"/>
      <c r="P489" s="6"/>
      <c r="Q489" s="6"/>
      <c r="R489" s="6"/>
      <c r="S489" s="6"/>
      <c r="T489" s="6"/>
      <c r="U489" s="6"/>
      <c r="V489" s="6"/>
      <c r="W489" s="7"/>
      <c r="X489" s="7"/>
      <c r="Y489" s="7"/>
      <c r="Z489" s="7"/>
    </row>
    <row r="490">
      <c r="A490" s="6"/>
      <c r="B490" s="6"/>
      <c r="C490" s="6"/>
      <c r="D490" s="6"/>
      <c r="E490" s="6"/>
      <c r="F490" s="6"/>
      <c r="G490" s="6"/>
      <c r="H490" s="6"/>
      <c r="I490" s="6"/>
      <c r="J490" s="6"/>
      <c r="K490" s="6"/>
      <c r="L490" s="80"/>
      <c r="M490" s="80"/>
      <c r="N490" s="80"/>
      <c r="O490" s="80"/>
      <c r="P490" s="6"/>
      <c r="Q490" s="6"/>
      <c r="R490" s="6"/>
      <c r="S490" s="6"/>
      <c r="T490" s="6"/>
      <c r="U490" s="6"/>
      <c r="V490" s="6"/>
      <c r="W490" s="7"/>
      <c r="X490" s="7"/>
      <c r="Y490" s="7"/>
      <c r="Z490" s="7"/>
    </row>
    <row r="491">
      <c r="A491" s="6"/>
      <c r="B491" s="6"/>
      <c r="C491" s="6"/>
      <c r="D491" s="6"/>
      <c r="E491" s="6"/>
      <c r="F491" s="6"/>
      <c r="G491" s="6"/>
      <c r="H491" s="6"/>
      <c r="I491" s="6"/>
      <c r="J491" s="6"/>
      <c r="K491" s="6"/>
      <c r="L491" s="80"/>
      <c r="M491" s="80"/>
      <c r="N491" s="80"/>
      <c r="O491" s="80"/>
      <c r="P491" s="6"/>
      <c r="Q491" s="6"/>
      <c r="R491" s="6"/>
      <c r="S491" s="6"/>
      <c r="T491" s="6"/>
      <c r="U491" s="6"/>
      <c r="V491" s="6"/>
      <c r="W491" s="7"/>
      <c r="X491" s="7"/>
      <c r="Y491" s="7"/>
      <c r="Z491" s="7"/>
    </row>
    <row r="492">
      <c r="A492" s="6"/>
      <c r="B492" s="6"/>
      <c r="C492" s="6"/>
      <c r="D492" s="6"/>
      <c r="E492" s="6"/>
      <c r="F492" s="6"/>
      <c r="G492" s="6"/>
      <c r="H492" s="6"/>
      <c r="I492" s="6"/>
      <c r="J492" s="6"/>
      <c r="K492" s="6"/>
      <c r="L492" s="80"/>
      <c r="M492" s="80"/>
      <c r="N492" s="80"/>
      <c r="O492" s="80"/>
      <c r="P492" s="6"/>
      <c r="Q492" s="6"/>
      <c r="R492" s="6"/>
      <c r="S492" s="6"/>
      <c r="T492" s="6"/>
      <c r="U492" s="6"/>
      <c r="V492" s="6"/>
      <c r="W492" s="7"/>
      <c r="X492" s="7"/>
      <c r="Y492" s="7"/>
      <c r="Z492" s="7"/>
    </row>
    <row r="493">
      <c r="A493" s="6"/>
      <c r="B493" s="6"/>
      <c r="C493" s="6"/>
      <c r="D493" s="6"/>
      <c r="E493" s="6"/>
      <c r="F493" s="6"/>
      <c r="G493" s="6"/>
      <c r="H493" s="6"/>
      <c r="I493" s="6"/>
      <c r="J493" s="6"/>
      <c r="K493" s="6"/>
      <c r="L493" s="80"/>
      <c r="M493" s="80"/>
      <c r="N493" s="80"/>
      <c r="O493" s="80"/>
      <c r="P493" s="6"/>
      <c r="Q493" s="6"/>
      <c r="R493" s="6"/>
      <c r="S493" s="6"/>
      <c r="T493" s="6"/>
      <c r="U493" s="6"/>
      <c r="V493" s="6"/>
      <c r="W493" s="7"/>
      <c r="X493" s="7"/>
      <c r="Y493" s="7"/>
      <c r="Z493" s="7"/>
    </row>
    <row r="494">
      <c r="A494" s="6"/>
      <c r="B494" s="6"/>
      <c r="C494" s="6"/>
      <c r="D494" s="6"/>
      <c r="E494" s="6"/>
      <c r="F494" s="6"/>
      <c r="G494" s="6"/>
      <c r="H494" s="6"/>
      <c r="I494" s="6"/>
      <c r="J494" s="6"/>
      <c r="K494" s="6"/>
      <c r="L494" s="80"/>
      <c r="M494" s="80"/>
      <c r="N494" s="80"/>
      <c r="O494" s="80"/>
      <c r="P494" s="6"/>
      <c r="Q494" s="6"/>
      <c r="R494" s="6"/>
      <c r="S494" s="6"/>
      <c r="T494" s="6"/>
      <c r="U494" s="6"/>
      <c r="V494" s="6"/>
      <c r="W494" s="7"/>
      <c r="X494" s="7"/>
      <c r="Y494" s="7"/>
      <c r="Z494" s="7"/>
    </row>
    <row r="495">
      <c r="A495" s="6"/>
      <c r="B495" s="6"/>
      <c r="C495" s="6"/>
      <c r="D495" s="6"/>
      <c r="E495" s="6"/>
      <c r="F495" s="6"/>
      <c r="G495" s="6"/>
      <c r="H495" s="6"/>
      <c r="I495" s="6"/>
      <c r="J495" s="6"/>
      <c r="K495" s="6"/>
      <c r="L495" s="80"/>
      <c r="M495" s="80"/>
      <c r="N495" s="80"/>
      <c r="O495" s="80"/>
      <c r="P495" s="6"/>
      <c r="Q495" s="6"/>
      <c r="R495" s="6"/>
      <c r="S495" s="6"/>
      <c r="T495" s="6"/>
      <c r="U495" s="6"/>
      <c r="V495" s="6"/>
      <c r="W495" s="7"/>
      <c r="X495" s="7"/>
      <c r="Y495" s="7"/>
      <c r="Z495" s="7"/>
    </row>
    <row r="496">
      <c r="A496" s="6"/>
      <c r="B496" s="6"/>
      <c r="C496" s="6"/>
      <c r="D496" s="6"/>
      <c r="E496" s="6"/>
      <c r="F496" s="6"/>
      <c r="G496" s="6"/>
      <c r="H496" s="6"/>
      <c r="I496" s="6"/>
      <c r="J496" s="6"/>
      <c r="K496" s="6"/>
      <c r="L496" s="80"/>
      <c r="M496" s="80"/>
      <c r="N496" s="80"/>
      <c r="O496" s="80"/>
      <c r="P496" s="6"/>
      <c r="Q496" s="6"/>
      <c r="R496" s="6"/>
      <c r="S496" s="6"/>
      <c r="T496" s="6"/>
      <c r="U496" s="6"/>
      <c r="V496" s="6"/>
      <c r="W496" s="7"/>
      <c r="X496" s="7"/>
      <c r="Y496" s="7"/>
      <c r="Z496" s="7"/>
    </row>
    <row r="497">
      <c r="A497" s="6"/>
      <c r="B497" s="6"/>
      <c r="C497" s="6"/>
      <c r="D497" s="6"/>
      <c r="E497" s="6"/>
      <c r="F497" s="6"/>
      <c r="G497" s="6"/>
      <c r="H497" s="6"/>
      <c r="I497" s="6"/>
      <c r="J497" s="6"/>
      <c r="K497" s="6"/>
      <c r="L497" s="80"/>
      <c r="M497" s="80"/>
      <c r="N497" s="80"/>
      <c r="O497" s="80"/>
      <c r="P497" s="6"/>
      <c r="Q497" s="6"/>
      <c r="R497" s="6"/>
      <c r="S497" s="6"/>
      <c r="T497" s="6"/>
      <c r="U497" s="6"/>
      <c r="V497" s="6"/>
      <c r="W497" s="7"/>
      <c r="X497" s="7"/>
      <c r="Y497" s="7"/>
      <c r="Z497" s="7"/>
    </row>
    <row r="498">
      <c r="A498" s="6"/>
      <c r="B498" s="6"/>
      <c r="C498" s="6"/>
      <c r="D498" s="6"/>
      <c r="E498" s="6"/>
      <c r="F498" s="6"/>
      <c r="G498" s="6"/>
      <c r="H498" s="6"/>
      <c r="I498" s="6"/>
      <c r="J498" s="6"/>
      <c r="K498" s="6"/>
      <c r="L498" s="80"/>
      <c r="M498" s="80"/>
      <c r="N498" s="80"/>
      <c r="O498" s="80"/>
      <c r="P498" s="6"/>
      <c r="Q498" s="6"/>
      <c r="R498" s="6"/>
      <c r="S498" s="6"/>
      <c r="T498" s="6"/>
      <c r="U498" s="6"/>
      <c r="V498" s="6"/>
      <c r="W498" s="7"/>
      <c r="X498" s="7"/>
      <c r="Y498" s="7"/>
      <c r="Z498" s="7"/>
    </row>
    <row r="499">
      <c r="A499" s="6"/>
      <c r="B499" s="6"/>
      <c r="C499" s="6"/>
      <c r="D499" s="6"/>
      <c r="E499" s="6"/>
      <c r="F499" s="6"/>
      <c r="G499" s="6"/>
      <c r="H499" s="6"/>
      <c r="I499" s="6"/>
      <c r="J499" s="6"/>
      <c r="K499" s="6"/>
      <c r="L499" s="80"/>
      <c r="M499" s="80"/>
      <c r="N499" s="80"/>
      <c r="O499" s="80"/>
      <c r="P499" s="6"/>
      <c r="Q499" s="6"/>
      <c r="R499" s="6"/>
      <c r="S499" s="6"/>
      <c r="T499" s="6"/>
      <c r="U499" s="6"/>
      <c r="V499" s="6"/>
      <c r="W499" s="7"/>
      <c r="X499" s="7"/>
      <c r="Y499" s="7"/>
      <c r="Z499" s="7"/>
    </row>
    <row r="500">
      <c r="A500" s="6"/>
      <c r="B500" s="6"/>
      <c r="C500" s="6"/>
      <c r="D500" s="6"/>
      <c r="E500" s="6"/>
      <c r="F500" s="6"/>
      <c r="G500" s="6"/>
      <c r="H500" s="6"/>
      <c r="I500" s="6"/>
      <c r="J500" s="6"/>
      <c r="K500" s="6"/>
      <c r="L500" s="80"/>
      <c r="M500" s="80"/>
      <c r="N500" s="80"/>
      <c r="O500" s="80"/>
      <c r="P500" s="6"/>
      <c r="Q500" s="6"/>
      <c r="R500" s="6"/>
      <c r="S500" s="6"/>
      <c r="T500" s="6"/>
      <c r="U500" s="6"/>
      <c r="V500" s="6"/>
      <c r="W500" s="7"/>
      <c r="X500" s="7"/>
      <c r="Y500" s="7"/>
      <c r="Z500" s="7"/>
    </row>
    <row r="501">
      <c r="A501" s="6"/>
      <c r="B501" s="6"/>
      <c r="C501" s="6"/>
      <c r="D501" s="6"/>
      <c r="E501" s="6"/>
      <c r="F501" s="6"/>
      <c r="G501" s="6"/>
      <c r="H501" s="6"/>
      <c r="I501" s="6"/>
      <c r="J501" s="6"/>
      <c r="K501" s="6"/>
      <c r="L501" s="80"/>
      <c r="M501" s="80"/>
      <c r="N501" s="80"/>
      <c r="O501" s="80"/>
      <c r="P501" s="6"/>
      <c r="Q501" s="6"/>
      <c r="R501" s="6"/>
      <c r="S501" s="6"/>
      <c r="T501" s="6"/>
      <c r="U501" s="6"/>
      <c r="V501" s="6"/>
      <c r="W501" s="7"/>
      <c r="X501" s="7"/>
      <c r="Y501" s="7"/>
      <c r="Z501" s="7"/>
    </row>
    <row r="502">
      <c r="A502" s="6"/>
      <c r="B502" s="6"/>
      <c r="C502" s="6"/>
      <c r="D502" s="6"/>
      <c r="E502" s="6"/>
      <c r="F502" s="6"/>
      <c r="G502" s="6"/>
      <c r="H502" s="6"/>
      <c r="I502" s="6"/>
      <c r="J502" s="6"/>
      <c r="K502" s="6"/>
      <c r="L502" s="80"/>
      <c r="M502" s="80"/>
      <c r="N502" s="80"/>
      <c r="O502" s="80"/>
      <c r="P502" s="6"/>
      <c r="Q502" s="6"/>
      <c r="R502" s="6"/>
      <c r="S502" s="6"/>
      <c r="T502" s="6"/>
      <c r="U502" s="6"/>
      <c r="V502" s="6"/>
      <c r="W502" s="7"/>
      <c r="X502" s="7"/>
      <c r="Y502" s="7"/>
      <c r="Z502" s="7"/>
    </row>
    <row r="503">
      <c r="A503" s="6"/>
      <c r="B503" s="6"/>
      <c r="C503" s="6"/>
      <c r="D503" s="6"/>
      <c r="E503" s="6"/>
      <c r="F503" s="6"/>
      <c r="G503" s="6"/>
      <c r="H503" s="6"/>
      <c r="I503" s="6"/>
      <c r="J503" s="6"/>
      <c r="K503" s="6"/>
      <c r="L503" s="80"/>
      <c r="M503" s="80"/>
      <c r="N503" s="80"/>
      <c r="O503" s="80"/>
      <c r="P503" s="6"/>
      <c r="Q503" s="6"/>
      <c r="R503" s="6"/>
      <c r="S503" s="6"/>
      <c r="T503" s="6"/>
      <c r="U503" s="6"/>
      <c r="V503" s="6"/>
      <c r="W503" s="7"/>
      <c r="X503" s="7"/>
      <c r="Y503" s="7"/>
      <c r="Z503" s="7"/>
    </row>
    <row r="504">
      <c r="A504" s="6"/>
      <c r="B504" s="6"/>
      <c r="C504" s="6"/>
      <c r="D504" s="6"/>
      <c r="E504" s="6"/>
      <c r="F504" s="6"/>
      <c r="G504" s="6"/>
      <c r="H504" s="6"/>
      <c r="I504" s="6"/>
      <c r="J504" s="6"/>
      <c r="K504" s="6"/>
      <c r="L504" s="80"/>
      <c r="M504" s="80"/>
      <c r="N504" s="80"/>
      <c r="O504" s="80"/>
      <c r="P504" s="6"/>
      <c r="Q504" s="6"/>
      <c r="R504" s="6"/>
      <c r="S504" s="6"/>
      <c r="T504" s="6"/>
      <c r="U504" s="6"/>
      <c r="V504" s="6"/>
      <c r="W504" s="7"/>
      <c r="X504" s="7"/>
      <c r="Y504" s="7"/>
      <c r="Z504" s="7"/>
    </row>
    <row r="505">
      <c r="A505" s="6"/>
      <c r="B505" s="6"/>
      <c r="C505" s="6"/>
      <c r="D505" s="6"/>
      <c r="E505" s="6"/>
      <c r="F505" s="6"/>
      <c r="G505" s="6"/>
      <c r="H505" s="6"/>
      <c r="I505" s="6"/>
      <c r="J505" s="6"/>
      <c r="K505" s="6"/>
      <c r="L505" s="80"/>
      <c r="M505" s="80"/>
      <c r="N505" s="80"/>
      <c r="O505" s="80"/>
      <c r="P505" s="6"/>
      <c r="Q505" s="6"/>
      <c r="R505" s="6"/>
      <c r="S505" s="6"/>
      <c r="T505" s="6"/>
      <c r="U505" s="6"/>
      <c r="V505" s="6"/>
      <c r="W505" s="7"/>
      <c r="X505" s="7"/>
      <c r="Y505" s="7"/>
      <c r="Z505" s="7"/>
    </row>
    <row r="506">
      <c r="A506" s="6"/>
      <c r="B506" s="6"/>
      <c r="C506" s="6"/>
      <c r="D506" s="6"/>
      <c r="E506" s="6"/>
      <c r="F506" s="6"/>
      <c r="G506" s="6"/>
      <c r="H506" s="6"/>
      <c r="I506" s="6"/>
      <c r="J506" s="6"/>
      <c r="K506" s="6"/>
      <c r="L506" s="80"/>
      <c r="M506" s="80"/>
      <c r="N506" s="80"/>
      <c r="O506" s="80"/>
      <c r="P506" s="6"/>
      <c r="Q506" s="6"/>
      <c r="R506" s="6"/>
      <c r="S506" s="6"/>
      <c r="T506" s="6"/>
      <c r="U506" s="6"/>
      <c r="V506" s="6"/>
      <c r="W506" s="7"/>
      <c r="X506" s="7"/>
      <c r="Y506" s="7"/>
      <c r="Z506" s="7"/>
    </row>
    <row r="507">
      <c r="A507" s="6"/>
      <c r="B507" s="6"/>
      <c r="C507" s="6"/>
      <c r="D507" s="6"/>
      <c r="E507" s="6"/>
      <c r="F507" s="6"/>
      <c r="G507" s="6"/>
      <c r="H507" s="6"/>
      <c r="I507" s="6"/>
      <c r="J507" s="6"/>
      <c r="K507" s="6"/>
      <c r="L507" s="80"/>
      <c r="M507" s="80"/>
      <c r="N507" s="80"/>
      <c r="O507" s="80"/>
      <c r="P507" s="6"/>
      <c r="Q507" s="6"/>
      <c r="R507" s="6"/>
      <c r="S507" s="6"/>
      <c r="T507" s="6"/>
      <c r="U507" s="6"/>
      <c r="V507" s="6"/>
      <c r="W507" s="7"/>
      <c r="X507" s="7"/>
      <c r="Y507" s="7"/>
      <c r="Z507" s="7"/>
    </row>
    <row r="508">
      <c r="A508" s="6"/>
      <c r="B508" s="6"/>
      <c r="C508" s="6"/>
      <c r="D508" s="6"/>
      <c r="E508" s="6"/>
      <c r="F508" s="6"/>
      <c r="G508" s="6"/>
      <c r="H508" s="6"/>
      <c r="I508" s="6"/>
      <c r="J508" s="6"/>
      <c r="K508" s="6"/>
      <c r="L508" s="80"/>
      <c r="M508" s="80"/>
      <c r="N508" s="80"/>
      <c r="O508" s="80"/>
      <c r="P508" s="6"/>
      <c r="Q508" s="6"/>
      <c r="R508" s="6"/>
      <c r="S508" s="6"/>
      <c r="T508" s="6"/>
      <c r="U508" s="6"/>
      <c r="V508" s="6"/>
      <c r="W508" s="7"/>
      <c r="X508" s="7"/>
      <c r="Y508" s="7"/>
      <c r="Z508" s="7"/>
    </row>
    <row r="509">
      <c r="A509" s="6"/>
      <c r="B509" s="6"/>
      <c r="C509" s="6"/>
      <c r="D509" s="6"/>
      <c r="E509" s="6"/>
      <c r="F509" s="6"/>
      <c r="G509" s="6"/>
      <c r="H509" s="6"/>
      <c r="I509" s="6"/>
      <c r="J509" s="6"/>
      <c r="K509" s="6"/>
      <c r="L509" s="80"/>
      <c r="M509" s="80"/>
      <c r="N509" s="80"/>
      <c r="O509" s="80"/>
      <c r="P509" s="6"/>
      <c r="Q509" s="6"/>
      <c r="R509" s="6"/>
      <c r="S509" s="6"/>
      <c r="T509" s="6"/>
      <c r="U509" s="6"/>
      <c r="V509" s="6"/>
      <c r="W509" s="7"/>
      <c r="X509" s="7"/>
      <c r="Y509" s="7"/>
      <c r="Z509" s="7"/>
    </row>
    <row r="510">
      <c r="A510" s="6"/>
      <c r="B510" s="6"/>
      <c r="C510" s="6"/>
      <c r="D510" s="6"/>
      <c r="E510" s="6"/>
      <c r="F510" s="6"/>
      <c r="G510" s="6"/>
      <c r="H510" s="6"/>
      <c r="I510" s="6"/>
      <c r="J510" s="6"/>
      <c r="K510" s="6"/>
      <c r="L510" s="80"/>
      <c r="M510" s="80"/>
      <c r="N510" s="80"/>
      <c r="O510" s="80"/>
      <c r="P510" s="6"/>
      <c r="Q510" s="6"/>
      <c r="R510" s="6"/>
      <c r="S510" s="6"/>
      <c r="T510" s="6"/>
      <c r="U510" s="6"/>
      <c r="V510" s="6"/>
      <c r="W510" s="7"/>
      <c r="X510" s="7"/>
      <c r="Y510" s="7"/>
      <c r="Z510" s="7"/>
    </row>
    <row r="511">
      <c r="A511" s="6"/>
      <c r="B511" s="6"/>
      <c r="C511" s="6"/>
      <c r="D511" s="6"/>
      <c r="E511" s="6"/>
      <c r="F511" s="6"/>
      <c r="G511" s="6"/>
      <c r="H511" s="6"/>
      <c r="I511" s="6"/>
      <c r="J511" s="6"/>
      <c r="K511" s="6"/>
      <c r="L511" s="80"/>
      <c r="M511" s="80"/>
      <c r="N511" s="80"/>
      <c r="O511" s="80"/>
      <c r="P511" s="6"/>
      <c r="Q511" s="6"/>
      <c r="R511" s="6"/>
      <c r="S511" s="6"/>
      <c r="T511" s="6"/>
      <c r="U511" s="6"/>
      <c r="V511" s="6"/>
      <c r="W511" s="7"/>
      <c r="X511" s="7"/>
      <c r="Y511" s="7"/>
      <c r="Z511" s="7"/>
    </row>
    <row r="512">
      <c r="A512" s="6"/>
      <c r="B512" s="6"/>
      <c r="C512" s="6"/>
      <c r="D512" s="6"/>
      <c r="E512" s="6"/>
      <c r="F512" s="6"/>
      <c r="G512" s="6"/>
      <c r="H512" s="6"/>
      <c r="I512" s="6"/>
      <c r="J512" s="6"/>
      <c r="K512" s="6"/>
      <c r="L512" s="80"/>
      <c r="M512" s="80"/>
      <c r="N512" s="80"/>
      <c r="O512" s="80"/>
      <c r="P512" s="6"/>
      <c r="Q512" s="6"/>
      <c r="R512" s="6"/>
      <c r="S512" s="6"/>
      <c r="T512" s="6"/>
      <c r="U512" s="6"/>
      <c r="V512" s="6"/>
      <c r="W512" s="7"/>
      <c r="X512" s="7"/>
      <c r="Y512" s="7"/>
      <c r="Z512" s="7"/>
    </row>
    <row r="513">
      <c r="A513" s="6"/>
      <c r="B513" s="6"/>
      <c r="C513" s="6"/>
      <c r="D513" s="6"/>
      <c r="E513" s="6"/>
      <c r="F513" s="6"/>
      <c r="G513" s="6"/>
      <c r="H513" s="6"/>
      <c r="I513" s="6"/>
      <c r="J513" s="6"/>
      <c r="K513" s="6"/>
      <c r="L513" s="80"/>
      <c r="M513" s="80"/>
      <c r="N513" s="80"/>
      <c r="O513" s="80"/>
      <c r="P513" s="6"/>
      <c r="Q513" s="6"/>
      <c r="R513" s="6"/>
      <c r="S513" s="6"/>
      <c r="T513" s="6"/>
      <c r="U513" s="6"/>
      <c r="V513" s="6"/>
      <c r="W513" s="7"/>
      <c r="X513" s="7"/>
      <c r="Y513" s="7"/>
      <c r="Z513" s="7"/>
    </row>
    <row r="514">
      <c r="A514" s="6"/>
      <c r="B514" s="6"/>
      <c r="C514" s="6"/>
      <c r="D514" s="6"/>
      <c r="E514" s="6"/>
      <c r="F514" s="6"/>
      <c r="G514" s="6"/>
      <c r="H514" s="6"/>
      <c r="I514" s="6"/>
      <c r="J514" s="6"/>
      <c r="K514" s="6"/>
      <c r="L514" s="80"/>
      <c r="M514" s="80"/>
      <c r="N514" s="80"/>
      <c r="O514" s="80"/>
      <c r="P514" s="6"/>
      <c r="Q514" s="6"/>
      <c r="R514" s="6"/>
      <c r="S514" s="6"/>
      <c r="T514" s="6"/>
      <c r="U514" s="6"/>
      <c r="V514" s="6"/>
      <c r="W514" s="7"/>
      <c r="X514" s="7"/>
      <c r="Y514" s="7"/>
      <c r="Z514" s="7"/>
    </row>
    <row r="515">
      <c r="A515" s="6"/>
      <c r="B515" s="6"/>
      <c r="C515" s="6"/>
      <c r="D515" s="6"/>
      <c r="E515" s="6"/>
      <c r="F515" s="6"/>
      <c r="G515" s="6"/>
      <c r="H515" s="6"/>
      <c r="I515" s="6"/>
      <c r="J515" s="6"/>
      <c r="K515" s="6"/>
      <c r="L515" s="80"/>
      <c r="M515" s="80"/>
      <c r="N515" s="80"/>
      <c r="O515" s="80"/>
      <c r="P515" s="6"/>
      <c r="Q515" s="6"/>
      <c r="R515" s="6"/>
      <c r="S515" s="6"/>
      <c r="T515" s="6"/>
      <c r="U515" s="6"/>
      <c r="V515" s="6"/>
      <c r="W515" s="7"/>
      <c r="X515" s="7"/>
      <c r="Y515" s="7"/>
      <c r="Z515" s="7"/>
    </row>
    <row r="516">
      <c r="A516" s="6"/>
      <c r="B516" s="6"/>
      <c r="C516" s="6"/>
      <c r="D516" s="6"/>
      <c r="E516" s="6"/>
      <c r="F516" s="6"/>
      <c r="G516" s="6"/>
      <c r="H516" s="6"/>
      <c r="I516" s="6"/>
      <c r="J516" s="6"/>
      <c r="K516" s="6"/>
      <c r="L516" s="80"/>
      <c r="M516" s="80"/>
      <c r="N516" s="80"/>
      <c r="O516" s="80"/>
      <c r="P516" s="6"/>
      <c r="Q516" s="6"/>
      <c r="R516" s="6"/>
      <c r="S516" s="6"/>
      <c r="T516" s="6"/>
      <c r="U516" s="6"/>
      <c r="V516" s="6"/>
      <c r="W516" s="7"/>
      <c r="X516" s="7"/>
      <c r="Y516" s="7"/>
      <c r="Z516" s="7"/>
    </row>
    <row r="517">
      <c r="A517" s="6"/>
      <c r="B517" s="6"/>
      <c r="C517" s="6"/>
      <c r="D517" s="6"/>
      <c r="E517" s="6"/>
      <c r="F517" s="6"/>
      <c r="G517" s="6"/>
      <c r="H517" s="6"/>
      <c r="I517" s="6"/>
      <c r="J517" s="6"/>
      <c r="K517" s="6"/>
      <c r="L517" s="80"/>
      <c r="M517" s="80"/>
      <c r="N517" s="80"/>
      <c r="O517" s="80"/>
      <c r="P517" s="6"/>
      <c r="Q517" s="6"/>
      <c r="R517" s="6"/>
      <c r="S517" s="6"/>
      <c r="T517" s="6"/>
      <c r="U517" s="6"/>
      <c r="V517" s="6"/>
      <c r="W517" s="7"/>
      <c r="X517" s="7"/>
      <c r="Y517" s="7"/>
      <c r="Z517" s="7"/>
    </row>
    <row r="518">
      <c r="A518" s="6"/>
      <c r="B518" s="6"/>
      <c r="C518" s="6"/>
      <c r="D518" s="6"/>
      <c r="E518" s="6"/>
      <c r="F518" s="6"/>
      <c r="G518" s="6"/>
      <c r="H518" s="6"/>
      <c r="I518" s="6"/>
      <c r="J518" s="6"/>
      <c r="K518" s="6"/>
      <c r="L518" s="80"/>
      <c r="M518" s="80"/>
      <c r="N518" s="80"/>
      <c r="O518" s="80"/>
      <c r="P518" s="6"/>
      <c r="Q518" s="6"/>
      <c r="R518" s="6"/>
      <c r="S518" s="6"/>
      <c r="T518" s="6"/>
      <c r="U518" s="6"/>
      <c r="V518" s="6"/>
      <c r="W518" s="7"/>
      <c r="X518" s="7"/>
      <c r="Y518" s="7"/>
      <c r="Z518" s="7"/>
    </row>
    <row r="519">
      <c r="A519" s="6"/>
      <c r="B519" s="6"/>
      <c r="C519" s="6"/>
      <c r="D519" s="6"/>
      <c r="E519" s="6"/>
      <c r="F519" s="6"/>
      <c r="G519" s="6"/>
      <c r="H519" s="6"/>
      <c r="I519" s="6"/>
      <c r="J519" s="6"/>
      <c r="K519" s="6"/>
      <c r="L519" s="80"/>
      <c r="M519" s="80"/>
      <c r="N519" s="80"/>
      <c r="O519" s="80"/>
      <c r="P519" s="6"/>
      <c r="Q519" s="6"/>
      <c r="R519" s="6"/>
      <c r="S519" s="6"/>
      <c r="T519" s="6"/>
      <c r="U519" s="6"/>
      <c r="V519" s="6"/>
      <c r="W519" s="7"/>
      <c r="X519" s="7"/>
      <c r="Y519" s="7"/>
      <c r="Z519" s="7"/>
    </row>
    <row r="520">
      <c r="A520" s="6"/>
      <c r="B520" s="6"/>
      <c r="C520" s="6"/>
      <c r="D520" s="6"/>
      <c r="E520" s="6"/>
      <c r="F520" s="6"/>
      <c r="G520" s="6"/>
      <c r="H520" s="6"/>
      <c r="I520" s="6"/>
      <c r="J520" s="6"/>
      <c r="K520" s="6"/>
      <c r="L520" s="80"/>
      <c r="M520" s="80"/>
      <c r="N520" s="80"/>
      <c r="O520" s="80"/>
      <c r="P520" s="6"/>
      <c r="Q520" s="6"/>
      <c r="R520" s="6"/>
      <c r="S520" s="6"/>
      <c r="T520" s="6"/>
      <c r="U520" s="6"/>
      <c r="V520" s="6"/>
      <c r="W520" s="7"/>
      <c r="X520" s="7"/>
      <c r="Y520" s="7"/>
      <c r="Z520" s="7"/>
    </row>
    <row r="521">
      <c r="A521" s="6"/>
      <c r="B521" s="6"/>
      <c r="C521" s="6"/>
      <c r="D521" s="6"/>
      <c r="E521" s="6"/>
      <c r="F521" s="6"/>
      <c r="G521" s="6"/>
      <c r="H521" s="6"/>
      <c r="I521" s="6"/>
      <c r="J521" s="6"/>
      <c r="K521" s="6"/>
      <c r="L521" s="80"/>
      <c r="M521" s="80"/>
      <c r="N521" s="80"/>
      <c r="O521" s="80"/>
      <c r="P521" s="6"/>
      <c r="Q521" s="6"/>
      <c r="R521" s="6"/>
      <c r="S521" s="6"/>
      <c r="T521" s="6"/>
      <c r="U521" s="6"/>
      <c r="V521" s="6"/>
      <c r="W521" s="7"/>
      <c r="X521" s="7"/>
      <c r="Y521" s="7"/>
      <c r="Z521" s="7"/>
    </row>
    <row r="522">
      <c r="A522" s="6"/>
      <c r="B522" s="6"/>
      <c r="C522" s="6"/>
      <c r="D522" s="6"/>
      <c r="E522" s="6"/>
      <c r="F522" s="6"/>
      <c r="G522" s="6"/>
      <c r="H522" s="6"/>
      <c r="I522" s="6"/>
      <c r="J522" s="6"/>
      <c r="K522" s="6"/>
      <c r="L522" s="80"/>
      <c r="M522" s="80"/>
      <c r="N522" s="80"/>
      <c r="O522" s="80"/>
      <c r="P522" s="6"/>
      <c r="Q522" s="6"/>
      <c r="R522" s="6"/>
      <c r="S522" s="6"/>
      <c r="T522" s="6"/>
      <c r="U522" s="6"/>
      <c r="V522" s="6"/>
      <c r="W522" s="7"/>
      <c r="X522" s="7"/>
      <c r="Y522" s="7"/>
      <c r="Z522" s="7"/>
    </row>
    <row r="523">
      <c r="A523" s="6"/>
      <c r="B523" s="6"/>
      <c r="C523" s="6"/>
      <c r="D523" s="6"/>
      <c r="E523" s="6"/>
      <c r="F523" s="6"/>
      <c r="G523" s="6"/>
      <c r="H523" s="6"/>
      <c r="I523" s="6"/>
      <c r="J523" s="6"/>
      <c r="K523" s="6"/>
      <c r="L523" s="80"/>
      <c r="M523" s="80"/>
      <c r="N523" s="80"/>
      <c r="O523" s="80"/>
      <c r="P523" s="6"/>
      <c r="Q523" s="6"/>
      <c r="R523" s="6"/>
      <c r="S523" s="6"/>
      <c r="T523" s="6"/>
      <c r="U523" s="6"/>
      <c r="V523" s="6"/>
      <c r="W523" s="7"/>
      <c r="X523" s="7"/>
      <c r="Y523" s="7"/>
      <c r="Z523" s="7"/>
    </row>
    <row r="524">
      <c r="A524" s="6"/>
      <c r="B524" s="6"/>
      <c r="C524" s="6"/>
      <c r="D524" s="6"/>
      <c r="E524" s="6"/>
      <c r="F524" s="6"/>
      <c r="G524" s="6"/>
      <c r="H524" s="6"/>
      <c r="I524" s="6"/>
      <c r="J524" s="6"/>
      <c r="K524" s="6"/>
      <c r="L524" s="80"/>
      <c r="M524" s="80"/>
      <c r="N524" s="80"/>
      <c r="O524" s="80"/>
      <c r="P524" s="6"/>
      <c r="Q524" s="6"/>
      <c r="R524" s="6"/>
      <c r="S524" s="6"/>
      <c r="T524" s="6"/>
      <c r="U524" s="6"/>
      <c r="V524" s="6"/>
      <c r="W524" s="7"/>
      <c r="X524" s="7"/>
      <c r="Y524" s="7"/>
      <c r="Z524" s="7"/>
    </row>
    <row r="525">
      <c r="A525" s="6"/>
      <c r="B525" s="6"/>
      <c r="C525" s="6"/>
      <c r="D525" s="6"/>
      <c r="E525" s="6"/>
      <c r="F525" s="6"/>
      <c r="G525" s="6"/>
      <c r="H525" s="6"/>
      <c r="I525" s="6"/>
      <c r="J525" s="6"/>
      <c r="K525" s="6"/>
      <c r="L525" s="80"/>
      <c r="M525" s="80"/>
      <c r="N525" s="80"/>
      <c r="O525" s="80"/>
      <c r="P525" s="6"/>
      <c r="Q525" s="6"/>
      <c r="R525" s="6"/>
      <c r="S525" s="6"/>
      <c r="T525" s="6"/>
      <c r="U525" s="6"/>
      <c r="V525" s="6"/>
      <c r="W525" s="7"/>
      <c r="X525" s="7"/>
      <c r="Y525" s="7"/>
      <c r="Z525" s="7"/>
    </row>
    <row r="526">
      <c r="A526" s="6"/>
      <c r="B526" s="6"/>
      <c r="C526" s="6"/>
      <c r="D526" s="6"/>
      <c r="E526" s="6"/>
      <c r="F526" s="6"/>
      <c r="G526" s="6"/>
      <c r="H526" s="6"/>
      <c r="I526" s="6"/>
      <c r="J526" s="6"/>
      <c r="K526" s="6"/>
      <c r="L526" s="80"/>
      <c r="M526" s="80"/>
      <c r="N526" s="80"/>
      <c r="O526" s="80"/>
      <c r="P526" s="6"/>
      <c r="Q526" s="6"/>
      <c r="R526" s="6"/>
      <c r="S526" s="6"/>
      <c r="T526" s="6"/>
      <c r="U526" s="6"/>
      <c r="V526" s="6"/>
      <c r="W526" s="7"/>
      <c r="X526" s="7"/>
      <c r="Y526" s="7"/>
      <c r="Z526" s="7"/>
    </row>
    <row r="527">
      <c r="A527" s="6"/>
      <c r="B527" s="6"/>
      <c r="C527" s="6"/>
      <c r="D527" s="6"/>
      <c r="E527" s="6"/>
      <c r="F527" s="6"/>
      <c r="G527" s="6"/>
      <c r="H527" s="6"/>
      <c r="I527" s="6"/>
      <c r="J527" s="6"/>
      <c r="K527" s="6"/>
      <c r="L527" s="80"/>
      <c r="M527" s="80"/>
      <c r="N527" s="80"/>
      <c r="O527" s="80"/>
      <c r="P527" s="6"/>
      <c r="Q527" s="6"/>
      <c r="R527" s="6"/>
      <c r="S527" s="6"/>
      <c r="T527" s="6"/>
      <c r="U527" s="6"/>
      <c r="V527" s="6"/>
      <c r="W527" s="7"/>
      <c r="X527" s="7"/>
      <c r="Y527" s="7"/>
      <c r="Z527" s="7"/>
    </row>
    <row r="528">
      <c r="A528" s="6"/>
      <c r="B528" s="6"/>
      <c r="C528" s="6"/>
      <c r="D528" s="6"/>
      <c r="E528" s="6"/>
      <c r="F528" s="6"/>
      <c r="G528" s="6"/>
      <c r="H528" s="6"/>
      <c r="I528" s="6"/>
      <c r="J528" s="6"/>
      <c r="K528" s="6"/>
      <c r="L528" s="80"/>
      <c r="M528" s="80"/>
      <c r="N528" s="80"/>
      <c r="O528" s="80"/>
      <c r="P528" s="6"/>
      <c r="Q528" s="6"/>
      <c r="R528" s="6"/>
      <c r="S528" s="6"/>
      <c r="T528" s="6"/>
      <c r="U528" s="6"/>
      <c r="V528" s="6"/>
      <c r="W528" s="7"/>
      <c r="X528" s="7"/>
      <c r="Y528" s="7"/>
      <c r="Z528" s="7"/>
    </row>
    <row r="529">
      <c r="A529" s="6"/>
      <c r="B529" s="6"/>
      <c r="C529" s="6"/>
      <c r="D529" s="6"/>
      <c r="E529" s="6"/>
      <c r="F529" s="6"/>
      <c r="G529" s="6"/>
      <c r="H529" s="6"/>
      <c r="I529" s="6"/>
      <c r="J529" s="6"/>
      <c r="K529" s="6"/>
      <c r="L529" s="80"/>
      <c r="M529" s="80"/>
      <c r="N529" s="80"/>
      <c r="O529" s="80"/>
      <c r="P529" s="6"/>
      <c r="Q529" s="6"/>
      <c r="R529" s="6"/>
      <c r="S529" s="6"/>
      <c r="T529" s="6"/>
      <c r="U529" s="6"/>
      <c r="V529" s="6"/>
      <c r="W529" s="7"/>
      <c r="X529" s="7"/>
      <c r="Y529" s="7"/>
      <c r="Z529" s="7"/>
    </row>
    <row r="530">
      <c r="A530" s="6"/>
      <c r="B530" s="6"/>
      <c r="C530" s="6"/>
      <c r="D530" s="6"/>
      <c r="E530" s="6"/>
      <c r="F530" s="6"/>
      <c r="G530" s="6"/>
      <c r="H530" s="6"/>
      <c r="I530" s="6"/>
      <c r="J530" s="6"/>
      <c r="K530" s="6"/>
      <c r="L530" s="80"/>
      <c r="M530" s="80"/>
      <c r="N530" s="80"/>
      <c r="O530" s="80"/>
      <c r="P530" s="6"/>
      <c r="Q530" s="6"/>
      <c r="R530" s="6"/>
      <c r="S530" s="6"/>
      <c r="T530" s="6"/>
      <c r="U530" s="6"/>
      <c r="V530" s="6"/>
      <c r="W530" s="7"/>
      <c r="X530" s="7"/>
      <c r="Y530" s="7"/>
      <c r="Z530" s="7"/>
    </row>
    <row r="531">
      <c r="A531" s="6"/>
      <c r="B531" s="6"/>
      <c r="C531" s="6"/>
      <c r="D531" s="6"/>
      <c r="E531" s="6"/>
      <c r="F531" s="6"/>
      <c r="G531" s="6"/>
      <c r="H531" s="6"/>
      <c r="I531" s="6"/>
      <c r="J531" s="6"/>
      <c r="K531" s="6"/>
      <c r="L531" s="80"/>
      <c r="M531" s="80"/>
      <c r="N531" s="80"/>
      <c r="O531" s="80"/>
      <c r="P531" s="6"/>
      <c r="Q531" s="6"/>
      <c r="R531" s="6"/>
      <c r="S531" s="6"/>
      <c r="T531" s="6"/>
      <c r="U531" s="6"/>
      <c r="V531" s="6"/>
      <c r="W531" s="7"/>
      <c r="X531" s="7"/>
      <c r="Y531" s="7"/>
      <c r="Z531" s="7"/>
    </row>
    <row r="532">
      <c r="A532" s="6"/>
      <c r="B532" s="6"/>
      <c r="C532" s="6"/>
      <c r="D532" s="6"/>
      <c r="E532" s="6"/>
      <c r="F532" s="6"/>
      <c r="G532" s="6"/>
      <c r="H532" s="6"/>
      <c r="I532" s="6"/>
      <c r="J532" s="6"/>
      <c r="K532" s="6"/>
      <c r="L532" s="80"/>
      <c r="M532" s="80"/>
      <c r="N532" s="80"/>
      <c r="O532" s="80"/>
      <c r="P532" s="6"/>
      <c r="Q532" s="6"/>
      <c r="R532" s="6"/>
      <c r="S532" s="6"/>
      <c r="T532" s="6"/>
      <c r="U532" s="6"/>
      <c r="V532" s="6"/>
      <c r="W532" s="7"/>
      <c r="X532" s="7"/>
      <c r="Y532" s="7"/>
      <c r="Z532" s="7"/>
    </row>
    <row r="533">
      <c r="A533" s="6"/>
      <c r="B533" s="6"/>
      <c r="C533" s="6"/>
      <c r="D533" s="6"/>
      <c r="E533" s="6"/>
      <c r="F533" s="6"/>
      <c r="G533" s="6"/>
      <c r="H533" s="6"/>
      <c r="I533" s="6"/>
      <c r="J533" s="6"/>
      <c r="K533" s="6"/>
      <c r="L533" s="80"/>
      <c r="M533" s="80"/>
      <c r="N533" s="80"/>
      <c r="O533" s="80"/>
      <c r="P533" s="6"/>
      <c r="Q533" s="6"/>
      <c r="R533" s="6"/>
      <c r="S533" s="6"/>
      <c r="T533" s="6"/>
      <c r="U533" s="6"/>
      <c r="V533" s="6"/>
      <c r="W533" s="7"/>
      <c r="X533" s="7"/>
      <c r="Y533" s="7"/>
      <c r="Z533" s="7"/>
    </row>
    <row r="534">
      <c r="A534" s="6"/>
      <c r="B534" s="6"/>
      <c r="C534" s="6"/>
      <c r="D534" s="6"/>
      <c r="E534" s="6"/>
      <c r="F534" s="6"/>
      <c r="G534" s="6"/>
      <c r="H534" s="6"/>
      <c r="I534" s="6"/>
      <c r="J534" s="6"/>
      <c r="K534" s="6"/>
      <c r="L534" s="80"/>
      <c r="M534" s="80"/>
      <c r="N534" s="80"/>
      <c r="O534" s="80"/>
      <c r="P534" s="6"/>
      <c r="Q534" s="6"/>
      <c r="R534" s="6"/>
      <c r="S534" s="6"/>
      <c r="T534" s="6"/>
      <c r="U534" s="6"/>
      <c r="V534" s="6"/>
      <c r="W534" s="7"/>
      <c r="X534" s="7"/>
      <c r="Y534" s="7"/>
      <c r="Z534" s="7"/>
    </row>
    <row r="535">
      <c r="A535" s="6"/>
      <c r="B535" s="6"/>
      <c r="C535" s="6"/>
      <c r="D535" s="6"/>
      <c r="E535" s="6"/>
      <c r="F535" s="6"/>
      <c r="G535" s="6"/>
      <c r="H535" s="6"/>
      <c r="I535" s="6"/>
      <c r="J535" s="6"/>
      <c r="K535" s="6"/>
      <c r="L535" s="80"/>
      <c r="M535" s="80"/>
      <c r="N535" s="80"/>
      <c r="O535" s="80"/>
      <c r="P535" s="6"/>
      <c r="Q535" s="6"/>
      <c r="R535" s="6"/>
      <c r="S535" s="6"/>
      <c r="T535" s="6"/>
      <c r="U535" s="6"/>
      <c r="V535" s="6"/>
      <c r="W535" s="7"/>
      <c r="X535" s="7"/>
      <c r="Y535" s="7"/>
      <c r="Z535" s="7"/>
    </row>
    <row r="536">
      <c r="A536" s="6"/>
      <c r="B536" s="6"/>
      <c r="C536" s="6"/>
      <c r="D536" s="6"/>
      <c r="E536" s="6"/>
      <c r="F536" s="6"/>
      <c r="G536" s="6"/>
      <c r="H536" s="6"/>
      <c r="I536" s="6"/>
      <c r="J536" s="6"/>
      <c r="K536" s="6"/>
      <c r="L536" s="80"/>
      <c r="M536" s="80"/>
      <c r="N536" s="80"/>
      <c r="O536" s="80"/>
      <c r="P536" s="6"/>
      <c r="Q536" s="6"/>
      <c r="R536" s="6"/>
      <c r="S536" s="6"/>
      <c r="T536" s="6"/>
      <c r="U536" s="6"/>
      <c r="V536" s="6"/>
      <c r="W536" s="7"/>
      <c r="X536" s="7"/>
      <c r="Y536" s="7"/>
      <c r="Z536" s="7"/>
    </row>
    <row r="537">
      <c r="A537" s="6"/>
      <c r="B537" s="6"/>
      <c r="C537" s="6"/>
      <c r="D537" s="6"/>
      <c r="E537" s="6"/>
      <c r="F537" s="6"/>
      <c r="G537" s="6"/>
      <c r="H537" s="6"/>
      <c r="I537" s="6"/>
      <c r="J537" s="6"/>
      <c r="K537" s="6"/>
      <c r="L537" s="80"/>
      <c r="M537" s="80"/>
      <c r="N537" s="80"/>
      <c r="O537" s="80"/>
      <c r="P537" s="6"/>
      <c r="Q537" s="6"/>
      <c r="R537" s="6"/>
      <c r="S537" s="6"/>
      <c r="T537" s="6"/>
      <c r="U537" s="6"/>
      <c r="V537" s="6"/>
      <c r="W537" s="7"/>
      <c r="X537" s="7"/>
      <c r="Y537" s="7"/>
      <c r="Z537" s="7"/>
    </row>
    <row r="538">
      <c r="A538" s="6"/>
      <c r="B538" s="6"/>
      <c r="C538" s="6"/>
      <c r="D538" s="6"/>
      <c r="E538" s="6"/>
      <c r="F538" s="6"/>
      <c r="G538" s="6"/>
      <c r="H538" s="6"/>
      <c r="I538" s="6"/>
      <c r="J538" s="6"/>
      <c r="K538" s="6"/>
      <c r="L538" s="80"/>
      <c r="M538" s="80"/>
      <c r="N538" s="80"/>
      <c r="O538" s="80"/>
      <c r="P538" s="6"/>
      <c r="Q538" s="6"/>
      <c r="R538" s="6"/>
      <c r="S538" s="6"/>
      <c r="T538" s="6"/>
      <c r="U538" s="6"/>
      <c r="V538" s="6"/>
      <c r="W538" s="7"/>
      <c r="X538" s="7"/>
      <c r="Y538" s="7"/>
      <c r="Z538" s="7"/>
    </row>
    <row r="539">
      <c r="A539" s="6"/>
      <c r="B539" s="6"/>
      <c r="C539" s="6"/>
      <c r="D539" s="6"/>
      <c r="E539" s="6"/>
      <c r="F539" s="6"/>
      <c r="G539" s="6"/>
      <c r="H539" s="6"/>
      <c r="I539" s="6"/>
      <c r="J539" s="6"/>
      <c r="K539" s="6"/>
      <c r="L539" s="80"/>
      <c r="M539" s="80"/>
      <c r="N539" s="80"/>
      <c r="O539" s="80"/>
      <c r="P539" s="6"/>
      <c r="Q539" s="6"/>
      <c r="R539" s="6"/>
      <c r="S539" s="6"/>
      <c r="T539" s="6"/>
      <c r="U539" s="6"/>
      <c r="V539" s="6"/>
      <c r="W539" s="7"/>
      <c r="X539" s="7"/>
      <c r="Y539" s="7"/>
      <c r="Z539" s="7"/>
    </row>
    <row r="540">
      <c r="A540" s="6"/>
      <c r="B540" s="6"/>
      <c r="C540" s="6"/>
      <c r="D540" s="6"/>
      <c r="E540" s="6"/>
      <c r="F540" s="6"/>
      <c r="G540" s="6"/>
      <c r="H540" s="6"/>
      <c r="I540" s="6"/>
      <c r="J540" s="6"/>
      <c r="K540" s="6"/>
      <c r="L540" s="80"/>
      <c r="M540" s="80"/>
      <c r="N540" s="80"/>
      <c r="O540" s="80"/>
      <c r="P540" s="6"/>
      <c r="Q540" s="6"/>
      <c r="R540" s="6"/>
      <c r="S540" s="6"/>
      <c r="T540" s="6"/>
      <c r="U540" s="6"/>
      <c r="V540" s="6"/>
      <c r="W540" s="7"/>
      <c r="X540" s="7"/>
      <c r="Y540" s="7"/>
      <c r="Z540" s="7"/>
    </row>
    <row r="541">
      <c r="A541" s="6"/>
      <c r="B541" s="6"/>
      <c r="C541" s="6"/>
      <c r="D541" s="6"/>
      <c r="E541" s="6"/>
      <c r="F541" s="6"/>
      <c r="G541" s="6"/>
      <c r="H541" s="6"/>
      <c r="I541" s="6"/>
      <c r="J541" s="6"/>
      <c r="K541" s="6"/>
      <c r="L541" s="80"/>
      <c r="M541" s="80"/>
      <c r="N541" s="80"/>
      <c r="O541" s="80"/>
      <c r="P541" s="6"/>
      <c r="Q541" s="6"/>
      <c r="R541" s="6"/>
      <c r="S541" s="6"/>
      <c r="T541" s="6"/>
      <c r="U541" s="6"/>
      <c r="V541" s="6"/>
      <c r="W541" s="7"/>
      <c r="X541" s="7"/>
      <c r="Y541" s="7"/>
      <c r="Z541" s="7"/>
    </row>
    <row r="542">
      <c r="A542" s="6"/>
      <c r="B542" s="6"/>
      <c r="C542" s="6"/>
      <c r="D542" s="6"/>
      <c r="E542" s="6"/>
      <c r="F542" s="6"/>
      <c r="G542" s="6"/>
      <c r="H542" s="6"/>
      <c r="I542" s="6"/>
      <c r="J542" s="6"/>
      <c r="K542" s="6"/>
      <c r="L542" s="80"/>
      <c r="M542" s="80"/>
      <c r="N542" s="80"/>
      <c r="O542" s="80"/>
      <c r="P542" s="6"/>
      <c r="Q542" s="6"/>
      <c r="R542" s="6"/>
      <c r="S542" s="6"/>
      <c r="T542" s="6"/>
      <c r="U542" s="6"/>
      <c r="V542" s="6"/>
      <c r="W542" s="7"/>
      <c r="X542" s="7"/>
      <c r="Y542" s="7"/>
      <c r="Z542" s="7"/>
    </row>
    <row r="543">
      <c r="A543" s="6"/>
      <c r="B543" s="6"/>
      <c r="C543" s="6"/>
      <c r="D543" s="6"/>
      <c r="E543" s="6"/>
      <c r="F543" s="6"/>
      <c r="G543" s="6"/>
      <c r="H543" s="6"/>
      <c r="I543" s="6"/>
      <c r="J543" s="6"/>
      <c r="K543" s="6"/>
      <c r="L543" s="80"/>
      <c r="M543" s="80"/>
      <c r="N543" s="80"/>
      <c r="O543" s="80"/>
      <c r="P543" s="6"/>
      <c r="Q543" s="6"/>
      <c r="R543" s="6"/>
      <c r="S543" s="6"/>
      <c r="T543" s="6"/>
      <c r="U543" s="6"/>
      <c r="V543" s="6"/>
      <c r="W543" s="7"/>
      <c r="X543" s="7"/>
      <c r="Y543" s="7"/>
      <c r="Z543" s="7"/>
    </row>
    <row r="544">
      <c r="A544" s="6"/>
      <c r="B544" s="6"/>
      <c r="C544" s="6"/>
      <c r="D544" s="6"/>
      <c r="E544" s="6"/>
      <c r="F544" s="6"/>
      <c r="G544" s="6"/>
      <c r="H544" s="6"/>
      <c r="I544" s="6"/>
      <c r="J544" s="6"/>
      <c r="K544" s="6"/>
      <c r="L544" s="80"/>
      <c r="M544" s="80"/>
      <c r="N544" s="80"/>
      <c r="O544" s="80"/>
      <c r="P544" s="6"/>
      <c r="Q544" s="6"/>
      <c r="R544" s="6"/>
      <c r="S544" s="6"/>
      <c r="T544" s="6"/>
      <c r="U544" s="6"/>
      <c r="V544" s="6"/>
      <c r="W544" s="7"/>
      <c r="X544" s="7"/>
      <c r="Y544" s="7"/>
      <c r="Z544" s="7"/>
    </row>
    <row r="545">
      <c r="A545" s="6"/>
      <c r="B545" s="6"/>
      <c r="C545" s="6"/>
      <c r="D545" s="6"/>
      <c r="E545" s="6"/>
      <c r="F545" s="6"/>
      <c r="G545" s="6"/>
      <c r="H545" s="6"/>
      <c r="I545" s="6"/>
      <c r="J545" s="6"/>
      <c r="K545" s="6"/>
      <c r="L545" s="80"/>
      <c r="M545" s="80"/>
      <c r="N545" s="80"/>
      <c r="O545" s="80"/>
      <c r="P545" s="6"/>
      <c r="Q545" s="6"/>
      <c r="R545" s="6"/>
      <c r="S545" s="6"/>
      <c r="T545" s="6"/>
      <c r="U545" s="6"/>
      <c r="V545" s="6"/>
      <c r="W545" s="7"/>
      <c r="X545" s="7"/>
      <c r="Y545" s="7"/>
      <c r="Z545" s="7"/>
    </row>
    <row r="546">
      <c r="A546" s="6"/>
      <c r="B546" s="6"/>
      <c r="C546" s="6"/>
      <c r="D546" s="6"/>
      <c r="E546" s="6"/>
      <c r="F546" s="6"/>
      <c r="G546" s="6"/>
      <c r="H546" s="6"/>
      <c r="I546" s="6"/>
      <c r="J546" s="6"/>
      <c r="K546" s="6"/>
      <c r="L546" s="80"/>
      <c r="M546" s="80"/>
      <c r="N546" s="80"/>
      <c r="O546" s="80"/>
      <c r="P546" s="6"/>
      <c r="Q546" s="6"/>
      <c r="R546" s="6"/>
      <c r="S546" s="6"/>
      <c r="T546" s="6"/>
      <c r="U546" s="6"/>
      <c r="V546" s="6"/>
      <c r="W546" s="7"/>
      <c r="X546" s="7"/>
      <c r="Y546" s="7"/>
      <c r="Z546" s="7"/>
    </row>
    <row r="547">
      <c r="A547" s="6"/>
      <c r="B547" s="6"/>
      <c r="C547" s="6"/>
      <c r="D547" s="6"/>
      <c r="E547" s="6"/>
      <c r="F547" s="6"/>
      <c r="G547" s="6"/>
      <c r="H547" s="6"/>
      <c r="I547" s="6"/>
      <c r="J547" s="6"/>
      <c r="K547" s="6"/>
      <c r="L547" s="80"/>
      <c r="M547" s="80"/>
      <c r="N547" s="80"/>
      <c r="O547" s="80"/>
      <c r="P547" s="6"/>
      <c r="Q547" s="6"/>
      <c r="R547" s="6"/>
      <c r="S547" s="6"/>
      <c r="T547" s="6"/>
      <c r="U547" s="6"/>
      <c r="V547" s="6"/>
      <c r="W547" s="7"/>
      <c r="X547" s="7"/>
      <c r="Y547" s="7"/>
      <c r="Z547" s="7"/>
    </row>
    <row r="548">
      <c r="A548" s="6"/>
      <c r="B548" s="6"/>
      <c r="C548" s="6"/>
      <c r="D548" s="6"/>
      <c r="E548" s="6"/>
      <c r="F548" s="6"/>
      <c r="G548" s="6"/>
      <c r="H548" s="6"/>
      <c r="I548" s="6"/>
      <c r="J548" s="6"/>
      <c r="K548" s="6"/>
      <c r="L548" s="80"/>
      <c r="M548" s="80"/>
      <c r="N548" s="80"/>
      <c r="O548" s="80"/>
      <c r="P548" s="6"/>
      <c r="Q548" s="6"/>
      <c r="R548" s="6"/>
      <c r="S548" s="6"/>
      <c r="T548" s="6"/>
      <c r="U548" s="6"/>
      <c r="V548" s="6"/>
      <c r="W548" s="7"/>
      <c r="X548" s="7"/>
      <c r="Y548" s="7"/>
      <c r="Z548" s="7"/>
    </row>
    <row r="549">
      <c r="A549" s="6"/>
      <c r="B549" s="6"/>
      <c r="C549" s="6"/>
      <c r="D549" s="6"/>
      <c r="E549" s="6"/>
      <c r="F549" s="6"/>
      <c r="G549" s="6"/>
      <c r="H549" s="6"/>
      <c r="I549" s="6"/>
      <c r="J549" s="6"/>
      <c r="K549" s="6"/>
      <c r="L549" s="80"/>
      <c r="M549" s="80"/>
      <c r="N549" s="80"/>
      <c r="O549" s="80"/>
      <c r="P549" s="6"/>
      <c r="Q549" s="6"/>
      <c r="R549" s="6"/>
      <c r="S549" s="6"/>
      <c r="T549" s="6"/>
      <c r="U549" s="6"/>
      <c r="V549" s="6"/>
      <c r="W549" s="7"/>
      <c r="X549" s="7"/>
      <c r="Y549" s="7"/>
      <c r="Z549" s="7"/>
    </row>
    <row r="550">
      <c r="A550" s="6"/>
      <c r="B550" s="6"/>
      <c r="C550" s="6"/>
      <c r="D550" s="6"/>
      <c r="E550" s="6"/>
      <c r="F550" s="6"/>
      <c r="G550" s="6"/>
      <c r="H550" s="6"/>
      <c r="I550" s="6"/>
      <c r="J550" s="6"/>
      <c r="K550" s="6"/>
      <c r="L550" s="80"/>
      <c r="M550" s="80"/>
      <c r="N550" s="80"/>
      <c r="O550" s="80"/>
      <c r="P550" s="6"/>
      <c r="Q550" s="6"/>
      <c r="R550" s="6"/>
      <c r="S550" s="6"/>
      <c r="T550" s="6"/>
      <c r="U550" s="6"/>
      <c r="V550" s="6"/>
      <c r="W550" s="7"/>
      <c r="X550" s="7"/>
      <c r="Y550" s="7"/>
      <c r="Z550" s="7"/>
    </row>
    <row r="551">
      <c r="A551" s="6"/>
      <c r="B551" s="6"/>
      <c r="C551" s="6"/>
      <c r="D551" s="6"/>
      <c r="E551" s="6"/>
      <c r="F551" s="6"/>
      <c r="G551" s="6"/>
      <c r="H551" s="6"/>
      <c r="I551" s="6"/>
      <c r="J551" s="6"/>
      <c r="K551" s="6"/>
      <c r="L551" s="80"/>
      <c r="M551" s="80"/>
      <c r="N551" s="80"/>
      <c r="O551" s="80"/>
      <c r="P551" s="6"/>
      <c r="Q551" s="6"/>
      <c r="R551" s="6"/>
      <c r="S551" s="6"/>
      <c r="T551" s="6"/>
      <c r="U551" s="6"/>
      <c r="V551" s="6"/>
      <c r="W551" s="7"/>
      <c r="X551" s="7"/>
      <c r="Y551" s="7"/>
      <c r="Z551" s="7"/>
    </row>
    <row r="552">
      <c r="A552" s="6"/>
      <c r="B552" s="6"/>
      <c r="C552" s="6"/>
      <c r="D552" s="6"/>
      <c r="E552" s="6"/>
      <c r="F552" s="6"/>
      <c r="G552" s="6"/>
      <c r="H552" s="6"/>
      <c r="I552" s="6"/>
      <c r="J552" s="6"/>
      <c r="K552" s="6"/>
      <c r="L552" s="80"/>
      <c r="M552" s="80"/>
      <c r="N552" s="80"/>
      <c r="O552" s="80"/>
      <c r="P552" s="6"/>
      <c r="Q552" s="6"/>
      <c r="R552" s="6"/>
      <c r="S552" s="6"/>
      <c r="T552" s="6"/>
      <c r="U552" s="6"/>
      <c r="V552" s="6"/>
      <c r="W552" s="7"/>
      <c r="X552" s="7"/>
      <c r="Y552" s="7"/>
      <c r="Z552" s="7"/>
    </row>
    <row r="553">
      <c r="A553" s="6"/>
      <c r="B553" s="6"/>
      <c r="C553" s="6"/>
      <c r="D553" s="6"/>
      <c r="E553" s="6"/>
      <c r="F553" s="6"/>
      <c r="G553" s="6"/>
      <c r="H553" s="6"/>
      <c r="I553" s="6"/>
      <c r="J553" s="6"/>
      <c r="K553" s="6"/>
      <c r="L553" s="80"/>
      <c r="M553" s="80"/>
      <c r="N553" s="80"/>
      <c r="O553" s="80"/>
      <c r="P553" s="6"/>
      <c r="Q553" s="6"/>
      <c r="R553" s="6"/>
      <c r="S553" s="6"/>
      <c r="T553" s="6"/>
      <c r="U553" s="6"/>
      <c r="V553" s="6"/>
      <c r="W553" s="7"/>
      <c r="X553" s="7"/>
      <c r="Y553" s="7"/>
      <c r="Z553" s="7"/>
    </row>
    <row r="554">
      <c r="A554" s="6"/>
      <c r="B554" s="6"/>
      <c r="C554" s="6"/>
      <c r="D554" s="6"/>
      <c r="E554" s="6"/>
      <c r="F554" s="6"/>
      <c r="G554" s="6"/>
      <c r="H554" s="6"/>
      <c r="I554" s="6"/>
      <c r="J554" s="6"/>
      <c r="K554" s="6"/>
      <c r="L554" s="80"/>
      <c r="M554" s="80"/>
      <c r="N554" s="80"/>
      <c r="O554" s="80"/>
      <c r="P554" s="6"/>
      <c r="Q554" s="6"/>
      <c r="R554" s="6"/>
      <c r="S554" s="6"/>
      <c r="T554" s="6"/>
      <c r="U554" s="6"/>
      <c r="V554" s="6"/>
      <c r="W554" s="7"/>
      <c r="X554" s="7"/>
      <c r="Y554" s="7"/>
      <c r="Z554" s="7"/>
    </row>
    <row r="555">
      <c r="A555" s="6"/>
      <c r="B555" s="6"/>
      <c r="C555" s="6"/>
      <c r="D555" s="6"/>
      <c r="E555" s="6"/>
      <c r="F555" s="6"/>
      <c r="G555" s="6"/>
      <c r="H555" s="6"/>
      <c r="I555" s="6"/>
      <c r="J555" s="6"/>
      <c r="K555" s="6"/>
      <c r="L555" s="80"/>
      <c r="M555" s="80"/>
      <c r="N555" s="80"/>
      <c r="O555" s="80"/>
      <c r="P555" s="6"/>
      <c r="Q555" s="6"/>
      <c r="R555" s="6"/>
      <c r="S555" s="6"/>
      <c r="T555" s="6"/>
      <c r="U555" s="6"/>
      <c r="V555" s="6"/>
      <c r="W555" s="7"/>
      <c r="X555" s="7"/>
      <c r="Y555" s="7"/>
      <c r="Z555" s="7"/>
    </row>
    <row r="556">
      <c r="A556" s="6"/>
      <c r="B556" s="6"/>
      <c r="C556" s="6"/>
      <c r="D556" s="6"/>
      <c r="E556" s="6"/>
      <c r="F556" s="6"/>
      <c r="G556" s="6"/>
      <c r="H556" s="6"/>
      <c r="I556" s="6"/>
      <c r="J556" s="6"/>
      <c r="K556" s="6"/>
      <c r="L556" s="80"/>
      <c r="M556" s="80"/>
      <c r="N556" s="80"/>
      <c r="O556" s="80"/>
      <c r="P556" s="6"/>
      <c r="Q556" s="6"/>
      <c r="R556" s="6"/>
      <c r="S556" s="6"/>
      <c r="T556" s="6"/>
      <c r="U556" s="6"/>
      <c r="V556" s="6"/>
      <c r="W556" s="7"/>
      <c r="X556" s="7"/>
      <c r="Y556" s="7"/>
      <c r="Z556" s="7"/>
    </row>
    <row r="557">
      <c r="A557" s="6"/>
      <c r="B557" s="6"/>
      <c r="C557" s="6"/>
      <c r="D557" s="6"/>
      <c r="E557" s="6"/>
      <c r="F557" s="6"/>
      <c r="G557" s="6"/>
      <c r="H557" s="6"/>
      <c r="I557" s="6"/>
      <c r="J557" s="6"/>
      <c r="K557" s="6"/>
      <c r="L557" s="80"/>
      <c r="M557" s="80"/>
      <c r="N557" s="80"/>
      <c r="O557" s="80"/>
      <c r="P557" s="6"/>
      <c r="Q557" s="6"/>
      <c r="R557" s="6"/>
      <c r="S557" s="6"/>
      <c r="T557" s="6"/>
      <c r="U557" s="6"/>
      <c r="V557" s="6"/>
      <c r="W557" s="7"/>
      <c r="X557" s="7"/>
      <c r="Y557" s="7"/>
      <c r="Z557" s="7"/>
    </row>
    <row r="558">
      <c r="A558" s="6"/>
      <c r="B558" s="6"/>
      <c r="C558" s="6"/>
      <c r="D558" s="6"/>
      <c r="E558" s="6"/>
      <c r="F558" s="6"/>
      <c r="G558" s="6"/>
      <c r="H558" s="6"/>
      <c r="I558" s="6"/>
      <c r="J558" s="6"/>
      <c r="K558" s="6"/>
      <c r="L558" s="80"/>
      <c r="M558" s="80"/>
      <c r="N558" s="80"/>
      <c r="O558" s="80"/>
      <c r="P558" s="6"/>
      <c r="Q558" s="6"/>
      <c r="R558" s="6"/>
      <c r="S558" s="6"/>
      <c r="T558" s="6"/>
      <c r="U558" s="6"/>
      <c r="V558" s="6"/>
      <c r="W558" s="7"/>
      <c r="X558" s="7"/>
      <c r="Y558" s="7"/>
      <c r="Z558" s="7"/>
    </row>
    <row r="559">
      <c r="A559" s="6"/>
      <c r="B559" s="6"/>
      <c r="C559" s="6"/>
      <c r="D559" s="6"/>
      <c r="E559" s="6"/>
      <c r="F559" s="6"/>
      <c r="G559" s="6"/>
      <c r="H559" s="6"/>
      <c r="I559" s="6"/>
      <c r="J559" s="6"/>
      <c r="K559" s="6"/>
      <c r="L559" s="80"/>
      <c r="M559" s="80"/>
      <c r="N559" s="80"/>
      <c r="O559" s="80"/>
      <c r="P559" s="6"/>
      <c r="Q559" s="6"/>
      <c r="R559" s="6"/>
      <c r="S559" s="6"/>
      <c r="T559" s="6"/>
      <c r="U559" s="6"/>
      <c r="V559" s="6"/>
      <c r="W559" s="7"/>
      <c r="X559" s="7"/>
      <c r="Y559" s="7"/>
      <c r="Z559" s="7"/>
    </row>
    <row r="560">
      <c r="A560" s="6"/>
      <c r="B560" s="6"/>
      <c r="C560" s="6"/>
      <c r="D560" s="6"/>
      <c r="E560" s="6"/>
      <c r="F560" s="6"/>
      <c r="G560" s="6"/>
      <c r="H560" s="6"/>
      <c r="I560" s="6"/>
      <c r="J560" s="6"/>
      <c r="K560" s="6"/>
      <c r="L560" s="80"/>
      <c r="M560" s="80"/>
      <c r="N560" s="80"/>
      <c r="O560" s="80"/>
      <c r="P560" s="6"/>
      <c r="Q560" s="6"/>
      <c r="R560" s="6"/>
      <c r="S560" s="6"/>
      <c r="T560" s="6"/>
      <c r="U560" s="6"/>
      <c r="V560" s="6"/>
      <c r="W560" s="7"/>
      <c r="X560" s="7"/>
      <c r="Y560" s="7"/>
      <c r="Z560" s="7"/>
    </row>
    <row r="561">
      <c r="A561" s="6"/>
      <c r="B561" s="6"/>
      <c r="C561" s="6"/>
      <c r="D561" s="6"/>
      <c r="E561" s="6"/>
      <c r="F561" s="6"/>
      <c r="G561" s="6"/>
      <c r="H561" s="6"/>
      <c r="I561" s="6"/>
      <c r="J561" s="6"/>
      <c r="K561" s="6"/>
      <c r="L561" s="80"/>
      <c r="M561" s="80"/>
      <c r="N561" s="80"/>
      <c r="O561" s="80"/>
      <c r="P561" s="6"/>
      <c r="Q561" s="6"/>
      <c r="R561" s="6"/>
      <c r="S561" s="6"/>
      <c r="T561" s="6"/>
      <c r="U561" s="6"/>
      <c r="V561" s="6"/>
      <c r="W561" s="7"/>
      <c r="X561" s="7"/>
      <c r="Y561" s="7"/>
      <c r="Z561" s="7"/>
    </row>
    <row r="562">
      <c r="A562" s="6"/>
      <c r="B562" s="6"/>
      <c r="C562" s="6"/>
      <c r="D562" s="6"/>
      <c r="E562" s="6"/>
      <c r="F562" s="6"/>
      <c r="G562" s="6"/>
      <c r="H562" s="6"/>
      <c r="I562" s="6"/>
      <c r="J562" s="6"/>
      <c r="K562" s="6"/>
      <c r="L562" s="80"/>
      <c r="M562" s="80"/>
      <c r="N562" s="80"/>
      <c r="O562" s="80"/>
      <c r="P562" s="6"/>
      <c r="Q562" s="6"/>
      <c r="R562" s="6"/>
      <c r="S562" s="6"/>
      <c r="T562" s="6"/>
      <c r="U562" s="6"/>
      <c r="V562" s="6"/>
      <c r="W562" s="7"/>
      <c r="X562" s="7"/>
      <c r="Y562" s="7"/>
      <c r="Z562" s="7"/>
    </row>
    <row r="563">
      <c r="A563" s="6"/>
      <c r="B563" s="6"/>
      <c r="C563" s="6"/>
      <c r="D563" s="6"/>
      <c r="E563" s="6"/>
      <c r="F563" s="6"/>
      <c r="G563" s="6"/>
      <c r="H563" s="6"/>
      <c r="I563" s="6"/>
      <c r="J563" s="6"/>
      <c r="K563" s="6"/>
      <c r="L563" s="80"/>
      <c r="M563" s="80"/>
      <c r="N563" s="80"/>
      <c r="O563" s="80"/>
      <c r="P563" s="6"/>
      <c r="Q563" s="6"/>
      <c r="R563" s="6"/>
      <c r="S563" s="6"/>
      <c r="T563" s="6"/>
      <c r="U563" s="6"/>
      <c r="V563" s="6"/>
      <c r="W563" s="7"/>
      <c r="X563" s="7"/>
      <c r="Y563" s="7"/>
      <c r="Z563" s="7"/>
    </row>
    <row r="564">
      <c r="A564" s="6"/>
      <c r="B564" s="6"/>
      <c r="C564" s="6"/>
      <c r="D564" s="6"/>
      <c r="E564" s="6"/>
      <c r="F564" s="6"/>
      <c r="G564" s="6"/>
      <c r="H564" s="6"/>
      <c r="I564" s="6"/>
      <c r="J564" s="6"/>
      <c r="K564" s="6"/>
      <c r="L564" s="80"/>
      <c r="M564" s="80"/>
      <c r="N564" s="80"/>
      <c r="O564" s="80"/>
      <c r="P564" s="6"/>
      <c r="Q564" s="6"/>
      <c r="R564" s="6"/>
      <c r="S564" s="6"/>
      <c r="T564" s="6"/>
      <c r="U564" s="6"/>
      <c r="V564" s="6"/>
      <c r="W564" s="7"/>
      <c r="X564" s="7"/>
      <c r="Y564" s="7"/>
      <c r="Z564" s="7"/>
    </row>
    <row r="565">
      <c r="A565" s="6"/>
      <c r="B565" s="6"/>
      <c r="C565" s="6"/>
      <c r="D565" s="6"/>
      <c r="E565" s="6"/>
      <c r="F565" s="6"/>
      <c r="G565" s="6"/>
      <c r="H565" s="6"/>
      <c r="I565" s="6"/>
      <c r="J565" s="6"/>
      <c r="K565" s="6"/>
      <c r="L565" s="80"/>
      <c r="M565" s="80"/>
      <c r="N565" s="80"/>
      <c r="O565" s="80"/>
      <c r="P565" s="6"/>
      <c r="Q565" s="6"/>
      <c r="R565" s="6"/>
      <c r="S565" s="6"/>
      <c r="T565" s="6"/>
      <c r="U565" s="6"/>
      <c r="V565" s="6"/>
      <c r="W565" s="7"/>
      <c r="X565" s="7"/>
      <c r="Y565" s="7"/>
      <c r="Z565" s="7"/>
    </row>
    <row r="566">
      <c r="A566" s="6"/>
      <c r="B566" s="6"/>
      <c r="C566" s="6"/>
      <c r="D566" s="6"/>
      <c r="E566" s="6"/>
      <c r="F566" s="6"/>
      <c r="G566" s="6"/>
      <c r="H566" s="6"/>
      <c r="I566" s="6"/>
      <c r="J566" s="6"/>
      <c r="K566" s="6"/>
      <c r="L566" s="80"/>
      <c r="M566" s="80"/>
      <c r="N566" s="80"/>
      <c r="O566" s="80"/>
      <c r="P566" s="6"/>
      <c r="Q566" s="6"/>
      <c r="R566" s="6"/>
      <c r="S566" s="6"/>
      <c r="T566" s="6"/>
      <c r="U566" s="6"/>
      <c r="V566" s="6"/>
      <c r="W566" s="7"/>
      <c r="X566" s="7"/>
      <c r="Y566" s="7"/>
      <c r="Z566" s="7"/>
    </row>
    <row r="567">
      <c r="A567" s="6"/>
      <c r="B567" s="6"/>
      <c r="C567" s="6"/>
      <c r="D567" s="6"/>
      <c r="E567" s="6"/>
      <c r="F567" s="6"/>
      <c r="G567" s="6"/>
      <c r="H567" s="6"/>
      <c r="I567" s="6"/>
      <c r="J567" s="6"/>
      <c r="K567" s="6"/>
      <c r="L567" s="80"/>
      <c r="M567" s="80"/>
      <c r="N567" s="80"/>
      <c r="O567" s="80"/>
      <c r="P567" s="6"/>
      <c r="Q567" s="6"/>
      <c r="R567" s="6"/>
      <c r="S567" s="6"/>
      <c r="T567" s="6"/>
      <c r="U567" s="6"/>
      <c r="V567" s="6"/>
      <c r="W567" s="7"/>
      <c r="X567" s="7"/>
      <c r="Y567" s="7"/>
      <c r="Z567" s="7"/>
    </row>
    <row r="568">
      <c r="A568" s="6"/>
      <c r="B568" s="6"/>
      <c r="C568" s="6"/>
      <c r="D568" s="6"/>
      <c r="E568" s="6"/>
      <c r="F568" s="6"/>
      <c r="G568" s="6"/>
      <c r="H568" s="6"/>
      <c r="I568" s="6"/>
      <c r="J568" s="6"/>
      <c r="K568" s="6"/>
      <c r="L568" s="80"/>
      <c r="M568" s="80"/>
      <c r="N568" s="80"/>
      <c r="O568" s="80"/>
      <c r="P568" s="6"/>
      <c r="Q568" s="6"/>
      <c r="R568" s="6"/>
      <c r="S568" s="6"/>
      <c r="T568" s="6"/>
      <c r="U568" s="6"/>
      <c r="V568" s="6"/>
      <c r="W568" s="7"/>
      <c r="X568" s="7"/>
      <c r="Y568" s="7"/>
      <c r="Z568" s="7"/>
    </row>
    <row r="569">
      <c r="A569" s="6"/>
      <c r="B569" s="6"/>
      <c r="C569" s="6"/>
      <c r="D569" s="6"/>
      <c r="E569" s="6"/>
      <c r="F569" s="6"/>
      <c r="G569" s="6"/>
      <c r="H569" s="6"/>
      <c r="I569" s="6"/>
      <c r="J569" s="6"/>
      <c r="K569" s="6"/>
      <c r="L569" s="80"/>
      <c r="M569" s="80"/>
      <c r="N569" s="80"/>
      <c r="O569" s="80"/>
      <c r="P569" s="6"/>
      <c r="Q569" s="6"/>
      <c r="R569" s="6"/>
      <c r="S569" s="6"/>
      <c r="T569" s="6"/>
      <c r="U569" s="6"/>
      <c r="V569" s="6"/>
      <c r="W569" s="7"/>
      <c r="X569" s="7"/>
      <c r="Y569" s="7"/>
      <c r="Z569" s="7"/>
    </row>
    <row r="570">
      <c r="A570" s="6"/>
      <c r="B570" s="6"/>
      <c r="C570" s="6"/>
      <c r="D570" s="6"/>
      <c r="E570" s="6"/>
      <c r="F570" s="6"/>
      <c r="G570" s="6"/>
      <c r="H570" s="6"/>
      <c r="I570" s="6"/>
      <c r="J570" s="6"/>
      <c r="K570" s="6"/>
      <c r="L570" s="80"/>
      <c r="M570" s="80"/>
      <c r="N570" s="80"/>
      <c r="O570" s="80"/>
      <c r="P570" s="6"/>
      <c r="Q570" s="6"/>
      <c r="R570" s="6"/>
      <c r="S570" s="6"/>
      <c r="T570" s="6"/>
      <c r="U570" s="6"/>
      <c r="V570" s="6"/>
      <c r="W570" s="7"/>
      <c r="X570" s="7"/>
      <c r="Y570" s="7"/>
      <c r="Z570" s="7"/>
    </row>
    <row r="571">
      <c r="A571" s="6"/>
      <c r="B571" s="6"/>
      <c r="C571" s="6"/>
      <c r="D571" s="6"/>
      <c r="E571" s="6"/>
      <c r="F571" s="6"/>
      <c r="G571" s="6"/>
      <c r="H571" s="6"/>
      <c r="I571" s="6"/>
      <c r="J571" s="6"/>
      <c r="K571" s="6"/>
      <c r="L571" s="80"/>
      <c r="M571" s="80"/>
      <c r="N571" s="80"/>
      <c r="O571" s="80"/>
      <c r="P571" s="6"/>
      <c r="Q571" s="6"/>
      <c r="R571" s="6"/>
      <c r="S571" s="6"/>
      <c r="T571" s="6"/>
      <c r="U571" s="6"/>
      <c r="V571" s="6"/>
      <c r="W571" s="7"/>
      <c r="X571" s="7"/>
      <c r="Y571" s="7"/>
      <c r="Z571" s="7"/>
    </row>
    <row r="572">
      <c r="A572" s="6"/>
      <c r="B572" s="6"/>
      <c r="C572" s="6"/>
      <c r="D572" s="6"/>
      <c r="E572" s="6"/>
      <c r="F572" s="6"/>
      <c r="G572" s="6"/>
      <c r="H572" s="6"/>
      <c r="I572" s="6"/>
      <c r="J572" s="6"/>
      <c r="K572" s="6"/>
      <c r="L572" s="80"/>
      <c r="M572" s="80"/>
      <c r="N572" s="80"/>
      <c r="O572" s="80"/>
      <c r="P572" s="6"/>
      <c r="Q572" s="6"/>
      <c r="R572" s="6"/>
      <c r="S572" s="6"/>
      <c r="T572" s="6"/>
      <c r="U572" s="6"/>
      <c r="V572" s="6"/>
      <c r="W572" s="7"/>
      <c r="X572" s="7"/>
      <c r="Y572" s="7"/>
      <c r="Z572" s="7"/>
    </row>
    <row r="573">
      <c r="A573" s="6"/>
      <c r="B573" s="6"/>
      <c r="C573" s="6"/>
      <c r="D573" s="6"/>
      <c r="E573" s="6"/>
      <c r="F573" s="6"/>
      <c r="G573" s="6"/>
      <c r="H573" s="6"/>
      <c r="I573" s="6"/>
      <c r="J573" s="6"/>
      <c r="K573" s="6"/>
      <c r="L573" s="80"/>
      <c r="M573" s="80"/>
      <c r="N573" s="80"/>
      <c r="O573" s="80"/>
      <c r="P573" s="6"/>
      <c r="Q573" s="6"/>
      <c r="R573" s="6"/>
      <c r="S573" s="6"/>
      <c r="T573" s="6"/>
      <c r="U573" s="6"/>
      <c r="V573" s="6"/>
      <c r="W573" s="7"/>
      <c r="X573" s="7"/>
      <c r="Y573" s="7"/>
      <c r="Z573" s="7"/>
    </row>
    <row r="574">
      <c r="A574" s="6"/>
      <c r="B574" s="6"/>
      <c r="C574" s="6"/>
      <c r="D574" s="6"/>
      <c r="E574" s="6"/>
      <c r="F574" s="6"/>
      <c r="G574" s="6"/>
      <c r="H574" s="6"/>
      <c r="I574" s="6"/>
      <c r="J574" s="6"/>
      <c r="K574" s="6"/>
      <c r="L574" s="80"/>
      <c r="M574" s="80"/>
      <c r="N574" s="80"/>
      <c r="O574" s="80"/>
      <c r="P574" s="6"/>
      <c r="Q574" s="6"/>
      <c r="R574" s="6"/>
      <c r="S574" s="6"/>
      <c r="T574" s="6"/>
      <c r="U574" s="6"/>
      <c r="V574" s="6"/>
      <c r="W574" s="7"/>
      <c r="X574" s="7"/>
      <c r="Y574" s="7"/>
      <c r="Z574" s="7"/>
    </row>
    <row r="575">
      <c r="A575" s="6"/>
      <c r="B575" s="6"/>
      <c r="C575" s="6"/>
      <c r="D575" s="6"/>
      <c r="E575" s="6"/>
      <c r="F575" s="6"/>
      <c r="G575" s="6"/>
      <c r="H575" s="6"/>
      <c r="I575" s="6"/>
      <c r="J575" s="6"/>
      <c r="K575" s="6"/>
      <c r="L575" s="80"/>
      <c r="M575" s="80"/>
      <c r="N575" s="80"/>
      <c r="O575" s="80"/>
      <c r="P575" s="6"/>
      <c r="Q575" s="6"/>
      <c r="R575" s="6"/>
      <c r="S575" s="6"/>
      <c r="T575" s="6"/>
      <c r="U575" s="6"/>
      <c r="V575" s="6"/>
      <c r="W575" s="7"/>
      <c r="X575" s="7"/>
      <c r="Y575" s="7"/>
      <c r="Z575" s="7"/>
    </row>
    <row r="576">
      <c r="A576" s="6"/>
      <c r="B576" s="6"/>
      <c r="C576" s="6"/>
      <c r="D576" s="6"/>
      <c r="E576" s="6"/>
      <c r="F576" s="6"/>
      <c r="G576" s="6"/>
      <c r="H576" s="6"/>
      <c r="I576" s="6"/>
      <c r="J576" s="6"/>
      <c r="K576" s="6"/>
      <c r="L576" s="80"/>
      <c r="M576" s="80"/>
      <c r="N576" s="80"/>
      <c r="O576" s="80"/>
      <c r="P576" s="6"/>
      <c r="Q576" s="6"/>
      <c r="R576" s="6"/>
      <c r="S576" s="6"/>
      <c r="T576" s="6"/>
      <c r="U576" s="6"/>
      <c r="V576" s="6"/>
      <c r="W576" s="7"/>
      <c r="X576" s="7"/>
      <c r="Y576" s="7"/>
      <c r="Z576" s="7"/>
    </row>
    <row r="577">
      <c r="A577" s="6"/>
      <c r="B577" s="6"/>
      <c r="C577" s="6"/>
      <c r="D577" s="6"/>
      <c r="E577" s="6"/>
      <c r="F577" s="6"/>
      <c r="G577" s="6"/>
      <c r="H577" s="6"/>
      <c r="I577" s="6"/>
      <c r="J577" s="6"/>
      <c r="K577" s="6"/>
      <c r="L577" s="80"/>
      <c r="M577" s="80"/>
      <c r="N577" s="80"/>
      <c r="O577" s="80"/>
      <c r="P577" s="6"/>
      <c r="Q577" s="6"/>
      <c r="R577" s="6"/>
      <c r="S577" s="6"/>
      <c r="T577" s="6"/>
      <c r="U577" s="6"/>
      <c r="V577" s="6"/>
      <c r="W577" s="7"/>
      <c r="X577" s="7"/>
      <c r="Y577" s="7"/>
      <c r="Z577" s="7"/>
    </row>
    <row r="578">
      <c r="A578" s="6"/>
      <c r="B578" s="6"/>
      <c r="C578" s="6"/>
      <c r="D578" s="6"/>
      <c r="E578" s="6"/>
      <c r="F578" s="6"/>
      <c r="G578" s="6"/>
      <c r="H578" s="6"/>
      <c r="I578" s="6"/>
      <c r="J578" s="6"/>
      <c r="K578" s="6"/>
      <c r="L578" s="80"/>
      <c r="M578" s="80"/>
      <c r="N578" s="80"/>
      <c r="O578" s="80"/>
      <c r="P578" s="6"/>
      <c r="Q578" s="6"/>
      <c r="R578" s="6"/>
      <c r="S578" s="6"/>
      <c r="T578" s="6"/>
      <c r="U578" s="6"/>
      <c r="V578" s="6"/>
      <c r="W578" s="7"/>
      <c r="X578" s="7"/>
      <c r="Y578" s="7"/>
      <c r="Z578" s="7"/>
    </row>
    <row r="579">
      <c r="A579" s="6"/>
      <c r="B579" s="6"/>
      <c r="C579" s="6"/>
      <c r="D579" s="6"/>
      <c r="E579" s="6"/>
      <c r="F579" s="6"/>
      <c r="G579" s="6"/>
      <c r="H579" s="6"/>
      <c r="I579" s="6"/>
      <c r="J579" s="6"/>
      <c r="K579" s="6"/>
      <c r="L579" s="80"/>
      <c r="M579" s="80"/>
      <c r="N579" s="80"/>
      <c r="O579" s="80"/>
      <c r="P579" s="6"/>
      <c r="Q579" s="6"/>
      <c r="R579" s="6"/>
      <c r="S579" s="6"/>
      <c r="T579" s="6"/>
      <c r="U579" s="6"/>
      <c r="V579" s="6"/>
      <c r="W579" s="7"/>
      <c r="X579" s="7"/>
      <c r="Y579" s="7"/>
      <c r="Z579" s="7"/>
    </row>
    <row r="580">
      <c r="A580" s="6"/>
      <c r="B580" s="6"/>
      <c r="C580" s="6"/>
      <c r="D580" s="6"/>
      <c r="E580" s="6"/>
      <c r="F580" s="6"/>
      <c r="G580" s="6"/>
      <c r="H580" s="6"/>
      <c r="I580" s="6"/>
      <c r="J580" s="6"/>
      <c r="K580" s="6"/>
      <c r="L580" s="80"/>
      <c r="M580" s="80"/>
      <c r="N580" s="80"/>
      <c r="O580" s="80"/>
      <c r="P580" s="6"/>
      <c r="Q580" s="6"/>
      <c r="R580" s="6"/>
      <c r="S580" s="6"/>
      <c r="T580" s="6"/>
      <c r="U580" s="6"/>
      <c r="V580" s="6"/>
      <c r="W580" s="7"/>
      <c r="X580" s="7"/>
      <c r="Y580" s="7"/>
      <c r="Z580" s="7"/>
    </row>
    <row r="581">
      <c r="A581" s="6"/>
      <c r="B581" s="6"/>
      <c r="C581" s="6"/>
      <c r="D581" s="6"/>
      <c r="E581" s="6"/>
      <c r="F581" s="6"/>
      <c r="G581" s="6"/>
      <c r="H581" s="6"/>
      <c r="I581" s="6"/>
      <c r="J581" s="6"/>
      <c r="K581" s="6"/>
      <c r="L581" s="80"/>
      <c r="M581" s="80"/>
      <c r="N581" s="80"/>
      <c r="O581" s="80"/>
      <c r="P581" s="6"/>
      <c r="Q581" s="6"/>
      <c r="R581" s="6"/>
      <c r="S581" s="6"/>
      <c r="T581" s="6"/>
      <c r="U581" s="6"/>
      <c r="V581" s="6"/>
      <c r="W581" s="7"/>
      <c r="X581" s="7"/>
      <c r="Y581" s="7"/>
      <c r="Z581" s="7"/>
    </row>
    <row r="582">
      <c r="A582" s="6"/>
      <c r="B582" s="6"/>
      <c r="C582" s="6"/>
      <c r="D582" s="6"/>
      <c r="E582" s="6"/>
      <c r="F582" s="6"/>
      <c r="G582" s="6"/>
      <c r="H582" s="6"/>
      <c r="I582" s="6"/>
      <c r="J582" s="6"/>
      <c r="K582" s="6"/>
      <c r="L582" s="80"/>
      <c r="M582" s="80"/>
      <c r="N582" s="80"/>
      <c r="O582" s="80"/>
      <c r="P582" s="6"/>
      <c r="Q582" s="6"/>
      <c r="R582" s="6"/>
      <c r="S582" s="6"/>
      <c r="T582" s="6"/>
      <c r="U582" s="6"/>
      <c r="V582" s="6"/>
      <c r="W582" s="7"/>
      <c r="X582" s="7"/>
      <c r="Y582" s="7"/>
      <c r="Z582" s="7"/>
    </row>
    <row r="583">
      <c r="A583" s="6"/>
      <c r="B583" s="6"/>
      <c r="C583" s="6"/>
      <c r="D583" s="6"/>
      <c r="E583" s="6"/>
      <c r="F583" s="6"/>
      <c r="G583" s="6"/>
      <c r="H583" s="6"/>
      <c r="I583" s="6"/>
      <c r="J583" s="6"/>
      <c r="K583" s="6"/>
      <c r="L583" s="80"/>
      <c r="M583" s="80"/>
      <c r="N583" s="80"/>
      <c r="O583" s="80"/>
      <c r="P583" s="6"/>
      <c r="Q583" s="6"/>
      <c r="R583" s="6"/>
      <c r="S583" s="6"/>
      <c r="T583" s="6"/>
      <c r="U583" s="6"/>
      <c r="V583" s="6"/>
      <c r="W583" s="7"/>
      <c r="X583" s="7"/>
      <c r="Y583" s="7"/>
      <c r="Z583" s="7"/>
    </row>
    <row r="584">
      <c r="A584" s="6"/>
      <c r="B584" s="6"/>
      <c r="C584" s="6"/>
      <c r="D584" s="6"/>
      <c r="E584" s="6"/>
      <c r="F584" s="6"/>
      <c r="G584" s="6"/>
      <c r="H584" s="6"/>
      <c r="I584" s="6"/>
      <c r="J584" s="6"/>
      <c r="K584" s="6"/>
      <c r="L584" s="80"/>
      <c r="M584" s="80"/>
      <c r="N584" s="80"/>
      <c r="O584" s="80"/>
      <c r="P584" s="6"/>
      <c r="Q584" s="6"/>
      <c r="R584" s="6"/>
      <c r="S584" s="6"/>
      <c r="T584" s="6"/>
      <c r="U584" s="6"/>
      <c r="V584" s="6"/>
      <c r="W584" s="7"/>
      <c r="X584" s="7"/>
      <c r="Y584" s="7"/>
      <c r="Z584" s="7"/>
    </row>
    <row r="585">
      <c r="A585" s="6"/>
      <c r="B585" s="6"/>
      <c r="C585" s="6"/>
      <c r="D585" s="6"/>
      <c r="E585" s="6"/>
      <c r="F585" s="6"/>
      <c r="G585" s="6"/>
      <c r="H585" s="6"/>
      <c r="I585" s="6"/>
      <c r="J585" s="6"/>
      <c r="K585" s="6"/>
      <c r="L585" s="80"/>
      <c r="M585" s="80"/>
      <c r="N585" s="80"/>
      <c r="O585" s="80"/>
      <c r="P585" s="6"/>
      <c r="Q585" s="6"/>
      <c r="R585" s="6"/>
      <c r="S585" s="6"/>
      <c r="T585" s="6"/>
      <c r="U585" s="6"/>
      <c r="V585" s="6"/>
      <c r="W585" s="7"/>
      <c r="X585" s="7"/>
      <c r="Y585" s="7"/>
      <c r="Z585" s="7"/>
    </row>
    <row r="586">
      <c r="A586" s="6"/>
      <c r="B586" s="6"/>
      <c r="C586" s="6"/>
      <c r="D586" s="6"/>
      <c r="E586" s="6"/>
      <c r="F586" s="6"/>
      <c r="G586" s="6"/>
      <c r="H586" s="6"/>
      <c r="I586" s="6"/>
      <c r="J586" s="6"/>
      <c r="K586" s="6"/>
      <c r="L586" s="80"/>
      <c r="M586" s="80"/>
      <c r="N586" s="80"/>
      <c r="O586" s="80"/>
      <c r="P586" s="6"/>
      <c r="Q586" s="6"/>
      <c r="R586" s="6"/>
      <c r="S586" s="6"/>
      <c r="T586" s="6"/>
      <c r="U586" s="6"/>
      <c r="V586" s="6"/>
      <c r="W586" s="7"/>
      <c r="X586" s="7"/>
      <c r="Y586" s="7"/>
      <c r="Z586" s="7"/>
    </row>
    <row r="587">
      <c r="A587" s="6"/>
      <c r="B587" s="6"/>
      <c r="C587" s="6"/>
      <c r="D587" s="6"/>
      <c r="E587" s="6"/>
      <c r="F587" s="6"/>
      <c r="G587" s="6"/>
      <c r="H587" s="6"/>
      <c r="I587" s="6"/>
      <c r="J587" s="6"/>
      <c r="K587" s="6"/>
      <c r="L587" s="80"/>
      <c r="M587" s="80"/>
      <c r="N587" s="80"/>
      <c r="O587" s="80"/>
      <c r="P587" s="6"/>
      <c r="Q587" s="6"/>
      <c r="R587" s="6"/>
      <c r="S587" s="6"/>
      <c r="T587" s="6"/>
      <c r="U587" s="6"/>
      <c r="V587" s="6"/>
      <c r="W587" s="7"/>
      <c r="X587" s="7"/>
      <c r="Y587" s="7"/>
      <c r="Z587" s="7"/>
    </row>
    <row r="588">
      <c r="A588" s="6"/>
      <c r="B588" s="6"/>
      <c r="C588" s="6"/>
      <c r="D588" s="6"/>
      <c r="E588" s="6"/>
      <c r="F588" s="6"/>
      <c r="G588" s="6"/>
      <c r="H588" s="6"/>
      <c r="I588" s="6"/>
      <c r="J588" s="6"/>
      <c r="K588" s="6"/>
      <c r="L588" s="80"/>
      <c r="M588" s="80"/>
      <c r="N588" s="80"/>
      <c r="O588" s="80"/>
      <c r="P588" s="6"/>
      <c r="Q588" s="6"/>
      <c r="R588" s="6"/>
      <c r="S588" s="6"/>
      <c r="T588" s="6"/>
      <c r="U588" s="6"/>
      <c r="V588" s="6"/>
      <c r="W588" s="7"/>
      <c r="X588" s="7"/>
      <c r="Y588" s="7"/>
      <c r="Z588" s="7"/>
    </row>
    <row r="589">
      <c r="A589" s="6"/>
      <c r="B589" s="6"/>
      <c r="C589" s="6"/>
      <c r="D589" s="6"/>
      <c r="E589" s="6"/>
      <c r="F589" s="6"/>
      <c r="G589" s="6"/>
      <c r="H589" s="6"/>
      <c r="I589" s="6"/>
      <c r="J589" s="6"/>
      <c r="K589" s="6"/>
      <c r="L589" s="80"/>
      <c r="M589" s="80"/>
      <c r="N589" s="80"/>
      <c r="O589" s="80"/>
      <c r="P589" s="6"/>
      <c r="Q589" s="6"/>
      <c r="R589" s="6"/>
      <c r="S589" s="6"/>
      <c r="T589" s="6"/>
      <c r="U589" s="6"/>
      <c r="V589" s="6"/>
      <c r="W589" s="7"/>
      <c r="X589" s="7"/>
      <c r="Y589" s="7"/>
      <c r="Z589" s="7"/>
    </row>
    <row r="590">
      <c r="A590" s="6"/>
      <c r="B590" s="6"/>
      <c r="C590" s="6"/>
      <c r="D590" s="6"/>
      <c r="E590" s="6"/>
      <c r="F590" s="6"/>
      <c r="G590" s="6"/>
      <c r="H590" s="6"/>
      <c r="I590" s="6"/>
      <c r="J590" s="6"/>
      <c r="K590" s="6"/>
      <c r="L590" s="80"/>
      <c r="M590" s="80"/>
      <c r="N590" s="80"/>
      <c r="O590" s="80"/>
      <c r="P590" s="6"/>
      <c r="Q590" s="6"/>
      <c r="R590" s="6"/>
      <c r="S590" s="6"/>
      <c r="T590" s="6"/>
      <c r="U590" s="6"/>
      <c r="V590" s="6"/>
      <c r="W590" s="7"/>
      <c r="X590" s="7"/>
      <c r="Y590" s="7"/>
      <c r="Z590" s="7"/>
    </row>
    <row r="591">
      <c r="A591" s="6"/>
      <c r="B591" s="6"/>
      <c r="C591" s="6"/>
      <c r="D591" s="6"/>
      <c r="E591" s="6"/>
      <c r="F591" s="6"/>
      <c r="G591" s="6"/>
      <c r="H591" s="6"/>
      <c r="I591" s="6"/>
      <c r="J591" s="6"/>
      <c r="K591" s="6"/>
      <c r="L591" s="80"/>
      <c r="M591" s="80"/>
      <c r="N591" s="80"/>
      <c r="O591" s="80"/>
      <c r="P591" s="6"/>
      <c r="Q591" s="6"/>
      <c r="R591" s="6"/>
      <c r="S591" s="6"/>
      <c r="T591" s="6"/>
      <c r="U591" s="6"/>
      <c r="V591" s="6"/>
      <c r="W591" s="7"/>
      <c r="X591" s="7"/>
      <c r="Y591" s="7"/>
      <c r="Z591" s="7"/>
    </row>
    <row r="592">
      <c r="A592" s="6"/>
      <c r="B592" s="6"/>
      <c r="C592" s="6"/>
      <c r="D592" s="6"/>
      <c r="E592" s="6"/>
      <c r="F592" s="6"/>
      <c r="G592" s="6"/>
      <c r="H592" s="6"/>
      <c r="I592" s="6"/>
      <c r="J592" s="6"/>
      <c r="K592" s="6"/>
      <c r="L592" s="80"/>
      <c r="M592" s="80"/>
      <c r="N592" s="80"/>
      <c r="O592" s="80"/>
      <c r="P592" s="6"/>
      <c r="Q592" s="6"/>
      <c r="R592" s="6"/>
      <c r="S592" s="6"/>
      <c r="T592" s="6"/>
      <c r="U592" s="6"/>
      <c r="V592" s="6"/>
      <c r="W592" s="7"/>
      <c r="X592" s="7"/>
      <c r="Y592" s="7"/>
      <c r="Z592" s="7"/>
    </row>
    <row r="593">
      <c r="A593" s="6"/>
      <c r="B593" s="6"/>
      <c r="C593" s="6"/>
      <c r="D593" s="6"/>
      <c r="E593" s="6"/>
      <c r="F593" s="6"/>
      <c r="G593" s="6"/>
      <c r="H593" s="6"/>
      <c r="I593" s="6"/>
      <c r="J593" s="6"/>
      <c r="K593" s="6"/>
      <c r="L593" s="80"/>
      <c r="M593" s="80"/>
      <c r="N593" s="80"/>
      <c r="O593" s="80"/>
      <c r="P593" s="6"/>
      <c r="Q593" s="6"/>
      <c r="R593" s="6"/>
      <c r="S593" s="6"/>
      <c r="T593" s="6"/>
      <c r="U593" s="6"/>
      <c r="V593" s="6"/>
      <c r="W593" s="7"/>
      <c r="X593" s="7"/>
      <c r="Y593" s="7"/>
      <c r="Z593" s="7"/>
    </row>
    <row r="594">
      <c r="A594" s="6"/>
      <c r="B594" s="6"/>
      <c r="C594" s="6"/>
      <c r="D594" s="6"/>
      <c r="E594" s="6"/>
      <c r="F594" s="6"/>
      <c r="G594" s="6"/>
      <c r="H594" s="6"/>
      <c r="I594" s="6"/>
      <c r="J594" s="6"/>
      <c r="K594" s="6"/>
      <c r="L594" s="80"/>
      <c r="M594" s="80"/>
      <c r="N594" s="80"/>
      <c r="O594" s="80"/>
      <c r="P594" s="6"/>
      <c r="Q594" s="6"/>
      <c r="R594" s="6"/>
      <c r="S594" s="6"/>
      <c r="T594" s="6"/>
      <c r="U594" s="6"/>
      <c r="V594" s="6"/>
      <c r="W594" s="7"/>
      <c r="X594" s="7"/>
      <c r="Y594" s="7"/>
      <c r="Z594" s="7"/>
    </row>
    <row r="595">
      <c r="A595" s="6"/>
      <c r="B595" s="6"/>
      <c r="C595" s="6"/>
      <c r="D595" s="6"/>
      <c r="E595" s="6"/>
      <c r="F595" s="6"/>
      <c r="G595" s="6"/>
      <c r="H595" s="6"/>
      <c r="I595" s="6"/>
      <c r="J595" s="6"/>
      <c r="K595" s="6"/>
      <c r="L595" s="80"/>
      <c r="M595" s="80"/>
      <c r="N595" s="80"/>
      <c r="O595" s="80"/>
      <c r="P595" s="6"/>
      <c r="Q595" s="6"/>
      <c r="R595" s="6"/>
      <c r="S595" s="6"/>
      <c r="T595" s="6"/>
      <c r="U595" s="6"/>
      <c r="V595" s="6"/>
      <c r="W595" s="7"/>
      <c r="X595" s="7"/>
      <c r="Y595" s="7"/>
      <c r="Z595" s="7"/>
    </row>
    <row r="596">
      <c r="A596" s="6"/>
      <c r="B596" s="6"/>
      <c r="C596" s="6"/>
      <c r="D596" s="6"/>
      <c r="E596" s="6"/>
      <c r="F596" s="6"/>
      <c r="G596" s="6"/>
      <c r="H596" s="6"/>
      <c r="I596" s="6"/>
      <c r="J596" s="6"/>
      <c r="K596" s="6"/>
      <c r="L596" s="80"/>
      <c r="M596" s="80"/>
      <c r="N596" s="80"/>
      <c r="O596" s="80"/>
      <c r="P596" s="6"/>
      <c r="Q596" s="6"/>
      <c r="R596" s="6"/>
      <c r="S596" s="6"/>
      <c r="T596" s="6"/>
      <c r="U596" s="6"/>
      <c r="V596" s="6"/>
      <c r="W596" s="7"/>
      <c r="X596" s="7"/>
      <c r="Y596" s="7"/>
      <c r="Z596" s="7"/>
    </row>
    <row r="597">
      <c r="A597" s="6"/>
      <c r="B597" s="6"/>
      <c r="C597" s="6"/>
      <c r="D597" s="6"/>
      <c r="E597" s="6"/>
      <c r="F597" s="6"/>
      <c r="G597" s="6"/>
      <c r="H597" s="6"/>
      <c r="I597" s="6"/>
      <c r="J597" s="6"/>
      <c r="K597" s="6"/>
      <c r="L597" s="80"/>
      <c r="M597" s="80"/>
      <c r="N597" s="80"/>
      <c r="O597" s="80"/>
      <c r="P597" s="6"/>
      <c r="Q597" s="6"/>
      <c r="R597" s="6"/>
      <c r="S597" s="6"/>
      <c r="T597" s="6"/>
      <c r="U597" s="6"/>
      <c r="V597" s="6"/>
      <c r="W597" s="7"/>
      <c r="X597" s="7"/>
      <c r="Y597" s="7"/>
      <c r="Z597" s="7"/>
    </row>
    <row r="598">
      <c r="A598" s="6"/>
      <c r="B598" s="6"/>
      <c r="C598" s="6"/>
      <c r="D598" s="6"/>
      <c r="E598" s="6"/>
      <c r="F598" s="6"/>
      <c r="G598" s="6"/>
      <c r="H598" s="6"/>
      <c r="I598" s="6"/>
      <c r="J598" s="6"/>
      <c r="K598" s="6"/>
      <c r="L598" s="80"/>
      <c r="M598" s="80"/>
      <c r="N598" s="80"/>
      <c r="O598" s="80"/>
      <c r="P598" s="6"/>
      <c r="Q598" s="6"/>
      <c r="R598" s="6"/>
      <c r="S598" s="6"/>
      <c r="T598" s="6"/>
      <c r="U598" s="6"/>
      <c r="V598" s="6"/>
      <c r="W598" s="7"/>
      <c r="X598" s="7"/>
      <c r="Y598" s="7"/>
      <c r="Z598" s="7"/>
    </row>
    <row r="599">
      <c r="A599" s="6"/>
      <c r="B599" s="6"/>
      <c r="C599" s="6"/>
      <c r="D599" s="6"/>
      <c r="E599" s="6"/>
      <c r="F599" s="6"/>
      <c r="G599" s="6"/>
      <c r="H599" s="6"/>
      <c r="I599" s="6"/>
      <c r="J599" s="6"/>
      <c r="K599" s="6"/>
      <c r="L599" s="80"/>
      <c r="M599" s="80"/>
      <c r="N599" s="80"/>
      <c r="O599" s="80"/>
      <c r="P599" s="6"/>
      <c r="Q599" s="6"/>
      <c r="R599" s="6"/>
      <c r="S599" s="6"/>
      <c r="T599" s="6"/>
      <c r="U599" s="6"/>
      <c r="V599" s="6"/>
      <c r="W599" s="7"/>
      <c r="X599" s="7"/>
      <c r="Y599" s="7"/>
      <c r="Z599" s="7"/>
    </row>
    <row r="600">
      <c r="A600" s="6"/>
      <c r="B600" s="6"/>
      <c r="C600" s="6"/>
      <c r="D600" s="6"/>
      <c r="E600" s="6"/>
      <c r="F600" s="6"/>
      <c r="G600" s="6"/>
      <c r="H600" s="6"/>
      <c r="I600" s="6"/>
      <c r="J600" s="6"/>
      <c r="K600" s="6"/>
      <c r="L600" s="80"/>
      <c r="M600" s="80"/>
      <c r="N600" s="80"/>
      <c r="O600" s="80"/>
      <c r="P600" s="6"/>
      <c r="Q600" s="6"/>
      <c r="R600" s="6"/>
      <c r="S600" s="6"/>
      <c r="T600" s="6"/>
      <c r="U600" s="6"/>
      <c r="V600" s="6"/>
      <c r="W600" s="7"/>
      <c r="X600" s="7"/>
      <c r="Y600" s="7"/>
      <c r="Z600" s="7"/>
    </row>
    <row r="601">
      <c r="A601" s="6"/>
      <c r="B601" s="6"/>
      <c r="C601" s="6"/>
      <c r="D601" s="6"/>
      <c r="E601" s="6"/>
      <c r="F601" s="6"/>
      <c r="G601" s="6"/>
      <c r="H601" s="6"/>
      <c r="I601" s="6"/>
      <c r="J601" s="6"/>
      <c r="K601" s="6"/>
      <c r="L601" s="80"/>
      <c r="M601" s="80"/>
      <c r="N601" s="80"/>
      <c r="O601" s="80"/>
      <c r="P601" s="6"/>
      <c r="Q601" s="6"/>
      <c r="R601" s="6"/>
      <c r="S601" s="6"/>
      <c r="T601" s="6"/>
      <c r="U601" s="6"/>
      <c r="V601" s="6"/>
      <c r="W601" s="7"/>
      <c r="X601" s="7"/>
      <c r="Y601" s="7"/>
      <c r="Z601" s="7"/>
    </row>
    <row r="602">
      <c r="A602" s="6"/>
      <c r="B602" s="6"/>
      <c r="C602" s="6"/>
      <c r="D602" s="6"/>
      <c r="E602" s="6"/>
      <c r="F602" s="6"/>
      <c r="G602" s="6"/>
      <c r="H602" s="6"/>
      <c r="I602" s="6"/>
      <c r="J602" s="6"/>
      <c r="K602" s="6"/>
      <c r="L602" s="80"/>
      <c r="M602" s="80"/>
      <c r="N602" s="80"/>
      <c r="O602" s="80"/>
      <c r="P602" s="6"/>
      <c r="Q602" s="6"/>
      <c r="R602" s="6"/>
      <c r="S602" s="6"/>
      <c r="T602" s="6"/>
      <c r="U602" s="6"/>
      <c r="V602" s="6"/>
      <c r="W602" s="7"/>
      <c r="X602" s="7"/>
      <c r="Y602" s="7"/>
      <c r="Z602" s="7"/>
    </row>
    <row r="603">
      <c r="A603" s="6"/>
      <c r="B603" s="6"/>
      <c r="C603" s="6"/>
      <c r="D603" s="6"/>
      <c r="E603" s="6"/>
      <c r="F603" s="6"/>
      <c r="G603" s="6"/>
      <c r="H603" s="6"/>
      <c r="I603" s="6"/>
      <c r="J603" s="6"/>
      <c r="K603" s="6"/>
      <c r="L603" s="80"/>
      <c r="M603" s="80"/>
      <c r="N603" s="80"/>
      <c r="O603" s="80"/>
      <c r="P603" s="6"/>
      <c r="Q603" s="6"/>
      <c r="R603" s="6"/>
      <c r="S603" s="6"/>
      <c r="T603" s="6"/>
      <c r="U603" s="6"/>
      <c r="V603" s="6"/>
      <c r="W603" s="7"/>
      <c r="X603" s="7"/>
      <c r="Y603" s="7"/>
      <c r="Z603" s="7"/>
    </row>
    <row r="604">
      <c r="A604" s="6"/>
      <c r="B604" s="6"/>
      <c r="C604" s="6"/>
      <c r="D604" s="6"/>
      <c r="E604" s="6"/>
      <c r="F604" s="6"/>
      <c r="G604" s="6"/>
      <c r="H604" s="6"/>
      <c r="I604" s="6"/>
      <c r="J604" s="6"/>
      <c r="K604" s="6"/>
      <c r="L604" s="80"/>
      <c r="M604" s="80"/>
      <c r="N604" s="80"/>
      <c r="O604" s="80"/>
      <c r="P604" s="6"/>
      <c r="Q604" s="6"/>
      <c r="R604" s="6"/>
      <c r="S604" s="6"/>
      <c r="T604" s="6"/>
      <c r="U604" s="6"/>
      <c r="V604" s="6"/>
      <c r="W604" s="7"/>
      <c r="X604" s="7"/>
      <c r="Y604" s="7"/>
      <c r="Z604" s="7"/>
    </row>
    <row r="605">
      <c r="A605" s="6"/>
      <c r="B605" s="6"/>
      <c r="C605" s="6"/>
      <c r="D605" s="6"/>
      <c r="E605" s="6"/>
      <c r="F605" s="6"/>
      <c r="G605" s="6"/>
      <c r="H605" s="6"/>
      <c r="I605" s="6"/>
      <c r="J605" s="6"/>
      <c r="K605" s="6"/>
      <c r="L605" s="80"/>
      <c r="M605" s="80"/>
      <c r="N605" s="80"/>
      <c r="O605" s="80"/>
      <c r="P605" s="6"/>
      <c r="Q605" s="6"/>
      <c r="R605" s="6"/>
      <c r="S605" s="6"/>
      <c r="T605" s="6"/>
      <c r="U605" s="6"/>
      <c r="V605" s="6"/>
      <c r="W605" s="7"/>
      <c r="X605" s="7"/>
      <c r="Y605" s="7"/>
      <c r="Z605" s="7"/>
    </row>
    <row r="606">
      <c r="A606" s="6"/>
      <c r="B606" s="6"/>
      <c r="C606" s="6"/>
      <c r="D606" s="6"/>
      <c r="E606" s="6"/>
      <c r="F606" s="6"/>
      <c r="G606" s="6"/>
      <c r="H606" s="6"/>
      <c r="I606" s="6"/>
      <c r="J606" s="6"/>
      <c r="K606" s="6"/>
      <c r="L606" s="80"/>
      <c r="M606" s="80"/>
      <c r="N606" s="80"/>
      <c r="O606" s="80"/>
      <c r="P606" s="6"/>
      <c r="Q606" s="6"/>
      <c r="R606" s="6"/>
      <c r="S606" s="6"/>
      <c r="T606" s="6"/>
      <c r="U606" s="6"/>
      <c r="V606" s="6"/>
      <c r="W606" s="7"/>
      <c r="X606" s="7"/>
      <c r="Y606" s="7"/>
      <c r="Z606" s="7"/>
    </row>
    <row r="607">
      <c r="A607" s="6"/>
      <c r="B607" s="6"/>
      <c r="C607" s="6"/>
      <c r="D607" s="6"/>
      <c r="E607" s="6"/>
      <c r="F607" s="6"/>
      <c r="G607" s="6"/>
      <c r="H607" s="6"/>
      <c r="I607" s="6"/>
      <c r="J607" s="6"/>
      <c r="K607" s="6"/>
      <c r="L607" s="80"/>
      <c r="M607" s="80"/>
      <c r="N607" s="80"/>
      <c r="O607" s="80"/>
      <c r="P607" s="6"/>
      <c r="Q607" s="6"/>
      <c r="R607" s="6"/>
      <c r="S607" s="6"/>
      <c r="T607" s="6"/>
      <c r="U607" s="6"/>
      <c r="V607" s="6"/>
      <c r="W607" s="7"/>
      <c r="X607" s="7"/>
      <c r="Y607" s="7"/>
      <c r="Z607" s="7"/>
    </row>
    <row r="608">
      <c r="A608" s="6"/>
      <c r="B608" s="6"/>
      <c r="C608" s="6"/>
      <c r="D608" s="6"/>
      <c r="E608" s="6"/>
      <c r="F608" s="6"/>
      <c r="G608" s="6"/>
      <c r="H608" s="6"/>
      <c r="I608" s="6"/>
      <c r="J608" s="6"/>
      <c r="K608" s="6"/>
      <c r="L608" s="80"/>
      <c r="M608" s="80"/>
      <c r="N608" s="80"/>
      <c r="O608" s="80"/>
      <c r="P608" s="6"/>
      <c r="Q608" s="6"/>
      <c r="R608" s="6"/>
      <c r="S608" s="6"/>
      <c r="T608" s="6"/>
      <c r="U608" s="6"/>
      <c r="V608" s="6"/>
      <c r="W608" s="7"/>
      <c r="X608" s="7"/>
      <c r="Y608" s="7"/>
      <c r="Z608" s="7"/>
    </row>
    <row r="609">
      <c r="A609" s="6"/>
      <c r="B609" s="6"/>
      <c r="C609" s="6"/>
      <c r="D609" s="6"/>
      <c r="E609" s="6"/>
      <c r="F609" s="6"/>
      <c r="G609" s="6"/>
      <c r="H609" s="6"/>
      <c r="I609" s="6"/>
      <c r="J609" s="6"/>
      <c r="K609" s="6"/>
      <c r="L609" s="80"/>
      <c r="M609" s="80"/>
      <c r="N609" s="80"/>
      <c r="O609" s="80"/>
      <c r="P609" s="6"/>
      <c r="Q609" s="6"/>
      <c r="R609" s="6"/>
      <c r="S609" s="6"/>
      <c r="T609" s="6"/>
      <c r="U609" s="6"/>
      <c r="V609" s="6"/>
      <c r="W609" s="7"/>
      <c r="X609" s="7"/>
      <c r="Y609" s="7"/>
      <c r="Z609" s="7"/>
    </row>
    <row r="610">
      <c r="A610" s="6"/>
      <c r="B610" s="6"/>
      <c r="C610" s="6"/>
      <c r="D610" s="6"/>
      <c r="E610" s="6"/>
      <c r="F610" s="6"/>
      <c r="G610" s="6"/>
      <c r="H610" s="6"/>
      <c r="I610" s="6"/>
      <c r="J610" s="6"/>
      <c r="K610" s="6"/>
      <c r="L610" s="80"/>
      <c r="M610" s="80"/>
      <c r="N610" s="80"/>
      <c r="O610" s="80"/>
      <c r="P610" s="6"/>
      <c r="Q610" s="6"/>
      <c r="R610" s="6"/>
      <c r="S610" s="6"/>
      <c r="T610" s="6"/>
      <c r="U610" s="6"/>
      <c r="V610" s="6"/>
      <c r="W610" s="7"/>
      <c r="X610" s="7"/>
      <c r="Y610" s="7"/>
      <c r="Z610" s="7"/>
    </row>
    <row r="611">
      <c r="A611" s="6"/>
      <c r="B611" s="6"/>
      <c r="C611" s="6"/>
      <c r="D611" s="6"/>
      <c r="E611" s="6"/>
      <c r="F611" s="6"/>
      <c r="G611" s="6"/>
      <c r="H611" s="6"/>
      <c r="I611" s="6"/>
      <c r="J611" s="6"/>
      <c r="K611" s="6"/>
      <c r="L611" s="80"/>
      <c r="M611" s="80"/>
      <c r="N611" s="80"/>
      <c r="O611" s="80"/>
      <c r="P611" s="6"/>
      <c r="Q611" s="6"/>
      <c r="R611" s="6"/>
      <c r="S611" s="6"/>
      <c r="T611" s="6"/>
      <c r="U611" s="6"/>
      <c r="V611" s="6"/>
      <c r="W611" s="7"/>
      <c r="X611" s="7"/>
      <c r="Y611" s="7"/>
      <c r="Z611" s="7"/>
    </row>
    <row r="612">
      <c r="A612" s="6"/>
      <c r="B612" s="6"/>
      <c r="C612" s="6"/>
      <c r="D612" s="6"/>
      <c r="E612" s="6"/>
      <c r="F612" s="6"/>
      <c r="G612" s="6"/>
      <c r="H612" s="6"/>
      <c r="I612" s="6"/>
      <c r="J612" s="6"/>
      <c r="K612" s="6"/>
      <c r="L612" s="80"/>
      <c r="M612" s="80"/>
      <c r="N612" s="80"/>
      <c r="O612" s="80"/>
      <c r="P612" s="6"/>
      <c r="Q612" s="6"/>
      <c r="R612" s="6"/>
      <c r="S612" s="6"/>
      <c r="T612" s="6"/>
      <c r="U612" s="6"/>
      <c r="V612" s="6"/>
      <c r="W612" s="7"/>
      <c r="X612" s="7"/>
      <c r="Y612" s="7"/>
      <c r="Z612" s="7"/>
    </row>
    <row r="613">
      <c r="A613" s="6"/>
      <c r="B613" s="6"/>
      <c r="C613" s="6"/>
      <c r="D613" s="6"/>
      <c r="E613" s="6"/>
      <c r="F613" s="6"/>
      <c r="G613" s="6"/>
      <c r="H613" s="6"/>
      <c r="I613" s="6"/>
      <c r="J613" s="6"/>
      <c r="K613" s="6"/>
      <c r="L613" s="80"/>
      <c r="M613" s="80"/>
      <c r="N613" s="80"/>
      <c r="O613" s="80"/>
      <c r="P613" s="6"/>
      <c r="Q613" s="6"/>
      <c r="R613" s="6"/>
      <c r="S613" s="6"/>
      <c r="T613" s="6"/>
      <c r="U613" s="6"/>
      <c r="V613" s="6"/>
      <c r="W613" s="7"/>
      <c r="X613" s="7"/>
      <c r="Y613" s="7"/>
      <c r="Z613" s="7"/>
    </row>
    <row r="614">
      <c r="A614" s="6"/>
      <c r="B614" s="6"/>
      <c r="C614" s="6"/>
      <c r="D614" s="6"/>
      <c r="E614" s="6"/>
      <c r="F614" s="6"/>
      <c r="G614" s="6"/>
      <c r="H614" s="6"/>
      <c r="I614" s="6"/>
      <c r="J614" s="6"/>
      <c r="K614" s="6"/>
      <c r="L614" s="80"/>
      <c r="M614" s="80"/>
      <c r="N614" s="80"/>
      <c r="O614" s="80"/>
      <c r="P614" s="6"/>
      <c r="Q614" s="6"/>
      <c r="R614" s="6"/>
      <c r="S614" s="6"/>
      <c r="T614" s="6"/>
      <c r="U614" s="6"/>
      <c r="V614" s="6"/>
      <c r="W614" s="7"/>
      <c r="X614" s="7"/>
      <c r="Y614" s="7"/>
      <c r="Z614" s="7"/>
    </row>
    <row r="615">
      <c r="A615" s="6"/>
      <c r="B615" s="6"/>
      <c r="C615" s="6"/>
      <c r="D615" s="6"/>
      <c r="E615" s="6"/>
      <c r="F615" s="6"/>
      <c r="G615" s="6"/>
      <c r="H615" s="6"/>
      <c r="I615" s="6"/>
      <c r="J615" s="6"/>
      <c r="K615" s="6"/>
      <c r="L615" s="80"/>
      <c r="M615" s="80"/>
      <c r="N615" s="80"/>
      <c r="O615" s="80"/>
      <c r="P615" s="6"/>
      <c r="Q615" s="6"/>
      <c r="R615" s="6"/>
      <c r="S615" s="6"/>
      <c r="T615" s="6"/>
      <c r="U615" s="6"/>
      <c r="V615" s="6"/>
      <c r="W615" s="7"/>
      <c r="X615" s="7"/>
      <c r="Y615" s="7"/>
      <c r="Z615" s="7"/>
    </row>
    <row r="616">
      <c r="A616" s="6"/>
      <c r="B616" s="6"/>
      <c r="C616" s="6"/>
      <c r="D616" s="6"/>
      <c r="E616" s="6"/>
      <c r="F616" s="6"/>
      <c r="G616" s="6"/>
      <c r="H616" s="6"/>
      <c r="I616" s="6"/>
      <c r="J616" s="6"/>
      <c r="K616" s="6"/>
      <c r="L616" s="80"/>
      <c r="M616" s="80"/>
      <c r="N616" s="80"/>
      <c r="O616" s="80"/>
      <c r="P616" s="6"/>
      <c r="Q616" s="6"/>
      <c r="R616" s="6"/>
      <c r="S616" s="6"/>
      <c r="T616" s="6"/>
      <c r="U616" s="6"/>
      <c r="V616" s="6"/>
      <c r="W616" s="7"/>
      <c r="X616" s="7"/>
      <c r="Y616" s="7"/>
      <c r="Z616" s="7"/>
    </row>
    <row r="617">
      <c r="A617" s="6"/>
      <c r="B617" s="6"/>
      <c r="C617" s="6"/>
      <c r="D617" s="6"/>
      <c r="E617" s="6"/>
      <c r="F617" s="6"/>
      <c r="G617" s="6"/>
      <c r="H617" s="6"/>
      <c r="I617" s="6"/>
      <c r="J617" s="6"/>
      <c r="K617" s="6"/>
      <c r="L617" s="80"/>
      <c r="M617" s="80"/>
      <c r="N617" s="80"/>
      <c r="O617" s="80"/>
      <c r="P617" s="6"/>
      <c r="Q617" s="6"/>
      <c r="R617" s="6"/>
      <c r="S617" s="6"/>
      <c r="T617" s="6"/>
      <c r="U617" s="6"/>
      <c r="V617" s="6"/>
      <c r="W617" s="7"/>
      <c r="X617" s="7"/>
      <c r="Y617" s="7"/>
      <c r="Z617" s="7"/>
    </row>
    <row r="618">
      <c r="A618" s="6"/>
      <c r="B618" s="6"/>
      <c r="C618" s="6"/>
      <c r="D618" s="6"/>
      <c r="E618" s="6"/>
      <c r="F618" s="6"/>
      <c r="G618" s="6"/>
      <c r="H618" s="6"/>
      <c r="I618" s="6"/>
      <c r="J618" s="6"/>
      <c r="K618" s="6"/>
      <c r="L618" s="80"/>
      <c r="M618" s="80"/>
      <c r="N618" s="80"/>
      <c r="O618" s="80"/>
      <c r="P618" s="6"/>
      <c r="Q618" s="6"/>
      <c r="R618" s="6"/>
      <c r="S618" s="6"/>
      <c r="T618" s="6"/>
      <c r="U618" s="6"/>
      <c r="V618" s="6"/>
      <c r="W618" s="7"/>
      <c r="X618" s="7"/>
      <c r="Y618" s="7"/>
      <c r="Z618" s="7"/>
    </row>
    <row r="619">
      <c r="A619" s="6"/>
      <c r="B619" s="6"/>
      <c r="C619" s="6"/>
      <c r="D619" s="6"/>
      <c r="E619" s="6"/>
      <c r="F619" s="6"/>
      <c r="G619" s="6"/>
      <c r="H619" s="6"/>
      <c r="I619" s="6"/>
      <c r="J619" s="6"/>
      <c r="K619" s="6"/>
      <c r="L619" s="80"/>
      <c r="M619" s="80"/>
      <c r="N619" s="80"/>
      <c r="O619" s="80"/>
      <c r="P619" s="6"/>
      <c r="Q619" s="6"/>
      <c r="R619" s="6"/>
      <c r="S619" s="6"/>
      <c r="T619" s="6"/>
      <c r="U619" s="6"/>
      <c r="V619" s="6"/>
      <c r="W619" s="7"/>
      <c r="X619" s="7"/>
      <c r="Y619" s="7"/>
      <c r="Z619" s="7"/>
    </row>
    <row r="620">
      <c r="A620" s="6"/>
      <c r="B620" s="6"/>
      <c r="C620" s="6"/>
      <c r="D620" s="6"/>
      <c r="E620" s="6"/>
      <c r="F620" s="6"/>
      <c r="G620" s="6"/>
      <c r="H620" s="6"/>
      <c r="I620" s="6"/>
      <c r="J620" s="6"/>
      <c r="K620" s="6"/>
      <c r="L620" s="80"/>
      <c r="M620" s="80"/>
      <c r="N620" s="80"/>
      <c r="O620" s="80"/>
      <c r="P620" s="6"/>
      <c r="Q620" s="6"/>
      <c r="R620" s="6"/>
      <c r="S620" s="6"/>
      <c r="T620" s="6"/>
      <c r="U620" s="6"/>
      <c r="V620" s="6"/>
      <c r="W620" s="7"/>
      <c r="X620" s="7"/>
      <c r="Y620" s="7"/>
      <c r="Z620" s="7"/>
    </row>
    <row r="621">
      <c r="A621" s="6"/>
      <c r="B621" s="6"/>
      <c r="C621" s="6"/>
      <c r="D621" s="6"/>
      <c r="E621" s="6"/>
      <c r="F621" s="6"/>
      <c r="G621" s="6"/>
      <c r="H621" s="6"/>
      <c r="I621" s="6"/>
      <c r="J621" s="6"/>
      <c r="K621" s="6"/>
      <c r="L621" s="80"/>
      <c r="M621" s="80"/>
      <c r="N621" s="80"/>
      <c r="O621" s="80"/>
      <c r="P621" s="6"/>
      <c r="Q621" s="6"/>
      <c r="R621" s="6"/>
      <c r="S621" s="6"/>
      <c r="T621" s="6"/>
      <c r="U621" s="6"/>
      <c r="V621" s="6"/>
      <c r="W621" s="7"/>
      <c r="X621" s="7"/>
      <c r="Y621" s="7"/>
      <c r="Z621" s="7"/>
    </row>
    <row r="622">
      <c r="A622" s="6"/>
      <c r="B622" s="6"/>
      <c r="C622" s="6"/>
      <c r="D622" s="6"/>
      <c r="E622" s="6"/>
      <c r="F622" s="6"/>
      <c r="G622" s="6"/>
      <c r="H622" s="6"/>
      <c r="I622" s="6"/>
      <c r="J622" s="6"/>
      <c r="K622" s="6"/>
      <c r="L622" s="80"/>
      <c r="M622" s="80"/>
      <c r="N622" s="80"/>
      <c r="O622" s="80"/>
      <c r="P622" s="6"/>
      <c r="Q622" s="6"/>
      <c r="R622" s="6"/>
      <c r="S622" s="6"/>
      <c r="T622" s="6"/>
      <c r="U622" s="6"/>
      <c r="V622" s="6"/>
      <c r="W622" s="7"/>
      <c r="X622" s="7"/>
      <c r="Y622" s="7"/>
      <c r="Z622" s="7"/>
    </row>
    <row r="623">
      <c r="A623" s="6"/>
      <c r="B623" s="6"/>
      <c r="C623" s="6"/>
      <c r="D623" s="6"/>
      <c r="E623" s="6"/>
      <c r="F623" s="6"/>
      <c r="G623" s="6"/>
      <c r="H623" s="6"/>
      <c r="I623" s="6"/>
      <c r="J623" s="6"/>
      <c r="K623" s="6"/>
      <c r="L623" s="80"/>
      <c r="M623" s="80"/>
      <c r="N623" s="80"/>
      <c r="O623" s="80"/>
      <c r="P623" s="6"/>
      <c r="Q623" s="6"/>
      <c r="R623" s="6"/>
      <c r="S623" s="6"/>
      <c r="T623" s="6"/>
      <c r="U623" s="6"/>
      <c r="V623" s="6"/>
      <c r="W623" s="7"/>
      <c r="X623" s="7"/>
      <c r="Y623" s="7"/>
      <c r="Z623" s="7"/>
    </row>
    <row r="624">
      <c r="A624" s="6"/>
      <c r="B624" s="6"/>
      <c r="C624" s="6"/>
      <c r="D624" s="6"/>
      <c r="E624" s="6"/>
      <c r="F624" s="6"/>
      <c r="G624" s="6"/>
      <c r="H624" s="6"/>
      <c r="I624" s="6"/>
      <c r="J624" s="6"/>
      <c r="K624" s="6"/>
      <c r="L624" s="80"/>
      <c r="M624" s="80"/>
      <c r="N624" s="80"/>
      <c r="O624" s="80"/>
      <c r="P624" s="6"/>
      <c r="Q624" s="6"/>
      <c r="R624" s="6"/>
      <c r="S624" s="6"/>
      <c r="T624" s="6"/>
      <c r="U624" s="6"/>
      <c r="V624" s="6"/>
      <c r="W624" s="7"/>
      <c r="X624" s="7"/>
      <c r="Y624" s="7"/>
      <c r="Z624" s="7"/>
    </row>
    <row r="625">
      <c r="A625" s="6"/>
      <c r="B625" s="6"/>
      <c r="C625" s="6"/>
      <c r="D625" s="6"/>
      <c r="E625" s="6"/>
      <c r="F625" s="6"/>
      <c r="G625" s="6"/>
      <c r="H625" s="6"/>
      <c r="I625" s="6"/>
      <c r="J625" s="6"/>
      <c r="K625" s="6"/>
      <c r="L625" s="80"/>
      <c r="M625" s="80"/>
      <c r="N625" s="80"/>
      <c r="O625" s="80"/>
      <c r="P625" s="6"/>
      <c r="Q625" s="6"/>
      <c r="R625" s="6"/>
      <c r="S625" s="6"/>
      <c r="T625" s="6"/>
      <c r="U625" s="6"/>
      <c r="V625" s="6"/>
      <c r="W625" s="7"/>
      <c r="X625" s="7"/>
      <c r="Y625" s="7"/>
      <c r="Z625" s="7"/>
    </row>
    <row r="626">
      <c r="A626" s="6"/>
      <c r="B626" s="6"/>
      <c r="C626" s="6"/>
      <c r="D626" s="6"/>
      <c r="E626" s="6"/>
      <c r="F626" s="6"/>
      <c r="G626" s="6"/>
      <c r="H626" s="6"/>
      <c r="I626" s="6"/>
      <c r="J626" s="6"/>
      <c r="K626" s="6"/>
      <c r="L626" s="80"/>
      <c r="M626" s="80"/>
      <c r="N626" s="80"/>
      <c r="O626" s="80"/>
      <c r="P626" s="6"/>
      <c r="Q626" s="6"/>
      <c r="R626" s="6"/>
      <c r="S626" s="6"/>
      <c r="T626" s="6"/>
      <c r="U626" s="6"/>
      <c r="V626" s="6"/>
      <c r="W626" s="7"/>
      <c r="X626" s="7"/>
      <c r="Y626" s="7"/>
      <c r="Z626" s="7"/>
    </row>
    <row r="627">
      <c r="A627" s="6"/>
      <c r="B627" s="6"/>
      <c r="C627" s="6"/>
      <c r="D627" s="6"/>
      <c r="E627" s="6"/>
      <c r="F627" s="6"/>
      <c r="G627" s="6"/>
      <c r="H627" s="6"/>
      <c r="I627" s="6"/>
      <c r="J627" s="6"/>
      <c r="K627" s="6"/>
      <c r="L627" s="80"/>
      <c r="M627" s="80"/>
      <c r="N627" s="80"/>
      <c r="O627" s="80"/>
      <c r="P627" s="6"/>
      <c r="Q627" s="6"/>
      <c r="R627" s="6"/>
      <c r="S627" s="6"/>
      <c r="T627" s="6"/>
      <c r="U627" s="6"/>
      <c r="V627" s="6"/>
      <c r="W627" s="7"/>
      <c r="X627" s="7"/>
      <c r="Y627" s="7"/>
      <c r="Z627" s="7"/>
    </row>
    <row r="628">
      <c r="A628" s="6"/>
      <c r="B628" s="6"/>
      <c r="C628" s="6"/>
      <c r="D628" s="6"/>
      <c r="E628" s="6"/>
      <c r="F628" s="6"/>
      <c r="G628" s="6"/>
      <c r="H628" s="6"/>
      <c r="I628" s="6"/>
      <c r="J628" s="6"/>
      <c r="K628" s="6"/>
      <c r="L628" s="80"/>
      <c r="M628" s="80"/>
      <c r="N628" s="80"/>
      <c r="O628" s="80"/>
      <c r="P628" s="6"/>
      <c r="Q628" s="6"/>
      <c r="R628" s="6"/>
      <c r="S628" s="6"/>
      <c r="T628" s="6"/>
      <c r="U628" s="6"/>
      <c r="V628" s="6"/>
      <c r="W628" s="7"/>
      <c r="X628" s="7"/>
      <c r="Y628" s="7"/>
      <c r="Z628" s="7"/>
    </row>
    <row r="629">
      <c r="A629" s="6"/>
      <c r="B629" s="6"/>
      <c r="C629" s="6"/>
      <c r="D629" s="6"/>
      <c r="E629" s="6"/>
      <c r="F629" s="6"/>
      <c r="G629" s="6"/>
      <c r="H629" s="6"/>
      <c r="I629" s="6"/>
      <c r="J629" s="6"/>
      <c r="K629" s="6"/>
      <c r="L629" s="80"/>
      <c r="M629" s="80"/>
      <c r="N629" s="80"/>
      <c r="O629" s="80"/>
      <c r="P629" s="6"/>
      <c r="Q629" s="6"/>
      <c r="R629" s="6"/>
      <c r="S629" s="6"/>
      <c r="T629" s="6"/>
      <c r="U629" s="6"/>
      <c r="V629" s="6"/>
      <c r="W629" s="7"/>
      <c r="X629" s="7"/>
      <c r="Y629" s="7"/>
      <c r="Z629" s="7"/>
    </row>
    <row r="630">
      <c r="A630" s="6"/>
      <c r="B630" s="6"/>
      <c r="C630" s="6"/>
      <c r="D630" s="6"/>
      <c r="E630" s="6"/>
      <c r="F630" s="6"/>
      <c r="G630" s="6"/>
      <c r="H630" s="6"/>
      <c r="I630" s="6"/>
      <c r="J630" s="6"/>
      <c r="K630" s="6"/>
      <c r="L630" s="80"/>
      <c r="M630" s="80"/>
      <c r="N630" s="80"/>
      <c r="O630" s="80"/>
      <c r="P630" s="6"/>
      <c r="Q630" s="6"/>
      <c r="R630" s="6"/>
      <c r="S630" s="6"/>
      <c r="T630" s="6"/>
      <c r="U630" s="6"/>
      <c r="V630" s="6"/>
      <c r="W630" s="7"/>
      <c r="X630" s="7"/>
      <c r="Y630" s="7"/>
      <c r="Z630" s="7"/>
    </row>
    <row r="631">
      <c r="A631" s="6"/>
      <c r="B631" s="6"/>
      <c r="C631" s="6"/>
      <c r="D631" s="6"/>
      <c r="E631" s="6"/>
      <c r="F631" s="6"/>
      <c r="G631" s="6"/>
      <c r="H631" s="6"/>
      <c r="I631" s="6"/>
      <c r="J631" s="6"/>
      <c r="K631" s="6"/>
      <c r="L631" s="80"/>
      <c r="M631" s="80"/>
      <c r="N631" s="80"/>
      <c r="O631" s="80"/>
      <c r="P631" s="6"/>
      <c r="Q631" s="6"/>
      <c r="R631" s="6"/>
      <c r="S631" s="6"/>
      <c r="T631" s="6"/>
      <c r="U631" s="6"/>
      <c r="V631" s="6"/>
      <c r="W631" s="7"/>
      <c r="X631" s="7"/>
      <c r="Y631" s="7"/>
      <c r="Z631" s="7"/>
    </row>
    <row r="632">
      <c r="A632" s="6"/>
      <c r="B632" s="6"/>
      <c r="C632" s="6"/>
      <c r="D632" s="6"/>
      <c r="E632" s="6"/>
      <c r="F632" s="6"/>
      <c r="G632" s="6"/>
      <c r="H632" s="6"/>
      <c r="I632" s="6"/>
      <c r="J632" s="6"/>
      <c r="K632" s="6"/>
      <c r="L632" s="80"/>
      <c r="M632" s="80"/>
      <c r="N632" s="80"/>
      <c r="O632" s="80"/>
      <c r="P632" s="6"/>
      <c r="Q632" s="6"/>
      <c r="R632" s="6"/>
      <c r="S632" s="6"/>
      <c r="T632" s="6"/>
      <c r="U632" s="6"/>
      <c r="V632" s="6"/>
      <c r="W632" s="7"/>
      <c r="X632" s="7"/>
      <c r="Y632" s="7"/>
      <c r="Z632" s="7"/>
    </row>
    <row r="633">
      <c r="A633" s="6"/>
      <c r="B633" s="6"/>
      <c r="C633" s="6"/>
      <c r="D633" s="6"/>
      <c r="E633" s="6"/>
      <c r="F633" s="6"/>
      <c r="G633" s="6"/>
      <c r="H633" s="6"/>
      <c r="I633" s="6"/>
      <c r="J633" s="6"/>
      <c r="K633" s="6"/>
      <c r="L633" s="80"/>
      <c r="M633" s="80"/>
      <c r="N633" s="80"/>
      <c r="O633" s="80"/>
      <c r="P633" s="6"/>
      <c r="Q633" s="6"/>
      <c r="R633" s="6"/>
      <c r="S633" s="6"/>
      <c r="T633" s="6"/>
      <c r="U633" s="6"/>
      <c r="V633" s="6"/>
      <c r="W633" s="7"/>
      <c r="X633" s="7"/>
      <c r="Y633" s="7"/>
      <c r="Z633" s="7"/>
    </row>
    <row r="634">
      <c r="A634" s="6"/>
      <c r="B634" s="6"/>
      <c r="C634" s="6"/>
      <c r="D634" s="6"/>
      <c r="E634" s="6"/>
      <c r="F634" s="6"/>
      <c r="G634" s="6"/>
      <c r="H634" s="6"/>
      <c r="I634" s="6"/>
      <c r="J634" s="6"/>
      <c r="K634" s="6"/>
      <c r="L634" s="80"/>
      <c r="M634" s="80"/>
      <c r="N634" s="80"/>
      <c r="O634" s="80"/>
      <c r="P634" s="6"/>
      <c r="Q634" s="6"/>
      <c r="R634" s="6"/>
      <c r="S634" s="6"/>
      <c r="T634" s="6"/>
      <c r="U634" s="6"/>
      <c r="V634" s="6"/>
      <c r="W634" s="7"/>
      <c r="X634" s="7"/>
      <c r="Y634" s="7"/>
      <c r="Z634" s="7"/>
    </row>
    <row r="635">
      <c r="A635" s="6"/>
      <c r="B635" s="6"/>
      <c r="C635" s="6"/>
      <c r="D635" s="6"/>
      <c r="E635" s="6"/>
      <c r="F635" s="6"/>
      <c r="G635" s="6"/>
      <c r="H635" s="6"/>
      <c r="I635" s="6"/>
      <c r="J635" s="6"/>
      <c r="K635" s="6"/>
      <c r="L635" s="80"/>
      <c r="M635" s="80"/>
      <c r="N635" s="80"/>
      <c r="O635" s="80"/>
      <c r="P635" s="6"/>
      <c r="Q635" s="6"/>
      <c r="R635" s="6"/>
      <c r="S635" s="6"/>
      <c r="T635" s="6"/>
      <c r="U635" s="6"/>
      <c r="V635" s="6"/>
      <c r="W635" s="7"/>
      <c r="X635" s="7"/>
      <c r="Y635" s="7"/>
      <c r="Z635" s="7"/>
    </row>
    <row r="636">
      <c r="A636" s="6"/>
      <c r="B636" s="6"/>
      <c r="C636" s="6"/>
      <c r="D636" s="6"/>
      <c r="E636" s="6"/>
      <c r="F636" s="6"/>
      <c r="G636" s="6"/>
      <c r="H636" s="6"/>
      <c r="I636" s="6"/>
      <c r="J636" s="6"/>
      <c r="K636" s="6"/>
      <c r="L636" s="80"/>
      <c r="M636" s="80"/>
      <c r="N636" s="80"/>
      <c r="O636" s="80"/>
      <c r="P636" s="6"/>
      <c r="Q636" s="6"/>
      <c r="R636" s="6"/>
      <c r="S636" s="6"/>
      <c r="T636" s="6"/>
      <c r="U636" s="6"/>
      <c r="V636" s="6"/>
      <c r="W636" s="7"/>
      <c r="X636" s="7"/>
      <c r="Y636" s="7"/>
      <c r="Z636" s="7"/>
    </row>
    <row r="637">
      <c r="A637" s="6"/>
      <c r="B637" s="6"/>
      <c r="C637" s="6"/>
      <c r="D637" s="6"/>
      <c r="E637" s="6"/>
      <c r="F637" s="6"/>
      <c r="G637" s="6"/>
      <c r="H637" s="6"/>
      <c r="I637" s="6"/>
      <c r="J637" s="6"/>
      <c r="K637" s="6"/>
      <c r="L637" s="80"/>
      <c r="M637" s="80"/>
      <c r="N637" s="80"/>
      <c r="O637" s="80"/>
      <c r="P637" s="6"/>
      <c r="Q637" s="6"/>
      <c r="R637" s="6"/>
      <c r="S637" s="6"/>
      <c r="T637" s="6"/>
      <c r="U637" s="6"/>
      <c r="V637" s="6"/>
      <c r="W637" s="7"/>
      <c r="X637" s="7"/>
      <c r="Y637" s="7"/>
      <c r="Z637" s="7"/>
    </row>
    <row r="638">
      <c r="A638" s="6"/>
      <c r="B638" s="6"/>
      <c r="C638" s="6"/>
      <c r="D638" s="6"/>
      <c r="E638" s="6"/>
      <c r="F638" s="6"/>
      <c r="G638" s="6"/>
      <c r="H638" s="6"/>
      <c r="I638" s="6"/>
      <c r="J638" s="6"/>
      <c r="K638" s="6"/>
      <c r="L638" s="80"/>
      <c r="M638" s="80"/>
      <c r="N638" s="80"/>
      <c r="O638" s="80"/>
      <c r="P638" s="6"/>
      <c r="Q638" s="6"/>
      <c r="R638" s="6"/>
      <c r="S638" s="6"/>
      <c r="T638" s="6"/>
      <c r="U638" s="6"/>
      <c r="V638" s="6"/>
      <c r="W638" s="7"/>
      <c r="X638" s="7"/>
      <c r="Y638" s="7"/>
      <c r="Z638" s="7"/>
    </row>
    <row r="639">
      <c r="A639" s="6"/>
      <c r="B639" s="6"/>
      <c r="C639" s="6"/>
      <c r="D639" s="6"/>
      <c r="E639" s="6"/>
      <c r="F639" s="6"/>
      <c r="G639" s="6"/>
      <c r="H639" s="6"/>
      <c r="I639" s="6"/>
      <c r="J639" s="6"/>
      <c r="K639" s="6"/>
      <c r="L639" s="80"/>
      <c r="M639" s="80"/>
      <c r="N639" s="80"/>
      <c r="O639" s="80"/>
      <c r="P639" s="6"/>
      <c r="Q639" s="6"/>
      <c r="R639" s="6"/>
      <c r="S639" s="6"/>
      <c r="T639" s="6"/>
      <c r="U639" s="6"/>
      <c r="V639" s="6"/>
      <c r="W639" s="7"/>
      <c r="X639" s="7"/>
      <c r="Y639" s="7"/>
      <c r="Z639" s="7"/>
    </row>
    <row r="640">
      <c r="A640" s="6"/>
      <c r="B640" s="6"/>
      <c r="C640" s="6"/>
      <c r="D640" s="6"/>
      <c r="E640" s="6"/>
      <c r="F640" s="6"/>
      <c r="G640" s="6"/>
      <c r="H640" s="6"/>
      <c r="I640" s="6"/>
      <c r="J640" s="6"/>
      <c r="K640" s="6"/>
      <c r="L640" s="80"/>
      <c r="M640" s="80"/>
      <c r="N640" s="80"/>
      <c r="O640" s="80"/>
      <c r="P640" s="6"/>
      <c r="Q640" s="6"/>
      <c r="R640" s="6"/>
      <c r="S640" s="6"/>
      <c r="T640" s="6"/>
      <c r="U640" s="6"/>
      <c r="V640" s="6"/>
      <c r="W640" s="7"/>
      <c r="X640" s="7"/>
      <c r="Y640" s="7"/>
      <c r="Z640" s="7"/>
    </row>
    <row r="641">
      <c r="A641" s="6"/>
      <c r="B641" s="6"/>
      <c r="C641" s="6"/>
      <c r="D641" s="6"/>
      <c r="E641" s="6"/>
      <c r="F641" s="6"/>
      <c r="G641" s="6"/>
      <c r="H641" s="6"/>
      <c r="I641" s="6"/>
      <c r="J641" s="6"/>
      <c r="K641" s="6"/>
      <c r="L641" s="80"/>
      <c r="M641" s="80"/>
      <c r="N641" s="80"/>
      <c r="O641" s="80"/>
      <c r="P641" s="6"/>
      <c r="Q641" s="6"/>
      <c r="R641" s="6"/>
      <c r="S641" s="6"/>
      <c r="T641" s="6"/>
      <c r="U641" s="6"/>
      <c r="V641" s="6"/>
      <c r="W641" s="7"/>
      <c r="X641" s="7"/>
      <c r="Y641" s="7"/>
      <c r="Z641" s="7"/>
    </row>
    <row r="642">
      <c r="A642" s="6"/>
      <c r="B642" s="6"/>
      <c r="C642" s="6"/>
      <c r="D642" s="6"/>
      <c r="E642" s="6"/>
      <c r="F642" s="6"/>
      <c r="G642" s="6"/>
      <c r="H642" s="6"/>
      <c r="I642" s="6"/>
      <c r="J642" s="6"/>
      <c r="K642" s="6"/>
      <c r="L642" s="80"/>
      <c r="M642" s="80"/>
      <c r="N642" s="80"/>
      <c r="O642" s="80"/>
      <c r="P642" s="6"/>
      <c r="Q642" s="6"/>
      <c r="R642" s="6"/>
      <c r="S642" s="6"/>
      <c r="T642" s="6"/>
      <c r="U642" s="6"/>
      <c r="V642" s="6"/>
      <c r="W642" s="7"/>
      <c r="X642" s="7"/>
      <c r="Y642" s="7"/>
      <c r="Z642" s="7"/>
    </row>
    <row r="643">
      <c r="A643" s="6"/>
      <c r="B643" s="6"/>
      <c r="C643" s="6"/>
      <c r="D643" s="6"/>
      <c r="E643" s="6"/>
      <c r="F643" s="6"/>
      <c r="G643" s="6"/>
      <c r="H643" s="6"/>
      <c r="I643" s="6"/>
      <c r="J643" s="6"/>
      <c r="K643" s="6"/>
      <c r="L643" s="80"/>
      <c r="M643" s="80"/>
      <c r="N643" s="80"/>
      <c r="O643" s="80"/>
      <c r="P643" s="6"/>
      <c r="Q643" s="6"/>
      <c r="R643" s="6"/>
      <c r="S643" s="6"/>
      <c r="T643" s="6"/>
      <c r="U643" s="6"/>
      <c r="V643" s="6"/>
      <c r="W643" s="7"/>
      <c r="X643" s="7"/>
      <c r="Y643" s="7"/>
      <c r="Z643" s="7"/>
    </row>
    <row r="644">
      <c r="A644" s="6"/>
      <c r="B644" s="6"/>
      <c r="C644" s="6"/>
      <c r="D644" s="6"/>
      <c r="E644" s="6"/>
      <c r="F644" s="6"/>
      <c r="G644" s="6"/>
      <c r="H644" s="6"/>
      <c r="I644" s="6"/>
      <c r="J644" s="6"/>
      <c r="K644" s="6"/>
      <c r="L644" s="80"/>
      <c r="M644" s="80"/>
      <c r="N644" s="80"/>
      <c r="O644" s="80"/>
      <c r="P644" s="6"/>
      <c r="Q644" s="6"/>
      <c r="R644" s="6"/>
      <c r="S644" s="6"/>
      <c r="T644" s="6"/>
      <c r="U644" s="6"/>
      <c r="V644" s="6"/>
      <c r="W644" s="7"/>
      <c r="X644" s="7"/>
      <c r="Y644" s="7"/>
      <c r="Z644" s="7"/>
    </row>
    <row r="645">
      <c r="A645" s="6"/>
      <c r="B645" s="6"/>
      <c r="C645" s="6"/>
      <c r="D645" s="6"/>
      <c r="E645" s="6"/>
      <c r="F645" s="6"/>
      <c r="G645" s="6"/>
      <c r="H645" s="6"/>
      <c r="I645" s="6"/>
      <c r="J645" s="6"/>
      <c r="K645" s="6"/>
      <c r="L645" s="80"/>
      <c r="M645" s="80"/>
      <c r="N645" s="80"/>
      <c r="O645" s="80"/>
      <c r="P645" s="6"/>
      <c r="Q645" s="6"/>
      <c r="R645" s="6"/>
      <c r="S645" s="6"/>
      <c r="T645" s="6"/>
      <c r="U645" s="6"/>
      <c r="V645" s="6"/>
      <c r="W645" s="7"/>
      <c r="X645" s="7"/>
      <c r="Y645" s="7"/>
      <c r="Z645" s="7"/>
    </row>
    <row r="646">
      <c r="A646" s="6"/>
      <c r="B646" s="6"/>
      <c r="C646" s="6"/>
      <c r="D646" s="6"/>
      <c r="E646" s="6"/>
      <c r="F646" s="6"/>
      <c r="G646" s="6"/>
      <c r="H646" s="6"/>
      <c r="I646" s="6"/>
      <c r="J646" s="6"/>
      <c r="K646" s="6"/>
      <c r="L646" s="80"/>
      <c r="M646" s="80"/>
      <c r="N646" s="80"/>
      <c r="O646" s="80"/>
      <c r="P646" s="6"/>
      <c r="Q646" s="6"/>
      <c r="R646" s="6"/>
      <c r="S646" s="6"/>
      <c r="T646" s="6"/>
      <c r="U646" s="6"/>
      <c r="V646" s="6"/>
      <c r="W646" s="7"/>
      <c r="X646" s="7"/>
      <c r="Y646" s="7"/>
      <c r="Z646" s="7"/>
    </row>
    <row r="647">
      <c r="A647" s="6"/>
      <c r="B647" s="6"/>
      <c r="C647" s="6"/>
      <c r="D647" s="6"/>
      <c r="E647" s="6"/>
      <c r="F647" s="6"/>
      <c r="G647" s="6"/>
      <c r="H647" s="6"/>
      <c r="I647" s="6"/>
      <c r="J647" s="6"/>
      <c r="K647" s="6"/>
      <c r="L647" s="80"/>
      <c r="M647" s="80"/>
      <c r="N647" s="80"/>
      <c r="O647" s="80"/>
      <c r="P647" s="6"/>
      <c r="Q647" s="6"/>
      <c r="R647" s="6"/>
      <c r="S647" s="6"/>
      <c r="T647" s="6"/>
      <c r="U647" s="6"/>
      <c r="V647" s="6"/>
      <c r="W647" s="7"/>
      <c r="X647" s="7"/>
      <c r="Y647" s="7"/>
      <c r="Z647" s="7"/>
    </row>
    <row r="648">
      <c r="A648" s="6"/>
      <c r="B648" s="6"/>
      <c r="C648" s="6"/>
      <c r="D648" s="6"/>
      <c r="E648" s="6"/>
      <c r="F648" s="6"/>
      <c r="G648" s="6"/>
      <c r="H648" s="6"/>
      <c r="I648" s="6"/>
      <c r="J648" s="6"/>
      <c r="K648" s="6"/>
      <c r="L648" s="80"/>
      <c r="M648" s="80"/>
      <c r="N648" s="80"/>
      <c r="O648" s="80"/>
      <c r="P648" s="6"/>
      <c r="Q648" s="6"/>
      <c r="R648" s="6"/>
      <c r="S648" s="6"/>
      <c r="T648" s="6"/>
      <c r="U648" s="6"/>
      <c r="V648" s="6"/>
      <c r="W648" s="7"/>
      <c r="X648" s="7"/>
      <c r="Y648" s="7"/>
      <c r="Z648" s="7"/>
    </row>
    <row r="649">
      <c r="A649" s="6"/>
      <c r="B649" s="6"/>
      <c r="C649" s="6"/>
      <c r="D649" s="6"/>
      <c r="E649" s="6"/>
      <c r="F649" s="6"/>
      <c r="G649" s="6"/>
      <c r="H649" s="6"/>
      <c r="I649" s="6"/>
      <c r="J649" s="6"/>
      <c r="K649" s="6"/>
      <c r="L649" s="80"/>
      <c r="M649" s="80"/>
      <c r="N649" s="80"/>
      <c r="O649" s="80"/>
      <c r="P649" s="6"/>
      <c r="Q649" s="6"/>
      <c r="R649" s="6"/>
      <c r="S649" s="6"/>
      <c r="T649" s="6"/>
      <c r="U649" s="6"/>
      <c r="V649" s="6"/>
      <c r="W649" s="7"/>
      <c r="X649" s="7"/>
      <c r="Y649" s="7"/>
      <c r="Z649" s="7"/>
    </row>
    <row r="650">
      <c r="A650" s="6"/>
      <c r="B650" s="6"/>
      <c r="C650" s="6"/>
      <c r="D650" s="6"/>
      <c r="E650" s="6"/>
      <c r="F650" s="6"/>
      <c r="G650" s="6"/>
      <c r="H650" s="6"/>
      <c r="I650" s="6"/>
      <c r="J650" s="6"/>
      <c r="K650" s="6"/>
      <c r="L650" s="80"/>
      <c r="M650" s="80"/>
      <c r="N650" s="80"/>
      <c r="O650" s="80"/>
      <c r="P650" s="6"/>
      <c r="Q650" s="6"/>
      <c r="R650" s="6"/>
      <c r="S650" s="6"/>
      <c r="T650" s="6"/>
      <c r="U650" s="6"/>
      <c r="V650" s="6"/>
      <c r="W650" s="7"/>
      <c r="X650" s="7"/>
      <c r="Y650" s="7"/>
      <c r="Z650" s="7"/>
    </row>
    <row r="651">
      <c r="A651" s="6"/>
      <c r="B651" s="6"/>
      <c r="C651" s="6"/>
      <c r="D651" s="6"/>
      <c r="E651" s="6"/>
      <c r="F651" s="6"/>
      <c r="G651" s="6"/>
      <c r="H651" s="6"/>
      <c r="I651" s="6"/>
      <c r="J651" s="6"/>
      <c r="K651" s="6"/>
      <c r="L651" s="80"/>
      <c r="M651" s="80"/>
      <c r="N651" s="80"/>
      <c r="O651" s="80"/>
      <c r="P651" s="6"/>
      <c r="Q651" s="6"/>
      <c r="R651" s="6"/>
      <c r="S651" s="6"/>
      <c r="T651" s="6"/>
      <c r="U651" s="6"/>
      <c r="V651" s="6"/>
      <c r="W651" s="7"/>
      <c r="X651" s="7"/>
      <c r="Y651" s="7"/>
      <c r="Z651" s="7"/>
    </row>
    <row r="652">
      <c r="A652" s="6"/>
      <c r="B652" s="6"/>
      <c r="C652" s="6"/>
      <c r="D652" s="6"/>
      <c r="E652" s="6"/>
      <c r="F652" s="6"/>
      <c r="G652" s="6"/>
      <c r="H652" s="6"/>
      <c r="I652" s="6"/>
      <c r="J652" s="6"/>
      <c r="K652" s="6"/>
      <c r="L652" s="80"/>
      <c r="M652" s="80"/>
      <c r="N652" s="80"/>
      <c r="O652" s="80"/>
      <c r="P652" s="6"/>
      <c r="Q652" s="6"/>
      <c r="R652" s="6"/>
      <c r="S652" s="6"/>
      <c r="T652" s="6"/>
      <c r="U652" s="6"/>
      <c r="V652" s="6"/>
      <c r="W652" s="7"/>
      <c r="X652" s="7"/>
      <c r="Y652" s="7"/>
      <c r="Z652" s="7"/>
    </row>
    <row r="653">
      <c r="A653" s="6"/>
      <c r="B653" s="6"/>
      <c r="C653" s="6"/>
      <c r="D653" s="6"/>
      <c r="E653" s="6"/>
      <c r="F653" s="6"/>
      <c r="G653" s="6"/>
      <c r="H653" s="6"/>
      <c r="I653" s="6"/>
      <c r="J653" s="6"/>
      <c r="K653" s="6"/>
      <c r="L653" s="80"/>
      <c r="M653" s="80"/>
      <c r="N653" s="80"/>
      <c r="O653" s="80"/>
      <c r="P653" s="6"/>
      <c r="Q653" s="6"/>
      <c r="R653" s="6"/>
      <c r="S653" s="6"/>
      <c r="T653" s="6"/>
      <c r="U653" s="6"/>
      <c r="V653" s="6"/>
      <c r="W653" s="7"/>
      <c r="X653" s="7"/>
      <c r="Y653" s="7"/>
      <c r="Z653" s="7"/>
    </row>
    <row r="654">
      <c r="A654" s="6"/>
      <c r="B654" s="6"/>
      <c r="C654" s="6"/>
      <c r="D654" s="6"/>
      <c r="E654" s="6"/>
      <c r="F654" s="6"/>
      <c r="G654" s="6"/>
      <c r="H654" s="6"/>
      <c r="I654" s="6"/>
      <c r="J654" s="6"/>
      <c r="K654" s="6"/>
      <c r="L654" s="80"/>
      <c r="M654" s="80"/>
      <c r="N654" s="80"/>
      <c r="O654" s="80"/>
      <c r="P654" s="6"/>
      <c r="Q654" s="6"/>
      <c r="R654" s="6"/>
      <c r="S654" s="6"/>
      <c r="T654" s="6"/>
      <c r="U654" s="6"/>
      <c r="V654" s="6"/>
      <c r="W654" s="7"/>
      <c r="X654" s="7"/>
      <c r="Y654" s="7"/>
      <c r="Z654" s="7"/>
    </row>
    <row r="655">
      <c r="A655" s="6"/>
      <c r="B655" s="6"/>
      <c r="C655" s="6"/>
      <c r="D655" s="6"/>
      <c r="E655" s="6"/>
      <c r="F655" s="6"/>
      <c r="G655" s="6"/>
      <c r="H655" s="6"/>
      <c r="I655" s="6"/>
      <c r="J655" s="6"/>
      <c r="K655" s="6"/>
      <c r="L655" s="80"/>
      <c r="M655" s="80"/>
      <c r="N655" s="80"/>
      <c r="O655" s="80"/>
      <c r="P655" s="6"/>
      <c r="Q655" s="6"/>
      <c r="R655" s="6"/>
      <c r="S655" s="6"/>
      <c r="T655" s="6"/>
      <c r="U655" s="6"/>
      <c r="V655" s="6"/>
      <c r="W655" s="7"/>
      <c r="X655" s="7"/>
      <c r="Y655" s="7"/>
      <c r="Z655" s="7"/>
    </row>
    <row r="656">
      <c r="A656" s="6"/>
      <c r="B656" s="6"/>
      <c r="C656" s="6"/>
      <c r="D656" s="6"/>
      <c r="E656" s="6"/>
      <c r="F656" s="6"/>
      <c r="G656" s="6"/>
      <c r="H656" s="6"/>
      <c r="I656" s="6"/>
      <c r="J656" s="6"/>
      <c r="K656" s="6"/>
      <c r="L656" s="80"/>
      <c r="M656" s="80"/>
      <c r="N656" s="80"/>
      <c r="O656" s="80"/>
      <c r="P656" s="6"/>
      <c r="Q656" s="6"/>
      <c r="R656" s="6"/>
      <c r="S656" s="6"/>
      <c r="T656" s="6"/>
      <c r="U656" s="6"/>
      <c r="V656" s="6"/>
      <c r="W656" s="7"/>
      <c r="X656" s="7"/>
      <c r="Y656" s="7"/>
      <c r="Z656" s="7"/>
    </row>
    <row r="657">
      <c r="A657" s="6"/>
      <c r="B657" s="6"/>
      <c r="C657" s="6"/>
      <c r="D657" s="6"/>
      <c r="E657" s="6"/>
      <c r="F657" s="6"/>
      <c r="G657" s="6"/>
      <c r="H657" s="6"/>
      <c r="I657" s="6"/>
      <c r="J657" s="6"/>
      <c r="K657" s="6"/>
      <c r="L657" s="80"/>
      <c r="M657" s="80"/>
      <c r="N657" s="80"/>
      <c r="O657" s="80"/>
      <c r="P657" s="6"/>
      <c r="Q657" s="6"/>
      <c r="R657" s="6"/>
      <c r="S657" s="6"/>
      <c r="T657" s="6"/>
      <c r="U657" s="6"/>
      <c r="V657" s="6"/>
      <c r="W657" s="7"/>
      <c r="X657" s="7"/>
      <c r="Y657" s="7"/>
      <c r="Z657" s="7"/>
    </row>
    <row r="658">
      <c r="A658" s="6"/>
      <c r="B658" s="6"/>
      <c r="C658" s="6"/>
      <c r="D658" s="6"/>
      <c r="E658" s="6"/>
      <c r="F658" s="6"/>
      <c r="G658" s="6"/>
      <c r="H658" s="6"/>
      <c r="I658" s="6"/>
      <c r="J658" s="6"/>
      <c r="K658" s="6"/>
      <c r="L658" s="80"/>
      <c r="M658" s="80"/>
      <c r="N658" s="80"/>
      <c r="O658" s="80"/>
      <c r="P658" s="6"/>
      <c r="Q658" s="6"/>
      <c r="R658" s="6"/>
      <c r="S658" s="6"/>
      <c r="T658" s="6"/>
      <c r="U658" s="6"/>
      <c r="V658" s="6"/>
      <c r="W658" s="7"/>
      <c r="X658" s="7"/>
      <c r="Y658" s="7"/>
      <c r="Z658" s="7"/>
    </row>
    <row r="659">
      <c r="A659" s="6"/>
      <c r="B659" s="6"/>
      <c r="C659" s="6"/>
      <c r="D659" s="6"/>
      <c r="E659" s="6"/>
      <c r="F659" s="6"/>
      <c r="G659" s="6"/>
      <c r="H659" s="6"/>
      <c r="I659" s="6"/>
      <c r="J659" s="6"/>
      <c r="K659" s="6"/>
      <c r="L659" s="80"/>
      <c r="M659" s="80"/>
      <c r="N659" s="80"/>
      <c r="O659" s="80"/>
      <c r="P659" s="6"/>
      <c r="Q659" s="6"/>
      <c r="R659" s="6"/>
      <c r="S659" s="6"/>
      <c r="T659" s="6"/>
      <c r="U659" s="6"/>
      <c r="V659" s="6"/>
      <c r="W659" s="7"/>
      <c r="X659" s="7"/>
      <c r="Y659" s="7"/>
      <c r="Z659" s="7"/>
    </row>
    <row r="660">
      <c r="A660" s="6"/>
      <c r="B660" s="6"/>
      <c r="C660" s="6"/>
      <c r="D660" s="6"/>
      <c r="E660" s="6"/>
      <c r="F660" s="6"/>
      <c r="G660" s="6"/>
      <c r="H660" s="6"/>
      <c r="I660" s="6"/>
      <c r="J660" s="6"/>
      <c r="K660" s="6"/>
      <c r="L660" s="80"/>
      <c r="M660" s="80"/>
      <c r="N660" s="80"/>
      <c r="O660" s="80"/>
      <c r="P660" s="6"/>
      <c r="Q660" s="6"/>
      <c r="R660" s="6"/>
      <c r="S660" s="6"/>
      <c r="T660" s="6"/>
      <c r="U660" s="6"/>
      <c r="V660" s="6"/>
      <c r="W660" s="7"/>
      <c r="X660" s="7"/>
      <c r="Y660" s="7"/>
      <c r="Z660" s="7"/>
    </row>
    <row r="661">
      <c r="A661" s="6"/>
      <c r="B661" s="6"/>
      <c r="C661" s="6"/>
      <c r="D661" s="6"/>
      <c r="E661" s="6"/>
      <c r="F661" s="6"/>
      <c r="G661" s="6"/>
      <c r="H661" s="6"/>
      <c r="I661" s="6"/>
      <c r="J661" s="6"/>
      <c r="K661" s="6"/>
      <c r="L661" s="80"/>
      <c r="M661" s="80"/>
      <c r="N661" s="80"/>
      <c r="O661" s="80"/>
      <c r="P661" s="6"/>
      <c r="Q661" s="6"/>
      <c r="R661" s="6"/>
      <c r="S661" s="6"/>
      <c r="T661" s="6"/>
      <c r="U661" s="6"/>
      <c r="V661" s="6"/>
      <c r="W661" s="7"/>
      <c r="X661" s="7"/>
      <c r="Y661" s="7"/>
      <c r="Z661" s="7"/>
    </row>
    <row r="662">
      <c r="A662" s="6"/>
      <c r="B662" s="6"/>
      <c r="C662" s="6"/>
      <c r="D662" s="6"/>
      <c r="E662" s="6"/>
      <c r="F662" s="6"/>
      <c r="G662" s="6"/>
      <c r="H662" s="6"/>
      <c r="I662" s="6"/>
      <c r="J662" s="6"/>
      <c r="K662" s="6"/>
      <c r="L662" s="80"/>
      <c r="M662" s="80"/>
      <c r="N662" s="80"/>
      <c r="O662" s="80"/>
      <c r="P662" s="6"/>
      <c r="Q662" s="6"/>
      <c r="R662" s="6"/>
      <c r="S662" s="6"/>
      <c r="T662" s="6"/>
      <c r="U662" s="6"/>
      <c r="V662" s="6"/>
      <c r="W662" s="7"/>
      <c r="X662" s="7"/>
      <c r="Y662" s="7"/>
      <c r="Z662" s="7"/>
    </row>
    <row r="663">
      <c r="A663" s="6"/>
      <c r="B663" s="6"/>
      <c r="C663" s="6"/>
      <c r="D663" s="6"/>
      <c r="E663" s="6"/>
      <c r="F663" s="6"/>
      <c r="G663" s="6"/>
      <c r="H663" s="6"/>
      <c r="I663" s="6"/>
      <c r="J663" s="6"/>
      <c r="K663" s="6"/>
      <c r="L663" s="80"/>
      <c r="M663" s="80"/>
      <c r="N663" s="80"/>
      <c r="O663" s="80"/>
      <c r="P663" s="6"/>
      <c r="Q663" s="6"/>
      <c r="R663" s="6"/>
      <c r="S663" s="6"/>
      <c r="T663" s="6"/>
      <c r="U663" s="6"/>
      <c r="V663" s="6"/>
      <c r="W663" s="7"/>
      <c r="X663" s="7"/>
      <c r="Y663" s="7"/>
      <c r="Z663" s="7"/>
    </row>
    <row r="664">
      <c r="A664" s="6"/>
      <c r="B664" s="6"/>
      <c r="C664" s="6"/>
      <c r="D664" s="6"/>
      <c r="E664" s="6"/>
      <c r="F664" s="6"/>
      <c r="G664" s="6"/>
      <c r="H664" s="6"/>
      <c r="I664" s="6"/>
      <c r="J664" s="6"/>
      <c r="K664" s="6"/>
      <c r="L664" s="80"/>
      <c r="M664" s="80"/>
      <c r="N664" s="80"/>
      <c r="O664" s="80"/>
      <c r="P664" s="6"/>
      <c r="Q664" s="6"/>
      <c r="R664" s="6"/>
      <c r="S664" s="6"/>
      <c r="T664" s="6"/>
      <c r="U664" s="6"/>
      <c r="V664" s="6"/>
      <c r="W664" s="7"/>
      <c r="X664" s="7"/>
      <c r="Y664" s="7"/>
      <c r="Z664" s="7"/>
    </row>
    <row r="665">
      <c r="A665" s="6"/>
      <c r="B665" s="6"/>
      <c r="C665" s="6"/>
      <c r="D665" s="6"/>
      <c r="E665" s="6"/>
      <c r="F665" s="6"/>
      <c r="G665" s="6"/>
      <c r="H665" s="6"/>
      <c r="I665" s="6"/>
      <c r="J665" s="6"/>
      <c r="K665" s="6"/>
      <c r="L665" s="80"/>
      <c r="M665" s="80"/>
      <c r="N665" s="80"/>
      <c r="O665" s="80"/>
      <c r="P665" s="6"/>
      <c r="Q665" s="6"/>
      <c r="R665" s="6"/>
      <c r="S665" s="6"/>
      <c r="T665" s="6"/>
      <c r="U665" s="6"/>
      <c r="V665" s="6"/>
      <c r="W665" s="7"/>
      <c r="X665" s="7"/>
      <c r="Y665" s="7"/>
      <c r="Z665" s="7"/>
    </row>
    <row r="666">
      <c r="A666" s="6"/>
      <c r="B666" s="6"/>
      <c r="C666" s="6"/>
      <c r="D666" s="6"/>
      <c r="E666" s="6"/>
      <c r="F666" s="6"/>
      <c r="G666" s="6"/>
      <c r="H666" s="6"/>
      <c r="I666" s="6"/>
      <c r="J666" s="6"/>
      <c r="K666" s="6"/>
      <c r="L666" s="80"/>
      <c r="M666" s="80"/>
      <c r="N666" s="80"/>
      <c r="O666" s="80"/>
      <c r="P666" s="6"/>
      <c r="Q666" s="6"/>
      <c r="R666" s="6"/>
      <c r="S666" s="6"/>
      <c r="T666" s="6"/>
      <c r="U666" s="6"/>
      <c r="V666" s="6"/>
      <c r="W666" s="7"/>
      <c r="X666" s="7"/>
      <c r="Y666" s="7"/>
      <c r="Z666" s="7"/>
    </row>
    <row r="667">
      <c r="A667" s="6"/>
      <c r="B667" s="6"/>
      <c r="C667" s="6"/>
      <c r="D667" s="6"/>
      <c r="E667" s="6"/>
      <c r="F667" s="6"/>
      <c r="G667" s="6"/>
      <c r="H667" s="6"/>
      <c r="I667" s="6"/>
      <c r="J667" s="6"/>
      <c r="K667" s="6"/>
      <c r="L667" s="80"/>
      <c r="M667" s="80"/>
      <c r="N667" s="80"/>
      <c r="O667" s="80"/>
      <c r="P667" s="6"/>
      <c r="Q667" s="6"/>
      <c r="R667" s="6"/>
      <c r="S667" s="6"/>
      <c r="T667" s="6"/>
      <c r="U667" s="6"/>
      <c r="V667" s="6"/>
      <c r="W667" s="7"/>
      <c r="X667" s="7"/>
      <c r="Y667" s="7"/>
      <c r="Z667" s="7"/>
    </row>
    <row r="668">
      <c r="A668" s="6"/>
      <c r="B668" s="6"/>
      <c r="C668" s="6"/>
      <c r="D668" s="6"/>
      <c r="E668" s="6"/>
      <c r="F668" s="6"/>
      <c r="G668" s="6"/>
      <c r="H668" s="6"/>
      <c r="I668" s="6"/>
      <c r="J668" s="6"/>
      <c r="K668" s="6"/>
      <c r="L668" s="80"/>
      <c r="M668" s="80"/>
      <c r="N668" s="80"/>
      <c r="O668" s="80"/>
      <c r="P668" s="6"/>
      <c r="Q668" s="6"/>
      <c r="R668" s="6"/>
      <c r="S668" s="6"/>
      <c r="T668" s="6"/>
      <c r="U668" s="6"/>
      <c r="V668" s="6"/>
      <c r="W668" s="7"/>
      <c r="X668" s="7"/>
      <c r="Y668" s="7"/>
      <c r="Z668" s="7"/>
    </row>
    <row r="669">
      <c r="A669" s="6"/>
      <c r="B669" s="6"/>
      <c r="C669" s="6"/>
      <c r="D669" s="6"/>
      <c r="E669" s="6"/>
      <c r="F669" s="6"/>
      <c r="G669" s="6"/>
      <c r="H669" s="6"/>
      <c r="I669" s="6"/>
      <c r="J669" s="6"/>
      <c r="K669" s="6"/>
      <c r="L669" s="80"/>
      <c r="M669" s="80"/>
      <c r="N669" s="80"/>
      <c r="O669" s="80"/>
      <c r="P669" s="6"/>
      <c r="Q669" s="6"/>
      <c r="R669" s="6"/>
      <c r="S669" s="6"/>
      <c r="T669" s="6"/>
      <c r="U669" s="6"/>
      <c r="V669" s="6"/>
      <c r="W669" s="7"/>
      <c r="X669" s="7"/>
      <c r="Y669" s="7"/>
      <c r="Z669" s="7"/>
    </row>
    <row r="670">
      <c r="A670" s="6"/>
      <c r="B670" s="6"/>
      <c r="C670" s="6"/>
      <c r="D670" s="6"/>
      <c r="E670" s="6"/>
      <c r="F670" s="6"/>
      <c r="G670" s="6"/>
      <c r="H670" s="6"/>
      <c r="I670" s="6"/>
      <c r="J670" s="6"/>
      <c r="K670" s="6"/>
      <c r="L670" s="80"/>
      <c r="M670" s="80"/>
      <c r="N670" s="80"/>
      <c r="O670" s="80"/>
      <c r="P670" s="6"/>
      <c r="Q670" s="6"/>
      <c r="R670" s="6"/>
      <c r="S670" s="6"/>
      <c r="T670" s="6"/>
      <c r="U670" s="6"/>
      <c r="V670" s="6"/>
      <c r="W670" s="7"/>
      <c r="X670" s="7"/>
      <c r="Y670" s="7"/>
      <c r="Z670" s="7"/>
    </row>
    <row r="671">
      <c r="A671" s="6"/>
      <c r="B671" s="6"/>
      <c r="C671" s="6"/>
      <c r="D671" s="6"/>
      <c r="E671" s="6"/>
      <c r="F671" s="6"/>
      <c r="G671" s="6"/>
      <c r="H671" s="6"/>
      <c r="I671" s="6"/>
      <c r="J671" s="6"/>
      <c r="K671" s="6"/>
      <c r="L671" s="80"/>
      <c r="M671" s="80"/>
      <c r="N671" s="80"/>
      <c r="O671" s="80"/>
      <c r="P671" s="6"/>
      <c r="Q671" s="6"/>
      <c r="R671" s="6"/>
      <c r="S671" s="6"/>
      <c r="T671" s="6"/>
      <c r="U671" s="6"/>
      <c r="V671" s="6"/>
      <c r="W671" s="7"/>
      <c r="X671" s="7"/>
      <c r="Y671" s="7"/>
      <c r="Z671" s="7"/>
    </row>
    <row r="672">
      <c r="A672" s="6"/>
      <c r="B672" s="6"/>
      <c r="C672" s="6"/>
      <c r="D672" s="6"/>
      <c r="E672" s="6"/>
      <c r="F672" s="6"/>
      <c r="G672" s="6"/>
      <c r="H672" s="6"/>
      <c r="I672" s="6"/>
      <c r="J672" s="6"/>
      <c r="K672" s="6"/>
      <c r="L672" s="80"/>
      <c r="M672" s="80"/>
      <c r="N672" s="80"/>
      <c r="O672" s="80"/>
      <c r="P672" s="6"/>
      <c r="Q672" s="6"/>
      <c r="R672" s="6"/>
      <c r="S672" s="6"/>
      <c r="T672" s="6"/>
      <c r="U672" s="6"/>
      <c r="V672" s="6"/>
      <c r="W672" s="7"/>
      <c r="X672" s="7"/>
      <c r="Y672" s="7"/>
      <c r="Z672" s="7"/>
    </row>
    <row r="673">
      <c r="A673" s="6"/>
      <c r="B673" s="6"/>
      <c r="C673" s="6"/>
      <c r="D673" s="6"/>
      <c r="E673" s="6"/>
      <c r="F673" s="6"/>
      <c r="G673" s="6"/>
      <c r="H673" s="6"/>
      <c r="I673" s="6"/>
      <c r="J673" s="6"/>
      <c r="K673" s="6"/>
      <c r="L673" s="80"/>
      <c r="M673" s="80"/>
      <c r="N673" s="80"/>
      <c r="O673" s="80"/>
      <c r="P673" s="6"/>
      <c r="Q673" s="6"/>
      <c r="R673" s="6"/>
      <c r="S673" s="6"/>
      <c r="T673" s="6"/>
      <c r="U673" s="6"/>
      <c r="V673" s="6"/>
      <c r="W673" s="7"/>
      <c r="X673" s="7"/>
      <c r="Y673" s="7"/>
      <c r="Z673" s="7"/>
    </row>
    <row r="674">
      <c r="A674" s="6"/>
      <c r="B674" s="6"/>
      <c r="C674" s="6"/>
      <c r="D674" s="6"/>
      <c r="E674" s="6"/>
      <c r="F674" s="6"/>
      <c r="G674" s="6"/>
      <c r="H674" s="6"/>
      <c r="I674" s="6"/>
      <c r="J674" s="6"/>
      <c r="K674" s="6"/>
      <c r="L674" s="80"/>
      <c r="M674" s="80"/>
      <c r="N674" s="80"/>
      <c r="O674" s="80"/>
      <c r="P674" s="6"/>
      <c r="Q674" s="6"/>
      <c r="R674" s="6"/>
      <c r="S674" s="6"/>
      <c r="T674" s="6"/>
      <c r="U674" s="6"/>
      <c r="V674" s="6"/>
      <c r="W674" s="7"/>
      <c r="X674" s="7"/>
      <c r="Y674" s="7"/>
      <c r="Z674" s="7"/>
    </row>
    <row r="675">
      <c r="A675" s="6"/>
      <c r="B675" s="6"/>
      <c r="C675" s="6"/>
      <c r="D675" s="6"/>
      <c r="E675" s="6"/>
      <c r="F675" s="6"/>
      <c r="G675" s="6"/>
      <c r="H675" s="6"/>
      <c r="I675" s="6"/>
      <c r="J675" s="6"/>
      <c r="K675" s="6"/>
      <c r="L675" s="80"/>
      <c r="M675" s="80"/>
      <c r="N675" s="80"/>
      <c r="O675" s="80"/>
      <c r="P675" s="6"/>
      <c r="Q675" s="6"/>
      <c r="R675" s="6"/>
      <c r="S675" s="6"/>
      <c r="T675" s="6"/>
      <c r="U675" s="6"/>
      <c r="V675" s="6"/>
      <c r="W675" s="7"/>
      <c r="X675" s="7"/>
      <c r="Y675" s="7"/>
      <c r="Z675" s="7"/>
    </row>
    <row r="676">
      <c r="A676" s="6"/>
      <c r="B676" s="6"/>
      <c r="C676" s="6"/>
      <c r="D676" s="6"/>
      <c r="E676" s="6"/>
      <c r="F676" s="6"/>
      <c r="G676" s="6"/>
      <c r="H676" s="6"/>
      <c r="I676" s="6"/>
      <c r="J676" s="6"/>
      <c r="K676" s="6"/>
      <c r="L676" s="80"/>
      <c r="M676" s="80"/>
      <c r="N676" s="80"/>
      <c r="O676" s="80"/>
      <c r="P676" s="6"/>
      <c r="Q676" s="6"/>
      <c r="R676" s="6"/>
      <c r="S676" s="6"/>
      <c r="T676" s="6"/>
      <c r="U676" s="6"/>
      <c r="V676" s="6"/>
      <c r="W676" s="7"/>
      <c r="X676" s="7"/>
      <c r="Y676" s="7"/>
      <c r="Z676" s="7"/>
    </row>
    <row r="677">
      <c r="A677" s="6"/>
      <c r="B677" s="6"/>
      <c r="C677" s="6"/>
      <c r="D677" s="6"/>
      <c r="E677" s="6"/>
      <c r="F677" s="6"/>
      <c r="G677" s="6"/>
      <c r="H677" s="6"/>
      <c r="I677" s="6"/>
      <c r="J677" s="6"/>
      <c r="K677" s="6"/>
      <c r="L677" s="80"/>
      <c r="M677" s="80"/>
      <c r="N677" s="80"/>
      <c r="O677" s="80"/>
      <c r="P677" s="6"/>
      <c r="Q677" s="6"/>
      <c r="R677" s="6"/>
      <c r="S677" s="6"/>
      <c r="T677" s="6"/>
      <c r="U677" s="6"/>
      <c r="V677" s="6"/>
      <c r="W677" s="7"/>
      <c r="X677" s="7"/>
      <c r="Y677" s="7"/>
      <c r="Z677" s="7"/>
    </row>
    <row r="678">
      <c r="A678" s="6"/>
      <c r="B678" s="6"/>
      <c r="C678" s="6"/>
      <c r="D678" s="6"/>
      <c r="E678" s="6"/>
      <c r="F678" s="6"/>
      <c r="G678" s="6"/>
      <c r="H678" s="6"/>
      <c r="I678" s="6"/>
      <c r="J678" s="6"/>
      <c r="K678" s="6"/>
      <c r="L678" s="80"/>
      <c r="M678" s="80"/>
      <c r="N678" s="80"/>
      <c r="O678" s="80"/>
      <c r="P678" s="6"/>
      <c r="Q678" s="6"/>
      <c r="R678" s="6"/>
      <c r="S678" s="6"/>
      <c r="T678" s="6"/>
      <c r="U678" s="6"/>
      <c r="V678" s="6"/>
      <c r="W678" s="7"/>
      <c r="X678" s="7"/>
      <c r="Y678" s="7"/>
      <c r="Z678" s="7"/>
    </row>
    <row r="679">
      <c r="A679" s="6"/>
      <c r="B679" s="6"/>
      <c r="C679" s="6"/>
      <c r="D679" s="6"/>
      <c r="E679" s="6"/>
      <c r="F679" s="6"/>
      <c r="G679" s="6"/>
      <c r="H679" s="6"/>
      <c r="I679" s="6"/>
      <c r="J679" s="6"/>
      <c r="K679" s="6"/>
      <c r="L679" s="80"/>
      <c r="M679" s="80"/>
      <c r="N679" s="80"/>
      <c r="O679" s="80"/>
      <c r="P679" s="6"/>
      <c r="Q679" s="6"/>
      <c r="R679" s="6"/>
      <c r="S679" s="6"/>
      <c r="T679" s="6"/>
      <c r="U679" s="6"/>
      <c r="V679" s="6"/>
      <c r="W679" s="7"/>
      <c r="X679" s="7"/>
      <c r="Y679" s="7"/>
      <c r="Z679" s="7"/>
    </row>
    <row r="680">
      <c r="A680" s="6"/>
      <c r="B680" s="6"/>
      <c r="C680" s="6"/>
      <c r="D680" s="6"/>
      <c r="E680" s="6"/>
      <c r="F680" s="6"/>
      <c r="G680" s="6"/>
      <c r="H680" s="6"/>
      <c r="I680" s="6"/>
      <c r="J680" s="6"/>
      <c r="K680" s="6"/>
      <c r="L680" s="80"/>
      <c r="M680" s="80"/>
      <c r="N680" s="80"/>
      <c r="O680" s="80"/>
      <c r="P680" s="6"/>
      <c r="Q680" s="6"/>
      <c r="R680" s="6"/>
      <c r="S680" s="6"/>
      <c r="T680" s="6"/>
      <c r="U680" s="6"/>
      <c r="V680" s="6"/>
      <c r="W680" s="7"/>
      <c r="X680" s="7"/>
      <c r="Y680" s="7"/>
      <c r="Z680" s="7"/>
    </row>
    <row r="681">
      <c r="A681" s="6"/>
      <c r="B681" s="6"/>
      <c r="C681" s="6"/>
      <c r="D681" s="6"/>
      <c r="E681" s="6"/>
      <c r="F681" s="6"/>
      <c r="G681" s="6"/>
      <c r="H681" s="6"/>
      <c r="I681" s="6"/>
      <c r="J681" s="6"/>
      <c r="K681" s="6"/>
      <c r="L681" s="80"/>
      <c r="M681" s="80"/>
      <c r="N681" s="80"/>
      <c r="O681" s="80"/>
      <c r="P681" s="6"/>
      <c r="Q681" s="6"/>
      <c r="R681" s="6"/>
      <c r="S681" s="6"/>
      <c r="T681" s="6"/>
      <c r="U681" s="6"/>
      <c r="V681" s="6"/>
      <c r="W681" s="7"/>
      <c r="X681" s="7"/>
      <c r="Y681" s="7"/>
      <c r="Z681" s="7"/>
    </row>
    <row r="682">
      <c r="A682" s="6"/>
      <c r="B682" s="6"/>
      <c r="C682" s="6"/>
      <c r="D682" s="6"/>
      <c r="E682" s="6"/>
      <c r="F682" s="6"/>
      <c r="G682" s="6"/>
      <c r="H682" s="6"/>
      <c r="I682" s="6"/>
      <c r="J682" s="6"/>
      <c r="K682" s="6"/>
      <c r="L682" s="80"/>
      <c r="M682" s="80"/>
      <c r="N682" s="80"/>
      <c r="O682" s="80"/>
      <c r="P682" s="6"/>
      <c r="Q682" s="6"/>
      <c r="R682" s="6"/>
      <c r="S682" s="6"/>
      <c r="T682" s="6"/>
      <c r="U682" s="6"/>
      <c r="V682" s="6"/>
      <c r="W682" s="7"/>
      <c r="X682" s="7"/>
      <c r="Y682" s="7"/>
      <c r="Z682" s="7"/>
    </row>
    <row r="683">
      <c r="A683" s="6"/>
      <c r="B683" s="6"/>
      <c r="C683" s="6"/>
      <c r="D683" s="6"/>
      <c r="E683" s="6"/>
      <c r="F683" s="6"/>
      <c r="G683" s="6"/>
      <c r="H683" s="6"/>
      <c r="I683" s="6"/>
      <c r="J683" s="6"/>
      <c r="K683" s="6"/>
      <c r="L683" s="80"/>
      <c r="M683" s="80"/>
      <c r="N683" s="80"/>
      <c r="O683" s="80"/>
      <c r="P683" s="6"/>
      <c r="Q683" s="6"/>
      <c r="R683" s="6"/>
      <c r="S683" s="6"/>
      <c r="T683" s="6"/>
      <c r="U683" s="6"/>
      <c r="V683" s="6"/>
      <c r="W683" s="7"/>
      <c r="X683" s="7"/>
      <c r="Y683" s="7"/>
      <c r="Z683" s="7"/>
    </row>
    <row r="684">
      <c r="A684" s="6"/>
      <c r="B684" s="6"/>
      <c r="C684" s="6"/>
      <c r="D684" s="6"/>
      <c r="E684" s="6"/>
      <c r="F684" s="6"/>
      <c r="G684" s="6"/>
      <c r="H684" s="6"/>
      <c r="I684" s="6"/>
      <c r="J684" s="6"/>
      <c r="K684" s="6"/>
      <c r="L684" s="80"/>
      <c r="M684" s="80"/>
      <c r="N684" s="80"/>
      <c r="O684" s="80"/>
      <c r="P684" s="6"/>
      <c r="Q684" s="6"/>
      <c r="R684" s="6"/>
      <c r="S684" s="6"/>
      <c r="T684" s="6"/>
      <c r="U684" s="6"/>
      <c r="V684" s="6"/>
      <c r="W684" s="7"/>
      <c r="X684" s="7"/>
      <c r="Y684" s="7"/>
      <c r="Z684" s="7"/>
    </row>
    <row r="685">
      <c r="A685" s="6"/>
      <c r="B685" s="6"/>
      <c r="C685" s="6"/>
      <c r="D685" s="6"/>
      <c r="E685" s="6"/>
      <c r="F685" s="6"/>
      <c r="G685" s="6"/>
      <c r="H685" s="6"/>
      <c r="I685" s="6"/>
      <c r="J685" s="6"/>
      <c r="K685" s="6"/>
      <c r="L685" s="80"/>
      <c r="M685" s="80"/>
      <c r="N685" s="80"/>
      <c r="O685" s="80"/>
      <c r="P685" s="6"/>
      <c r="Q685" s="6"/>
      <c r="R685" s="6"/>
      <c r="S685" s="6"/>
      <c r="T685" s="6"/>
      <c r="U685" s="6"/>
      <c r="V685" s="6"/>
      <c r="W685" s="7"/>
      <c r="X685" s="7"/>
      <c r="Y685" s="7"/>
      <c r="Z685" s="7"/>
    </row>
    <row r="686">
      <c r="A686" s="6"/>
      <c r="B686" s="6"/>
      <c r="C686" s="6"/>
      <c r="D686" s="6"/>
      <c r="E686" s="6"/>
      <c r="F686" s="6"/>
      <c r="G686" s="6"/>
      <c r="H686" s="6"/>
      <c r="I686" s="6"/>
      <c r="J686" s="6"/>
      <c r="K686" s="6"/>
      <c r="L686" s="80"/>
      <c r="M686" s="80"/>
      <c r="N686" s="80"/>
      <c r="O686" s="80"/>
      <c r="P686" s="6"/>
      <c r="Q686" s="6"/>
      <c r="R686" s="6"/>
      <c r="S686" s="6"/>
      <c r="T686" s="6"/>
      <c r="U686" s="6"/>
      <c r="V686" s="6"/>
      <c r="W686" s="7"/>
      <c r="X686" s="7"/>
      <c r="Y686" s="7"/>
      <c r="Z686" s="7"/>
    </row>
    <row r="687">
      <c r="A687" s="6"/>
      <c r="B687" s="6"/>
      <c r="C687" s="6"/>
      <c r="D687" s="6"/>
      <c r="E687" s="6"/>
      <c r="F687" s="6"/>
      <c r="G687" s="6"/>
      <c r="H687" s="6"/>
      <c r="I687" s="6"/>
      <c r="J687" s="6"/>
      <c r="K687" s="6"/>
      <c r="L687" s="80"/>
      <c r="M687" s="80"/>
      <c r="N687" s="80"/>
      <c r="O687" s="80"/>
      <c r="P687" s="6"/>
      <c r="Q687" s="6"/>
      <c r="R687" s="6"/>
      <c r="S687" s="6"/>
      <c r="T687" s="6"/>
      <c r="U687" s="6"/>
      <c r="V687" s="6"/>
      <c r="W687" s="7"/>
      <c r="X687" s="7"/>
      <c r="Y687" s="7"/>
      <c r="Z687" s="7"/>
    </row>
    <row r="688">
      <c r="A688" s="6"/>
      <c r="B688" s="6"/>
      <c r="C688" s="6"/>
      <c r="D688" s="6"/>
      <c r="E688" s="6"/>
      <c r="F688" s="6"/>
      <c r="G688" s="6"/>
      <c r="H688" s="6"/>
      <c r="I688" s="6"/>
      <c r="J688" s="6"/>
      <c r="K688" s="6"/>
      <c r="L688" s="80"/>
      <c r="M688" s="80"/>
      <c r="N688" s="80"/>
      <c r="O688" s="80"/>
      <c r="P688" s="6"/>
      <c r="Q688" s="6"/>
      <c r="R688" s="6"/>
      <c r="S688" s="6"/>
      <c r="T688" s="6"/>
      <c r="U688" s="6"/>
      <c r="V688" s="6"/>
      <c r="W688" s="7"/>
      <c r="X688" s="7"/>
      <c r="Y688" s="7"/>
      <c r="Z688" s="7"/>
    </row>
    <row r="689">
      <c r="A689" s="6"/>
      <c r="B689" s="6"/>
      <c r="C689" s="6"/>
      <c r="D689" s="6"/>
      <c r="E689" s="6"/>
      <c r="F689" s="6"/>
      <c r="G689" s="6"/>
      <c r="H689" s="6"/>
      <c r="I689" s="6"/>
      <c r="J689" s="6"/>
      <c r="K689" s="6"/>
      <c r="L689" s="80"/>
      <c r="M689" s="80"/>
      <c r="N689" s="80"/>
      <c r="O689" s="80"/>
      <c r="P689" s="6"/>
      <c r="Q689" s="6"/>
      <c r="R689" s="6"/>
      <c r="S689" s="6"/>
      <c r="T689" s="6"/>
      <c r="U689" s="6"/>
      <c r="V689" s="6"/>
      <c r="W689" s="7"/>
      <c r="X689" s="7"/>
      <c r="Y689" s="7"/>
      <c r="Z689" s="7"/>
    </row>
    <row r="690">
      <c r="A690" s="6"/>
      <c r="B690" s="6"/>
      <c r="C690" s="6"/>
      <c r="D690" s="6"/>
      <c r="E690" s="6"/>
      <c r="F690" s="6"/>
      <c r="G690" s="6"/>
      <c r="H690" s="6"/>
      <c r="I690" s="6"/>
      <c r="J690" s="6"/>
      <c r="K690" s="6"/>
      <c r="L690" s="80"/>
      <c r="M690" s="80"/>
      <c r="N690" s="80"/>
      <c r="O690" s="80"/>
      <c r="P690" s="6"/>
      <c r="Q690" s="6"/>
      <c r="R690" s="6"/>
      <c r="S690" s="6"/>
      <c r="T690" s="6"/>
      <c r="U690" s="6"/>
      <c r="V690" s="6"/>
      <c r="W690" s="7"/>
      <c r="X690" s="7"/>
      <c r="Y690" s="7"/>
      <c r="Z690" s="7"/>
    </row>
    <row r="691">
      <c r="A691" s="6"/>
      <c r="B691" s="6"/>
      <c r="C691" s="6"/>
      <c r="D691" s="6"/>
      <c r="E691" s="6"/>
      <c r="F691" s="6"/>
      <c r="G691" s="6"/>
      <c r="H691" s="6"/>
      <c r="I691" s="6"/>
      <c r="J691" s="6"/>
      <c r="K691" s="6"/>
      <c r="L691" s="80"/>
      <c r="M691" s="80"/>
      <c r="N691" s="80"/>
      <c r="O691" s="80"/>
      <c r="P691" s="6"/>
      <c r="Q691" s="6"/>
      <c r="R691" s="6"/>
      <c r="S691" s="6"/>
      <c r="T691" s="6"/>
      <c r="U691" s="6"/>
      <c r="V691" s="6"/>
      <c r="W691" s="7"/>
      <c r="X691" s="7"/>
      <c r="Y691" s="7"/>
      <c r="Z691" s="7"/>
    </row>
    <row r="692">
      <c r="A692" s="6"/>
      <c r="B692" s="6"/>
      <c r="C692" s="6"/>
      <c r="D692" s="6"/>
      <c r="E692" s="6"/>
      <c r="F692" s="6"/>
      <c r="G692" s="6"/>
      <c r="H692" s="6"/>
      <c r="I692" s="6"/>
      <c r="J692" s="6"/>
      <c r="K692" s="6"/>
      <c r="L692" s="80"/>
      <c r="M692" s="80"/>
      <c r="N692" s="80"/>
      <c r="O692" s="80"/>
      <c r="P692" s="6"/>
      <c r="Q692" s="6"/>
      <c r="R692" s="6"/>
      <c r="S692" s="6"/>
      <c r="T692" s="6"/>
      <c r="U692" s="6"/>
      <c r="V692" s="6"/>
      <c r="W692" s="7"/>
      <c r="X692" s="7"/>
      <c r="Y692" s="7"/>
      <c r="Z692" s="7"/>
    </row>
    <row r="693">
      <c r="A693" s="6"/>
      <c r="B693" s="6"/>
      <c r="C693" s="6"/>
      <c r="D693" s="6"/>
      <c r="E693" s="6"/>
      <c r="F693" s="6"/>
      <c r="G693" s="6"/>
      <c r="H693" s="6"/>
      <c r="I693" s="6"/>
      <c r="J693" s="6"/>
      <c r="K693" s="6"/>
      <c r="L693" s="80"/>
      <c r="M693" s="80"/>
      <c r="N693" s="80"/>
      <c r="O693" s="80"/>
      <c r="P693" s="6"/>
      <c r="Q693" s="6"/>
      <c r="R693" s="6"/>
      <c r="S693" s="6"/>
      <c r="T693" s="6"/>
      <c r="U693" s="6"/>
      <c r="V693" s="6"/>
      <c r="W693" s="7"/>
      <c r="X693" s="7"/>
      <c r="Y693" s="7"/>
      <c r="Z693" s="7"/>
    </row>
    <row r="694">
      <c r="A694" s="6"/>
      <c r="B694" s="6"/>
      <c r="C694" s="6"/>
      <c r="D694" s="6"/>
      <c r="E694" s="6"/>
      <c r="F694" s="6"/>
      <c r="G694" s="6"/>
      <c r="H694" s="6"/>
      <c r="I694" s="6"/>
      <c r="J694" s="6"/>
      <c r="K694" s="6"/>
      <c r="L694" s="80"/>
      <c r="M694" s="80"/>
      <c r="N694" s="80"/>
      <c r="O694" s="80"/>
      <c r="P694" s="6"/>
      <c r="Q694" s="6"/>
      <c r="R694" s="6"/>
      <c r="S694" s="6"/>
      <c r="T694" s="6"/>
      <c r="U694" s="6"/>
      <c r="V694" s="6"/>
      <c r="W694" s="7"/>
      <c r="X694" s="7"/>
      <c r="Y694" s="7"/>
      <c r="Z694" s="7"/>
    </row>
    <row r="695">
      <c r="A695" s="6"/>
      <c r="B695" s="6"/>
      <c r="C695" s="6"/>
      <c r="D695" s="6"/>
      <c r="E695" s="6"/>
      <c r="F695" s="6"/>
      <c r="G695" s="6"/>
      <c r="H695" s="6"/>
      <c r="I695" s="6"/>
      <c r="J695" s="6"/>
      <c r="K695" s="6"/>
      <c r="L695" s="80"/>
      <c r="M695" s="80"/>
      <c r="N695" s="80"/>
      <c r="O695" s="80"/>
      <c r="P695" s="6"/>
      <c r="Q695" s="6"/>
      <c r="R695" s="6"/>
      <c r="S695" s="6"/>
      <c r="T695" s="6"/>
      <c r="U695" s="6"/>
      <c r="V695" s="6"/>
      <c r="W695" s="7"/>
      <c r="X695" s="7"/>
      <c r="Y695" s="7"/>
      <c r="Z695" s="7"/>
    </row>
    <row r="696">
      <c r="A696" s="6"/>
      <c r="B696" s="6"/>
      <c r="C696" s="6"/>
      <c r="D696" s="6"/>
      <c r="E696" s="6"/>
      <c r="F696" s="6"/>
      <c r="G696" s="6"/>
      <c r="H696" s="6"/>
      <c r="I696" s="6"/>
      <c r="J696" s="6"/>
      <c r="K696" s="6"/>
      <c r="L696" s="80"/>
      <c r="M696" s="80"/>
      <c r="N696" s="80"/>
      <c r="O696" s="80"/>
      <c r="P696" s="6"/>
      <c r="Q696" s="6"/>
      <c r="R696" s="6"/>
      <c r="S696" s="6"/>
      <c r="T696" s="6"/>
      <c r="U696" s="6"/>
      <c r="V696" s="6"/>
      <c r="W696" s="7"/>
      <c r="X696" s="7"/>
      <c r="Y696" s="7"/>
      <c r="Z696" s="7"/>
    </row>
    <row r="697">
      <c r="A697" s="6"/>
      <c r="B697" s="6"/>
      <c r="C697" s="6"/>
      <c r="D697" s="6"/>
      <c r="E697" s="6"/>
      <c r="F697" s="6"/>
      <c r="G697" s="6"/>
      <c r="H697" s="6"/>
      <c r="I697" s="6"/>
      <c r="J697" s="6"/>
      <c r="K697" s="6"/>
      <c r="L697" s="80"/>
      <c r="M697" s="80"/>
      <c r="N697" s="80"/>
      <c r="O697" s="80"/>
      <c r="P697" s="6"/>
      <c r="Q697" s="6"/>
      <c r="R697" s="6"/>
      <c r="S697" s="6"/>
      <c r="T697" s="6"/>
      <c r="U697" s="6"/>
      <c r="V697" s="6"/>
      <c r="W697" s="7"/>
      <c r="X697" s="7"/>
      <c r="Y697" s="7"/>
      <c r="Z697" s="7"/>
    </row>
    <row r="698">
      <c r="A698" s="6"/>
      <c r="B698" s="6"/>
      <c r="C698" s="6"/>
      <c r="D698" s="6"/>
      <c r="E698" s="6"/>
      <c r="F698" s="6"/>
      <c r="G698" s="6"/>
      <c r="H698" s="6"/>
      <c r="I698" s="6"/>
      <c r="J698" s="6"/>
      <c r="K698" s="6"/>
      <c r="L698" s="80"/>
      <c r="M698" s="80"/>
      <c r="N698" s="80"/>
      <c r="O698" s="80"/>
      <c r="P698" s="6"/>
      <c r="Q698" s="6"/>
      <c r="R698" s="6"/>
      <c r="S698" s="6"/>
      <c r="T698" s="6"/>
      <c r="U698" s="6"/>
      <c r="V698" s="6"/>
      <c r="W698" s="7"/>
      <c r="X698" s="7"/>
      <c r="Y698" s="7"/>
      <c r="Z698" s="7"/>
    </row>
    <row r="699">
      <c r="A699" s="6"/>
      <c r="B699" s="6"/>
      <c r="C699" s="6"/>
      <c r="D699" s="6"/>
      <c r="E699" s="6"/>
      <c r="F699" s="6"/>
      <c r="G699" s="6"/>
      <c r="H699" s="6"/>
      <c r="I699" s="6"/>
      <c r="J699" s="6"/>
      <c r="K699" s="6"/>
      <c r="L699" s="80"/>
      <c r="M699" s="80"/>
      <c r="N699" s="80"/>
      <c r="O699" s="80"/>
      <c r="P699" s="6"/>
      <c r="Q699" s="6"/>
      <c r="R699" s="6"/>
      <c r="S699" s="6"/>
      <c r="T699" s="6"/>
      <c r="U699" s="6"/>
      <c r="V699" s="6"/>
      <c r="W699" s="7"/>
      <c r="X699" s="7"/>
      <c r="Y699" s="7"/>
      <c r="Z699" s="7"/>
    </row>
    <row r="700">
      <c r="A700" s="6"/>
      <c r="B700" s="6"/>
      <c r="C700" s="6"/>
      <c r="D700" s="6"/>
      <c r="E700" s="6"/>
      <c r="F700" s="6"/>
      <c r="G700" s="6"/>
      <c r="H700" s="6"/>
      <c r="I700" s="6"/>
      <c r="J700" s="6"/>
      <c r="K700" s="6"/>
      <c r="L700" s="80"/>
      <c r="M700" s="80"/>
      <c r="N700" s="80"/>
      <c r="O700" s="80"/>
      <c r="P700" s="6"/>
      <c r="Q700" s="6"/>
      <c r="R700" s="6"/>
      <c r="S700" s="6"/>
      <c r="T700" s="6"/>
      <c r="U700" s="6"/>
      <c r="V700" s="6"/>
      <c r="W700" s="7"/>
      <c r="X700" s="7"/>
      <c r="Y700" s="7"/>
      <c r="Z700" s="7"/>
    </row>
    <row r="701">
      <c r="A701" s="6"/>
      <c r="B701" s="6"/>
      <c r="C701" s="6"/>
      <c r="D701" s="6"/>
      <c r="E701" s="6"/>
      <c r="F701" s="6"/>
      <c r="G701" s="6"/>
      <c r="H701" s="6"/>
      <c r="I701" s="6"/>
      <c r="J701" s="6"/>
      <c r="K701" s="6"/>
      <c r="L701" s="80"/>
      <c r="M701" s="80"/>
      <c r="N701" s="80"/>
      <c r="O701" s="80"/>
      <c r="P701" s="6"/>
      <c r="Q701" s="6"/>
      <c r="R701" s="6"/>
      <c r="S701" s="6"/>
      <c r="T701" s="6"/>
      <c r="U701" s="6"/>
      <c r="V701" s="6"/>
      <c r="W701" s="7"/>
      <c r="X701" s="7"/>
      <c r="Y701" s="7"/>
      <c r="Z701" s="7"/>
    </row>
    <row r="702">
      <c r="A702" s="6"/>
      <c r="B702" s="6"/>
      <c r="C702" s="6"/>
      <c r="D702" s="6"/>
      <c r="E702" s="6"/>
      <c r="F702" s="6"/>
      <c r="G702" s="6"/>
      <c r="H702" s="6"/>
      <c r="I702" s="6"/>
      <c r="J702" s="6"/>
      <c r="K702" s="6"/>
      <c r="L702" s="80"/>
      <c r="M702" s="80"/>
      <c r="N702" s="80"/>
      <c r="O702" s="80"/>
      <c r="P702" s="6"/>
      <c r="Q702" s="6"/>
      <c r="R702" s="6"/>
      <c r="S702" s="6"/>
      <c r="T702" s="6"/>
      <c r="U702" s="6"/>
      <c r="V702" s="6"/>
      <c r="W702" s="7"/>
      <c r="X702" s="7"/>
      <c r="Y702" s="7"/>
      <c r="Z702" s="7"/>
    </row>
    <row r="703">
      <c r="A703" s="6"/>
      <c r="B703" s="6"/>
      <c r="C703" s="6"/>
      <c r="D703" s="6"/>
      <c r="E703" s="6"/>
      <c r="F703" s="6"/>
      <c r="G703" s="6"/>
      <c r="H703" s="6"/>
      <c r="I703" s="6"/>
      <c r="J703" s="6"/>
      <c r="K703" s="6"/>
      <c r="L703" s="80"/>
      <c r="M703" s="80"/>
      <c r="N703" s="80"/>
      <c r="O703" s="80"/>
      <c r="P703" s="6"/>
      <c r="Q703" s="6"/>
      <c r="R703" s="6"/>
      <c r="S703" s="6"/>
      <c r="T703" s="6"/>
      <c r="U703" s="6"/>
      <c r="V703" s="6"/>
      <c r="W703" s="7"/>
      <c r="X703" s="7"/>
      <c r="Y703" s="7"/>
      <c r="Z703" s="7"/>
    </row>
    <row r="704">
      <c r="A704" s="6"/>
      <c r="B704" s="6"/>
      <c r="C704" s="6"/>
      <c r="D704" s="6"/>
      <c r="E704" s="6"/>
      <c r="F704" s="6"/>
      <c r="G704" s="6"/>
      <c r="H704" s="6"/>
      <c r="I704" s="6"/>
      <c r="J704" s="6"/>
      <c r="K704" s="6"/>
      <c r="L704" s="80"/>
      <c r="M704" s="80"/>
      <c r="N704" s="80"/>
      <c r="O704" s="80"/>
      <c r="P704" s="6"/>
      <c r="Q704" s="6"/>
      <c r="R704" s="6"/>
      <c r="S704" s="6"/>
      <c r="T704" s="6"/>
      <c r="U704" s="6"/>
      <c r="V704" s="6"/>
      <c r="W704" s="7"/>
      <c r="X704" s="7"/>
      <c r="Y704" s="7"/>
      <c r="Z704" s="7"/>
    </row>
    <row r="705">
      <c r="A705" s="6"/>
      <c r="B705" s="6"/>
      <c r="C705" s="6"/>
      <c r="D705" s="6"/>
      <c r="E705" s="6"/>
      <c r="F705" s="6"/>
      <c r="G705" s="6"/>
      <c r="H705" s="6"/>
      <c r="I705" s="6"/>
      <c r="J705" s="6"/>
      <c r="K705" s="6"/>
      <c r="L705" s="80"/>
      <c r="M705" s="80"/>
      <c r="N705" s="80"/>
      <c r="O705" s="80"/>
      <c r="P705" s="6"/>
      <c r="Q705" s="6"/>
      <c r="R705" s="6"/>
      <c r="S705" s="6"/>
      <c r="T705" s="6"/>
      <c r="U705" s="6"/>
      <c r="V705" s="6"/>
      <c r="W705" s="7"/>
      <c r="X705" s="7"/>
      <c r="Y705" s="7"/>
      <c r="Z705" s="7"/>
    </row>
    <row r="706">
      <c r="A706" s="6"/>
      <c r="B706" s="6"/>
      <c r="C706" s="6"/>
      <c r="D706" s="6"/>
      <c r="E706" s="6"/>
      <c r="F706" s="6"/>
      <c r="G706" s="6"/>
      <c r="H706" s="6"/>
      <c r="I706" s="6"/>
      <c r="J706" s="6"/>
      <c r="K706" s="6"/>
      <c r="L706" s="80"/>
      <c r="M706" s="80"/>
      <c r="N706" s="80"/>
      <c r="O706" s="80"/>
      <c r="P706" s="6"/>
      <c r="Q706" s="6"/>
      <c r="R706" s="6"/>
      <c r="S706" s="6"/>
      <c r="T706" s="6"/>
      <c r="U706" s="6"/>
      <c r="V706" s="6"/>
      <c r="W706" s="7"/>
      <c r="X706" s="7"/>
      <c r="Y706" s="7"/>
      <c r="Z706" s="7"/>
    </row>
    <row r="707">
      <c r="A707" s="6"/>
      <c r="B707" s="6"/>
      <c r="C707" s="6"/>
      <c r="D707" s="6"/>
      <c r="E707" s="6"/>
      <c r="F707" s="6"/>
      <c r="G707" s="6"/>
      <c r="H707" s="6"/>
      <c r="I707" s="6"/>
      <c r="J707" s="6"/>
      <c r="K707" s="6"/>
      <c r="L707" s="80"/>
      <c r="M707" s="80"/>
      <c r="N707" s="80"/>
      <c r="O707" s="80"/>
      <c r="P707" s="6"/>
      <c r="Q707" s="6"/>
      <c r="R707" s="6"/>
      <c r="S707" s="6"/>
      <c r="T707" s="6"/>
      <c r="U707" s="6"/>
      <c r="V707" s="6"/>
      <c r="W707" s="7"/>
      <c r="X707" s="7"/>
      <c r="Y707" s="7"/>
      <c r="Z707" s="7"/>
    </row>
    <row r="708">
      <c r="A708" s="6"/>
      <c r="B708" s="6"/>
      <c r="C708" s="6"/>
      <c r="D708" s="6"/>
      <c r="E708" s="6"/>
      <c r="F708" s="6"/>
      <c r="G708" s="6"/>
      <c r="H708" s="6"/>
      <c r="I708" s="6"/>
      <c r="J708" s="6"/>
      <c r="K708" s="6"/>
      <c r="L708" s="80"/>
      <c r="M708" s="80"/>
      <c r="N708" s="80"/>
      <c r="O708" s="80"/>
      <c r="P708" s="6"/>
      <c r="Q708" s="6"/>
      <c r="R708" s="6"/>
      <c r="S708" s="6"/>
      <c r="T708" s="6"/>
      <c r="U708" s="6"/>
      <c r="V708" s="6"/>
      <c r="W708" s="7"/>
      <c r="X708" s="7"/>
      <c r="Y708" s="7"/>
      <c r="Z708" s="7"/>
    </row>
    <row r="709">
      <c r="A709" s="6"/>
      <c r="B709" s="6"/>
      <c r="C709" s="6"/>
      <c r="D709" s="6"/>
      <c r="E709" s="6"/>
      <c r="F709" s="6"/>
      <c r="G709" s="6"/>
      <c r="H709" s="6"/>
      <c r="I709" s="6"/>
      <c r="J709" s="6"/>
      <c r="K709" s="6"/>
      <c r="L709" s="80"/>
      <c r="M709" s="80"/>
      <c r="N709" s="80"/>
      <c r="O709" s="80"/>
      <c r="P709" s="6"/>
      <c r="Q709" s="6"/>
      <c r="R709" s="6"/>
      <c r="S709" s="6"/>
      <c r="T709" s="6"/>
      <c r="U709" s="6"/>
      <c r="V709" s="6"/>
      <c r="W709" s="7"/>
      <c r="X709" s="7"/>
      <c r="Y709" s="7"/>
      <c r="Z709" s="7"/>
    </row>
    <row r="710">
      <c r="A710" s="6"/>
      <c r="B710" s="6"/>
      <c r="C710" s="6"/>
      <c r="D710" s="6"/>
      <c r="E710" s="6"/>
      <c r="F710" s="6"/>
      <c r="G710" s="6"/>
      <c r="H710" s="6"/>
      <c r="I710" s="6"/>
      <c r="J710" s="6"/>
      <c r="K710" s="6"/>
      <c r="L710" s="80"/>
      <c r="M710" s="80"/>
      <c r="N710" s="80"/>
      <c r="O710" s="80"/>
      <c r="P710" s="6"/>
      <c r="Q710" s="6"/>
      <c r="R710" s="6"/>
      <c r="S710" s="6"/>
      <c r="T710" s="6"/>
      <c r="U710" s="6"/>
      <c r="V710" s="6"/>
      <c r="W710" s="7"/>
      <c r="X710" s="7"/>
      <c r="Y710" s="7"/>
      <c r="Z710" s="7"/>
    </row>
    <row r="711">
      <c r="A711" s="6"/>
      <c r="B711" s="6"/>
      <c r="C711" s="6"/>
      <c r="D711" s="6"/>
      <c r="E711" s="6"/>
      <c r="F711" s="6"/>
      <c r="G711" s="6"/>
      <c r="H711" s="6"/>
      <c r="I711" s="6"/>
      <c r="J711" s="6"/>
      <c r="K711" s="6"/>
      <c r="L711" s="80"/>
      <c r="M711" s="80"/>
      <c r="N711" s="80"/>
      <c r="O711" s="80"/>
      <c r="P711" s="6"/>
      <c r="Q711" s="6"/>
      <c r="R711" s="6"/>
      <c r="S711" s="6"/>
      <c r="T711" s="6"/>
      <c r="U711" s="6"/>
      <c r="V711" s="6"/>
      <c r="W711" s="7"/>
      <c r="X711" s="7"/>
      <c r="Y711" s="7"/>
      <c r="Z711" s="7"/>
    </row>
    <row r="712">
      <c r="A712" s="6"/>
      <c r="B712" s="6"/>
      <c r="C712" s="6"/>
      <c r="D712" s="6"/>
      <c r="E712" s="6"/>
      <c r="F712" s="6"/>
      <c r="G712" s="6"/>
      <c r="H712" s="6"/>
      <c r="I712" s="6"/>
      <c r="J712" s="6"/>
      <c r="K712" s="6"/>
      <c r="L712" s="80"/>
      <c r="M712" s="80"/>
      <c r="N712" s="80"/>
      <c r="O712" s="80"/>
      <c r="P712" s="6"/>
      <c r="Q712" s="6"/>
      <c r="R712" s="6"/>
      <c r="S712" s="6"/>
      <c r="T712" s="6"/>
      <c r="U712" s="6"/>
      <c r="V712" s="6"/>
      <c r="W712" s="7"/>
      <c r="X712" s="7"/>
      <c r="Y712" s="7"/>
      <c r="Z712" s="7"/>
    </row>
    <row r="713">
      <c r="A713" s="6"/>
      <c r="B713" s="6"/>
      <c r="C713" s="6"/>
      <c r="D713" s="6"/>
      <c r="E713" s="6"/>
      <c r="F713" s="6"/>
      <c r="G713" s="6"/>
      <c r="H713" s="6"/>
      <c r="I713" s="6"/>
      <c r="J713" s="6"/>
      <c r="K713" s="6"/>
      <c r="L713" s="80"/>
      <c r="M713" s="80"/>
      <c r="N713" s="80"/>
      <c r="O713" s="80"/>
      <c r="P713" s="6"/>
      <c r="Q713" s="6"/>
      <c r="R713" s="6"/>
      <c r="S713" s="6"/>
      <c r="T713" s="6"/>
      <c r="U713" s="6"/>
      <c r="V713" s="6"/>
      <c r="W713" s="7"/>
      <c r="X713" s="7"/>
      <c r="Y713" s="7"/>
      <c r="Z713" s="7"/>
    </row>
    <row r="714">
      <c r="A714" s="6"/>
      <c r="B714" s="6"/>
      <c r="C714" s="6"/>
      <c r="D714" s="6"/>
      <c r="E714" s="6"/>
      <c r="F714" s="6"/>
      <c r="G714" s="6"/>
      <c r="H714" s="6"/>
      <c r="I714" s="6"/>
      <c r="J714" s="6"/>
      <c r="K714" s="6"/>
      <c r="L714" s="80"/>
      <c r="M714" s="80"/>
      <c r="N714" s="80"/>
      <c r="O714" s="80"/>
      <c r="P714" s="6"/>
      <c r="Q714" s="6"/>
      <c r="R714" s="6"/>
      <c r="S714" s="6"/>
      <c r="T714" s="6"/>
      <c r="U714" s="6"/>
      <c r="V714" s="6"/>
      <c r="W714" s="7"/>
      <c r="X714" s="7"/>
      <c r="Y714" s="7"/>
      <c r="Z714" s="7"/>
    </row>
    <row r="715">
      <c r="A715" s="6"/>
      <c r="B715" s="6"/>
      <c r="C715" s="6"/>
      <c r="D715" s="6"/>
      <c r="E715" s="6"/>
      <c r="F715" s="6"/>
      <c r="G715" s="6"/>
      <c r="H715" s="6"/>
      <c r="I715" s="6"/>
      <c r="J715" s="6"/>
      <c r="K715" s="6"/>
      <c r="L715" s="80"/>
      <c r="M715" s="80"/>
      <c r="N715" s="80"/>
      <c r="O715" s="80"/>
      <c r="P715" s="6"/>
      <c r="Q715" s="6"/>
      <c r="R715" s="6"/>
      <c r="S715" s="6"/>
      <c r="T715" s="6"/>
      <c r="U715" s="6"/>
      <c r="V715" s="6"/>
      <c r="W715" s="7"/>
      <c r="X715" s="7"/>
      <c r="Y715" s="7"/>
      <c r="Z715" s="7"/>
    </row>
    <row r="716">
      <c r="A716" s="6"/>
      <c r="B716" s="6"/>
      <c r="C716" s="6"/>
      <c r="D716" s="6"/>
      <c r="E716" s="6"/>
      <c r="F716" s="6"/>
      <c r="G716" s="6"/>
      <c r="H716" s="6"/>
      <c r="I716" s="6"/>
      <c r="J716" s="6"/>
      <c r="K716" s="6"/>
      <c r="L716" s="80"/>
      <c r="M716" s="80"/>
      <c r="N716" s="80"/>
      <c r="O716" s="80"/>
      <c r="P716" s="6"/>
      <c r="Q716" s="6"/>
      <c r="R716" s="6"/>
      <c r="S716" s="6"/>
      <c r="T716" s="6"/>
      <c r="U716" s="6"/>
      <c r="V716" s="6"/>
      <c r="W716" s="7"/>
      <c r="X716" s="7"/>
      <c r="Y716" s="7"/>
      <c r="Z716" s="7"/>
    </row>
    <row r="717">
      <c r="A717" s="6"/>
      <c r="B717" s="6"/>
      <c r="C717" s="6"/>
      <c r="D717" s="6"/>
      <c r="E717" s="6"/>
      <c r="F717" s="6"/>
      <c r="G717" s="6"/>
      <c r="H717" s="6"/>
      <c r="I717" s="6"/>
      <c r="J717" s="6"/>
      <c r="K717" s="6"/>
      <c r="L717" s="80"/>
      <c r="M717" s="80"/>
      <c r="N717" s="80"/>
      <c r="O717" s="80"/>
      <c r="P717" s="6"/>
      <c r="Q717" s="6"/>
      <c r="R717" s="6"/>
      <c r="S717" s="6"/>
      <c r="T717" s="6"/>
      <c r="U717" s="6"/>
      <c r="V717" s="6"/>
      <c r="W717" s="7"/>
      <c r="X717" s="7"/>
      <c r="Y717" s="7"/>
      <c r="Z717" s="7"/>
    </row>
    <row r="718">
      <c r="A718" s="6"/>
      <c r="B718" s="6"/>
      <c r="C718" s="6"/>
      <c r="D718" s="6"/>
      <c r="E718" s="6"/>
      <c r="F718" s="6"/>
      <c r="G718" s="6"/>
      <c r="H718" s="6"/>
      <c r="I718" s="6"/>
      <c r="J718" s="6"/>
      <c r="K718" s="6"/>
      <c r="L718" s="80"/>
      <c r="M718" s="80"/>
      <c r="N718" s="80"/>
      <c r="O718" s="80"/>
      <c r="P718" s="6"/>
      <c r="Q718" s="6"/>
      <c r="R718" s="6"/>
      <c r="S718" s="6"/>
      <c r="T718" s="6"/>
      <c r="U718" s="6"/>
      <c r="V718" s="6"/>
      <c r="W718" s="7"/>
      <c r="X718" s="7"/>
      <c r="Y718" s="7"/>
      <c r="Z718" s="7"/>
    </row>
    <row r="719">
      <c r="A719" s="6"/>
      <c r="B719" s="6"/>
      <c r="C719" s="6"/>
      <c r="D719" s="6"/>
      <c r="E719" s="6"/>
      <c r="F719" s="6"/>
      <c r="G719" s="6"/>
      <c r="H719" s="6"/>
      <c r="I719" s="6"/>
      <c r="J719" s="6"/>
      <c r="K719" s="6"/>
      <c r="L719" s="80"/>
      <c r="M719" s="80"/>
      <c r="N719" s="80"/>
      <c r="O719" s="80"/>
      <c r="P719" s="6"/>
      <c r="Q719" s="6"/>
      <c r="R719" s="6"/>
      <c r="S719" s="6"/>
      <c r="T719" s="6"/>
      <c r="U719" s="6"/>
      <c r="V719" s="6"/>
      <c r="W719" s="7"/>
      <c r="X719" s="7"/>
      <c r="Y719" s="7"/>
      <c r="Z719" s="7"/>
    </row>
    <row r="720">
      <c r="A720" s="6"/>
      <c r="B720" s="6"/>
      <c r="C720" s="6"/>
      <c r="D720" s="6"/>
      <c r="E720" s="6"/>
      <c r="F720" s="6"/>
      <c r="G720" s="6"/>
      <c r="H720" s="6"/>
      <c r="I720" s="6"/>
      <c r="J720" s="6"/>
      <c r="K720" s="6"/>
      <c r="L720" s="80"/>
      <c r="M720" s="80"/>
      <c r="N720" s="80"/>
      <c r="O720" s="80"/>
      <c r="P720" s="6"/>
      <c r="Q720" s="6"/>
      <c r="R720" s="6"/>
      <c r="S720" s="6"/>
      <c r="T720" s="6"/>
      <c r="U720" s="6"/>
      <c r="V720" s="6"/>
      <c r="W720" s="7"/>
      <c r="X720" s="7"/>
      <c r="Y720" s="7"/>
      <c r="Z720" s="7"/>
    </row>
    <row r="721">
      <c r="A721" s="6"/>
      <c r="B721" s="6"/>
      <c r="C721" s="6"/>
      <c r="D721" s="6"/>
      <c r="E721" s="6"/>
      <c r="F721" s="6"/>
      <c r="G721" s="6"/>
      <c r="H721" s="6"/>
      <c r="I721" s="6"/>
      <c r="J721" s="6"/>
      <c r="K721" s="6"/>
      <c r="L721" s="80"/>
      <c r="M721" s="80"/>
      <c r="N721" s="80"/>
      <c r="O721" s="80"/>
      <c r="P721" s="6"/>
      <c r="Q721" s="6"/>
      <c r="R721" s="6"/>
      <c r="S721" s="6"/>
      <c r="T721" s="6"/>
      <c r="U721" s="6"/>
      <c r="V721" s="6"/>
      <c r="W721" s="7"/>
      <c r="X721" s="7"/>
      <c r="Y721" s="7"/>
      <c r="Z721" s="7"/>
    </row>
    <row r="722">
      <c r="A722" s="6"/>
      <c r="B722" s="6"/>
      <c r="C722" s="6"/>
      <c r="D722" s="6"/>
      <c r="E722" s="6"/>
      <c r="F722" s="6"/>
      <c r="G722" s="6"/>
      <c r="H722" s="6"/>
      <c r="I722" s="6"/>
      <c r="J722" s="6"/>
      <c r="K722" s="6"/>
      <c r="L722" s="80"/>
      <c r="M722" s="80"/>
      <c r="N722" s="80"/>
      <c r="O722" s="80"/>
      <c r="P722" s="6"/>
      <c r="Q722" s="6"/>
      <c r="R722" s="6"/>
      <c r="S722" s="6"/>
      <c r="T722" s="6"/>
      <c r="U722" s="6"/>
      <c r="V722" s="6"/>
      <c r="W722" s="7"/>
      <c r="X722" s="7"/>
      <c r="Y722" s="7"/>
      <c r="Z722" s="7"/>
    </row>
    <row r="723">
      <c r="A723" s="6"/>
      <c r="B723" s="6"/>
      <c r="C723" s="6"/>
      <c r="D723" s="6"/>
      <c r="E723" s="6"/>
      <c r="F723" s="6"/>
      <c r="G723" s="6"/>
      <c r="H723" s="6"/>
      <c r="I723" s="6"/>
      <c r="J723" s="6"/>
      <c r="K723" s="6"/>
      <c r="L723" s="80"/>
      <c r="M723" s="80"/>
      <c r="N723" s="80"/>
      <c r="O723" s="80"/>
      <c r="P723" s="6"/>
      <c r="Q723" s="6"/>
      <c r="R723" s="6"/>
      <c r="S723" s="6"/>
      <c r="T723" s="6"/>
      <c r="U723" s="6"/>
      <c r="V723" s="6"/>
      <c r="W723" s="7"/>
      <c r="X723" s="7"/>
      <c r="Y723" s="7"/>
      <c r="Z723" s="7"/>
    </row>
    <row r="724">
      <c r="A724" s="6"/>
      <c r="B724" s="6"/>
      <c r="C724" s="6"/>
      <c r="D724" s="6"/>
      <c r="E724" s="6"/>
      <c r="F724" s="6"/>
      <c r="G724" s="6"/>
      <c r="H724" s="6"/>
      <c r="I724" s="6"/>
      <c r="J724" s="6"/>
      <c r="K724" s="6"/>
      <c r="L724" s="80"/>
      <c r="M724" s="80"/>
      <c r="N724" s="80"/>
      <c r="O724" s="80"/>
      <c r="P724" s="6"/>
      <c r="Q724" s="6"/>
      <c r="R724" s="6"/>
      <c r="S724" s="6"/>
      <c r="T724" s="6"/>
      <c r="U724" s="6"/>
      <c r="V724" s="6"/>
      <c r="W724" s="7"/>
      <c r="X724" s="7"/>
      <c r="Y724" s="7"/>
      <c r="Z724" s="7"/>
    </row>
    <row r="725">
      <c r="A725" s="6"/>
      <c r="B725" s="6"/>
      <c r="C725" s="6"/>
      <c r="D725" s="6"/>
      <c r="E725" s="6"/>
      <c r="F725" s="6"/>
      <c r="G725" s="6"/>
      <c r="H725" s="6"/>
      <c r="I725" s="6"/>
      <c r="J725" s="6"/>
      <c r="K725" s="6"/>
      <c r="L725" s="80"/>
      <c r="M725" s="80"/>
      <c r="N725" s="80"/>
      <c r="O725" s="80"/>
      <c r="P725" s="6"/>
      <c r="Q725" s="6"/>
      <c r="R725" s="6"/>
      <c r="S725" s="6"/>
      <c r="T725" s="6"/>
      <c r="U725" s="6"/>
      <c r="V725" s="6"/>
      <c r="W725" s="7"/>
      <c r="X725" s="7"/>
      <c r="Y725" s="7"/>
      <c r="Z725" s="7"/>
    </row>
    <row r="726">
      <c r="A726" s="6"/>
      <c r="B726" s="6"/>
      <c r="C726" s="6"/>
      <c r="D726" s="6"/>
      <c r="E726" s="6"/>
      <c r="F726" s="6"/>
      <c r="G726" s="6"/>
      <c r="H726" s="6"/>
      <c r="I726" s="6"/>
      <c r="J726" s="6"/>
      <c r="K726" s="6"/>
      <c r="L726" s="80"/>
      <c r="M726" s="80"/>
      <c r="N726" s="80"/>
      <c r="O726" s="80"/>
      <c r="P726" s="6"/>
      <c r="Q726" s="6"/>
      <c r="R726" s="6"/>
      <c r="S726" s="6"/>
      <c r="T726" s="6"/>
      <c r="U726" s="6"/>
      <c r="V726" s="6"/>
      <c r="W726" s="7"/>
      <c r="X726" s="7"/>
      <c r="Y726" s="7"/>
      <c r="Z726" s="7"/>
    </row>
    <row r="727">
      <c r="A727" s="6"/>
      <c r="B727" s="6"/>
      <c r="C727" s="6"/>
      <c r="D727" s="6"/>
      <c r="E727" s="6"/>
      <c r="F727" s="6"/>
      <c r="G727" s="6"/>
      <c r="H727" s="6"/>
      <c r="I727" s="6"/>
      <c r="J727" s="6"/>
      <c r="K727" s="6"/>
      <c r="L727" s="80"/>
      <c r="M727" s="80"/>
      <c r="N727" s="80"/>
      <c r="O727" s="80"/>
      <c r="P727" s="6"/>
      <c r="Q727" s="6"/>
      <c r="R727" s="6"/>
      <c r="S727" s="6"/>
      <c r="T727" s="6"/>
      <c r="U727" s="6"/>
      <c r="V727" s="6"/>
      <c r="W727" s="7"/>
      <c r="X727" s="7"/>
      <c r="Y727" s="7"/>
      <c r="Z727" s="7"/>
    </row>
    <row r="728">
      <c r="A728" s="6"/>
      <c r="B728" s="6"/>
      <c r="C728" s="6"/>
      <c r="D728" s="6"/>
      <c r="E728" s="6"/>
      <c r="F728" s="6"/>
      <c r="G728" s="6"/>
      <c r="H728" s="6"/>
      <c r="I728" s="6"/>
      <c r="J728" s="6"/>
      <c r="K728" s="6"/>
      <c r="L728" s="80"/>
      <c r="M728" s="80"/>
      <c r="N728" s="80"/>
      <c r="O728" s="80"/>
      <c r="P728" s="6"/>
      <c r="Q728" s="6"/>
      <c r="R728" s="6"/>
      <c r="S728" s="6"/>
      <c r="T728" s="6"/>
      <c r="U728" s="6"/>
      <c r="V728" s="6"/>
      <c r="W728" s="7"/>
      <c r="X728" s="7"/>
      <c r="Y728" s="7"/>
      <c r="Z728" s="7"/>
    </row>
    <row r="729">
      <c r="A729" s="6"/>
      <c r="B729" s="6"/>
      <c r="C729" s="6"/>
      <c r="D729" s="6"/>
      <c r="E729" s="6"/>
      <c r="F729" s="6"/>
      <c r="G729" s="6"/>
      <c r="H729" s="6"/>
      <c r="I729" s="6"/>
      <c r="J729" s="6"/>
      <c r="K729" s="6"/>
      <c r="L729" s="80"/>
      <c r="M729" s="80"/>
      <c r="N729" s="80"/>
      <c r="O729" s="80"/>
      <c r="P729" s="6"/>
      <c r="Q729" s="6"/>
      <c r="R729" s="6"/>
      <c r="S729" s="6"/>
      <c r="T729" s="6"/>
      <c r="U729" s="6"/>
      <c r="V729" s="6"/>
      <c r="W729" s="7"/>
      <c r="X729" s="7"/>
      <c r="Y729" s="7"/>
      <c r="Z729" s="7"/>
    </row>
    <row r="730">
      <c r="A730" s="6"/>
      <c r="B730" s="6"/>
      <c r="C730" s="6"/>
      <c r="D730" s="6"/>
      <c r="E730" s="6"/>
      <c r="F730" s="6"/>
      <c r="G730" s="6"/>
      <c r="H730" s="6"/>
      <c r="I730" s="6"/>
      <c r="J730" s="6"/>
      <c r="K730" s="6"/>
      <c r="L730" s="80"/>
      <c r="M730" s="80"/>
      <c r="N730" s="80"/>
      <c r="O730" s="80"/>
      <c r="P730" s="6"/>
      <c r="Q730" s="6"/>
      <c r="R730" s="6"/>
      <c r="S730" s="6"/>
      <c r="T730" s="6"/>
      <c r="U730" s="6"/>
      <c r="V730" s="6"/>
      <c r="W730" s="7"/>
      <c r="X730" s="7"/>
      <c r="Y730" s="7"/>
      <c r="Z730" s="7"/>
    </row>
    <row r="731">
      <c r="A731" s="6"/>
      <c r="B731" s="6"/>
      <c r="C731" s="6"/>
      <c r="D731" s="6"/>
      <c r="E731" s="6"/>
      <c r="F731" s="6"/>
      <c r="G731" s="6"/>
      <c r="H731" s="6"/>
      <c r="I731" s="6"/>
      <c r="J731" s="6"/>
      <c r="K731" s="6"/>
      <c r="L731" s="80"/>
      <c r="M731" s="80"/>
      <c r="N731" s="80"/>
      <c r="O731" s="80"/>
      <c r="P731" s="6"/>
      <c r="Q731" s="6"/>
      <c r="R731" s="6"/>
      <c r="S731" s="6"/>
      <c r="T731" s="6"/>
      <c r="U731" s="6"/>
      <c r="V731" s="6"/>
      <c r="W731" s="7"/>
      <c r="X731" s="7"/>
      <c r="Y731" s="7"/>
      <c r="Z731" s="7"/>
    </row>
    <row r="732">
      <c r="A732" s="6"/>
      <c r="B732" s="6"/>
      <c r="C732" s="6"/>
      <c r="D732" s="6"/>
      <c r="E732" s="6"/>
      <c r="F732" s="6"/>
      <c r="G732" s="6"/>
      <c r="H732" s="6"/>
      <c r="I732" s="6"/>
      <c r="J732" s="6"/>
      <c r="K732" s="6"/>
      <c r="L732" s="80"/>
      <c r="M732" s="80"/>
      <c r="N732" s="80"/>
      <c r="O732" s="80"/>
      <c r="P732" s="6"/>
      <c r="Q732" s="6"/>
      <c r="R732" s="6"/>
      <c r="S732" s="6"/>
      <c r="T732" s="6"/>
      <c r="U732" s="6"/>
      <c r="V732" s="6"/>
      <c r="W732" s="7"/>
      <c r="X732" s="7"/>
      <c r="Y732" s="7"/>
      <c r="Z732" s="7"/>
    </row>
    <row r="733">
      <c r="A733" s="6"/>
      <c r="B733" s="6"/>
      <c r="C733" s="6"/>
      <c r="D733" s="6"/>
      <c r="E733" s="6"/>
      <c r="F733" s="6"/>
      <c r="G733" s="6"/>
      <c r="H733" s="6"/>
      <c r="I733" s="6"/>
      <c r="J733" s="6"/>
      <c r="K733" s="6"/>
      <c r="L733" s="80"/>
      <c r="M733" s="80"/>
      <c r="N733" s="80"/>
      <c r="O733" s="80"/>
      <c r="P733" s="6"/>
      <c r="Q733" s="6"/>
      <c r="R733" s="6"/>
      <c r="S733" s="6"/>
      <c r="T733" s="6"/>
      <c r="U733" s="6"/>
      <c r="V733" s="6"/>
      <c r="W733" s="7"/>
      <c r="X733" s="7"/>
      <c r="Y733" s="7"/>
      <c r="Z733" s="7"/>
    </row>
    <row r="734">
      <c r="A734" s="6"/>
      <c r="B734" s="6"/>
      <c r="C734" s="6"/>
      <c r="D734" s="6"/>
      <c r="E734" s="6"/>
      <c r="F734" s="6"/>
      <c r="G734" s="6"/>
      <c r="H734" s="6"/>
      <c r="I734" s="6"/>
      <c r="J734" s="6"/>
      <c r="K734" s="6"/>
      <c r="L734" s="80"/>
      <c r="M734" s="80"/>
      <c r="N734" s="80"/>
      <c r="O734" s="80"/>
      <c r="P734" s="6"/>
      <c r="Q734" s="6"/>
      <c r="R734" s="6"/>
      <c r="S734" s="6"/>
      <c r="T734" s="6"/>
      <c r="U734" s="6"/>
      <c r="V734" s="6"/>
      <c r="W734" s="7"/>
      <c r="X734" s="7"/>
      <c r="Y734" s="7"/>
      <c r="Z734" s="7"/>
    </row>
    <row r="735">
      <c r="A735" s="6"/>
      <c r="B735" s="6"/>
      <c r="C735" s="6"/>
      <c r="D735" s="6"/>
      <c r="E735" s="6"/>
      <c r="F735" s="6"/>
      <c r="G735" s="6"/>
      <c r="H735" s="6"/>
      <c r="I735" s="6"/>
      <c r="J735" s="6"/>
      <c r="K735" s="6"/>
      <c r="L735" s="80"/>
      <c r="M735" s="80"/>
      <c r="N735" s="80"/>
      <c r="O735" s="80"/>
      <c r="P735" s="6"/>
      <c r="Q735" s="6"/>
      <c r="R735" s="6"/>
      <c r="S735" s="6"/>
      <c r="T735" s="6"/>
      <c r="U735" s="6"/>
      <c r="V735" s="6"/>
      <c r="W735" s="7"/>
      <c r="X735" s="7"/>
      <c r="Y735" s="7"/>
      <c r="Z735" s="7"/>
    </row>
    <row r="736">
      <c r="A736" s="6"/>
      <c r="B736" s="6"/>
      <c r="C736" s="6"/>
      <c r="D736" s="6"/>
      <c r="E736" s="6"/>
      <c r="F736" s="6"/>
      <c r="G736" s="6"/>
      <c r="H736" s="6"/>
      <c r="I736" s="6"/>
      <c r="J736" s="6"/>
      <c r="K736" s="6"/>
      <c r="L736" s="80"/>
      <c r="M736" s="80"/>
      <c r="N736" s="80"/>
      <c r="O736" s="80"/>
      <c r="P736" s="6"/>
      <c r="Q736" s="6"/>
      <c r="R736" s="6"/>
      <c r="S736" s="6"/>
      <c r="T736" s="6"/>
      <c r="U736" s="6"/>
      <c r="V736" s="6"/>
      <c r="W736" s="7"/>
      <c r="X736" s="7"/>
      <c r="Y736" s="7"/>
      <c r="Z736" s="7"/>
    </row>
    <row r="737">
      <c r="A737" s="6"/>
      <c r="B737" s="6"/>
      <c r="C737" s="6"/>
      <c r="D737" s="6"/>
      <c r="E737" s="6"/>
      <c r="F737" s="6"/>
      <c r="G737" s="6"/>
      <c r="H737" s="6"/>
      <c r="I737" s="6"/>
      <c r="J737" s="6"/>
      <c r="K737" s="6"/>
      <c r="L737" s="80"/>
      <c r="M737" s="80"/>
      <c r="N737" s="80"/>
      <c r="O737" s="80"/>
      <c r="P737" s="6"/>
      <c r="Q737" s="6"/>
      <c r="R737" s="6"/>
      <c r="S737" s="6"/>
      <c r="T737" s="6"/>
      <c r="U737" s="6"/>
      <c r="V737" s="6"/>
      <c r="W737" s="7"/>
      <c r="X737" s="7"/>
      <c r="Y737" s="7"/>
      <c r="Z737" s="7"/>
    </row>
    <row r="738">
      <c r="A738" s="6"/>
      <c r="B738" s="6"/>
      <c r="C738" s="6"/>
      <c r="D738" s="6"/>
      <c r="E738" s="6"/>
      <c r="F738" s="6"/>
      <c r="G738" s="6"/>
      <c r="H738" s="6"/>
      <c r="I738" s="6"/>
      <c r="J738" s="6"/>
      <c r="K738" s="6"/>
      <c r="L738" s="80"/>
      <c r="M738" s="80"/>
      <c r="N738" s="80"/>
      <c r="O738" s="80"/>
      <c r="P738" s="6"/>
      <c r="Q738" s="6"/>
      <c r="R738" s="6"/>
      <c r="S738" s="6"/>
      <c r="T738" s="6"/>
      <c r="U738" s="6"/>
      <c r="V738" s="6"/>
      <c r="W738" s="7"/>
      <c r="X738" s="7"/>
      <c r="Y738" s="7"/>
      <c r="Z738" s="7"/>
    </row>
    <row r="739">
      <c r="A739" s="6"/>
      <c r="B739" s="6"/>
      <c r="C739" s="6"/>
      <c r="D739" s="6"/>
      <c r="E739" s="6"/>
      <c r="F739" s="6"/>
      <c r="G739" s="6"/>
      <c r="H739" s="6"/>
      <c r="I739" s="6"/>
      <c r="J739" s="6"/>
      <c r="K739" s="6"/>
      <c r="L739" s="80"/>
      <c r="M739" s="80"/>
      <c r="N739" s="80"/>
      <c r="O739" s="80"/>
      <c r="P739" s="6"/>
      <c r="Q739" s="6"/>
      <c r="R739" s="6"/>
      <c r="S739" s="6"/>
      <c r="T739" s="6"/>
      <c r="U739" s="6"/>
      <c r="V739" s="6"/>
      <c r="W739" s="7"/>
      <c r="X739" s="7"/>
      <c r="Y739" s="7"/>
      <c r="Z739" s="7"/>
    </row>
    <row r="740">
      <c r="A740" s="6"/>
      <c r="B740" s="6"/>
      <c r="C740" s="6"/>
      <c r="D740" s="6"/>
      <c r="E740" s="6"/>
      <c r="F740" s="6"/>
      <c r="G740" s="6"/>
      <c r="H740" s="6"/>
      <c r="I740" s="6"/>
      <c r="J740" s="6"/>
      <c r="K740" s="6"/>
      <c r="L740" s="80"/>
      <c r="M740" s="80"/>
      <c r="N740" s="80"/>
      <c r="O740" s="80"/>
      <c r="P740" s="6"/>
      <c r="Q740" s="6"/>
      <c r="R740" s="6"/>
      <c r="S740" s="6"/>
      <c r="T740" s="6"/>
      <c r="U740" s="6"/>
      <c r="V740" s="6"/>
      <c r="W740" s="7"/>
      <c r="X740" s="7"/>
      <c r="Y740" s="7"/>
      <c r="Z740" s="7"/>
    </row>
    <row r="741">
      <c r="A741" s="6"/>
      <c r="B741" s="6"/>
      <c r="C741" s="6"/>
      <c r="D741" s="6"/>
      <c r="E741" s="6"/>
      <c r="F741" s="6"/>
      <c r="G741" s="6"/>
      <c r="H741" s="6"/>
      <c r="I741" s="6"/>
      <c r="J741" s="6"/>
      <c r="K741" s="6"/>
      <c r="L741" s="80"/>
      <c r="M741" s="80"/>
      <c r="N741" s="80"/>
      <c r="O741" s="80"/>
      <c r="P741" s="6"/>
      <c r="Q741" s="6"/>
      <c r="R741" s="6"/>
      <c r="S741" s="6"/>
      <c r="T741" s="6"/>
      <c r="U741" s="6"/>
      <c r="V741" s="6"/>
      <c r="W741" s="7"/>
      <c r="X741" s="7"/>
      <c r="Y741" s="7"/>
      <c r="Z741" s="7"/>
    </row>
    <row r="742">
      <c r="A742" s="6"/>
      <c r="B742" s="6"/>
      <c r="C742" s="6"/>
      <c r="D742" s="6"/>
      <c r="E742" s="6"/>
      <c r="F742" s="6"/>
      <c r="G742" s="6"/>
      <c r="H742" s="6"/>
      <c r="I742" s="6"/>
      <c r="J742" s="6"/>
      <c r="K742" s="6"/>
      <c r="L742" s="80"/>
      <c r="M742" s="80"/>
      <c r="N742" s="80"/>
      <c r="O742" s="80"/>
      <c r="P742" s="6"/>
      <c r="Q742" s="6"/>
      <c r="R742" s="6"/>
      <c r="S742" s="6"/>
      <c r="T742" s="6"/>
      <c r="U742" s="6"/>
      <c r="V742" s="6"/>
      <c r="W742" s="7"/>
      <c r="X742" s="7"/>
      <c r="Y742" s="7"/>
      <c r="Z742" s="7"/>
    </row>
    <row r="743">
      <c r="A743" s="6"/>
      <c r="B743" s="6"/>
      <c r="C743" s="6"/>
      <c r="D743" s="6"/>
      <c r="E743" s="6"/>
      <c r="F743" s="6"/>
      <c r="G743" s="6"/>
      <c r="H743" s="6"/>
      <c r="I743" s="6"/>
      <c r="J743" s="6"/>
      <c r="K743" s="6"/>
      <c r="L743" s="80"/>
      <c r="M743" s="80"/>
      <c r="N743" s="80"/>
      <c r="O743" s="80"/>
      <c r="P743" s="6"/>
      <c r="Q743" s="6"/>
      <c r="R743" s="6"/>
      <c r="S743" s="6"/>
      <c r="T743" s="6"/>
      <c r="U743" s="6"/>
      <c r="V743" s="6"/>
      <c r="W743" s="7"/>
      <c r="X743" s="7"/>
      <c r="Y743" s="7"/>
      <c r="Z743" s="7"/>
    </row>
    <row r="744">
      <c r="A744" s="6"/>
      <c r="B744" s="6"/>
      <c r="C744" s="6"/>
      <c r="D744" s="6"/>
      <c r="E744" s="6"/>
      <c r="F744" s="6"/>
      <c r="G744" s="6"/>
      <c r="H744" s="6"/>
      <c r="I744" s="6"/>
      <c r="J744" s="6"/>
      <c r="K744" s="6"/>
      <c r="L744" s="80"/>
      <c r="M744" s="80"/>
      <c r="N744" s="80"/>
      <c r="O744" s="80"/>
      <c r="P744" s="6"/>
      <c r="Q744" s="6"/>
      <c r="R744" s="6"/>
      <c r="S744" s="6"/>
      <c r="T744" s="6"/>
      <c r="U744" s="6"/>
      <c r="V744" s="6"/>
      <c r="W744" s="7"/>
      <c r="X744" s="7"/>
      <c r="Y744" s="7"/>
      <c r="Z744" s="7"/>
    </row>
    <row r="745">
      <c r="A745" s="6"/>
      <c r="B745" s="6"/>
      <c r="C745" s="6"/>
      <c r="D745" s="6"/>
      <c r="E745" s="6"/>
      <c r="F745" s="6"/>
      <c r="G745" s="6"/>
      <c r="H745" s="6"/>
      <c r="I745" s="6"/>
      <c r="J745" s="6"/>
      <c r="K745" s="6"/>
      <c r="L745" s="80"/>
      <c r="M745" s="80"/>
      <c r="N745" s="80"/>
      <c r="O745" s="80"/>
      <c r="P745" s="6"/>
      <c r="Q745" s="6"/>
      <c r="R745" s="6"/>
      <c r="S745" s="6"/>
      <c r="T745" s="6"/>
      <c r="U745" s="6"/>
      <c r="V745" s="6"/>
      <c r="W745" s="7"/>
      <c r="X745" s="7"/>
      <c r="Y745" s="7"/>
      <c r="Z745" s="7"/>
    </row>
    <row r="746">
      <c r="A746" s="6"/>
      <c r="B746" s="6"/>
      <c r="C746" s="6"/>
      <c r="D746" s="6"/>
      <c r="E746" s="6"/>
      <c r="F746" s="6"/>
      <c r="G746" s="6"/>
      <c r="H746" s="6"/>
      <c r="I746" s="6"/>
      <c r="J746" s="6"/>
      <c r="K746" s="6"/>
      <c r="L746" s="80"/>
      <c r="M746" s="80"/>
      <c r="N746" s="80"/>
      <c r="O746" s="80"/>
      <c r="P746" s="6"/>
      <c r="Q746" s="6"/>
      <c r="R746" s="6"/>
      <c r="S746" s="6"/>
      <c r="T746" s="6"/>
      <c r="U746" s="6"/>
      <c r="V746" s="6"/>
      <c r="W746" s="7"/>
      <c r="X746" s="7"/>
      <c r="Y746" s="7"/>
      <c r="Z746" s="7"/>
    </row>
    <row r="747">
      <c r="A747" s="6"/>
      <c r="B747" s="6"/>
      <c r="C747" s="6"/>
      <c r="D747" s="6"/>
      <c r="E747" s="6"/>
      <c r="F747" s="6"/>
      <c r="G747" s="6"/>
      <c r="H747" s="6"/>
      <c r="I747" s="6"/>
      <c r="J747" s="6"/>
      <c r="K747" s="6"/>
      <c r="L747" s="80"/>
      <c r="M747" s="80"/>
      <c r="N747" s="80"/>
      <c r="O747" s="80"/>
      <c r="P747" s="6"/>
      <c r="Q747" s="6"/>
      <c r="R747" s="6"/>
      <c r="S747" s="6"/>
      <c r="T747" s="6"/>
      <c r="U747" s="6"/>
      <c r="V747" s="6"/>
      <c r="W747" s="7"/>
      <c r="X747" s="7"/>
      <c r="Y747" s="7"/>
      <c r="Z747" s="7"/>
    </row>
    <row r="748">
      <c r="A748" s="6"/>
      <c r="B748" s="6"/>
      <c r="C748" s="6"/>
      <c r="D748" s="6"/>
      <c r="E748" s="6"/>
      <c r="F748" s="6"/>
      <c r="G748" s="6"/>
      <c r="H748" s="6"/>
      <c r="I748" s="6"/>
      <c r="J748" s="6"/>
      <c r="K748" s="6"/>
      <c r="L748" s="80"/>
      <c r="M748" s="80"/>
      <c r="N748" s="80"/>
      <c r="O748" s="80"/>
      <c r="P748" s="6"/>
      <c r="Q748" s="6"/>
      <c r="R748" s="6"/>
      <c r="S748" s="6"/>
      <c r="T748" s="6"/>
      <c r="U748" s="6"/>
      <c r="V748" s="6"/>
      <c r="W748" s="7"/>
      <c r="X748" s="7"/>
      <c r="Y748" s="7"/>
      <c r="Z748" s="7"/>
    </row>
    <row r="749">
      <c r="A749" s="6"/>
      <c r="B749" s="6"/>
      <c r="C749" s="6"/>
      <c r="D749" s="6"/>
      <c r="E749" s="6"/>
      <c r="F749" s="6"/>
      <c r="G749" s="6"/>
      <c r="H749" s="6"/>
      <c r="I749" s="6"/>
      <c r="J749" s="6"/>
      <c r="K749" s="6"/>
      <c r="L749" s="80"/>
      <c r="M749" s="80"/>
      <c r="N749" s="80"/>
      <c r="O749" s="80"/>
      <c r="P749" s="6"/>
      <c r="Q749" s="6"/>
      <c r="R749" s="6"/>
      <c r="S749" s="6"/>
      <c r="T749" s="6"/>
      <c r="U749" s="6"/>
      <c r="V749" s="6"/>
      <c r="W749" s="7"/>
      <c r="X749" s="7"/>
      <c r="Y749" s="7"/>
      <c r="Z749" s="7"/>
    </row>
    <row r="750">
      <c r="A750" s="6"/>
      <c r="B750" s="6"/>
      <c r="C750" s="6"/>
      <c r="D750" s="6"/>
      <c r="E750" s="6"/>
      <c r="F750" s="6"/>
      <c r="G750" s="6"/>
      <c r="H750" s="6"/>
      <c r="I750" s="6"/>
      <c r="J750" s="6"/>
      <c r="K750" s="6"/>
      <c r="L750" s="80"/>
      <c r="M750" s="80"/>
      <c r="N750" s="80"/>
      <c r="O750" s="80"/>
      <c r="P750" s="6"/>
      <c r="Q750" s="6"/>
      <c r="R750" s="6"/>
      <c r="S750" s="6"/>
      <c r="T750" s="6"/>
      <c r="U750" s="6"/>
      <c r="V750" s="6"/>
      <c r="W750" s="7"/>
      <c r="X750" s="7"/>
      <c r="Y750" s="7"/>
      <c r="Z750" s="7"/>
    </row>
    <row r="751">
      <c r="A751" s="6"/>
      <c r="B751" s="6"/>
      <c r="C751" s="6"/>
      <c r="D751" s="6"/>
      <c r="E751" s="6"/>
      <c r="F751" s="6"/>
      <c r="G751" s="6"/>
      <c r="H751" s="6"/>
      <c r="I751" s="6"/>
      <c r="J751" s="6"/>
      <c r="K751" s="6"/>
      <c r="L751" s="80"/>
      <c r="M751" s="80"/>
      <c r="N751" s="80"/>
      <c r="O751" s="80"/>
      <c r="P751" s="6"/>
      <c r="Q751" s="6"/>
      <c r="R751" s="6"/>
      <c r="S751" s="6"/>
      <c r="T751" s="6"/>
      <c r="U751" s="6"/>
      <c r="V751" s="6"/>
      <c r="W751" s="7"/>
      <c r="X751" s="7"/>
      <c r="Y751" s="7"/>
      <c r="Z751" s="7"/>
    </row>
    <row r="752">
      <c r="A752" s="6"/>
      <c r="B752" s="6"/>
      <c r="C752" s="6"/>
      <c r="D752" s="6"/>
      <c r="E752" s="6"/>
      <c r="F752" s="6"/>
      <c r="G752" s="6"/>
      <c r="H752" s="6"/>
      <c r="I752" s="6"/>
      <c r="J752" s="6"/>
      <c r="K752" s="6"/>
      <c r="L752" s="80"/>
      <c r="M752" s="80"/>
      <c r="N752" s="80"/>
      <c r="O752" s="80"/>
      <c r="P752" s="6"/>
      <c r="Q752" s="6"/>
      <c r="R752" s="6"/>
      <c r="S752" s="6"/>
      <c r="T752" s="6"/>
      <c r="U752" s="6"/>
      <c r="V752" s="6"/>
      <c r="W752" s="7"/>
      <c r="X752" s="7"/>
      <c r="Y752" s="7"/>
      <c r="Z752" s="7"/>
    </row>
    <row r="753">
      <c r="A753" s="6"/>
      <c r="B753" s="6"/>
      <c r="C753" s="6"/>
      <c r="D753" s="6"/>
      <c r="E753" s="6"/>
      <c r="F753" s="6"/>
      <c r="G753" s="6"/>
      <c r="H753" s="6"/>
      <c r="I753" s="6"/>
      <c r="J753" s="6"/>
      <c r="K753" s="6"/>
      <c r="L753" s="80"/>
      <c r="M753" s="80"/>
      <c r="N753" s="80"/>
      <c r="O753" s="80"/>
      <c r="P753" s="6"/>
      <c r="Q753" s="6"/>
      <c r="R753" s="6"/>
      <c r="S753" s="6"/>
      <c r="T753" s="6"/>
      <c r="U753" s="6"/>
      <c r="V753" s="6"/>
      <c r="W753" s="7"/>
      <c r="X753" s="7"/>
      <c r="Y753" s="7"/>
      <c r="Z753" s="7"/>
    </row>
    <row r="754">
      <c r="A754" s="6"/>
      <c r="B754" s="6"/>
      <c r="C754" s="6"/>
      <c r="D754" s="6"/>
      <c r="E754" s="6"/>
      <c r="F754" s="6"/>
      <c r="G754" s="6"/>
      <c r="H754" s="6"/>
      <c r="I754" s="6"/>
      <c r="J754" s="6"/>
      <c r="K754" s="6"/>
      <c r="L754" s="80"/>
      <c r="M754" s="80"/>
      <c r="N754" s="80"/>
      <c r="O754" s="80"/>
      <c r="P754" s="6"/>
      <c r="Q754" s="6"/>
      <c r="R754" s="6"/>
      <c r="S754" s="6"/>
      <c r="T754" s="6"/>
      <c r="U754" s="6"/>
      <c r="V754" s="6"/>
      <c r="W754" s="7"/>
      <c r="X754" s="7"/>
      <c r="Y754" s="7"/>
      <c r="Z754" s="7"/>
    </row>
    <row r="755">
      <c r="A755" s="6"/>
      <c r="B755" s="6"/>
      <c r="C755" s="6"/>
      <c r="D755" s="6"/>
      <c r="E755" s="6"/>
      <c r="F755" s="6"/>
      <c r="G755" s="6"/>
      <c r="H755" s="6"/>
      <c r="I755" s="6"/>
      <c r="J755" s="6"/>
      <c r="K755" s="6"/>
      <c r="L755" s="80"/>
      <c r="M755" s="80"/>
      <c r="N755" s="80"/>
      <c r="O755" s="80"/>
      <c r="P755" s="6"/>
      <c r="Q755" s="6"/>
      <c r="R755" s="6"/>
      <c r="S755" s="6"/>
      <c r="T755" s="6"/>
      <c r="U755" s="6"/>
      <c r="V755" s="6"/>
      <c r="W755" s="7"/>
      <c r="X755" s="7"/>
      <c r="Y755" s="7"/>
      <c r="Z755" s="7"/>
    </row>
    <row r="756">
      <c r="A756" s="6"/>
      <c r="B756" s="6"/>
      <c r="C756" s="6"/>
      <c r="D756" s="6"/>
      <c r="E756" s="6"/>
      <c r="F756" s="6"/>
      <c r="G756" s="6"/>
      <c r="H756" s="6"/>
      <c r="I756" s="6"/>
      <c r="J756" s="6"/>
      <c r="K756" s="6"/>
      <c r="L756" s="80"/>
      <c r="M756" s="80"/>
      <c r="N756" s="80"/>
      <c r="O756" s="80"/>
      <c r="P756" s="6"/>
      <c r="Q756" s="6"/>
      <c r="R756" s="6"/>
      <c r="S756" s="6"/>
      <c r="T756" s="6"/>
      <c r="U756" s="6"/>
      <c r="V756" s="6"/>
      <c r="W756" s="7"/>
      <c r="X756" s="7"/>
      <c r="Y756" s="7"/>
      <c r="Z756" s="7"/>
    </row>
    <row r="757">
      <c r="A757" s="6"/>
      <c r="B757" s="6"/>
      <c r="C757" s="6"/>
      <c r="D757" s="6"/>
      <c r="E757" s="6"/>
      <c r="F757" s="6"/>
      <c r="G757" s="6"/>
      <c r="H757" s="6"/>
      <c r="I757" s="6"/>
      <c r="J757" s="6"/>
      <c r="K757" s="6"/>
      <c r="L757" s="80"/>
      <c r="M757" s="80"/>
      <c r="N757" s="80"/>
      <c r="O757" s="80"/>
      <c r="P757" s="6"/>
      <c r="Q757" s="6"/>
      <c r="R757" s="6"/>
      <c r="S757" s="6"/>
      <c r="T757" s="6"/>
      <c r="U757" s="6"/>
      <c r="V757" s="6"/>
      <c r="W757" s="7"/>
      <c r="X757" s="7"/>
      <c r="Y757" s="7"/>
      <c r="Z757" s="7"/>
    </row>
    <row r="758">
      <c r="A758" s="6"/>
      <c r="B758" s="6"/>
      <c r="C758" s="6"/>
      <c r="D758" s="6"/>
      <c r="E758" s="6"/>
      <c r="F758" s="6"/>
      <c r="G758" s="6"/>
      <c r="H758" s="6"/>
      <c r="I758" s="6"/>
      <c r="J758" s="6"/>
      <c r="K758" s="6"/>
      <c r="L758" s="80"/>
      <c r="M758" s="80"/>
      <c r="N758" s="80"/>
      <c r="O758" s="80"/>
      <c r="P758" s="6"/>
      <c r="Q758" s="6"/>
      <c r="R758" s="6"/>
      <c r="S758" s="6"/>
      <c r="T758" s="6"/>
      <c r="U758" s="6"/>
      <c r="V758" s="6"/>
      <c r="W758" s="7"/>
      <c r="X758" s="7"/>
      <c r="Y758" s="7"/>
      <c r="Z758" s="7"/>
    </row>
    <row r="759">
      <c r="A759" s="6"/>
      <c r="B759" s="6"/>
      <c r="C759" s="6"/>
      <c r="D759" s="6"/>
      <c r="E759" s="6"/>
      <c r="F759" s="6"/>
      <c r="G759" s="6"/>
      <c r="H759" s="6"/>
      <c r="I759" s="6"/>
      <c r="J759" s="6"/>
      <c r="K759" s="6"/>
      <c r="L759" s="80"/>
      <c r="M759" s="80"/>
      <c r="N759" s="80"/>
      <c r="O759" s="80"/>
      <c r="P759" s="6"/>
      <c r="Q759" s="6"/>
      <c r="R759" s="6"/>
      <c r="S759" s="6"/>
      <c r="T759" s="6"/>
      <c r="U759" s="6"/>
      <c r="V759" s="6"/>
      <c r="W759" s="7"/>
      <c r="X759" s="7"/>
      <c r="Y759" s="7"/>
      <c r="Z759" s="7"/>
    </row>
    <row r="760">
      <c r="A760" s="6"/>
      <c r="B760" s="6"/>
      <c r="C760" s="6"/>
      <c r="D760" s="6"/>
      <c r="E760" s="6"/>
      <c r="F760" s="6"/>
      <c r="G760" s="6"/>
      <c r="H760" s="6"/>
      <c r="I760" s="6"/>
      <c r="J760" s="6"/>
      <c r="K760" s="6"/>
      <c r="L760" s="80"/>
      <c r="M760" s="80"/>
      <c r="N760" s="80"/>
      <c r="O760" s="80"/>
      <c r="P760" s="6"/>
      <c r="Q760" s="6"/>
      <c r="R760" s="6"/>
      <c r="S760" s="6"/>
      <c r="T760" s="6"/>
      <c r="U760" s="6"/>
      <c r="V760" s="6"/>
      <c r="W760" s="7"/>
      <c r="X760" s="7"/>
      <c r="Y760" s="7"/>
      <c r="Z760" s="7"/>
    </row>
    <row r="761">
      <c r="A761" s="6"/>
      <c r="B761" s="6"/>
      <c r="C761" s="6"/>
      <c r="D761" s="6"/>
      <c r="E761" s="6"/>
      <c r="F761" s="6"/>
      <c r="G761" s="6"/>
      <c r="H761" s="6"/>
      <c r="I761" s="6"/>
      <c r="J761" s="6"/>
      <c r="K761" s="6"/>
      <c r="L761" s="80"/>
      <c r="M761" s="80"/>
      <c r="N761" s="80"/>
      <c r="O761" s="80"/>
      <c r="P761" s="6"/>
      <c r="Q761" s="6"/>
      <c r="R761" s="6"/>
      <c r="S761" s="6"/>
      <c r="T761" s="6"/>
      <c r="U761" s="6"/>
      <c r="V761" s="6"/>
      <c r="W761" s="7"/>
      <c r="X761" s="7"/>
      <c r="Y761" s="7"/>
      <c r="Z761" s="7"/>
    </row>
    <row r="762">
      <c r="A762" s="6"/>
      <c r="B762" s="6"/>
      <c r="C762" s="6"/>
      <c r="D762" s="6"/>
      <c r="E762" s="6"/>
      <c r="F762" s="6"/>
      <c r="G762" s="6"/>
      <c r="H762" s="6"/>
      <c r="I762" s="6"/>
      <c r="J762" s="6"/>
      <c r="K762" s="6"/>
      <c r="L762" s="80"/>
      <c r="M762" s="80"/>
      <c r="N762" s="80"/>
      <c r="O762" s="80"/>
      <c r="P762" s="6"/>
      <c r="Q762" s="6"/>
      <c r="R762" s="6"/>
      <c r="S762" s="6"/>
      <c r="T762" s="6"/>
      <c r="U762" s="6"/>
      <c r="V762" s="6"/>
      <c r="W762" s="7"/>
      <c r="X762" s="7"/>
      <c r="Y762" s="7"/>
      <c r="Z762" s="7"/>
    </row>
    <row r="763">
      <c r="A763" s="6"/>
      <c r="B763" s="6"/>
      <c r="C763" s="6"/>
      <c r="D763" s="6"/>
      <c r="E763" s="6"/>
      <c r="F763" s="6"/>
      <c r="G763" s="6"/>
      <c r="H763" s="6"/>
      <c r="I763" s="6"/>
      <c r="J763" s="6"/>
      <c r="K763" s="6"/>
      <c r="L763" s="80"/>
      <c r="M763" s="80"/>
      <c r="N763" s="80"/>
      <c r="O763" s="80"/>
      <c r="P763" s="6"/>
      <c r="Q763" s="6"/>
      <c r="R763" s="6"/>
      <c r="S763" s="6"/>
      <c r="T763" s="6"/>
      <c r="U763" s="6"/>
      <c r="V763" s="6"/>
      <c r="W763" s="7"/>
      <c r="X763" s="7"/>
      <c r="Y763" s="7"/>
      <c r="Z763" s="7"/>
    </row>
    <row r="764">
      <c r="A764" s="6"/>
      <c r="B764" s="6"/>
      <c r="C764" s="6"/>
      <c r="D764" s="6"/>
      <c r="E764" s="6"/>
      <c r="F764" s="6"/>
      <c r="G764" s="6"/>
      <c r="H764" s="6"/>
      <c r="I764" s="6"/>
      <c r="J764" s="6"/>
      <c r="K764" s="6"/>
      <c r="L764" s="80"/>
      <c r="M764" s="80"/>
      <c r="N764" s="80"/>
      <c r="O764" s="80"/>
      <c r="P764" s="6"/>
      <c r="Q764" s="6"/>
      <c r="R764" s="6"/>
      <c r="S764" s="6"/>
      <c r="T764" s="6"/>
      <c r="U764" s="6"/>
      <c r="V764" s="6"/>
      <c r="W764" s="7"/>
      <c r="X764" s="7"/>
      <c r="Y764" s="7"/>
      <c r="Z764" s="7"/>
    </row>
    <row r="765">
      <c r="A765" s="6"/>
      <c r="B765" s="6"/>
      <c r="C765" s="6"/>
      <c r="D765" s="6"/>
      <c r="E765" s="6"/>
      <c r="F765" s="6"/>
      <c r="G765" s="6"/>
      <c r="H765" s="6"/>
      <c r="I765" s="6"/>
      <c r="J765" s="6"/>
      <c r="K765" s="6"/>
      <c r="L765" s="80"/>
      <c r="M765" s="80"/>
      <c r="N765" s="80"/>
      <c r="O765" s="80"/>
      <c r="P765" s="6"/>
      <c r="Q765" s="6"/>
      <c r="R765" s="6"/>
      <c r="S765" s="6"/>
      <c r="T765" s="6"/>
      <c r="U765" s="6"/>
      <c r="V765" s="6"/>
      <c r="W765" s="7"/>
      <c r="X765" s="7"/>
      <c r="Y765" s="7"/>
      <c r="Z765" s="7"/>
    </row>
    <row r="766">
      <c r="A766" s="6"/>
      <c r="B766" s="6"/>
      <c r="C766" s="6"/>
      <c r="D766" s="6"/>
      <c r="E766" s="6"/>
      <c r="F766" s="6"/>
      <c r="G766" s="6"/>
      <c r="H766" s="6"/>
      <c r="I766" s="6"/>
      <c r="J766" s="6"/>
      <c r="K766" s="6"/>
      <c r="L766" s="80"/>
      <c r="M766" s="80"/>
      <c r="N766" s="80"/>
      <c r="O766" s="80"/>
      <c r="P766" s="6"/>
      <c r="Q766" s="6"/>
      <c r="R766" s="6"/>
      <c r="S766" s="6"/>
      <c r="T766" s="6"/>
      <c r="U766" s="6"/>
      <c r="V766" s="6"/>
      <c r="W766" s="7"/>
      <c r="X766" s="7"/>
      <c r="Y766" s="7"/>
      <c r="Z766" s="7"/>
    </row>
    <row r="767">
      <c r="A767" s="6"/>
      <c r="B767" s="6"/>
      <c r="C767" s="6"/>
      <c r="D767" s="6"/>
      <c r="E767" s="6"/>
      <c r="F767" s="6"/>
      <c r="G767" s="6"/>
      <c r="H767" s="6"/>
      <c r="I767" s="6"/>
      <c r="J767" s="6"/>
      <c r="K767" s="6"/>
      <c r="L767" s="80"/>
      <c r="M767" s="80"/>
      <c r="N767" s="80"/>
      <c r="O767" s="80"/>
      <c r="P767" s="6"/>
      <c r="Q767" s="6"/>
      <c r="R767" s="6"/>
      <c r="S767" s="6"/>
      <c r="T767" s="6"/>
      <c r="U767" s="6"/>
      <c r="V767" s="6"/>
      <c r="W767" s="7"/>
      <c r="X767" s="7"/>
      <c r="Y767" s="7"/>
      <c r="Z767" s="7"/>
    </row>
    <row r="768">
      <c r="A768" s="6"/>
      <c r="B768" s="6"/>
      <c r="C768" s="6"/>
      <c r="D768" s="6"/>
      <c r="E768" s="6"/>
      <c r="F768" s="6"/>
      <c r="G768" s="6"/>
      <c r="H768" s="6"/>
      <c r="I768" s="6"/>
      <c r="J768" s="6"/>
      <c r="K768" s="6"/>
      <c r="L768" s="80"/>
      <c r="M768" s="80"/>
      <c r="N768" s="80"/>
      <c r="O768" s="80"/>
      <c r="P768" s="6"/>
      <c r="Q768" s="6"/>
      <c r="R768" s="6"/>
      <c r="S768" s="6"/>
      <c r="T768" s="6"/>
      <c r="U768" s="6"/>
      <c r="V768" s="6"/>
      <c r="W768" s="7"/>
      <c r="X768" s="7"/>
      <c r="Y768" s="7"/>
      <c r="Z768" s="7"/>
    </row>
    <row r="769">
      <c r="A769" s="6"/>
      <c r="B769" s="6"/>
      <c r="C769" s="6"/>
      <c r="D769" s="6"/>
      <c r="E769" s="6"/>
      <c r="F769" s="6"/>
      <c r="G769" s="6"/>
      <c r="H769" s="6"/>
      <c r="I769" s="6"/>
      <c r="J769" s="6"/>
      <c r="K769" s="6"/>
      <c r="L769" s="80"/>
      <c r="M769" s="80"/>
      <c r="N769" s="80"/>
      <c r="O769" s="80"/>
      <c r="P769" s="6"/>
      <c r="Q769" s="6"/>
      <c r="R769" s="6"/>
      <c r="S769" s="6"/>
      <c r="T769" s="6"/>
      <c r="U769" s="6"/>
      <c r="V769" s="6"/>
      <c r="W769" s="7"/>
      <c r="X769" s="7"/>
      <c r="Y769" s="7"/>
      <c r="Z769" s="7"/>
    </row>
    <row r="770">
      <c r="A770" s="6"/>
      <c r="B770" s="6"/>
      <c r="C770" s="6"/>
      <c r="D770" s="6"/>
      <c r="E770" s="6"/>
      <c r="F770" s="6"/>
      <c r="G770" s="6"/>
      <c r="H770" s="6"/>
      <c r="I770" s="6"/>
      <c r="J770" s="6"/>
      <c r="K770" s="6"/>
      <c r="L770" s="80"/>
      <c r="M770" s="80"/>
      <c r="N770" s="80"/>
      <c r="O770" s="80"/>
      <c r="P770" s="6"/>
      <c r="Q770" s="6"/>
      <c r="R770" s="6"/>
      <c r="S770" s="6"/>
      <c r="T770" s="6"/>
      <c r="U770" s="6"/>
      <c r="V770" s="6"/>
      <c r="W770" s="7"/>
      <c r="X770" s="7"/>
      <c r="Y770" s="7"/>
      <c r="Z770" s="7"/>
    </row>
    <row r="771">
      <c r="A771" s="6"/>
      <c r="B771" s="6"/>
      <c r="C771" s="6"/>
      <c r="D771" s="6"/>
      <c r="E771" s="6"/>
      <c r="F771" s="6"/>
      <c r="G771" s="6"/>
      <c r="H771" s="6"/>
      <c r="I771" s="6"/>
      <c r="J771" s="6"/>
      <c r="K771" s="6"/>
      <c r="L771" s="80"/>
      <c r="M771" s="80"/>
      <c r="N771" s="80"/>
      <c r="O771" s="80"/>
      <c r="P771" s="6"/>
      <c r="Q771" s="6"/>
      <c r="R771" s="6"/>
      <c r="S771" s="6"/>
      <c r="T771" s="6"/>
      <c r="U771" s="6"/>
      <c r="V771" s="6"/>
      <c r="W771" s="7"/>
      <c r="X771" s="7"/>
      <c r="Y771" s="7"/>
      <c r="Z771" s="7"/>
    </row>
    <row r="772">
      <c r="A772" s="6"/>
      <c r="B772" s="6"/>
      <c r="C772" s="6"/>
      <c r="D772" s="6"/>
      <c r="E772" s="6"/>
      <c r="F772" s="6"/>
      <c r="G772" s="6"/>
      <c r="H772" s="6"/>
      <c r="I772" s="6"/>
      <c r="J772" s="6"/>
      <c r="K772" s="6"/>
      <c r="L772" s="80"/>
      <c r="M772" s="80"/>
      <c r="N772" s="80"/>
      <c r="O772" s="80"/>
      <c r="P772" s="6"/>
      <c r="Q772" s="6"/>
      <c r="R772" s="6"/>
      <c r="S772" s="6"/>
      <c r="T772" s="6"/>
      <c r="U772" s="6"/>
      <c r="V772" s="6"/>
      <c r="W772" s="7"/>
      <c r="X772" s="7"/>
      <c r="Y772" s="7"/>
      <c r="Z772" s="7"/>
    </row>
    <row r="773">
      <c r="A773" s="6"/>
      <c r="B773" s="6"/>
      <c r="C773" s="6"/>
      <c r="D773" s="6"/>
      <c r="E773" s="6"/>
      <c r="F773" s="6"/>
      <c r="G773" s="6"/>
      <c r="H773" s="6"/>
      <c r="I773" s="6"/>
      <c r="J773" s="6"/>
      <c r="K773" s="6"/>
      <c r="L773" s="80"/>
      <c r="M773" s="80"/>
      <c r="N773" s="80"/>
      <c r="O773" s="80"/>
      <c r="P773" s="6"/>
      <c r="Q773" s="6"/>
      <c r="R773" s="6"/>
      <c r="S773" s="6"/>
      <c r="T773" s="6"/>
      <c r="U773" s="6"/>
      <c r="V773" s="6"/>
      <c r="W773" s="7"/>
      <c r="X773" s="7"/>
      <c r="Y773" s="7"/>
      <c r="Z773" s="7"/>
    </row>
    <row r="774">
      <c r="A774" s="6"/>
      <c r="B774" s="6"/>
      <c r="C774" s="6"/>
      <c r="D774" s="6"/>
      <c r="E774" s="6"/>
      <c r="F774" s="6"/>
      <c r="G774" s="6"/>
      <c r="H774" s="6"/>
      <c r="I774" s="6"/>
      <c r="J774" s="6"/>
      <c r="K774" s="6"/>
      <c r="L774" s="80"/>
      <c r="M774" s="80"/>
      <c r="N774" s="80"/>
      <c r="O774" s="80"/>
      <c r="P774" s="6"/>
      <c r="Q774" s="6"/>
      <c r="R774" s="6"/>
      <c r="S774" s="6"/>
      <c r="T774" s="6"/>
      <c r="U774" s="6"/>
      <c r="V774" s="6"/>
      <c r="W774" s="7"/>
      <c r="X774" s="7"/>
      <c r="Y774" s="7"/>
      <c r="Z774" s="7"/>
    </row>
    <row r="775">
      <c r="A775" s="6"/>
      <c r="B775" s="6"/>
      <c r="C775" s="6"/>
      <c r="D775" s="6"/>
      <c r="E775" s="6"/>
      <c r="F775" s="6"/>
      <c r="G775" s="6"/>
      <c r="H775" s="6"/>
      <c r="I775" s="6"/>
      <c r="J775" s="6"/>
      <c r="K775" s="6"/>
      <c r="L775" s="80"/>
      <c r="M775" s="80"/>
      <c r="N775" s="80"/>
      <c r="O775" s="80"/>
      <c r="P775" s="6"/>
      <c r="Q775" s="6"/>
      <c r="R775" s="6"/>
      <c r="S775" s="6"/>
      <c r="T775" s="6"/>
      <c r="U775" s="6"/>
      <c r="V775" s="6"/>
      <c r="W775" s="7"/>
      <c r="X775" s="7"/>
      <c r="Y775" s="7"/>
      <c r="Z775" s="7"/>
    </row>
    <row r="776">
      <c r="A776" s="6"/>
      <c r="B776" s="6"/>
      <c r="C776" s="6"/>
      <c r="D776" s="6"/>
      <c r="E776" s="6"/>
      <c r="F776" s="6"/>
      <c r="G776" s="6"/>
      <c r="H776" s="6"/>
      <c r="I776" s="6"/>
      <c r="J776" s="6"/>
      <c r="K776" s="6"/>
      <c r="L776" s="80"/>
      <c r="M776" s="80"/>
      <c r="N776" s="80"/>
      <c r="O776" s="80"/>
      <c r="P776" s="6"/>
      <c r="Q776" s="6"/>
      <c r="R776" s="6"/>
      <c r="S776" s="6"/>
      <c r="T776" s="6"/>
      <c r="U776" s="6"/>
      <c r="V776" s="6"/>
      <c r="W776" s="7"/>
      <c r="X776" s="7"/>
      <c r="Y776" s="7"/>
      <c r="Z776" s="7"/>
    </row>
    <row r="777">
      <c r="A777" s="6"/>
      <c r="B777" s="6"/>
      <c r="C777" s="6"/>
      <c r="D777" s="6"/>
      <c r="E777" s="6"/>
      <c r="F777" s="6"/>
      <c r="G777" s="6"/>
      <c r="H777" s="6"/>
      <c r="I777" s="6"/>
      <c r="J777" s="6"/>
      <c r="K777" s="6"/>
      <c r="L777" s="80"/>
      <c r="M777" s="80"/>
      <c r="N777" s="80"/>
      <c r="O777" s="80"/>
      <c r="P777" s="6"/>
      <c r="Q777" s="6"/>
      <c r="R777" s="6"/>
      <c r="S777" s="6"/>
      <c r="T777" s="6"/>
      <c r="U777" s="6"/>
      <c r="V777" s="6"/>
      <c r="W777" s="7"/>
      <c r="X777" s="7"/>
      <c r="Y777" s="7"/>
      <c r="Z777" s="7"/>
    </row>
    <row r="778">
      <c r="A778" s="6"/>
      <c r="B778" s="6"/>
      <c r="C778" s="6"/>
      <c r="D778" s="6"/>
      <c r="E778" s="6"/>
      <c r="F778" s="6"/>
      <c r="G778" s="6"/>
      <c r="H778" s="6"/>
      <c r="I778" s="6"/>
      <c r="J778" s="6"/>
      <c r="K778" s="6"/>
      <c r="L778" s="80"/>
      <c r="M778" s="80"/>
      <c r="N778" s="80"/>
      <c r="O778" s="80"/>
      <c r="P778" s="6"/>
      <c r="Q778" s="6"/>
      <c r="R778" s="6"/>
      <c r="S778" s="6"/>
      <c r="T778" s="6"/>
      <c r="U778" s="6"/>
      <c r="V778" s="6"/>
      <c r="W778" s="7"/>
      <c r="X778" s="7"/>
      <c r="Y778" s="7"/>
      <c r="Z778" s="7"/>
    </row>
    <row r="779">
      <c r="A779" s="6"/>
      <c r="B779" s="6"/>
      <c r="C779" s="6"/>
      <c r="D779" s="6"/>
      <c r="E779" s="6"/>
      <c r="F779" s="6"/>
      <c r="G779" s="6"/>
      <c r="H779" s="6"/>
      <c r="I779" s="6"/>
      <c r="J779" s="6"/>
      <c r="K779" s="6"/>
      <c r="L779" s="80"/>
      <c r="M779" s="80"/>
      <c r="N779" s="80"/>
      <c r="O779" s="80"/>
      <c r="P779" s="6"/>
      <c r="Q779" s="6"/>
      <c r="R779" s="6"/>
      <c r="S779" s="6"/>
      <c r="T779" s="6"/>
      <c r="U779" s="6"/>
      <c r="V779" s="6"/>
      <c r="W779" s="7"/>
      <c r="X779" s="7"/>
      <c r="Y779" s="7"/>
      <c r="Z779" s="7"/>
    </row>
    <row r="780">
      <c r="A780" s="6"/>
      <c r="B780" s="6"/>
      <c r="C780" s="6"/>
      <c r="D780" s="6"/>
      <c r="E780" s="6"/>
      <c r="F780" s="6"/>
      <c r="G780" s="6"/>
      <c r="H780" s="6"/>
      <c r="I780" s="6"/>
      <c r="J780" s="6"/>
      <c r="K780" s="6"/>
      <c r="L780" s="80"/>
      <c r="M780" s="80"/>
      <c r="N780" s="80"/>
      <c r="O780" s="80"/>
      <c r="P780" s="6"/>
      <c r="Q780" s="6"/>
      <c r="R780" s="6"/>
      <c r="S780" s="6"/>
      <c r="T780" s="6"/>
      <c r="U780" s="6"/>
      <c r="V780" s="6"/>
      <c r="W780" s="7"/>
      <c r="X780" s="7"/>
      <c r="Y780" s="7"/>
      <c r="Z780" s="7"/>
    </row>
    <row r="781">
      <c r="A781" s="6"/>
      <c r="B781" s="6"/>
      <c r="C781" s="6"/>
      <c r="D781" s="6"/>
      <c r="E781" s="6"/>
      <c r="F781" s="6"/>
      <c r="G781" s="6"/>
      <c r="H781" s="6"/>
      <c r="I781" s="6"/>
      <c r="J781" s="6"/>
      <c r="K781" s="6"/>
      <c r="L781" s="80"/>
      <c r="M781" s="80"/>
      <c r="N781" s="80"/>
      <c r="O781" s="80"/>
      <c r="P781" s="6"/>
      <c r="Q781" s="6"/>
      <c r="R781" s="6"/>
      <c r="S781" s="6"/>
      <c r="T781" s="6"/>
      <c r="U781" s="6"/>
      <c r="V781" s="6"/>
      <c r="W781" s="7"/>
      <c r="X781" s="7"/>
      <c r="Y781" s="7"/>
      <c r="Z781" s="7"/>
    </row>
    <row r="782">
      <c r="A782" s="6"/>
      <c r="B782" s="6"/>
      <c r="C782" s="6"/>
      <c r="D782" s="6"/>
      <c r="E782" s="6"/>
      <c r="F782" s="6"/>
      <c r="G782" s="6"/>
      <c r="H782" s="6"/>
      <c r="I782" s="6"/>
      <c r="J782" s="6"/>
      <c r="K782" s="6"/>
      <c r="L782" s="80"/>
      <c r="M782" s="80"/>
      <c r="N782" s="80"/>
      <c r="O782" s="80"/>
      <c r="P782" s="6"/>
      <c r="Q782" s="6"/>
      <c r="R782" s="6"/>
      <c r="S782" s="6"/>
      <c r="T782" s="6"/>
      <c r="U782" s="6"/>
      <c r="V782" s="6"/>
      <c r="W782" s="7"/>
      <c r="X782" s="7"/>
      <c r="Y782" s="7"/>
      <c r="Z782" s="7"/>
    </row>
    <row r="783">
      <c r="A783" s="6"/>
      <c r="B783" s="6"/>
      <c r="C783" s="6"/>
      <c r="D783" s="6"/>
      <c r="E783" s="6"/>
      <c r="F783" s="6"/>
      <c r="G783" s="6"/>
      <c r="H783" s="6"/>
      <c r="I783" s="6"/>
      <c r="J783" s="6"/>
      <c r="K783" s="6"/>
      <c r="L783" s="80"/>
      <c r="M783" s="80"/>
      <c r="N783" s="80"/>
      <c r="O783" s="80"/>
      <c r="P783" s="6"/>
      <c r="Q783" s="6"/>
      <c r="R783" s="6"/>
      <c r="S783" s="6"/>
      <c r="T783" s="6"/>
      <c r="U783" s="6"/>
      <c r="V783" s="6"/>
      <c r="W783" s="7"/>
      <c r="X783" s="7"/>
      <c r="Y783" s="7"/>
      <c r="Z783" s="7"/>
    </row>
    <row r="784">
      <c r="A784" s="6"/>
      <c r="B784" s="6"/>
      <c r="C784" s="6"/>
      <c r="D784" s="6"/>
      <c r="E784" s="6"/>
      <c r="F784" s="6"/>
      <c r="G784" s="6"/>
      <c r="H784" s="6"/>
      <c r="I784" s="6"/>
      <c r="J784" s="6"/>
      <c r="K784" s="6"/>
      <c r="L784" s="80"/>
      <c r="M784" s="80"/>
      <c r="N784" s="80"/>
      <c r="O784" s="80"/>
      <c r="P784" s="6"/>
      <c r="Q784" s="6"/>
      <c r="R784" s="6"/>
      <c r="S784" s="6"/>
      <c r="T784" s="6"/>
      <c r="U784" s="6"/>
      <c r="V784" s="6"/>
      <c r="W784" s="7"/>
      <c r="X784" s="7"/>
      <c r="Y784" s="7"/>
      <c r="Z784" s="7"/>
    </row>
    <row r="785">
      <c r="A785" s="6"/>
      <c r="B785" s="6"/>
      <c r="C785" s="6"/>
      <c r="D785" s="6"/>
      <c r="E785" s="6"/>
      <c r="F785" s="6"/>
      <c r="G785" s="6"/>
      <c r="H785" s="6"/>
      <c r="I785" s="6"/>
      <c r="J785" s="6"/>
      <c r="K785" s="6"/>
      <c r="L785" s="80"/>
      <c r="M785" s="80"/>
      <c r="N785" s="80"/>
      <c r="O785" s="80"/>
      <c r="P785" s="6"/>
      <c r="Q785" s="6"/>
      <c r="R785" s="6"/>
      <c r="S785" s="6"/>
      <c r="T785" s="6"/>
      <c r="U785" s="6"/>
      <c r="V785" s="6"/>
      <c r="W785" s="7"/>
      <c r="X785" s="7"/>
      <c r="Y785" s="7"/>
      <c r="Z785" s="7"/>
    </row>
    <row r="786">
      <c r="A786" s="6"/>
      <c r="B786" s="6"/>
      <c r="C786" s="6"/>
      <c r="D786" s="6"/>
      <c r="E786" s="6"/>
      <c r="F786" s="6"/>
      <c r="G786" s="6"/>
      <c r="H786" s="6"/>
      <c r="I786" s="6"/>
      <c r="J786" s="6"/>
      <c r="K786" s="6"/>
      <c r="L786" s="80"/>
      <c r="M786" s="80"/>
      <c r="N786" s="80"/>
      <c r="O786" s="80"/>
      <c r="P786" s="6"/>
      <c r="Q786" s="6"/>
      <c r="R786" s="6"/>
      <c r="S786" s="6"/>
      <c r="T786" s="6"/>
      <c r="U786" s="6"/>
      <c r="V786" s="6"/>
      <c r="W786" s="7"/>
      <c r="X786" s="7"/>
      <c r="Y786" s="7"/>
      <c r="Z786" s="7"/>
    </row>
    <row r="787">
      <c r="A787" s="6"/>
      <c r="B787" s="6"/>
      <c r="C787" s="6"/>
      <c r="D787" s="6"/>
      <c r="E787" s="6"/>
      <c r="F787" s="6"/>
      <c r="G787" s="6"/>
      <c r="H787" s="6"/>
      <c r="I787" s="6"/>
      <c r="J787" s="6"/>
      <c r="K787" s="6"/>
      <c r="L787" s="80"/>
      <c r="M787" s="80"/>
      <c r="N787" s="80"/>
      <c r="O787" s="80"/>
      <c r="P787" s="6"/>
      <c r="Q787" s="6"/>
      <c r="R787" s="6"/>
      <c r="S787" s="6"/>
      <c r="T787" s="6"/>
      <c r="U787" s="6"/>
      <c r="V787" s="6"/>
      <c r="W787" s="7"/>
      <c r="X787" s="7"/>
      <c r="Y787" s="7"/>
      <c r="Z787" s="7"/>
    </row>
    <row r="788">
      <c r="A788" s="6"/>
      <c r="B788" s="6"/>
      <c r="C788" s="6"/>
      <c r="D788" s="6"/>
      <c r="E788" s="6"/>
      <c r="F788" s="6"/>
      <c r="G788" s="6"/>
      <c r="H788" s="6"/>
      <c r="I788" s="6"/>
      <c r="J788" s="6"/>
      <c r="K788" s="6"/>
      <c r="L788" s="80"/>
      <c r="M788" s="80"/>
      <c r="N788" s="80"/>
      <c r="O788" s="80"/>
      <c r="P788" s="6"/>
      <c r="Q788" s="6"/>
      <c r="R788" s="6"/>
      <c r="S788" s="6"/>
      <c r="T788" s="6"/>
      <c r="U788" s="6"/>
      <c r="V788" s="6"/>
      <c r="W788" s="7"/>
      <c r="X788" s="7"/>
      <c r="Y788" s="7"/>
      <c r="Z788" s="7"/>
    </row>
    <row r="789">
      <c r="A789" s="6"/>
      <c r="B789" s="6"/>
      <c r="C789" s="6"/>
      <c r="D789" s="6"/>
      <c r="E789" s="6"/>
      <c r="F789" s="6"/>
      <c r="G789" s="6"/>
      <c r="H789" s="6"/>
      <c r="I789" s="6"/>
      <c r="J789" s="6"/>
      <c r="K789" s="6"/>
      <c r="L789" s="80"/>
      <c r="M789" s="80"/>
      <c r="N789" s="80"/>
      <c r="O789" s="80"/>
      <c r="P789" s="6"/>
      <c r="Q789" s="6"/>
      <c r="R789" s="6"/>
      <c r="S789" s="6"/>
      <c r="T789" s="6"/>
      <c r="U789" s="6"/>
      <c r="V789" s="6"/>
      <c r="W789" s="7"/>
      <c r="X789" s="7"/>
      <c r="Y789" s="7"/>
      <c r="Z789" s="7"/>
    </row>
    <row r="790">
      <c r="A790" s="6"/>
      <c r="B790" s="6"/>
      <c r="C790" s="6"/>
      <c r="D790" s="6"/>
      <c r="E790" s="6"/>
      <c r="F790" s="6"/>
      <c r="G790" s="6"/>
      <c r="H790" s="6"/>
      <c r="I790" s="6"/>
      <c r="J790" s="6"/>
      <c r="K790" s="6"/>
      <c r="L790" s="80"/>
      <c r="M790" s="80"/>
      <c r="N790" s="80"/>
      <c r="O790" s="80"/>
      <c r="P790" s="6"/>
      <c r="Q790" s="6"/>
      <c r="R790" s="6"/>
      <c r="S790" s="6"/>
      <c r="T790" s="6"/>
      <c r="U790" s="6"/>
      <c r="V790" s="6"/>
      <c r="W790" s="7"/>
      <c r="X790" s="7"/>
      <c r="Y790" s="7"/>
      <c r="Z790" s="7"/>
    </row>
    <row r="791">
      <c r="A791" s="6"/>
      <c r="B791" s="6"/>
      <c r="C791" s="6"/>
      <c r="D791" s="6"/>
      <c r="E791" s="6"/>
      <c r="F791" s="6"/>
      <c r="G791" s="6"/>
      <c r="H791" s="6"/>
      <c r="I791" s="6"/>
      <c r="J791" s="6"/>
      <c r="K791" s="6"/>
      <c r="L791" s="80"/>
      <c r="M791" s="80"/>
      <c r="N791" s="80"/>
      <c r="O791" s="80"/>
      <c r="P791" s="6"/>
      <c r="Q791" s="6"/>
      <c r="R791" s="6"/>
      <c r="S791" s="6"/>
      <c r="T791" s="6"/>
      <c r="U791" s="6"/>
      <c r="V791" s="6"/>
      <c r="W791" s="7"/>
      <c r="X791" s="7"/>
      <c r="Y791" s="7"/>
      <c r="Z791" s="7"/>
    </row>
    <row r="792">
      <c r="A792" s="6"/>
      <c r="B792" s="6"/>
      <c r="C792" s="6"/>
      <c r="D792" s="6"/>
      <c r="E792" s="6"/>
      <c r="F792" s="6"/>
      <c r="G792" s="6"/>
      <c r="H792" s="6"/>
      <c r="I792" s="6"/>
      <c r="J792" s="6"/>
      <c r="K792" s="6"/>
      <c r="L792" s="80"/>
      <c r="M792" s="80"/>
      <c r="N792" s="80"/>
      <c r="O792" s="80"/>
      <c r="P792" s="6"/>
      <c r="Q792" s="6"/>
      <c r="R792" s="6"/>
      <c r="S792" s="6"/>
      <c r="T792" s="6"/>
      <c r="U792" s="6"/>
      <c r="V792" s="6"/>
      <c r="W792" s="7"/>
      <c r="X792" s="7"/>
      <c r="Y792" s="7"/>
      <c r="Z792" s="7"/>
    </row>
    <row r="793">
      <c r="A793" s="6"/>
      <c r="B793" s="6"/>
      <c r="C793" s="6"/>
      <c r="D793" s="6"/>
      <c r="E793" s="6"/>
      <c r="F793" s="6"/>
      <c r="G793" s="6"/>
      <c r="H793" s="6"/>
      <c r="I793" s="6"/>
      <c r="J793" s="6"/>
      <c r="K793" s="6"/>
      <c r="L793" s="80"/>
      <c r="M793" s="80"/>
      <c r="N793" s="80"/>
      <c r="O793" s="80"/>
      <c r="P793" s="6"/>
      <c r="Q793" s="6"/>
      <c r="R793" s="6"/>
      <c r="S793" s="6"/>
      <c r="T793" s="6"/>
      <c r="U793" s="6"/>
      <c r="V793" s="6"/>
      <c r="W793" s="7"/>
      <c r="X793" s="7"/>
      <c r="Y793" s="7"/>
      <c r="Z793" s="7"/>
    </row>
    <row r="794">
      <c r="A794" s="6"/>
      <c r="B794" s="6"/>
      <c r="C794" s="6"/>
      <c r="D794" s="6"/>
      <c r="E794" s="6"/>
      <c r="F794" s="6"/>
      <c r="G794" s="6"/>
      <c r="H794" s="6"/>
      <c r="I794" s="6"/>
      <c r="J794" s="6"/>
      <c r="K794" s="6"/>
      <c r="L794" s="80"/>
      <c r="M794" s="80"/>
      <c r="N794" s="80"/>
      <c r="O794" s="80"/>
      <c r="P794" s="6"/>
      <c r="Q794" s="6"/>
      <c r="R794" s="6"/>
      <c r="S794" s="6"/>
      <c r="T794" s="6"/>
      <c r="U794" s="6"/>
      <c r="V794" s="6"/>
      <c r="W794" s="7"/>
      <c r="X794" s="7"/>
      <c r="Y794" s="7"/>
      <c r="Z794" s="7"/>
    </row>
    <row r="795">
      <c r="A795" s="6"/>
      <c r="B795" s="6"/>
      <c r="C795" s="6"/>
      <c r="D795" s="6"/>
      <c r="E795" s="6"/>
      <c r="F795" s="6"/>
      <c r="G795" s="6"/>
      <c r="H795" s="6"/>
      <c r="I795" s="6"/>
      <c r="J795" s="6"/>
      <c r="K795" s="6"/>
      <c r="L795" s="80"/>
      <c r="M795" s="80"/>
      <c r="N795" s="80"/>
      <c r="O795" s="80"/>
      <c r="P795" s="6"/>
      <c r="Q795" s="6"/>
      <c r="R795" s="6"/>
      <c r="S795" s="6"/>
      <c r="T795" s="6"/>
      <c r="U795" s="6"/>
      <c r="V795" s="6"/>
      <c r="W795" s="7"/>
      <c r="X795" s="7"/>
      <c r="Y795" s="7"/>
      <c r="Z795" s="7"/>
    </row>
    <row r="796">
      <c r="A796" s="6"/>
      <c r="B796" s="6"/>
      <c r="C796" s="6"/>
      <c r="D796" s="6"/>
      <c r="E796" s="6"/>
      <c r="F796" s="6"/>
      <c r="G796" s="6"/>
      <c r="H796" s="6"/>
      <c r="I796" s="6"/>
      <c r="J796" s="6"/>
      <c r="K796" s="6"/>
      <c r="L796" s="80"/>
      <c r="M796" s="80"/>
      <c r="N796" s="80"/>
      <c r="O796" s="80"/>
      <c r="P796" s="6"/>
      <c r="Q796" s="6"/>
      <c r="R796" s="6"/>
      <c r="S796" s="6"/>
      <c r="T796" s="6"/>
      <c r="U796" s="6"/>
      <c r="V796" s="6"/>
      <c r="W796" s="7"/>
      <c r="X796" s="7"/>
      <c r="Y796" s="7"/>
      <c r="Z796" s="7"/>
    </row>
    <row r="797">
      <c r="A797" s="6"/>
      <c r="B797" s="6"/>
      <c r="C797" s="6"/>
      <c r="D797" s="6"/>
      <c r="E797" s="6"/>
      <c r="F797" s="6"/>
      <c r="G797" s="6"/>
      <c r="H797" s="6"/>
      <c r="I797" s="6"/>
      <c r="J797" s="6"/>
      <c r="K797" s="6"/>
      <c r="L797" s="80"/>
      <c r="M797" s="80"/>
      <c r="N797" s="80"/>
      <c r="O797" s="80"/>
      <c r="P797" s="6"/>
      <c r="Q797" s="6"/>
      <c r="R797" s="6"/>
      <c r="S797" s="6"/>
      <c r="T797" s="6"/>
      <c r="U797" s="6"/>
      <c r="V797" s="6"/>
      <c r="W797" s="7"/>
      <c r="X797" s="7"/>
      <c r="Y797" s="7"/>
      <c r="Z797" s="7"/>
    </row>
    <row r="798">
      <c r="A798" s="6"/>
      <c r="B798" s="6"/>
      <c r="C798" s="6"/>
      <c r="D798" s="6"/>
      <c r="E798" s="6"/>
      <c r="F798" s="6"/>
      <c r="G798" s="6"/>
      <c r="H798" s="6"/>
      <c r="I798" s="6"/>
      <c r="J798" s="6"/>
      <c r="K798" s="6"/>
      <c r="L798" s="80"/>
      <c r="M798" s="80"/>
      <c r="N798" s="80"/>
      <c r="O798" s="80"/>
      <c r="P798" s="6"/>
      <c r="Q798" s="6"/>
      <c r="R798" s="6"/>
      <c r="S798" s="6"/>
      <c r="T798" s="6"/>
      <c r="U798" s="6"/>
      <c r="V798" s="6"/>
      <c r="W798" s="7"/>
      <c r="X798" s="7"/>
      <c r="Y798" s="7"/>
      <c r="Z798" s="7"/>
    </row>
    <row r="799">
      <c r="A799" s="6"/>
      <c r="B799" s="6"/>
      <c r="C799" s="6"/>
      <c r="D799" s="6"/>
      <c r="E799" s="6"/>
      <c r="F799" s="6"/>
      <c r="G799" s="6"/>
      <c r="H799" s="6"/>
      <c r="I799" s="6"/>
      <c r="J799" s="6"/>
      <c r="K799" s="6"/>
      <c r="L799" s="80"/>
      <c r="M799" s="80"/>
      <c r="N799" s="80"/>
      <c r="O799" s="80"/>
      <c r="P799" s="6"/>
      <c r="Q799" s="6"/>
      <c r="R799" s="6"/>
      <c r="S799" s="6"/>
      <c r="T799" s="6"/>
      <c r="U799" s="6"/>
      <c r="V799" s="6"/>
      <c r="W799" s="7"/>
      <c r="X799" s="7"/>
      <c r="Y799" s="7"/>
      <c r="Z799" s="7"/>
    </row>
    <row r="800">
      <c r="A800" s="6"/>
      <c r="B800" s="6"/>
      <c r="C800" s="6"/>
      <c r="D800" s="6"/>
      <c r="E800" s="6"/>
      <c r="F800" s="6"/>
      <c r="G800" s="6"/>
      <c r="H800" s="6"/>
      <c r="I800" s="6"/>
      <c r="J800" s="6"/>
      <c r="K800" s="6"/>
      <c r="L800" s="80"/>
      <c r="M800" s="80"/>
      <c r="N800" s="80"/>
      <c r="O800" s="80"/>
      <c r="P800" s="6"/>
      <c r="Q800" s="6"/>
      <c r="R800" s="6"/>
      <c r="S800" s="6"/>
      <c r="T800" s="6"/>
      <c r="U800" s="6"/>
      <c r="V800" s="6"/>
      <c r="W800" s="7"/>
      <c r="X800" s="7"/>
      <c r="Y800" s="7"/>
      <c r="Z800" s="7"/>
    </row>
    <row r="801">
      <c r="A801" s="6"/>
      <c r="B801" s="6"/>
      <c r="C801" s="6"/>
      <c r="D801" s="6"/>
      <c r="E801" s="6"/>
      <c r="F801" s="6"/>
      <c r="G801" s="6"/>
      <c r="H801" s="6"/>
      <c r="I801" s="6"/>
      <c r="J801" s="6"/>
      <c r="K801" s="6"/>
      <c r="L801" s="80"/>
      <c r="M801" s="80"/>
      <c r="N801" s="80"/>
      <c r="O801" s="80"/>
      <c r="P801" s="6"/>
      <c r="Q801" s="6"/>
      <c r="R801" s="6"/>
      <c r="S801" s="6"/>
      <c r="T801" s="6"/>
      <c r="U801" s="6"/>
      <c r="V801" s="6"/>
      <c r="W801" s="7"/>
      <c r="X801" s="7"/>
      <c r="Y801" s="7"/>
      <c r="Z801" s="7"/>
    </row>
    <row r="802">
      <c r="A802" s="6"/>
      <c r="B802" s="6"/>
      <c r="C802" s="6"/>
      <c r="D802" s="6"/>
      <c r="E802" s="6"/>
      <c r="F802" s="6"/>
      <c r="G802" s="6"/>
      <c r="H802" s="6"/>
      <c r="I802" s="6"/>
      <c r="J802" s="6"/>
      <c r="K802" s="6"/>
      <c r="L802" s="80"/>
      <c r="M802" s="80"/>
      <c r="N802" s="80"/>
      <c r="O802" s="80"/>
      <c r="P802" s="6"/>
      <c r="Q802" s="6"/>
      <c r="R802" s="6"/>
      <c r="S802" s="6"/>
      <c r="T802" s="6"/>
      <c r="U802" s="6"/>
      <c r="V802" s="6"/>
      <c r="W802" s="7"/>
      <c r="X802" s="7"/>
      <c r="Y802" s="7"/>
      <c r="Z802" s="7"/>
    </row>
    <row r="803">
      <c r="A803" s="6"/>
      <c r="B803" s="6"/>
      <c r="C803" s="6"/>
      <c r="D803" s="6"/>
      <c r="E803" s="6"/>
      <c r="F803" s="6"/>
      <c r="G803" s="6"/>
      <c r="H803" s="6"/>
      <c r="I803" s="6"/>
      <c r="J803" s="6"/>
      <c r="K803" s="6"/>
      <c r="L803" s="80"/>
      <c r="M803" s="80"/>
      <c r="N803" s="80"/>
      <c r="O803" s="80"/>
      <c r="P803" s="6"/>
      <c r="Q803" s="6"/>
      <c r="R803" s="6"/>
      <c r="S803" s="6"/>
      <c r="T803" s="6"/>
      <c r="U803" s="6"/>
      <c r="V803" s="6"/>
      <c r="W803" s="7"/>
      <c r="X803" s="7"/>
      <c r="Y803" s="7"/>
      <c r="Z803" s="7"/>
    </row>
    <row r="804">
      <c r="A804" s="6"/>
      <c r="B804" s="6"/>
      <c r="C804" s="6"/>
      <c r="D804" s="6"/>
      <c r="E804" s="6"/>
      <c r="F804" s="6"/>
      <c r="G804" s="6"/>
      <c r="H804" s="6"/>
      <c r="I804" s="6"/>
      <c r="J804" s="6"/>
      <c r="K804" s="6"/>
      <c r="L804" s="80"/>
      <c r="M804" s="80"/>
      <c r="N804" s="80"/>
      <c r="O804" s="80"/>
      <c r="P804" s="6"/>
      <c r="Q804" s="6"/>
      <c r="R804" s="6"/>
      <c r="S804" s="6"/>
      <c r="T804" s="6"/>
      <c r="U804" s="6"/>
      <c r="V804" s="6"/>
      <c r="W804" s="7"/>
      <c r="X804" s="7"/>
      <c r="Y804" s="7"/>
      <c r="Z804" s="7"/>
    </row>
    <row r="805">
      <c r="A805" s="6"/>
      <c r="B805" s="6"/>
      <c r="C805" s="6"/>
      <c r="D805" s="6"/>
      <c r="E805" s="6"/>
      <c r="F805" s="6"/>
      <c r="G805" s="6"/>
      <c r="H805" s="6"/>
      <c r="I805" s="6"/>
      <c r="J805" s="6"/>
      <c r="K805" s="6"/>
      <c r="L805" s="80"/>
      <c r="M805" s="80"/>
      <c r="N805" s="80"/>
      <c r="O805" s="80"/>
      <c r="P805" s="6"/>
      <c r="Q805" s="6"/>
      <c r="R805" s="6"/>
      <c r="S805" s="6"/>
      <c r="T805" s="6"/>
      <c r="U805" s="6"/>
      <c r="V805" s="6"/>
      <c r="W805" s="7"/>
      <c r="X805" s="7"/>
      <c r="Y805" s="7"/>
      <c r="Z805" s="7"/>
    </row>
    <row r="806">
      <c r="A806" s="6"/>
      <c r="B806" s="6"/>
      <c r="C806" s="6"/>
      <c r="D806" s="6"/>
      <c r="E806" s="6"/>
      <c r="F806" s="6"/>
      <c r="G806" s="6"/>
      <c r="H806" s="6"/>
      <c r="I806" s="6"/>
      <c r="J806" s="6"/>
      <c r="K806" s="6"/>
      <c r="L806" s="80"/>
      <c r="M806" s="80"/>
      <c r="N806" s="80"/>
      <c r="O806" s="80"/>
      <c r="P806" s="6"/>
      <c r="Q806" s="6"/>
      <c r="R806" s="6"/>
      <c r="S806" s="6"/>
      <c r="T806" s="6"/>
      <c r="U806" s="6"/>
      <c r="V806" s="6"/>
      <c r="W806" s="7"/>
      <c r="X806" s="7"/>
      <c r="Y806" s="7"/>
      <c r="Z806" s="7"/>
    </row>
    <row r="807">
      <c r="A807" s="6"/>
      <c r="B807" s="6"/>
      <c r="C807" s="6"/>
      <c r="D807" s="6"/>
      <c r="E807" s="6"/>
      <c r="F807" s="6"/>
      <c r="G807" s="6"/>
      <c r="H807" s="6"/>
      <c r="I807" s="6"/>
      <c r="J807" s="6"/>
      <c r="K807" s="6"/>
      <c r="L807" s="80"/>
      <c r="M807" s="80"/>
      <c r="N807" s="80"/>
      <c r="O807" s="80"/>
      <c r="P807" s="6"/>
      <c r="Q807" s="6"/>
      <c r="R807" s="6"/>
      <c r="S807" s="6"/>
      <c r="T807" s="6"/>
      <c r="U807" s="6"/>
      <c r="V807" s="6"/>
      <c r="W807" s="7"/>
      <c r="X807" s="7"/>
      <c r="Y807" s="7"/>
      <c r="Z807" s="7"/>
    </row>
    <row r="808">
      <c r="A808" s="6"/>
      <c r="B808" s="6"/>
      <c r="C808" s="6"/>
      <c r="D808" s="6"/>
      <c r="E808" s="6"/>
      <c r="F808" s="6"/>
      <c r="G808" s="6"/>
      <c r="H808" s="6"/>
      <c r="I808" s="6"/>
      <c r="J808" s="6"/>
      <c r="K808" s="6"/>
      <c r="L808" s="80"/>
      <c r="M808" s="80"/>
      <c r="N808" s="80"/>
      <c r="O808" s="80"/>
      <c r="P808" s="6"/>
      <c r="Q808" s="6"/>
      <c r="R808" s="6"/>
      <c r="S808" s="6"/>
      <c r="T808" s="6"/>
      <c r="U808" s="6"/>
      <c r="V808" s="6"/>
      <c r="W808" s="7"/>
      <c r="X808" s="7"/>
      <c r="Y808" s="7"/>
      <c r="Z808" s="7"/>
    </row>
    <row r="809">
      <c r="A809" s="6"/>
      <c r="B809" s="6"/>
      <c r="C809" s="6"/>
      <c r="D809" s="6"/>
      <c r="E809" s="6"/>
      <c r="F809" s="6"/>
      <c r="G809" s="6"/>
      <c r="H809" s="6"/>
      <c r="I809" s="6"/>
      <c r="J809" s="6"/>
      <c r="K809" s="6"/>
      <c r="L809" s="80"/>
      <c r="M809" s="80"/>
      <c r="N809" s="80"/>
      <c r="O809" s="80"/>
      <c r="P809" s="6"/>
      <c r="Q809" s="6"/>
      <c r="R809" s="6"/>
      <c r="S809" s="6"/>
      <c r="T809" s="6"/>
      <c r="U809" s="6"/>
      <c r="V809" s="6"/>
      <c r="W809" s="7"/>
      <c r="X809" s="7"/>
      <c r="Y809" s="7"/>
      <c r="Z809" s="7"/>
    </row>
    <row r="810">
      <c r="A810" s="6"/>
      <c r="B810" s="6"/>
      <c r="C810" s="6"/>
      <c r="D810" s="6"/>
      <c r="E810" s="6"/>
      <c r="F810" s="6"/>
      <c r="G810" s="6"/>
      <c r="H810" s="6"/>
      <c r="I810" s="6"/>
      <c r="J810" s="6"/>
      <c r="K810" s="6"/>
      <c r="L810" s="80"/>
      <c r="M810" s="80"/>
      <c r="N810" s="80"/>
      <c r="O810" s="80"/>
      <c r="P810" s="6"/>
      <c r="Q810" s="6"/>
      <c r="R810" s="6"/>
      <c r="S810" s="6"/>
      <c r="T810" s="6"/>
      <c r="U810" s="6"/>
      <c r="V810" s="6"/>
      <c r="W810" s="7"/>
      <c r="X810" s="7"/>
      <c r="Y810" s="7"/>
      <c r="Z810" s="7"/>
    </row>
    <row r="811">
      <c r="A811" s="6"/>
      <c r="B811" s="6"/>
      <c r="C811" s="6"/>
      <c r="D811" s="6"/>
      <c r="E811" s="6"/>
      <c r="F811" s="6"/>
      <c r="G811" s="6"/>
      <c r="H811" s="6"/>
      <c r="I811" s="6"/>
      <c r="J811" s="6"/>
      <c r="K811" s="6"/>
      <c r="L811" s="80"/>
      <c r="M811" s="80"/>
      <c r="N811" s="80"/>
      <c r="O811" s="80"/>
      <c r="P811" s="6"/>
      <c r="Q811" s="6"/>
      <c r="R811" s="6"/>
      <c r="S811" s="6"/>
      <c r="T811" s="6"/>
      <c r="U811" s="6"/>
      <c r="V811" s="6"/>
      <c r="W811" s="7"/>
      <c r="X811" s="7"/>
      <c r="Y811" s="7"/>
      <c r="Z811" s="7"/>
    </row>
    <row r="812">
      <c r="A812" s="6"/>
      <c r="B812" s="6"/>
      <c r="C812" s="6"/>
      <c r="D812" s="6"/>
      <c r="E812" s="6"/>
      <c r="F812" s="6"/>
      <c r="G812" s="6"/>
      <c r="H812" s="6"/>
      <c r="I812" s="6"/>
      <c r="J812" s="6"/>
      <c r="K812" s="6"/>
      <c r="L812" s="80"/>
      <c r="M812" s="80"/>
      <c r="N812" s="80"/>
      <c r="O812" s="80"/>
      <c r="P812" s="6"/>
      <c r="Q812" s="6"/>
      <c r="R812" s="6"/>
      <c r="S812" s="6"/>
      <c r="T812" s="6"/>
      <c r="U812" s="6"/>
      <c r="V812" s="6"/>
      <c r="W812" s="7"/>
      <c r="X812" s="7"/>
      <c r="Y812" s="7"/>
      <c r="Z812" s="7"/>
    </row>
    <row r="813">
      <c r="A813" s="6"/>
      <c r="B813" s="6"/>
      <c r="C813" s="6"/>
      <c r="D813" s="6"/>
      <c r="E813" s="6"/>
      <c r="F813" s="6"/>
      <c r="G813" s="6"/>
      <c r="H813" s="6"/>
      <c r="I813" s="6"/>
      <c r="J813" s="6"/>
      <c r="K813" s="6"/>
      <c r="L813" s="80"/>
      <c r="M813" s="80"/>
      <c r="N813" s="80"/>
      <c r="O813" s="80"/>
      <c r="P813" s="6"/>
      <c r="Q813" s="6"/>
      <c r="R813" s="6"/>
      <c r="S813" s="6"/>
      <c r="T813" s="6"/>
      <c r="U813" s="6"/>
      <c r="V813" s="6"/>
      <c r="W813" s="7"/>
      <c r="X813" s="7"/>
      <c r="Y813" s="7"/>
      <c r="Z813" s="7"/>
    </row>
    <row r="814">
      <c r="A814" s="6"/>
      <c r="B814" s="6"/>
      <c r="C814" s="6"/>
      <c r="D814" s="6"/>
      <c r="E814" s="6"/>
      <c r="F814" s="6"/>
      <c r="G814" s="6"/>
      <c r="H814" s="6"/>
      <c r="I814" s="6"/>
      <c r="J814" s="6"/>
      <c r="K814" s="6"/>
      <c r="L814" s="80"/>
      <c r="M814" s="80"/>
      <c r="N814" s="80"/>
      <c r="O814" s="80"/>
      <c r="P814" s="6"/>
      <c r="Q814" s="6"/>
      <c r="R814" s="6"/>
      <c r="S814" s="6"/>
      <c r="T814" s="6"/>
      <c r="U814" s="6"/>
      <c r="V814" s="6"/>
      <c r="W814" s="7"/>
      <c r="X814" s="7"/>
      <c r="Y814" s="7"/>
      <c r="Z814" s="7"/>
    </row>
    <row r="815">
      <c r="A815" s="6"/>
      <c r="B815" s="6"/>
      <c r="C815" s="6"/>
      <c r="D815" s="6"/>
      <c r="E815" s="6"/>
      <c r="F815" s="6"/>
      <c r="G815" s="6"/>
      <c r="H815" s="6"/>
      <c r="I815" s="6"/>
      <c r="J815" s="6"/>
      <c r="K815" s="6"/>
      <c r="L815" s="80"/>
      <c r="M815" s="80"/>
      <c r="N815" s="80"/>
      <c r="O815" s="80"/>
      <c r="P815" s="6"/>
      <c r="Q815" s="6"/>
      <c r="R815" s="6"/>
      <c r="S815" s="6"/>
      <c r="T815" s="6"/>
      <c r="U815" s="6"/>
      <c r="V815" s="6"/>
      <c r="W815" s="7"/>
      <c r="X815" s="7"/>
      <c r="Y815" s="7"/>
      <c r="Z815" s="7"/>
    </row>
    <row r="816">
      <c r="A816" s="6"/>
      <c r="B816" s="6"/>
      <c r="C816" s="6"/>
      <c r="D816" s="6"/>
      <c r="E816" s="6"/>
      <c r="F816" s="6"/>
      <c r="G816" s="6"/>
      <c r="H816" s="6"/>
      <c r="I816" s="6"/>
      <c r="J816" s="6"/>
      <c r="K816" s="6"/>
      <c r="L816" s="80"/>
      <c r="M816" s="80"/>
      <c r="N816" s="80"/>
      <c r="O816" s="80"/>
      <c r="P816" s="6"/>
      <c r="Q816" s="6"/>
      <c r="R816" s="6"/>
      <c r="S816" s="6"/>
      <c r="T816" s="6"/>
      <c r="U816" s="6"/>
      <c r="V816" s="6"/>
      <c r="W816" s="7"/>
      <c r="X816" s="7"/>
      <c r="Y816" s="7"/>
      <c r="Z816" s="7"/>
    </row>
    <row r="817">
      <c r="A817" s="6"/>
      <c r="B817" s="6"/>
      <c r="C817" s="6"/>
      <c r="D817" s="6"/>
      <c r="E817" s="6"/>
      <c r="F817" s="6"/>
      <c r="G817" s="6"/>
      <c r="H817" s="6"/>
      <c r="I817" s="6"/>
      <c r="J817" s="6"/>
      <c r="K817" s="6"/>
      <c r="L817" s="80"/>
      <c r="M817" s="80"/>
      <c r="N817" s="80"/>
      <c r="O817" s="80"/>
      <c r="P817" s="6"/>
      <c r="Q817" s="6"/>
      <c r="R817" s="6"/>
      <c r="S817" s="6"/>
      <c r="T817" s="6"/>
      <c r="U817" s="6"/>
      <c r="V817" s="6"/>
      <c r="W817" s="7"/>
      <c r="X817" s="7"/>
      <c r="Y817" s="7"/>
      <c r="Z817" s="7"/>
    </row>
    <row r="818">
      <c r="A818" s="6"/>
      <c r="B818" s="6"/>
      <c r="C818" s="6"/>
      <c r="D818" s="6"/>
      <c r="E818" s="6"/>
      <c r="F818" s="6"/>
      <c r="G818" s="6"/>
      <c r="H818" s="6"/>
      <c r="I818" s="6"/>
      <c r="J818" s="6"/>
      <c r="K818" s="6"/>
      <c r="L818" s="80"/>
      <c r="M818" s="80"/>
      <c r="N818" s="80"/>
      <c r="O818" s="80"/>
      <c r="P818" s="6"/>
      <c r="Q818" s="6"/>
      <c r="R818" s="6"/>
      <c r="S818" s="6"/>
      <c r="T818" s="6"/>
      <c r="U818" s="6"/>
      <c r="V818" s="6"/>
      <c r="W818" s="7"/>
      <c r="X818" s="7"/>
      <c r="Y818" s="7"/>
      <c r="Z818" s="7"/>
    </row>
    <row r="819">
      <c r="A819" s="6"/>
      <c r="B819" s="6"/>
      <c r="C819" s="6"/>
      <c r="D819" s="6"/>
      <c r="E819" s="6"/>
      <c r="F819" s="6"/>
      <c r="G819" s="6"/>
      <c r="H819" s="6"/>
      <c r="I819" s="6"/>
      <c r="J819" s="6"/>
      <c r="K819" s="6"/>
      <c r="L819" s="80"/>
      <c r="M819" s="80"/>
      <c r="N819" s="80"/>
      <c r="O819" s="80"/>
      <c r="P819" s="6"/>
      <c r="Q819" s="6"/>
      <c r="R819" s="6"/>
      <c r="S819" s="6"/>
      <c r="T819" s="6"/>
      <c r="U819" s="6"/>
      <c r="V819" s="6"/>
      <c r="W819" s="7"/>
      <c r="X819" s="7"/>
      <c r="Y819" s="7"/>
      <c r="Z819" s="7"/>
    </row>
    <row r="820">
      <c r="A820" s="6"/>
      <c r="B820" s="6"/>
      <c r="C820" s="6"/>
      <c r="D820" s="6"/>
      <c r="E820" s="6"/>
      <c r="F820" s="6"/>
      <c r="G820" s="6"/>
      <c r="H820" s="6"/>
      <c r="I820" s="6"/>
      <c r="J820" s="6"/>
      <c r="K820" s="6"/>
      <c r="L820" s="80"/>
      <c r="M820" s="80"/>
      <c r="N820" s="80"/>
      <c r="O820" s="80"/>
      <c r="P820" s="6"/>
      <c r="Q820" s="6"/>
      <c r="R820" s="6"/>
      <c r="S820" s="6"/>
      <c r="T820" s="6"/>
      <c r="U820" s="6"/>
      <c r="V820" s="6"/>
      <c r="W820" s="7"/>
      <c r="X820" s="7"/>
      <c r="Y820" s="7"/>
      <c r="Z820" s="7"/>
    </row>
    <row r="821">
      <c r="A821" s="6"/>
      <c r="B821" s="6"/>
      <c r="C821" s="6"/>
      <c r="D821" s="6"/>
      <c r="E821" s="6"/>
      <c r="F821" s="6"/>
      <c r="G821" s="6"/>
      <c r="H821" s="6"/>
      <c r="I821" s="6"/>
      <c r="J821" s="6"/>
      <c r="K821" s="6"/>
      <c r="L821" s="80"/>
      <c r="M821" s="80"/>
      <c r="N821" s="80"/>
      <c r="O821" s="80"/>
      <c r="P821" s="6"/>
      <c r="Q821" s="6"/>
      <c r="R821" s="6"/>
      <c r="S821" s="6"/>
      <c r="T821" s="6"/>
      <c r="U821" s="6"/>
      <c r="V821" s="6"/>
      <c r="W821" s="7"/>
      <c r="X821" s="7"/>
      <c r="Y821" s="7"/>
      <c r="Z821" s="7"/>
    </row>
    <row r="822">
      <c r="A822" s="6"/>
      <c r="B822" s="6"/>
      <c r="C822" s="6"/>
      <c r="D822" s="6"/>
      <c r="E822" s="6"/>
      <c r="F822" s="6"/>
      <c r="G822" s="6"/>
      <c r="H822" s="6"/>
      <c r="I822" s="6"/>
      <c r="J822" s="6"/>
      <c r="K822" s="6"/>
      <c r="L822" s="80"/>
      <c r="M822" s="80"/>
      <c r="N822" s="80"/>
      <c r="O822" s="80"/>
      <c r="P822" s="6"/>
      <c r="Q822" s="6"/>
      <c r="R822" s="6"/>
      <c r="S822" s="6"/>
      <c r="T822" s="6"/>
      <c r="U822" s="6"/>
      <c r="V822" s="6"/>
      <c r="W822" s="7"/>
      <c r="X822" s="7"/>
      <c r="Y822" s="7"/>
      <c r="Z822" s="7"/>
    </row>
    <row r="823">
      <c r="A823" s="6"/>
      <c r="B823" s="6"/>
      <c r="C823" s="6"/>
      <c r="D823" s="6"/>
      <c r="E823" s="6"/>
      <c r="F823" s="6"/>
      <c r="G823" s="6"/>
      <c r="H823" s="6"/>
      <c r="I823" s="6"/>
      <c r="J823" s="6"/>
      <c r="K823" s="6"/>
      <c r="L823" s="80"/>
      <c r="M823" s="80"/>
      <c r="N823" s="80"/>
      <c r="O823" s="80"/>
      <c r="P823" s="6"/>
      <c r="Q823" s="6"/>
      <c r="R823" s="6"/>
      <c r="S823" s="6"/>
      <c r="T823" s="6"/>
      <c r="U823" s="6"/>
      <c r="V823" s="6"/>
      <c r="W823" s="7"/>
      <c r="X823" s="7"/>
      <c r="Y823" s="7"/>
      <c r="Z823" s="7"/>
    </row>
    <row r="824">
      <c r="A824" s="6"/>
      <c r="B824" s="6"/>
      <c r="C824" s="6"/>
      <c r="D824" s="6"/>
      <c r="E824" s="6"/>
      <c r="F824" s="6"/>
      <c r="G824" s="6"/>
      <c r="H824" s="6"/>
      <c r="I824" s="6"/>
      <c r="J824" s="6"/>
      <c r="K824" s="6"/>
      <c r="L824" s="80"/>
      <c r="M824" s="80"/>
      <c r="N824" s="80"/>
      <c r="O824" s="80"/>
      <c r="P824" s="6"/>
      <c r="Q824" s="6"/>
      <c r="R824" s="6"/>
      <c r="S824" s="6"/>
      <c r="T824" s="6"/>
      <c r="U824" s="6"/>
      <c r="V824" s="6"/>
      <c r="W824" s="7"/>
      <c r="X824" s="7"/>
      <c r="Y824" s="7"/>
      <c r="Z824" s="7"/>
    </row>
    <row r="825">
      <c r="A825" s="6"/>
      <c r="B825" s="6"/>
      <c r="C825" s="6"/>
      <c r="D825" s="6"/>
      <c r="E825" s="6"/>
      <c r="F825" s="6"/>
      <c r="G825" s="6"/>
      <c r="H825" s="6"/>
      <c r="I825" s="6"/>
      <c r="J825" s="6"/>
      <c r="K825" s="6"/>
      <c r="L825" s="80"/>
      <c r="M825" s="80"/>
      <c r="N825" s="80"/>
      <c r="O825" s="80"/>
      <c r="P825" s="6"/>
      <c r="Q825" s="6"/>
      <c r="R825" s="6"/>
      <c r="S825" s="6"/>
      <c r="T825" s="6"/>
      <c r="U825" s="6"/>
      <c r="V825" s="6"/>
      <c r="W825" s="7"/>
      <c r="X825" s="7"/>
      <c r="Y825" s="7"/>
      <c r="Z825" s="7"/>
    </row>
    <row r="826">
      <c r="A826" s="6"/>
      <c r="B826" s="6"/>
      <c r="C826" s="6"/>
      <c r="D826" s="6"/>
      <c r="E826" s="6"/>
      <c r="F826" s="6"/>
      <c r="G826" s="6"/>
      <c r="H826" s="6"/>
      <c r="I826" s="6"/>
      <c r="J826" s="6"/>
      <c r="K826" s="6"/>
      <c r="L826" s="80"/>
      <c r="M826" s="80"/>
      <c r="N826" s="80"/>
      <c r="O826" s="80"/>
      <c r="P826" s="6"/>
      <c r="Q826" s="6"/>
      <c r="R826" s="6"/>
      <c r="S826" s="6"/>
      <c r="T826" s="6"/>
      <c r="U826" s="6"/>
      <c r="V826" s="6"/>
      <c r="W826" s="7"/>
      <c r="X826" s="7"/>
      <c r="Y826" s="7"/>
      <c r="Z826" s="7"/>
    </row>
    <row r="827">
      <c r="A827" s="6"/>
      <c r="B827" s="6"/>
      <c r="C827" s="6"/>
      <c r="D827" s="6"/>
      <c r="E827" s="6"/>
      <c r="F827" s="6"/>
      <c r="G827" s="6"/>
      <c r="H827" s="6"/>
      <c r="I827" s="6"/>
      <c r="J827" s="6"/>
      <c r="K827" s="6"/>
      <c r="L827" s="80"/>
      <c r="M827" s="80"/>
      <c r="N827" s="80"/>
      <c r="O827" s="80"/>
      <c r="P827" s="6"/>
      <c r="Q827" s="6"/>
      <c r="R827" s="6"/>
      <c r="S827" s="6"/>
      <c r="T827" s="6"/>
      <c r="U827" s="6"/>
      <c r="V827" s="6"/>
      <c r="W827" s="7"/>
      <c r="X827" s="7"/>
      <c r="Y827" s="7"/>
      <c r="Z827" s="7"/>
    </row>
    <row r="828">
      <c r="A828" s="6"/>
      <c r="B828" s="6"/>
      <c r="C828" s="6"/>
      <c r="D828" s="6"/>
      <c r="E828" s="6"/>
      <c r="F828" s="6"/>
      <c r="G828" s="6"/>
      <c r="H828" s="6"/>
      <c r="I828" s="6"/>
      <c r="J828" s="6"/>
      <c r="K828" s="6"/>
      <c r="L828" s="80"/>
      <c r="M828" s="80"/>
      <c r="N828" s="80"/>
      <c r="O828" s="80"/>
      <c r="P828" s="6"/>
      <c r="Q828" s="6"/>
      <c r="R828" s="6"/>
      <c r="S828" s="6"/>
      <c r="T828" s="6"/>
      <c r="U828" s="6"/>
      <c r="V828" s="6"/>
      <c r="W828" s="7"/>
      <c r="X828" s="7"/>
      <c r="Y828" s="7"/>
      <c r="Z828" s="7"/>
    </row>
    <row r="829">
      <c r="A829" s="6"/>
      <c r="B829" s="6"/>
      <c r="C829" s="6"/>
      <c r="D829" s="6"/>
      <c r="E829" s="6"/>
      <c r="F829" s="6"/>
      <c r="G829" s="6"/>
      <c r="H829" s="6"/>
      <c r="I829" s="6"/>
      <c r="J829" s="6"/>
      <c r="K829" s="6"/>
      <c r="L829" s="80"/>
      <c r="M829" s="80"/>
      <c r="N829" s="80"/>
      <c r="O829" s="80"/>
      <c r="P829" s="6"/>
      <c r="Q829" s="6"/>
      <c r="R829" s="6"/>
      <c r="S829" s="6"/>
      <c r="T829" s="6"/>
      <c r="U829" s="6"/>
      <c r="V829" s="6"/>
      <c r="W829" s="7"/>
      <c r="X829" s="7"/>
      <c r="Y829" s="7"/>
      <c r="Z829" s="7"/>
    </row>
    <row r="830">
      <c r="A830" s="6"/>
      <c r="B830" s="6"/>
      <c r="C830" s="6"/>
      <c r="D830" s="6"/>
      <c r="E830" s="6"/>
      <c r="F830" s="6"/>
      <c r="G830" s="6"/>
      <c r="H830" s="6"/>
      <c r="I830" s="6"/>
      <c r="J830" s="6"/>
      <c r="K830" s="6"/>
      <c r="L830" s="80"/>
      <c r="M830" s="80"/>
      <c r="N830" s="80"/>
      <c r="O830" s="80"/>
      <c r="P830" s="6"/>
      <c r="Q830" s="6"/>
      <c r="R830" s="6"/>
      <c r="S830" s="6"/>
      <c r="T830" s="6"/>
      <c r="U830" s="6"/>
      <c r="V830" s="6"/>
      <c r="W830" s="7"/>
      <c r="X830" s="7"/>
      <c r="Y830" s="7"/>
      <c r="Z830" s="7"/>
    </row>
    <row r="831">
      <c r="A831" s="6"/>
      <c r="B831" s="6"/>
      <c r="C831" s="6"/>
      <c r="D831" s="6"/>
      <c r="E831" s="6"/>
      <c r="F831" s="6"/>
      <c r="G831" s="6"/>
      <c r="H831" s="6"/>
      <c r="I831" s="6"/>
      <c r="J831" s="6"/>
      <c r="K831" s="6"/>
      <c r="L831" s="80"/>
      <c r="M831" s="80"/>
      <c r="N831" s="80"/>
      <c r="O831" s="80"/>
      <c r="P831" s="6"/>
      <c r="Q831" s="6"/>
      <c r="R831" s="6"/>
      <c r="S831" s="6"/>
      <c r="T831" s="6"/>
      <c r="U831" s="6"/>
      <c r="V831" s="6"/>
      <c r="W831" s="7"/>
      <c r="X831" s="7"/>
      <c r="Y831" s="7"/>
      <c r="Z831" s="7"/>
    </row>
    <row r="832">
      <c r="A832" s="6"/>
      <c r="B832" s="6"/>
      <c r="C832" s="6"/>
      <c r="D832" s="6"/>
      <c r="E832" s="6"/>
      <c r="F832" s="6"/>
      <c r="G832" s="6"/>
      <c r="H832" s="6"/>
      <c r="I832" s="6"/>
      <c r="J832" s="6"/>
      <c r="K832" s="6"/>
      <c r="L832" s="80"/>
      <c r="M832" s="80"/>
      <c r="N832" s="80"/>
      <c r="O832" s="80"/>
      <c r="P832" s="6"/>
      <c r="Q832" s="6"/>
      <c r="R832" s="6"/>
      <c r="S832" s="6"/>
      <c r="T832" s="6"/>
      <c r="U832" s="6"/>
      <c r="V832" s="6"/>
      <c r="W832" s="7"/>
      <c r="X832" s="7"/>
      <c r="Y832" s="7"/>
      <c r="Z832" s="7"/>
    </row>
    <row r="833">
      <c r="A833" s="6"/>
      <c r="B833" s="6"/>
      <c r="C833" s="6"/>
      <c r="D833" s="6"/>
      <c r="E833" s="6"/>
      <c r="F833" s="6"/>
      <c r="G833" s="6"/>
      <c r="H833" s="6"/>
      <c r="I833" s="6"/>
      <c r="J833" s="6"/>
      <c r="K833" s="6"/>
      <c r="L833" s="80"/>
      <c r="M833" s="80"/>
      <c r="N833" s="80"/>
      <c r="O833" s="80"/>
      <c r="P833" s="6"/>
      <c r="Q833" s="6"/>
      <c r="R833" s="6"/>
      <c r="S833" s="6"/>
      <c r="T833" s="6"/>
      <c r="U833" s="6"/>
      <c r="V833" s="6"/>
      <c r="W833" s="7"/>
      <c r="X833" s="7"/>
      <c r="Y833" s="7"/>
      <c r="Z833" s="7"/>
    </row>
    <row r="834">
      <c r="A834" s="6"/>
      <c r="B834" s="6"/>
      <c r="C834" s="6"/>
      <c r="D834" s="6"/>
      <c r="E834" s="6"/>
      <c r="F834" s="6"/>
      <c r="G834" s="6"/>
      <c r="H834" s="6"/>
      <c r="I834" s="6"/>
      <c r="J834" s="6"/>
      <c r="K834" s="6"/>
      <c r="L834" s="80"/>
      <c r="M834" s="80"/>
      <c r="N834" s="80"/>
      <c r="O834" s="80"/>
      <c r="P834" s="6"/>
      <c r="Q834" s="6"/>
      <c r="R834" s="6"/>
      <c r="S834" s="6"/>
      <c r="T834" s="6"/>
      <c r="U834" s="6"/>
      <c r="V834" s="6"/>
      <c r="W834" s="7"/>
      <c r="X834" s="7"/>
      <c r="Y834" s="7"/>
      <c r="Z834" s="7"/>
    </row>
    <row r="835">
      <c r="A835" s="6"/>
      <c r="B835" s="6"/>
      <c r="C835" s="6"/>
      <c r="D835" s="6"/>
      <c r="E835" s="6"/>
      <c r="F835" s="6"/>
      <c r="G835" s="6"/>
      <c r="H835" s="6"/>
      <c r="I835" s="6"/>
      <c r="J835" s="6"/>
      <c r="K835" s="6"/>
      <c r="L835" s="80"/>
      <c r="M835" s="80"/>
      <c r="N835" s="80"/>
      <c r="O835" s="80"/>
      <c r="P835" s="6"/>
      <c r="Q835" s="6"/>
      <c r="R835" s="6"/>
      <c r="S835" s="6"/>
      <c r="T835" s="6"/>
      <c r="U835" s="6"/>
      <c r="V835" s="6"/>
      <c r="W835" s="7"/>
      <c r="X835" s="7"/>
      <c r="Y835" s="7"/>
      <c r="Z835" s="7"/>
    </row>
    <row r="836">
      <c r="A836" s="6"/>
      <c r="B836" s="6"/>
      <c r="C836" s="6"/>
      <c r="D836" s="6"/>
      <c r="E836" s="6"/>
      <c r="F836" s="6"/>
      <c r="G836" s="6"/>
      <c r="H836" s="6"/>
      <c r="I836" s="6"/>
      <c r="J836" s="6"/>
      <c r="K836" s="6"/>
      <c r="L836" s="80"/>
      <c r="M836" s="80"/>
      <c r="N836" s="80"/>
      <c r="O836" s="80"/>
      <c r="P836" s="6"/>
      <c r="Q836" s="6"/>
      <c r="R836" s="6"/>
      <c r="S836" s="6"/>
      <c r="T836" s="6"/>
      <c r="U836" s="6"/>
      <c r="V836" s="6"/>
      <c r="W836" s="7"/>
      <c r="X836" s="7"/>
      <c r="Y836" s="7"/>
      <c r="Z836" s="7"/>
    </row>
    <row r="837">
      <c r="A837" s="6"/>
      <c r="B837" s="6"/>
      <c r="C837" s="6"/>
      <c r="D837" s="6"/>
      <c r="E837" s="6"/>
      <c r="F837" s="6"/>
      <c r="G837" s="6"/>
      <c r="H837" s="6"/>
      <c r="I837" s="6"/>
      <c r="J837" s="6"/>
      <c r="K837" s="6"/>
      <c r="L837" s="80"/>
      <c r="M837" s="80"/>
      <c r="N837" s="80"/>
      <c r="O837" s="80"/>
      <c r="P837" s="6"/>
      <c r="Q837" s="6"/>
      <c r="R837" s="6"/>
      <c r="S837" s="6"/>
      <c r="T837" s="6"/>
      <c r="U837" s="6"/>
      <c r="V837" s="6"/>
      <c r="W837" s="7"/>
      <c r="X837" s="7"/>
      <c r="Y837" s="7"/>
      <c r="Z837" s="7"/>
    </row>
    <row r="838">
      <c r="A838" s="6"/>
      <c r="B838" s="6"/>
      <c r="C838" s="6"/>
      <c r="D838" s="6"/>
      <c r="E838" s="6"/>
      <c r="F838" s="6"/>
      <c r="G838" s="6"/>
      <c r="H838" s="6"/>
      <c r="I838" s="6"/>
      <c r="J838" s="6"/>
      <c r="K838" s="6"/>
      <c r="L838" s="80"/>
      <c r="M838" s="80"/>
      <c r="N838" s="80"/>
      <c r="O838" s="80"/>
      <c r="P838" s="6"/>
      <c r="Q838" s="6"/>
      <c r="R838" s="6"/>
      <c r="S838" s="6"/>
      <c r="T838" s="6"/>
      <c r="U838" s="6"/>
      <c r="V838" s="6"/>
      <c r="W838" s="7"/>
      <c r="X838" s="7"/>
      <c r="Y838" s="7"/>
      <c r="Z838" s="7"/>
    </row>
    <row r="839">
      <c r="A839" s="6"/>
      <c r="B839" s="6"/>
      <c r="C839" s="6"/>
      <c r="D839" s="6"/>
      <c r="E839" s="6"/>
      <c r="F839" s="6"/>
      <c r="G839" s="6"/>
      <c r="H839" s="6"/>
      <c r="I839" s="6"/>
      <c r="J839" s="6"/>
      <c r="K839" s="6"/>
      <c r="L839" s="80"/>
      <c r="M839" s="80"/>
      <c r="N839" s="80"/>
      <c r="O839" s="80"/>
      <c r="P839" s="6"/>
      <c r="Q839" s="6"/>
      <c r="R839" s="6"/>
      <c r="S839" s="6"/>
      <c r="T839" s="6"/>
      <c r="U839" s="6"/>
      <c r="V839" s="6"/>
      <c r="W839" s="7"/>
      <c r="X839" s="7"/>
      <c r="Y839" s="7"/>
      <c r="Z839" s="7"/>
    </row>
    <row r="840">
      <c r="A840" s="6"/>
      <c r="B840" s="6"/>
      <c r="C840" s="6"/>
      <c r="D840" s="6"/>
      <c r="E840" s="6"/>
      <c r="F840" s="6"/>
      <c r="G840" s="6"/>
      <c r="H840" s="6"/>
      <c r="I840" s="6"/>
      <c r="J840" s="6"/>
      <c r="K840" s="6"/>
      <c r="L840" s="80"/>
      <c r="M840" s="80"/>
      <c r="N840" s="80"/>
      <c r="O840" s="80"/>
      <c r="P840" s="6"/>
      <c r="Q840" s="6"/>
      <c r="R840" s="6"/>
      <c r="S840" s="6"/>
      <c r="T840" s="6"/>
      <c r="U840" s="6"/>
      <c r="V840" s="6"/>
      <c r="W840" s="7"/>
      <c r="X840" s="7"/>
      <c r="Y840" s="7"/>
      <c r="Z840" s="7"/>
    </row>
    <row r="841">
      <c r="A841" s="6"/>
      <c r="B841" s="6"/>
      <c r="C841" s="6"/>
      <c r="D841" s="6"/>
      <c r="E841" s="6"/>
      <c r="F841" s="6"/>
      <c r="G841" s="6"/>
      <c r="H841" s="6"/>
      <c r="I841" s="6"/>
      <c r="J841" s="6"/>
      <c r="K841" s="6"/>
      <c r="L841" s="80"/>
      <c r="M841" s="80"/>
      <c r="N841" s="80"/>
      <c r="O841" s="80"/>
      <c r="P841" s="6"/>
      <c r="Q841" s="6"/>
      <c r="R841" s="6"/>
      <c r="S841" s="6"/>
      <c r="T841" s="6"/>
      <c r="U841" s="6"/>
      <c r="V841" s="6"/>
      <c r="W841" s="7"/>
      <c r="X841" s="7"/>
      <c r="Y841" s="7"/>
      <c r="Z841" s="7"/>
    </row>
    <row r="842">
      <c r="A842" s="6"/>
      <c r="B842" s="6"/>
      <c r="C842" s="6"/>
      <c r="D842" s="6"/>
      <c r="E842" s="6"/>
      <c r="F842" s="6"/>
      <c r="G842" s="6"/>
      <c r="H842" s="6"/>
      <c r="I842" s="6"/>
      <c r="J842" s="6"/>
      <c r="K842" s="6"/>
      <c r="L842" s="80"/>
      <c r="M842" s="80"/>
      <c r="N842" s="80"/>
      <c r="O842" s="80"/>
      <c r="P842" s="6"/>
      <c r="Q842" s="6"/>
      <c r="R842" s="6"/>
      <c r="S842" s="6"/>
      <c r="T842" s="6"/>
      <c r="U842" s="6"/>
      <c r="V842" s="6"/>
      <c r="W842" s="7"/>
      <c r="X842" s="7"/>
      <c r="Y842" s="7"/>
      <c r="Z842" s="7"/>
    </row>
    <row r="843">
      <c r="A843" s="6"/>
      <c r="B843" s="6"/>
      <c r="C843" s="6"/>
      <c r="D843" s="6"/>
      <c r="E843" s="6"/>
      <c r="F843" s="6"/>
      <c r="G843" s="6"/>
      <c r="H843" s="6"/>
      <c r="I843" s="6"/>
      <c r="J843" s="6"/>
      <c r="K843" s="6"/>
      <c r="L843" s="80"/>
      <c r="M843" s="80"/>
      <c r="N843" s="80"/>
      <c r="O843" s="80"/>
      <c r="P843" s="6"/>
      <c r="Q843" s="6"/>
      <c r="R843" s="6"/>
      <c r="S843" s="6"/>
      <c r="T843" s="6"/>
      <c r="U843" s="6"/>
      <c r="V843" s="6"/>
      <c r="W843" s="7"/>
      <c r="X843" s="7"/>
      <c r="Y843" s="7"/>
      <c r="Z843" s="7"/>
    </row>
    <row r="844">
      <c r="A844" s="6"/>
      <c r="B844" s="6"/>
      <c r="C844" s="6"/>
      <c r="D844" s="6"/>
      <c r="E844" s="6"/>
      <c r="F844" s="6"/>
      <c r="G844" s="6"/>
      <c r="H844" s="6"/>
      <c r="I844" s="6"/>
      <c r="J844" s="6"/>
      <c r="K844" s="6"/>
      <c r="L844" s="80"/>
      <c r="M844" s="80"/>
      <c r="N844" s="80"/>
      <c r="O844" s="80"/>
      <c r="P844" s="6"/>
      <c r="Q844" s="6"/>
      <c r="R844" s="6"/>
      <c r="S844" s="6"/>
      <c r="T844" s="6"/>
      <c r="U844" s="6"/>
      <c r="V844" s="6"/>
      <c r="W844" s="7"/>
      <c r="X844" s="7"/>
      <c r="Y844" s="7"/>
      <c r="Z844" s="7"/>
    </row>
    <row r="845">
      <c r="A845" s="6"/>
      <c r="B845" s="6"/>
      <c r="C845" s="6"/>
      <c r="D845" s="6"/>
      <c r="E845" s="6"/>
      <c r="F845" s="6"/>
      <c r="G845" s="6"/>
      <c r="H845" s="6"/>
      <c r="I845" s="6"/>
      <c r="J845" s="6"/>
      <c r="K845" s="6"/>
      <c r="L845" s="80"/>
      <c r="M845" s="80"/>
      <c r="N845" s="80"/>
      <c r="O845" s="80"/>
      <c r="P845" s="6"/>
      <c r="Q845" s="6"/>
      <c r="R845" s="6"/>
      <c r="S845" s="6"/>
      <c r="T845" s="6"/>
      <c r="U845" s="6"/>
      <c r="V845" s="6"/>
      <c r="W845" s="7"/>
      <c r="X845" s="7"/>
      <c r="Y845" s="7"/>
      <c r="Z845" s="7"/>
    </row>
    <row r="846">
      <c r="A846" s="6"/>
      <c r="B846" s="6"/>
      <c r="C846" s="6"/>
      <c r="D846" s="6"/>
      <c r="E846" s="6"/>
      <c r="F846" s="6"/>
      <c r="G846" s="6"/>
      <c r="H846" s="6"/>
      <c r="I846" s="6"/>
      <c r="J846" s="6"/>
      <c r="K846" s="6"/>
      <c r="L846" s="80"/>
      <c r="M846" s="80"/>
      <c r="N846" s="80"/>
      <c r="O846" s="80"/>
      <c r="P846" s="6"/>
      <c r="Q846" s="6"/>
      <c r="R846" s="6"/>
      <c r="S846" s="6"/>
      <c r="T846" s="6"/>
      <c r="U846" s="6"/>
      <c r="V846" s="6"/>
      <c r="W846" s="7"/>
      <c r="X846" s="7"/>
      <c r="Y846" s="7"/>
      <c r="Z846" s="7"/>
    </row>
    <row r="847">
      <c r="A847" s="6"/>
      <c r="B847" s="6"/>
      <c r="C847" s="6"/>
      <c r="D847" s="6"/>
      <c r="E847" s="6"/>
      <c r="F847" s="6"/>
      <c r="G847" s="6"/>
      <c r="H847" s="6"/>
      <c r="I847" s="6"/>
      <c r="J847" s="6"/>
      <c r="K847" s="6"/>
      <c r="L847" s="80"/>
      <c r="M847" s="80"/>
      <c r="N847" s="80"/>
      <c r="O847" s="80"/>
      <c r="P847" s="6"/>
      <c r="Q847" s="6"/>
      <c r="R847" s="6"/>
      <c r="S847" s="6"/>
      <c r="T847" s="6"/>
      <c r="U847" s="6"/>
      <c r="V847" s="6"/>
      <c r="W847" s="7"/>
      <c r="X847" s="7"/>
      <c r="Y847" s="7"/>
      <c r="Z847" s="7"/>
    </row>
    <row r="848">
      <c r="A848" s="6"/>
      <c r="B848" s="6"/>
      <c r="C848" s="6"/>
      <c r="D848" s="6"/>
      <c r="E848" s="6"/>
      <c r="F848" s="6"/>
      <c r="G848" s="6"/>
      <c r="H848" s="6"/>
      <c r="I848" s="6"/>
      <c r="J848" s="6"/>
      <c r="K848" s="6"/>
      <c r="L848" s="80"/>
      <c r="M848" s="80"/>
      <c r="N848" s="80"/>
      <c r="O848" s="80"/>
      <c r="P848" s="6"/>
      <c r="Q848" s="6"/>
      <c r="R848" s="6"/>
      <c r="S848" s="6"/>
      <c r="T848" s="6"/>
      <c r="U848" s="6"/>
      <c r="V848" s="6"/>
      <c r="W848" s="7"/>
      <c r="X848" s="7"/>
      <c r="Y848" s="7"/>
      <c r="Z848" s="7"/>
    </row>
    <row r="849">
      <c r="A849" s="6"/>
      <c r="B849" s="6"/>
      <c r="C849" s="6"/>
      <c r="D849" s="6"/>
      <c r="E849" s="6"/>
      <c r="F849" s="6"/>
      <c r="G849" s="6"/>
      <c r="H849" s="6"/>
      <c r="I849" s="6"/>
      <c r="J849" s="6"/>
      <c r="K849" s="6"/>
      <c r="L849" s="80"/>
      <c r="M849" s="80"/>
      <c r="N849" s="80"/>
      <c r="O849" s="80"/>
      <c r="P849" s="6"/>
      <c r="Q849" s="6"/>
      <c r="R849" s="6"/>
      <c r="S849" s="6"/>
      <c r="T849" s="6"/>
      <c r="U849" s="6"/>
      <c r="V849" s="6"/>
      <c r="W849" s="7"/>
      <c r="X849" s="7"/>
      <c r="Y849" s="7"/>
      <c r="Z849" s="7"/>
    </row>
    <row r="850">
      <c r="A850" s="6"/>
      <c r="B850" s="6"/>
      <c r="C850" s="6"/>
      <c r="D850" s="6"/>
      <c r="E850" s="6"/>
      <c r="F850" s="6"/>
      <c r="G850" s="6"/>
      <c r="H850" s="6"/>
      <c r="I850" s="6"/>
      <c r="J850" s="6"/>
      <c r="K850" s="6"/>
      <c r="L850" s="80"/>
      <c r="M850" s="80"/>
      <c r="N850" s="80"/>
      <c r="O850" s="80"/>
      <c r="P850" s="6"/>
      <c r="Q850" s="6"/>
      <c r="R850" s="6"/>
      <c r="S850" s="6"/>
      <c r="T850" s="6"/>
      <c r="U850" s="6"/>
      <c r="V850" s="6"/>
      <c r="W850" s="7"/>
      <c r="X850" s="7"/>
      <c r="Y850" s="7"/>
      <c r="Z850" s="7"/>
    </row>
    <row r="851">
      <c r="A851" s="6"/>
      <c r="B851" s="6"/>
      <c r="C851" s="6"/>
      <c r="D851" s="6"/>
      <c r="E851" s="6"/>
      <c r="F851" s="6"/>
      <c r="G851" s="6"/>
      <c r="H851" s="6"/>
      <c r="I851" s="6"/>
      <c r="J851" s="6"/>
      <c r="K851" s="6"/>
      <c r="L851" s="80"/>
      <c r="M851" s="80"/>
      <c r="N851" s="80"/>
      <c r="O851" s="80"/>
      <c r="P851" s="6"/>
      <c r="Q851" s="6"/>
      <c r="R851" s="6"/>
      <c r="S851" s="6"/>
      <c r="T851" s="6"/>
      <c r="U851" s="6"/>
      <c r="V851" s="6"/>
      <c r="W851" s="7"/>
      <c r="X851" s="7"/>
      <c r="Y851" s="7"/>
      <c r="Z851" s="7"/>
    </row>
    <row r="852">
      <c r="A852" s="6"/>
      <c r="B852" s="6"/>
      <c r="C852" s="6"/>
      <c r="D852" s="6"/>
      <c r="E852" s="6"/>
      <c r="F852" s="6"/>
      <c r="G852" s="6"/>
      <c r="H852" s="6"/>
      <c r="I852" s="6"/>
      <c r="J852" s="6"/>
      <c r="K852" s="6"/>
      <c r="L852" s="80"/>
      <c r="M852" s="80"/>
      <c r="N852" s="80"/>
      <c r="O852" s="80"/>
      <c r="P852" s="6"/>
      <c r="Q852" s="6"/>
      <c r="R852" s="6"/>
      <c r="S852" s="6"/>
      <c r="T852" s="6"/>
      <c r="U852" s="6"/>
      <c r="V852" s="6"/>
      <c r="W852" s="7"/>
      <c r="X852" s="7"/>
      <c r="Y852" s="7"/>
      <c r="Z852" s="7"/>
    </row>
    <row r="853">
      <c r="A853" s="6"/>
      <c r="B853" s="6"/>
      <c r="C853" s="6"/>
      <c r="D853" s="6"/>
      <c r="E853" s="6"/>
      <c r="F853" s="6"/>
      <c r="G853" s="6"/>
      <c r="H853" s="6"/>
      <c r="I853" s="6"/>
      <c r="J853" s="6"/>
      <c r="K853" s="6"/>
      <c r="L853" s="80"/>
      <c r="M853" s="80"/>
      <c r="N853" s="80"/>
      <c r="O853" s="80"/>
      <c r="P853" s="6"/>
      <c r="Q853" s="6"/>
      <c r="R853" s="6"/>
      <c r="S853" s="6"/>
      <c r="T853" s="6"/>
      <c r="U853" s="6"/>
      <c r="V853" s="6"/>
      <c r="W853" s="7"/>
      <c r="X853" s="7"/>
      <c r="Y853" s="7"/>
      <c r="Z853" s="7"/>
    </row>
    <row r="854">
      <c r="A854" s="6"/>
      <c r="B854" s="6"/>
      <c r="C854" s="6"/>
      <c r="D854" s="6"/>
      <c r="E854" s="6"/>
      <c r="F854" s="6"/>
      <c r="G854" s="6"/>
      <c r="H854" s="6"/>
      <c r="I854" s="6"/>
      <c r="J854" s="6"/>
      <c r="K854" s="6"/>
      <c r="L854" s="80"/>
      <c r="M854" s="80"/>
      <c r="N854" s="80"/>
      <c r="O854" s="80"/>
      <c r="P854" s="6"/>
      <c r="Q854" s="6"/>
      <c r="R854" s="6"/>
      <c r="S854" s="6"/>
      <c r="T854" s="6"/>
      <c r="U854" s="6"/>
      <c r="V854" s="6"/>
      <c r="W854" s="7"/>
      <c r="X854" s="7"/>
      <c r="Y854" s="7"/>
      <c r="Z854" s="7"/>
    </row>
    <row r="855">
      <c r="A855" s="6"/>
      <c r="B855" s="6"/>
      <c r="C855" s="6"/>
      <c r="D855" s="6"/>
      <c r="E855" s="6"/>
      <c r="F855" s="6"/>
      <c r="G855" s="6"/>
      <c r="H855" s="6"/>
      <c r="I855" s="6"/>
      <c r="J855" s="6"/>
      <c r="K855" s="6"/>
      <c r="L855" s="80"/>
      <c r="M855" s="80"/>
      <c r="N855" s="80"/>
      <c r="O855" s="80"/>
      <c r="P855" s="6"/>
      <c r="Q855" s="6"/>
      <c r="R855" s="6"/>
      <c r="S855" s="6"/>
      <c r="T855" s="6"/>
      <c r="U855" s="6"/>
      <c r="V855" s="6"/>
      <c r="W855" s="7"/>
      <c r="X855" s="7"/>
      <c r="Y855" s="7"/>
      <c r="Z855" s="7"/>
    </row>
    <row r="856">
      <c r="A856" s="6"/>
      <c r="B856" s="6"/>
      <c r="C856" s="6"/>
      <c r="D856" s="6"/>
      <c r="E856" s="6"/>
      <c r="F856" s="6"/>
      <c r="G856" s="6"/>
      <c r="H856" s="6"/>
      <c r="I856" s="6"/>
      <c r="J856" s="6"/>
      <c r="K856" s="6"/>
      <c r="L856" s="80"/>
      <c r="M856" s="80"/>
      <c r="N856" s="80"/>
      <c r="O856" s="80"/>
      <c r="P856" s="6"/>
      <c r="Q856" s="6"/>
      <c r="R856" s="6"/>
      <c r="S856" s="6"/>
      <c r="T856" s="6"/>
      <c r="U856" s="6"/>
      <c r="V856" s="6"/>
      <c r="W856" s="7"/>
      <c r="X856" s="7"/>
      <c r="Y856" s="7"/>
      <c r="Z856" s="7"/>
    </row>
    <row r="857">
      <c r="A857" s="6"/>
      <c r="B857" s="6"/>
      <c r="C857" s="6"/>
      <c r="D857" s="6"/>
      <c r="E857" s="6"/>
      <c r="F857" s="6"/>
      <c r="G857" s="6"/>
      <c r="H857" s="6"/>
      <c r="I857" s="6"/>
      <c r="J857" s="6"/>
      <c r="K857" s="6"/>
      <c r="L857" s="80"/>
      <c r="M857" s="80"/>
      <c r="N857" s="80"/>
      <c r="O857" s="80"/>
      <c r="P857" s="6"/>
      <c r="Q857" s="6"/>
      <c r="R857" s="6"/>
      <c r="S857" s="6"/>
      <c r="T857" s="6"/>
      <c r="U857" s="6"/>
      <c r="V857" s="6"/>
      <c r="W857" s="7"/>
      <c r="X857" s="7"/>
      <c r="Y857" s="7"/>
      <c r="Z857" s="7"/>
    </row>
    <row r="858">
      <c r="A858" s="6"/>
      <c r="B858" s="6"/>
      <c r="C858" s="6"/>
      <c r="D858" s="6"/>
      <c r="E858" s="6"/>
      <c r="F858" s="6"/>
      <c r="G858" s="6"/>
      <c r="H858" s="6"/>
      <c r="I858" s="6"/>
      <c r="J858" s="6"/>
      <c r="K858" s="6"/>
      <c r="L858" s="80"/>
      <c r="M858" s="80"/>
      <c r="N858" s="80"/>
      <c r="O858" s="80"/>
      <c r="P858" s="6"/>
      <c r="Q858" s="6"/>
      <c r="R858" s="6"/>
      <c r="S858" s="6"/>
      <c r="T858" s="6"/>
      <c r="U858" s="6"/>
      <c r="V858" s="6"/>
      <c r="W858" s="7"/>
      <c r="X858" s="7"/>
      <c r="Y858" s="7"/>
      <c r="Z858" s="7"/>
    </row>
    <row r="859">
      <c r="A859" s="6"/>
      <c r="B859" s="6"/>
      <c r="C859" s="6"/>
      <c r="D859" s="6"/>
      <c r="E859" s="6"/>
      <c r="F859" s="6"/>
      <c r="G859" s="6"/>
      <c r="H859" s="6"/>
      <c r="I859" s="6"/>
      <c r="J859" s="6"/>
      <c r="K859" s="6"/>
      <c r="L859" s="80"/>
      <c r="M859" s="80"/>
      <c r="N859" s="80"/>
      <c r="O859" s="80"/>
      <c r="P859" s="6"/>
      <c r="Q859" s="6"/>
      <c r="R859" s="6"/>
      <c r="S859" s="6"/>
      <c r="T859" s="6"/>
      <c r="U859" s="6"/>
      <c r="V859" s="6"/>
      <c r="W859" s="7"/>
      <c r="X859" s="7"/>
      <c r="Y859" s="7"/>
      <c r="Z859" s="7"/>
    </row>
    <row r="860">
      <c r="A860" s="6"/>
      <c r="B860" s="6"/>
      <c r="C860" s="6"/>
      <c r="D860" s="6"/>
      <c r="E860" s="6"/>
      <c r="F860" s="6"/>
      <c r="G860" s="6"/>
      <c r="H860" s="6"/>
      <c r="I860" s="6"/>
      <c r="J860" s="6"/>
      <c r="K860" s="6"/>
      <c r="L860" s="80"/>
      <c r="M860" s="80"/>
      <c r="N860" s="80"/>
      <c r="O860" s="80"/>
      <c r="P860" s="6"/>
      <c r="Q860" s="6"/>
      <c r="R860" s="6"/>
      <c r="S860" s="6"/>
      <c r="T860" s="6"/>
      <c r="U860" s="6"/>
      <c r="V860" s="6"/>
      <c r="W860" s="7"/>
      <c r="X860" s="7"/>
      <c r="Y860" s="7"/>
      <c r="Z860" s="7"/>
    </row>
    <row r="861">
      <c r="A861" s="6"/>
      <c r="B861" s="6"/>
      <c r="C861" s="6"/>
      <c r="D861" s="6"/>
      <c r="E861" s="6"/>
      <c r="F861" s="6"/>
      <c r="G861" s="6"/>
      <c r="H861" s="6"/>
      <c r="I861" s="6"/>
      <c r="J861" s="6"/>
      <c r="K861" s="6"/>
      <c r="L861" s="80"/>
      <c r="M861" s="80"/>
      <c r="N861" s="80"/>
      <c r="O861" s="80"/>
      <c r="P861" s="6"/>
      <c r="Q861" s="6"/>
      <c r="R861" s="6"/>
      <c r="S861" s="6"/>
      <c r="T861" s="6"/>
      <c r="U861" s="6"/>
      <c r="V861" s="6"/>
      <c r="W861" s="7"/>
      <c r="X861" s="7"/>
      <c r="Y861" s="7"/>
      <c r="Z861" s="7"/>
    </row>
    <row r="862">
      <c r="A862" s="6"/>
      <c r="B862" s="6"/>
      <c r="C862" s="6"/>
      <c r="D862" s="6"/>
      <c r="E862" s="6"/>
      <c r="F862" s="6"/>
      <c r="G862" s="6"/>
      <c r="H862" s="6"/>
      <c r="I862" s="6"/>
      <c r="J862" s="6"/>
      <c r="K862" s="6"/>
      <c r="L862" s="80"/>
      <c r="M862" s="80"/>
      <c r="N862" s="80"/>
      <c r="O862" s="80"/>
      <c r="P862" s="6"/>
      <c r="Q862" s="6"/>
      <c r="R862" s="6"/>
      <c r="S862" s="6"/>
      <c r="T862" s="6"/>
      <c r="U862" s="6"/>
      <c r="V862" s="6"/>
      <c r="W862" s="7"/>
      <c r="X862" s="7"/>
      <c r="Y862" s="7"/>
      <c r="Z862" s="7"/>
    </row>
    <row r="863">
      <c r="A863" s="6"/>
      <c r="B863" s="6"/>
      <c r="C863" s="6"/>
      <c r="D863" s="6"/>
      <c r="E863" s="6"/>
      <c r="F863" s="6"/>
      <c r="G863" s="6"/>
      <c r="H863" s="6"/>
      <c r="I863" s="6"/>
      <c r="J863" s="6"/>
      <c r="K863" s="6"/>
      <c r="L863" s="80"/>
      <c r="M863" s="80"/>
      <c r="N863" s="80"/>
      <c r="O863" s="80"/>
      <c r="P863" s="6"/>
      <c r="Q863" s="6"/>
      <c r="R863" s="6"/>
      <c r="S863" s="6"/>
      <c r="T863" s="6"/>
      <c r="U863" s="6"/>
      <c r="V863" s="6"/>
      <c r="W863" s="7"/>
      <c r="X863" s="7"/>
      <c r="Y863" s="7"/>
      <c r="Z863" s="7"/>
    </row>
    <row r="864">
      <c r="A864" s="6"/>
      <c r="B864" s="6"/>
      <c r="C864" s="6"/>
      <c r="D864" s="6"/>
      <c r="E864" s="6"/>
      <c r="F864" s="6"/>
      <c r="G864" s="6"/>
      <c r="H864" s="6"/>
      <c r="I864" s="6"/>
      <c r="J864" s="6"/>
      <c r="K864" s="6"/>
      <c r="L864" s="80"/>
      <c r="M864" s="80"/>
      <c r="N864" s="80"/>
      <c r="O864" s="80"/>
      <c r="P864" s="6"/>
      <c r="Q864" s="6"/>
      <c r="R864" s="6"/>
      <c r="S864" s="6"/>
      <c r="T864" s="6"/>
      <c r="U864" s="6"/>
      <c r="V864" s="6"/>
      <c r="W864" s="7"/>
      <c r="X864" s="7"/>
      <c r="Y864" s="7"/>
      <c r="Z864" s="7"/>
    </row>
    <row r="865">
      <c r="A865" s="6"/>
      <c r="B865" s="6"/>
      <c r="C865" s="6"/>
      <c r="D865" s="6"/>
      <c r="E865" s="6"/>
      <c r="F865" s="6"/>
      <c r="G865" s="6"/>
      <c r="H865" s="6"/>
      <c r="I865" s="6"/>
      <c r="J865" s="6"/>
      <c r="K865" s="6"/>
      <c r="L865" s="80"/>
      <c r="M865" s="80"/>
      <c r="N865" s="80"/>
      <c r="O865" s="80"/>
      <c r="P865" s="6"/>
      <c r="Q865" s="6"/>
      <c r="R865" s="6"/>
      <c r="S865" s="6"/>
      <c r="T865" s="6"/>
      <c r="U865" s="6"/>
      <c r="V865" s="6"/>
      <c r="W865" s="7"/>
      <c r="X865" s="7"/>
      <c r="Y865" s="7"/>
      <c r="Z865" s="7"/>
    </row>
    <row r="866">
      <c r="A866" s="6"/>
      <c r="B866" s="6"/>
      <c r="C866" s="6"/>
      <c r="D866" s="6"/>
      <c r="E866" s="6"/>
      <c r="F866" s="6"/>
      <c r="G866" s="6"/>
      <c r="H866" s="6"/>
      <c r="I866" s="6"/>
      <c r="J866" s="6"/>
      <c r="K866" s="6"/>
      <c r="L866" s="80"/>
      <c r="M866" s="80"/>
      <c r="N866" s="80"/>
      <c r="O866" s="80"/>
      <c r="P866" s="6"/>
      <c r="Q866" s="6"/>
      <c r="R866" s="6"/>
      <c r="S866" s="6"/>
      <c r="T866" s="6"/>
      <c r="U866" s="6"/>
      <c r="V866" s="6"/>
      <c r="W866" s="7"/>
      <c r="X866" s="7"/>
      <c r="Y866" s="7"/>
      <c r="Z866" s="7"/>
    </row>
    <row r="867">
      <c r="A867" s="6"/>
      <c r="B867" s="6"/>
      <c r="C867" s="6"/>
      <c r="D867" s="6"/>
      <c r="E867" s="6"/>
      <c r="F867" s="6"/>
      <c r="G867" s="6"/>
      <c r="H867" s="6"/>
      <c r="I867" s="6"/>
      <c r="J867" s="6"/>
      <c r="K867" s="6"/>
      <c r="L867" s="80"/>
      <c r="M867" s="80"/>
      <c r="N867" s="80"/>
      <c r="O867" s="80"/>
      <c r="P867" s="6"/>
      <c r="Q867" s="6"/>
      <c r="R867" s="6"/>
      <c r="S867" s="6"/>
      <c r="T867" s="6"/>
      <c r="U867" s="6"/>
      <c r="V867" s="6"/>
      <c r="W867" s="7"/>
      <c r="X867" s="7"/>
      <c r="Y867" s="7"/>
      <c r="Z867" s="7"/>
    </row>
    <row r="868">
      <c r="A868" s="6"/>
      <c r="B868" s="6"/>
      <c r="C868" s="6"/>
      <c r="D868" s="6"/>
      <c r="E868" s="6"/>
      <c r="F868" s="6"/>
      <c r="G868" s="6"/>
      <c r="H868" s="6"/>
      <c r="I868" s="6"/>
      <c r="J868" s="6"/>
      <c r="K868" s="6"/>
      <c r="L868" s="80"/>
      <c r="M868" s="80"/>
      <c r="N868" s="80"/>
      <c r="O868" s="80"/>
      <c r="P868" s="6"/>
      <c r="Q868" s="6"/>
      <c r="R868" s="6"/>
      <c r="S868" s="6"/>
      <c r="T868" s="6"/>
      <c r="U868" s="6"/>
      <c r="V868" s="6"/>
      <c r="W868" s="7"/>
      <c r="X868" s="7"/>
      <c r="Y868" s="7"/>
      <c r="Z868" s="7"/>
    </row>
    <row r="869">
      <c r="A869" s="6"/>
      <c r="B869" s="6"/>
      <c r="C869" s="6"/>
      <c r="D869" s="6"/>
      <c r="E869" s="6"/>
      <c r="F869" s="6"/>
      <c r="G869" s="6"/>
      <c r="H869" s="6"/>
      <c r="I869" s="6"/>
      <c r="J869" s="6"/>
      <c r="K869" s="6"/>
      <c r="L869" s="80"/>
      <c r="M869" s="80"/>
      <c r="N869" s="80"/>
      <c r="O869" s="80"/>
      <c r="P869" s="6"/>
      <c r="Q869" s="6"/>
      <c r="R869" s="6"/>
      <c r="S869" s="6"/>
      <c r="T869" s="6"/>
      <c r="U869" s="6"/>
      <c r="V869" s="6"/>
      <c r="W869" s="7"/>
      <c r="X869" s="7"/>
      <c r="Y869" s="7"/>
      <c r="Z869" s="7"/>
    </row>
    <row r="870">
      <c r="A870" s="6"/>
      <c r="B870" s="6"/>
      <c r="C870" s="6"/>
      <c r="D870" s="6"/>
      <c r="E870" s="6"/>
      <c r="F870" s="6"/>
      <c r="G870" s="6"/>
      <c r="H870" s="6"/>
      <c r="I870" s="6"/>
      <c r="J870" s="6"/>
      <c r="K870" s="6"/>
      <c r="L870" s="80"/>
      <c r="M870" s="80"/>
      <c r="N870" s="80"/>
      <c r="O870" s="80"/>
      <c r="P870" s="6"/>
      <c r="Q870" s="6"/>
      <c r="R870" s="6"/>
      <c r="S870" s="6"/>
      <c r="T870" s="6"/>
      <c r="U870" s="6"/>
      <c r="V870" s="6"/>
      <c r="W870" s="7"/>
      <c r="X870" s="7"/>
      <c r="Y870" s="7"/>
      <c r="Z870" s="7"/>
    </row>
    <row r="871">
      <c r="A871" s="6"/>
      <c r="B871" s="6"/>
      <c r="C871" s="6"/>
      <c r="D871" s="6"/>
      <c r="E871" s="6"/>
      <c r="F871" s="6"/>
      <c r="G871" s="6"/>
      <c r="H871" s="6"/>
      <c r="I871" s="6"/>
      <c r="J871" s="6"/>
      <c r="K871" s="6"/>
      <c r="L871" s="80"/>
      <c r="M871" s="80"/>
      <c r="N871" s="80"/>
      <c r="O871" s="80"/>
      <c r="P871" s="6"/>
      <c r="Q871" s="6"/>
      <c r="R871" s="6"/>
      <c r="S871" s="6"/>
      <c r="T871" s="6"/>
      <c r="U871" s="6"/>
      <c r="V871" s="6"/>
      <c r="W871" s="7"/>
      <c r="X871" s="7"/>
      <c r="Y871" s="7"/>
      <c r="Z871" s="7"/>
    </row>
    <row r="872">
      <c r="A872" s="6"/>
      <c r="B872" s="6"/>
      <c r="C872" s="6"/>
      <c r="D872" s="6"/>
      <c r="E872" s="6"/>
      <c r="F872" s="6"/>
      <c r="G872" s="6"/>
      <c r="H872" s="6"/>
      <c r="I872" s="6"/>
      <c r="J872" s="6"/>
      <c r="K872" s="6"/>
      <c r="L872" s="80"/>
      <c r="M872" s="80"/>
      <c r="N872" s="80"/>
      <c r="O872" s="80"/>
      <c r="P872" s="6"/>
      <c r="Q872" s="6"/>
      <c r="R872" s="6"/>
      <c r="S872" s="6"/>
      <c r="T872" s="6"/>
      <c r="U872" s="6"/>
      <c r="V872" s="6"/>
      <c r="W872" s="7"/>
      <c r="X872" s="7"/>
      <c r="Y872" s="7"/>
      <c r="Z872" s="7"/>
    </row>
    <row r="873">
      <c r="A873" s="6"/>
      <c r="B873" s="6"/>
      <c r="C873" s="6"/>
      <c r="D873" s="6"/>
      <c r="E873" s="6"/>
      <c r="F873" s="6"/>
      <c r="G873" s="6"/>
      <c r="H873" s="6"/>
      <c r="I873" s="6"/>
      <c r="J873" s="6"/>
      <c r="K873" s="6"/>
      <c r="L873" s="80"/>
      <c r="M873" s="80"/>
      <c r="N873" s="80"/>
      <c r="O873" s="80"/>
      <c r="P873" s="6"/>
      <c r="Q873" s="6"/>
      <c r="R873" s="6"/>
      <c r="S873" s="6"/>
      <c r="T873" s="6"/>
      <c r="U873" s="6"/>
      <c r="V873" s="6"/>
      <c r="W873" s="7"/>
      <c r="X873" s="7"/>
      <c r="Y873" s="7"/>
      <c r="Z873" s="7"/>
    </row>
    <row r="874">
      <c r="A874" s="6"/>
      <c r="B874" s="6"/>
      <c r="C874" s="6"/>
      <c r="D874" s="6"/>
      <c r="E874" s="6"/>
      <c r="F874" s="6"/>
      <c r="G874" s="6"/>
      <c r="H874" s="6"/>
      <c r="I874" s="6"/>
      <c r="J874" s="6"/>
      <c r="K874" s="6"/>
      <c r="L874" s="80"/>
      <c r="M874" s="80"/>
      <c r="N874" s="80"/>
      <c r="O874" s="80"/>
      <c r="P874" s="6"/>
      <c r="Q874" s="6"/>
      <c r="R874" s="6"/>
      <c r="S874" s="6"/>
      <c r="T874" s="6"/>
      <c r="U874" s="6"/>
      <c r="V874" s="6"/>
      <c r="W874" s="7"/>
      <c r="X874" s="7"/>
      <c r="Y874" s="7"/>
      <c r="Z874" s="7"/>
    </row>
    <row r="875">
      <c r="A875" s="6"/>
      <c r="B875" s="6"/>
      <c r="C875" s="6"/>
      <c r="D875" s="6"/>
      <c r="E875" s="6"/>
      <c r="F875" s="6"/>
      <c r="G875" s="6"/>
      <c r="H875" s="6"/>
      <c r="I875" s="6"/>
      <c r="J875" s="6"/>
      <c r="K875" s="6"/>
      <c r="L875" s="80"/>
      <c r="M875" s="80"/>
      <c r="N875" s="80"/>
      <c r="O875" s="80"/>
      <c r="P875" s="6"/>
      <c r="Q875" s="6"/>
      <c r="R875" s="6"/>
      <c r="S875" s="6"/>
      <c r="T875" s="6"/>
      <c r="U875" s="6"/>
      <c r="V875" s="6"/>
      <c r="W875" s="7"/>
      <c r="X875" s="7"/>
      <c r="Y875" s="7"/>
      <c r="Z875" s="7"/>
    </row>
    <row r="876">
      <c r="A876" s="6"/>
      <c r="B876" s="6"/>
      <c r="C876" s="6"/>
      <c r="D876" s="6"/>
      <c r="E876" s="6"/>
      <c r="F876" s="6"/>
      <c r="G876" s="6"/>
      <c r="H876" s="6"/>
      <c r="I876" s="6"/>
      <c r="J876" s="6"/>
      <c r="K876" s="6"/>
      <c r="L876" s="80"/>
      <c r="M876" s="80"/>
      <c r="N876" s="80"/>
      <c r="O876" s="80"/>
      <c r="P876" s="6"/>
      <c r="Q876" s="6"/>
      <c r="R876" s="6"/>
      <c r="S876" s="6"/>
      <c r="T876" s="6"/>
      <c r="U876" s="6"/>
      <c r="V876" s="6"/>
      <c r="W876" s="7"/>
      <c r="X876" s="7"/>
      <c r="Y876" s="7"/>
      <c r="Z876" s="7"/>
    </row>
    <row r="877">
      <c r="A877" s="6"/>
      <c r="B877" s="6"/>
      <c r="C877" s="6"/>
      <c r="D877" s="6"/>
      <c r="E877" s="6"/>
      <c r="F877" s="6"/>
      <c r="G877" s="6"/>
      <c r="H877" s="6"/>
      <c r="I877" s="6"/>
      <c r="J877" s="6"/>
      <c r="K877" s="6"/>
      <c r="L877" s="80"/>
      <c r="M877" s="80"/>
      <c r="N877" s="80"/>
      <c r="O877" s="80"/>
      <c r="P877" s="6"/>
      <c r="Q877" s="6"/>
      <c r="R877" s="6"/>
      <c r="S877" s="6"/>
      <c r="T877" s="6"/>
      <c r="U877" s="6"/>
      <c r="V877" s="6"/>
      <c r="W877" s="7"/>
      <c r="X877" s="7"/>
      <c r="Y877" s="7"/>
      <c r="Z877" s="7"/>
    </row>
    <row r="878">
      <c r="A878" s="6"/>
      <c r="B878" s="6"/>
      <c r="C878" s="6"/>
      <c r="D878" s="6"/>
      <c r="E878" s="6"/>
      <c r="F878" s="6"/>
      <c r="G878" s="6"/>
      <c r="H878" s="6"/>
      <c r="I878" s="6"/>
      <c r="J878" s="6"/>
      <c r="K878" s="6"/>
      <c r="L878" s="80"/>
      <c r="M878" s="80"/>
      <c r="N878" s="80"/>
      <c r="O878" s="80"/>
      <c r="P878" s="6"/>
      <c r="Q878" s="6"/>
      <c r="R878" s="6"/>
      <c r="S878" s="6"/>
      <c r="T878" s="6"/>
      <c r="U878" s="6"/>
      <c r="V878" s="6"/>
      <c r="W878" s="7"/>
      <c r="X878" s="7"/>
      <c r="Y878" s="7"/>
      <c r="Z878" s="7"/>
    </row>
    <row r="879">
      <c r="A879" s="6"/>
      <c r="B879" s="6"/>
      <c r="C879" s="6"/>
      <c r="D879" s="6"/>
      <c r="E879" s="6"/>
      <c r="F879" s="6"/>
      <c r="G879" s="6"/>
      <c r="H879" s="6"/>
      <c r="I879" s="6"/>
      <c r="J879" s="6"/>
      <c r="K879" s="6"/>
      <c r="L879" s="80"/>
      <c r="M879" s="80"/>
      <c r="N879" s="80"/>
      <c r="O879" s="80"/>
      <c r="P879" s="6"/>
      <c r="Q879" s="6"/>
      <c r="R879" s="6"/>
      <c r="S879" s="6"/>
      <c r="T879" s="6"/>
      <c r="U879" s="6"/>
      <c r="V879" s="6"/>
      <c r="W879" s="7"/>
      <c r="X879" s="7"/>
      <c r="Y879" s="7"/>
      <c r="Z879" s="7"/>
    </row>
    <row r="880">
      <c r="A880" s="6"/>
      <c r="B880" s="6"/>
      <c r="C880" s="6"/>
      <c r="D880" s="6"/>
      <c r="E880" s="6"/>
      <c r="F880" s="6"/>
      <c r="G880" s="6"/>
      <c r="H880" s="6"/>
      <c r="I880" s="6"/>
      <c r="J880" s="6"/>
      <c r="K880" s="6"/>
      <c r="L880" s="80"/>
      <c r="M880" s="80"/>
      <c r="N880" s="80"/>
      <c r="O880" s="80"/>
      <c r="P880" s="6"/>
      <c r="Q880" s="6"/>
      <c r="R880" s="6"/>
      <c r="S880" s="6"/>
      <c r="T880" s="6"/>
      <c r="U880" s="6"/>
      <c r="V880" s="6"/>
      <c r="W880" s="7"/>
      <c r="X880" s="7"/>
      <c r="Y880" s="7"/>
      <c r="Z880" s="7"/>
    </row>
    <row r="881">
      <c r="A881" s="6"/>
      <c r="B881" s="6"/>
      <c r="C881" s="6"/>
      <c r="D881" s="6"/>
      <c r="E881" s="6"/>
      <c r="F881" s="6"/>
      <c r="G881" s="6"/>
      <c r="H881" s="6"/>
      <c r="I881" s="6"/>
      <c r="J881" s="6"/>
      <c r="K881" s="6"/>
      <c r="L881" s="80"/>
      <c r="M881" s="80"/>
      <c r="N881" s="80"/>
      <c r="O881" s="80"/>
      <c r="P881" s="6"/>
      <c r="Q881" s="6"/>
      <c r="R881" s="6"/>
      <c r="S881" s="6"/>
      <c r="T881" s="6"/>
      <c r="U881" s="6"/>
      <c r="V881" s="6"/>
      <c r="W881" s="7"/>
      <c r="X881" s="7"/>
      <c r="Y881" s="7"/>
      <c r="Z881" s="7"/>
    </row>
    <row r="882">
      <c r="A882" s="6"/>
      <c r="B882" s="6"/>
      <c r="C882" s="6"/>
      <c r="D882" s="6"/>
      <c r="E882" s="6"/>
      <c r="F882" s="6"/>
      <c r="G882" s="6"/>
      <c r="H882" s="6"/>
      <c r="I882" s="6"/>
      <c r="J882" s="6"/>
      <c r="K882" s="6"/>
      <c r="L882" s="80"/>
      <c r="M882" s="80"/>
      <c r="N882" s="80"/>
      <c r="O882" s="80"/>
      <c r="P882" s="6"/>
      <c r="Q882" s="6"/>
      <c r="R882" s="6"/>
      <c r="S882" s="6"/>
      <c r="T882" s="6"/>
      <c r="U882" s="6"/>
      <c r="V882" s="6"/>
      <c r="W882" s="7"/>
      <c r="X882" s="7"/>
      <c r="Y882" s="7"/>
      <c r="Z882" s="7"/>
    </row>
    <row r="883">
      <c r="A883" s="6"/>
      <c r="B883" s="6"/>
      <c r="C883" s="6"/>
      <c r="D883" s="6"/>
      <c r="E883" s="6"/>
      <c r="F883" s="6"/>
      <c r="G883" s="6"/>
      <c r="H883" s="6"/>
      <c r="I883" s="6"/>
      <c r="J883" s="6"/>
      <c r="K883" s="6"/>
      <c r="L883" s="80"/>
      <c r="M883" s="80"/>
      <c r="N883" s="80"/>
      <c r="O883" s="80"/>
      <c r="P883" s="6"/>
      <c r="Q883" s="6"/>
      <c r="R883" s="6"/>
      <c r="S883" s="6"/>
      <c r="T883" s="6"/>
      <c r="U883" s="6"/>
      <c r="V883" s="6"/>
      <c r="W883" s="7"/>
      <c r="X883" s="7"/>
      <c r="Y883" s="7"/>
      <c r="Z883" s="7"/>
    </row>
    <row r="884">
      <c r="A884" s="6"/>
      <c r="B884" s="6"/>
      <c r="C884" s="6"/>
      <c r="D884" s="6"/>
      <c r="E884" s="6"/>
      <c r="F884" s="6"/>
      <c r="G884" s="6"/>
      <c r="H884" s="6"/>
      <c r="I884" s="6"/>
      <c r="J884" s="6"/>
      <c r="K884" s="6"/>
      <c r="L884" s="80"/>
      <c r="M884" s="80"/>
      <c r="N884" s="80"/>
      <c r="O884" s="80"/>
      <c r="P884" s="6"/>
      <c r="Q884" s="6"/>
      <c r="R884" s="6"/>
      <c r="S884" s="6"/>
      <c r="T884" s="6"/>
      <c r="U884" s="6"/>
      <c r="V884" s="6"/>
      <c r="W884" s="7"/>
      <c r="X884" s="7"/>
      <c r="Y884" s="7"/>
      <c r="Z884" s="7"/>
    </row>
    <row r="885">
      <c r="A885" s="6"/>
      <c r="B885" s="6"/>
      <c r="C885" s="6"/>
      <c r="D885" s="6"/>
      <c r="E885" s="6"/>
      <c r="F885" s="6"/>
      <c r="G885" s="6"/>
      <c r="H885" s="6"/>
      <c r="I885" s="6"/>
      <c r="J885" s="6"/>
      <c r="K885" s="6"/>
      <c r="L885" s="80"/>
      <c r="M885" s="80"/>
      <c r="N885" s="80"/>
      <c r="O885" s="80"/>
      <c r="P885" s="6"/>
      <c r="Q885" s="6"/>
      <c r="R885" s="6"/>
      <c r="S885" s="6"/>
      <c r="T885" s="6"/>
      <c r="U885" s="6"/>
      <c r="V885" s="6"/>
      <c r="W885" s="7"/>
      <c r="X885" s="7"/>
      <c r="Y885" s="7"/>
      <c r="Z885" s="7"/>
    </row>
    <row r="886">
      <c r="A886" s="6"/>
      <c r="B886" s="6"/>
      <c r="C886" s="6"/>
      <c r="D886" s="6"/>
      <c r="E886" s="6"/>
      <c r="F886" s="6"/>
      <c r="G886" s="6"/>
      <c r="H886" s="6"/>
      <c r="I886" s="6"/>
      <c r="J886" s="6"/>
      <c r="K886" s="6"/>
      <c r="L886" s="80"/>
      <c r="M886" s="80"/>
      <c r="N886" s="80"/>
      <c r="O886" s="80"/>
      <c r="P886" s="6"/>
      <c r="Q886" s="6"/>
      <c r="R886" s="6"/>
      <c r="S886" s="6"/>
      <c r="T886" s="6"/>
      <c r="U886" s="6"/>
      <c r="V886" s="6"/>
      <c r="W886" s="7"/>
      <c r="X886" s="7"/>
      <c r="Y886" s="7"/>
      <c r="Z886" s="7"/>
    </row>
    <row r="887">
      <c r="A887" s="6"/>
      <c r="B887" s="6"/>
      <c r="C887" s="6"/>
      <c r="D887" s="6"/>
      <c r="E887" s="6"/>
      <c r="F887" s="6"/>
      <c r="G887" s="6"/>
      <c r="H887" s="6"/>
      <c r="I887" s="6"/>
      <c r="J887" s="6"/>
      <c r="K887" s="6"/>
      <c r="L887" s="80"/>
      <c r="M887" s="80"/>
      <c r="N887" s="80"/>
      <c r="O887" s="80"/>
      <c r="P887" s="6"/>
      <c r="Q887" s="6"/>
      <c r="R887" s="6"/>
      <c r="S887" s="6"/>
      <c r="T887" s="6"/>
      <c r="U887" s="6"/>
      <c r="V887" s="6"/>
      <c r="W887" s="7"/>
      <c r="X887" s="7"/>
      <c r="Y887" s="7"/>
      <c r="Z887" s="7"/>
    </row>
    <row r="888">
      <c r="A888" s="6"/>
      <c r="B888" s="6"/>
      <c r="C888" s="6"/>
      <c r="D888" s="6"/>
      <c r="E888" s="6"/>
      <c r="F888" s="6"/>
      <c r="G888" s="6"/>
      <c r="H888" s="6"/>
      <c r="I888" s="6"/>
      <c r="J888" s="6"/>
      <c r="K888" s="6"/>
      <c r="L888" s="80"/>
      <c r="M888" s="80"/>
      <c r="N888" s="80"/>
      <c r="O888" s="80"/>
      <c r="P888" s="6"/>
      <c r="Q888" s="6"/>
      <c r="R888" s="6"/>
      <c r="S888" s="6"/>
      <c r="T888" s="6"/>
      <c r="U888" s="6"/>
      <c r="V888" s="6"/>
      <c r="W888" s="7"/>
      <c r="X888" s="7"/>
      <c r="Y888" s="7"/>
      <c r="Z888" s="7"/>
    </row>
    <row r="889">
      <c r="A889" s="6"/>
      <c r="B889" s="6"/>
      <c r="C889" s="6"/>
      <c r="D889" s="6"/>
      <c r="E889" s="6"/>
      <c r="F889" s="6"/>
      <c r="G889" s="6"/>
      <c r="H889" s="6"/>
      <c r="I889" s="6"/>
      <c r="J889" s="6"/>
      <c r="K889" s="6"/>
      <c r="L889" s="80"/>
      <c r="M889" s="80"/>
      <c r="N889" s="80"/>
      <c r="O889" s="80"/>
      <c r="P889" s="6"/>
      <c r="Q889" s="6"/>
      <c r="R889" s="6"/>
      <c r="S889" s="6"/>
      <c r="T889" s="6"/>
      <c r="U889" s="6"/>
      <c r="V889" s="6"/>
      <c r="W889" s="7"/>
      <c r="X889" s="7"/>
      <c r="Y889" s="7"/>
      <c r="Z889" s="7"/>
    </row>
    <row r="890">
      <c r="A890" s="6"/>
      <c r="B890" s="6"/>
      <c r="C890" s="6"/>
      <c r="D890" s="6"/>
      <c r="E890" s="6"/>
      <c r="F890" s="6"/>
      <c r="G890" s="6"/>
      <c r="H890" s="6"/>
      <c r="I890" s="6"/>
      <c r="J890" s="6"/>
      <c r="K890" s="6"/>
      <c r="L890" s="80"/>
      <c r="M890" s="80"/>
      <c r="N890" s="80"/>
      <c r="O890" s="80"/>
      <c r="P890" s="6"/>
      <c r="Q890" s="6"/>
      <c r="R890" s="6"/>
      <c r="S890" s="6"/>
      <c r="T890" s="6"/>
      <c r="U890" s="6"/>
      <c r="V890" s="6"/>
      <c r="W890" s="7"/>
      <c r="X890" s="7"/>
      <c r="Y890" s="7"/>
      <c r="Z890" s="7"/>
    </row>
    <row r="891">
      <c r="A891" s="6"/>
      <c r="B891" s="6"/>
      <c r="C891" s="6"/>
      <c r="D891" s="6"/>
      <c r="E891" s="6"/>
      <c r="F891" s="6"/>
      <c r="G891" s="6"/>
      <c r="H891" s="6"/>
      <c r="I891" s="6"/>
      <c r="J891" s="6"/>
      <c r="K891" s="6"/>
      <c r="L891" s="80"/>
      <c r="M891" s="80"/>
      <c r="N891" s="80"/>
      <c r="O891" s="80"/>
      <c r="P891" s="6"/>
      <c r="Q891" s="6"/>
      <c r="R891" s="6"/>
      <c r="S891" s="6"/>
      <c r="T891" s="6"/>
      <c r="U891" s="6"/>
      <c r="V891" s="6"/>
      <c r="W891" s="7"/>
      <c r="X891" s="7"/>
      <c r="Y891" s="7"/>
      <c r="Z891" s="7"/>
    </row>
    <row r="892">
      <c r="A892" s="6"/>
      <c r="B892" s="6"/>
      <c r="C892" s="6"/>
      <c r="D892" s="6"/>
      <c r="E892" s="6"/>
      <c r="F892" s="6"/>
      <c r="G892" s="6"/>
      <c r="H892" s="6"/>
      <c r="I892" s="6"/>
      <c r="J892" s="6"/>
      <c r="K892" s="6"/>
      <c r="L892" s="80"/>
      <c r="M892" s="80"/>
      <c r="N892" s="80"/>
      <c r="O892" s="80"/>
      <c r="P892" s="6"/>
      <c r="Q892" s="6"/>
      <c r="R892" s="6"/>
      <c r="S892" s="6"/>
      <c r="T892" s="6"/>
      <c r="U892" s="6"/>
      <c r="V892" s="6"/>
      <c r="W892" s="7"/>
      <c r="X892" s="7"/>
      <c r="Y892" s="7"/>
      <c r="Z892" s="7"/>
    </row>
    <row r="893">
      <c r="A893" s="6"/>
      <c r="B893" s="6"/>
      <c r="C893" s="6"/>
      <c r="D893" s="6"/>
      <c r="E893" s="6"/>
      <c r="F893" s="6"/>
      <c r="G893" s="6"/>
      <c r="H893" s="6"/>
      <c r="I893" s="6"/>
      <c r="J893" s="6"/>
      <c r="K893" s="6"/>
      <c r="L893" s="80"/>
      <c r="M893" s="80"/>
      <c r="N893" s="80"/>
      <c r="O893" s="80"/>
      <c r="P893" s="6"/>
      <c r="Q893" s="6"/>
      <c r="R893" s="6"/>
      <c r="S893" s="6"/>
      <c r="T893" s="6"/>
      <c r="U893" s="6"/>
      <c r="V893" s="6"/>
      <c r="W893" s="7"/>
      <c r="X893" s="7"/>
      <c r="Y893" s="7"/>
      <c r="Z893" s="7"/>
    </row>
    <row r="894">
      <c r="A894" s="6"/>
      <c r="B894" s="6"/>
      <c r="C894" s="6"/>
      <c r="D894" s="6"/>
      <c r="E894" s="6"/>
      <c r="F894" s="6"/>
      <c r="G894" s="6"/>
      <c r="H894" s="6"/>
      <c r="I894" s="6"/>
      <c r="J894" s="6"/>
      <c r="K894" s="6"/>
      <c r="L894" s="80"/>
      <c r="M894" s="80"/>
      <c r="N894" s="80"/>
      <c r="O894" s="80"/>
      <c r="P894" s="6"/>
      <c r="Q894" s="6"/>
      <c r="R894" s="6"/>
      <c r="S894" s="6"/>
      <c r="T894" s="6"/>
      <c r="U894" s="6"/>
      <c r="V894" s="6"/>
      <c r="W894" s="7"/>
      <c r="X894" s="7"/>
      <c r="Y894" s="7"/>
      <c r="Z894" s="7"/>
    </row>
    <row r="895">
      <c r="A895" s="6"/>
      <c r="B895" s="6"/>
      <c r="C895" s="6"/>
      <c r="D895" s="6"/>
      <c r="E895" s="6"/>
      <c r="F895" s="6"/>
      <c r="G895" s="6"/>
      <c r="H895" s="6"/>
      <c r="I895" s="6"/>
      <c r="J895" s="6"/>
      <c r="K895" s="6"/>
      <c r="L895" s="80"/>
      <c r="M895" s="80"/>
      <c r="N895" s="80"/>
      <c r="O895" s="80"/>
      <c r="P895" s="6"/>
      <c r="Q895" s="6"/>
      <c r="R895" s="6"/>
      <c r="S895" s="6"/>
      <c r="T895" s="6"/>
      <c r="U895" s="6"/>
      <c r="V895" s="6"/>
      <c r="W895" s="7"/>
      <c r="X895" s="7"/>
      <c r="Y895" s="7"/>
      <c r="Z895" s="7"/>
    </row>
    <row r="896">
      <c r="A896" s="6"/>
      <c r="B896" s="6"/>
      <c r="C896" s="6"/>
      <c r="D896" s="6"/>
      <c r="E896" s="6"/>
      <c r="F896" s="6"/>
      <c r="G896" s="6"/>
      <c r="H896" s="6"/>
      <c r="I896" s="6"/>
      <c r="J896" s="6"/>
      <c r="K896" s="6"/>
      <c r="L896" s="80"/>
      <c r="M896" s="80"/>
      <c r="N896" s="80"/>
      <c r="O896" s="80"/>
      <c r="P896" s="6"/>
      <c r="Q896" s="6"/>
      <c r="R896" s="6"/>
      <c r="S896" s="6"/>
      <c r="T896" s="6"/>
      <c r="U896" s="6"/>
      <c r="V896" s="6"/>
      <c r="W896" s="7"/>
      <c r="X896" s="7"/>
      <c r="Y896" s="7"/>
      <c r="Z896" s="7"/>
    </row>
    <row r="897">
      <c r="A897" s="6"/>
      <c r="B897" s="6"/>
      <c r="C897" s="6"/>
      <c r="D897" s="6"/>
      <c r="E897" s="6"/>
      <c r="F897" s="6"/>
      <c r="G897" s="6"/>
      <c r="H897" s="6"/>
      <c r="I897" s="6"/>
      <c r="J897" s="6"/>
      <c r="K897" s="6"/>
      <c r="L897" s="80"/>
      <c r="M897" s="80"/>
      <c r="N897" s="80"/>
      <c r="O897" s="80"/>
      <c r="P897" s="6"/>
      <c r="Q897" s="6"/>
      <c r="R897" s="6"/>
      <c r="S897" s="6"/>
      <c r="T897" s="6"/>
      <c r="U897" s="6"/>
      <c r="V897" s="6"/>
      <c r="W897" s="7"/>
      <c r="X897" s="7"/>
      <c r="Y897" s="7"/>
      <c r="Z897" s="7"/>
    </row>
    <row r="898">
      <c r="A898" s="6"/>
      <c r="B898" s="6"/>
      <c r="C898" s="6"/>
      <c r="D898" s="6"/>
      <c r="E898" s="6"/>
      <c r="F898" s="6"/>
      <c r="G898" s="6"/>
      <c r="H898" s="6"/>
      <c r="I898" s="6"/>
      <c r="J898" s="6"/>
      <c r="K898" s="6"/>
      <c r="L898" s="80"/>
      <c r="M898" s="80"/>
      <c r="N898" s="80"/>
      <c r="O898" s="80"/>
      <c r="P898" s="6"/>
      <c r="Q898" s="6"/>
      <c r="R898" s="6"/>
      <c r="S898" s="6"/>
      <c r="T898" s="6"/>
      <c r="U898" s="6"/>
      <c r="V898" s="6"/>
      <c r="W898" s="7"/>
      <c r="X898" s="7"/>
      <c r="Y898" s="7"/>
      <c r="Z898" s="7"/>
    </row>
    <row r="899">
      <c r="A899" s="6"/>
      <c r="B899" s="6"/>
      <c r="C899" s="6"/>
      <c r="D899" s="6"/>
      <c r="E899" s="6"/>
      <c r="F899" s="6"/>
      <c r="G899" s="6"/>
      <c r="H899" s="6"/>
      <c r="I899" s="6"/>
      <c r="J899" s="6"/>
      <c r="K899" s="6"/>
      <c r="L899" s="80"/>
      <c r="M899" s="80"/>
      <c r="N899" s="80"/>
      <c r="O899" s="80"/>
      <c r="P899" s="6"/>
      <c r="Q899" s="6"/>
      <c r="R899" s="6"/>
      <c r="S899" s="6"/>
      <c r="T899" s="6"/>
      <c r="U899" s="6"/>
      <c r="V899" s="6"/>
      <c r="W899" s="7"/>
      <c r="X899" s="7"/>
      <c r="Y899" s="7"/>
      <c r="Z899" s="7"/>
    </row>
    <row r="900">
      <c r="A900" s="6"/>
      <c r="B900" s="6"/>
      <c r="C900" s="6"/>
      <c r="D900" s="6"/>
      <c r="E900" s="6"/>
      <c r="F900" s="6"/>
      <c r="G900" s="6"/>
      <c r="H900" s="6"/>
      <c r="I900" s="6"/>
      <c r="J900" s="6"/>
      <c r="K900" s="6"/>
      <c r="L900" s="80"/>
      <c r="M900" s="80"/>
      <c r="N900" s="80"/>
      <c r="O900" s="80"/>
      <c r="P900" s="6"/>
      <c r="Q900" s="6"/>
      <c r="R900" s="6"/>
      <c r="S900" s="6"/>
      <c r="T900" s="6"/>
      <c r="U900" s="6"/>
      <c r="V900" s="6"/>
      <c r="W900" s="7"/>
      <c r="X900" s="7"/>
      <c r="Y900" s="7"/>
      <c r="Z900" s="7"/>
    </row>
    <row r="901">
      <c r="A901" s="6"/>
      <c r="B901" s="6"/>
      <c r="C901" s="6"/>
      <c r="D901" s="6"/>
      <c r="E901" s="6"/>
      <c r="F901" s="6"/>
      <c r="G901" s="6"/>
      <c r="H901" s="6"/>
      <c r="I901" s="6"/>
      <c r="J901" s="6"/>
      <c r="K901" s="6"/>
      <c r="L901" s="80"/>
      <c r="M901" s="80"/>
      <c r="N901" s="80"/>
      <c r="O901" s="80"/>
      <c r="P901" s="6"/>
      <c r="Q901" s="6"/>
      <c r="R901" s="6"/>
      <c r="S901" s="6"/>
      <c r="T901" s="6"/>
      <c r="U901" s="6"/>
      <c r="V901" s="6"/>
      <c r="W901" s="7"/>
      <c r="X901" s="7"/>
      <c r="Y901" s="7"/>
      <c r="Z901" s="7"/>
    </row>
    <row r="902">
      <c r="A902" s="6"/>
      <c r="B902" s="6"/>
      <c r="C902" s="6"/>
      <c r="D902" s="6"/>
      <c r="E902" s="6"/>
      <c r="F902" s="6"/>
      <c r="G902" s="6"/>
      <c r="H902" s="6"/>
      <c r="I902" s="6"/>
      <c r="J902" s="6"/>
      <c r="K902" s="6"/>
      <c r="L902" s="80"/>
      <c r="M902" s="80"/>
      <c r="N902" s="80"/>
      <c r="O902" s="80"/>
      <c r="P902" s="6"/>
      <c r="Q902" s="6"/>
      <c r="R902" s="6"/>
      <c r="S902" s="6"/>
      <c r="T902" s="6"/>
      <c r="U902" s="6"/>
      <c r="V902" s="6"/>
      <c r="W902" s="7"/>
      <c r="X902" s="7"/>
      <c r="Y902" s="7"/>
      <c r="Z902" s="7"/>
    </row>
    <row r="903">
      <c r="A903" s="6"/>
      <c r="B903" s="6"/>
      <c r="C903" s="6"/>
      <c r="D903" s="6"/>
      <c r="E903" s="6"/>
      <c r="F903" s="6"/>
      <c r="G903" s="6"/>
      <c r="H903" s="6"/>
      <c r="I903" s="6"/>
      <c r="J903" s="6"/>
      <c r="K903" s="6"/>
      <c r="L903" s="80"/>
      <c r="M903" s="80"/>
      <c r="N903" s="80"/>
      <c r="O903" s="80"/>
      <c r="P903" s="6"/>
      <c r="Q903" s="6"/>
      <c r="R903" s="6"/>
      <c r="S903" s="6"/>
      <c r="T903" s="6"/>
      <c r="U903" s="6"/>
      <c r="V903" s="6"/>
      <c r="W903" s="7"/>
      <c r="X903" s="7"/>
      <c r="Y903" s="7"/>
      <c r="Z903" s="7"/>
    </row>
    <row r="904">
      <c r="A904" s="6"/>
      <c r="B904" s="6"/>
      <c r="C904" s="6"/>
      <c r="D904" s="6"/>
      <c r="E904" s="6"/>
      <c r="F904" s="6"/>
      <c r="G904" s="6"/>
      <c r="H904" s="6"/>
      <c r="I904" s="6"/>
      <c r="J904" s="6"/>
      <c r="K904" s="6"/>
      <c r="L904" s="80"/>
      <c r="M904" s="80"/>
      <c r="N904" s="80"/>
      <c r="O904" s="80"/>
      <c r="P904" s="6"/>
      <c r="Q904" s="6"/>
      <c r="R904" s="6"/>
      <c r="S904" s="6"/>
      <c r="T904" s="6"/>
      <c r="U904" s="6"/>
      <c r="V904" s="6"/>
      <c r="W904" s="7"/>
      <c r="X904" s="7"/>
      <c r="Y904" s="7"/>
      <c r="Z904" s="7"/>
    </row>
    <row r="905">
      <c r="A905" s="6"/>
      <c r="B905" s="6"/>
      <c r="C905" s="6"/>
      <c r="D905" s="6"/>
      <c r="E905" s="6"/>
      <c r="F905" s="6"/>
      <c r="G905" s="6"/>
      <c r="H905" s="6"/>
      <c r="I905" s="6"/>
      <c r="J905" s="6"/>
      <c r="K905" s="6"/>
      <c r="L905" s="80"/>
      <c r="M905" s="80"/>
      <c r="N905" s="80"/>
      <c r="O905" s="80"/>
      <c r="P905" s="6"/>
      <c r="Q905" s="6"/>
      <c r="R905" s="6"/>
      <c r="S905" s="6"/>
      <c r="T905" s="6"/>
      <c r="U905" s="6"/>
      <c r="V905" s="6"/>
      <c r="W905" s="7"/>
      <c r="X905" s="7"/>
      <c r="Y905" s="7"/>
      <c r="Z905" s="7"/>
    </row>
    <row r="906">
      <c r="A906" s="6"/>
      <c r="B906" s="6"/>
      <c r="C906" s="6"/>
      <c r="D906" s="6"/>
      <c r="E906" s="6"/>
      <c r="F906" s="6"/>
      <c r="G906" s="6"/>
      <c r="H906" s="6"/>
      <c r="I906" s="6"/>
      <c r="J906" s="6"/>
      <c r="K906" s="6"/>
      <c r="L906" s="80"/>
      <c r="M906" s="80"/>
      <c r="N906" s="80"/>
      <c r="O906" s="80"/>
      <c r="P906" s="6"/>
      <c r="Q906" s="6"/>
      <c r="R906" s="6"/>
      <c r="S906" s="6"/>
      <c r="T906" s="6"/>
      <c r="U906" s="6"/>
      <c r="V906" s="6"/>
      <c r="W906" s="7"/>
      <c r="X906" s="7"/>
      <c r="Y906" s="7"/>
      <c r="Z906" s="7"/>
    </row>
    <row r="907">
      <c r="A907" s="6"/>
      <c r="B907" s="6"/>
      <c r="C907" s="6"/>
      <c r="D907" s="6"/>
      <c r="E907" s="6"/>
      <c r="F907" s="6"/>
      <c r="G907" s="6"/>
      <c r="H907" s="6"/>
      <c r="I907" s="6"/>
      <c r="J907" s="6"/>
      <c r="K907" s="6"/>
      <c r="L907" s="80"/>
      <c r="M907" s="80"/>
      <c r="N907" s="80"/>
      <c r="O907" s="80"/>
      <c r="P907" s="6"/>
      <c r="Q907" s="6"/>
      <c r="R907" s="6"/>
      <c r="S907" s="6"/>
      <c r="T907" s="6"/>
      <c r="U907" s="6"/>
      <c r="V907" s="6"/>
      <c r="W907" s="7"/>
      <c r="X907" s="7"/>
      <c r="Y907" s="7"/>
      <c r="Z907" s="7"/>
    </row>
    <row r="908">
      <c r="A908" s="6"/>
      <c r="B908" s="6"/>
      <c r="C908" s="6"/>
      <c r="D908" s="6"/>
      <c r="E908" s="6"/>
      <c r="F908" s="6"/>
      <c r="G908" s="6"/>
      <c r="H908" s="6"/>
      <c r="I908" s="6"/>
      <c r="J908" s="6"/>
      <c r="K908" s="6"/>
      <c r="L908" s="80"/>
      <c r="M908" s="80"/>
      <c r="N908" s="80"/>
      <c r="O908" s="80"/>
      <c r="P908" s="6"/>
      <c r="Q908" s="6"/>
      <c r="R908" s="6"/>
      <c r="S908" s="6"/>
      <c r="T908" s="6"/>
      <c r="U908" s="6"/>
      <c r="V908" s="6"/>
      <c r="W908" s="7"/>
      <c r="X908" s="7"/>
      <c r="Y908" s="7"/>
      <c r="Z908" s="7"/>
    </row>
    <row r="909">
      <c r="A909" s="6"/>
      <c r="B909" s="6"/>
      <c r="C909" s="6"/>
      <c r="D909" s="6"/>
      <c r="E909" s="6"/>
      <c r="F909" s="6"/>
      <c r="G909" s="6"/>
      <c r="H909" s="6"/>
      <c r="I909" s="6"/>
      <c r="J909" s="6"/>
      <c r="K909" s="6"/>
      <c r="L909" s="80"/>
      <c r="M909" s="80"/>
      <c r="N909" s="80"/>
      <c r="O909" s="80"/>
      <c r="P909" s="6"/>
      <c r="Q909" s="6"/>
      <c r="R909" s="6"/>
      <c r="S909" s="6"/>
      <c r="T909" s="6"/>
      <c r="U909" s="6"/>
      <c r="V909" s="6"/>
      <c r="W909" s="7"/>
      <c r="X909" s="7"/>
      <c r="Y909" s="7"/>
      <c r="Z909" s="7"/>
    </row>
    <row r="910">
      <c r="A910" s="6"/>
      <c r="B910" s="6"/>
      <c r="C910" s="6"/>
      <c r="D910" s="6"/>
      <c r="E910" s="6"/>
      <c r="F910" s="6"/>
      <c r="G910" s="6"/>
      <c r="H910" s="6"/>
      <c r="I910" s="6"/>
      <c r="J910" s="6"/>
      <c r="K910" s="6"/>
      <c r="L910" s="80"/>
      <c r="M910" s="80"/>
      <c r="N910" s="80"/>
      <c r="O910" s="80"/>
      <c r="P910" s="6"/>
      <c r="Q910" s="6"/>
      <c r="R910" s="6"/>
      <c r="S910" s="6"/>
      <c r="T910" s="6"/>
      <c r="U910" s="6"/>
      <c r="V910" s="6"/>
      <c r="W910" s="7"/>
      <c r="X910" s="7"/>
      <c r="Y910" s="7"/>
      <c r="Z910" s="7"/>
    </row>
    <row r="911">
      <c r="A911" s="6"/>
      <c r="B911" s="6"/>
      <c r="C911" s="6"/>
      <c r="D911" s="6"/>
      <c r="E911" s="6"/>
      <c r="F911" s="6"/>
      <c r="G911" s="6"/>
      <c r="H911" s="6"/>
      <c r="I911" s="6"/>
      <c r="J911" s="6"/>
      <c r="K911" s="6"/>
      <c r="L911" s="80"/>
      <c r="M911" s="80"/>
      <c r="N911" s="80"/>
      <c r="O911" s="80"/>
      <c r="P911" s="6"/>
      <c r="Q911" s="6"/>
      <c r="R911" s="6"/>
      <c r="S911" s="6"/>
      <c r="T911" s="6"/>
      <c r="U911" s="6"/>
      <c r="V911" s="6"/>
      <c r="W911" s="7"/>
      <c r="X911" s="7"/>
      <c r="Y911" s="7"/>
      <c r="Z911" s="7"/>
    </row>
    <row r="912">
      <c r="A912" s="6"/>
      <c r="B912" s="6"/>
      <c r="C912" s="6"/>
      <c r="D912" s="6"/>
      <c r="E912" s="6"/>
      <c r="F912" s="6"/>
      <c r="G912" s="6"/>
      <c r="H912" s="6"/>
      <c r="I912" s="6"/>
      <c r="J912" s="6"/>
      <c r="K912" s="6"/>
      <c r="L912" s="80"/>
      <c r="M912" s="80"/>
      <c r="N912" s="80"/>
      <c r="O912" s="80"/>
      <c r="P912" s="6"/>
      <c r="Q912" s="6"/>
      <c r="R912" s="6"/>
      <c r="S912" s="6"/>
      <c r="T912" s="6"/>
      <c r="U912" s="6"/>
      <c r="V912" s="6"/>
      <c r="W912" s="7"/>
      <c r="X912" s="7"/>
      <c r="Y912" s="7"/>
      <c r="Z912" s="7"/>
    </row>
    <row r="913">
      <c r="A913" s="6"/>
      <c r="B913" s="6"/>
      <c r="C913" s="6"/>
      <c r="D913" s="6"/>
      <c r="E913" s="6"/>
      <c r="F913" s="6"/>
      <c r="G913" s="6"/>
      <c r="H913" s="6"/>
      <c r="I913" s="6"/>
      <c r="J913" s="6"/>
      <c r="K913" s="6"/>
      <c r="L913" s="80"/>
      <c r="M913" s="80"/>
      <c r="N913" s="80"/>
      <c r="O913" s="80"/>
      <c r="P913" s="6"/>
      <c r="Q913" s="6"/>
      <c r="R913" s="6"/>
      <c r="S913" s="6"/>
      <c r="T913" s="6"/>
      <c r="U913" s="6"/>
      <c r="V913" s="6"/>
      <c r="W913" s="7"/>
      <c r="X913" s="7"/>
      <c r="Y913" s="7"/>
      <c r="Z913" s="7"/>
    </row>
    <row r="914">
      <c r="A914" s="6"/>
      <c r="B914" s="6"/>
      <c r="C914" s="6"/>
      <c r="D914" s="6"/>
      <c r="E914" s="6"/>
      <c r="F914" s="6"/>
      <c r="G914" s="6"/>
      <c r="H914" s="6"/>
      <c r="I914" s="6"/>
      <c r="J914" s="6"/>
      <c r="K914" s="6"/>
      <c r="L914" s="80"/>
      <c r="M914" s="80"/>
      <c r="N914" s="80"/>
      <c r="O914" s="80"/>
      <c r="P914" s="6"/>
      <c r="Q914" s="6"/>
      <c r="R914" s="6"/>
      <c r="S914" s="6"/>
      <c r="T914" s="6"/>
      <c r="U914" s="6"/>
      <c r="V914" s="6"/>
      <c r="W914" s="7"/>
      <c r="X914" s="7"/>
      <c r="Y914" s="7"/>
      <c r="Z914" s="7"/>
    </row>
    <row r="915">
      <c r="A915" s="6"/>
      <c r="B915" s="6"/>
      <c r="C915" s="6"/>
      <c r="D915" s="6"/>
      <c r="E915" s="6"/>
      <c r="F915" s="6"/>
      <c r="G915" s="6"/>
      <c r="H915" s="6"/>
      <c r="I915" s="6"/>
      <c r="J915" s="6"/>
      <c r="K915" s="6"/>
      <c r="L915" s="80"/>
      <c r="M915" s="80"/>
      <c r="N915" s="80"/>
      <c r="O915" s="80"/>
      <c r="P915" s="6"/>
      <c r="Q915" s="6"/>
      <c r="R915" s="6"/>
      <c r="S915" s="6"/>
      <c r="T915" s="6"/>
      <c r="U915" s="6"/>
      <c r="V915" s="6"/>
      <c r="W915" s="7"/>
      <c r="X915" s="7"/>
      <c r="Y915" s="7"/>
      <c r="Z915" s="7"/>
    </row>
    <row r="916">
      <c r="A916" s="6"/>
      <c r="B916" s="6"/>
      <c r="C916" s="6"/>
      <c r="D916" s="6"/>
      <c r="E916" s="6"/>
      <c r="F916" s="6"/>
      <c r="G916" s="6"/>
      <c r="H916" s="6"/>
      <c r="I916" s="6"/>
      <c r="J916" s="6"/>
      <c r="K916" s="6"/>
      <c r="L916" s="80"/>
      <c r="M916" s="80"/>
      <c r="N916" s="80"/>
      <c r="O916" s="80"/>
      <c r="P916" s="6"/>
      <c r="Q916" s="6"/>
      <c r="R916" s="6"/>
      <c r="S916" s="6"/>
      <c r="T916" s="6"/>
      <c r="U916" s="6"/>
      <c r="V916" s="6"/>
      <c r="W916" s="7"/>
      <c r="X916" s="7"/>
      <c r="Y916" s="7"/>
      <c r="Z916" s="7"/>
    </row>
    <row r="917">
      <c r="A917" s="6"/>
      <c r="B917" s="6"/>
      <c r="C917" s="6"/>
      <c r="D917" s="6"/>
      <c r="E917" s="6"/>
      <c r="F917" s="6"/>
      <c r="G917" s="6"/>
      <c r="H917" s="6"/>
      <c r="I917" s="6"/>
      <c r="J917" s="6"/>
      <c r="K917" s="6"/>
      <c r="L917" s="80"/>
      <c r="M917" s="80"/>
      <c r="N917" s="80"/>
      <c r="O917" s="80"/>
      <c r="P917" s="6"/>
      <c r="Q917" s="6"/>
      <c r="R917" s="6"/>
      <c r="S917" s="6"/>
      <c r="T917" s="6"/>
      <c r="U917" s="6"/>
      <c r="V917" s="6"/>
      <c r="W917" s="7"/>
      <c r="X917" s="7"/>
      <c r="Y917" s="7"/>
      <c r="Z917" s="7"/>
    </row>
    <row r="918">
      <c r="A918" s="6"/>
      <c r="B918" s="6"/>
      <c r="C918" s="6"/>
      <c r="D918" s="6"/>
      <c r="E918" s="6"/>
      <c r="F918" s="6"/>
      <c r="G918" s="6"/>
      <c r="H918" s="6"/>
      <c r="I918" s="6"/>
      <c r="J918" s="6"/>
      <c r="K918" s="6"/>
      <c r="L918" s="80"/>
      <c r="M918" s="80"/>
      <c r="N918" s="80"/>
      <c r="O918" s="80"/>
      <c r="P918" s="6"/>
      <c r="Q918" s="6"/>
      <c r="R918" s="6"/>
      <c r="S918" s="6"/>
      <c r="T918" s="6"/>
      <c r="U918" s="6"/>
      <c r="V918" s="6"/>
      <c r="W918" s="7"/>
      <c r="X918" s="7"/>
      <c r="Y918" s="7"/>
      <c r="Z918" s="7"/>
    </row>
    <row r="919">
      <c r="A919" s="6"/>
      <c r="B919" s="6"/>
      <c r="C919" s="6"/>
      <c r="D919" s="6"/>
      <c r="E919" s="6"/>
      <c r="F919" s="6"/>
      <c r="G919" s="6"/>
      <c r="H919" s="6"/>
      <c r="I919" s="6"/>
      <c r="J919" s="6"/>
      <c r="K919" s="6"/>
      <c r="L919" s="80"/>
      <c r="M919" s="80"/>
      <c r="N919" s="80"/>
      <c r="O919" s="80"/>
      <c r="P919" s="6"/>
      <c r="Q919" s="6"/>
      <c r="R919" s="6"/>
      <c r="S919" s="6"/>
      <c r="T919" s="6"/>
      <c r="U919" s="6"/>
      <c r="V919" s="6"/>
      <c r="W919" s="7"/>
      <c r="X919" s="7"/>
      <c r="Y919" s="7"/>
      <c r="Z919" s="7"/>
    </row>
    <row r="920">
      <c r="A920" s="6"/>
      <c r="B920" s="6"/>
      <c r="C920" s="6"/>
      <c r="D920" s="6"/>
      <c r="E920" s="6"/>
      <c r="F920" s="6"/>
      <c r="G920" s="6"/>
      <c r="H920" s="6"/>
      <c r="I920" s="6"/>
      <c r="J920" s="6"/>
      <c r="K920" s="6"/>
      <c r="L920" s="80"/>
      <c r="M920" s="80"/>
      <c r="N920" s="80"/>
      <c r="O920" s="80"/>
      <c r="P920" s="6"/>
      <c r="Q920" s="6"/>
      <c r="R920" s="6"/>
      <c r="S920" s="6"/>
      <c r="T920" s="6"/>
      <c r="U920" s="6"/>
      <c r="V920" s="6"/>
      <c r="W920" s="7"/>
      <c r="X920" s="7"/>
      <c r="Y920" s="7"/>
      <c r="Z920" s="7"/>
    </row>
    <row r="921">
      <c r="A921" s="6"/>
      <c r="B921" s="6"/>
      <c r="C921" s="6"/>
      <c r="D921" s="6"/>
      <c r="E921" s="6"/>
      <c r="F921" s="6"/>
      <c r="G921" s="6"/>
      <c r="H921" s="6"/>
      <c r="I921" s="6"/>
      <c r="J921" s="6"/>
      <c r="K921" s="6"/>
      <c r="L921" s="80"/>
      <c r="M921" s="80"/>
      <c r="N921" s="80"/>
      <c r="O921" s="80"/>
      <c r="P921" s="6"/>
      <c r="Q921" s="6"/>
      <c r="R921" s="6"/>
      <c r="S921" s="6"/>
      <c r="T921" s="6"/>
      <c r="U921" s="6"/>
      <c r="V921" s="6"/>
      <c r="W921" s="7"/>
      <c r="X921" s="7"/>
      <c r="Y921" s="7"/>
      <c r="Z921" s="7"/>
    </row>
    <row r="922">
      <c r="A922" s="6"/>
      <c r="B922" s="6"/>
      <c r="C922" s="6"/>
      <c r="D922" s="6"/>
      <c r="E922" s="6"/>
      <c r="F922" s="6"/>
      <c r="G922" s="6"/>
      <c r="H922" s="6"/>
      <c r="I922" s="6"/>
      <c r="J922" s="6"/>
      <c r="K922" s="6"/>
      <c r="L922" s="80"/>
      <c r="M922" s="80"/>
      <c r="N922" s="80"/>
      <c r="O922" s="80"/>
      <c r="P922" s="6"/>
      <c r="Q922" s="6"/>
      <c r="R922" s="6"/>
      <c r="S922" s="6"/>
      <c r="T922" s="6"/>
      <c r="U922" s="6"/>
      <c r="V922" s="6"/>
      <c r="W922" s="7"/>
      <c r="X922" s="7"/>
      <c r="Y922" s="7"/>
      <c r="Z922" s="7"/>
    </row>
    <row r="923">
      <c r="A923" s="6"/>
      <c r="B923" s="6"/>
      <c r="C923" s="6"/>
      <c r="D923" s="6"/>
      <c r="E923" s="6"/>
      <c r="F923" s="6"/>
      <c r="G923" s="6"/>
      <c r="H923" s="6"/>
      <c r="I923" s="6"/>
      <c r="J923" s="6"/>
      <c r="K923" s="6"/>
      <c r="L923" s="80"/>
      <c r="M923" s="80"/>
      <c r="N923" s="80"/>
      <c r="O923" s="80"/>
      <c r="P923" s="6"/>
      <c r="Q923" s="6"/>
      <c r="R923" s="6"/>
      <c r="S923" s="6"/>
      <c r="T923" s="6"/>
      <c r="U923" s="6"/>
      <c r="V923" s="6"/>
      <c r="W923" s="7"/>
      <c r="X923" s="7"/>
      <c r="Y923" s="7"/>
      <c r="Z923" s="7"/>
    </row>
    <row r="924">
      <c r="A924" s="6"/>
      <c r="B924" s="6"/>
      <c r="C924" s="6"/>
      <c r="D924" s="6"/>
      <c r="E924" s="6"/>
      <c r="F924" s="6"/>
      <c r="G924" s="6"/>
      <c r="H924" s="6"/>
      <c r="I924" s="6"/>
      <c r="J924" s="6"/>
      <c r="K924" s="6"/>
      <c r="L924" s="80"/>
      <c r="M924" s="80"/>
      <c r="N924" s="80"/>
      <c r="O924" s="80"/>
      <c r="P924" s="6"/>
      <c r="Q924" s="6"/>
      <c r="R924" s="6"/>
      <c r="S924" s="6"/>
      <c r="T924" s="6"/>
      <c r="U924" s="6"/>
      <c r="V924" s="6"/>
      <c r="W924" s="7"/>
      <c r="X924" s="7"/>
      <c r="Y924" s="7"/>
      <c r="Z924" s="7"/>
    </row>
    <row r="925">
      <c r="A925" s="6"/>
      <c r="B925" s="6"/>
      <c r="C925" s="6"/>
      <c r="D925" s="6"/>
      <c r="E925" s="6"/>
      <c r="F925" s="6"/>
      <c r="G925" s="6"/>
      <c r="H925" s="6"/>
      <c r="I925" s="6"/>
      <c r="J925" s="6"/>
      <c r="K925" s="6"/>
      <c r="L925" s="80"/>
      <c r="M925" s="80"/>
      <c r="N925" s="80"/>
      <c r="O925" s="80"/>
      <c r="P925" s="6"/>
      <c r="Q925" s="6"/>
      <c r="R925" s="6"/>
      <c r="S925" s="6"/>
      <c r="T925" s="6"/>
      <c r="U925" s="6"/>
      <c r="V925" s="6"/>
      <c r="W925" s="7"/>
      <c r="X925" s="7"/>
      <c r="Y925" s="7"/>
      <c r="Z925" s="7"/>
    </row>
    <row r="926">
      <c r="A926" s="6"/>
      <c r="B926" s="6"/>
      <c r="C926" s="6"/>
      <c r="D926" s="6"/>
      <c r="E926" s="6"/>
      <c r="F926" s="6"/>
      <c r="G926" s="6"/>
      <c r="H926" s="6"/>
      <c r="I926" s="6"/>
      <c r="J926" s="6"/>
      <c r="K926" s="6"/>
      <c r="L926" s="80"/>
      <c r="M926" s="80"/>
      <c r="N926" s="80"/>
      <c r="O926" s="80"/>
      <c r="P926" s="6"/>
      <c r="Q926" s="6"/>
      <c r="R926" s="6"/>
      <c r="S926" s="6"/>
      <c r="T926" s="6"/>
      <c r="U926" s="6"/>
      <c r="V926" s="6"/>
      <c r="W926" s="7"/>
      <c r="X926" s="7"/>
      <c r="Y926" s="7"/>
      <c r="Z926" s="7"/>
    </row>
    <row r="927">
      <c r="A927" s="6"/>
      <c r="B927" s="6"/>
      <c r="C927" s="6"/>
      <c r="D927" s="6"/>
      <c r="E927" s="6"/>
      <c r="F927" s="6"/>
      <c r="G927" s="6"/>
      <c r="H927" s="6"/>
      <c r="I927" s="6"/>
      <c r="J927" s="6"/>
      <c r="K927" s="6"/>
      <c r="L927" s="80"/>
      <c r="M927" s="80"/>
      <c r="N927" s="80"/>
      <c r="O927" s="80"/>
      <c r="P927" s="6"/>
      <c r="Q927" s="6"/>
      <c r="R927" s="6"/>
      <c r="S927" s="6"/>
      <c r="T927" s="6"/>
      <c r="U927" s="6"/>
      <c r="V927" s="6"/>
      <c r="W927" s="7"/>
      <c r="X927" s="7"/>
      <c r="Y927" s="7"/>
      <c r="Z927" s="7"/>
    </row>
    <row r="928">
      <c r="A928" s="6"/>
      <c r="B928" s="6"/>
      <c r="C928" s="6"/>
      <c r="D928" s="6"/>
      <c r="E928" s="6"/>
      <c r="F928" s="6"/>
      <c r="G928" s="6"/>
      <c r="H928" s="6"/>
      <c r="I928" s="6"/>
      <c r="J928" s="6"/>
      <c r="K928" s="6"/>
      <c r="L928" s="80"/>
      <c r="M928" s="80"/>
      <c r="N928" s="80"/>
      <c r="O928" s="80"/>
      <c r="P928" s="6"/>
      <c r="Q928" s="6"/>
      <c r="R928" s="6"/>
      <c r="S928" s="6"/>
      <c r="T928" s="6"/>
      <c r="U928" s="6"/>
      <c r="V928" s="6"/>
      <c r="W928" s="7"/>
      <c r="X928" s="7"/>
      <c r="Y928" s="7"/>
      <c r="Z928" s="7"/>
    </row>
    <row r="929">
      <c r="A929" s="6"/>
      <c r="B929" s="6"/>
      <c r="C929" s="6"/>
      <c r="D929" s="6"/>
      <c r="E929" s="6"/>
      <c r="F929" s="6"/>
      <c r="G929" s="6"/>
      <c r="H929" s="6"/>
      <c r="I929" s="6"/>
      <c r="J929" s="6"/>
      <c r="K929" s="6"/>
      <c r="L929" s="80"/>
      <c r="M929" s="80"/>
      <c r="N929" s="80"/>
      <c r="O929" s="80"/>
      <c r="P929" s="6"/>
      <c r="Q929" s="6"/>
      <c r="R929" s="6"/>
      <c r="S929" s="6"/>
      <c r="T929" s="6"/>
      <c r="U929" s="6"/>
      <c r="V929" s="6"/>
      <c r="W929" s="7"/>
      <c r="X929" s="7"/>
      <c r="Y929" s="7"/>
      <c r="Z929" s="7"/>
    </row>
    <row r="930">
      <c r="A930" s="6"/>
      <c r="B930" s="6"/>
      <c r="C930" s="6"/>
      <c r="D930" s="6"/>
      <c r="E930" s="6"/>
      <c r="F930" s="6"/>
      <c r="G930" s="6"/>
      <c r="H930" s="6"/>
      <c r="I930" s="6"/>
      <c r="J930" s="6"/>
      <c r="K930" s="6"/>
      <c r="L930" s="80"/>
      <c r="M930" s="80"/>
      <c r="N930" s="80"/>
      <c r="O930" s="80"/>
      <c r="P930" s="6"/>
      <c r="Q930" s="6"/>
      <c r="R930" s="6"/>
      <c r="S930" s="6"/>
      <c r="T930" s="6"/>
      <c r="U930" s="6"/>
      <c r="V930" s="6"/>
      <c r="W930" s="7"/>
      <c r="X930" s="7"/>
      <c r="Y930" s="7"/>
      <c r="Z930" s="7"/>
    </row>
    <row r="931">
      <c r="A931" s="6"/>
      <c r="B931" s="6"/>
      <c r="C931" s="6"/>
      <c r="D931" s="6"/>
      <c r="E931" s="6"/>
      <c r="F931" s="6"/>
      <c r="G931" s="6"/>
      <c r="H931" s="6"/>
      <c r="I931" s="6"/>
      <c r="J931" s="6"/>
      <c r="K931" s="6"/>
      <c r="L931" s="80"/>
      <c r="M931" s="80"/>
      <c r="N931" s="80"/>
      <c r="O931" s="80"/>
      <c r="P931" s="6"/>
      <c r="Q931" s="6"/>
      <c r="R931" s="6"/>
      <c r="S931" s="6"/>
      <c r="T931" s="6"/>
      <c r="U931" s="6"/>
      <c r="V931" s="6"/>
      <c r="W931" s="7"/>
      <c r="X931" s="7"/>
      <c r="Y931" s="7"/>
      <c r="Z931" s="7"/>
    </row>
    <row r="932">
      <c r="A932" s="6"/>
      <c r="B932" s="6"/>
      <c r="C932" s="6"/>
      <c r="D932" s="6"/>
      <c r="E932" s="6"/>
      <c r="F932" s="6"/>
      <c r="G932" s="6"/>
      <c r="H932" s="6"/>
      <c r="I932" s="6"/>
      <c r="J932" s="6"/>
      <c r="K932" s="6"/>
      <c r="L932" s="80"/>
      <c r="M932" s="80"/>
      <c r="N932" s="80"/>
      <c r="O932" s="80"/>
      <c r="P932" s="6"/>
      <c r="Q932" s="6"/>
      <c r="R932" s="6"/>
      <c r="S932" s="6"/>
      <c r="T932" s="6"/>
      <c r="U932" s="6"/>
      <c r="V932" s="6"/>
      <c r="W932" s="7"/>
      <c r="X932" s="7"/>
      <c r="Y932" s="7"/>
      <c r="Z932" s="7"/>
    </row>
    <row r="933">
      <c r="A933" s="6"/>
      <c r="B933" s="6"/>
      <c r="C933" s="6"/>
      <c r="D933" s="6"/>
      <c r="E933" s="6"/>
      <c r="F933" s="6"/>
      <c r="G933" s="6"/>
      <c r="H933" s="6"/>
      <c r="I933" s="6"/>
      <c r="J933" s="6"/>
      <c r="K933" s="6"/>
      <c r="L933" s="80"/>
      <c r="M933" s="80"/>
      <c r="N933" s="80"/>
      <c r="O933" s="80"/>
      <c r="P933" s="6"/>
      <c r="Q933" s="6"/>
      <c r="R933" s="6"/>
      <c r="S933" s="6"/>
      <c r="T933" s="6"/>
      <c r="U933" s="6"/>
      <c r="V933" s="6"/>
      <c r="W933" s="7"/>
      <c r="X933" s="7"/>
      <c r="Y933" s="7"/>
      <c r="Z933" s="7"/>
    </row>
    <row r="934">
      <c r="A934" s="6"/>
      <c r="B934" s="6"/>
      <c r="C934" s="6"/>
      <c r="D934" s="6"/>
      <c r="E934" s="6"/>
      <c r="F934" s="6"/>
      <c r="G934" s="6"/>
      <c r="H934" s="6"/>
      <c r="I934" s="6"/>
      <c r="J934" s="6"/>
      <c r="K934" s="6"/>
      <c r="L934" s="80"/>
      <c r="M934" s="80"/>
      <c r="N934" s="80"/>
      <c r="O934" s="80"/>
      <c r="P934" s="6"/>
      <c r="Q934" s="6"/>
      <c r="R934" s="6"/>
      <c r="S934" s="6"/>
      <c r="T934" s="6"/>
      <c r="U934" s="6"/>
      <c r="V934" s="6"/>
      <c r="W934" s="7"/>
      <c r="X934" s="7"/>
      <c r="Y934" s="7"/>
      <c r="Z934" s="7"/>
    </row>
    <row r="935">
      <c r="A935" s="6"/>
      <c r="B935" s="6"/>
      <c r="C935" s="6"/>
      <c r="D935" s="6"/>
      <c r="E935" s="6"/>
      <c r="F935" s="6"/>
      <c r="G935" s="6"/>
      <c r="H935" s="6"/>
      <c r="I935" s="6"/>
      <c r="J935" s="6"/>
      <c r="K935" s="6"/>
      <c r="L935" s="80"/>
      <c r="M935" s="80"/>
      <c r="N935" s="80"/>
      <c r="O935" s="80"/>
      <c r="P935" s="6"/>
      <c r="Q935" s="6"/>
      <c r="R935" s="6"/>
      <c r="S935" s="6"/>
      <c r="T935" s="6"/>
      <c r="U935" s="6"/>
      <c r="V935" s="6"/>
      <c r="W935" s="7"/>
      <c r="X935" s="7"/>
      <c r="Y935" s="7"/>
      <c r="Z935" s="7"/>
    </row>
    <row r="936">
      <c r="A936" s="6"/>
      <c r="B936" s="6"/>
      <c r="C936" s="6"/>
      <c r="D936" s="6"/>
      <c r="E936" s="6"/>
      <c r="F936" s="6"/>
      <c r="G936" s="6"/>
      <c r="H936" s="6"/>
      <c r="I936" s="6"/>
      <c r="J936" s="6"/>
      <c r="K936" s="6"/>
      <c r="L936" s="80"/>
      <c r="M936" s="80"/>
      <c r="N936" s="80"/>
      <c r="O936" s="80"/>
      <c r="P936" s="6"/>
      <c r="Q936" s="6"/>
      <c r="R936" s="6"/>
      <c r="S936" s="6"/>
      <c r="T936" s="6"/>
      <c r="U936" s="6"/>
      <c r="V936" s="6"/>
      <c r="W936" s="7"/>
      <c r="X936" s="7"/>
      <c r="Y936" s="7"/>
      <c r="Z936" s="7"/>
    </row>
    <row r="937">
      <c r="A937" s="6"/>
      <c r="B937" s="6"/>
      <c r="C937" s="6"/>
      <c r="D937" s="6"/>
      <c r="E937" s="6"/>
      <c r="F937" s="6"/>
      <c r="G937" s="6"/>
      <c r="H937" s="6"/>
      <c r="I937" s="6"/>
      <c r="J937" s="6"/>
      <c r="K937" s="6"/>
      <c r="L937" s="80"/>
      <c r="M937" s="80"/>
      <c r="N937" s="80"/>
      <c r="O937" s="80"/>
      <c r="P937" s="6"/>
      <c r="Q937" s="6"/>
      <c r="R937" s="6"/>
      <c r="S937" s="6"/>
      <c r="T937" s="6"/>
      <c r="U937" s="6"/>
      <c r="V937" s="6"/>
      <c r="W937" s="7"/>
      <c r="X937" s="7"/>
      <c r="Y937" s="7"/>
      <c r="Z937" s="7"/>
    </row>
    <row r="938">
      <c r="A938" s="6"/>
      <c r="B938" s="6"/>
      <c r="C938" s="6"/>
      <c r="D938" s="6"/>
      <c r="E938" s="6"/>
      <c r="F938" s="6"/>
      <c r="G938" s="6"/>
      <c r="H938" s="6"/>
      <c r="I938" s="6"/>
      <c r="J938" s="6"/>
      <c r="K938" s="6"/>
      <c r="L938" s="80"/>
      <c r="M938" s="80"/>
      <c r="N938" s="80"/>
      <c r="O938" s="80"/>
      <c r="P938" s="6"/>
      <c r="Q938" s="6"/>
      <c r="R938" s="6"/>
      <c r="S938" s="6"/>
      <c r="T938" s="6"/>
      <c r="U938" s="6"/>
      <c r="V938" s="6"/>
      <c r="W938" s="7"/>
      <c r="X938" s="7"/>
      <c r="Y938" s="7"/>
      <c r="Z938" s="7"/>
    </row>
    <row r="939">
      <c r="A939" s="6"/>
      <c r="B939" s="6"/>
      <c r="C939" s="6"/>
      <c r="D939" s="6"/>
      <c r="E939" s="6"/>
      <c r="F939" s="6"/>
      <c r="G939" s="6"/>
      <c r="H939" s="6"/>
      <c r="I939" s="6"/>
      <c r="J939" s="6"/>
      <c r="K939" s="6"/>
      <c r="L939" s="80"/>
      <c r="M939" s="80"/>
      <c r="N939" s="80"/>
      <c r="O939" s="80"/>
      <c r="P939" s="6"/>
      <c r="Q939" s="6"/>
      <c r="R939" s="6"/>
      <c r="S939" s="6"/>
      <c r="T939" s="6"/>
      <c r="U939" s="6"/>
      <c r="V939" s="6"/>
      <c r="W939" s="7"/>
      <c r="X939" s="7"/>
      <c r="Y939" s="7"/>
      <c r="Z939" s="7"/>
    </row>
    <row r="940">
      <c r="A940" s="6"/>
      <c r="B940" s="6"/>
      <c r="C940" s="6"/>
      <c r="D940" s="6"/>
      <c r="E940" s="6"/>
      <c r="F940" s="6"/>
      <c r="G940" s="6"/>
      <c r="H940" s="6"/>
      <c r="I940" s="6"/>
      <c r="J940" s="6"/>
      <c r="K940" s="6"/>
      <c r="L940" s="80"/>
      <c r="M940" s="80"/>
      <c r="N940" s="80"/>
      <c r="O940" s="80"/>
      <c r="P940" s="6"/>
      <c r="Q940" s="6"/>
      <c r="R940" s="6"/>
      <c r="S940" s="6"/>
      <c r="T940" s="6"/>
      <c r="U940" s="6"/>
      <c r="V940" s="6"/>
      <c r="W940" s="7"/>
      <c r="X940" s="7"/>
      <c r="Y940" s="7"/>
      <c r="Z940" s="7"/>
    </row>
    <row r="941">
      <c r="A941" s="6"/>
      <c r="B941" s="6"/>
      <c r="C941" s="6"/>
      <c r="D941" s="6"/>
      <c r="E941" s="6"/>
      <c r="F941" s="6"/>
      <c r="G941" s="6"/>
      <c r="H941" s="6"/>
      <c r="I941" s="6"/>
      <c r="J941" s="6"/>
      <c r="K941" s="6"/>
      <c r="L941" s="80"/>
      <c r="M941" s="80"/>
      <c r="N941" s="80"/>
      <c r="O941" s="80"/>
      <c r="P941" s="6"/>
      <c r="Q941" s="6"/>
      <c r="R941" s="6"/>
      <c r="S941" s="6"/>
      <c r="T941" s="6"/>
      <c r="U941" s="6"/>
      <c r="V941" s="6"/>
      <c r="W941" s="7"/>
      <c r="X941" s="7"/>
      <c r="Y941" s="7"/>
      <c r="Z941" s="7"/>
    </row>
    <row r="942">
      <c r="A942" s="6"/>
      <c r="B942" s="6"/>
      <c r="C942" s="6"/>
      <c r="D942" s="6"/>
      <c r="E942" s="6"/>
      <c r="F942" s="6"/>
      <c r="G942" s="6"/>
      <c r="H942" s="6"/>
      <c r="I942" s="6"/>
      <c r="J942" s="6"/>
      <c r="K942" s="6"/>
      <c r="L942" s="80"/>
      <c r="M942" s="80"/>
      <c r="N942" s="80"/>
      <c r="O942" s="80"/>
      <c r="P942" s="6"/>
      <c r="Q942" s="6"/>
      <c r="R942" s="6"/>
      <c r="S942" s="6"/>
      <c r="T942" s="6"/>
      <c r="U942" s="6"/>
      <c r="V942" s="6"/>
      <c r="W942" s="7"/>
      <c r="X942" s="7"/>
      <c r="Y942" s="7"/>
      <c r="Z942" s="7"/>
    </row>
    <row r="943">
      <c r="A943" s="6"/>
      <c r="B943" s="6"/>
      <c r="C943" s="6"/>
      <c r="D943" s="6"/>
      <c r="E943" s="6"/>
      <c r="F943" s="6"/>
      <c r="G943" s="6"/>
      <c r="H943" s="6"/>
      <c r="I943" s="6"/>
      <c r="J943" s="6"/>
      <c r="K943" s="6"/>
      <c r="L943" s="80"/>
      <c r="M943" s="80"/>
      <c r="N943" s="80"/>
      <c r="O943" s="80"/>
      <c r="P943" s="6"/>
      <c r="Q943" s="6"/>
      <c r="R943" s="6"/>
      <c r="S943" s="6"/>
      <c r="T943" s="6"/>
      <c r="U943" s="6"/>
      <c r="V943" s="6"/>
      <c r="W943" s="7"/>
      <c r="X943" s="7"/>
      <c r="Y943" s="7"/>
      <c r="Z943" s="7"/>
    </row>
    <row r="944">
      <c r="A944" s="6"/>
      <c r="B944" s="6"/>
      <c r="C944" s="6"/>
      <c r="D944" s="6"/>
      <c r="E944" s="6"/>
      <c r="F944" s="6"/>
      <c r="G944" s="6"/>
      <c r="H944" s="6"/>
      <c r="I944" s="6"/>
      <c r="J944" s="6"/>
      <c r="K944" s="6"/>
      <c r="L944" s="80"/>
      <c r="M944" s="80"/>
      <c r="N944" s="80"/>
      <c r="O944" s="80"/>
      <c r="P944" s="6"/>
      <c r="Q944" s="6"/>
      <c r="R944" s="6"/>
      <c r="S944" s="6"/>
      <c r="T944" s="6"/>
      <c r="U944" s="6"/>
      <c r="V944" s="6"/>
      <c r="W944" s="7"/>
      <c r="X944" s="7"/>
      <c r="Y944" s="7"/>
      <c r="Z944" s="7"/>
    </row>
    <row r="945">
      <c r="A945" s="6"/>
      <c r="B945" s="6"/>
      <c r="C945" s="6"/>
      <c r="D945" s="6"/>
      <c r="E945" s="6"/>
      <c r="F945" s="6"/>
      <c r="G945" s="6"/>
      <c r="H945" s="6"/>
      <c r="I945" s="6"/>
      <c r="J945" s="6"/>
      <c r="K945" s="6"/>
      <c r="L945" s="80"/>
      <c r="M945" s="80"/>
      <c r="N945" s="80"/>
      <c r="O945" s="80"/>
      <c r="P945" s="6"/>
      <c r="Q945" s="6"/>
      <c r="R945" s="6"/>
      <c r="S945" s="6"/>
      <c r="T945" s="6"/>
      <c r="U945" s="6"/>
      <c r="V945" s="6"/>
      <c r="W945" s="7"/>
      <c r="X945" s="7"/>
      <c r="Y945" s="7"/>
      <c r="Z945" s="7"/>
    </row>
    <row r="946">
      <c r="A946" s="6"/>
      <c r="B946" s="6"/>
      <c r="C946" s="6"/>
      <c r="D946" s="6"/>
      <c r="E946" s="6"/>
      <c r="F946" s="6"/>
      <c r="G946" s="6"/>
      <c r="H946" s="6"/>
      <c r="I946" s="6"/>
      <c r="J946" s="6"/>
      <c r="K946" s="6"/>
      <c r="L946" s="80"/>
      <c r="M946" s="80"/>
      <c r="N946" s="80"/>
      <c r="O946" s="80"/>
      <c r="P946" s="6"/>
      <c r="Q946" s="6"/>
      <c r="R946" s="6"/>
      <c r="S946" s="6"/>
      <c r="T946" s="6"/>
      <c r="U946" s="6"/>
      <c r="V946" s="6"/>
      <c r="W946" s="7"/>
      <c r="X946" s="7"/>
      <c r="Y946" s="7"/>
      <c r="Z946" s="7"/>
    </row>
    <row r="947">
      <c r="A947" s="6"/>
      <c r="B947" s="6"/>
      <c r="C947" s="6"/>
      <c r="D947" s="6"/>
      <c r="E947" s="6"/>
      <c r="F947" s="6"/>
      <c r="G947" s="6"/>
      <c r="H947" s="6"/>
      <c r="I947" s="6"/>
      <c r="J947" s="6"/>
      <c r="K947" s="6"/>
      <c r="L947" s="80"/>
      <c r="M947" s="80"/>
      <c r="N947" s="80"/>
      <c r="O947" s="80"/>
      <c r="P947" s="6"/>
      <c r="Q947" s="6"/>
      <c r="R947" s="6"/>
      <c r="S947" s="6"/>
      <c r="T947" s="6"/>
      <c r="U947" s="6"/>
      <c r="V947" s="6"/>
      <c r="W947" s="7"/>
      <c r="X947" s="7"/>
      <c r="Y947" s="7"/>
      <c r="Z947" s="7"/>
    </row>
    <row r="948">
      <c r="A948" s="6"/>
      <c r="B948" s="6"/>
      <c r="C948" s="6"/>
      <c r="D948" s="6"/>
      <c r="E948" s="6"/>
      <c r="F948" s="6"/>
      <c r="G948" s="6"/>
      <c r="H948" s="6"/>
      <c r="I948" s="6"/>
      <c r="J948" s="6"/>
      <c r="K948" s="6"/>
      <c r="L948" s="80"/>
      <c r="M948" s="80"/>
      <c r="N948" s="80"/>
      <c r="O948" s="80"/>
      <c r="P948" s="6"/>
      <c r="Q948" s="6"/>
      <c r="R948" s="6"/>
      <c r="S948" s="6"/>
      <c r="T948" s="6"/>
      <c r="U948" s="6"/>
      <c r="V948" s="6"/>
      <c r="W948" s="7"/>
      <c r="X948" s="7"/>
      <c r="Y948" s="7"/>
      <c r="Z948" s="7"/>
    </row>
    <row r="949">
      <c r="A949" s="6"/>
      <c r="B949" s="6"/>
      <c r="C949" s="6"/>
      <c r="D949" s="6"/>
      <c r="E949" s="6"/>
      <c r="F949" s="6"/>
      <c r="G949" s="6"/>
      <c r="H949" s="6"/>
      <c r="I949" s="6"/>
      <c r="J949" s="6"/>
      <c r="K949" s="6"/>
      <c r="L949" s="80"/>
      <c r="M949" s="80"/>
      <c r="N949" s="80"/>
      <c r="O949" s="80"/>
      <c r="P949" s="6"/>
      <c r="Q949" s="6"/>
      <c r="R949" s="6"/>
      <c r="S949" s="6"/>
      <c r="T949" s="6"/>
      <c r="U949" s="6"/>
      <c r="V949" s="6"/>
      <c r="W949" s="7"/>
      <c r="X949" s="7"/>
      <c r="Y949" s="7"/>
      <c r="Z949" s="7"/>
    </row>
    <row r="950">
      <c r="A950" s="6"/>
      <c r="B950" s="6"/>
      <c r="C950" s="6"/>
      <c r="D950" s="6"/>
      <c r="E950" s="6"/>
      <c r="F950" s="6"/>
      <c r="G950" s="6"/>
      <c r="H950" s="6"/>
      <c r="I950" s="6"/>
      <c r="J950" s="6"/>
      <c r="K950" s="6"/>
      <c r="L950" s="80"/>
      <c r="M950" s="80"/>
      <c r="N950" s="80"/>
      <c r="O950" s="80"/>
      <c r="P950" s="6"/>
      <c r="Q950" s="6"/>
      <c r="R950" s="6"/>
      <c r="S950" s="6"/>
      <c r="T950" s="6"/>
      <c r="U950" s="6"/>
      <c r="V950" s="6"/>
      <c r="W950" s="7"/>
      <c r="X950" s="7"/>
      <c r="Y950" s="7"/>
      <c r="Z950" s="7"/>
    </row>
    <row r="951">
      <c r="A951" s="6"/>
      <c r="B951" s="6"/>
      <c r="C951" s="6"/>
      <c r="D951" s="6"/>
      <c r="E951" s="6"/>
      <c r="F951" s="6"/>
      <c r="G951" s="6"/>
      <c r="H951" s="6"/>
      <c r="I951" s="6"/>
      <c r="J951" s="6"/>
      <c r="K951" s="6"/>
      <c r="L951" s="80"/>
      <c r="M951" s="80"/>
      <c r="N951" s="80"/>
      <c r="O951" s="80"/>
      <c r="P951" s="6"/>
      <c r="Q951" s="6"/>
      <c r="R951" s="6"/>
      <c r="S951" s="6"/>
      <c r="T951" s="6"/>
      <c r="U951" s="6"/>
      <c r="V951" s="6"/>
      <c r="W951" s="7"/>
      <c r="X951" s="7"/>
      <c r="Y951" s="7"/>
      <c r="Z951" s="7"/>
    </row>
    <row r="952">
      <c r="A952" s="6"/>
      <c r="B952" s="6"/>
      <c r="C952" s="6"/>
      <c r="D952" s="6"/>
      <c r="E952" s="6"/>
      <c r="F952" s="6"/>
      <c r="G952" s="6"/>
      <c r="H952" s="6"/>
      <c r="I952" s="6"/>
      <c r="J952" s="6"/>
      <c r="K952" s="6"/>
      <c r="L952" s="80"/>
      <c r="M952" s="80"/>
      <c r="N952" s="80"/>
      <c r="O952" s="80"/>
      <c r="P952" s="6"/>
      <c r="Q952" s="6"/>
      <c r="R952" s="6"/>
      <c r="S952" s="6"/>
      <c r="T952" s="6"/>
      <c r="U952" s="6"/>
      <c r="V952" s="6"/>
      <c r="W952" s="7"/>
      <c r="X952" s="7"/>
      <c r="Y952" s="7"/>
      <c r="Z952" s="7"/>
    </row>
    <row r="953">
      <c r="A953" s="6"/>
      <c r="B953" s="6"/>
      <c r="C953" s="6"/>
      <c r="D953" s="6"/>
      <c r="E953" s="6"/>
      <c r="F953" s="6"/>
      <c r="G953" s="6"/>
      <c r="H953" s="6"/>
      <c r="I953" s="6"/>
      <c r="J953" s="6"/>
      <c r="K953" s="6"/>
      <c r="L953" s="80"/>
      <c r="M953" s="80"/>
      <c r="N953" s="80"/>
      <c r="O953" s="80"/>
      <c r="P953" s="6"/>
      <c r="Q953" s="6"/>
      <c r="R953" s="6"/>
      <c r="S953" s="6"/>
      <c r="T953" s="6"/>
      <c r="U953" s="6"/>
      <c r="V953" s="6"/>
      <c r="W953" s="7"/>
      <c r="X953" s="7"/>
      <c r="Y953" s="7"/>
      <c r="Z953" s="7"/>
    </row>
    <row r="954">
      <c r="A954" s="6"/>
      <c r="B954" s="6"/>
      <c r="C954" s="6"/>
      <c r="D954" s="6"/>
      <c r="E954" s="6"/>
      <c r="F954" s="6"/>
      <c r="G954" s="6"/>
      <c r="H954" s="6"/>
      <c r="I954" s="6"/>
      <c r="J954" s="6"/>
      <c r="K954" s="6"/>
      <c r="L954" s="80"/>
      <c r="M954" s="80"/>
      <c r="N954" s="80"/>
      <c r="O954" s="80"/>
      <c r="P954" s="6"/>
      <c r="Q954" s="6"/>
      <c r="R954" s="6"/>
      <c r="S954" s="6"/>
      <c r="T954" s="6"/>
      <c r="U954" s="6"/>
      <c r="V954" s="6"/>
      <c r="W954" s="7"/>
      <c r="X954" s="7"/>
      <c r="Y954" s="7"/>
      <c r="Z954" s="7"/>
    </row>
    <row r="955">
      <c r="A955" s="6"/>
      <c r="B955" s="6"/>
      <c r="C955" s="6"/>
      <c r="D955" s="6"/>
      <c r="E955" s="6"/>
      <c r="F955" s="6"/>
      <c r="G955" s="6"/>
      <c r="H955" s="6"/>
      <c r="I955" s="6"/>
      <c r="J955" s="6"/>
      <c r="K955" s="6"/>
      <c r="L955" s="80"/>
      <c r="M955" s="80"/>
      <c r="N955" s="80"/>
      <c r="O955" s="80"/>
      <c r="P955" s="6"/>
      <c r="Q955" s="6"/>
      <c r="R955" s="6"/>
      <c r="S955" s="6"/>
      <c r="T955" s="6"/>
      <c r="U955" s="6"/>
      <c r="V955" s="6"/>
      <c r="W955" s="7"/>
      <c r="X955" s="7"/>
      <c r="Y955" s="7"/>
      <c r="Z955" s="7"/>
    </row>
    <row r="956">
      <c r="A956" s="6"/>
      <c r="B956" s="6"/>
      <c r="C956" s="6"/>
      <c r="D956" s="6"/>
      <c r="E956" s="6"/>
      <c r="F956" s="6"/>
      <c r="G956" s="6"/>
      <c r="H956" s="6"/>
      <c r="I956" s="6"/>
      <c r="J956" s="6"/>
      <c r="K956" s="6"/>
      <c r="L956" s="80"/>
      <c r="M956" s="80"/>
      <c r="N956" s="80"/>
      <c r="O956" s="80"/>
      <c r="P956" s="6"/>
      <c r="Q956" s="6"/>
      <c r="R956" s="6"/>
      <c r="S956" s="6"/>
      <c r="T956" s="6"/>
      <c r="U956" s="6"/>
      <c r="V956" s="6"/>
      <c r="W956" s="7"/>
      <c r="X956" s="7"/>
      <c r="Y956" s="7"/>
      <c r="Z956" s="7"/>
    </row>
    <row r="957">
      <c r="A957" s="6"/>
      <c r="B957" s="6"/>
      <c r="C957" s="6"/>
      <c r="D957" s="6"/>
      <c r="E957" s="6"/>
      <c r="F957" s="6"/>
      <c r="G957" s="6"/>
      <c r="H957" s="6"/>
      <c r="I957" s="6"/>
      <c r="J957" s="6"/>
      <c r="K957" s="6"/>
      <c r="L957" s="80"/>
      <c r="M957" s="80"/>
      <c r="N957" s="80"/>
      <c r="O957" s="80"/>
      <c r="P957" s="6"/>
      <c r="Q957" s="6"/>
      <c r="R957" s="6"/>
      <c r="S957" s="6"/>
      <c r="T957" s="6"/>
      <c r="U957" s="6"/>
      <c r="V957" s="6"/>
      <c r="W957" s="7"/>
      <c r="X957" s="7"/>
      <c r="Y957" s="7"/>
      <c r="Z957" s="7"/>
    </row>
    <row r="958">
      <c r="A958" s="6"/>
      <c r="B958" s="6"/>
      <c r="C958" s="6"/>
      <c r="D958" s="6"/>
      <c r="E958" s="6"/>
      <c r="F958" s="6"/>
      <c r="G958" s="6"/>
      <c r="H958" s="6"/>
      <c r="I958" s="6"/>
      <c r="J958" s="6"/>
      <c r="K958" s="6"/>
      <c r="L958" s="80"/>
      <c r="M958" s="80"/>
      <c r="N958" s="80"/>
      <c r="O958" s="80"/>
      <c r="P958" s="6"/>
      <c r="Q958" s="6"/>
      <c r="R958" s="6"/>
      <c r="S958" s="6"/>
      <c r="T958" s="6"/>
      <c r="U958" s="6"/>
      <c r="V958" s="6"/>
      <c r="W958" s="7"/>
      <c r="X958" s="7"/>
      <c r="Y958" s="7"/>
      <c r="Z958" s="7"/>
    </row>
    <row r="959">
      <c r="A959" s="6"/>
      <c r="B959" s="6"/>
      <c r="C959" s="6"/>
      <c r="D959" s="6"/>
      <c r="E959" s="6"/>
      <c r="F959" s="6"/>
      <c r="G959" s="6"/>
      <c r="H959" s="6"/>
      <c r="I959" s="6"/>
      <c r="J959" s="6"/>
      <c r="K959" s="6"/>
      <c r="L959" s="80"/>
      <c r="M959" s="80"/>
      <c r="N959" s="80"/>
      <c r="O959" s="80"/>
      <c r="P959" s="6"/>
      <c r="Q959" s="6"/>
      <c r="R959" s="6"/>
      <c r="S959" s="6"/>
      <c r="T959" s="6"/>
      <c r="U959" s="6"/>
      <c r="V959" s="6"/>
      <c r="W959" s="7"/>
      <c r="X959" s="7"/>
      <c r="Y959" s="7"/>
      <c r="Z959" s="7"/>
    </row>
    <row r="960">
      <c r="A960" s="6"/>
      <c r="B960" s="6"/>
      <c r="C960" s="6"/>
      <c r="D960" s="6"/>
      <c r="E960" s="6"/>
      <c r="F960" s="6"/>
      <c r="G960" s="6"/>
      <c r="H960" s="6"/>
      <c r="I960" s="6"/>
      <c r="J960" s="6"/>
      <c r="K960" s="6"/>
      <c r="L960" s="80"/>
      <c r="M960" s="80"/>
      <c r="N960" s="80"/>
      <c r="O960" s="80"/>
      <c r="P960" s="6"/>
      <c r="Q960" s="6"/>
      <c r="R960" s="6"/>
      <c r="S960" s="6"/>
      <c r="T960" s="6"/>
      <c r="U960" s="6"/>
      <c r="V960" s="6"/>
      <c r="W960" s="7"/>
      <c r="X960" s="7"/>
      <c r="Y960" s="7"/>
      <c r="Z960" s="7"/>
    </row>
    <row r="961">
      <c r="A961" s="6"/>
      <c r="B961" s="6"/>
      <c r="C961" s="6"/>
      <c r="D961" s="6"/>
      <c r="E961" s="6"/>
      <c r="F961" s="6"/>
      <c r="G961" s="6"/>
      <c r="H961" s="6"/>
      <c r="I961" s="6"/>
      <c r="J961" s="6"/>
      <c r="K961" s="6"/>
      <c r="L961" s="80"/>
      <c r="M961" s="80"/>
      <c r="N961" s="80"/>
      <c r="O961" s="80"/>
      <c r="P961" s="6"/>
      <c r="Q961" s="6"/>
      <c r="R961" s="6"/>
      <c r="S961" s="6"/>
      <c r="T961" s="6"/>
      <c r="U961" s="6"/>
      <c r="V961" s="6"/>
      <c r="W961" s="7"/>
      <c r="X961" s="7"/>
      <c r="Y961" s="7"/>
      <c r="Z961" s="7"/>
    </row>
    <row r="962">
      <c r="A962" s="6"/>
      <c r="B962" s="6"/>
      <c r="C962" s="6"/>
      <c r="D962" s="6"/>
      <c r="E962" s="6"/>
      <c r="F962" s="6"/>
      <c r="G962" s="6"/>
      <c r="H962" s="6"/>
      <c r="I962" s="6"/>
      <c r="J962" s="6"/>
      <c r="K962" s="6"/>
      <c r="L962" s="80"/>
      <c r="M962" s="80"/>
      <c r="N962" s="80"/>
      <c r="O962" s="80"/>
      <c r="P962" s="6"/>
      <c r="Q962" s="6"/>
      <c r="R962" s="6"/>
      <c r="S962" s="6"/>
      <c r="T962" s="6"/>
      <c r="U962" s="6"/>
      <c r="V962" s="6"/>
      <c r="W962" s="7"/>
      <c r="X962" s="7"/>
      <c r="Y962" s="7"/>
      <c r="Z962" s="7"/>
    </row>
    <row r="963">
      <c r="A963" s="6"/>
      <c r="B963" s="6"/>
      <c r="C963" s="6"/>
      <c r="D963" s="6"/>
      <c r="E963" s="6"/>
      <c r="F963" s="6"/>
      <c r="G963" s="6"/>
      <c r="H963" s="6"/>
      <c r="I963" s="6"/>
      <c r="J963" s="6"/>
      <c r="K963" s="6"/>
      <c r="L963" s="80"/>
      <c r="M963" s="80"/>
      <c r="N963" s="80"/>
      <c r="O963" s="80"/>
      <c r="P963" s="6"/>
      <c r="Q963" s="6"/>
      <c r="R963" s="6"/>
      <c r="S963" s="6"/>
      <c r="T963" s="6"/>
      <c r="U963" s="6"/>
      <c r="V963" s="6"/>
      <c r="W963" s="7"/>
      <c r="X963" s="7"/>
      <c r="Y963" s="7"/>
      <c r="Z963" s="7"/>
    </row>
    <row r="964">
      <c r="A964" s="6"/>
      <c r="B964" s="6"/>
      <c r="C964" s="6"/>
      <c r="D964" s="6"/>
      <c r="E964" s="6"/>
      <c r="F964" s="6"/>
      <c r="G964" s="6"/>
      <c r="H964" s="6"/>
      <c r="I964" s="6"/>
      <c r="J964" s="6"/>
      <c r="K964" s="6"/>
      <c r="L964" s="80"/>
      <c r="M964" s="80"/>
      <c r="N964" s="80"/>
      <c r="O964" s="80"/>
      <c r="P964" s="6"/>
      <c r="Q964" s="6"/>
      <c r="R964" s="6"/>
      <c r="S964" s="6"/>
      <c r="T964" s="6"/>
      <c r="U964" s="6"/>
      <c r="V964" s="6"/>
      <c r="W964" s="7"/>
      <c r="X964" s="7"/>
      <c r="Y964" s="7"/>
      <c r="Z964" s="7"/>
    </row>
    <row r="965">
      <c r="A965" s="6"/>
      <c r="B965" s="6"/>
      <c r="C965" s="6"/>
      <c r="D965" s="6"/>
      <c r="E965" s="6"/>
      <c r="F965" s="6"/>
      <c r="G965" s="6"/>
      <c r="H965" s="6"/>
      <c r="I965" s="6"/>
      <c r="J965" s="6"/>
      <c r="K965" s="6"/>
      <c r="L965" s="80"/>
      <c r="M965" s="80"/>
      <c r="N965" s="80"/>
      <c r="O965" s="80"/>
      <c r="P965" s="6"/>
      <c r="Q965" s="6"/>
      <c r="R965" s="6"/>
      <c r="S965" s="6"/>
      <c r="T965" s="6"/>
      <c r="U965" s="6"/>
      <c r="V965" s="6"/>
      <c r="W965" s="7"/>
      <c r="X965" s="7"/>
      <c r="Y965" s="7"/>
      <c r="Z965" s="7"/>
    </row>
    <row r="966">
      <c r="A966" s="6"/>
      <c r="B966" s="6"/>
      <c r="C966" s="6"/>
      <c r="D966" s="6"/>
      <c r="E966" s="6"/>
      <c r="F966" s="6"/>
      <c r="G966" s="6"/>
      <c r="H966" s="6"/>
      <c r="I966" s="6"/>
      <c r="J966" s="6"/>
      <c r="K966" s="6"/>
      <c r="L966" s="80"/>
      <c r="M966" s="80"/>
      <c r="N966" s="80"/>
      <c r="O966" s="80"/>
      <c r="P966" s="6"/>
      <c r="Q966" s="6"/>
      <c r="R966" s="6"/>
      <c r="S966" s="6"/>
      <c r="T966" s="6"/>
      <c r="U966" s="6"/>
      <c r="V966" s="6"/>
      <c r="W966" s="7"/>
      <c r="X966" s="7"/>
      <c r="Y966" s="7"/>
      <c r="Z966" s="7"/>
    </row>
    <row r="967">
      <c r="A967" s="6"/>
      <c r="B967" s="6"/>
      <c r="C967" s="6"/>
      <c r="D967" s="6"/>
      <c r="E967" s="6"/>
      <c r="F967" s="6"/>
      <c r="G967" s="6"/>
      <c r="H967" s="6"/>
      <c r="I967" s="6"/>
      <c r="J967" s="6"/>
      <c r="K967" s="6"/>
      <c r="L967" s="80"/>
      <c r="M967" s="80"/>
      <c r="N967" s="80"/>
      <c r="O967" s="80"/>
      <c r="P967" s="6"/>
      <c r="Q967" s="6"/>
      <c r="R967" s="6"/>
      <c r="S967" s="6"/>
      <c r="T967" s="6"/>
      <c r="U967" s="6"/>
      <c r="V967" s="6"/>
      <c r="W967" s="7"/>
      <c r="X967" s="7"/>
      <c r="Y967" s="7"/>
      <c r="Z967" s="7"/>
    </row>
    <row r="968">
      <c r="A968" s="6"/>
      <c r="B968" s="6"/>
      <c r="C968" s="6"/>
      <c r="D968" s="6"/>
      <c r="E968" s="6"/>
      <c r="F968" s="6"/>
      <c r="G968" s="6"/>
      <c r="H968" s="6"/>
      <c r="I968" s="6"/>
      <c r="J968" s="6"/>
      <c r="K968" s="6"/>
      <c r="L968" s="80"/>
      <c r="M968" s="80"/>
      <c r="N968" s="80"/>
      <c r="O968" s="80"/>
      <c r="P968" s="6"/>
      <c r="Q968" s="6"/>
      <c r="R968" s="6"/>
      <c r="S968" s="6"/>
      <c r="T968" s="6"/>
      <c r="U968" s="6"/>
      <c r="V968" s="6"/>
      <c r="W968" s="7"/>
      <c r="X968" s="7"/>
      <c r="Y968" s="7"/>
      <c r="Z968" s="7"/>
    </row>
    <row r="969">
      <c r="A969" s="6"/>
      <c r="B969" s="6"/>
      <c r="C969" s="6"/>
      <c r="D969" s="6"/>
      <c r="E969" s="6"/>
      <c r="F969" s="6"/>
      <c r="G969" s="6"/>
      <c r="H969" s="6"/>
      <c r="I969" s="6"/>
      <c r="J969" s="6"/>
      <c r="K969" s="6"/>
      <c r="L969" s="80"/>
      <c r="M969" s="80"/>
      <c r="N969" s="80"/>
      <c r="O969" s="80"/>
      <c r="P969" s="6"/>
      <c r="Q969" s="6"/>
      <c r="R969" s="6"/>
      <c r="S969" s="6"/>
      <c r="T969" s="6"/>
      <c r="U969" s="6"/>
      <c r="V969" s="6"/>
      <c r="W969" s="7"/>
      <c r="X969" s="7"/>
      <c r="Y969" s="7"/>
      <c r="Z969" s="7"/>
    </row>
    <row r="970">
      <c r="A970" s="6"/>
      <c r="B970" s="6"/>
      <c r="C970" s="6"/>
      <c r="D970" s="6"/>
      <c r="E970" s="6"/>
      <c r="F970" s="6"/>
      <c r="G970" s="6"/>
      <c r="H970" s="6"/>
      <c r="I970" s="6"/>
      <c r="J970" s="6"/>
      <c r="K970" s="6"/>
      <c r="L970" s="80"/>
      <c r="M970" s="80"/>
      <c r="N970" s="80"/>
      <c r="O970" s="80"/>
      <c r="P970" s="6"/>
      <c r="Q970" s="6"/>
      <c r="R970" s="6"/>
      <c r="S970" s="6"/>
      <c r="T970" s="6"/>
      <c r="U970" s="6"/>
      <c r="V970" s="6"/>
      <c r="W970" s="7"/>
      <c r="X970" s="7"/>
      <c r="Y970" s="7"/>
      <c r="Z970" s="7"/>
    </row>
    <row r="971">
      <c r="A971" s="6"/>
      <c r="B971" s="6"/>
      <c r="C971" s="6"/>
      <c r="D971" s="6"/>
      <c r="E971" s="6"/>
      <c r="F971" s="6"/>
      <c r="G971" s="6"/>
      <c r="H971" s="6"/>
      <c r="I971" s="6"/>
      <c r="J971" s="6"/>
      <c r="K971" s="6"/>
      <c r="L971" s="80"/>
      <c r="M971" s="80"/>
      <c r="N971" s="80"/>
      <c r="O971" s="80"/>
      <c r="P971" s="6"/>
      <c r="Q971" s="6"/>
      <c r="R971" s="6"/>
      <c r="S971" s="6"/>
      <c r="T971" s="6"/>
      <c r="U971" s="6"/>
      <c r="V971" s="6"/>
      <c r="W971" s="7"/>
      <c r="X971" s="7"/>
      <c r="Y971" s="7"/>
      <c r="Z971" s="7"/>
    </row>
    <row r="972">
      <c r="A972" s="6"/>
      <c r="B972" s="6"/>
      <c r="C972" s="6"/>
      <c r="D972" s="6"/>
      <c r="E972" s="6"/>
      <c r="F972" s="6"/>
      <c r="G972" s="6"/>
      <c r="H972" s="6"/>
      <c r="I972" s="6"/>
      <c r="J972" s="6"/>
      <c r="K972" s="6"/>
      <c r="L972" s="80"/>
      <c r="M972" s="80"/>
      <c r="N972" s="80"/>
      <c r="O972" s="80"/>
      <c r="P972" s="6"/>
      <c r="Q972" s="6"/>
      <c r="R972" s="6"/>
      <c r="S972" s="6"/>
      <c r="T972" s="6"/>
      <c r="U972" s="6"/>
      <c r="V972" s="6"/>
      <c r="W972" s="7"/>
      <c r="X972" s="7"/>
      <c r="Y972" s="7"/>
      <c r="Z972" s="7"/>
    </row>
    <row r="973">
      <c r="A973" s="6"/>
      <c r="B973" s="6"/>
      <c r="C973" s="6"/>
      <c r="D973" s="6"/>
      <c r="E973" s="6"/>
      <c r="F973" s="6"/>
      <c r="G973" s="6"/>
      <c r="H973" s="6"/>
      <c r="I973" s="6"/>
      <c r="J973" s="6"/>
      <c r="K973" s="6"/>
      <c r="L973" s="80"/>
      <c r="M973" s="80"/>
      <c r="N973" s="80"/>
      <c r="O973" s="80"/>
      <c r="P973" s="6"/>
      <c r="Q973" s="6"/>
      <c r="R973" s="6"/>
      <c r="S973" s="6"/>
      <c r="T973" s="6"/>
      <c r="U973" s="6"/>
      <c r="V973" s="6"/>
      <c r="W973" s="7"/>
      <c r="X973" s="7"/>
      <c r="Y973" s="7"/>
      <c r="Z973" s="7"/>
    </row>
    <row r="974">
      <c r="A974" s="6"/>
      <c r="B974" s="6"/>
      <c r="C974" s="6"/>
      <c r="D974" s="6"/>
      <c r="E974" s="6"/>
      <c r="F974" s="6"/>
      <c r="G974" s="6"/>
      <c r="H974" s="6"/>
      <c r="I974" s="6"/>
      <c r="J974" s="6"/>
      <c r="K974" s="6"/>
      <c r="L974" s="80"/>
      <c r="M974" s="80"/>
      <c r="N974" s="80"/>
      <c r="O974" s="80"/>
      <c r="P974" s="6"/>
      <c r="Q974" s="6"/>
      <c r="R974" s="6"/>
      <c r="S974" s="6"/>
      <c r="T974" s="6"/>
      <c r="U974" s="6"/>
      <c r="V974" s="6"/>
      <c r="W974" s="7"/>
      <c r="X974" s="7"/>
      <c r="Y974" s="7"/>
      <c r="Z974" s="7"/>
    </row>
    <row r="975">
      <c r="A975" s="6"/>
      <c r="B975" s="6"/>
      <c r="C975" s="6"/>
      <c r="D975" s="6"/>
      <c r="E975" s="6"/>
      <c r="F975" s="6"/>
      <c r="G975" s="6"/>
      <c r="H975" s="6"/>
      <c r="I975" s="6"/>
      <c r="J975" s="6"/>
      <c r="K975" s="6"/>
      <c r="L975" s="80"/>
      <c r="M975" s="80"/>
      <c r="N975" s="80"/>
      <c r="O975" s="80"/>
      <c r="P975" s="6"/>
      <c r="Q975" s="6"/>
      <c r="R975" s="6"/>
      <c r="S975" s="6"/>
      <c r="T975" s="6"/>
      <c r="U975" s="6"/>
      <c r="V975" s="6"/>
      <c r="W975" s="7"/>
      <c r="X975" s="7"/>
      <c r="Y975" s="7"/>
      <c r="Z975" s="7"/>
    </row>
    <row r="976">
      <c r="A976" s="6"/>
      <c r="B976" s="6"/>
      <c r="C976" s="6"/>
      <c r="D976" s="6"/>
      <c r="E976" s="6"/>
      <c r="F976" s="6"/>
      <c r="G976" s="6"/>
      <c r="H976" s="6"/>
      <c r="I976" s="6"/>
      <c r="J976" s="6"/>
      <c r="K976" s="6"/>
      <c r="L976" s="80"/>
      <c r="M976" s="80"/>
      <c r="N976" s="80"/>
      <c r="O976" s="80"/>
      <c r="P976" s="6"/>
      <c r="Q976" s="6"/>
      <c r="R976" s="6"/>
      <c r="S976" s="6"/>
      <c r="T976" s="6"/>
      <c r="U976" s="6"/>
      <c r="V976" s="6"/>
      <c r="W976" s="7"/>
      <c r="X976" s="7"/>
      <c r="Y976" s="7"/>
      <c r="Z976" s="7"/>
    </row>
    <row r="977">
      <c r="A977" s="6"/>
      <c r="B977" s="6"/>
      <c r="C977" s="6"/>
      <c r="D977" s="6"/>
      <c r="E977" s="6"/>
      <c r="F977" s="6"/>
      <c r="G977" s="6"/>
      <c r="H977" s="6"/>
      <c r="I977" s="6"/>
      <c r="J977" s="6"/>
      <c r="K977" s="6"/>
      <c r="L977" s="80"/>
      <c r="M977" s="80"/>
      <c r="N977" s="80"/>
      <c r="O977" s="80"/>
      <c r="P977" s="6"/>
      <c r="Q977" s="6"/>
      <c r="R977" s="6"/>
      <c r="S977" s="6"/>
      <c r="T977" s="6"/>
      <c r="U977" s="6"/>
      <c r="V977" s="6"/>
      <c r="W977" s="7"/>
      <c r="X977" s="7"/>
      <c r="Y977" s="7"/>
      <c r="Z977" s="7"/>
    </row>
    <row r="978">
      <c r="A978" s="6"/>
      <c r="B978" s="6"/>
      <c r="C978" s="6"/>
      <c r="D978" s="6"/>
      <c r="E978" s="6"/>
      <c r="F978" s="6"/>
      <c r="G978" s="6"/>
      <c r="H978" s="6"/>
      <c r="I978" s="6"/>
      <c r="J978" s="6"/>
      <c r="K978" s="6"/>
      <c r="L978" s="80"/>
      <c r="M978" s="80"/>
      <c r="N978" s="80"/>
      <c r="O978" s="80"/>
      <c r="P978" s="6"/>
      <c r="Q978" s="6"/>
      <c r="R978" s="6"/>
      <c r="S978" s="6"/>
      <c r="T978" s="6"/>
      <c r="U978" s="6"/>
      <c r="V978" s="6"/>
      <c r="W978" s="7"/>
      <c r="X978" s="7"/>
      <c r="Y978" s="7"/>
      <c r="Z978" s="7"/>
    </row>
    <row r="979">
      <c r="A979" s="6"/>
      <c r="B979" s="6"/>
      <c r="C979" s="6"/>
      <c r="D979" s="6"/>
      <c r="E979" s="6"/>
      <c r="F979" s="6"/>
      <c r="G979" s="6"/>
      <c r="H979" s="6"/>
      <c r="I979" s="6"/>
      <c r="J979" s="6"/>
      <c r="K979" s="6"/>
      <c r="L979" s="80"/>
      <c r="M979" s="80"/>
      <c r="N979" s="80"/>
      <c r="O979" s="80"/>
      <c r="P979" s="6"/>
      <c r="Q979" s="6"/>
      <c r="R979" s="6"/>
      <c r="S979" s="6"/>
      <c r="T979" s="6"/>
      <c r="U979" s="6"/>
      <c r="V979" s="6"/>
      <c r="W979" s="7"/>
      <c r="X979" s="7"/>
      <c r="Y979" s="7"/>
      <c r="Z979" s="7"/>
    </row>
    <row r="980">
      <c r="A980" s="6"/>
      <c r="B980" s="6"/>
      <c r="C980" s="6"/>
      <c r="D980" s="6"/>
      <c r="E980" s="6"/>
      <c r="F980" s="6"/>
      <c r="G980" s="6"/>
      <c r="H980" s="6"/>
      <c r="I980" s="6"/>
      <c r="J980" s="6"/>
      <c r="K980" s="6"/>
      <c r="L980" s="80"/>
      <c r="M980" s="80"/>
      <c r="N980" s="80"/>
      <c r="O980" s="80"/>
      <c r="P980" s="6"/>
      <c r="Q980" s="6"/>
      <c r="R980" s="6"/>
      <c r="S980" s="6"/>
      <c r="T980" s="6"/>
      <c r="U980" s="6"/>
      <c r="V980" s="6"/>
      <c r="W980" s="7"/>
      <c r="X980" s="7"/>
      <c r="Y980" s="7"/>
      <c r="Z980" s="7"/>
    </row>
    <row r="981">
      <c r="A981" s="6"/>
      <c r="B981" s="6"/>
      <c r="C981" s="6"/>
      <c r="D981" s="6"/>
      <c r="E981" s="6"/>
      <c r="F981" s="6"/>
      <c r="G981" s="6"/>
      <c r="H981" s="6"/>
      <c r="I981" s="6"/>
      <c r="J981" s="6"/>
      <c r="K981" s="6"/>
      <c r="L981" s="80"/>
      <c r="M981" s="80"/>
      <c r="N981" s="80"/>
      <c r="O981" s="80"/>
      <c r="P981" s="6"/>
      <c r="Q981" s="6"/>
      <c r="R981" s="6"/>
      <c r="S981" s="6"/>
      <c r="T981" s="6"/>
      <c r="U981" s="6"/>
      <c r="V981" s="6"/>
      <c r="W981" s="7"/>
      <c r="X981" s="7"/>
      <c r="Y981" s="7"/>
      <c r="Z981" s="7"/>
    </row>
    <row r="982">
      <c r="A982" s="6"/>
      <c r="B982" s="6"/>
      <c r="C982" s="6"/>
      <c r="D982" s="6"/>
      <c r="E982" s="6"/>
      <c r="F982" s="6"/>
      <c r="G982" s="6"/>
      <c r="H982" s="6"/>
      <c r="I982" s="6"/>
      <c r="J982" s="6"/>
      <c r="K982" s="6"/>
      <c r="L982" s="80"/>
      <c r="M982" s="80"/>
      <c r="N982" s="80"/>
      <c r="O982" s="80"/>
      <c r="P982" s="6"/>
      <c r="Q982" s="6"/>
      <c r="R982" s="6"/>
      <c r="S982" s="6"/>
      <c r="T982" s="6"/>
      <c r="U982" s="6"/>
      <c r="V982" s="6"/>
      <c r="W982" s="7"/>
      <c r="X982" s="7"/>
      <c r="Y982" s="7"/>
      <c r="Z982" s="7"/>
    </row>
    <row r="983">
      <c r="A983" s="6"/>
      <c r="B983" s="6"/>
      <c r="C983" s="6"/>
      <c r="D983" s="6"/>
      <c r="E983" s="6"/>
      <c r="F983" s="6"/>
      <c r="G983" s="6"/>
      <c r="H983" s="6"/>
      <c r="I983" s="6"/>
      <c r="J983" s="6"/>
      <c r="K983" s="6"/>
      <c r="L983" s="80"/>
      <c r="M983" s="80"/>
      <c r="N983" s="80"/>
      <c r="O983" s="80"/>
      <c r="P983" s="6"/>
      <c r="Q983" s="6"/>
      <c r="R983" s="6"/>
      <c r="S983" s="6"/>
      <c r="T983" s="6"/>
      <c r="U983" s="6"/>
      <c r="V983" s="6"/>
      <c r="W983" s="7"/>
      <c r="X983" s="7"/>
      <c r="Y983" s="7"/>
      <c r="Z983" s="7"/>
    </row>
    <row r="984">
      <c r="A984" s="6"/>
      <c r="B984" s="6"/>
      <c r="C984" s="6"/>
      <c r="D984" s="6"/>
      <c r="E984" s="6"/>
      <c r="F984" s="6"/>
      <c r="G984" s="6"/>
      <c r="H984" s="6"/>
      <c r="I984" s="6"/>
      <c r="J984" s="6"/>
      <c r="K984" s="6"/>
      <c r="L984" s="80"/>
      <c r="M984" s="80"/>
      <c r="N984" s="80"/>
      <c r="O984" s="80"/>
      <c r="P984" s="6"/>
      <c r="Q984" s="6"/>
      <c r="R984" s="6"/>
      <c r="S984" s="6"/>
      <c r="T984" s="6"/>
      <c r="U984" s="6"/>
      <c r="V984" s="6"/>
      <c r="W984" s="7"/>
      <c r="X984" s="7"/>
      <c r="Y984" s="7"/>
      <c r="Z984" s="7"/>
    </row>
    <row r="985">
      <c r="A985" s="6"/>
      <c r="B985" s="6"/>
      <c r="C985" s="6"/>
      <c r="D985" s="6"/>
      <c r="E985" s="6"/>
      <c r="F985" s="6"/>
      <c r="G985" s="6"/>
      <c r="H985" s="6"/>
      <c r="I985" s="6"/>
      <c r="J985" s="6"/>
      <c r="K985" s="6"/>
      <c r="L985" s="80"/>
      <c r="M985" s="80"/>
      <c r="N985" s="80"/>
      <c r="O985" s="80"/>
      <c r="P985" s="6"/>
      <c r="Q985" s="6"/>
      <c r="R985" s="6"/>
      <c r="S985" s="6"/>
      <c r="T985" s="6"/>
      <c r="U985" s="6"/>
      <c r="V985" s="6"/>
      <c r="W985" s="7"/>
      <c r="X985" s="7"/>
      <c r="Y985" s="7"/>
      <c r="Z985" s="7"/>
    </row>
    <row r="986">
      <c r="A986" s="6"/>
      <c r="B986" s="6"/>
      <c r="C986" s="6"/>
      <c r="D986" s="6"/>
      <c r="E986" s="6"/>
      <c r="F986" s="6"/>
      <c r="G986" s="6"/>
      <c r="H986" s="6"/>
      <c r="I986" s="6"/>
      <c r="J986" s="6"/>
      <c r="K986" s="6"/>
      <c r="L986" s="80"/>
      <c r="M986" s="80"/>
      <c r="N986" s="80"/>
      <c r="O986" s="80"/>
      <c r="P986" s="6"/>
      <c r="Q986" s="6"/>
      <c r="R986" s="6"/>
      <c r="S986" s="6"/>
      <c r="T986" s="6"/>
      <c r="U986" s="6"/>
      <c r="V986" s="6"/>
      <c r="W986" s="7"/>
      <c r="X986" s="7"/>
      <c r="Y986" s="7"/>
      <c r="Z986" s="7"/>
    </row>
    <row r="987">
      <c r="A987" s="6"/>
      <c r="B987" s="6"/>
      <c r="C987" s="6"/>
      <c r="D987" s="6"/>
      <c r="E987" s="6"/>
      <c r="F987" s="6"/>
      <c r="G987" s="6"/>
      <c r="H987" s="6"/>
      <c r="I987" s="6"/>
      <c r="J987" s="6"/>
      <c r="K987" s="6"/>
      <c r="L987" s="80"/>
      <c r="M987" s="80"/>
      <c r="N987" s="80"/>
      <c r="O987" s="80"/>
      <c r="P987" s="6"/>
      <c r="Q987" s="6"/>
      <c r="R987" s="6"/>
      <c r="S987" s="6"/>
      <c r="T987" s="6"/>
      <c r="U987" s="6"/>
      <c r="V987" s="6"/>
      <c r="W987" s="7"/>
      <c r="X987" s="7"/>
      <c r="Y987" s="7"/>
      <c r="Z987" s="7"/>
    </row>
    <row r="988">
      <c r="A988" s="6"/>
      <c r="B988" s="6"/>
      <c r="C988" s="6"/>
      <c r="D988" s="6"/>
      <c r="E988" s="6"/>
      <c r="F988" s="6"/>
      <c r="G988" s="6"/>
      <c r="H988" s="6"/>
      <c r="I988" s="6"/>
      <c r="J988" s="6"/>
      <c r="K988" s="6"/>
      <c r="L988" s="80"/>
      <c r="M988" s="80"/>
      <c r="N988" s="80"/>
      <c r="O988" s="80"/>
      <c r="P988" s="6"/>
      <c r="Q988" s="6"/>
      <c r="R988" s="6"/>
      <c r="S988" s="6"/>
      <c r="T988" s="6"/>
      <c r="U988" s="6"/>
      <c r="V988" s="6"/>
      <c r="W988" s="7"/>
      <c r="X988" s="7"/>
      <c r="Y988" s="7"/>
      <c r="Z988" s="7"/>
    </row>
    <row r="989">
      <c r="A989" s="6"/>
      <c r="B989" s="6"/>
      <c r="C989" s="6"/>
      <c r="D989" s="6"/>
      <c r="E989" s="6"/>
      <c r="F989" s="6"/>
      <c r="G989" s="6"/>
      <c r="H989" s="6"/>
      <c r="I989" s="6"/>
      <c r="J989" s="6"/>
      <c r="K989" s="6"/>
      <c r="L989" s="80"/>
      <c r="M989" s="80"/>
      <c r="N989" s="80"/>
      <c r="O989" s="80"/>
      <c r="P989" s="6"/>
      <c r="Q989" s="6"/>
      <c r="R989" s="6"/>
      <c r="S989" s="6"/>
      <c r="T989" s="6"/>
      <c r="U989" s="6"/>
      <c r="V989" s="6"/>
      <c r="W989" s="7"/>
      <c r="X989" s="7"/>
      <c r="Y989" s="7"/>
      <c r="Z989" s="7"/>
    </row>
    <row r="990">
      <c r="A990" s="6"/>
      <c r="B990" s="6"/>
      <c r="C990" s="6"/>
      <c r="D990" s="6"/>
      <c r="E990" s="6"/>
      <c r="F990" s="6"/>
      <c r="G990" s="6"/>
      <c r="H990" s="6"/>
      <c r="I990" s="6"/>
      <c r="J990" s="6"/>
      <c r="K990" s="6"/>
      <c r="L990" s="80"/>
      <c r="M990" s="80"/>
      <c r="N990" s="80"/>
      <c r="O990" s="80"/>
      <c r="P990" s="6"/>
      <c r="Q990" s="6"/>
      <c r="R990" s="6"/>
      <c r="S990" s="6"/>
      <c r="T990" s="6"/>
      <c r="U990" s="6"/>
      <c r="V990" s="6"/>
      <c r="W990" s="7"/>
      <c r="X990" s="7"/>
      <c r="Y990" s="7"/>
      <c r="Z990" s="7"/>
    </row>
    <row r="991">
      <c r="A991" s="6"/>
      <c r="B991" s="6"/>
      <c r="C991" s="6"/>
      <c r="D991" s="6"/>
      <c r="E991" s="6"/>
      <c r="F991" s="6"/>
      <c r="G991" s="6"/>
      <c r="H991" s="6"/>
      <c r="I991" s="6"/>
      <c r="J991" s="6"/>
      <c r="K991" s="6"/>
      <c r="L991" s="80"/>
      <c r="M991" s="80"/>
      <c r="N991" s="80"/>
      <c r="O991" s="80"/>
      <c r="P991" s="6"/>
      <c r="Q991" s="6"/>
      <c r="R991" s="6"/>
      <c r="S991" s="6"/>
      <c r="T991" s="6"/>
      <c r="U991" s="6"/>
      <c r="V991" s="6"/>
      <c r="W991" s="7"/>
      <c r="X991" s="7"/>
      <c r="Y991" s="7"/>
      <c r="Z991" s="7"/>
    </row>
    <row r="992">
      <c r="A992" s="6"/>
      <c r="B992" s="6"/>
      <c r="C992" s="6"/>
      <c r="D992" s="6"/>
      <c r="E992" s="6"/>
      <c r="F992" s="6"/>
      <c r="G992" s="6"/>
      <c r="H992" s="6"/>
      <c r="I992" s="6"/>
      <c r="J992" s="6"/>
      <c r="K992" s="6"/>
      <c r="L992" s="80"/>
      <c r="M992" s="80"/>
      <c r="N992" s="80"/>
      <c r="O992" s="80"/>
      <c r="P992" s="6"/>
      <c r="Q992" s="6"/>
      <c r="R992" s="6"/>
      <c r="S992" s="6"/>
      <c r="T992" s="6"/>
      <c r="U992" s="6"/>
      <c r="V992" s="6"/>
      <c r="W992" s="7"/>
      <c r="X992" s="7"/>
      <c r="Y992" s="7"/>
      <c r="Z992" s="7"/>
    </row>
    <row r="993">
      <c r="A993" s="6"/>
      <c r="B993" s="6"/>
      <c r="C993" s="6"/>
      <c r="D993" s="6"/>
      <c r="E993" s="6"/>
      <c r="F993" s="6"/>
      <c r="G993" s="6"/>
      <c r="H993" s="6"/>
      <c r="I993" s="6"/>
      <c r="J993" s="6"/>
      <c r="K993" s="6"/>
      <c r="L993" s="80"/>
      <c r="M993" s="80"/>
      <c r="N993" s="80"/>
      <c r="O993" s="80"/>
      <c r="P993" s="6"/>
      <c r="Q993" s="6"/>
      <c r="R993" s="6"/>
      <c r="S993" s="6"/>
      <c r="T993" s="6"/>
      <c r="U993" s="6"/>
      <c r="V993" s="6"/>
      <c r="W993" s="7"/>
      <c r="X993" s="7"/>
      <c r="Y993" s="7"/>
      <c r="Z993" s="7"/>
    </row>
    <row r="994">
      <c r="A994" s="6"/>
      <c r="B994" s="6"/>
      <c r="C994" s="6"/>
      <c r="D994" s="6"/>
      <c r="E994" s="6"/>
      <c r="F994" s="6"/>
      <c r="G994" s="6"/>
      <c r="H994" s="6"/>
      <c r="I994" s="6"/>
      <c r="J994" s="6"/>
      <c r="K994" s="6"/>
      <c r="L994" s="80"/>
      <c r="M994" s="80"/>
      <c r="N994" s="80"/>
      <c r="O994" s="80"/>
      <c r="P994" s="6"/>
      <c r="Q994" s="6"/>
      <c r="R994" s="6"/>
      <c r="S994" s="6"/>
      <c r="T994" s="6"/>
      <c r="U994" s="6"/>
      <c r="V994" s="6"/>
      <c r="W994" s="7"/>
      <c r="X994" s="7"/>
      <c r="Y994" s="7"/>
      <c r="Z994" s="7"/>
    </row>
    <row r="995">
      <c r="A995" s="6"/>
      <c r="B995" s="6"/>
      <c r="C995" s="6"/>
      <c r="D995" s="6"/>
      <c r="E995" s="6"/>
      <c r="F995" s="6"/>
      <c r="G995" s="6"/>
      <c r="H995" s="6"/>
      <c r="I995" s="6"/>
      <c r="J995" s="6"/>
      <c r="K995" s="6"/>
      <c r="L995" s="80"/>
      <c r="M995" s="80"/>
      <c r="N995" s="80"/>
      <c r="O995" s="80"/>
      <c r="P995" s="6"/>
      <c r="Q995" s="6"/>
      <c r="R995" s="6"/>
      <c r="S995" s="6"/>
      <c r="T995" s="6"/>
      <c r="U995" s="6"/>
      <c r="V995" s="6"/>
      <c r="W995" s="7"/>
      <c r="X995" s="7"/>
      <c r="Y995" s="7"/>
      <c r="Z995" s="7"/>
    </row>
    <row r="996">
      <c r="A996" s="6"/>
      <c r="B996" s="6"/>
      <c r="C996" s="6"/>
      <c r="D996" s="6"/>
      <c r="E996" s="6"/>
      <c r="F996" s="6"/>
      <c r="G996" s="6"/>
      <c r="H996" s="6"/>
      <c r="I996" s="6"/>
      <c r="J996" s="6"/>
      <c r="K996" s="6"/>
      <c r="L996" s="80"/>
      <c r="M996" s="80"/>
      <c r="N996" s="80"/>
      <c r="O996" s="80"/>
      <c r="P996" s="6"/>
      <c r="Q996" s="6"/>
      <c r="R996" s="6"/>
      <c r="S996" s="6"/>
      <c r="T996" s="6"/>
      <c r="U996" s="6"/>
      <c r="V996" s="6"/>
      <c r="W996" s="7"/>
      <c r="X996" s="7"/>
      <c r="Y996" s="7"/>
      <c r="Z996" s="7"/>
    </row>
    <row r="997">
      <c r="A997" s="6"/>
      <c r="B997" s="6"/>
      <c r="C997" s="6"/>
      <c r="D997" s="6"/>
      <c r="E997" s="6"/>
      <c r="F997" s="6"/>
      <c r="G997" s="6"/>
      <c r="H997" s="6"/>
      <c r="I997" s="6"/>
      <c r="J997" s="6"/>
      <c r="K997" s="6"/>
      <c r="L997" s="80"/>
      <c r="M997" s="80"/>
      <c r="N997" s="80"/>
      <c r="O997" s="80"/>
      <c r="P997" s="6"/>
      <c r="Q997" s="6"/>
      <c r="R997" s="6"/>
      <c r="S997" s="6"/>
      <c r="T997" s="6"/>
      <c r="U997" s="6"/>
      <c r="V997" s="6"/>
      <c r="W997" s="7"/>
      <c r="X997" s="7"/>
      <c r="Y997" s="7"/>
      <c r="Z997" s="7"/>
    </row>
    <row r="998">
      <c r="A998" s="6"/>
      <c r="B998" s="6"/>
      <c r="C998" s="6"/>
      <c r="D998" s="6"/>
      <c r="E998" s="6"/>
      <c r="F998" s="6"/>
      <c r="G998" s="6"/>
      <c r="H998" s="6"/>
      <c r="I998" s="6"/>
      <c r="J998" s="6"/>
      <c r="K998" s="6"/>
      <c r="L998" s="80"/>
      <c r="M998" s="80"/>
      <c r="N998" s="80"/>
      <c r="O998" s="80"/>
      <c r="P998" s="6"/>
      <c r="Q998" s="6"/>
      <c r="R998" s="6"/>
      <c r="S998" s="6"/>
      <c r="T998" s="6"/>
      <c r="U998" s="6"/>
      <c r="V998" s="6"/>
      <c r="W998" s="7"/>
      <c r="X998" s="7"/>
      <c r="Y998" s="7"/>
      <c r="Z998" s="7"/>
    </row>
    <row r="999">
      <c r="A999" s="6"/>
      <c r="B999" s="6"/>
      <c r="C999" s="6"/>
      <c r="D999" s="6"/>
      <c r="E999" s="6"/>
      <c r="F999" s="6"/>
      <c r="G999" s="6"/>
      <c r="H999" s="6"/>
      <c r="I999" s="6"/>
      <c r="J999" s="6"/>
      <c r="K999" s="6"/>
      <c r="L999" s="80"/>
      <c r="M999" s="80"/>
      <c r="N999" s="80"/>
      <c r="O999" s="80"/>
      <c r="P999" s="6"/>
      <c r="Q999" s="6"/>
      <c r="R999" s="6"/>
      <c r="S999" s="6"/>
      <c r="T999" s="6"/>
      <c r="U999" s="6"/>
      <c r="V999" s="6"/>
      <c r="W999" s="7"/>
      <c r="X999" s="7"/>
      <c r="Y999" s="7"/>
      <c r="Z999" s="7"/>
    </row>
    <row r="1000">
      <c r="A1000" s="6"/>
      <c r="B1000" s="6"/>
      <c r="C1000" s="6"/>
      <c r="D1000" s="6"/>
      <c r="E1000" s="6"/>
      <c r="F1000" s="6"/>
      <c r="G1000" s="6"/>
      <c r="H1000" s="6"/>
      <c r="I1000" s="6"/>
      <c r="J1000" s="6"/>
      <c r="K1000" s="6"/>
      <c r="L1000" s="80"/>
      <c r="M1000" s="80"/>
      <c r="N1000" s="80"/>
      <c r="O1000" s="80"/>
      <c r="P1000" s="6"/>
      <c r="Q1000" s="6"/>
      <c r="R1000" s="6"/>
      <c r="S1000" s="6"/>
      <c r="T1000" s="6"/>
      <c r="U1000" s="6"/>
      <c r="V1000" s="6"/>
      <c r="W1000" s="7"/>
      <c r="X1000" s="7"/>
      <c r="Y1000" s="7"/>
      <c r="Z1000" s="7"/>
    </row>
    <row r="1001">
      <c r="A1001" s="6"/>
      <c r="B1001" s="6"/>
      <c r="C1001" s="6"/>
      <c r="D1001" s="6"/>
      <c r="E1001" s="6"/>
      <c r="F1001" s="6"/>
      <c r="G1001" s="6"/>
      <c r="H1001" s="6"/>
      <c r="I1001" s="6"/>
      <c r="J1001" s="6"/>
      <c r="K1001" s="6"/>
      <c r="L1001" s="80"/>
      <c r="M1001" s="80"/>
      <c r="N1001" s="80"/>
      <c r="O1001" s="80"/>
      <c r="P1001" s="6"/>
      <c r="Q1001" s="6"/>
      <c r="R1001" s="6"/>
      <c r="S1001" s="6"/>
      <c r="T1001" s="6"/>
      <c r="U1001" s="6"/>
      <c r="V1001" s="6"/>
      <c r="W1001" s="7"/>
      <c r="X1001" s="7"/>
      <c r="Y1001" s="7"/>
      <c r="Z1001" s="7"/>
    </row>
    <row r="1002">
      <c r="A1002" s="6"/>
      <c r="B1002" s="6"/>
      <c r="C1002" s="6"/>
      <c r="D1002" s="6"/>
      <c r="E1002" s="6"/>
      <c r="F1002" s="6"/>
      <c r="G1002" s="6"/>
      <c r="H1002" s="6"/>
      <c r="I1002" s="6"/>
      <c r="J1002" s="6"/>
      <c r="K1002" s="6"/>
      <c r="L1002" s="80"/>
      <c r="M1002" s="80"/>
      <c r="N1002" s="80"/>
      <c r="O1002" s="80"/>
      <c r="P1002" s="6"/>
      <c r="Q1002" s="6"/>
      <c r="R1002" s="6"/>
      <c r="S1002" s="6"/>
      <c r="T1002" s="6"/>
      <c r="U1002" s="6"/>
      <c r="V1002" s="6"/>
      <c r="W1002" s="7"/>
      <c r="X1002" s="7"/>
      <c r="Y1002" s="7"/>
      <c r="Z1002" s="7"/>
    </row>
    <row r="1003">
      <c r="A1003" s="6"/>
      <c r="B1003" s="6"/>
      <c r="C1003" s="6"/>
      <c r="D1003" s="6"/>
      <c r="E1003" s="6"/>
      <c r="F1003" s="6"/>
      <c r="G1003" s="6"/>
      <c r="H1003" s="6"/>
      <c r="I1003" s="6"/>
      <c r="J1003" s="6"/>
      <c r="K1003" s="6"/>
      <c r="L1003" s="80"/>
      <c r="M1003" s="80"/>
      <c r="N1003" s="80"/>
      <c r="O1003" s="80"/>
      <c r="P1003" s="6"/>
      <c r="Q1003" s="6"/>
      <c r="R1003" s="6"/>
      <c r="S1003" s="6"/>
      <c r="T1003" s="6"/>
      <c r="U1003" s="6"/>
      <c r="V1003" s="6"/>
      <c r="W1003" s="7"/>
      <c r="X1003" s="7"/>
      <c r="Y1003" s="7"/>
      <c r="Z1003" s="7"/>
    </row>
    <row r="1004">
      <c r="A1004" s="6"/>
      <c r="B1004" s="6"/>
      <c r="C1004" s="6"/>
      <c r="D1004" s="6"/>
      <c r="E1004" s="6"/>
      <c r="F1004" s="6"/>
      <c r="G1004" s="6"/>
      <c r="H1004" s="6"/>
      <c r="I1004" s="6"/>
      <c r="J1004" s="6"/>
      <c r="K1004" s="6"/>
      <c r="L1004" s="80"/>
      <c r="M1004" s="80"/>
      <c r="N1004" s="80"/>
      <c r="O1004" s="80"/>
      <c r="P1004" s="6"/>
      <c r="Q1004" s="6"/>
      <c r="R1004" s="6"/>
      <c r="S1004" s="6"/>
      <c r="T1004" s="6"/>
      <c r="U1004" s="6"/>
      <c r="V1004" s="6"/>
      <c r="W1004" s="7"/>
      <c r="X1004" s="7"/>
      <c r="Y1004" s="7"/>
      <c r="Z1004" s="7"/>
    </row>
    <row r="1005">
      <c r="A1005" s="6"/>
      <c r="B1005" s="6"/>
      <c r="C1005" s="6"/>
      <c r="D1005" s="6"/>
      <c r="E1005" s="6"/>
      <c r="F1005" s="6"/>
      <c r="G1005" s="6"/>
      <c r="H1005" s="6"/>
      <c r="I1005" s="6"/>
      <c r="J1005" s="6"/>
      <c r="K1005" s="6"/>
      <c r="L1005" s="80"/>
      <c r="M1005" s="80"/>
      <c r="N1005" s="80"/>
      <c r="O1005" s="80"/>
      <c r="P1005" s="6"/>
      <c r="Q1005" s="6"/>
      <c r="R1005" s="6"/>
      <c r="S1005" s="6"/>
      <c r="T1005" s="6"/>
      <c r="U1005" s="6"/>
      <c r="V1005" s="6"/>
      <c r="W1005" s="7"/>
      <c r="X1005" s="7"/>
      <c r="Y1005" s="7"/>
      <c r="Z1005" s="7"/>
    </row>
    <row r="1006">
      <c r="A1006" s="6"/>
      <c r="B1006" s="6"/>
      <c r="C1006" s="6"/>
      <c r="D1006" s="6"/>
      <c r="E1006" s="6"/>
      <c r="F1006" s="6"/>
      <c r="G1006" s="6"/>
      <c r="H1006" s="6"/>
      <c r="I1006" s="6"/>
      <c r="J1006" s="6"/>
      <c r="K1006" s="6"/>
      <c r="L1006" s="80"/>
      <c r="M1006" s="80"/>
      <c r="N1006" s="80"/>
      <c r="O1006" s="80"/>
      <c r="P1006" s="6"/>
      <c r="Q1006" s="6"/>
      <c r="R1006" s="6"/>
      <c r="S1006" s="6"/>
      <c r="T1006" s="6"/>
      <c r="U1006" s="6"/>
      <c r="V1006" s="6"/>
      <c r="W1006" s="7"/>
      <c r="X1006" s="7"/>
      <c r="Y1006" s="7"/>
      <c r="Z1006" s="7"/>
    </row>
    <row r="1007">
      <c r="A1007" s="6"/>
      <c r="B1007" s="6"/>
      <c r="C1007" s="6"/>
      <c r="D1007" s="6"/>
      <c r="E1007" s="6"/>
      <c r="F1007" s="6"/>
      <c r="G1007" s="6"/>
      <c r="H1007" s="6"/>
      <c r="I1007" s="6"/>
      <c r="J1007" s="6"/>
      <c r="K1007" s="6"/>
      <c r="L1007" s="80"/>
      <c r="M1007" s="80"/>
      <c r="N1007" s="80"/>
      <c r="O1007" s="80"/>
      <c r="P1007" s="6"/>
      <c r="Q1007" s="6"/>
      <c r="R1007" s="6"/>
      <c r="S1007" s="6"/>
      <c r="T1007" s="6"/>
      <c r="U1007" s="6"/>
      <c r="V1007" s="6"/>
      <c r="W1007" s="7"/>
      <c r="X1007" s="7"/>
      <c r="Y1007" s="7"/>
      <c r="Z1007" s="7"/>
    </row>
    <row r="1008">
      <c r="A1008" s="6"/>
      <c r="B1008" s="6"/>
      <c r="C1008" s="6"/>
      <c r="D1008" s="6"/>
      <c r="E1008" s="6"/>
      <c r="F1008" s="6"/>
      <c r="G1008" s="6"/>
      <c r="H1008" s="6"/>
      <c r="I1008" s="6"/>
      <c r="J1008" s="6"/>
      <c r="K1008" s="6"/>
      <c r="L1008" s="80"/>
      <c r="M1008" s="80"/>
      <c r="N1008" s="80"/>
      <c r="O1008" s="80"/>
      <c r="P1008" s="6"/>
      <c r="Q1008" s="6"/>
      <c r="R1008" s="6"/>
      <c r="S1008" s="6"/>
      <c r="T1008" s="6"/>
      <c r="U1008" s="6"/>
      <c r="V1008" s="6"/>
      <c r="W1008" s="7"/>
      <c r="X1008" s="7"/>
      <c r="Y1008" s="7"/>
      <c r="Z1008" s="7"/>
    </row>
    <row r="1009">
      <c r="A1009" s="6"/>
      <c r="B1009" s="6"/>
      <c r="C1009" s="6"/>
      <c r="D1009" s="6"/>
      <c r="E1009" s="6"/>
      <c r="F1009" s="6"/>
      <c r="G1009" s="6"/>
      <c r="H1009" s="6"/>
      <c r="I1009" s="6"/>
      <c r="J1009" s="6"/>
      <c r="K1009" s="6"/>
      <c r="L1009" s="80"/>
      <c r="M1009" s="80"/>
      <c r="N1009" s="80"/>
      <c r="O1009" s="80"/>
      <c r="P1009" s="6"/>
      <c r="Q1009" s="6"/>
      <c r="R1009" s="6"/>
      <c r="S1009" s="6"/>
      <c r="T1009" s="6"/>
      <c r="U1009" s="6"/>
      <c r="V1009" s="6"/>
      <c r="W1009" s="7"/>
      <c r="X1009" s="7"/>
      <c r="Y1009" s="7"/>
      <c r="Z1009" s="7"/>
    </row>
    <row r="1010">
      <c r="A1010" s="6"/>
      <c r="B1010" s="6"/>
      <c r="C1010" s="6"/>
      <c r="D1010" s="6"/>
      <c r="E1010" s="6"/>
      <c r="F1010" s="6"/>
      <c r="G1010" s="6"/>
      <c r="H1010" s="6"/>
      <c r="I1010" s="6"/>
      <c r="J1010" s="6"/>
      <c r="K1010" s="6"/>
      <c r="L1010" s="80"/>
      <c r="M1010" s="80"/>
      <c r="N1010" s="80"/>
      <c r="O1010" s="80"/>
      <c r="P1010" s="6"/>
      <c r="Q1010" s="6"/>
      <c r="R1010" s="6"/>
      <c r="S1010" s="6"/>
      <c r="T1010" s="6"/>
      <c r="U1010" s="6"/>
      <c r="V1010" s="6"/>
      <c r="W1010" s="7"/>
      <c r="X1010" s="7"/>
      <c r="Y1010" s="7"/>
      <c r="Z1010" s="7"/>
    </row>
    <row r="1011">
      <c r="A1011" s="6"/>
      <c r="B1011" s="6"/>
      <c r="C1011" s="6"/>
      <c r="D1011" s="6"/>
      <c r="E1011" s="6"/>
      <c r="F1011" s="6"/>
      <c r="G1011" s="6"/>
      <c r="H1011" s="6"/>
      <c r="I1011" s="6"/>
      <c r="J1011" s="6"/>
      <c r="K1011" s="6"/>
      <c r="L1011" s="80"/>
      <c r="M1011" s="80"/>
      <c r="N1011" s="80"/>
      <c r="O1011" s="80"/>
      <c r="P1011" s="6"/>
      <c r="Q1011" s="6"/>
      <c r="R1011" s="6"/>
      <c r="S1011" s="6"/>
      <c r="T1011" s="6"/>
      <c r="U1011" s="6"/>
      <c r="V1011" s="6"/>
      <c r="W1011" s="7"/>
      <c r="X1011" s="7"/>
      <c r="Y1011" s="7"/>
      <c r="Z1011" s="7"/>
    </row>
    <row r="1012">
      <c r="A1012" s="6"/>
      <c r="B1012" s="6"/>
      <c r="C1012" s="6"/>
      <c r="D1012" s="6"/>
      <c r="E1012" s="6"/>
      <c r="F1012" s="6"/>
      <c r="G1012" s="6"/>
      <c r="H1012" s="6"/>
      <c r="I1012" s="6"/>
      <c r="J1012" s="6"/>
      <c r="K1012" s="6"/>
      <c r="L1012" s="80"/>
      <c r="M1012" s="80"/>
      <c r="N1012" s="80"/>
      <c r="O1012" s="80"/>
      <c r="P1012" s="6"/>
      <c r="Q1012" s="6"/>
      <c r="R1012" s="6"/>
      <c r="S1012" s="6"/>
      <c r="T1012" s="6"/>
      <c r="U1012" s="6"/>
      <c r="V1012" s="6"/>
      <c r="W1012" s="7"/>
      <c r="X1012" s="7"/>
      <c r="Y1012" s="7"/>
      <c r="Z1012" s="7"/>
    </row>
    <row r="1013">
      <c r="A1013" s="6"/>
      <c r="B1013" s="6"/>
      <c r="C1013" s="6"/>
      <c r="D1013" s="6"/>
      <c r="E1013" s="6"/>
      <c r="F1013" s="6"/>
      <c r="G1013" s="6"/>
      <c r="H1013" s="6"/>
      <c r="I1013" s="6"/>
      <c r="J1013" s="6"/>
      <c r="K1013" s="6"/>
      <c r="L1013" s="80"/>
      <c r="M1013" s="80"/>
      <c r="N1013" s="80"/>
      <c r="O1013" s="80"/>
      <c r="P1013" s="6"/>
      <c r="Q1013" s="6"/>
      <c r="R1013" s="6"/>
      <c r="S1013" s="6"/>
      <c r="T1013" s="6"/>
      <c r="U1013" s="6"/>
      <c r="V1013" s="6"/>
      <c r="W1013" s="7"/>
      <c r="X1013" s="7"/>
      <c r="Y1013" s="7"/>
      <c r="Z1013" s="7"/>
    </row>
    <row r="1014">
      <c r="A1014" s="6"/>
      <c r="B1014" s="6"/>
      <c r="C1014" s="6"/>
      <c r="D1014" s="6"/>
      <c r="E1014" s="6"/>
      <c r="F1014" s="6"/>
      <c r="G1014" s="6"/>
      <c r="H1014" s="6"/>
      <c r="I1014" s="6"/>
      <c r="J1014" s="6"/>
      <c r="K1014" s="6"/>
      <c r="L1014" s="80"/>
      <c r="M1014" s="80"/>
      <c r="N1014" s="80"/>
      <c r="O1014" s="80"/>
      <c r="P1014" s="6"/>
      <c r="Q1014" s="6"/>
      <c r="R1014" s="6"/>
      <c r="S1014" s="6"/>
      <c r="T1014" s="6"/>
      <c r="U1014" s="6"/>
      <c r="V1014" s="6"/>
      <c r="W1014" s="7"/>
      <c r="X1014" s="7"/>
      <c r="Y1014" s="7"/>
      <c r="Z1014" s="7"/>
    </row>
    <row r="1015">
      <c r="A1015" s="6"/>
      <c r="B1015" s="6"/>
      <c r="C1015" s="6"/>
      <c r="D1015" s="6"/>
      <c r="E1015" s="6"/>
      <c r="F1015" s="6"/>
      <c r="G1015" s="6"/>
      <c r="H1015" s="6"/>
      <c r="I1015" s="6"/>
      <c r="J1015" s="6"/>
      <c r="K1015" s="6"/>
      <c r="L1015" s="80"/>
      <c r="M1015" s="80"/>
      <c r="N1015" s="80"/>
      <c r="O1015" s="80"/>
      <c r="P1015" s="6"/>
      <c r="Q1015" s="6"/>
      <c r="R1015" s="6"/>
      <c r="S1015" s="6"/>
      <c r="T1015" s="6"/>
      <c r="U1015" s="6"/>
      <c r="V1015" s="6"/>
      <c r="W1015" s="7"/>
      <c r="X1015" s="7"/>
      <c r="Y1015" s="7"/>
      <c r="Z1015" s="7"/>
    </row>
    <row r="1016">
      <c r="A1016" s="6"/>
      <c r="B1016" s="6"/>
      <c r="C1016" s="6"/>
      <c r="D1016" s="6"/>
      <c r="E1016" s="6"/>
      <c r="F1016" s="6"/>
      <c r="G1016" s="6"/>
      <c r="H1016" s="6"/>
      <c r="I1016" s="6"/>
      <c r="J1016" s="6"/>
      <c r="K1016" s="6"/>
      <c r="L1016" s="80"/>
      <c r="M1016" s="80"/>
      <c r="N1016" s="80"/>
      <c r="O1016" s="80"/>
      <c r="P1016" s="6"/>
      <c r="Q1016" s="6"/>
      <c r="R1016" s="6"/>
      <c r="S1016" s="6"/>
      <c r="T1016" s="6"/>
      <c r="U1016" s="6"/>
      <c r="V1016" s="6"/>
      <c r="W1016" s="7"/>
      <c r="X1016" s="7"/>
      <c r="Y1016" s="7"/>
      <c r="Z1016" s="7"/>
    </row>
    <row r="1017">
      <c r="A1017" s="6"/>
      <c r="B1017" s="6"/>
      <c r="C1017" s="6"/>
      <c r="D1017" s="6"/>
      <c r="E1017" s="6"/>
      <c r="F1017" s="6"/>
      <c r="G1017" s="6"/>
      <c r="H1017" s="6"/>
      <c r="I1017" s="6"/>
      <c r="J1017" s="6"/>
      <c r="K1017" s="6"/>
      <c r="L1017" s="80"/>
      <c r="M1017" s="80"/>
      <c r="N1017" s="80"/>
      <c r="O1017" s="80"/>
      <c r="P1017" s="6"/>
      <c r="Q1017" s="6"/>
      <c r="R1017" s="6"/>
      <c r="S1017" s="6"/>
      <c r="T1017" s="6"/>
      <c r="U1017" s="6"/>
      <c r="V1017" s="6"/>
      <c r="W1017" s="7"/>
      <c r="X1017" s="7"/>
      <c r="Y1017" s="7"/>
      <c r="Z1017" s="7"/>
    </row>
    <row r="1018">
      <c r="A1018" s="6"/>
      <c r="B1018" s="6"/>
      <c r="C1018" s="6"/>
      <c r="D1018" s="6"/>
      <c r="E1018" s="6"/>
      <c r="F1018" s="6"/>
      <c r="G1018" s="6"/>
      <c r="H1018" s="6"/>
      <c r="I1018" s="6"/>
      <c r="J1018" s="6"/>
      <c r="K1018" s="6"/>
      <c r="L1018" s="80"/>
      <c r="M1018" s="80"/>
      <c r="N1018" s="80"/>
      <c r="O1018" s="80"/>
      <c r="P1018" s="6"/>
      <c r="Q1018" s="6"/>
      <c r="R1018" s="6"/>
      <c r="S1018" s="6"/>
      <c r="T1018" s="6"/>
      <c r="U1018" s="6"/>
      <c r="V1018" s="6"/>
      <c r="W1018" s="7"/>
      <c r="X1018" s="7"/>
      <c r="Y1018" s="7"/>
      <c r="Z1018" s="7"/>
    </row>
    <row r="1019">
      <c r="A1019" s="6"/>
      <c r="B1019" s="6"/>
      <c r="C1019" s="6"/>
      <c r="D1019" s="6"/>
      <c r="E1019" s="6"/>
      <c r="F1019" s="6"/>
      <c r="G1019" s="6"/>
      <c r="H1019" s="6"/>
      <c r="I1019" s="6"/>
      <c r="J1019" s="6"/>
      <c r="K1019" s="6"/>
      <c r="L1019" s="80"/>
      <c r="M1019" s="80"/>
      <c r="N1019" s="80"/>
      <c r="O1019" s="80"/>
      <c r="P1019" s="6"/>
      <c r="Q1019" s="6"/>
      <c r="R1019" s="6"/>
      <c r="S1019" s="6"/>
      <c r="T1019" s="6"/>
      <c r="U1019" s="6"/>
      <c r="V1019" s="6"/>
      <c r="W1019" s="7"/>
      <c r="X1019" s="7"/>
      <c r="Y1019" s="7"/>
      <c r="Z1019" s="7"/>
    </row>
    <row r="1020">
      <c r="A1020" s="6"/>
      <c r="B1020" s="6"/>
      <c r="C1020" s="6"/>
      <c r="D1020" s="6"/>
      <c r="E1020" s="6"/>
      <c r="F1020" s="6"/>
      <c r="G1020" s="6"/>
      <c r="H1020" s="6"/>
      <c r="I1020" s="6"/>
      <c r="J1020" s="6"/>
      <c r="K1020" s="6"/>
      <c r="L1020" s="80"/>
      <c r="M1020" s="80"/>
      <c r="N1020" s="80"/>
      <c r="O1020" s="80"/>
      <c r="P1020" s="6"/>
      <c r="Q1020" s="6"/>
      <c r="R1020" s="6"/>
      <c r="S1020" s="6"/>
      <c r="T1020" s="6"/>
      <c r="U1020" s="6"/>
      <c r="V1020" s="6"/>
      <c r="W1020" s="7"/>
      <c r="X1020" s="7"/>
      <c r="Y1020" s="7"/>
      <c r="Z1020" s="7"/>
    </row>
    <row r="1021">
      <c r="A1021" s="6"/>
      <c r="B1021" s="6"/>
      <c r="C1021" s="6"/>
      <c r="D1021" s="6"/>
      <c r="E1021" s="6"/>
      <c r="F1021" s="6"/>
      <c r="G1021" s="6"/>
      <c r="H1021" s="6"/>
      <c r="I1021" s="6"/>
      <c r="J1021" s="6"/>
      <c r="K1021" s="6"/>
      <c r="L1021" s="80"/>
      <c r="M1021" s="80"/>
      <c r="N1021" s="80"/>
      <c r="O1021" s="80"/>
      <c r="P1021" s="6"/>
      <c r="Q1021" s="6"/>
      <c r="R1021" s="6"/>
      <c r="S1021" s="6"/>
      <c r="T1021" s="6"/>
      <c r="U1021" s="6"/>
      <c r="V1021" s="6"/>
      <c r="W1021" s="7"/>
      <c r="X1021" s="7"/>
      <c r="Y1021" s="7"/>
      <c r="Z1021" s="7"/>
    </row>
    <row r="1022">
      <c r="A1022" s="6"/>
      <c r="B1022" s="6"/>
      <c r="C1022" s="6"/>
      <c r="D1022" s="6"/>
      <c r="E1022" s="6"/>
      <c r="F1022" s="6"/>
      <c r="G1022" s="6"/>
      <c r="H1022" s="6"/>
      <c r="I1022" s="6"/>
      <c r="J1022" s="6"/>
      <c r="K1022" s="6"/>
      <c r="L1022" s="80"/>
      <c r="M1022" s="80"/>
      <c r="N1022" s="80"/>
      <c r="O1022" s="80"/>
      <c r="P1022" s="6"/>
      <c r="Q1022" s="6"/>
      <c r="R1022" s="6"/>
      <c r="S1022" s="6"/>
      <c r="T1022" s="6"/>
      <c r="U1022" s="6"/>
      <c r="V1022" s="6"/>
      <c r="W1022" s="7"/>
      <c r="X1022" s="7"/>
      <c r="Y1022" s="7"/>
      <c r="Z1022" s="7"/>
    </row>
    <row r="1023">
      <c r="A1023" s="6"/>
      <c r="B1023" s="6"/>
      <c r="C1023" s="6"/>
      <c r="D1023" s="6"/>
      <c r="E1023" s="6"/>
      <c r="F1023" s="6"/>
      <c r="G1023" s="6"/>
      <c r="H1023" s="6"/>
      <c r="I1023" s="6"/>
      <c r="J1023" s="6"/>
      <c r="K1023" s="6"/>
      <c r="L1023" s="80"/>
      <c r="M1023" s="80"/>
      <c r="N1023" s="80"/>
      <c r="O1023" s="80"/>
      <c r="P1023" s="6"/>
      <c r="Q1023" s="6"/>
      <c r="R1023" s="6"/>
      <c r="S1023" s="6"/>
      <c r="T1023" s="6"/>
      <c r="U1023" s="6"/>
      <c r="V1023" s="6"/>
      <c r="W1023" s="7"/>
      <c r="X1023" s="7"/>
      <c r="Y1023" s="7"/>
      <c r="Z1023" s="7"/>
    </row>
    <row r="1024">
      <c r="A1024" s="6"/>
      <c r="B1024" s="6"/>
      <c r="C1024" s="6"/>
      <c r="D1024" s="6"/>
      <c r="E1024" s="6"/>
      <c r="F1024" s="6"/>
      <c r="G1024" s="6"/>
      <c r="H1024" s="6"/>
      <c r="I1024" s="6"/>
      <c r="J1024" s="6"/>
      <c r="K1024" s="6"/>
      <c r="L1024" s="80"/>
      <c r="M1024" s="80"/>
      <c r="N1024" s="80"/>
      <c r="O1024" s="80"/>
      <c r="P1024" s="6"/>
      <c r="Q1024" s="6"/>
      <c r="R1024" s="6"/>
      <c r="S1024" s="6"/>
      <c r="T1024" s="6"/>
      <c r="U1024" s="6"/>
      <c r="V1024" s="6"/>
      <c r="W1024" s="7"/>
      <c r="X1024" s="7"/>
      <c r="Y1024" s="7"/>
      <c r="Z1024" s="7"/>
    </row>
    <row r="1025">
      <c r="A1025" s="6"/>
      <c r="B1025" s="6"/>
      <c r="C1025" s="6"/>
      <c r="D1025" s="6"/>
      <c r="E1025" s="6"/>
      <c r="F1025" s="6"/>
      <c r="G1025" s="6"/>
      <c r="H1025" s="6"/>
      <c r="I1025" s="6"/>
      <c r="J1025" s="6"/>
      <c r="K1025" s="6"/>
      <c r="L1025" s="80"/>
      <c r="M1025" s="80"/>
      <c r="N1025" s="80"/>
      <c r="O1025" s="80"/>
      <c r="P1025" s="6"/>
      <c r="Q1025" s="6"/>
      <c r="R1025" s="6"/>
      <c r="S1025" s="6"/>
      <c r="T1025" s="6"/>
      <c r="U1025" s="6"/>
      <c r="V1025" s="6"/>
      <c r="W1025" s="7"/>
      <c r="X1025" s="7"/>
      <c r="Y1025" s="7"/>
      <c r="Z1025" s="7"/>
    </row>
    <row r="1026">
      <c r="A1026" s="6"/>
      <c r="B1026" s="6"/>
      <c r="C1026" s="6"/>
      <c r="D1026" s="6"/>
      <c r="E1026" s="6"/>
      <c r="F1026" s="6"/>
      <c r="G1026" s="6"/>
      <c r="H1026" s="6"/>
      <c r="I1026" s="6"/>
      <c r="J1026" s="6"/>
      <c r="K1026" s="6"/>
      <c r="L1026" s="80"/>
      <c r="M1026" s="80"/>
      <c r="N1026" s="80"/>
      <c r="O1026" s="80"/>
      <c r="P1026" s="6"/>
      <c r="Q1026" s="6"/>
      <c r="R1026" s="6"/>
      <c r="S1026" s="6"/>
      <c r="T1026" s="6"/>
      <c r="U1026" s="6"/>
      <c r="V1026" s="6"/>
      <c r="W1026" s="7"/>
      <c r="X1026" s="7"/>
      <c r="Y1026" s="7"/>
      <c r="Z1026" s="7"/>
    </row>
    <row r="1027">
      <c r="A1027" s="6"/>
      <c r="B1027" s="6"/>
      <c r="C1027" s="6"/>
      <c r="D1027" s="6"/>
      <c r="E1027" s="6"/>
      <c r="F1027" s="6"/>
      <c r="G1027" s="6"/>
      <c r="H1027" s="6"/>
      <c r="I1027" s="6"/>
      <c r="J1027" s="6"/>
      <c r="K1027" s="6"/>
      <c r="L1027" s="80"/>
      <c r="M1027" s="80"/>
      <c r="N1027" s="80"/>
      <c r="O1027" s="80"/>
      <c r="P1027" s="6"/>
      <c r="Q1027" s="6"/>
      <c r="R1027" s="6"/>
      <c r="S1027" s="6"/>
      <c r="T1027" s="6"/>
      <c r="U1027" s="6"/>
      <c r="V1027" s="6"/>
      <c r="W1027" s="7"/>
      <c r="X1027" s="7"/>
      <c r="Y1027" s="7"/>
      <c r="Z1027" s="7"/>
    </row>
    <row r="1028">
      <c r="A1028" s="6"/>
      <c r="B1028" s="6"/>
      <c r="C1028" s="6"/>
      <c r="D1028" s="6"/>
      <c r="E1028" s="6"/>
      <c r="F1028" s="6"/>
      <c r="G1028" s="6"/>
      <c r="H1028" s="6"/>
      <c r="I1028" s="6"/>
      <c r="J1028" s="6"/>
      <c r="K1028" s="6"/>
      <c r="L1028" s="80"/>
      <c r="M1028" s="80"/>
      <c r="N1028" s="80"/>
      <c r="O1028" s="80"/>
      <c r="P1028" s="6"/>
      <c r="Q1028" s="6"/>
      <c r="R1028" s="6"/>
      <c r="S1028" s="6"/>
      <c r="T1028" s="6"/>
      <c r="U1028" s="6"/>
      <c r="V1028" s="6"/>
      <c r="W1028" s="7"/>
      <c r="X1028" s="7"/>
      <c r="Y1028" s="7"/>
      <c r="Z1028" s="7"/>
    </row>
    <row r="1029">
      <c r="A1029" s="6"/>
      <c r="B1029" s="6"/>
      <c r="C1029" s="6"/>
      <c r="D1029" s="6"/>
      <c r="E1029" s="6"/>
      <c r="F1029" s="6"/>
      <c r="G1029" s="6"/>
      <c r="H1029" s="6"/>
      <c r="I1029" s="6"/>
      <c r="J1029" s="6"/>
      <c r="K1029" s="6"/>
      <c r="L1029" s="80"/>
      <c r="M1029" s="80"/>
      <c r="N1029" s="80"/>
      <c r="O1029" s="80"/>
      <c r="P1029" s="6"/>
      <c r="Q1029" s="6"/>
      <c r="R1029" s="6"/>
      <c r="S1029" s="6"/>
      <c r="T1029" s="6"/>
      <c r="U1029" s="6"/>
      <c r="V1029" s="6"/>
      <c r="W1029" s="7"/>
      <c r="X1029" s="7"/>
      <c r="Y1029" s="7"/>
      <c r="Z1029" s="7"/>
    </row>
    <row r="1030">
      <c r="A1030" s="6"/>
      <c r="B1030" s="6"/>
      <c r="C1030" s="6"/>
      <c r="D1030" s="6"/>
      <c r="E1030" s="6"/>
      <c r="F1030" s="6"/>
      <c r="G1030" s="6"/>
      <c r="H1030" s="6"/>
      <c r="I1030" s="6"/>
      <c r="J1030" s="6"/>
      <c r="K1030" s="6"/>
      <c r="L1030" s="80"/>
      <c r="M1030" s="80"/>
      <c r="N1030" s="80"/>
      <c r="O1030" s="80"/>
      <c r="P1030" s="6"/>
      <c r="Q1030" s="6"/>
      <c r="R1030" s="6"/>
      <c r="S1030" s="6"/>
      <c r="T1030" s="6"/>
      <c r="U1030" s="6"/>
      <c r="V1030" s="6"/>
      <c r="W1030" s="7"/>
      <c r="X1030" s="7"/>
      <c r="Y1030" s="7"/>
      <c r="Z1030" s="7"/>
    </row>
    <row r="1031">
      <c r="A1031" s="6"/>
      <c r="B1031" s="6"/>
      <c r="C1031" s="6"/>
      <c r="D1031" s="6"/>
      <c r="E1031" s="6"/>
      <c r="F1031" s="6"/>
      <c r="G1031" s="6"/>
      <c r="H1031" s="6"/>
      <c r="I1031" s="6"/>
      <c r="J1031" s="6"/>
      <c r="K1031" s="6"/>
      <c r="L1031" s="80"/>
      <c r="M1031" s="80"/>
      <c r="N1031" s="80"/>
      <c r="O1031" s="80"/>
      <c r="P1031" s="6"/>
      <c r="Q1031" s="6"/>
      <c r="R1031" s="6"/>
      <c r="S1031" s="6"/>
      <c r="T1031" s="6"/>
      <c r="U1031" s="6"/>
      <c r="V1031" s="6"/>
      <c r="W1031" s="7"/>
      <c r="X1031" s="7"/>
      <c r="Y1031" s="7"/>
      <c r="Z1031" s="7"/>
    </row>
    <row r="1032">
      <c r="A1032" s="6"/>
      <c r="B1032" s="6"/>
      <c r="C1032" s="6"/>
      <c r="D1032" s="6"/>
      <c r="E1032" s="6"/>
      <c r="F1032" s="6"/>
      <c r="G1032" s="6"/>
      <c r="H1032" s="6"/>
      <c r="I1032" s="6"/>
      <c r="J1032" s="6"/>
      <c r="K1032" s="6"/>
      <c r="L1032" s="80"/>
      <c r="M1032" s="80"/>
      <c r="N1032" s="80"/>
      <c r="O1032" s="80"/>
      <c r="P1032" s="6"/>
      <c r="Q1032" s="6"/>
      <c r="R1032" s="6"/>
      <c r="S1032" s="6"/>
      <c r="T1032" s="6"/>
      <c r="U1032" s="6"/>
      <c r="V1032" s="6"/>
      <c r="W1032" s="7"/>
      <c r="X1032" s="7"/>
      <c r="Y1032" s="7"/>
      <c r="Z1032" s="7"/>
    </row>
    <row r="1033">
      <c r="A1033" s="6"/>
      <c r="B1033" s="6"/>
      <c r="C1033" s="6"/>
      <c r="D1033" s="6"/>
      <c r="E1033" s="6"/>
      <c r="F1033" s="6"/>
      <c r="G1033" s="6"/>
      <c r="H1033" s="6"/>
      <c r="I1033" s="6"/>
      <c r="J1033" s="6"/>
      <c r="K1033" s="6"/>
      <c r="L1033" s="80"/>
      <c r="M1033" s="80"/>
      <c r="N1033" s="80"/>
      <c r="O1033" s="80"/>
      <c r="P1033" s="6"/>
      <c r="Q1033" s="6"/>
      <c r="R1033" s="6"/>
      <c r="S1033" s="6"/>
      <c r="T1033" s="6"/>
      <c r="U1033" s="6"/>
      <c r="V1033" s="6"/>
      <c r="W1033" s="7"/>
      <c r="X1033" s="7"/>
      <c r="Y1033" s="7"/>
      <c r="Z1033" s="7"/>
    </row>
    <row r="1034">
      <c r="A1034" s="6"/>
      <c r="B1034" s="6"/>
      <c r="C1034" s="6"/>
      <c r="D1034" s="6"/>
      <c r="E1034" s="6"/>
      <c r="F1034" s="6"/>
      <c r="G1034" s="6"/>
      <c r="H1034" s="6"/>
      <c r="I1034" s="6"/>
      <c r="J1034" s="6"/>
      <c r="K1034" s="6"/>
      <c r="L1034" s="80"/>
      <c r="M1034" s="80"/>
      <c r="N1034" s="80"/>
      <c r="O1034" s="80"/>
      <c r="P1034" s="6"/>
      <c r="Q1034" s="6"/>
      <c r="R1034" s="6"/>
      <c r="S1034" s="6"/>
      <c r="T1034" s="6"/>
      <c r="U1034" s="6"/>
      <c r="V1034" s="6"/>
      <c r="W1034" s="7"/>
      <c r="X1034" s="7"/>
      <c r="Y1034" s="7"/>
      <c r="Z1034" s="7"/>
    </row>
    <row r="1035">
      <c r="A1035" s="6"/>
      <c r="B1035" s="6"/>
      <c r="C1035" s="6"/>
      <c r="D1035" s="6"/>
      <c r="E1035" s="6"/>
      <c r="F1035" s="6"/>
      <c r="G1035" s="6"/>
      <c r="H1035" s="6"/>
      <c r="I1035" s="6"/>
      <c r="J1035" s="6"/>
      <c r="K1035" s="6"/>
      <c r="L1035" s="80"/>
      <c r="M1035" s="80"/>
      <c r="N1035" s="80"/>
      <c r="O1035" s="80"/>
      <c r="P1035" s="6"/>
      <c r="Q1035" s="6"/>
      <c r="R1035" s="6"/>
      <c r="S1035" s="6"/>
      <c r="T1035" s="6"/>
      <c r="U1035" s="6"/>
      <c r="V1035" s="6"/>
      <c r="W1035" s="7"/>
      <c r="X1035" s="7"/>
      <c r="Y1035" s="7"/>
      <c r="Z1035" s="7"/>
    </row>
    <row r="1036">
      <c r="A1036" s="6"/>
      <c r="B1036" s="6"/>
      <c r="C1036" s="6"/>
      <c r="D1036" s="6"/>
      <c r="E1036" s="6"/>
      <c r="F1036" s="6"/>
      <c r="G1036" s="6"/>
      <c r="H1036" s="6"/>
      <c r="I1036" s="6"/>
      <c r="J1036" s="6"/>
      <c r="K1036" s="6"/>
      <c r="L1036" s="80"/>
      <c r="M1036" s="80"/>
      <c r="N1036" s="80"/>
      <c r="O1036" s="80"/>
      <c r="P1036" s="6"/>
      <c r="Q1036" s="6"/>
      <c r="R1036" s="6"/>
      <c r="S1036" s="6"/>
      <c r="T1036" s="6"/>
      <c r="U1036" s="6"/>
      <c r="V1036" s="6"/>
      <c r="W1036" s="7"/>
      <c r="X1036" s="7"/>
      <c r="Y1036" s="7"/>
      <c r="Z1036" s="7"/>
    </row>
    <row r="1037">
      <c r="A1037" s="6"/>
      <c r="B1037" s="6"/>
      <c r="C1037" s="6"/>
      <c r="D1037" s="6"/>
      <c r="E1037" s="6"/>
      <c r="F1037" s="6"/>
      <c r="G1037" s="6"/>
      <c r="H1037" s="6"/>
      <c r="I1037" s="6"/>
      <c r="J1037" s="6"/>
      <c r="K1037" s="6"/>
      <c r="L1037" s="80"/>
      <c r="M1037" s="80"/>
      <c r="N1037" s="80"/>
      <c r="O1037" s="80"/>
      <c r="P1037" s="6"/>
      <c r="Q1037" s="6"/>
      <c r="R1037" s="6"/>
      <c r="S1037" s="6"/>
      <c r="T1037" s="6"/>
      <c r="U1037" s="6"/>
      <c r="V1037" s="6"/>
      <c r="W1037" s="7"/>
      <c r="X1037" s="7"/>
      <c r="Y1037" s="7"/>
      <c r="Z1037" s="7"/>
    </row>
    <row r="1038">
      <c r="A1038" s="6"/>
      <c r="B1038" s="6"/>
      <c r="C1038" s="6"/>
      <c r="D1038" s="6"/>
      <c r="E1038" s="6"/>
      <c r="F1038" s="6"/>
      <c r="G1038" s="6"/>
      <c r="H1038" s="6"/>
      <c r="I1038" s="6"/>
      <c r="J1038" s="6"/>
      <c r="K1038" s="6"/>
      <c r="L1038" s="80"/>
      <c r="M1038" s="80"/>
      <c r="N1038" s="80"/>
      <c r="O1038" s="80"/>
      <c r="P1038" s="6"/>
      <c r="Q1038" s="6"/>
      <c r="R1038" s="6"/>
      <c r="S1038" s="6"/>
      <c r="T1038" s="6"/>
      <c r="U1038" s="6"/>
      <c r="V1038" s="6"/>
      <c r="W1038" s="7"/>
      <c r="X1038" s="7"/>
      <c r="Y1038" s="7"/>
      <c r="Z1038" s="7"/>
    </row>
    <row r="1039">
      <c r="A1039" s="6"/>
      <c r="B1039" s="6"/>
      <c r="C1039" s="6"/>
      <c r="D1039" s="6"/>
      <c r="E1039" s="6"/>
      <c r="F1039" s="6"/>
      <c r="G1039" s="6"/>
      <c r="H1039" s="6"/>
      <c r="I1039" s="6"/>
      <c r="J1039" s="6"/>
      <c r="K1039" s="6"/>
      <c r="L1039" s="80"/>
      <c r="M1039" s="80"/>
      <c r="N1039" s="80"/>
      <c r="O1039" s="80"/>
      <c r="P1039" s="6"/>
      <c r="Q1039" s="6"/>
      <c r="R1039" s="6"/>
      <c r="S1039" s="6"/>
      <c r="T1039" s="6"/>
      <c r="U1039" s="6"/>
      <c r="V1039" s="6"/>
      <c r="W1039" s="7"/>
      <c r="X1039" s="7"/>
      <c r="Y1039" s="7"/>
      <c r="Z1039" s="7"/>
    </row>
    <row r="1040">
      <c r="A1040" s="6"/>
      <c r="B1040" s="6"/>
      <c r="C1040" s="6"/>
      <c r="D1040" s="6"/>
      <c r="E1040" s="6"/>
      <c r="F1040" s="6"/>
      <c r="G1040" s="6"/>
      <c r="H1040" s="6"/>
      <c r="I1040" s="6"/>
      <c r="J1040" s="6"/>
      <c r="K1040" s="6"/>
      <c r="L1040" s="80"/>
      <c r="M1040" s="80"/>
      <c r="N1040" s="80"/>
      <c r="O1040" s="80"/>
      <c r="P1040" s="6"/>
      <c r="Q1040" s="6"/>
      <c r="R1040" s="6"/>
      <c r="S1040" s="6"/>
      <c r="T1040" s="6"/>
      <c r="U1040" s="6"/>
      <c r="V1040" s="6"/>
      <c r="W1040" s="7"/>
      <c r="X1040" s="7"/>
      <c r="Y1040" s="7"/>
      <c r="Z1040" s="7"/>
    </row>
    <row r="1041">
      <c r="A1041" s="6"/>
      <c r="B1041" s="6"/>
      <c r="C1041" s="6"/>
      <c r="D1041" s="6"/>
      <c r="E1041" s="6"/>
      <c r="F1041" s="6"/>
      <c r="G1041" s="6"/>
      <c r="H1041" s="6"/>
      <c r="I1041" s="6"/>
      <c r="J1041" s="6"/>
      <c r="K1041" s="6"/>
      <c r="L1041" s="80"/>
      <c r="M1041" s="80"/>
      <c r="N1041" s="80"/>
      <c r="O1041" s="80"/>
      <c r="P1041" s="6"/>
      <c r="Q1041" s="6"/>
      <c r="R1041" s="6"/>
      <c r="S1041" s="6"/>
      <c r="T1041" s="6"/>
      <c r="U1041" s="6"/>
      <c r="V1041" s="6"/>
      <c r="W1041" s="7"/>
      <c r="X1041" s="7"/>
      <c r="Y1041" s="7"/>
      <c r="Z1041" s="7"/>
    </row>
    <row r="1042">
      <c r="A1042" s="6"/>
      <c r="B1042" s="6"/>
      <c r="C1042" s="6"/>
      <c r="D1042" s="6"/>
      <c r="E1042" s="6"/>
      <c r="F1042" s="6"/>
      <c r="G1042" s="6"/>
      <c r="H1042" s="6"/>
      <c r="I1042" s="6"/>
      <c r="J1042" s="6"/>
      <c r="K1042" s="6"/>
      <c r="L1042" s="80"/>
      <c r="M1042" s="80"/>
      <c r="N1042" s="80"/>
      <c r="O1042" s="80"/>
      <c r="P1042" s="6"/>
      <c r="Q1042" s="6"/>
      <c r="R1042" s="6"/>
      <c r="S1042" s="6"/>
      <c r="T1042" s="6"/>
      <c r="U1042" s="6"/>
      <c r="V1042" s="6"/>
      <c r="W1042" s="7"/>
      <c r="X1042" s="7"/>
      <c r="Y1042" s="7"/>
      <c r="Z1042" s="7"/>
    </row>
    <row r="1043">
      <c r="A1043" s="6"/>
      <c r="B1043" s="6"/>
      <c r="C1043" s="6"/>
      <c r="D1043" s="6"/>
      <c r="E1043" s="6"/>
      <c r="F1043" s="6"/>
      <c r="G1043" s="6"/>
      <c r="H1043" s="6"/>
      <c r="I1043" s="6"/>
      <c r="J1043" s="6"/>
      <c r="K1043" s="6"/>
      <c r="L1043" s="80"/>
      <c r="M1043" s="80"/>
      <c r="N1043" s="80"/>
      <c r="O1043" s="80"/>
      <c r="P1043" s="6"/>
      <c r="Q1043" s="6"/>
      <c r="R1043" s="6"/>
      <c r="S1043" s="6"/>
      <c r="T1043" s="6"/>
      <c r="U1043" s="6"/>
      <c r="V1043" s="6"/>
      <c r="W1043" s="7"/>
      <c r="X1043" s="7"/>
      <c r="Y1043" s="7"/>
      <c r="Z1043" s="7"/>
    </row>
    <row r="1044">
      <c r="A1044" s="6"/>
      <c r="B1044" s="6"/>
      <c r="C1044" s="6"/>
      <c r="D1044" s="6"/>
      <c r="E1044" s="6"/>
      <c r="F1044" s="6"/>
      <c r="G1044" s="6"/>
      <c r="H1044" s="6"/>
      <c r="I1044" s="6"/>
      <c r="J1044" s="6"/>
      <c r="K1044" s="6"/>
      <c r="L1044" s="80"/>
      <c r="M1044" s="80"/>
      <c r="N1044" s="80"/>
      <c r="O1044" s="80"/>
      <c r="P1044" s="6"/>
      <c r="Q1044" s="6"/>
      <c r="R1044" s="6"/>
      <c r="S1044" s="6"/>
      <c r="T1044" s="6"/>
      <c r="U1044" s="6"/>
      <c r="V1044" s="6"/>
      <c r="W1044" s="7"/>
      <c r="X1044" s="7"/>
      <c r="Y1044" s="7"/>
      <c r="Z1044" s="7"/>
    </row>
    <row r="1045">
      <c r="A1045" s="6"/>
      <c r="B1045" s="6"/>
      <c r="C1045" s="6"/>
      <c r="D1045" s="6"/>
      <c r="E1045" s="6"/>
      <c r="F1045" s="6"/>
      <c r="G1045" s="6"/>
      <c r="H1045" s="6"/>
      <c r="I1045" s="6"/>
      <c r="J1045" s="6"/>
      <c r="K1045" s="6"/>
      <c r="L1045" s="80"/>
      <c r="M1045" s="80"/>
      <c r="N1045" s="80"/>
      <c r="O1045" s="80"/>
      <c r="P1045" s="6"/>
      <c r="Q1045" s="6"/>
      <c r="R1045" s="6"/>
      <c r="S1045" s="6"/>
      <c r="T1045" s="6"/>
      <c r="U1045" s="6"/>
      <c r="V1045" s="6"/>
      <c r="W1045" s="7"/>
      <c r="X1045" s="7"/>
      <c r="Y1045" s="7"/>
      <c r="Z1045" s="7"/>
    </row>
    <row r="1046">
      <c r="A1046" s="6"/>
      <c r="B1046" s="6"/>
      <c r="C1046" s="6"/>
      <c r="D1046" s="6"/>
      <c r="E1046" s="6"/>
      <c r="F1046" s="6"/>
      <c r="G1046" s="6"/>
      <c r="H1046" s="6"/>
      <c r="I1046" s="6"/>
      <c r="J1046" s="6"/>
      <c r="K1046" s="6"/>
      <c r="L1046" s="80"/>
      <c r="M1046" s="80"/>
      <c r="N1046" s="80"/>
      <c r="O1046" s="80"/>
      <c r="P1046" s="6"/>
      <c r="Q1046" s="6"/>
      <c r="R1046" s="6"/>
      <c r="S1046" s="6"/>
      <c r="T1046" s="6"/>
      <c r="U1046" s="6"/>
      <c r="V1046" s="6"/>
      <c r="W1046" s="7"/>
      <c r="X1046" s="7"/>
      <c r="Y1046" s="7"/>
      <c r="Z1046" s="7"/>
    </row>
    <row r="1047">
      <c r="A1047" s="6"/>
      <c r="B1047" s="6"/>
      <c r="C1047" s="6"/>
      <c r="D1047" s="6"/>
      <c r="E1047" s="6"/>
      <c r="F1047" s="6"/>
      <c r="G1047" s="6"/>
      <c r="H1047" s="6"/>
      <c r="I1047" s="6"/>
      <c r="J1047" s="6"/>
      <c r="K1047" s="6"/>
      <c r="L1047" s="80"/>
      <c r="M1047" s="80"/>
      <c r="N1047" s="80"/>
      <c r="O1047" s="80"/>
      <c r="P1047" s="6"/>
      <c r="Q1047" s="6"/>
      <c r="R1047" s="6"/>
      <c r="S1047" s="6"/>
      <c r="T1047" s="6"/>
      <c r="U1047" s="6"/>
      <c r="V1047" s="6"/>
      <c r="W1047" s="7"/>
      <c r="X1047" s="7"/>
      <c r="Y1047" s="7"/>
      <c r="Z1047" s="7"/>
    </row>
    <row r="1048">
      <c r="A1048" s="6"/>
      <c r="B1048" s="6"/>
      <c r="C1048" s="6"/>
      <c r="D1048" s="6"/>
      <c r="E1048" s="6"/>
      <c r="F1048" s="6"/>
      <c r="G1048" s="6"/>
      <c r="H1048" s="6"/>
      <c r="I1048" s="6"/>
      <c r="J1048" s="6"/>
      <c r="K1048" s="6"/>
      <c r="L1048" s="80"/>
      <c r="M1048" s="80"/>
      <c r="N1048" s="80"/>
      <c r="O1048" s="80"/>
      <c r="P1048" s="6"/>
      <c r="Q1048" s="6"/>
      <c r="R1048" s="6"/>
      <c r="S1048" s="6"/>
      <c r="T1048" s="6"/>
      <c r="U1048" s="6"/>
      <c r="V1048" s="6"/>
      <c r="W1048" s="7"/>
      <c r="X1048" s="7"/>
      <c r="Y1048" s="7"/>
      <c r="Z1048" s="7"/>
    </row>
    <row r="1049">
      <c r="A1049" s="6"/>
      <c r="B1049" s="6"/>
      <c r="C1049" s="6"/>
      <c r="D1049" s="6"/>
      <c r="E1049" s="6"/>
      <c r="F1049" s="6"/>
      <c r="G1049" s="6"/>
      <c r="H1049" s="6"/>
      <c r="I1049" s="6"/>
      <c r="J1049" s="6"/>
      <c r="K1049" s="6"/>
      <c r="L1049" s="80"/>
      <c r="M1049" s="80"/>
      <c r="N1049" s="80"/>
      <c r="O1049" s="80"/>
      <c r="P1049" s="6"/>
      <c r="Q1049" s="6"/>
      <c r="R1049" s="6"/>
      <c r="S1049" s="6"/>
      <c r="T1049" s="6"/>
      <c r="U1049" s="6"/>
      <c r="V1049" s="6"/>
      <c r="W1049" s="7"/>
      <c r="X1049" s="7"/>
      <c r="Y1049" s="7"/>
      <c r="Z1049" s="7"/>
    </row>
    <row r="1050">
      <c r="A1050" s="6"/>
      <c r="B1050" s="6"/>
      <c r="C1050" s="6"/>
      <c r="D1050" s="6"/>
      <c r="E1050" s="6"/>
      <c r="F1050" s="6"/>
      <c r="G1050" s="6"/>
      <c r="H1050" s="6"/>
      <c r="I1050" s="6"/>
      <c r="J1050" s="6"/>
      <c r="K1050" s="6"/>
      <c r="L1050" s="80"/>
      <c r="M1050" s="80"/>
      <c r="N1050" s="80"/>
      <c r="O1050" s="80"/>
      <c r="P1050" s="6"/>
      <c r="Q1050" s="6"/>
      <c r="R1050" s="6"/>
      <c r="S1050" s="6"/>
      <c r="T1050" s="6"/>
      <c r="U1050" s="6"/>
      <c r="V1050" s="6"/>
      <c r="W1050" s="7"/>
      <c r="X1050" s="7"/>
      <c r="Y1050" s="7"/>
      <c r="Z1050" s="7"/>
    </row>
    <row r="1051">
      <c r="A1051" s="6"/>
      <c r="B1051" s="6"/>
      <c r="C1051" s="6"/>
      <c r="D1051" s="6"/>
      <c r="E1051" s="6"/>
      <c r="F1051" s="6"/>
      <c r="G1051" s="6"/>
      <c r="H1051" s="6"/>
      <c r="I1051" s="6"/>
      <c r="J1051" s="6"/>
      <c r="K1051" s="6"/>
      <c r="L1051" s="80"/>
      <c r="M1051" s="80"/>
      <c r="N1051" s="80"/>
      <c r="O1051" s="80"/>
      <c r="P1051" s="6"/>
      <c r="Q1051" s="6"/>
      <c r="R1051" s="6"/>
      <c r="S1051" s="6"/>
      <c r="T1051" s="6"/>
      <c r="U1051" s="6"/>
      <c r="V1051" s="6"/>
      <c r="W1051" s="7"/>
      <c r="X1051" s="7"/>
      <c r="Y1051" s="7"/>
      <c r="Z1051" s="7"/>
    </row>
    <row r="1052">
      <c r="A1052" s="6"/>
      <c r="B1052" s="6"/>
      <c r="C1052" s="6"/>
      <c r="D1052" s="6"/>
      <c r="E1052" s="6"/>
      <c r="F1052" s="6"/>
      <c r="G1052" s="6"/>
      <c r="H1052" s="6"/>
      <c r="I1052" s="6"/>
      <c r="J1052" s="6"/>
      <c r="K1052" s="6"/>
      <c r="L1052" s="80"/>
      <c r="M1052" s="80"/>
      <c r="N1052" s="80"/>
      <c r="O1052" s="80"/>
      <c r="P1052" s="6"/>
      <c r="Q1052" s="6"/>
      <c r="R1052" s="6"/>
      <c r="S1052" s="6"/>
      <c r="T1052" s="6"/>
      <c r="U1052" s="6"/>
      <c r="V1052" s="6"/>
      <c r="W1052" s="7"/>
      <c r="X1052" s="7"/>
      <c r="Y1052" s="7"/>
      <c r="Z1052" s="7"/>
    </row>
    <row r="1053">
      <c r="A1053" s="6"/>
      <c r="B1053" s="6"/>
      <c r="C1053" s="6"/>
      <c r="D1053" s="6"/>
      <c r="E1053" s="6"/>
      <c r="F1053" s="6"/>
      <c r="G1053" s="6"/>
      <c r="H1053" s="6"/>
      <c r="I1053" s="6"/>
      <c r="J1053" s="6"/>
      <c r="K1053" s="6"/>
      <c r="L1053" s="80"/>
      <c r="M1053" s="80"/>
      <c r="N1053" s="80"/>
      <c r="O1053" s="80"/>
      <c r="P1053" s="6"/>
      <c r="Q1053" s="6"/>
      <c r="R1053" s="6"/>
      <c r="S1053" s="6"/>
      <c r="T1053" s="6"/>
      <c r="U1053" s="6"/>
      <c r="V1053" s="6"/>
      <c r="W1053" s="7"/>
      <c r="X1053" s="7"/>
      <c r="Y1053" s="7"/>
      <c r="Z1053" s="7"/>
    </row>
    <row r="1054">
      <c r="A1054" s="6"/>
      <c r="B1054" s="6"/>
      <c r="C1054" s="6"/>
      <c r="D1054" s="6"/>
      <c r="E1054" s="6"/>
      <c r="F1054" s="6"/>
      <c r="G1054" s="6"/>
      <c r="H1054" s="6"/>
      <c r="I1054" s="6"/>
      <c r="J1054" s="6"/>
      <c r="K1054" s="6"/>
      <c r="L1054" s="80"/>
      <c r="M1054" s="80"/>
      <c r="N1054" s="80"/>
      <c r="O1054" s="80"/>
      <c r="P1054" s="6"/>
      <c r="Q1054" s="6"/>
      <c r="R1054" s="6"/>
      <c r="S1054" s="6"/>
      <c r="T1054" s="6"/>
      <c r="U1054" s="6"/>
      <c r="V1054" s="6"/>
      <c r="W1054" s="7"/>
      <c r="X1054" s="7"/>
      <c r="Y1054" s="7"/>
      <c r="Z1054" s="7"/>
    </row>
    <row r="1055">
      <c r="A1055" s="6"/>
      <c r="B1055" s="6"/>
      <c r="C1055" s="6"/>
      <c r="D1055" s="6"/>
      <c r="E1055" s="6"/>
      <c r="F1055" s="6"/>
      <c r="G1055" s="6"/>
      <c r="H1055" s="6"/>
      <c r="I1055" s="6"/>
      <c r="J1055" s="6"/>
      <c r="K1055" s="6"/>
      <c r="L1055" s="80"/>
      <c r="M1055" s="80"/>
      <c r="N1055" s="80"/>
      <c r="O1055" s="80"/>
      <c r="P1055" s="6"/>
      <c r="Q1055" s="6"/>
      <c r="R1055" s="6"/>
      <c r="S1055" s="6"/>
      <c r="T1055" s="6"/>
      <c r="U1055" s="6"/>
      <c r="V1055" s="6"/>
      <c r="W1055" s="7"/>
      <c r="X1055" s="7"/>
      <c r="Y1055" s="7"/>
      <c r="Z1055" s="7"/>
    </row>
    <row r="1056">
      <c r="A1056" s="6"/>
      <c r="B1056" s="6"/>
      <c r="C1056" s="6"/>
      <c r="D1056" s="6"/>
      <c r="E1056" s="6"/>
      <c r="F1056" s="6"/>
      <c r="G1056" s="6"/>
      <c r="H1056" s="6"/>
      <c r="I1056" s="6"/>
      <c r="J1056" s="6"/>
      <c r="K1056" s="6"/>
      <c r="L1056" s="80"/>
      <c r="M1056" s="80"/>
      <c r="N1056" s="80"/>
      <c r="O1056" s="80"/>
      <c r="P1056" s="6"/>
      <c r="Q1056" s="6"/>
      <c r="R1056" s="6"/>
      <c r="S1056" s="6"/>
      <c r="T1056" s="6"/>
      <c r="U1056" s="6"/>
      <c r="V1056" s="6"/>
      <c r="W1056" s="7"/>
      <c r="X1056" s="7"/>
      <c r="Y1056" s="7"/>
      <c r="Z1056" s="7"/>
    </row>
    <row r="1057">
      <c r="A1057" s="6"/>
      <c r="B1057" s="6"/>
      <c r="C1057" s="6"/>
      <c r="D1057" s="6"/>
      <c r="E1057" s="6"/>
      <c r="F1057" s="6"/>
      <c r="G1057" s="6"/>
      <c r="H1057" s="6"/>
      <c r="I1057" s="6"/>
      <c r="J1057" s="6"/>
      <c r="K1057" s="6"/>
      <c r="L1057" s="80"/>
      <c r="M1057" s="80"/>
      <c r="N1057" s="80"/>
      <c r="O1057" s="80"/>
      <c r="P1057" s="6"/>
      <c r="Q1057" s="6"/>
      <c r="R1057" s="6"/>
      <c r="S1057" s="6"/>
      <c r="T1057" s="6"/>
      <c r="U1057" s="6"/>
      <c r="V1057" s="6"/>
      <c r="W1057" s="7"/>
      <c r="X1057" s="7"/>
      <c r="Y1057" s="7"/>
      <c r="Z1057" s="7"/>
    </row>
    <row r="1058">
      <c r="A1058" s="6"/>
      <c r="B1058" s="6"/>
      <c r="C1058" s="6"/>
      <c r="D1058" s="6"/>
      <c r="E1058" s="6"/>
      <c r="F1058" s="6"/>
      <c r="G1058" s="6"/>
      <c r="H1058" s="6"/>
      <c r="I1058" s="6"/>
      <c r="J1058" s="6"/>
      <c r="K1058" s="6"/>
      <c r="L1058" s="80"/>
      <c r="M1058" s="80"/>
      <c r="N1058" s="80"/>
      <c r="O1058" s="80"/>
      <c r="P1058" s="6"/>
      <c r="Q1058" s="6"/>
      <c r="R1058" s="6"/>
      <c r="S1058" s="6"/>
      <c r="T1058" s="6"/>
      <c r="U1058" s="6"/>
      <c r="V1058" s="6"/>
      <c r="W1058" s="7"/>
      <c r="X1058" s="7"/>
      <c r="Y1058" s="7"/>
      <c r="Z1058" s="7"/>
    </row>
    <row r="1059">
      <c r="A1059" s="6"/>
      <c r="B1059" s="6"/>
      <c r="C1059" s="6"/>
      <c r="D1059" s="6"/>
      <c r="E1059" s="6"/>
      <c r="F1059" s="6"/>
      <c r="G1059" s="6"/>
      <c r="H1059" s="6"/>
      <c r="I1059" s="6"/>
      <c r="J1059" s="6"/>
      <c r="K1059" s="6"/>
      <c r="L1059" s="80"/>
      <c r="M1059" s="80"/>
      <c r="N1059" s="80"/>
      <c r="O1059" s="80"/>
      <c r="P1059" s="6"/>
      <c r="Q1059" s="6"/>
      <c r="R1059" s="6"/>
      <c r="S1059" s="6"/>
      <c r="T1059" s="6"/>
      <c r="U1059" s="6"/>
      <c r="V1059" s="6"/>
      <c r="W1059" s="7"/>
      <c r="X1059" s="7"/>
      <c r="Y1059" s="7"/>
      <c r="Z1059" s="7"/>
    </row>
    <row r="1060">
      <c r="A1060" s="6"/>
      <c r="B1060" s="6"/>
      <c r="C1060" s="6"/>
      <c r="D1060" s="6"/>
      <c r="E1060" s="6"/>
      <c r="F1060" s="6"/>
      <c r="G1060" s="6"/>
      <c r="H1060" s="6"/>
      <c r="I1060" s="6"/>
      <c r="J1060" s="6"/>
      <c r="K1060" s="6"/>
      <c r="L1060" s="80"/>
      <c r="M1060" s="80"/>
      <c r="N1060" s="80"/>
      <c r="O1060" s="80"/>
      <c r="P1060" s="6"/>
      <c r="Q1060" s="6"/>
      <c r="R1060" s="6"/>
      <c r="S1060" s="6"/>
      <c r="T1060" s="6"/>
      <c r="U1060" s="6"/>
      <c r="V1060" s="6"/>
      <c r="W1060" s="7"/>
      <c r="X1060" s="7"/>
      <c r="Y1060" s="7"/>
      <c r="Z1060" s="7"/>
    </row>
    <row r="1061">
      <c r="A1061" s="6"/>
      <c r="B1061" s="6"/>
      <c r="C1061" s="6"/>
      <c r="D1061" s="6"/>
      <c r="E1061" s="6"/>
      <c r="F1061" s="6"/>
      <c r="G1061" s="6"/>
      <c r="H1061" s="6"/>
      <c r="I1061" s="6"/>
      <c r="J1061" s="6"/>
      <c r="K1061" s="6"/>
      <c r="L1061" s="80"/>
      <c r="M1061" s="80"/>
      <c r="N1061" s="80"/>
      <c r="O1061" s="80"/>
      <c r="P1061" s="6"/>
      <c r="Q1061" s="6"/>
      <c r="R1061" s="6"/>
      <c r="S1061" s="6"/>
      <c r="T1061" s="6"/>
      <c r="U1061" s="6"/>
      <c r="V1061" s="6"/>
      <c r="W1061" s="7"/>
      <c r="X1061" s="7"/>
      <c r="Y1061" s="7"/>
      <c r="Z1061" s="7"/>
    </row>
    <row r="1062">
      <c r="A1062" s="6"/>
      <c r="B1062" s="6"/>
      <c r="C1062" s="6"/>
      <c r="D1062" s="6"/>
      <c r="E1062" s="6"/>
      <c r="F1062" s="6"/>
      <c r="G1062" s="6"/>
      <c r="H1062" s="6"/>
      <c r="I1062" s="6"/>
      <c r="J1062" s="6"/>
      <c r="K1062" s="6"/>
      <c r="L1062" s="80"/>
      <c r="M1062" s="80"/>
      <c r="N1062" s="80"/>
      <c r="O1062" s="80"/>
      <c r="P1062" s="6"/>
      <c r="Q1062" s="6"/>
      <c r="R1062" s="6"/>
      <c r="S1062" s="6"/>
      <c r="T1062" s="6"/>
      <c r="U1062" s="6"/>
      <c r="V1062" s="6"/>
      <c r="W1062" s="7"/>
      <c r="X1062" s="7"/>
      <c r="Y1062" s="7"/>
      <c r="Z1062" s="7"/>
    </row>
    <row r="1063">
      <c r="A1063" s="6"/>
      <c r="B1063" s="6"/>
      <c r="C1063" s="6"/>
      <c r="D1063" s="6"/>
      <c r="E1063" s="6"/>
      <c r="F1063" s="6"/>
      <c r="G1063" s="6"/>
      <c r="H1063" s="6"/>
      <c r="I1063" s="6"/>
      <c r="J1063" s="6"/>
      <c r="K1063" s="6"/>
      <c r="L1063" s="80"/>
      <c r="M1063" s="80"/>
      <c r="N1063" s="80"/>
      <c r="O1063" s="80"/>
      <c r="P1063" s="6"/>
      <c r="Q1063" s="6"/>
      <c r="R1063" s="6"/>
      <c r="S1063" s="6"/>
      <c r="T1063" s="6"/>
      <c r="U1063" s="6"/>
      <c r="V1063" s="6"/>
      <c r="W1063" s="7"/>
      <c r="X1063" s="7"/>
      <c r="Y1063" s="7"/>
      <c r="Z1063" s="7"/>
    </row>
    <row r="1064">
      <c r="A1064" s="6"/>
      <c r="B1064" s="6"/>
      <c r="C1064" s="6"/>
      <c r="D1064" s="6"/>
      <c r="E1064" s="6"/>
      <c r="F1064" s="6"/>
      <c r="G1064" s="6"/>
      <c r="H1064" s="6"/>
      <c r="I1064" s="6"/>
      <c r="J1064" s="6"/>
      <c r="K1064" s="6"/>
      <c r="L1064" s="80"/>
      <c r="M1064" s="80"/>
      <c r="N1064" s="80"/>
      <c r="O1064" s="80"/>
      <c r="P1064" s="6"/>
      <c r="Q1064" s="6"/>
      <c r="R1064" s="6"/>
      <c r="S1064" s="6"/>
      <c r="T1064" s="6"/>
      <c r="U1064" s="6"/>
      <c r="V1064" s="6"/>
      <c r="W1064" s="7"/>
      <c r="X1064" s="7"/>
      <c r="Y1064" s="7"/>
      <c r="Z1064" s="7"/>
    </row>
    <row r="1065">
      <c r="A1065" s="6"/>
      <c r="B1065" s="6"/>
      <c r="C1065" s="6"/>
      <c r="D1065" s="6"/>
      <c r="E1065" s="6"/>
      <c r="F1065" s="6"/>
      <c r="G1065" s="6"/>
      <c r="H1065" s="6"/>
      <c r="I1065" s="6"/>
      <c r="J1065" s="6"/>
      <c r="K1065" s="6"/>
      <c r="L1065" s="80"/>
      <c r="M1065" s="80"/>
      <c r="N1065" s="80"/>
      <c r="O1065" s="80"/>
      <c r="P1065" s="6"/>
      <c r="Q1065" s="6"/>
      <c r="R1065" s="6"/>
      <c r="S1065" s="6"/>
      <c r="T1065" s="6"/>
      <c r="U1065" s="6"/>
      <c r="V1065" s="6"/>
      <c r="W1065" s="7"/>
      <c r="X1065" s="7"/>
      <c r="Y1065" s="7"/>
      <c r="Z1065" s="7"/>
    </row>
    <row r="1066">
      <c r="A1066" s="6"/>
      <c r="B1066" s="6"/>
      <c r="C1066" s="6"/>
      <c r="D1066" s="6"/>
      <c r="E1066" s="6"/>
      <c r="F1066" s="6"/>
      <c r="G1066" s="6"/>
      <c r="H1066" s="6"/>
      <c r="I1066" s="6"/>
      <c r="J1066" s="6"/>
      <c r="K1066" s="6"/>
      <c r="L1066" s="80"/>
      <c r="M1066" s="80"/>
      <c r="N1066" s="80"/>
      <c r="O1066" s="80"/>
      <c r="P1066" s="6"/>
      <c r="Q1066" s="6"/>
      <c r="R1066" s="6"/>
      <c r="S1066" s="6"/>
      <c r="T1066" s="6"/>
      <c r="U1066" s="6"/>
      <c r="V1066" s="6"/>
      <c r="W1066" s="7"/>
      <c r="X1066" s="7"/>
      <c r="Y1066" s="7"/>
      <c r="Z1066" s="7"/>
    </row>
    <row r="1067">
      <c r="A1067" s="6"/>
      <c r="B1067" s="6"/>
      <c r="C1067" s="6"/>
      <c r="D1067" s="6"/>
      <c r="E1067" s="6"/>
      <c r="F1067" s="6"/>
      <c r="G1067" s="6"/>
      <c r="H1067" s="6"/>
      <c r="I1067" s="6"/>
      <c r="J1067" s="6"/>
      <c r="K1067" s="6"/>
      <c r="L1067" s="80"/>
      <c r="M1067" s="80"/>
      <c r="N1067" s="80"/>
      <c r="O1067" s="80"/>
      <c r="P1067" s="6"/>
      <c r="Q1067" s="6"/>
      <c r="R1067" s="6"/>
      <c r="S1067" s="6"/>
      <c r="T1067" s="6"/>
      <c r="U1067" s="6"/>
      <c r="V1067" s="6"/>
      <c r="W1067" s="7"/>
      <c r="X1067" s="7"/>
      <c r="Y1067" s="7"/>
      <c r="Z1067" s="7"/>
    </row>
    <row r="1068">
      <c r="A1068" s="6"/>
      <c r="B1068" s="6"/>
      <c r="C1068" s="6"/>
      <c r="D1068" s="6"/>
      <c r="E1068" s="6"/>
      <c r="F1068" s="6"/>
      <c r="G1068" s="6"/>
      <c r="H1068" s="6"/>
      <c r="I1068" s="6"/>
      <c r="J1068" s="6"/>
      <c r="K1068" s="6"/>
      <c r="L1068" s="80"/>
      <c r="M1068" s="80"/>
      <c r="N1068" s="80"/>
      <c r="O1068" s="80"/>
      <c r="P1068" s="6"/>
      <c r="Q1068" s="6"/>
      <c r="R1068" s="6"/>
      <c r="S1068" s="6"/>
      <c r="T1068" s="6"/>
      <c r="U1068" s="6"/>
      <c r="V1068" s="6"/>
      <c r="W1068" s="7"/>
      <c r="X1068" s="7"/>
      <c r="Y1068" s="7"/>
      <c r="Z1068" s="7"/>
    </row>
    <row r="1069">
      <c r="A1069" s="6"/>
      <c r="B1069" s="6"/>
      <c r="C1069" s="6"/>
      <c r="D1069" s="6"/>
      <c r="E1069" s="6"/>
      <c r="F1069" s="6"/>
      <c r="G1069" s="6"/>
      <c r="H1069" s="6"/>
      <c r="I1069" s="6"/>
      <c r="J1069" s="6"/>
      <c r="K1069" s="6"/>
      <c r="L1069" s="80"/>
      <c r="M1069" s="80"/>
      <c r="N1069" s="80"/>
      <c r="O1069" s="80"/>
      <c r="P1069" s="6"/>
      <c r="Q1069" s="6"/>
      <c r="R1069" s="6"/>
      <c r="S1069" s="6"/>
      <c r="T1069" s="6"/>
      <c r="U1069" s="6"/>
      <c r="V1069" s="6"/>
      <c r="W1069" s="7"/>
      <c r="X1069" s="7"/>
      <c r="Y1069" s="7"/>
      <c r="Z1069" s="7"/>
    </row>
    <row r="1070">
      <c r="A1070" s="6"/>
      <c r="B1070" s="6"/>
      <c r="C1070" s="6"/>
      <c r="D1070" s="6"/>
      <c r="E1070" s="6"/>
      <c r="F1070" s="6"/>
      <c r="G1070" s="6"/>
      <c r="H1070" s="6"/>
      <c r="I1070" s="6"/>
      <c r="J1070" s="6"/>
      <c r="K1070" s="6"/>
      <c r="L1070" s="80"/>
      <c r="M1070" s="80"/>
      <c r="N1070" s="80"/>
      <c r="O1070" s="80"/>
      <c r="P1070" s="6"/>
      <c r="Q1070" s="6"/>
      <c r="R1070" s="6"/>
      <c r="S1070" s="6"/>
      <c r="T1070" s="6"/>
      <c r="U1070" s="6"/>
      <c r="V1070" s="6"/>
      <c r="W1070" s="7"/>
      <c r="X1070" s="7"/>
      <c r="Y1070" s="7"/>
      <c r="Z1070" s="7"/>
    </row>
    <row r="1071">
      <c r="A1071" s="6"/>
      <c r="B1071" s="6"/>
      <c r="C1071" s="6"/>
      <c r="D1071" s="6"/>
      <c r="E1071" s="6"/>
      <c r="F1071" s="6"/>
      <c r="G1071" s="6"/>
      <c r="H1071" s="6"/>
      <c r="I1071" s="6"/>
      <c r="J1071" s="6"/>
      <c r="K1071" s="6"/>
      <c r="L1071" s="80"/>
      <c r="M1071" s="80"/>
      <c r="N1071" s="80"/>
      <c r="O1071" s="80"/>
      <c r="P1071" s="6"/>
      <c r="Q1071" s="6"/>
      <c r="R1071" s="6"/>
      <c r="S1071" s="6"/>
      <c r="T1071" s="6"/>
      <c r="U1071" s="6"/>
      <c r="V1071" s="6"/>
      <c r="W1071" s="7"/>
      <c r="X1071" s="7"/>
      <c r="Y1071" s="7"/>
      <c r="Z1071" s="7"/>
    </row>
    <row r="1072">
      <c r="A1072" s="6"/>
      <c r="B1072" s="6"/>
      <c r="C1072" s="6"/>
      <c r="D1072" s="6"/>
      <c r="E1072" s="6"/>
      <c r="F1072" s="6"/>
      <c r="G1072" s="6"/>
      <c r="H1072" s="6"/>
      <c r="I1072" s="6"/>
      <c r="J1072" s="6"/>
      <c r="K1072" s="6"/>
      <c r="L1072" s="80"/>
      <c r="M1072" s="80"/>
      <c r="N1072" s="80"/>
      <c r="O1072" s="80"/>
      <c r="P1072" s="6"/>
      <c r="Q1072" s="6"/>
      <c r="R1072" s="6"/>
      <c r="S1072" s="6"/>
      <c r="T1072" s="6"/>
      <c r="U1072" s="6"/>
      <c r="V1072" s="6"/>
      <c r="W1072" s="7"/>
      <c r="X1072" s="7"/>
      <c r="Y1072" s="7"/>
      <c r="Z1072" s="7"/>
    </row>
    <row r="1073">
      <c r="A1073" s="6"/>
      <c r="B1073" s="6"/>
      <c r="C1073" s="6"/>
      <c r="D1073" s="6"/>
      <c r="E1073" s="6"/>
      <c r="F1073" s="6"/>
      <c r="G1073" s="6"/>
      <c r="H1073" s="6"/>
      <c r="I1073" s="6"/>
      <c r="J1073" s="6"/>
      <c r="K1073" s="6"/>
      <c r="L1073" s="80"/>
      <c r="M1073" s="80"/>
      <c r="N1073" s="80"/>
      <c r="O1073" s="80"/>
      <c r="P1073" s="6"/>
      <c r="Q1073" s="6"/>
      <c r="R1073" s="6"/>
      <c r="S1073" s="6"/>
      <c r="T1073" s="6"/>
      <c r="U1073" s="6"/>
      <c r="V1073" s="6"/>
      <c r="W1073" s="7"/>
      <c r="X1073" s="7"/>
      <c r="Y1073" s="7"/>
      <c r="Z1073" s="7"/>
    </row>
    <row r="1074">
      <c r="A1074" s="6"/>
      <c r="B1074" s="6"/>
      <c r="C1074" s="6"/>
      <c r="D1074" s="6"/>
      <c r="E1074" s="6"/>
      <c r="F1074" s="6"/>
      <c r="G1074" s="6"/>
      <c r="H1074" s="6"/>
      <c r="I1074" s="6"/>
      <c r="J1074" s="6"/>
      <c r="K1074" s="6"/>
      <c r="L1074" s="80"/>
      <c r="M1074" s="80"/>
      <c r="N1074" s="80"/>
      <c r="O1074" s="80"/>
      <c r="P1074" s="6"/>
      <c r="Q1074" s="6"/>
      <c r="R1074" s="6"/>
      <c r="S1074" s="6"/>
      <c r="T1074" s="6"/>
      <c r="U1074" s="6"/>
      <c r="V1074" s="6"/>
      <c r="W1074" s="7"/>
      <c r="X1074" s="7"/>
      <c r="Y1074" s="7"/>
      <c r="Z1074" s="7"/>
    </row>
    <row r="1075">
      <c r="A1075" s="6"/>
      <c r="B1075" s="6"/>
      <c r="C1075" s="6"/>
      <c r="D1075" s="6"/>
      <c r="E1075" s="6"/>
      <c r="F1075" s="6"/>
      <c r="G1075" s="6"/>
      <c r="H1075" s="6"/>
      <c r="I1075" s="6"/>
      <c r="J1075" s="6"/>
      <c r="K1075" s="6"/>
      <c r="L1075" s="80"/>
      <c r="M1075" s="80"/>
      <c r="N1075" s="80"/>
      <c r="O1075" s="80"/>
      <c r="P1075" s="6"/>
      <c r="Q1075" s="6"/>
      <c r="R1075" s="6"/>
      <c r="S1075" s="6"/>
      <c r="T1075" s="6"/>
      <c r="U1075" s="6"/>
      <c r="V1075" s="6"/>
      <c r="W1075" s="7"/>
      <c r="X1075" s="7"/>
      <c r="Y1075" s="7"/>
      <c r="Z1075" s="7"/>
    </row>
    <row r="1076">
      <c r="A1076" s="6"/>
      <c r="B1076" s="6"/>
      <c r="C1076" s="6"/>
      <c r="D1076" s="6"/>
      <c r="E1076" s="6"/>
      <c r="F1076" s="6"/>
      <c r="G1076" s="6"/>
      <c r="H1076" s="6"/>
      <c r="I1076" s="6"/>
      <c r="J1076" s="6"/>
      <c r="K1076" s="6"/>
      <c r="L1076" s="80"/>
      <c r="M1076" s="80"/>
      <c r="N1076" s="80"/>
      <c r="O1076" s="80"/>
      <c r="P1076" s="6"/>
      <c r="Q1076" s="6"/>
      <c r="R1076" s="6"/>
      <c r="S1076" s="6"/>
      <c r="T1076" s="6"/>
      <c r="U1076" s="6"/>
      <c r="V1076" s="6"/>
      <c r="W1076" s="7"/>
      <c r="X1076" s="7"/>
      <c r="Y1076" s="7"/>
      <c r="Z1076" s="7"/>
    </row>
    <row r="1077">
      <c r="A1077" s="6"/>
      <c r="B1077" s="6"/>
      <c r="C1077" s="6"/>
      <c r="D1077" s="6"/>
      <c r="E1077" s="6"/>
      <c r="F1077" s="6"/>
      <c r="G1077" s="6"/>
      <c r="H1077" s="6"/>
      <c r="I1077" s="6"/>
      <c r="J1077" s="6"/>
      <c r="K1077" s="6"/>
      <c r="L1077" s="80"/>
      <c r="M1077" s="80"/>
      <c r="N1077" s="80"/>
      <c r="O1077" s="80"/>
      <c r="P1077" s="6"/>
      <c r="Q1077" s="6"/>
      <c r="R1077" s="6"/>
      <c r="S1077" s="6"/>
      <c r="T1077" s="6"/>
      <c r="U1077" s="6"/>
      <c r="V1077" s="6"/>
      <c r="W1077" s="7"/>
      <c r="X1077" s="7"/>
      <c r="Y1077" s="7"/>
      <c r="Z1077" s="7"/>
    </row>
    <row r="1078">
      <c r="A1078" s="6"/>
      <c r="B1078" s="6"/>
      <c r="C1078" s="6"/>
      <c r="D1078" s="6"/>
      <c r="E1078" s="6"/>
      <c r="F1078" s="6"/>
      <c r="G1078" s="6"/>
      <c r="H1078" s="6"/>
      <c r="I1078" s="6"/>
      <c r="J1078" s="6"/>
      <c r="K1078" s="6"/>
      <c r="L1078" s="80"/>
      <c r="M1078" s="80"/>
      <c r="N1078" s="80"/>
      <c r="O1078" s="80"/>
      <c r="P1078" s="6"/>
      <c r="Q1078" s="6"/>
      <c r="R1078" s="6"/>
      <c r="S1078" s="6"/>
      <c r="T1078" s="6"/>
      <c r="U1078" s="6"/>
      <c r="V1078" s="6"/>
      <c r="W1078" s="7"/>
      <c r="X1078" s="7"/>
      <c r="Y1078" s="7"/>
      <c r="Z1078" s="7"/>
    </row>
    <row r="1079">
      <c r="A1079" s="6"/>
      <c r="B1079" s="6"/>
      <c r="C1079" s="6"/>
      <c r="D1079" s="6"/>
      <c r="E1079" s="6"/>
      <c r="F1079" s="6"/>
      <c r="G1079" s="6"/>
      <c r="H1079" s="6"/>
      <c r="I1079" s="6"/>
      <c r="J1079" s="6"/>
      <c r="K1079" s="6"/>
      <c r="L1079" s="80"/>
      <c r="M1079" s="80"/>
      <c r="N1079" s="80"/>
      <c r="O1079" s="80"/>
      <c r="P1079" s="6"/>
      <c r="Q1079" s="6"/>
      <c r="R1079" s="6"/>
      <c r="S1079" s="6"/>
      <c r="T1079" s="6"/>
      <c r="U1079" s="6"/>
      <c r="V1079" s="6"/>
      <c r="W1079" s="7"/>
      <c r="X1079" s="7"/>
      <c r="Y1079" s="7"/>
      <c r="Z1079" s="7"/>
    </row>
    <row r="1080">
      <c r="A1080" s="6"/>
      <c r="B1080" s="6"/>
      <c r="C1080" s="6"/>
      <c r="D1080" s="6"/>
      <c r="E1080" s="6"/>
      <c r="F1080" s="6"/>
      <c r="G1080" s="6"/>
      <c r="H1080" s="6"/>
      <c r="I1080" s="6"/>
      <c r="J1080" s="6"/>
      <c r="K1080" s="6"/>
      <c r="L1080" s="80"/>
      <c r="M1080" s="80"/>
      <c r="N1080" s="80"/>
      <c r="O1080" s="80"/>
      <c r="P1080" s="6"/>
      <c r="Q1080" s="6"/>
      <c r="R1080" s="6"/>
      <c r="S1080" s="6"/>
      <c r="T1080" s="6"/>
      <c r="U1080" s="6"/>
      <c r="V1080" s="6"/>
      <c r="W1080" s="7"/>
      <c r="X1080" s="7"/>
      <c r="Y1080" s="7"/>
      <c r="Z1080" s="7"/>
    </row>
    <row r="1081">
      <c r="A1081" s="6"/>
      <c r="B1081" s="6"/>
      <c r="C1081" s="6"/>
      <c r="D1081" s="6"/>
      <c r="E1081" s="6"/>
      <c r="F1081" s="6"/>
      <c r="G1081" s="6"/>
      <c r="H1081" s="6"/>
      <c r="I1081" s="6"/>
      <c r="J1081" s="6"/>
      <c r="K1081" s="6"/>
      <c r="L1081" s="80"/>
      <c r="M1081" s="80"/>
      <c r="N1081" s="80"/>
      <c r="O1081" s="80"/>
      <c r="P1081" s="6"/>
      <c r="Q1081" s="6"/>
      <c r="R1081" s="6"/>
      <c r="S1081" s="6"/>
      <c r="T1081" s="6"/>
      <c r="U1081" s="6"/>
      <c r="V1081" s="6"/>
      <c r="W1081" s="7"/>
      <c r="X1081" s="7"/>
      <c r="Y1081" s="7"/>
      <c r="Z1081" s="7"/>
    </row>
    <row r="1082">
      <c r="A1082" s="6"/>
      <c r="B1082" s="6"/>
      <c r="C1082" s="6"/>
      <c r="D1082" s="6"/>
      <c r="E1082" s="6"/>
      <c r="F1082" s="6"/>
      <c r="G1082" s="6"/>
      <c r="H1082" s="6"/>
      <c r="I1082" s="6"/>
      <c r="J1082" s="6"/>
      <c r="K1082" s="6"/>
      <c r="L1082" s="80"/>
      <c r="M1082" s="80"/>
      <c r="N1082" s="80"/>
      <c r="O1082" s="80"/>
      <c r="P1082" s="6"/>
      <c r="Q1082" s="6"/>
      <c r="R1082" s="6"/>
      <c r="S1082" s="6"/>
      <c r="T1082" s="6"/>
      <c r="U1082" s="6"/>
      <c r="V1082" s="6"/>
      <c r="W1082" s="7"/>
      <c r="X1082" s="7"/>
      <c r="Y1082" s="7"/>
      <c r="Z1082" s="7"/>
    </row>
    <row r="1083">
      <c r="A1083" s="6"/>
      <c r="B1083" s="6"/>
      <c r="C1083" s="6"/>
      <c r="D1083" s="6"/>
      <c r="E1083" s="6"/>
      <c r="F1083" s="6"/>
      <c r="G1083" s="6"/>
      <c r="H1083" s="6"/>
      <c r="I1083" s="6"/>
      <c r="J1083" s="6"/>
      <c r="K1083" s="6"/>
      <c r="L1083" s="80"/>
      <c r="M1083" s="80"/>
      <c r="N1083" s="80"/>
      <c r="O1083" s="80"/>
      <c r="P1083" s="6"/>
      <c r="Q1083" s="6"/>
      <c r="R1083" s="6"/>
      <c r="S1083" s="6"/>
      <c r="T1083" s="6"/>
      <c r="U1083" s="6"/>
      <c r="V1083" s="6"/>
      <c r="W1083" s="7"/>
      <c r="X1083" s="7"/>
      <c r="Y1083" s="7"/>
      <c r="Z1083" s="7"/>
    </row>
    <row r="1084">
      <c r="A1084" s="6"/>
      <c r="B1084" s="6"/>
      <c r="C1084" s="6"/>
      <c r="D1084" s="6"/>
      <c r="E1084" s="6"/>
      <c r="F1084" s="6"/>
      <c r="G1084" s="6"/>
      <c r="H1084" s="6"/>
      <c r="I1084" s="6"/>
      <c r="J1084" s="6"/>
      <c r="K1084" s="6"/>
      <c r="L1084" s="80"/>
      <c r="M1084" s="80"/>
      <c r="N1084" s="80"/>
      <c r="O1084" s="80"/>
      <c r="P1084" s="6"/>
      <c r="Q1084" s="6"/>
      <c r="R1084" s="6"/>
      <c r="S1084" s="6"/>
      <c r="T1084" s="6"/>
      <c r="U1084" s="6"/>
      <c r="V1084" s="6"/>
      <c r="W1084" s="7"/>
      <c r="X1084" s="7"/>
      <c r="Y1084" s="7"/>
      <c r="Z1084" s="7"/>
    </row>
    <row r="1085">
      <c r="A1085" s="6"/>
      <c r="B1085" s="6"/>
      <c r="C1085" s="6"/>
      <c r="D1085" s="6"/>
      <c r="E1085" s="6"/>
      <c r="F1085" s="6"/>
      <c r="G1085" s="6"/>
      <c r="H1085" s="6"/>
      <c r="I1085" s="6"/>
      <c r="J1085" s="6"/>
      <c r="K1085" s="6"/>
      <c r="L1085" s="80"/>
      <c r="M1085" s="80"/>
      <c r="N1085" s="80"/>
      <c r="O1085" s="80"/>
      <c r="P1085" s="6"/>
      <c r="Q1085" s="6"/>
      <c r="R1085" s="6"/>
      <c r="S1085" s="6"/>
      <c r="T1085" s="6"/>
      <c r="U1085" s="6"/>
      <c r="V1085" s="6"/>
      <c r="W1085" s="7"/>
      <c r="X1085" s="7"/>
      <c r="Y1085" s="7"/>
      <c r="Z1085" s="7"/>
    </row>
    <row r="1086">
      <c r="A1086" s="6"/>
      <c r="B1086" s="6"/>
      <c r="C1086" s="6"/>
      <c r="D1086" s="6"/>
      <c r="E1086" s="6"/>
      <c r="F1086" s="6"/>
      <c r="G1086" s="6"/>
      <c r="H1086" s="6"/>
      <c r="I1086" s="6"/>
      <c r="J1086" s="6"/>
      <c r="K1086" s="6"/>
      <c r="L1086" s="80"/>
      <c r="M1086" s="80"/>
      <c r="N1086" s="80"/>
      <c r="O1086" s="80"/>
      <c r="P1086" s="6"/>
      <c r="Q1086" s="6"/>
      <c r="R1086" s="6"/>
      <c r="S1086" s="6"/>
      <c r="T1086" s="6"/>
      <c r="U1086" s="6"/>
      <c r="V1086" s="6"/>
      <c r="W1086" s="7"/>
      <c r="X1086" s="7"/>
      <c r="Y1086" s="7"/>
      <c r="Z1086" s="7"/>
    </row>
    <row r="1087">
      <c r="A1087" s="6"/>
      <c r="B1087" s="6"/>
      <c r="C1087" s="6"/>
      <c r="D1087" s="6"/>
      <c r="E1087" s="6"/>
      <c r="F1087" s="6"/>
      <c r="G1087" s="6"/>
      <c r="H1087" s="6"/>
      <c r="I1087" s="6"/>
      <c r="J1087" s="6"/>
      <c r="K1087" s="6"/>
      <c r="L1087" s="80"/>
      <c r="M1087" s="80"/>
      <c r="N1087" s="80"/>
      <c r="O1087" s="80"/>
      <c r="P1087" s="6"/>
      <c r="Q1087" s="6"/>
      <c r="R1087" s="6"/>
      <c r="S1087" s="6"/>
      <c r="T1087" s="6"/>
      <c r="U1087" s="6"/>
      <c r="V1087" s="6"/>
      <c r="W1087" s="7"/>
      <c r="X1087" s="7"/>
      <c r="Y1087" s="7"/>
      <c r="Z1087" s="7"/>
    </row>
    <row r="1088">
      <c r="A1088" s="6"/>
      <c r="B1088" s="6"/>
      <c r="C1088" s="6"/>
      <c r="D1088" s="6"/>
      <c r="E1088" s="6"/>
      <c r="F1088" s="6"/>
      <c r="G1088" s="6"/>
      <c r="H1088" s="6"/>
      <c r="I1088" s="6"/>
      <c r="J1088" s="6"/>
      <c r="K1088" s="6"/>
      <c r="L1088" s="80"/>
      <c r="M1088" s="80"/>
      <c r="N1088" s="80"/>
      <c r="O1088" s="80"/>
      <c r="P1088" s="6"/>
      <c r="Q1088" s="6"/>
      <c r="R1088" s="6"/>
      <c r="S1088" s="6"/>
      <c r="T1088" s="6"/>
      <c r="U1088" s="6"/>
      <c r="V1088" s="6"/>
      <c r="W1088" s="7"/>
      <c r="X1088" s="7"/>
      <c r="Y1088" s="7"/>
      <c r="Z1088" s="7"/>
    </row>
    <row r="1089">
      <c r="A1089" s="6"/>
      <c r="B1089" s="6"/>
      <c r="C1089" s="6"/>
      <c r="D1089" s="6"/>
      <c r="E1089" s="6"/>
      <c r="F1089" s="6"/>
      <c r="G1089" s="6"/>
      <c r="H1089" s="6"/>
      <c r="I1089" s="6"/>
      <c r="J1089" s="6"/>
      <c r="K1089" s="6"/>
      <c r="L1089" s="80"/>
      <c r="M1089" s="80"/>
      <c r="N1089" s="80"/>
      <c r="O1089" s="80"/>
      <c r="P1089" s="6"/>
      <c r="Q1089" s="6"/>
      <c r="R1089" s="6"/>
      <c r="S1089" s="6"/>
      <c r="T1089" s="6"/>
      <c r="U1089" s="6"/>
      <c r="V1089" s="6"/>
      <c r="W1089" s="7"/>
      <c r="X1089" s="7"/>
      <c r="Y1089" s="7"/>
      <c r="Z1089" s="7"/>
    </row>
    <row r="1090">
      <c r="A1090" s="6"/>
      <c r="B1090" s="6"/>
      <c r="C1090" s="6"/>
      <c r="D1090" s="6"/>
      <c r="E1090" s="6"/>
      <c r="F1090" s="6"/>
      <c r="G1090" s="6"/>
      <c r="H1090" s="6"/>
      <c r="I1090" s="6"/>
      <c r="J1090" s="6"/>
      <c r="K1090" s="6"/>
      <c r="L1090" s="80"/>
      <c r="M1090" s="80"/>
      <c r="N1090" s="80"/>
      <c r="O1090" s="80"/>
      <c r="P1090" s="6"/>
      <c r="Q1090" s="6"/>
      <c r="R1090" s="6"/>
      <c r="S1090" s="6"/>
      <c r="T1090" s="6"/>
      <c r="U1090" s="6"/>
      <c r="V1090" s="6"/>
      <c r="W1090" s="7"/>
      <c r="X1090" s="7"/>
      <c r="Y1090" s="7"/>
      <c r="Z1090" s="7"/>
    </row>
    <row r="1091">
      <c r="A1091" s="6"/>
      <c r="B1091" s="6"/>
      <c r="C1091" s="6"/>
      <c r="D1091" s="6"/>
      <c r="E1091" s="6"/>
      <c r="F1091" s="6"/>
      <c r="G1091" s="6"/>
      <c r="H1091" s="6"/>
      <c r="I1091" s="6"/>
      <c r="J1091" s="6"/>
      <c r="K1091" s="6"/>
      <c r="L1091" s="80"/>
      <c r="M1091" s="80"/>
      <c r="N1091" s="80"/>
      <c r="O1091" s="80"/>
      <c r="P1091" s="6"/>
      <c r="Q1091" s="6"/>
      <c r="R1091" s="6"/>
      <c r="S1091" s="6"/>
      <c r="T1091" s="6"/>
      <c r="U1091" s="6"/>
      <c r="V1091" s="6"/>
      <c r="W1091" s="7"/>
      <c r="X1091" s="7"/>
      <c r="Y1091" s="7"/>
      <c r="Z1091" s="7"/>
    </row>
    <row r="1092">
      <c r="A1092" s="6"/>
      <c r="B1092" s="6"/>
      <c r="C1092" s="6"/>
      <c r="D1092" s="6"/>
      <c r="E1092" s="6"/>
      <c r="F1092" s="6"/>
      <c r="G1092" s="6"/>
      <c r="H1092" s="6"/>
      <c r="I1092" s="6"/>
      <c r="J1092" s="6"/>
      <c r="K1092" s="6"/>
      <c r="L1092" s="80"/>
      <c r="M1092" s="80"/>
      <c r="N1092" s="80"/>
      <c r="O1092" s="80"/>
      <c r="P1092" s="6"/>
      <c r="Q1092" s="6"/>
      <c r="R1092" s="6"/>
      <c r="S1092" s="6"/>
      <c r="T1092" s="6"/>
      <c r="U1092" s="6"/>
      <c r="V1092" s="6"/>
      <c r="W1092" s="7"/>
      <c r="X1092" s="7"/>
      <c r="Y1092" s="7"/>
      <c r="Z1092" s="7"/>
    </row>
    <row r="1093">
      <c r="A1093" s="6"/>
      <c r="B1093" s="6"/>
      <c r="C1093" s="6"/>
      <c r="D1093" s="6"/>
      <c r="E1093" s="6"/>
      <c r="F1093" s="6"/>
      <c r="G1093" s="6"/>
      <c r="H1093" s="6"/>
      <c r="I1093" s="6"/>
      <c r="J1093" s="6"/>
      <c r="K1093" s="6"/>
      <c r="L1093" s="80"/>
      <c r="M1093" s="80"/>
      <c r="N1093" s="80"/>
      <c r="O1093" s="80"/>
      <c r="P1093" s="6"/>
      <c r="Q1093" s="6"/>
      <c r="R1093" s="6"/>
      <c r="S1093" s="6"/>
      <c r="T1093" s="6"/>
      <c r="U1093" s="6"/>
      <c r="V1093" s="6"/>
      <c r="W1093" s="7"/>
      <c r="X1093" s="7"/>
      <c r="Y1093" s="7"/>
      <c r="Z1093" s="7"/>
    </row>
    <row r="1094">
      <c r="A1094" s="6"/>
      <c r="B1094" s="6"/>
      <c r="C1094" s="6"/>
      <c r="D1094" s="6"/>
      <c r="E1094" s="6"/>
      <c r="F1094" s="6"/>
      <c r="G1094" s="6"/>
      <c r="H1094" s="6"/>
      <c r="I1094" s="6"/>
      <c r="J1094" s="6"/>
      <c r="K1094" s="6"/>
      <c r="L1094" s="80"/>
      <c r="M1094" s="80"/>
      <c r="N1094" s="80"/>
      <c r="O1094" s="80"/>
      <c r="P1094" s="6"/>
      <c r="Q1094" s="6"/>
      <c r="R1094" s="6"/>
      <c r="S1094" s="6"/>
      <c r="T1094" s="6"/>
      <c r="U1094" s="6"/>
      <c r="V1094" s="6"/>
      <c r="W1094" s="7"/>
      <c r="X1094" s="7"/>
      <c r="Y1094" s="7"/>
      <c r="Z1094" s="7"/>
    </row>
    <row r="1095">
      <c r="A1095" s="6"/>
      <c r="B1095" s="6"/>
      <c r="C1095" s="6"/>
      <c r="D1095" s="6"/>
      <c r="E1095" s="6"/>
      <c r="F1095" s="6"/>
      <c r="G1095" s="6"/>
      <c r="H1095" s="6"/>
      <c r="I1095" s="6"/>
      <c r="J1095" s="6"/>
      <c r="K1095" s="6"/>
      <c r="L1095" s="80"/>
      <c r="M1095" s="80"/>
      <c r="N1095" s="80"/>
      <c r="O1095" s="80"/>
      <c r="P1095" s="6"/>
      <c r="Q1095" s="6"/>
      <c r="R1095" s="6"/>
      <c r="S1095" s="6"/>
      <c r="T1095" s="6"/>
      <c r="U1095" s="6"/>
      <c r="V1095" s="6"/>
      <c r="W1095" s="7"/>
      <c r="X1095" s="7"/>
      <c r="Y1095" s="7"/>
      <c r="Z1095" s="7"/>
    </row>
    <row r="1096">
      <c r="A1096" s="6"/>
      <c r="B1096" s="6"/>
      <c r="C1096" s="6"/>
      <c r="D1096" s="6"/>
      <c r="E1096" s="6"/>
      <c r="F1096" s="6"/>
      <c r="G1096" s="6"/>
      <c r="H1096" s="6"/>
      <c r="I1096" s="6"/>
      <c r="J1096" s="6"/>
      <c r="K1096" s="6"/>
      <c r="L1096" s="80"/>
      <c r="M1096" s="80"/>
      <c r="N1096" s="80"/>
      <c r="O1096" s="80"/>
      <c r="P1096" s="6"/>
      <c r="Q1096" s="6"/>
      <c r="R1096" s="6"/>
      <c r="S1096" s="6"/>
      <c r="T1096" s="6"/>
      <c r="U1096" s="6"/>
      <c r="V1096" s="6"/>
      <c r="W1096" s="7"/>
      <c r="X1096" s="7"/>
      <c r="Y1096" s="7"/>
      <c r="Z1096" s="7"/>
    </row>
    <row r="1097">
      <c r="A1097" s="6"/>
      <c r="B1097" s="6"/>
      <c r="C1097" s="6"/>
      <c r="D1097" s="6"/>
      <c r="E1097" s="6"/>
      <c r="F1097" s="6"/>
      <c r="G1097" s="6"/>
      <c r="H1097" s="6"/>
      <c r="I1097" s="6"/>
      <c r="J1097" s="6"/>
      <c r="K1097" s="6"/>
      <c r="L1097" s="80"/>
      <c r="M1097" s="80"/>
      <c r="N1097" s="80"/>
      <c r="O1097" s="80"/>
      <c r="P1097" s="6"/>
      <c r="Q1097" s="6"/>
      <c r="R1097" s="6"/>
      <c r="S1097" s="6"/>
      <c r="T1097" s="6"/>
      <c r="U1097" s="6"/>
      <c r="V1097" s="6"/>
      <c r="W1097" s="7"/>
      <c r="X1097" s="7"/>
      <c r="Y1097" s="7"/>
      <c r="Z1097" s="7"/>
    </row>
    <row r="1098">
      <c r="A1098" s="6"/>
      <c r="B1098" s="6"/>
      <c r="C1098" s="6"/>
      <c r="D1098" s="6"/>
      <c r="E1098" s="6"/>
      <c r="F1098" s="6"/>
      <c r="G1098" s="6"/>
      <c r="H1098" s="6"/>
      <c r="I1098" s="6"/>
      <c r="J1098" s="6"/>
      <c r="K1098" s="6"/>
      <c r="L1098" s="80"/>
      <c r="M1098" s="80"/>
      <c r="N1098" s="80"/>
      <c r="O1098" s="80"/>
      <c r="P1098" s="6"/>
      <c r="Q1098" s="6"/>
      <c r="R1098" s="6"/>
      <c r="S1098" s="6"/>
      <c r="T1098" s="6"/>
      <c r="U1098" s="6"/>
      <c r="V1098" s="6"/>
      <c r="W1098" s="7"/>
      <c r="X1098" s="7"/>
      <c r="Y1098" s="7"/>
      <c r="Z1098" s="7"/>
    </row>
    <row r="1099">
      <c r="A1099" s="6"/>
      <c r="B1099" s="6"/>
      <c r="C1099" s="6"/>
      <c r="D1099" s="6"/>
      <c r="E1099" s="6"/>
      <c r="F1099" s="6"/>
      <c r="G1099" s="6"/>
      <c r="H1099" s="6"/>
      <c r="I1099" s="6"/>
      <c r="J1099" s="6"/>
      <c r="K1099" s="6"/>
      <c r="L1099" s="80"/>
      <c r="M1099" s="80"/>
      <c r="N1099" s="80"/>
      <c r="O1099" s="80"/>
      <c r="P1099" s="6"/>
      <c r="Q1099" s="6"/>
      <c r="R1099" s="6"/>
      <c r="S1099" s="6"/>
      <c r="T1099" s="6"/>
      <c r="U1099" s="6"/>
      <c r="V1099" s="6"/>
      <c r="W1099" s="7"/>
      <c r="X1099" s="7"/>
      <c r="Y1099" s="7"/>
      <c r="Z1099" s="7"/>
    </row>
    <row r="1100">
      <c r="A1100" s="6"/>
      <c r="B1100" s="6"/>
      <c r="C1100" s="6"/>
      <c r="D1100" s="6"/>
      <c r="E1100" s="6"/>
      <c r="F1100" s="6"/>
      <c r="G1100" s="6"/>
      <c r="H1100" s="6"/>
      <c r="I1100" s="6"/>
      <c r="J1100" s="6"/>
      <c r="K1100" s="6"/>
      <c r="L1100" s="80"/>
      <c r="M1100" s="80"/>
      <c r="N1100" s="80"/>
      <c r="O1100" s="80"/>
      <c r="P1100" s="6"/>
      <c r="Q1100" s="6"/>
      <c r="R1100" s="6"/>
      <c r="S1100" s="6"/>
      <c r="T1100" s="6"/>
      <c r="U1100" s="6"/>
      <c r="V1100" s="6"/>
      <c r="W1100" s="7"/>
      <c r="X1100" s="7"/>
      <c r="Y1100" s="7"/>
      <c r="Z1100" s="7"/>
    </row>
    <row r="1101">
      <c r="A1101" s="6"/>
      <c r="B1101" s="6"/>
      <c r="C1101" s="6"/>
      <c r="D1101" s="6"/>
      <c r="E1101" s="6"/>
      <c r="F1101" s="6"/>
      <c r="G1101" s="6"/>
      <c r="H1101" s="6"/>
      <c r="I1101" s="6"/>
      <c r="J1101" s="6"/>
      <c r="K1101" s="6"/>
      <c r="L1101" s="80"/>
      <c r="M1101" s="80"/>
      <c r="N1101" s="80"/>
      <c r="O1101" s="80"/>
      <c r="P1101" s="6"/>
      <c r="Q1101" s="6"/>
      <c r="R1101" s="6"/>
      <c r="S1101" s="6"/>
      <c r="T1101" s="6"/>
      <c r="U1101" s="6"/>
      <c r="V1101" s="6"/>
      <c r="W1101" s="7"/>
      <c r="X1101" s="7"/>
      <c r="Y1101" s="7"/>
      <c r="Z1101" s="7"/>
    </row>
    <row r="1102">
      <c r="A1102" s="6"/>
      <c r="B1102" s="6"/>
      <c r="C1102" s="6"/>
      <c r="D1102" s="6"/>
      <c r="E1102" s="6"/>
      <c r="F1102" s="6"/>
      <c r="G1102" s="6"/>
      <c r="H1102" s="6"/>
      <c r="I1102" s="6"/>
      <c r="J1102" s="6"/>
      <c r="K1102" s="6"/>
      <c r="L1102" s="80"/>
      <c r="M1102" s="80"/>
      <c r="N1102" s="80"/>
      <c r="O1102" s="80"/>
      <c r="P1102" s="6"/>
      <c r="Q1102" s="6"/>
      <c r="R1102" s="6"/>
      <c r="S1102" s="6"/>
      <c r="T1102" s="6"/>
      <c r="U1102" s="6"/>
      <c r="V1102" s="6"/>
      <c r="W1102" s="7"/>
      <c r="X1102" s="7"/>
      <c r="Y1102" s="7"/>
      <c r="Z1102" s="7"/>
    </row>
    <row r="1103">
      <c r="A1103" s="6"/>
      <c r="B1103" s="6"/>
      <c r="C1103" s="6"/>
      <c r="D1103" s="6"/>
      <c r="E1103" s="6"/>
      <c r="F1103" s="6"/>
      <c r="G1103" s="6"/>
      <c r="H1103" s="6"/>
      <c r="I1103" s="6"/>
      <c r="J1103" s="6"/>
      <c r="K1103" s="6"/>
      <c r="L1103" s="80"/>
      <c r="M1103" s="80"/>
      <c r="N1103" s="80"/>
      <c r="O1103" s="80"/>
      <c r="P1103" s="6"/>
      <c r="Q1103" s="6"/>
      <c r="R1103" s="6"/>
      <c r="S1103" s="6"/>
      <c r="T1103" s="6"/>
      <c r="U1103" s="6"/>
      <c r="V1103" s="6"/>
      <c r="W1103" s="7"/>
      <c r="X1103" s="7"/>
      <c r="Y1103" s="7"/>
      <c r="Z1103" s="7"/>
    </row>
    <row r="1104">
      <c r="A1104" s="6"/>
      <c r="B1104" s="6"/>
      <c r="C1104" s="6"/>
      <c r="D1104" s="6"/>
      <c r="E1104" s="6"/>
      <c r="F1104" s="6"/>
      <c r="G1104" s="6"/>
      <c r="H1104" s="6"/>
      <c r="I1104" s="6"/>
      <c r="J1104" s="6"/>
      <c r="K1104" s="6"/>
      <c r="L1104" s="80"/>
      <c r="M1104" s="80"/>
      <c r="N1104" s="80"/>
      <c r="O1104" s="80"/>
      <c r="P1104" s="6"/>
      <c r="Q1104" s="6"/>
      <c r="R1104" s="6"/>
      <c r="S1104" s="6"/>
      <c r="T1104" s="6"/>
      <c r="U1104" s="6"/>
      <c r="V1104" s="6"/>
      <c r="W1104" s="7"/>
      <c r="X1104" s="7"/>
      <c r="Y1104" s="7"/>
      <c r="Z1104" s="7"/>
    </row>
    <row r="1105">
      <c r="A1105" s="6"/>
      <c r="B1105" s="6"/>
      <c r="C1105" s="6"/>
      <c r="D1105" s="6"/>
      <c r="E1105" s="6"/>
      <c r="F1105" s="6"/>
      <c r="G1105" s="6"/>
      <c r="H1105" s="6"/>
      <c r="I1105" s="6"/>
      <c r="J1105" s="6"/>
      <c r="K1105" s="6"/>
      <c r="L1105" s="80"/>
      <c r="M1105" s="80"/>
      <c r="N1105" s="80"/>
      <c r="O1105" s="80"/>
      <c r="P1105" s="6"/>
      <c r="Q1105" s="6"/>
      <c r="R1105" s="6"/>
      <c r="S1105" s="6"/>
      <c r="T1105" s="6"/>
      <c r="U1105" s="6"/>
      <c r="V1105" s="6"/>
      <c r="W1105" s="7"/>
      <c r="X1105" s="7"/>
      <c r="Y1105" s="7"/>
      <c r="Z1105" s="7"/>
    </row>
    <row r="1106">
      <c r="A1106" s="6"/>
      <c r="B1106" s="6"/>
      <c r="C1106" s="6"/>
      <c r="D1106" s="6"/>
      <c r="E1106" s="6"/>
      <c r="F1106" s="6"/>
      <c r="G1106" s="6"/>
      <c r="H1106" s="6"/>
      <c r="I1106" s="6"/>
      <c r="J1106" s="6"/>
      <c r="K1106" s="6"/>
      <c r="L1106" s="80"/>
      <c r="M1106" s="80"/>
      <c r="N1106" s="80"/>
      <c r="O1106" s="80"/>
      <c r="P1106" s="6"/>
      <c r="Q1106" s="6"/>
      <c r="R1106" s="6"/>
      <c r="S1106" s="6"/>
      <c r="T1106" s="6"/>
      <c r="U1106" s="6"/>
      <c r="V1106" s="6"/>
      <c r="W1106" s="7"/>
      <c r="X1106" s="7"/>
      <c r="Y1106" s="7"/>
      <c r="Z1106" s="7"/>
    </row>
    <row r="1107">
      <c r="A1107" s="6"/>
      <c r="B1107" s="6"/>
      <c r="C1107" s="6"/>
      <c r="D1107" s="6"/>
      <c r="E1107" s="6"/>
      <c r="F1107" s="6"/>
      <c r="G1107" s="6"/>
      <c r="H1107" s="6"/>
      <c r="I1107" s="6"/>
      <c r="J1107" s="6"/>
      <c r="K1107" s="6"/>
      <c r="L1107" s="80"/>
      <c r="M1107" s="80"/>
      <c r="N1107" s="80"/>
      <c r="O1107" s="80"/>
      <c r="P1107" s="6"/>
      <c r="Q1107" s="6"/>
      <c r="R1107" s="6"/>
      <c r="S1107" s="6"/>
      <c r="T1107" s="6"/>
      <c r="U1107" s="6"/>
      <c r="V1107" s="6"/>
      <c r="W1107" s="7"/>
      <c r="X1107" s="7"/>
      <c r="Y1107" s="7"/>
      <c r="Z1107" s="7"/>
    </row>
    <row r="1108">
      <c r="A1108" s="6"/>
      <c r="B1108" s="6"/>
      <c r="C1108" s="6"/>
      <c r="D1108" s="6"/>
      <c r="E1108" s="6"/>
      <c r="F1108" s="6"/>
      <c r="G1108" s="6"/>
      <c r="H1108" s="6"/>
      <c r="I1108" s="6"/>
      <c r="J1108" s="6"/>
      <c r="K1108" s="6"/>
      <c r="L1108" s="80"/>
      <c r="M1108" s="80"/>
      <c r="N1108" s="80"/>
      <c r="O1108" s="80"/>
      <c r="P1108" s="6"/>
      <c r="Q1108" s="6"/>
      <c r="R1108" s="6"/>
      <c r="S1108" s="6"/>
      <c r="T1108" s="6"/>
      <c r="U1108" s="6"/>
      <c r="V1108" s="6"/>
      <c r="W1108" s="7"/>
      <c r="X1108" s="7"/>
      <c r="Y1108" s="7"/>
      <c r="Z1108" s="7"/>
    </row>
    <row r="1109">
      <c r="A1109" s="6"/>
      <c r="B1109" s="6"/>
      <c r="C1109" s="6"/>
      <c r="D1109" s="6"/>
      <c r="E1109" s="6"/>
      <c r="F1109" s="6"/>
      <c r="G1109" s="6"/>
      <c r="H1109" s="6"/>
      <c r="I1109" s="6"/>
      <c r="J1109" s="6"/>
      <c r="K1109" s="6"/>
      <c r="L1109" s="80"/>
      <c r="M1109" s="80"/>
      <c r="N1109" s="80"/>
      <c r="O1109" s="80"/>
      <c r="P1109" s="6"/>
      <c r="Q1109" s="6"/>
      <c r="R1109" s="6"/>
      <c r="S1109" s="6"/>
      <c r="T1109" s="6"/>
      <c r="U1109" s="6"/>
      <c r="V1109" s="6"/>
      <c r="W1109" s="7"/>
      <c r="X1109" s="7"/>
      <c r="Y1109" s="7"/>
      <c r="Z1109" s="7"/>
    </row>
    <row r="1110">
      <c r="A1110" s="6"/>
      <c r="B1110" s="6"/>
      <c r="C1110" s="6"/>
      <c r="D1110" s="6"/>
      <c r="E1110" s="6"/>
      <c r="F1110" s="6"/>
      <c r="G1110" s="6"/>
      <c r="H1110" s="6"/>
      <c r="I1110" s="6"/>
      <c r="J1110" s="6"/>
      <c r="K1110" s="6"/>
      <c r="L1110" s="80"/>
      <c r="M1110" s="80"/>
      <c r="N1110" s="80"/>
      <c r="O1110" s="80"/>
      <c r="P1110" s="6"/>
      <c r="Q1110" s="6"/>
      <c r="R1110" s="6"/>
      <c r="S1110" s="6"/>
      <c r="T1110" s="6"/>
      <c r="U1110" s="6"/>
      <c r="V1110" s="6"/>
      <c r="W1110" s="7"/>
      <c r="X1110" s="7"/>
      <c r="Y1110" s="7"/>
      <c r="Z1110" s="7"/>
    </row>
    <row r="1111">
      <c r="A1111" s="6"/>
      <c r="B1111" s="6"/>
      <c r="C1111" s="6"/>
      <c r="D1111" s="6"/>
      <c r="E1111" s="6"/>
      <c r="F1111" s="6"/>
      <c r="G1111" s="6"/>
      <c r="H1111" s="6"/>
      <c r="I1111" s="6"/>
      <c r="J1111" s="6"/>
      <c r="K1111" s="6"/>
      <c r="L1111" s="80"/>
      <c r="M1111" s="80"/>
      <c r="N1111" s="80"/>
      <c r="O1111" s="80"/>
      <c r="P1111" s="6"/>
      <c r="Q1111" s="6"/>
      <c r="R1111" s="6"/>
      <c r="S1111" s="6"/>
      <c r="T1111" s="6"/>
      <c r="U1111" s="6"/>
      <c r="V1111" s="6"/>
      <c r="W1111" s="7"/>
      <c r="X1111" s="7"/>
      <c r="Y1111" s="7"/>
      <c r="Z1111" s="7"/>
    </row>
    <row r="1112">
      <c r="A1112" s="6"/>
      <c r="B1112" s="6"/>
      <c r="C1112" s="6"/>
      <c r="D1112" s="6"/>
      <c r="E1112" s="6"/>
      <c r="F1112" s="6"/>
      <c r="G1112" s="6"/>
      <c r="H1112" s="6"/>
      <c r="I1112" s="6"/>
      <c r="J1112" s="6"/>
      <c r="K1112" s="6"/>
      <c r="L1112" s="80"/>
      <c r="M1112" s="80"/>
      <c r="N1112" s="80"/>
      <c r="O1112" s="80"/>
      <c r="P1112" s="6"/>
      <c r="Q1112" s="6"/>
      <c r="R1112" s="6"/>
      <c r="S1112" s="6"/>
      <c r="T1112" s="6"/>
      <c r="U1112" s="6"/>
      <c r="V1112" s="6"/>
      <c r="W1112" s="7"/>
      <c r="X1112" s="7"/>
      <c r="Y1112" s="7"/>
      <c r="Z1112" s="7"/>
    </row>
    <row r="1113">
      <c r="A1113" s="6"/>
      <c r="B1113" s="6"/>
      <c r="C1113" s="6"/>
      <c r="D1113" s="6"/>
      <c r="E1113" s="6"/>
      <c r="F1113" s="6"/>
      <c r="G1113" s="6"/>
      <c r="H1113" s="6"/>
      <c r="I1113" s="6"/>
      <c r="J1113" s="6"/>
      <c r="K1113" s="6"/>
      <c r="L1113" s="80"/>
      <c r="M1113" s="80"/>
      <c r="N1113" s="80"/>
      <c r="O1113" s="80"/>
      <c r="P1113" s="6"/>
      <c r="Q1113" s="6"/>
      <c r="R1113" s="6"/>
      <c r="S1113" s="6"/>
      <c r="T1113" s="6"/>
      <c r="U1113" s="6"/>
      <c r="V1113" s="6"/>
      <c r="W1113" s="7"/>
      <c r="X1113" s="7"/>
      <c r="Y1113" s="7"/>
      <c r="Z1113" s="7"/>
    </row>
    <row r="1114">
      <c r="A1114" s="6"/>
      <c r="B1114" s="6"/>
      <c r="C1114" s="6"/>
      <c r="D1114" s="6"/>
      <c r="E1114" s="6"/>
      <c r="F1114" s="6"/>
      <c r="G1114" s="6"/>
      <c r="H1114" s="6"/>
      <c r="I1114" s="6"/>
      <c r="J1114" s="6"/>
      <c r="K1114" s="6"/>
      <c r="L1114" s="80"/>
      <c r="M1114" s="80"/>
      <c r="N1114" s="80"/>
      <c r="O1114" s="80"/>
      <c r="P1114" s="6"/>
      <c r="Q1114" s="6"/>
      <c r="R1114" s="6"/>
      <c r="S1114" s="6"/>
      <c r="T1114" s="6"/>
      <c r="U1114" s="6"/>
      <c r="V1114" s="6"/>
      <c r="W1114" s="7"/>
      <c r="X1114" s="7"/>
      <c r="Y1114" s="7"/>
      <c r="Z1114" s="7"/>
    </row>
    <row r="1115">
      <c r="A1115" s="6"/>
      <c r="B1115" s="6"/>
      <c r="C1115" s="6"/>
      <c r="D1115" s="6"/>
      <c r="E1115" s="6"/>
      <c r="F1115" s="6"/>
      <c r="G1115" s="6"/>
      <c r="H1115" s="6"/>
      <c r="I1115" s="6"/>
      <c r="J1115" s="6"/>
      <c r="K1115" s="6"/>
      <c r="L1115" s="80"/>
      <c r="M1115" s="80"/>
      <c r="N1115" s="80"/>
      <c r="O1115" s="80"/>
      <c r="P1115" s="6"/>
      <c r="Q1115" s="6"/>
      <c r="R1115" s="6"/>
      <c r="S1115" s="6"/>
      <c r="T1115" s="6"/>
      <c r="U1115" s="6"/>
      <c r="V1115" s="6"/>
      <c r="W1115" s="7"/>
      <c r="X1115" s="7"/>
      <c r="Y1115" s="7"/>
      <c r="Z1115" s="7"/>
    </row>
    <row r="1116">
      <c r="A1116" s="6"/>
      <c r="B1116" s="6"/>
      <c r="C1116" s="6"/>
      <c r="D1116" s="6"/>
      <c r="E1116" s="6"/>
      <c r="F1116" s="6"/>
      <c r="G1116" s="6"/>
      <c r="H1116" s="6"/>
      <c r="I1116" s="6"/>
      <c r="J1116" s="6"/>
      <c r="K1116" s="6"/>
      <c r="L1116" s="80"/>
      <c r="M1116" s="80"/>
      <c r="N1116" s="80"/>
      <c r="O1116" s="80"/>
      <c r="P1116" s="6"/>
      <c r="Q1116" s="6"/>
      <c r="R1116" s="6"/>
      <c r="S1116" s="6"/>
      <c r="T1116" s="6"/>
      <c r="U1116" s="6"/>
      <c r="V1116" s="6"/>
      <c r="W1116" s="7"/>
      <c r="X1116" s="7"/>
      <c r="Y1116" s="7"/>
      <c r="Z1116" s="7"/>
    </row>
    <row r="1117">
      <c r="A1117" s="6"/>
      <c r="B1117" s="6"/>
      <c r="C1117" s="6"/>
      <c r="D1117" s="6"/>
      <c r="E1117" s="6"/>
      <c r="F1117" s="6"/>
      <c r="G1117" s="6"/>
      <c r="H1117" s="6"/>
      <c r="I1117" s="6"/>
      <c r="J1117" s="6"/>
      <c r="K1117" s="6"/>
      <c r="L1117" s="80"/>
      <c r="M1117" s="80"/>
      <c r="N1117" s="80"/>
      <c r="O1117" s="80"/>
      <c r="P1117" s="6"/>
      <c r="Q1117" s="6"/>
      <c r="R1117" s="6"/>
      <c r="S1117" s="6"/>
      <c r="T1117" s="6"/>
      <c r="U1117" s="6"/>
      <c r="V1117" s="6"/>
      <c r="W1117" s="7"/>
      <c r="X1117" s="7"/>
      <c r="Y1117" s="7"/>
      <c r="Z1117" s="7"/>
    </row>
    <row r="1118">
      <c r="A1118" s="6"/>
      <c r="B1118" s="6"/>
      <c r="C1118" s="6"/>
      <c r="D1118" s="6"/>
      <c r="E1118" s="6"/>
      <c r="F1118" s="6"/>
      <c r="G1118" s="6"/>
      <c r="H1118" s="6"/>
      <c r="I1118" s="6"/>
      <c r="J1118" s="6"/>
      <c r="K1118" s="6"/>
      <c r="L1118" s="80"/>
      <c r="M1118" s="80"/>
      <c r="N1118" s="80"/>
      <c r="O1118" s="80"/>
      <c r="P1118" s="6"/>
      <c r="Q1118" s="6"/>
      <c r="R1118" s="6"/>
      <c r="S1118" s="6"/>
      <c r="T1118" s="6"/>
      <c r="U1118" s="6"/>
      <c r="V1118" s="6"/>
      <c r="W1118" s="7"/>
      <c r="X1118" s="7"/>
      <c r="Y1118" s="7"/>
      <c r="Z1118" s="7"/>
    </row>
    <row r="1119">
      <c r="A1119" s="6"/>
      <c r="B1119" s="6"/>
      <c r="C1119" s="6"/>
      <c r="D1119" s="6"/>
      <c r="E1119" s="6"/>
      <c r="F1119" s="6"/>
      <c r="G1119" s="6"/>
      <c r="H1119" s="6"/>
      <c r="I1119" s="6"/>
      <c r="J1119" s="6"/>
      <c r="K1119" s="6"/>
      <c r="L1119" s="80"/>
      <c r="M1119" s="80"/>
      <c r="N1119" s="80"/>
      <c r="O1119" s="80"/>
      <c r="P1119" s="6"/>
      <c r="Q1119" s="6"/>
      <c r="R1119" s="6"/>
      <c r="S1119" s="6"/>
      <c r="T1119" s="6"/>
      <c r="U1119" s="6"/>
      <c r="V1119" s="6"/>
      <c r="W1119" s="7"/>
      <c r="X1119" s="7"/>
      <c r="Y1119" s="7"/>
      <c r="Z1119" s="7"/>
    </row>
    <row r="1120">
      <c r="A1120" s="6"/>
      <c r="B1120" s="6"/>
      <c r="C1120" s="6"/>
      <c r="D1120" s="6"/>
      <c r="E1120" s="6"/>
      <c r="F1120" s="6"/>
      <c r="G1120" s="6"/>
      <c r="H1120" s="6"/>
      <c r="I1120" s="6"/>
      <c r="J1120" s="6"/>
      <c r="K1120" s="6"/>
      <c r="L1120" s="80"/>
      <c r="M1120" s="80"/>
      <c r="N1120" s="80"/>
      <c r="O1120" s="80"/>
      <c r="P1120" s="6"/>
      <c r="Q1120" s="6"/>
      <c r="R1120" s="6"/>
      <c r="S1120" s="6"/>
      <c r="T1120" s="6"/>
      <c r="U1120" s="6"/>
      <c r="V1120" s="6"/>
      <c r="W1120" s="7"/>
      <c r="X1120" s="7"/>
      <c r="Y1120" s="7"/>
      <c r="Z1120" s="7"/>
    </row>
    <row r="1121">
      <c r="A1121" s="6"/>
      <c r="B1121" s="6"/>
      <c r="C1121" s="6"/>
      <c r="D1121" s="6"/>
      <c r="E1121" s="6"/>
      <c r="F1121" s="6"/>
      <c r="G1121" s="6"/>
      <c r="H1121" s="6"/>
      <c r="I1121" s="6"/>
      <c r="J1121" s="6"/>
      <c r="K1121" s="6"/>
      <c r="L1121" s="80"/>
      <c r="M1121" s="80"/>
      <c r="N1121" s="80"/>
      <c r="O1121" s="80"/>
      <c r="P1121" s="6"/>
      <c r="Q1121" s="6"/>
      <c r="R1121" s="6"/>
      <c r="S1121" s="6"/>
      <c r="T1121" s="6"/>
      <c r="U1121" s="6"/>
      <c r="V1121" s="6"/>
      <c r="W1121" s="7"/>
      <c r="X1121" s="7"/>
      <c r="Y1121" s="7"/>
      <c r="Z1121" s="7"/>
    </row>
    <row r="1122">
      <c r="A1122" s="6"/>
      <c r="B1122" s="6"/>
      <c r="C1122" s="6"/>
      <c r="D1122" s="6"/>
      <c r="E1122" s="6"/>
      <c r="F1122" s="6"/>
      <c r="G1122" s="6"/>
      <c r="H1122" s="6"/>
      <c r="I1122" s="6"/>
      <c r="J1122" s="6"/>
      <c r="K1122" s="6"/>
      <c r="L1122" s="80"/>
      <c r="M1122" s="80"/>
      <c r="N1122" s="80"/>
      <c r="O1122" s="80"/>
      <c r="P1122" s="6"/>
      <c r="Q1122" s="6"/>
      <c r="R1122" s="6"/>
      <c r="S1122" s="6"/>
      <c r="T1122" s="6"/>
      <c r="U1122" s="6"/>
      <c r="V1122" s="6"/>
      <c r="W1122" s="7"/>
      <c r="X1122" s="7"/>
      <c r="Y1122" s="7"/>
      <c r="Z1122" s="7"/>
    </row>
    <row r="1123">
      <c r="A1123" s="6"/>
      <c r="B1123" s="6"/>
      <c r="C1123" s="6"/>
      <c r="D1123" s="6"/>
      <c r="E1123" s="6"/>
      <c r="F1123" s="6"/>
      <c r="G1123" s="6"/>
      <c r="H1123" s="6"/>
      <c r="I1123" s="6"/>
      <c r="J1123" s="6"/>
      <c r="K1123" s="6"/>
      <c r="L1123" s="80"/>
      <c r="M1123" s="80"/>
      <c r="N1123" s="80"/>
      <c r="O1123" s="80"/>
      <c r="P1123" s="6"/>
      <c r="Q1123" s="6"/>
      <c r="R1123" s="6"/>
      <c r="S1123" s="6"/>
      <c r="T1123" s="6"/>
      <c r="U1123" s="6"/>
      <c r="V1123" s="6"/>
      <c r="W1123" s="7"/>
      <c r="X1123" s="7"/>
      <c r="Y1123" s="7"/>
      <c r="Z1123" s="7"/>
    </row>
    <row r="1124">
      <c r="A1124" s="6"/>
      <c r="B1124" s="6"/>
      <c r="C1124" s="6"/>
      <c r="D1124" s="6"/>
      <c r="E1124" s="6"/>
      <c r="F1124" s="6"/>
      <c r="G1124" s="6"/>
      <c r="H1124" s="6"/>
      <c r="I1124" s="6"/>
      <c r="J1124" s="6"/>
      <c r="K1124" s="6"/>
      <c r="L1124" s="80"/>
      <c r="M1124" s="80"/>
      <c r="N1124" s="80"/>
      <c r="O1124" s="80"/>
      <c r="P1124" s="6"/>
      <c r="Q1124" s="6"/>
      <c r="R1124" s="6"/>
      <c r="S1124" s="6"/>
      <c r="T1124" s="6"/>
      <c r="U1124" s="6"/>
      <c r="V1124" s="6"/>
      <c r="W1124" s="7"/>
      <c r="X1124" s="7"/>
      <c r="Y1124" s="7"/>
      <c r="Z1124" s="7"/>
    </row>
    <row r="1125">
      <c r="A1125" s="6"/>
      <c r="B1125" s="6"/>
      <c r="C1125" s="6"/>
      <c r="D1125" s="6"/>
      <c r="E1125" s="6"/>
      <c r="F1125" s="6"/>
      <c r="G1125" s="6"/>
      <c r="H1125" s="6"/>
      <c r="I1125" s="6"/>
      <c r="J1125" s="6"/>
      <c r="K1125" s="6"/>
      <c r="L1125" s="80"/>
      <c r="M1125" s="80"/>
      <c r="N1125" s="80"/>
      <c r="O1125" s="80"/>
      <c r="P1125" s="6"/>
      <c r="Q1125" s="6"/>
      <c r="R1125" s="6"/>
      <c r="S1125" s="6"/>
      <c r="T1125" s="6"/>
      <c r="U1125" s="6"/>
      <c r="V1125" s="6"/>
      <c r="W1125" s="7"/>
      <c r="X1125" s="7"/>
      <c r="Y1125" s="7"/>
      <c r="Z1125" s="7"/>
    </row>
    <row r="1126">
      <c r="A1126" s="6"/>
      <c r="B1126" s="6"/>
      <c r="C1126" s="6"/>
      <c r="D1126" s="6"/>
      <c r="E1126" s="6"/>
      <c r="F1126" s="6"/>
      <c r="G1126" s="6"/>
      <c r="H1126" s="6"/>
      <c r="I1126" s="6"/>
      <c r="J1126" s="6"/>
      <c r="K1126" s="6"/>
      <c r="L1126" s="80"/>
      <c r="M1126" s="80"/>
      <c r="N1126" s="80"/>
      <c r="O1126" s="80"/>
      <c r="P1126" s="6"/>
      <c r="Q1126" s="6"/>
      <c r="R1126" s="6"/>
      <c r="S1126" s="6"/>
      <c r="T1126" s="6"/>
      <c r="U1126" s="6"/>
      <c r="V1126" s="6"/>
      <c r="W1126" s="7"/>
      <c r="X1126" s="7"/>
      <c r="Y1126" s="7"/>
      <c r="Z1126" s="7"/>
    </row>
    <row r="1127">
      <c r="A1127" s="6"/>
      <c r="B1127" s="6"/>
      <c r="C1127" s="6"/>
      <c r="D1127" s="6"/>
      <c r="E1127" s="6"/>
      <c r="F1127" s="6"/>
      <c r="G1127" s="6"/>
      <c r="H1127" s="6"/>
      <c r="I1127" s="6"/>
      <c r="J1127" s="6"/>
      <c r="K1127" s="6"/>
      <c r="L1127" s="80"/>
      <c r="M1127" s="80"/>
      <c r="N1127" s="80"/>
      <c r="O1127" s="80"/>
      <c r="P1127" s="6"/>
      <c r="Q1127" s="6"/>
      <c r="R1127" s="6"/>
      <c r="S1127" s="6"/>
      <c r="T1127" s="6"/>
      <c r="U1127" s="6"/>
      <c r="V1127" s="6"/>
      <c r="W1127" s="7"/>
      <c r="X1127" s="7"/>
      <c r="Y1127" s="7"/>
      <c r="Z1127" s="7"/>
    </row>
    <row r="1128">
      <c r="A1128" s="6"/>
      <c r="B1128" s="6"/>
      <c r="C1128" s="6"/>
      <c r="D1128" s="6"/>
      <c r="E1128" s="6"/>
      <c r="F1128" s="6"/>
      <c r="G1128" s="6"/>
      <c r="H1128" s="6"/>
      <c r="I1128" s="6"/>
      <c r="J1128" s="6"/>
      <c r="K1128" s="6"/>
      <c r="L1128" s="80"/>
      <c r="M1128" s="80"/>
      <c r="N1128" s="80"/>
      <c r="O1128" s="80"/>
      <c r="P1128" s="6"/>
      <c r="Q1128" s="6"/>
      <c r="R1128" s="6"/>
      <c r="S1128" s="6"/>
      <c r="T1128" s="6"/>
      <c r="U1128" s="6"/>
      <c r="V1128" s="6"/>
      <c r="W1128" s="7"/>
      <c r="X1128" s="7"/>
      <c r="Y1128" s="7"/>
      <c r="Z1128" s="7"/>
    </row>
    <row r="1129">
      <c r="A1129" s="6"/>
      <c r="B1129" s="6"/>
      <c r="C1129" s="6"/>
      <c r="D1129" s="6"/>
      <c r="E1129" s="6"/>
      <c r="F1129" s="6"/>
      <c r="G1129" s="6"/>
      <c r="H1129" s="6"/>
      <c r="I1129" s="6"/>
      <c r="J1129" s="6"/>
      <c r="K1129" s="6"/>
      <c r="L1129" s="80"/>
      <c r="M1129" s="80"/>
      <c r="N1129" s="80"/>
      <c r="O1129" s="80"/>
      <c r="P1129" s="6"/>
      <c r="Q1129" s="6"/>
      <c r="R1129" s="6"/>
      <c r="S1129" s="6"/>
      <c r="T1129" s="6"/>
      <c r="U1129" s="6"/>
      <c r="V1129" s="6"/>
      <c r="W1129" s="7"/>
      <c r="X1129" s="7"/>
      <c r="Y1129" s="7"/>
      <c r="Z1129" s="7"/>
    </row>
    <row r="1130">
      <c r="A1130" s="6"/>
      <c r="B1130" s="6"/>
      <c r="C1130" s="6"/>
      <c r="D1130" s="6"/>
      <c r="E1130" s="6"/>
      <c r="F1130" s="6"/>
      <c r="G1130" s="6"/>
      <c r="H1130" s="6"/>
      <c r="I1130" s="6"/>
      <c r="J1130" s="6"/>
      <c r="K1130" s="6"/>
      <c r="L1130" s="80"/>
      <c r="M1130" s="80"/>
      <c r="N1130" s="80"/>
      <c r="O1130" s="80"/>
      <c r="P1130" s="6"/>
      <c r="Q1130" s="6"/>
      <c r="R1130" s="6"/>
      <c r="S1130" s="6"/>
      <c r="T1130" s="6"/>
      <c r="U1130" s="6"/>
      <c r="V1130" s="6"/>
      <c r="W1130" s="7"/>
      <c r="X1130" s="7"/>
      <c r="Y1130" s="7"/>
      <c r="Z1130" s="7"/>
    </row>
    <row r="1131">
      <c r="A1131" s="6"/>
      <c r="B1131" s="6"/>
      <c r="C1131" s="6"/>
      <c r="D1131" s="6"/>
      <c r="E1131" s="6"/>
      <c r="F1131" s="6"/>
      <c r="G1131" s="6"/>
      <c r="H1131" s="6"/>
      <c r="I1131" s="6"/>
      <c r="J1131" s="6"/>
      <c r="K1131" s="6"/>
      <c r="L1131" s="80"/>
      <c r="M1131" s="80"/>
      <c r="N1131" s="80"/>
      <c r="O1131" s="80"/>
      <c r="P1131" s="6"/>
      <c r="Q1131" s="6"/>
      <c r="R1131" s="6"/>
      <c r="S1131" s="6"/>
      <c r="T1131" s="6"/>
      <c r="U1131" s="6"/>
      <c r="V1131" s="6"/>
      <c r="W1131" s="7"/>
      <c r="X1131" s="7"/>
      <c r="Y1131" s="7"/>
      <c r="Z1131" s="7"/>
    </row>
    <row r="1132">
      <c r="A1132" s="6"/>
      <c r="B1132" s="6"/>
      <c r="C1132" s="6"/>
      <c r="D1132" s="6"/>
      <c r="E1132" s="6"/>
      <c r="F1132" s="6"/>
      <c r="G1132" s="6"/>
      <c r="H1132" s="6"/>
      <c r="I1132" s="6"/>
      <c r="J1132" s="6"/>
      <c r="K1132" s="6"/>
      <c r="L1132" s="80"/>
      <c r="M1132" s="80"/>
      <c r="N1132" s="80"/>
      <c r="O1132" s="80"/>
      <c r="P1132" s="6"/>
      <c r="Q1132" s="6"/>
      <c r="R1132" s="6"/>
      <c r="S1132" s="6"/>
      <c r="T1132" s="6"/>
      <c r="U1132" s="6"/>
      <c r="V1132" s="6"/>
      <c r="W1132" s="7"/>
      <c r="X1132" s="7"/>
      <c r="Y1132" s="7"/>
      <c r="Z1132" s="7"/>
    </row>
    <row r="1133">
      <c r="A1133" s="6"/>
      <c r="B1133" s="6"/>
      <c r="C1133" s="6"/>
      <c r="D1133" s="6"/>
      <c r="E1133" s="6"/>
      <c r="F1133" s="6"/>
      <c r="G1133" s="6"/>
      <c r="H1133" s="6"/>
      <c r="I1133" s="6"/>
      <c r="J1133" s="6"/>
      <c r="K1133" s="6"/>
      <c r="L1133" s="80"/>
      <c r="M1133" s="80"/>
      <c r="N1133" s="80"/>
      <c r="O1133" s="80"/>
      <c r="P1133" s="6"/>
      <c r="Q1133" s="6"/>
      <c r="R1133" s="6"/>
      <c r="S1133" s="6"/>
      <c r="T1133" s="6"/>
      <c r="U1133" s="6"/>
      <c r="V1133" s="6"/>
      <c r="W1133" s="7"/>
      <c r="X1133" s="7"/>
      <c r="Y1133" s="7"/>
      <c r="Z1133" s="7"/>
    </row>
    <row r="1134">
      <c r="A1134" s="6"/>
      <c r="B1134" s="6"/>
      <c r="C1134" s="6"/>
      <c r="D1134" s="6"/>
      <c r="E1134" s="6"/>
      <c r="F1134" s="6"/>
      <c r="G1134" s="6"/>
      <c r="H1134" s="6"/>
      <c r="I1134" s="6"/>
      <c r="J1134" s="6"/>
      <c r="K1134" s="6"/>
      <c r="L1134" s="80"/>
      <c r="M1134" s="80"/>
      <c r="N1134" s="80"/>
      <c r="O1134" s="80"/>
      <c r="P1134" s="6"/>
      <c r="Q1134" s="6"/>
      <c r="R1134" s="6"/>
      <c r="S1134" s="6"/>
      <c r="T1134" s="6"/>
      <c r="U1134" s="6"/>
      <c r="V1134" s="6"/>
      <c r="W1134" s="7"/>
      <c r="X1134" s="7"/>
      <c r="Y1134" s="7"/>
      <c r="Z1134" s="7"/>
    </row>
    <row r="1135">
      <c r="A1135" s="6"/>
      <c r="B1135" s="6"/>
      <c r="C1135" s="6"/>
      <c r="D1135" s="6"/>
      <c r="E1135" s="6"/>
      <c r="F1135" s="6"/>
      <c r="G1135" s="6"/>
      <c r="H1135" s="6"/>
      <c r="I1135" s="6"/>
      <c r="J1135" s="6"/>
      <c r="K1135" s="6"/>
      <c r="L1135" s="80"/>
      <c r="M1135" s="80"/>
      <c r="N1135" s="80"/>
      <c r="O1135" s="80"/>
      <c r="P1135" s="6"/>
      <c r="Q1135" s="6"/>
      <c r="R1135" s="6"/>
      <c r="S1135" s="6"/>
      <c r="T1135" s="6"/>
      <c r="U1135" s="6"/>
      <c r="V1135" s="6"/>
      <c r="W1135" s="7"/>
      <c r="X1135" s="7"/>
      <c r="Y1135" s="7"/>
      <c r="Z1135" s="7"/>
    </row>
    <row r="1136">
      <c r="A1136" s="6"/>
      <c r="B1136" s="6"/>
      <c r="C1136" s="6"/>
      <c r="D1136" s="6"/>
      <c r="E1136" s="6"/>
      <c r="F1136" s="6"/>
      <c r="G1136" s="6"/>
      <c r="H1136" s="6"/>
      <c r="I1136" s="6"/>
      <c r="J1136" s="6"/>
      <c r="K1136" s="6"/>
      <c r="L1136" s="80"/>
      <c r="M1136" s="80"/>
      <c r="N1136" s="80"/>
      <c r="O1136" s="80"/>
      <c r="P1136" s="6"/>
      <c r="Q1136" s="6"/>
      <c r="R1136" s="6"/>
      <c r="S1136" s="6"/>
      <c r="T1136" s="6"/>
      <c r="U1136" s="6"/>
      <c r="V1136" s="6"/>
      <c r="W1136" s="7"/>
      <c r="X1136" s="7"/>
      <c r="Y1136" s="7"/>
      <c r="Z1136" s="7"/>
    </row>
    <row r="1137">
      <c r="A1137" s="6"/>
      <c r="B1137" s="6"/>
      <c r="C1137" s="6"/>
      <c r="D1137" s="6"/>
      <c r="E1137" s="6"/>
      <c r="F1137" s="6"/>
      <c r="G1137" s="6"/>
      <c r="H1137" s="6"/>
      <c r="I1137" s="6"/>
      <c r="J1137" s="6"/>
      <c r="K1137" s="6"/>
      <c r="L1137" s="80"/>
      <c r="M1137" s="80"/>
      <c r="N1137" s="80"/>
      <c r="O1137" s="80"/>
      <c r="P1137" s="6"/>
      <c r="Q1137" s="6"/>
      <c r="R1137" s="6"/>
      <c r="S1137" s="6"/>
      <c r="T1137" s="6"/>
      <c r="U1137" s="6"/>
      <c r="V1137" s="6"/>
      <c r="W1137" s="7"/>
      <c r="X1137" s="7"/>
      <c r="Y1137" s="7"/>
      <c r="Z1137" s="7"/>
    </row>
    <row r="1138">
      <c r="A1138" s="6"/>
      <c r="B1138" s="6"/>
      <c r="C1138" s="6"/>
      <c r="D1138" s="6"/>
      <c r="E1138" s="6"/>
      <c r="F1138" s="6"/>
      <c r="G1138" s="6"/>
      <c r="H1138" s="6"/>
      <c r="I1138" s="6"/>
      <c r="J1138" s="6"/>
      <c r="K1138" s="6"/>
      <c r="L1138" s="80"/>
      <c r="M1138" s="80"/>
      <c r="N1138" s="80"/>
      <c r="O1138" s="80"/>
      <c r="P1138" s="6"/>
      <c r="Q1138" s="6"/>
      <c r="R1138" s="6"/>
      <c r="S1138" s="6"/>
      <c r="T1138" s="6"/>
      <c r="U1138" s="6"/>
      <c r="V1138" s="6"/>
      <c r="W1138" s="7"/>
      <c r="X1138" s="7"/>
      <c r="Y1138" s="7"/>
      <c r="Z1138" s="7"/>
    </row>
    <row r="1139">
      <c r="A1139" s="6"/>
      <c r="B1139" s="6"/>
      <c r="C1139" s="6"/>
      <c r="D1139" s="6"/>
      <c r="E1139" s="6"/>
      <c r="F1139" s="6"/>
      <c r="G1139" s="6"/>
      <c r="H1139" s="6"/>
      <c r="I1139" s="6"/>
      <c r="J1139" s="6"/>
      <c r="K1139" s="6"/>
      <c r="L1139" s="80"/>
      <c r="M1139" s="80"/>
      <c r="N1139" s="80"/>
      <c r="O1139" s="80"/>
      <c r="P1139" s="6"/>
      <c r="Q1139" s="6"/>
      <c r="R1139" s="6"/>
      <c r="S1139" s="6"/>
      <c r="T1139" s="6"/>
      <c r="U1139" s="6"/>
      <c r="V1139" s="6"/>
      <c r="W1139" s="7"/>
      <c r="X1139" s="7"/>
      <c r="Y1139" s="7"/>
      <c r="Z1139" s="7"/>
    </row>
    <row r="1140">
      <c r="A1140" s="6"/>
      <c r="B1140" s="6"/>
      <c r="C1140" s="6"/>
      <c r="D1140" s="6"/>
      <c r="E1140" s="6"/>
      <c r="F1140" s="6"/>
      <c r="G1140" s="6"/>
      <c r="H1140" s="6"/>
      <c r="I1140" s="6"/>
      <c r="J1140" s="6"/>
      <c r="K1140" s="6"/>
      <c r="L1140" s="80"/>
      <c r="M1140" s="80"/>
      <c r="N1140" s="80"/>
      <c r="O1140" s="80"/>
      <c r="P1140" s="6"/>
      <c r="Q1140" s="6"/>
      <c r="R1140" s="6"/>
      <c r="S1140" s="6"/>
      <c r="T1140" s="6"/>
      <c r="U1140" s="6"/>
      <c r="V1140" s="6"/>
      <c r="W1140" s="7"/>
      <c r="X1140" s="7"/>
      <c r="Y1140" s="7"/>
      <c r="Z1140" s="7"/>
    </row>
    <row r="1141">
      <c r="A1141" s="6"/>
      <c r="B1141" s="6"/>
      <c r="C1141" s="6"/>
      <c r="D1141" s="6"/>
      <c r="E1141" s="6"/>
      <c r="F1141" s="6"/>
      <c r="G1141" s="6"/>
      <c r="H1141" s="6"/>
      <c r="I1141" s="6"/>
      <c r="J1141" s="6"/>
      <c r="K1141" s="6"/>
      <c r="L1141" s="80"/>
      <c r="M1141" s="80"/>
      <c r="N1141" s="80"/>
      <c r="O1141" s="80"/>
      <c r="P1141" s="6"/>
      <c r="Q1141" s="6"/>
      <c r="R1141" s="6"/>
      <c r="S1141" s="6"/>
      <c r="T1141" s="6"/>
      <c r="U1141" s="6"/>
      <c r="V1141" s="6"/>
      <c r="W1141" s="7"/>
      <c r="X1141" s="7"/>
      <c r="Y1141" s="7"/>
      <c r="Z1141" s="7"/>
    </row>
    <row r="1142">
      <c r="A1142" s="6"/>
      <c r="B1142" s="6"/>
      <c r="C1142" s="6"/>
      <c r="D1142" s="6"/>
      <c r="E1142" s="6"/>
      <c r="F1142" s="6"/>
      <c r="G1142" s="6"/>
      <c r="H1142" s="6"/>
      <c r="I1142" s="6"/>
      <c r="J1142" s="6"/>
      <c r="K1142" s="6"/>
      <c r="L1142" s="80"/>
      <c r="M1142" s="80"/>
      <c r="N1142" s="80"/>
      <c r="O1142" s="80"/>
      <c r="P1142" s="6"/>
      <c r="Q1142" s="6"/>
      <c r="R1142" s="6"/>
      <c r="S1142" s="6"/>
      <c r="T1142" s="6"/>
      <c r="U1142" s="6"/>
      <c r="V1142" s="6"/>
      <c r="W1142" s="7"/>
      <c r="X1142" s="7"/>
      <c r="Y1142" s="7"/>
      <c r="Z1142" s="7"/>
    </row>
    <row r="1143">
      <c r="A1143" s="6"/>
      <c r="B1143" s="6"/>
      <c r="C1143" s="6"/>
      <c r="D1143" s="6"/>
      <c r="E1143" s="6"/>
      <c r="F1143" s="6"/>
      <c r="G1143" s="6"/>
      <c r="H1143" s="6"/>
      <c r="I1143" s="6"/>
      <c r="J1143" s="6"/>
      <c r="K1143" s="6"/>
      <c r="L1143" s="80"/>
      <c r="M1143" s="80"/>
      <c r="N1143" s="80"/>
      <c r="O1143" s="80"/>
      <c r="P1143" s="6"/>
      <c r="Q1143" s="6"/>
      <c r="R1143" s="6"/>
      <c r="S1143" s="6"/>
      <c r="T1143" s="6"/>
      <c r="U1143" s="6"/>
      <c r="V1143" s="6"/>
      <c r="W1143" s="7"/>
      <c r="X1143" s="7"/>
      <c r="Y1143" s="7"/>
      <c r="Z1143" s="7"/>
    </row>
    <row r="1144">
      <c r="A1144" s="6"/>
      <c r="B1144" s="6"/>
      <c r="C1144" s="6"/>
      <c r="D1144" s="6"/>
      <c r="E1144" s="6"/>
      <c r="F1144" s="6"/>
      <c r="G1144" s="6"/>
      <c r="H1144" s="6"/>
      <c r="I1144" s="6"/>
      <c r="J1144" s="6"/>
      <c r="K1144" s="6"/>
      <c r="L1144" s="80"/>
      <c r="M1144" s="80"/>
      <c r="N1144" s="80"/>
      <c r="O1144" s="80"/>
      <c r="P1144" s="6"/>
      <c r="Q1144" s="6"/>
      <c r="R1144" s="6"/>
      <c r="S1144" s="6"/>
      <c r="T1144" s="6"/>
      <c r="U1144" s="6"/>
      <c r="V1144" s="6"/>
      <c r="W1144" s="7"/>
      <c r="X1144" s="7"/>
      <c r="Y1144" s="7"/>
      <c r="Z1144" s="7"/>
    </row>
    <row r="1145">
      <c r="A1145" s="6"/>
      <c r="B1145" s="6"/>
      <c r="C1145" s="6"/>
      <c r="D1145" s="6"/>
      <c r="E1145" s="6"/>
      <c r="F1145" s="6"/>
      <c r="G1145" s="6"/>
      <c r="H1145" s="6"/>
      <c r="I1145" s="6"/>
      <c r="J1145" s="6"/>
      <c r="K1145" s="6"/>
      <c r="L1145" s="80"/>
      <c r="M1145" s="80"/>
      <c r="N1145" s="80"/>
      <c r="O1145" s="80"/>
      <c r="P1145" s="6"/>
      <c r="Q1145" s="6"/>
      <c r="R1145" s="6"/>
      <c r="S1145" s="6"/>
      <c r="T1145" s="6"/>
      <c r="U1145" s="6"/>
      <c r="V1145" s="6"/>
      <c r="W1145" s="7"/>
      <c r="X1145" s="7"/>
      <c r="Y1145" s="7"/>
      <c r="Z1145" s="7"/>
    </row>
    <row r="1146">
      <c r="A1146" s="6"/>
      <c r="B1146" s="6"/>
      <c r="C1146" s="6"/>
      <c r="D1146" s="6"/>
      <c r="E1146" s="6"/>
      <c r="F1146" s="6"/>
      <c r="G1146" s="6"/>
      <c r="H1146" s="6"/>
      <c r="I1146" s="6"/>
      <c r="J1146" s="6"/>
      <c r="K1146" s="6"/>
      <c r="L1146" s="80"/>
      <c r="M1146" s="80"/>
      <c r="N1146" s="80"/>
      <c r="O1146" s="80"/>
      <c r="P1146" s="6"/>
      <c r="Q1146" s="6"/>
      <c r="R1146" s="6"/>
      <c r="S1146" s="6"/>
      <c r="T1146" s="6"/>
      <c r="U1146" s="6"/>
      <c r="V1146" s="6"/>
      <c r="W1146" s="7"/>
      <c r="X1146" s="7"/>
      <c r="Y1146" s="7"/>
      <c r="Z1146" s="7"/>
    </row>
    <row r="1147">
      <c r="A1147" s="6"/>
      <c r="B1147" s="6"/>
      <c r="C1147" s="6"/>
      <c r="D1147" s="6"/>
      <c r="E1147" s="6"/>
      <c r="F1147" s="6"/>
      <c r="G1147" s="6"/>
      <c r="H1147" s="6"/>
      <c r="I1147" s="6"/>
      <c r="J1147" s="6"/>
      <c r="K1147" s="6"/>
      <c r="L1147" s="80"/>
      <c r="M1147" s="80"/>
      <c r="N1147" s="80"/>
      <c r="O1147" s="80"/>
      <c r="P1147" s="6"/>
      <c r="Q1147" s="6"/>
      <c r="R1147" s="6"/>
      <c r="S1147" s="6"/>
      <c r="T1147" s="6"/>
      <c r="U1147" s="6"/>
      <c r="V1147" s="6"/>
      <c r="W1147" s="7"/>
      <c r="X1147" s="7"/>
      <c r="Y1147" s="7"/>
      <c r="Z1147" s="7"/>
    </row>
    <row r="1148">
      <c r="A1148" s="6"/>
      <c r="B1148" s="6"/>
      <c r="C1148" s="6"/>
      <c r="D1148" s="6"/>
      <c r="E1148" s="6"/>
      <c r="F1148" s="6"/>
      <c r="G1148" s="6"/>
      <c r="H1148" s="6"/>
      <c r="I1148" s="6"/>
      <c r="J1148" s="6"/>
      <c r="K1148" s="6"/>
      <c r="L1148" s="80"/>
      <c r="M1148" s="80"/>
      <c r="N1148" s="80"/>
      <c r="O1148" s="80"/>
      <c r="P1148" s="6"/>
      <c r="Q1148" s="6"/>
      <c r="R1148" s="6"/>
      <c r="S1148" s="6"/>
      <c r="T1148" s="6"/>
      <c r="U1148" s="6"/>
      <c r="V1148" s="6"/>
      <c r="W1148" s="7"/>
      <c r="X1148" s="7"/>
      <c r="Y1148" s="7"/>
      <c r="Z1148" s="7"/>
    </row>
    <row r="1149">
      <c r="A1149" s="6"/>
      <c r="B1149" s="6"/>
      <c r="C1149" s="6"/>
      <c r="D1149" s="6"/>
      <c r="E1149" s="6"/>
      <c r="F1149" s="6"/>
      <c r="G1149" s="6"/>
      <c r="H1149" s="6"/>
      <c r="I1149" s="6"/>
      <c r="J1149" s="6"/>
      <c r="K1149" s="6"/>
      <c r="L1149" s="80"/>
      <c r="M1149" s="80"/>
      <c r="N1149" s="80"/>
      <c r="O1149" s="80"/>
      <c r="P1149" s="6"/>
      <c r="Q1149" s="6"/>
      <c r="R1149" s="6"/>
      <c r="S1149" s="6"/>
      <c r="T1149" s="6"/>
      <c r="U1149" s="6"/>
      <c r="V1149" s="6"/>
      <c r="W1149" s="7"/>
      <c r="X1149" s="7"/>
      <c r="Y1149" s="7"/>
      <c r="Z1149" s="7"/>
    </row>
    <row r="1150">
      <c r="A1150" s="6"/>
      <c r="B1150" s="6"/>
      <c r="C1150" s="6"/>
      <c r="D1150" s="6"/>
      <c r="E1150" s="6"/>
      <c r="F1150" s="6"/>
      <c r="G1150" s="6"/>
      <c r="H1150" s="6"/>
      <c r="I1150" s="6"/>
      <c r="J1150" s="6"/>
      <c r="K1150" s="6"/>
      <c r="L1150" s="80"/>
      <c r="M1150" s="80"/>
      <c r="N1150" s="80"/>
      <c r="O1150" s="80"/>
      <c r="P1150" s="6"/>
      <c r="Q1150" s="6"/>
      <c r="R1150" s="6"/>
      <c r="S1150" s="6"/>
      <c r="T1150" s="6"/>
      <c r="U1150" s="6"/>
      <c r="V1150" s="6"/>
      <c r="W1150" s="7"/>
      <c r="X1150" s="7"/>
      <c r="Y1150" s="7"/>
      <c r="Z1150" s="7"/>
    </row>
    <row r="1151">
      <c r="A1151" s="6"/>
      <c r="B1151" s="6"/>
      <c r="C1151" s="6"/>
      <c r="D1151" s="6"/>
      <c r="E1151" s="6"/>
      <c r="F1151" s="6"/>
      <c r="G1151" s="6"/>
      <c r="H1151" s="6"/>
      <c r="I1151" s="6"/>
      <c r="J1151" s="6"/>
      <c r="K1151" s="6"/>
      <c r="L1151" s="80"/>
      <c r="M1151" s="80"/>
      <c r="N1151" s="80"/>
      <c r="O1151" s="80"/>
      <c r="P1151" s="6"/>
      <c r="Q1151" s="6"/>
      <c r="R1151" s="6"/>
      <c r="S1151" s="6"/>
      <c r="T1151" s="6"/>
      <c r="U1151" s="6"/>
      <c r="V1151" s="6"/>
      <c r="W1151" s="7"/>
      <c r="X1151" s="7"/>
      <c r="Y1151" s="7"/>
      <c r="Z1151" s="7"/>
    </row>
    <row r="1152">
      <c r="A1152" s="6"/>
      <c r="B1152" s="6"/>
      <c r="C1152" s="6"/>
      <c r="D1152" s="6"/>
      <c r="E1152" s="6"/>
      <c r="F1152" s="6"/>
      <c r="G1152" s="6"/>
      <c r="H1152" s="6"/>
      <c r="I1152" s="6"/>
      <c r="J1152" s="6"/>
      <c r="K1152" s="6"/>
      <c r="L1152" s="80"/>
      <c r="M1152" s="80"/>
      <c r="N1152" s="80"/>
      <c r="O1152" s="80"/>
      <c r="P1152" s="6"/>
      <c r="Q1152" s="6"/>
      <c r="R1152" s="6"/>
      <c r="S1152" s="6"/>
      <c r="T1152" s="6"/>
      <c r="U1152" s="6"/>
      <c r="V1152" s="6"/>
      <c r="W1152" s="7"/>
      <c r="X1152" s="7"/>
      <c r="Y1152" s="7"/>
      <c r="Z1152" s="7"/>
    </row>
    <row r="1153">
      <c r="A1153" s="6"/>
      <c r="B1153" s="6"/>
      <c r="C1153" s="6"/>
      <c r="D1153" s="6"/>
      <c r="E1153" s="6"/>
      <c r="F1153" s="6"/>
      <c r="G1153" s="6"/>
      <c r="H1153" s="6"/>
      <c r="I1153" s="6"/>
      <c r="J1153" s="6"/>
      <c r="K1153" s="6"/>
      <c r="L1153" s="80"/>
      <c r="M1153" s="80"/>
      <c r="N1153" s="80"/>
      <c r="O1153" s="80"/>
      <c r="P1153" s="6"/>
      <c r="Q1153" s="6"/>
      <c r="R1153" s="6"/>
      <c r="S1153" s="6"/>
      <c r="T1153" s="6"/>
      <c r="U1153" s="6"/>
      <c r="V1153" s="6"/>
      <c r="W1153" s="7"/>
      <c r="X1153" s="7"/>
      <c r="Y1153" s="7"/>
      <c r="Z1153" s="7"/>
    </row>
    <row r="1154">
      <c r="A1154" s="6"/>
      <c r="B1154" s="6"/>
      <c r="C1154" s="6"/>
      <c r="D1154" s="6"/>
      <c r="E1154" s="6"/>
      <c r="F1154" s="6"/>
      <c r="G1154" s="6"/>
      <c r="H1154" s="6"/>
      <c r="I1154" s="6"/>
      <c r="J1154" s="6"/>
      <c r="K1154" s="6"/>
      <c r="L1154" s="80"/>
      <c r="M1154" s="80"/>
      <c r="N1154" s="80"/>
      <c r="O1154" s="80"/>
      <c r="P1154" s="6"/>
      <c r="Q1154" s="6"/>
      <c r="R1154" s="6"/>
      <c r="S1154" s="6"/>
      <c r="T1154" s="6"/>
      <c r="U1154" s="6"/>
      <c r="V1154" s="6"/>
      <c r="W1154" s="7"/>
      <c r="X1154" s="7"/>
      <c r="Y1154" s="7"/>
      <c r="Z1154" s="7"/>
    </row>
    <row r="1155">
      <c r="A1155" s="6"/>
      <c r="B1155" s="6"/>
      <c r="C1155" s="6"/>
      <c r="D1155" s="6"/>
      <c r="E1155" s="6"/>
      <c r="F1155" s="6"/>
      <c r="G1155" s="6"/>
      <c r="H1155" s="6"/>
      <c r="I1155" s="6"/>
      <c r="J1155" s="6"/>
      <c r="K1155" s="6"/>
      <c r="L1155" s="80"/>
      <c r="M1155" s="80"/>
      <c r="N1155" s="80"/>
      <c r="O1155" s="80"/>
      <c r="P1155" s="6"/>
      <c r="Q1155" s="6"/>
      <c r="R1155" s="6"/>
      <c r="S1155" s="6"/>
      <c r="T1155" s="6"/>
      <c r="U1155" s="6"/>
      <c r="V1155" s="6"/>
      <c r="W1155" s="7"/>
      <c r="X1155" s="7"/>
      <c r="Y1155" s="7"/>
      <c r="Z1155" s="7"/>
    </row>
    <row r="1156">
      <c r="A1156" s="6"/>
      <c r="B1156" s="6"/>
      <c r="C1156" s="6"/>
      <c r="D1156" s="6"/>
      <c r="E1156" s="6"/>
      <c r="F1156" s="6"/>
      <c r="G1156" s="6"/>
      <c r="H1156" s="6"/>
      <c r="I1156" s="6"/>
      <c r="J1156" s="6"/>
      <c r="K1156" s="6"/>
      <c r="L1156" s="80"/>
      <c r="M1156" s="80"/>
      <c r="N1156" s="80"/>
      <c r="O1156" s="80"/>
      <c r="P1156" s="6"/>
      <c r="Q1156" s="6"/>
      <c r="R1156" s="6"/>
      <c r="S1156" s="6"/>
      <c r="T1156" s="6"/>
      <c r="U1156" s="6"/>
      <c r="V1156" s="6"/>
      <c r="W1156" s="7"/>
      <c r="X1156" s="7"/>
      <c r="Y1156" s="7"/>
      <c r="Z1156" s="7"/>
    </row>
    <row r="1157">
      <c r="A1157" s="6"/>
      <c r="B1157" s="6"/>
      <c r="C1157" s="6"/>
      <c r="D1157" s="6"/>
      <c r="E1157" s="6"/>
      <c r="F1157" s="6"/>
      <c r="G1157" s="6"/>
      <c r="H1157" s="6"/>
      <c r="I1157" s="6"/>
      <c r="J1157" s="6"/>
      <c r="K1157" s="6"/>
      <c r="L1157" s="80"/>
      <c r="M1157" s="80"/>
      <c r="N1157" s="80"/>
      <c r="O1157" s="80"/>
      <c r="P1157" s="6"/>
      <c r="Q1157" s="6"/>
      <c r="R1157" s="6"/>
      <c r="S1157" s="6"/>
      <c r="T1157" s="6"/>
      <c r="U1157" s="6"/>
      <c r="V1157" s="6"/>
      <c r="W1157" s="7"/>
      <c r="X1157" s="7"/>
      <c r="Y1157" s="7"/>
      <c r="Z1157" s="7"/>
    </row>
    <row r="1158">
      <c r="A1158" s="6"/>
      <c r="B1158" s="6"/>
      <c r="C1158" s="6"/>
      <c r="D1158" s="6"/>
      <c r="E1158" s="6"/>
      <c r="F1158" s="6"/>
      <c r="G1158" s="6"/>
      <c r="H1158" s="6"/>
      <c r="I1158" s="6"/>
      <c r="J1158" s="6"/>
      <c r="K1158" s="6"/>
      <c r="L1158" s="80"/>
      <c r="M1158" s="80"/>
      <c r="N1158" s="80"/>
      <c r="O1158" s="80"/>
      <c r="P1158" s="6"/>
      <c r="Q1158" s="6"/>
      <c r="R1158" s="6"/>
      <c r="S1158" s="6"/>
      <c r="T1158" s="6"/>
      <c r="U1158" s="6"/>
      <c r="V1158" s="6"/>
      <c r="W1158" s="7"/>
      <c r="X1158" s="7"/>
      <c r="Y1158" s="7"/>
      <c r="Z1158" s="7"/>
    </row>
    <row r="1159">
      <c r="A1159" s="6"/>
      <c r="B1159" s="6"/>
      <c r="C1159" s="6"/>
      <c r="D1159" s="6"/>
      <c r="E1159" s="6"/>
      <c r="F1159" s="6"/>
      <c r="G1159" s="6"/>
      <c r="H1159" s="6"/>
      <c r="I1159" s="6"/>
      <c r="J1159" s="6"/>
      <c r="K1159" s="6"/>
      <c r="L1159" s="80"/>
      <c r="M1159" s="80"/>
      <c r="N1159" s="80"/>
      <c r="O1159" s="80"/>
      <c r="P1159" s="6"/>
      <c r="Q1159" s="6"/>
      <c r="R1159" s="6"/>
      <c r="S1159" s="6"/>
      <c r="T1159" s="6"/>
      <c r="U1159" s="6"/>
      <c r="V1159" s="6"/>
      <c r="W1159" s="7"/>
      <c r="X1159" s="7"/>
      <c r="Y1159" s="7"/>
      <c r="Z1159" s="7"/>
    </row>
    <row r="1160">
      <c r="A1160" s="6"/>
      <c r="B1160" s="6"/>
      <c r="C1160" s="6"/>
      <c r="D1160" s="6"/>
      <c r="E1160" s="6"/>
      <c r="F1160" s="6"/>
      <c r="G1160" s="6"/>
      <c r="H1160" s="6"/>
      <c r="I1160" s="6"/>
      <c r="J1160" s="6"/>
      <c r="K1160" s="6"/>
      <c r="L1160" s="80"/>
      <c r="M1160" s="80"/>
      <c r="N1160" s="80"/>
      <c r="O1160" s="80"/>
      <c r="P1160" s="6"/>
      <c r="Q1160" s="6"/>
      <c r="R1160" s="6"/>
      <c r="S1160" s="6"/>
      <c r="T1160" s="6"/>
      <c r="U1160" s="6"/>
      <c r="V1160" s="6"/>
      <c r="W1160" s="7"/>
      <c r="X1160" s="7"/>
      <c r="Y1160" s="7"/>
      <c r="Z1160" s="7"/>
    </row>
    <row r="1161">
      <c r="A1161" s="6"/>
      <c r="B1161" s="6"/>
      <c r="C1161" s="6"/>
      <c r="D1161" s="6"/>
      <c r="E1161" s="6"/>
      <c r="F1161" s="6"/>
      <c r="G1161" s="6"/>
      <c r="H1161" s="6"/>
      <c r="I1161" s="6"/>
      <c r="J1161" s="6"/>
      <c r="K1161" s="6"/>
      <c r="L1161" s="80"/>
      <c r="M1161" s="80"/>
      <c r="N1161" s="80"/>
      <c r="O1161" s="80"/>
      <c r="P1161" s="6"/>
      <c r="Q1161" s="6"/>
      <c r="R1161" s="6"/>
      <c r="S1161" s="6"/>
      <c r="T1161" s="6"/>
      <c r="U1161" s="6"/>
      <c r="V1161" s="6"/>
      <c r="W1161" s="7"/>
      <c r="X1161" s="7"/>
      <c r="Y1161" s="7"/>
      <c r="Z1161" s="7"/>
    </row>
    <row r="1162">
      <c r="A1162" s="6"/>
      <c r="B1162" s="6"/>
      <c r="C1162" s="6"/>
      <c r="D1162" s="6"/>
      <c r="E1162" s="6"/>
      <c r="F1162" s="6"/>
      <c r="G1162" s="6"/>
      <c r="H1162" s="6"/>
      <c r="I1162" s="6"/>
      <c r="J1162" s="6"/>
      <c r="K1162" s="6"/>
      <c r="L1162" s="80"/>
      <c r="M1162" s="80"/>
      <c r="N1162" s="80"/>
      <c r="O1162" s="80"/>
      <c r="P1162" s="6"/>
      <c r="Q1162" s="6"/>
      <c r="R1162" s="6"/>
      <c r="S1162" s="6"/>
      <c r="T1162" s="6"/>
      <c r="U1162" s="6"/>
      <c r="V1162" s="6"/>
      <c r="W1162" s="7"/>
      <c r="X1162" s="7"/>
      <c r="Y1162" s="7"/>
      <c r="Z1162" s="7"/>
    </row>
    <row r="1163">
      <c r="A1163" s="6"/>
      <c r="B1163" s="6"/>
      <c r="C1163" s="6"/>
      <c r="D1163" s="6"/>
      <c r="E1163" s="6"/>
      <c r="F1163" s="6"/>
      <c r="G1163" s="6"/>
      <c r="H1163" s="6"/>
      <c r="I1163" s="6"/>
      <c r="J1163" s="6"/>
      <c r="K1163" s="6"/>
      <c r="L1163" s="80"/>
      <c r="M1163" s="80"/>
      <c r="N1163" s="80"/>
      <c r="O1163" s="80"/>
      <c r="P1163" s="6"/>
      <c r="Q1163" s="6"/>
      <c r="R1163" s="6"/>
      <c r="S1163" s="6"/>
      <c r="T1163" s="6"/>
      <c r="U1163" s="6"/>
      <c r="V1163" s="6"/>
      <c r="W1163" s="7"/>
      <c r="X1163" s="7"/>
      <c r="Y1163" s="7"/>
      <c r="Z1163" s="7"/>
    </row>
    <row r="1164">
      <c r="A1164" s="6"/>
      <c r="B1164" s="6"/>
      <c r="C1164" s="6"/>
      <c r="D1164" s="6"/>
      <c r="E1164" s="6"/>
      <c r="F1164" s="6"/>
      <c r="G1164" s="6"/>
      <c r="H1164" s="6"/>
      <c r="I1164" s="6"/>
      <c r="J1164" s="6"/>
      <c r="K1164" s="6"/>
      <c r="L1164" s="80"/>
      <c r="M1164" s="80"/>
      <c r="N1164" s="80"/>
      <c r="O1164" s="80"/>
      <c r="P1164" s="6"/>
      <c r="Q1164" s="6"/>
      <c r="R1164" s="6"/>
      <c r="S1164" s="6"/>
      <c r="T1164" s="6"/>
      <c r="U1164" s="6"/>
      <c r="V1164" s="6"/>
      <c r="W1164" s="7"/>
      <c r="X1164" s="7"/>
      <c r="Y1164" s="7"/>
      <c r="Z1164" s="7"/>
    </row>
    <row r="1165">
      <c r="A1165" s="6"/>
      <c r="B1165" s="6"/>
      <c r="C1165" s="6"/>
      <c r="D1165" s="6"/>
      <c r="E1165" s="6"/>
      <c r="F1165" s="6"/>
      <c r="G1165" s="6"/>
      <c r="H1165" s="6"/>
      <c r="I1165" s="6"/>
      <c r="J1165" s="6"/>
      <c r="K1165" s="6"/>
      <c r="L1165" s="80"/>
      <c r="M1165" s="80"/>
      <c r="N1165" s="80"/>
      <c r="O1165" s="80"/>
      <c r="P1165" s="6"/>
      <c r="Q1165" s="6"/>
      <c r="R1165" s="6"/>
      <c r="S1165" s="6"/>
      <c r="T1165" s="6"/>
      <c r="U1165" s="6"/>
      <c r="V1165" s="6"/>
      <c r="W1165" s="7"/>
      <c r="X1165" s="7"/>
      <c r="Y1165" s="7"/>
      <c r="Z1165" s="7"/>
    </row>
    <row r="1166">
      <c r="A1166" s="6"/>
      <c r="B1166" s="6"/>
      <c r="C1166" s="6"/>
      <c r="D1166" s="6"/>
      <c r="E1166" s="6"/>
      <c r="F1166" s="6"/>
      <c r="G1166" s="6"/>
      <c r="H1166" s="6"/>
      <c r="I1166" s="6"/>
      <c r="J1166" s="6"/>
      <c r="K1166" s="6"/>
      <c r="L1166" s="80"/>
      <c r="M1166" s="80"/>
      <c r="N1166" s="80"/>
      <c r="O1166" s="80"/>
      <c r="P1166" s="6"/>
      <c r="Q1166" s="6"/>
      <c r="R1166" s="6"/>
      <c r="S1166" s="6"/>
      <c r="T1166" s="6"/>
      <c r="U1166" s="6"/>
      <c r="V1166" s="6"/>
      <c r="W1166" s="7"/>
      <c r="X1166" s="7"/>
      <c r="Y1166" s="7"/>
      <c r="Z1166" s="7"/>
    </row>
    <row r="1167">
      <c r="A1167" s="6"/>
      <c r="B1167" s="6"/>
      <c r="C1167" s="6"/>
      <c r="D1167" s="6"/>
      <c r="E1167" s="6"/>
      <c r="F1167" s="6"/>
      <c r="G1167" s="6"/>
      <c r="H1167" s="6"/>
      <c r="I1167" s="6"/>
      <c r="J1167" s="6"/>
      <c r="K1167" s="6"/>
      <c r="L1167" s="80"/>
      <c r="M1167" s="80"/>
      <c r="N1167" s="80"/>
      <c r="O1167" s="80"/>
      <c r="P1167" s="6"/>
      <c r="Q1167" s="6"/>
      <c r="R1167" s="6"/>
      <c r="S1167" s="6"/>
      <c r="T1167" s="6"/>
      <c r="U1167" s="6"/>
      <c r="V1167" s="6"/>
      <c r="W1167" s="7"/>
      <c r="X1167" s="7"/>
      <c r="Y1167" s="7"/>
      <c r="Z1167" s="7"/>
    </row>
    <row r="1168">
      <c r="A1168" s="6"/>
      <c r="B1168" s="6"/>
      <c r="C1168" s="6"/>
      <c r="D1168" s="6"/>
      <c r="E1168" s="6"/>
      <c r="F1168" s="6"/>
      <c r="G1168" s="6"/>
      <c r="H1168" s="6"/>
      <c r="I1168" s="6"/>
      <c r="J1168" s="6"/>
      <c r="K1168" s="6"/>
      <c r="L1168" s="80"/>
      <c r="M1168" s="80"/>
      <c r="N1168" s="80"/>
      <c r="O1168" s="80"/>
      <c r="P1168" s="6"/>
      <c r="Q1168" s="6"/>
      <c r="R1168" s="6"/>
      <c r="S1168" s="6"/>
      <c r="T1168" s="6"/>
      <c r="U1168" s="6"/>
      <c r="V1168" s="6"/>
      <c r="W1168" s="7"/>
      <c r="X1168" s="7"/>
      <c r="Y1168" s="7"/>
      <c r="Z1168" s="7"/>
    </row>
    <row r="1169">
      <c r="A1169" s="6"/>
      <c r="B1169" s="6"/>
      <c r="C1169" s="6"/>
      <c r="D1169" s="6"/>
      <c r="E1169" s="6"/>
      <c r="F1169" s="6"/>
      <c r="G1169" s="6"/>
      <c r="H1169" s="6"/>
      <c r="I1169" s="6"/>
      <c r="J1169" s="6"/>
      <c r="K1169" s="6"/>
      <c r="L1169" s="80"/>
      <c r="M1169" s="80"/>
      <c r="N1169" s="80"/>
      <c r="O1169" s="80"/>
      <c r="P1169" s="6"/>
      <c r="Q1169" s="6"/>
      <c r="R1169" s="6"/>
      <c r="S1169" s="6"/>
      <c r="T1169" s="6"/>
      <c r="U1169" s="6"/>
      <c r="V1169" s="6"/>
      <c r="W1169" s="7"/>
      <c r="X1169" s="7"/>
      <c r="Y1169" s="7"/>
      <c r="Z1169" s="7"/>
    </row>
    <row r="1170">
      <c r="A1170" s="6"/>
      <c r="B1170" s="6"/>
      <c r="C1170" s="6"/>
      <c r="D1170" s="6"/>
      <c r="E1170" s="6"/>
      <c r="F1170" s="6"/>
      <c r="G1170" s="6"/>
      <c r="H1170" s="6"/>
      <c r="I1170" s="6"/>
      <c r="J1170" s="6"/>
      <c r="K1170" s="6"/>
      <c r="L1170" s="80"/>
      <c r="M1170" s="80"/>
      <c r="N1170" s="80"/>
      <c r="O1170" s="80"/>
      <c r="P1170" s="6"/>
      <c r="Q1170" s="6"/>
      <c r="R1170" s="6"/>
      <c r="S1170" s="6"/>
      <c r="T1170" s="6"/>
      <c r="U1170" s="6"/>
      <c r="V1170" s="6"/>
      <c r="W1170" s="7"/>
      <c r="X1170" s="7"/>
      <c r="Y1170" s="7"/>
      <c r="Z1170" s="7"/>
    </row>
    <row r="1171">
      <c r="A1171" s="6"/>
      <c r="B1171" s="6"/>
      <c r="C1171" s="6"/>
      <c r="D1171" s="6"/>
      <c r="E1171" s="6"/>
      <c r="F1171" s="6"/>
      <c r="G1171" s="6"/>
      <c r="H1171" s="6"/>
      <c r="I1171" s="6"/>
      <c r="J1171" s="6"/>
      <c r="K1171" s="6"/>
      <c r="L1171" s="80"/>
      <c r="M1171" s="80"/>
      <c r="N1171" s="80"/>
      <c r="O1171" s="80"/>
      <c r="P1171" s="6"/>
      <c r="Q1171" s="6"/>
      <c r="R1171" s="6"/>
      <c r="S1171" s="6"/>
      <c r="T1171" s="6"/>
      <c r="U1171" s="6"/>
      <c r="V1171" s="6"/>
      <c r="W1171" s="7"/>
      <c r="X1171" s="7"/>
      <c r="Y1171" s="7"/>
      <c r="Z1171" s="7"/>
    </row>
    <row r="1172">
      <c r="A1172" s="6"/>
      <c r="B1172" s="6"/>
      <c r="C1172" s="6"/>
      <c r="D1172" s="6"/>
      <c r="E1172" s="6"/>
      <c r="F1172" s="6"/>
      <c r="G1172" s="6"/>
      <c r="H1172" s="6"/>
      <c r="I1172" s="6"/>
      <c r="J1172" s="6"/>
      <c r="K1172" s="6"/>
      <c r="L1172" s="80"/>
      <c r="M1172" s="80"/>
      <c r="N1172" s="80"/>
      <c r="O1172" s="80"/>
      <c r="P1172" s="6"/>
      <c r="Q1172" s="6"/>
      <c r="R1172" s="6"/>
      <c r="S1172" s="6"/>
      <c r="T1172" s="6"/>
      <c r="U1172" s="6"/>
      <c r="V1172" s="6"/>
      <c r="W1172" s="7"/>
      <c r="X1172" s="7"/>
      <c r="Y1172" s="7"/>
      <c r="Z1172" s="7"/>
    </row>
    <row r="1173">
      <c r="A1173" s="6"/>
      <c r="B1173" s="6"/>
      <c r="C1173" s="6"/>
      <c r="D1173" s="6"/>
      <c r="E1173" s="6"/>
      <c r="F1173" s="6"/>
      <c r="G1173" s="6"/>
      <c r="H1173" s="6"/>
      <c r="I1173" s="6"/>
      <c r="J1173" s="6"/>
      <c r="K1173" s="6"/>
      <c r="L1173" s="80"/>
      <c r="M1173" s="80"/>
      <c r="N1173" s="80"/>
      <c r="O1173" s="80"/>
      <c r="P1173" s="6"/>
      <c r="Q1173" s="6"/>
      <c r="R1173" s="6"/>
      <c r="S1173" s="6"/>
      <c r="T1173" s="6"/>
      <c r="U1173" s="6"/>
      <c r="V1173" s="6"/>
      <c r="W1173" s="7"/>
      <c r="X1173" s="7"/>
      <c r="Y1173" s="7"/>
      <c r="Z1173" s="7"/>
    </row>
    <row r="1174">
      <c r="A1174" s="6"/>
      <c r="B1174" s="6"/>
      <c r="C1174" s="6"/>
      <c r="D1174" s="6"/>
      <c r="E1174" s="6"/>
      <c r="F1174" s="6"/>
      <c r="G1174" s="6"/>
      <c r="H1174" s="6"/>
      <c r="I1174" s="6"/>
      <c r="J1174" s="6"/>
      <c r="K1174" s="6"/>
      <c r="L1174" s="80"/>
      <c r="M1174" s="80"/>
      <c r="N1174" s="80"/>
      <c r="O1174" s="80"/>
      <c r="P1174" s="6"/>
      <c r="Q1174" s="6"/>
      <c r="R1174" s="6"/>
      <c r="S1174" s="6"/>
      <c r="T1174" s="6"/>
      <c r="U1174" s="6"/>
      <c r="V1174" s="6"/>
      <c r="W1174" s="7"/>
      <c r="X1174" s="7"/>
      <c r="Y1174" s="7"/>
      <c r="Z1174" s="7"/>
    </row>
    <row r="1175">
      <c r="A1175" s="6"/>
      <c r="B1175" s="6"/>
      <c r="C1175" s="6"/>
      <c r="D1175" s="6"/>
      <c r="E1175" s="6"/>
      <c r="F1175" s="6"/>
      <c r="G1175" s="6"/>
      <c r="H1175" s="6"/>
      <c r="I1175" s="6"/>
      <c r="J1175" s="6"/>
      <c r="K1175" s="6"/>
      <c r="L1175" s="80"/>
      <c r="M1175" s="80"/>
      <c r="N1175" s="80"/>
      <c r="O1175" s="80"/>
      <c r="P1175" s="6"/>
      <c r="Q1175" s="6"/>
      <c r="R1175" s="6"/>
      <c r="S1175" s="6"/>
      <c r="T1175" s="6"/>
      <c r="U1175" s="6"/>
      <c r="V1175" s="6"/>
      <c r="W1175" s="7"/>
      <c r="X1175" s="7"/>
      <c r="Y1175" s="7"/>
      <c r="Z1175" s="7"/>
    </row>
    <row r="1176">
      <c r="A1176" s="6"/>
      <c r="B1176" s="6"/>
      <c r="C1176" s="6"/>
      <c r="D1176" s="6"/>
      <c r="E1176" s="6"/>
      <c r="F1176" s="6"/>
      <c r="G1176" s="6"/>
      <c r="H1176" s="6"/>
      <c r="I1176" s="6"/>
      <c r="J1176" s="6"/>
      <c r="K1176" s="6"/>
      <c r="L1176" s="80"/>
      <c r="M1176" s="80"/>
      <c r="N1176" s="80"/>
      <c r="O1176" s="80"/>
      <c r="P1176" s="6"/>
      <c r="Q1176" s="6"/>
      <c r="R1176" s="6"/>
      <c r="S1176" s="6"/>
      <c r="T1176" s="6"/>
      <c r="U1176" s="6"/>
      <c r="V1176" s="6"/>
      <c r="W1176" s="7"/>
      <c r="X1176" s="7"/>
      <c r="Y1176" s="7"/>
      <c r="Z1176" s="7"/>
    </row>
    <row r="1177">
      <c r="A1177" s="6"/>
      <c r="B1177" s="6"/>
      <c r="C1177" s="6"/>
      <c r="D1177" s="6"/>
      <c r="E1177" s="6"/>
      <c r="F1177" s="6"/>
      <c r="G1177" s="6"/>
      <c r="H1177" s="6"/>
      <c r="I1177" s="6"/>
      <c r="J1177" s="6"/>
      <c r="K1177" s="6"/>
      <c r="L1177" s="80"/>
      <c r="M1177" s="80"/>
      <c r="N1177" s="80"/>
      <c r="O1177" s="80"/>
      <c r="P1177" s="6"/>
      <c r="Q1177" s="6"/>
      <c r="R1177" s="6"/>
      <c r="S1177" s="6"/>
      <c r="T1177" s="6"/>
      <c r="U1177" s="6"/>
      <c r="V1177" s="6"/>
      <c r="W1177" s="7"/>
      <c r="X1177" s="7"/>
      <c r="Y1177" s="7"/>
      <c r="Z1177" s="7"/>
    </row>
    <row r="1178">
      <c r="A1178" s="6"/>
      <c r="B1178" s="6"/>
      <c r="C1178" s="6"/>
      <c r="D1178" s="6"/>
      <c r="E1178" s="6"/>
      <c r="F1178" s="6"/>
      <c r="G1178" s="6"/>
      <c r="H1178" s="6"/>
      <c r="I1178" s="6"/>
      <c r="J1178" s="6"/>
      <c r="K1178" s="6"/>
      <c r="L1178" s="80"/>
      <c r="M1178" s="80"/>
      <c r="N1178" s="80"/>
      <c r="O1178" s="80"/>
      <c r="P1178" s="6"/>
      <c r="Q1178" s="6"/>
      <c r="R1178" s="6"/>
      <c r="S1178" s="6"/>
      <c r="T1178" s="6"/>
      <c r="U1178" s="6"/>
      <c r="V1178" s="6"/>
      <c r="W1178" s="7"/>
      <c r="X1178" s="7"/>
      <c r="Y1178" s="7"/>
      <c r="Z1178" s="7"/>
    </row>
    <row r="1179">
      <c r="A1179" s="6"/>
      <c r="B1179" s="6"/>
      <c r="C1179" s="6"/>
      <c r="D1179" s="6"/>
      <c r="E1179" s="6"/>
      <c r="F1179" s="6"/>
      <c r="G1179" s="6"/>
      <c r="H1179" s="6"/>
      <c r="I1179" s="6"/>
      <c r="J1179" s="6"/>
      <c r="K1179" s="6"/>
      <c r="L1179" s="80"/>
      <c r="M1179" s="80"/>
      <c r="N1179" s="80"/>
      <c r="O1179" s="80"/>
      <c r="P1179" s="6"/>
      <c r="Q1179" s="6"/>
      <c r="R1179" s="6"/>
      <c r="S1179" s="6"/>
      <c r="T1179" s="6"/>
      <c r="U1179" s="6"/>
      <c r="V1179" s="6"/>
      <c r="W1179" s="7"/>
      <c r="X1179" s="7"/>
      <c r="Y1179" s="7"/>
      <c r="Z1179" s="7"/>
    </row>
    <row r="1180">
      <c r="A1180" s="6"/>
      <c r="B1180" s="6"/>
      <c r="C1180" s="6"/>
      <c r="D1180" s="6"/>
      <c r="E1180" s="6"/>
      <c r="F1180" s="6"/>
      <c r="G1180" s="6"/>
      <c r="H1180" s="6"/>
      <c r="I1180" s="6"/>
      <c r="J1180" s="6"/>
      <c r="K1180" s="6"/>
      <c r="L1180" s="80"/>
      <c r="M1180" s="80"/>
      <c r="N1180" s="80"/>
      <c r="O1180" s="80"/>
      <c r="P1180" s="6"/>
      <c r="Q1180" s="6"/>
      <c r="R1180" s="6"/>
      <c r="S1180" s="6"/>
      <c r="T1180" s="6"/>
      <c r="U1180" s="6"/>
      <c r="V1180" s="6"/>
      <c r="W1180" s="7"/>
      <c r="X1180" s="7"/>
      <c r="Y1180" s="7"/>
      <c r="Z1180" s="7"/>
    </row>
    <row r="1181">
      <c r="A1181" s="6"/>
      <c r="B1181" s="6"/>
      <c r="C1181" s="6"/>
      <c r="D1181" s="6"/>
      <c r="E1181" s="6"/>
      <c r="F1181" s="6"/>
      <c r="G1181" s="6"/>
      <c r="H1181" s="6"/>
      <c r="I1181" s="6"/>
      <c r="J1181" s="6"/>
      <c r="K1181" s="6"/>
      <c r="L1181" s="80"/>
      <c r="M1181" s="80"/>
      <c r="N1181" s="80"/>
      <c r="O1181" s="80"/>
      <c r="P1181" s="6"/>
      <c r="Q1181" s="6"/>
      <c r="R1181" s="6"/>
      <c r="S1181" s="6"/>
      <c r="T1181" s="6"/>
      <c r="U1181" s="6"/>
      <c r="V1181" s="6"/>
      <c r="W1181" s="7"/>
      <c r="X1181" s="7"/>
      <c r="Y1181" s="7"/>
      <c r="Z1181" s="7"/>
    </row>
    <row r="1182">
      <c r="A1182" s="6"/>
      <c r="B1182" s="6"/>
      <c r="C1182" s="6"/>
      <c r="D1182" s="6"/>
      <c r="E1182" s="6"/>
      <c r="F1182" s="6"/>
      <c r="G1182" s="6"/>
      <c r="H1182" s="6"/>
      <c r="I1182" s="6"/>
      <c r="J1182" s="6"/>
      <c r="K1182" s="6"/>
      <c r="L1182" s="80"/>
      <c r="M1182" s="80"/>
      <c r="N1182" s="80"/>
      <c r="O1182" s="80"/>
      <c r="P1182" s="6"/>
      <c r="Q1182" s="6"/>
      <c r="R1182" s="6"/>
      <c r="S1182" s="6"/>
      <c r="T1182" s="6"/>
      <c r="U1182" s="6"/>
      <c r="V1182" s="6"/>
      <c r="W1182" s="7"/>
      <c r="X1182" s="7"/>
      <c r="Y1182" s="7"/>
      <c r="Z1182" s="7"/>
    </row>
    <row r="1183">
      <c r="A1183" s="6"/>
      <c r="B1183" s="6"/>
      <c r="C1183" s="6"/>
      <c r="D1183" s="6"/>
      <c r="E1183" s="6"/>
      <c r="F1183" s="6"/>
      <c r="G1183" s="6"/>
      <c r="H1183" s="6"/>
      <c r="I1183" s="6"/>
      <c r="J1183" s="6"/>
      <c r="K1183" s="6"/>
      <c r="L1183" s="80"/>
      <c r="M1183" s="80"/>
      <c r="N1183" s="80"/>
      <c r="O1183" s="80"/>
      <c r="P1183" s="6"/>
      <c r="Q1183" s="6"/>
      <c r="R1183" s="6"/>
      <c r="S1183" s="6"/>
      <c r="T1183" s="6"/>
      <c r="U1183" s="6"/>
      <c r="V1183" s="6"/>
      <c r="W1183" s="7"/>
      <c r="X1183" s="7"/>
      <c r="Y1183" s="7"/>
      <c r="Z1183" s="7"/>
    </row>
    <row r="1184">
      <c r="A1184" s="6"/>
      <c r="B1184" s="6"/>
      <c r="C1184" s="6"/>
      <c r="D1184" s="6"/>
      <c r="E1184" s="6"/>
      <c r="F1184" s="6"/>
      <c r="G1184" s="6"/>
      <c r="H1184" s="6"/>
      <c r="I1184" s="6"/>
      <c r="J1184" s="6"/>
      <c r="K1184" s="6"/>
      <c r="L1184" s="80"/>
      <c r="M1184" s="80"/>
      <c r="N1184" s="80"/>
      <c r="O1184" s="80"/>
      <c r="P1184" s="6"/>
      <c r="Q1184" s="6"/>
      <c r="R1184" s="6"/>
      <c r="S1184" s="6"/>
      <c r="T1184" s="6"/>
      <c r="U1184" s="6"/>
      <c r="V1184" s="6"/>
      <c r="W1184" s="7"/>
      <c r="X1184" s="7"/>
      <c r="Y1184" s="7"/>
      <c r="Z1184" s="7"/>
    </row>
    <row r="1185">
      <c r="A1185" s="6"/>
      <c r="B1185" s="6"/>
      <c r="C1185" s="6"/>
      <c r="D1185" s="6"/>
      <c r="E1185" s="6"/>
      <c r="F1185" s="6"/>
      <c r="G1185" s="6"/>
      <c r="H1185" s="6"/>
      <c r="I1185" s="6"/>
      <c r="J1185" s="6"/>
      <c r="K1185" s="6"/>
      <c r="L1185" s="80"/>
      <c r="M1185" s="80"/>
      <c r="N1185" s="80"/>
      <c r="O1185" s="80"/>
      <c r="P1185" s="6"/>
      <c r="Q1185" s="6"/>
      <c r="R1185" s="6"/>
      <c r="S1185" s="6"/>
      <c r="T1185" s="6"/>
      <c r="U1185" s="6"/>
      <c r="V1185" s="6"/>
      <c r="W1185" s="7"/>
      <c r="X1185" s="7"/>
      <c r="Y1185" s="7"/>
      <c r="Z1185" s="7"/>
    </row>
    <row r="1186">
      <c r="A1186" s="6"/>
      <c r="B1186" s="6"/>
      <c r="C1186" s="6"/>
      <c r="D1186" s="6"/>
      <c r="E1186" s="6"/>
      <c r="F1186" s="6"/>
      <c r="G1186" s="6"/>
      <c r="H1186" s="6"/>
      <c r="I1186" s="6"/>
      <c r="J1186" s="6"/>
      <c r="K1186" s="6"/>
      <c r="L1186" s="80"/>
      <c r="M1186" s="80"/>
      <c r="N1186" s="80"/>
      <c r="O1186" s="80"/>
      <c r="P1186" s="6"/>
      <c r="Q1186" s="6"/>
      <c r="R1186" s="6"/>
      <c r="S1186" s="6"/>
      <c r="T1186" s="6"/>
      <c r="U1186" s="6"/>
      <c r="V1186" s="6"/>
      <c r="W1186" s="7"/>
      <c r="X1186" s="7"/>
      <c r="Y1186" s="7"/>
      <c r="Z1186" s="7"/>
    </row>
    <row r="1187">
      <c r="A1187" s="6"/>
      <c r="B1187" s="6"/>
      <c r="C1187" s="6"/>
      <c r="D1187" s="6"/>
      <c r="E1187" s="6"/>
      <c r="F1187" s="6"/>
      <c r="G1187" s="6"/>
      <c r="H1187" s="6"/>
      <c r="I1187" s="6"/>
      <c r="J1187" s="6"/>
      <c r="K1187" s="6"/>
      <c r="L1187" s="80"/>
      <c r="M1187" s="80"/>
      <c r="N1187" s="80"/>
      <c r="O1187" s="80"/>
      <c r="P1187" s="6"/>
      <c r="Q1187" s="6"/>
      <c r="R1187" s="6"/>
      <c r="S1187" s="6"/>
      <c r="T1187" s="6"/>
      <c r="U1187" s="6"/>
      <c r="V1187" s="6"/>
      <c r="W1187" s="7"/>
      <c r="X1187" s="7"/>
      <c r="Y1187" s="7"/>
      <c r="Z1187" s="7"/>
    </row>
    <row r="1188">
      <c r="A1188" s="6"/>
      <c r="B1188" s="6"/>
      <c r="C1188" s="6"/>
      <c r="D1188" s="6"/>
      <c r="E1188" s="6"/>
      <c r="F1188" s="6"/>
      <c r="G1188" s="6"/>
      <c r="H1188" s="6"/>
      <c r="I1188" s="6"/>
      <c r="J1188" s="6"/>
      <c r="K1188" s="6"/>
      <c r="L1188" s="80"/>
      <c r="M1188" s="80"/>
      <c r="N1188" s="80"/>
      <c r="O1188" s="80"/>
      <c r="P1188" s="6"/>
      <c r="Q1188" s="6"/>
      <c r="R1188" s="6"/>
      <c r="S1188" s="6"/>
      <c r="T1188" s="6"/>
      <c r="U1188" s="6"/>
      <c r="V1188" s="6"/>
      <c r="W1188" s="7"/>
      <c r="X1188" s="7"/>
      <c r="Y1188" s="7"/>
      <c r="Z1188" s="7"/>
    </row>
    <row r="1189">
      <c r="A1189" s="6"/>
      <c r="B1189" s="6"/>
      <c r="C1189" s="6"/>
      <c r="D1189" s="6"/>
      <c r="E1189" s="6"/>
      <c r="F1189" s="6"/>
      <c r="G1189" s="6"/>
      <c r="H1189" s="6"/>
      <c r="I1189" s="6"/>
      <c r="J1189" s="6"/>
      <c r="K1189" s="6"/>
      <c r="L1189" s="80"/>
      <c r="M1189" s="80"/>
      <c r="N1189" s="80"/>
      <c r="O1189" s="80"/>
      <c r="P1189" s="6"/>
      <c r="Q1189" s="6"/>
      <c r="R1189" s="6"/>
      <c r="S1189" s="6"/>
      <c r="T1189" s="6"/>
      <c r="U1189" s="6"/>
      <c r="V1189" s="6"/>
      <c r="W1189" s="7"/>
      <c r="X1189" s="7"/>
      <c r="Y1189" s="7"/>
      <c r="Z1189" s="7"/>
    </row>
    <row r="1190">
      <c r="A1190" s="6"/>
      <c r="B1190" s="6"/>
      <c r="C1190" s="6"/>
      <c r="D1190" s="6"/>
      <c r="E1190" s="6"/>
      <c r="F1190" s="6"/>
      <c r="G1190" s="6"/>
      <c r="H1190" s="6"/>
      <c r="I1190" s="6"/>
      <c r="J1190" s="6"/>
      <c r="K1190" s="6"/>
      <c r="L1190" s="80"/>
      <c r="M1190" s="80"/>
      <c r="N1190" s="80"/>
      <c r="O1190" s="80"/>
      <c r="P1190" s="6"/>
      <c r="Q1190" s="6"/>
      <c r="R1190" s="6"/>
      <c r="S1190" s="6"/>
      <c r="T1190" s="6"/>
      <c r="U1190" s="6"/>
      <c r="V1190" s="6"/>
      <c r="W1190" s="7"/>
      <c r="X1190" s="7"/>
      <c r="Y1190" s="7"/>
      <c r="Z1190" s="7"/>
    </row>
    <row r="1191">
      <c r="A1191" s="6"/>
      <c r="B1191" s="6"/>
      <c r="C1191" s="6"/>
      <c r="D1191" s="6"/>
      <c r="E1191" s="6"/>
      <c r="F1191" s="6"/>
      <c r="G1191" s="6"/>
      <c r="H1191" s="6"/>
      <c r="I1191" s="6"/>
      <c r="J1191" s="6"/>
      <c r="K1191" s="6"/>
      <c r="L1191" s="80"/>
      <c r="M1191" s="80"/>
      <c r="N1191" s="80"/>
      <c r="O1191" s="80"/>
      <c r="P1191" s="6"/>
      <c r="Q1191" s="6"/>
      <c r="R1191" s="6"/>
      <c r="S1191" s="6"/>
      <c r="T1191" s="6"/>
      <c r="U1191" s="6"/>
      <c r="V1191" s="6"/>
      <c r="W1191" s="7"/>
      <c r="X1191" s="7"/>
      <c r="Y1191" s="7"/>
      <c r="Z1191" s="7"/>
    </row>
    <row r="1192">
      <c r="A1192" s="6"/>
      <c r="B1192" s="6"/>
      <c r="C1192" s="6"/>
      <c r="D1192" s="6"/>
      <c r="E1192" s="6"/>
      <c r="F1192" s="6"/>
      <c r="G1192" s="6"/>
      <c r="H1192" s="6"/>
      <c r="I1192" s="6"/>
      <c r="J1192" s="6"/>
      <c r="K1192" s="6"/>
      <c r="L1192" s="80"/>
      <c r="M1192" s="80"/>
      <c r="N1192" s="80"/>
      <c r="O1192" s="80"/>
      <c r="P1192" s="6"/>
      <c r="Q1192" s="6"/>
      <c r="R1192" s="6"/>
      <c r="S1192" s="6"/>
      <c r="T1192" s="6"/>
      <c r="U1192" s="6"/>
      <c r="V1192" s="6"/>
      <c r="W1192" s="7"/>
      <c r="X1192" s="7"/>
      <c r="Y1192" s="7"/>
      <c r="Z1192" s="7"/>
    </row>
    <row r="1193">
      <c r="A1193" s="6"/>
      <c r="B1193" s="6"/>
      <c r="C1193" s="6"/>
      <c r="D1193" s="6"/>
      <c r="E1193" s="6"/>
      <c r="F1193" s="6"/>
      <c r="G1193" s="6"/>
      <c r="H1193" s="6"/>
      <c r="I1193" s="6"/>
      <c r="J1193" s="6"/>
      <c r="K1193" s="6"/>
      <c r="L1193" s="80"/>
      <c r="M1193" s="80"/>
      <c r="N1193" s="80"/>
      <c r="O1193" s="80"/>
      <c r="P1193" s="6"/>
      <c r="Q1193" s="6"/>
      <c r="R1193" s="6"/>
      <c r="S1193" s="6"/>
      <c r="T1193" s="6"/>
      <c r="U1193" s="6"/>
      <c r="V1193" s="6"/>
      <c r="W1193" s="7"/>
      <c r="X1193" s="7"/>
      <c r="Y1193" s="7"/>
      <c r="Z1193" s="7"/>
    </row>
    <row r="1194">
      <c r="A1194" s="6"/>
      <c r="B1194" s="6"/>
      <c r="C1194" s="6"/>
      <c r="D1194" s="6"/>
      <c r="E1194" s="6"/>
      <c r="F1194" s="6"/>
      <c r="G1194" s="6"/>
      <c r="H1194" s="6"/>
      <c r="I1194" s="6"/>
      <c r="J1194" s="6"/>
      <c r="K1194" s="6"/>
      <c r="L1194" s="80"/>
      <c r="M1194" s="80"/>
      <c r="N1194" s="80"/>
      <c r="O1194" s="80"/>
      <c r="P1194" s="6"/>
      <c r="Q1194" s="6"/>
      <c r="R1194" s="6"/>
      <c r="S1194" s="6"/>
      <c r="T1194" s="6"/>
      <c r="U1194" s="6"/>
      <c r="V1194" s="6"/>
      <c r="W1194" s="7"/>
      <c r="X1194" s="7"/>
      <c r="Y1194" s="7"/>
      <c r="Z1194" s="7"/>
    </row>
    <row r="1195">
      <c r="A1195" s="6"/>
      <c r="B1195" s="6"/>
      <c r="C1195" s="6"/>
      <c r="D1195" s="6"/>
      <c r="E1195" s="6"/>
      <c r="F1195" s="6"/>
      <c r="G1195" s="6"/>
      <c r="H1195" s="6"/>
      <c r="I1195" s="6"/>
      <c r="J1195" s="6"/>
      <c r="K1195" s="6"/>
      <c r="L1195" s="80"/>
      <c r="M1195" s="80"/>
      <c r="N1195" s="80"/>
      <c r="O1195" s="80"/>
      <c r="P1195" s="6"/>
      <c r="Q1195" s="6"/>
      <c r="R1195" s="6"/>
      <c r="S1195" s="6"/>
      <c r="T1195" s="6"/>
      <c r="U1195" s="6"/>
      <c r="V1195" s="6"/>
      <c r="W1195" s="7"/>
      <c r="X1195" s="7"/>
      <c r="Y1195" s="7"/>
      <c r="Z1195" s="7"/>
    </row>
    <row r="1196">
      <c r="A1196" s="6"/>
      <c r="B1196" s="6"/>
      <c r="C1196" s="6"/>
      <c r="D1196" s="6"/>
      <c r="E1196" s="6"/>
      <c r="F1196" s="6"/>
      <c r="G1196" s="6"/>
      <c r="H1196" s="6"/>
      <c r="I1196" s="6"/>
      <c r="J1196" s="6"/>
      <c r="K1196" s="6"/>
      <c r="L1196" s="80"/>
      <c r="M1196" s="80"/>
      <c r="N1196" s="80"/>
      <c r="O1196" s="80"/>
      <c r="P1196" s="6"/>
      <c r="Q1196" s="6"/>
      <c r="R1196" s="6"/>
      <c r="S1196" s="6"/>
      <c r="T1196" s="6"/>
      <c r="U1196" s="6"/>
      <c r="V1196" s="6"/>
      <c r="W1196" s="7"/>
      <c r="X1196" s="7"/>
      <c r="Y1196" s="7"/>
      <c r="Z1196" s="7"/>
    </row>
    <row r="1197">
      <c r="A1197" s="6"/>
      <c r="B1197" s="6"/>
      <c r="C1197" s="6"/>
      <c r="D1197" s="6"/>
      <c r="E1197" s="6"/>
      <c r="F1197" s="6"/>
      <c r="G1197" s="6"/>
      <c r="H1197" s="6"/>
      <c r="I1197" s="6"/>
      <c r="J1197" s="6"/>
      <c r="K1197" s="6"/>
      <c r="L1197" s="80"/>
      <c r="M1197" s="80"/>
      <c r="N1197" s="80"/>
      <c r="O1197" s="80"/>
      <c r="P1197" s="6"/>
      <c r="Q1197" s="6"/>
      <c r="R1197" s="6"/>
      <c r="S1197" s="6"/>
      <c r="T1197" s="6"/>
      <c r="U1197" s="6"/>
      <c r="V1197" s="6"/>
      <c r="W1197" s="7"/>
      <c r="X1197" s="7"/>
      <c r="Y1197" s="7"/>
      <c r="Z1197" s="7"/>
    </row>
    <row r="1198">
      <c r="A1198" s="6"/>
      <c r="B1198" s="6"/>
      <c r="C1198" s="6"/>
      <c r="D1198" s="6"/>
      <c r="E1198" s="6"/>
      <c r="F1198" s="6"/>
      <c r="G1198" s="6"/>
      <c r="H1198" s="6"/>
      <c r="I1198" s="6"/>
      <c r="J1198" s="6"/>
      <c r="K1198" s="6"/>
      <c r="L1198" s="80"/>
      <c r="M1198" s="80"/>
      <c r="N1198" s="80"/>
      <c r="O1198" s="80"/>
      <c r="P1198" s="6"/>
      <c r="Q1198" s="6"/>
      <c r="R1198" s="6"/>
      <c r="S1198" s="6"/>
      <c r="T1198" s="6"/>
      <c r="U1198" s="6"/>
      <c r="V1198" s="6"/>
      <c r="W1198" s="7"/>
      <c r="X1198" s="7"/>
      <c r="Y1198" s="7"/>
      <c r="Z1198" s="7"/>
    </row>
    <row r="1199">
      <c r="A1199" s="6"/>
      <c r="B1199" s="6"/>
      <c r="C1199" s="6"/>
      <c r="D1199" s="6"/>
      <c r="E1199" s="6"/>
      <c r="F1199" s="6"/>
      <c r="G1199" s="6"/>
      <c r="H1199" s="6"/>
      <c r="I1199" s="6"/>
      <c r="J1199" s="6"/>
      <c r="K1199" s="6"/>
      <c r="L1199" s="80"/>
      <c r="M1199" s="80"/>
      <c r="N1199" s="80"/>
      <c r="O1199" s="80"/>
      <c r="P1199" s="6"/>
      <c r="Q1199" s="6"/>
      <c r="R1199" s="6"/>
      <c r="S1199" s="6"/>
      <c r="T1199" s="6"/>
      <c r="U1199" s="6"/>
      <c r="V1199" s="6"/>
      <c r="W1199" s="7"/>
      <c r="X1199" s="7"/>
      <c r="Y1199" s="7"/>
      <c r="Z1199" s="7"/>
    </row>
    <row r="1200">
      <c r="A1200" s="6"/>
      <c r="B1200" s="6"/>
      <c r="C1200" s="6"/>
      <c r="D1200" s="6"/>
      <c r="E1200" s="6"/>
      <c r="F1200" s="6"/>
      <c r="G1200" s="6"/>
      <c r="H1200" s="6"/>
      <c r="I1200" s="6"/>
      <c r="J1200" s="6"/>
      <c r="K1200" s="6"/>
      <c r="L1200" s="80"/>
      <c r="M1200" s="80"/>
      <c r="N1200" s="80"/>
      <c r="O1200" s="80"/>
      <c r="P1200" s="6"/>
      <c r="Q1200" s="6"/>
      <c r="R1200" s="6"/>
      <c r="S1200" s="6"/>
      <c r="T1200" s="6"/>
      <c r="U1200" s="6"/>
      <c r="V1200" s="6"/>
      <c r="W1200" s="7"/>
      <c r="X1200" s="7"/>
      <c r="Y1200" s="7"/>
      <c r="Z1200" s="7"/>
    </row>
    <row r="1201">
      <c r="A1201" s="6"/>
      <c r="B1201" s="6"/>
      <c r="C1201" s="6"/>
      <c r="D1201" s="6"/>
      <c r="E1201" s="6"/>
      <c r="F1201" s="6"/>
      <c r="G1201" s="6"/>
      <c r="H1201" s="6"/>
      <c r="I1201" s="6"/>
      <c r="J1201" s="6"/>
      <c r="K1201" s="6"/>
      <c r="L1201" s="80"/>
      <c r="M1201" s="80"/>
      <c r="N1201" s="80"/>
      <c r="O1201" s="80"/>
      <c r="P1201" s="6"/>
      <c r="Q1201" s="6"/>
      <c r="R1201" s="6"/>
      <c r="S1201" s="6"/>
      <c r="T1201" s="6"/>
      <c r="U1201" s="6"/>
      <c r="V1201" s="6"/>
      <c r="W1201" s="7"/>
      <c r="X1201" s="7"/>
      <c r="Y1201" s="7"/>
      <c r="Z1201" s="7"/>
    </row>
    <row r="1202">
      <c r="A1202" s="6"/>
      <c r="B1202" s="6"/>
      <c r="C1202" s="6"/>
      <c r="D1202" s="6"/>
      <c r="E1202" s="6"/>
      <c r="F1202" s="6"/>
      <c r="G1202" s="6"/>
      <c r="H1202" s="6"/>
      <c r="I1202" s="6"/>
      <c r="J1202" s="6"/>
      <c r="K1202" s="6"/>
      <c r="L1202" s="80"/>
      <c r="M1202" s="80"/>
      <c r="N1202" s="80"/>
      <c r="O1202" s="80"/>
      <c r="P1202" s="6"/>
      <c r="Q1202" s="6"/>
      <c r="R1202" s="6"/>
      <c r="S1202" s="6"/>
      <c r="T1202" s="6"/>
      <c r="U1202" s="6"/>
      <c r="V1202" s="6"/>
      <c r="W1202" s="7"/>
      <c r="X1202" s="7"/>
      <c r="Y1202" s="7"/>
      <c r="Z1202" s="7"/>
    </row>
    <row r="1203">
      <c r="A1203" s="6"/>
      <c r="B1203" s="6"/>
      <c r="C1203" s="6"/>
      <c r="D1203" s="6"/>
      <c r="E1203" s="6"/>
      <c r="F1203" s="6"/>
      <c r="G1203" s="6"/>
      <c r="H1203" s="6"/>
      <c r="I1203" s="6"/>
      <c r="J1203" s="6"/>
      <c r="K1203" s="6"/>
      <c r="L1203" s="80"/>
      <c r="M1203" s="80"/>
      <c r="N1203" s="80"/>
      <c r="O1203" s="80"/>
      <c r="P1203" s="6"/>
      <c r="Q1203" s="6"/>
      <c r="R1203" s="6"/>
      <c r="S1203" s="6"/>
      <c r="T1203" s="6"/>
      <c r="U1203" s="6"/>
      <c r="V1203" s="6"/>
      <c r="W1203" s="7"/>
      <c r="X1203" s="7"/>
      <c r="Y1203" s="7"/>
      <c r="Z1203" s="7"/>
    </row>
    <row r="1204">
      <c r="A1204" s="6"/>
      <c r="B1204" s="6"/>
      <c r="C1204" s="6"/>
      <c r="D1204" s="6"/>
      <c r="E1204" s="6"/>
      <c r="F1204" s="6"/>
      <c r="G1204" s="6"/>
      <c r="H1204" s="6"/>
      <c r="I1204" s="6"/>
      <c r="J1204" s="6"/>
      <c r="K1204" s="6"/>
      <c r="L1204" s="80"/>
      <c r="M1204" s="80"/>
      <c r="N1204" s="80"/>
      <c r="O1204" s="80"/>
      <c r="P1204" s="6"/>
      <c r="Q1204" s="6"/>
      <c r="R1204" s="6"/>
      <c r="S1204" s="6"/>
      <c r="T1204" s="6"/>
      <c r="U1204" s="6"/>
      <c r="V1204" s="6"/>
      <c r="W1204" s="7"/>
      <c r="X1204" s="7"/>
      <c r="Y1204" s="7"/>
      <c r="Z1204" s="7"/>
    </row>
    <row r="1205">
      <c r="A1205" s="6"/>
      <c r="B1205" s="6"/>
      <c r="C1205" s="6"/>
      <c r="D1205" s="6"/>
      <c r="E1205" s="6"/>
      <c r="F1205" s="6"/>
      <c r="G1205" s="6"/>
      <c r="H1205" s="6"/>
      <c r="I1205" s="6"/>
      <c r="J1205" s="6"/>
      <c r="K1205" s="6"/>
      <c r="L1205" s="80"/>
      <c r="M1205" s="80"/>
      <c r="N1205" s="80"/>
      <c r="O1205" s="80"/>
      <c r="P1205" s="6"/>
      <c r="Q1205" s="6"/>
      <c r="R1205" s="6"/>
      <c r="S1205" s="6"/>
      <c r="T1205" s="6"/>
      <c r="U1205" s="6"/>
      <c r="V1205" s="6"/>
      <c r="W1205" s="7"/>
      <c r="X1205" s="7"/>
      <c r="Y1205" s="7"/>
      <c r="Z1205" s="7"/>
    </row>
    <row r="1206">
      <c r="A1206" s="6"/>
      <c r="B1206" s="6"/>
      <c r="C1206" s="6"/>
      <c r="D1206" s="6"/>
      <c r="E1206" s="6"/>
      <c r="F1206" s="6"/>
      <c r="G1206" s="6"/>
      <c r="H1206" s="6"/>
      <c r="I1206" s="6"/>
      <c r="J1206" s="6"/>
      <c r="K1206" s="6"/>
      <c r="L1206" s="80"/>
      <c r="M1206" s="80"/>
      <c r="N1206" s="80"/>
      <c r="O1206" s="80"/>
      <c r="P1206" s="6"/>
      <c r="Q1206" s="6"/>
      <c r="R1206" s="6"/>
      <c r="S1206" s="6"/>
      <c r="T1206" s="6"/>
      <c r="U1206" s="6"/>
      <c r="V1206" s="6"/>
      <c r="W1206" s="7"/>
      <c r="X1206" s="7"/>
      <c r="Y1206" s="7"/>
      <c r="Z1206" s="7"/>
    </row>
    <row r="1207">
      <c r="A1207" s="6"/>
      <c r="B1207" s="6"/>
      <c r="C1207" s="6"/>
      <c r="D1207" s="6"/>
      <c r="E1207" s="6"/>
      <c r="F1207" s="6"/>
      <c r="G1207" s="6"/>
      <c r="H1207" s="6"/>
      <c r="I1207" s="6"/>
      <c r="J1207" s="6"/>
      <c r="K1207" s="6"/>
      <c r="L1207" s="80"/>
      <c r="M1207" s="80"/>
      <c r="N1207" s="80"/>
      <c r="O1207" s="80"/>
      <c r="P1207" s="6"/>
      <c r="Q1207" s="6"/>
      <c r="R1207" s="6"/>
      <c r="S1207" s="6"/>
      <c r="T1207" s="6"/>
      <c r="U1207" s="6"/>
      <c r="V1207" s="6"/>
      <c r="W1207" s="7"/>
      <c r="X1207" s="7"/>
      <c r="Y1207" s="7"/>
      <c r="Z1207" s="7"/>
    </row>
    <row r="1208">
      <c r="A1208" s="6"/>
      <c r="B1208" s="6"/>
      <c r="C1208" s="6"/>
      <c r="D1208" s="6"/>
      <c r="E1208" s="6"/>
      <c r="F1208" s="6"/>
      <c r="G1208" s="6"/>
      <c r="H1208" s="6"/>
      <c r="I1208" s="6"/>
      <c r="J1208" s="6"/>
      <c r="K1208" s="6"/>
      <c r="L1208" s="80"/>
      <c r="M1208" s="80"/>
      <c r="N1208" s="80"/>
      <c r="O1208" s="80"/>
      <c r="P1208" s="6"/>
      <c r="Q1208" s="6"/>
      <c r="R1208" s="6"/>
      <c r="S1208" s="6"/>
      <c r="T1208" s="6"/>
      <c r="U1208" s="6"/>
      <c r="V1208" s="6"/>
      <c r="W1208" s="7"/>
      <c r="X1208" s="7"/>
      <c r="Y1208" s="7"/>
      <c r="Z1208" s="7"/>
    </row>
    <row r="1209">
      <c r="A1209" s="6"/>
      <c r="B1209" s="6"/>
      <c r="C1209" s="6"/>
      <c r="D1209" s="6"/>
      <c r="E1209" s="6"/>
      <c r="F1209" s="6"/>
      <c r="G1209" s="6"/>
      <c r="H1209" s="6"/>
      <c r="I1209" s="6"/>
      <c r="J1209" s="6"/>
      <c r="K1209" s="6"/>
      <c r="L1209" s="80"/>
      <c r="M1209" s="80"/>
      <c r="N1209" s="80"/>
      <c r="O1209" s="80"/>
      <c r="P1209" s="6"/>
      <c r="Q1209" s="6"/>
      <c r="R1209" s="6"/>
      <c r="S1209" s="6"/>
      <c r="T1209" s="6"/>
      <c r="U1209" s="6"/>
      <c r="V1209" s="6"/>
      <c r="W1209" s="7"/>
      <c r="X1209" s="7"/>
      <c r="Y1209" s="7"/>
      <c r="Z1209" s="7"/>
    </row>
    <row r="1210">
      <c r="A1210" s="6"/>
      <c r="B1210" s="6"/>
      <c r="C1210" s="6"/>
      <c r="D1210" s="6"/>
      <c r="E1210" s="6"/>
      <c r="F1210" s="6"/>
      <c r="G1210" s="6"/>
      <c r="H1210" s="6"/>
      <c r="I1210" s="6"/>
      <c r="J1210" s="6"/>
      <c r="K1210" s="6"/>
      <c r="L1210" s="80"/>
      <c r="M1210" s="80"/>
      <c r="N1210" s="80"/>
      <c r="O1210" s="80"/>
      <c r="P1210" s="6"/>
      <c r="Q1210" s="6"/>
      <c r="R1210" s="6"/>
      <c r="S1210" s="6"/>
      <c r="T1210" s="6"/>
      <c r="U1210" s="6"/>
      <c r="V1210" s="6"/>
      <c r="W1210" s="7"/>
      <c r="X1210" s="7"/>
      <c r="Y1210" s="7"/>
      <c r="Z1210" s="7"/>
    </row>
    <row r="1211">
      <c r="A1211" s="6"/>
      <c r="B1211" s="6"/>
      <c r="C1211" s="6"/>
      <c r="D1211" s="6"/>
      <c r="E1211" s="6"/>
      <c r="F1211" s="6"/>
      <c r="G1211" s="6"/>
      <c r="H1211" s="6"/>
      <c r="I1211" s="6"/>
      <c r="J1211" s="6"/>
      <c r="K1211" s="6"/>
      <c r="L1211" s="80"/>
      <c r="M1211" s="80"/>
      <c r="N1211" s="80"/>
      <c r="O1211" s="80"/>
      <c r="P1211" s="6"/>
      <c r="Q1211" s="6"/>
      <c r="R1211" s="6"/>
      <c r="S1211" s="6"/>
      <c r="T1211" s="6"/>
      <c r="U1211" s="6"/>
      <c r="V1211" s="6"/>
      <c r="W1211" s="7"/>
      <c r="X1211" s="7"/>
      <c r="Y1211" s="7"/>
      <c r="Z1211" s="7"/>
    </row>
    <row r="1212">
      <c r="A1212" s="6"/>
      <c r="B1212" s="6"/>
      <c r="C1212" s="6"/>
      <c r="D1212" s="6"/>
      <c r="E1212" s="6"/>
      <c r="F1212" s="6"/>
      <c r="G1212" s="6"/>
      <c r="H1212" s="6"/>
      <c r="I1212" s="6"/>
      <c r="J1212" s="6"/>
      <c r="K1212" s="6"/>
      <c r="L1212" s="80"/>
      <c r="M1212" s="80"/>
      <c r="N1212" s="80"/>
      <c r="O1212" s="80"/>
      <c r="P1212" s="6"/>
      <c r="Q1212" s="6"/>
      <c r="R1212" s="6"/>
      <c r="S1212" s="6"/>
      <c r="T1212" s="6"/>
      <c r="U1212" s="6"/>
      <c r="V1212" s="6"/>
      <c r="W1212" s="7"/>
      <c r="X1212" s="7"/>
      <c r="Y1212" s="7"/>
      <c r="Z1212" s="7"/>
    </row>
    <row r="1213">
      <c r="A1213" s="6"/>
      <c r="B1213" s="6"/>
      <c r="C1213" s="6"/>
      <c r="D1213" s="6"/>
      <c r="E1213" s="6"/>
      <c r="F1213" s="6"/>
      <c r="G1213" s="6"/>
      <c r="H1213" s="6"/>
      <c r="I1213" s="6"/>
      <c r="J1213" s="6"/>
      <c r="K1213" s="6"/>
      <c r="L1213" s="80"/>
      <c r="M1213" s="80"/>
      <c r="N1213" s="80"/>
      <c r="O1213" s="80"/>
      <c r="P1213" s="6"/>
      <c r="Q1213" s="6"/>
      <c r="R1213" s="6"/>
      <c r="S1213" s="6"/>
      <c r="T1213" s="6"/>
      <c r="U1213" s="6"/>
      <c r="V1213" s="6"/>
      <c r="W1213" s="7"/>
      <c r="X1213" s="7"/>
      <c r="Y1213" s="7"/>
      <c r="Z1213" s="7"/>
    </row>
    <row r="1214">
      <c r="A1214" s="6"/>
      <c r="B1214" s="6"/>
      <c r="C1214" s="6"/>
      <c r="D1214" s="6"/>
      <c r="E1214" s="6"/>
      <c r="F1214" s="6"/>
      <c r="G1214" s="6"/>
      <c r="H1214" s="6"/>
      <c r="I1214" s="6"/>
      <c r="J1214" s="6"/>
      <c r="K1214" s="6"/>
      <c r="L1214" s="80"/>
      <c r="M1214" s="80"/>
      <c r="N1214" s="80"/>
      <c r="O1214" s="80"/>
      <c r="P1214" s="6"/>
      <c r="Q1214" s="6"/>
      <c r="R1214" s="6"/>
      <c r="S1214" s="6"/>
      <c r="T1214" s="6"/>
      <c r="U1214" s="6"/>
      <c r="V1214" s="6"/>
      <c r="W1214" s="7"/>
      <c r="X1214" s="7"/>
      <c r="Y1214" s="7"/>
      <c r="Z1214" s="7"/>
    </row>
    <row r="1215">
      <c r="A1215" s="6"/>
      <c r="B1215" s="6"/>
      <c r="C1215" s="6"/>
      <c r="D1215" s="6"/>
      <c r="E1215" s="6"/>
      <c r="F1215" s="6"/>
      <c r="G1215" s="6"/>
      <c r="H1215" s="6"/>
      <c r="I1215" s="6"/>
      <c r="J1215" s="6"/>
      <c r="K1215" s="6"/>
      <c r="L1215" s="80"/>
      <c r="M1215" s="80"/>
      <c r="N1215" s="80"/>
      <c r="O1215" s="80"/>
      <c r="P1215" s="6"/>
      <c r="Q1215" s="6"/>
      <c r="R1215" s="6"/>
      <c r="S1215" s="6"/>
      <c r="T1215" s="6"/>
      <c r="U1215" s="6"/>
      <c r="V1215" s="6"/>
      <c r="W1215" s="7"/>
      <c r="X1215" s="7"/>
      <c r="Y1215" s="7"/>
      <c r="Z1215" s="7"/>
    </row>
    <row r="1216">
      <c r="A1216" s="6"/>
      <c r="B1216" s="6"/>
      <c r="C1216" s="6"/>
      <c r="D1216" s="6"/>
      <c r="E1216" s="6"/>
      <c r="F1216" s="6"/>
      <c r="G1216" s="6"/>
      <c r="H1216" s="6"/>
      <c r="I1216" s="6"/>
      <c r="J1216" s="6"/>
      <c r="K1216" s="6"/>
      <c r="L1216" s="80"/>
      <c r="M1216" s="80"/>
      <c r="N1216" s="80"/>
      <c r="O1216" s="80"/>
      <c r="P1216" s="6"/>
      <c r="Q1216" s="6"/>
      <c r="R1216" s="6"/>
      <c r="S1216" s="6"/>
      <c r="T1216" s="6"/>
      <c r="U1216" s="6"/>
      <c r="V1216" s="6"/>
      <c r="W1216" s="7"/>
      <c r="X1216" s="7"/>
      <c r="Y1216" s="7"/>
      <c r="Z1216" s="7"/>
    </row>
    <row r="1217">
      <c r="A1217" s="6"/>
      <c r="B1217" s="6"/>
      <c r="C1217" s="6"/>
      <c r="D1217" s="6"/>
      <c r="E1217" s="6"/>
      <c r="F1217" s="6"/>
      <c r="G1217" s="6"/>
      <c r="H1217" s="6"/>
      <c r="I1217" s="6"/>
      <c r="J1217" s="6"/>
      <c r="K1217" s="6"/>
      <c r="L1217" s="80"/>
      <c r="M1217" s="80"/>
      <c r="N1217" s="80"/>
      <c r="O1217" s="80"/>
      <c r="P1217" s="6"/>
      <c r="Q1217" s="6"/>
      <c r="R1217" s="6"/>
      <c r="S1217" s="6"/>
      <c r="T1217" s="6"/>
      <c r="U1217" s="6"/>
      <c r="V1217" s="6"/>
      <c r="W1217" s="7"/>
      <c r="X1217" s="7"/>
      <c r="Y1217" s="7"/>
      <c r="Z1217" s="7"/>
    </row>
    <row r="1218">
      <c r="A1218" s="6"/>
      <c r="B1218" s="6"/>
      <c r="C1218" s="6"/>
      <c r="D1218" s="6"/>
      <c r="E1218" s="6"/>
      <c r="F1218" s="6"/>
      <c r="G1218" s="6"/>
      <c r="H1218" s="6"/>
      <c r="I1218" s="6"/>
      <c r="J1218" s="6"/>
      <c r="K1218" s="6"/>
      <c r="L1218" s="80"/>
      <c r="M1218" s="80"/>
      <c r="N1218" s="80"/>
      <c r="O1218" s="80"/>
      <c r="P1218" s="6"/>
      <c r="Q1218" s="6"/>
      <c r="R1218" s="6"/>
      <c r="S1218" s="6"/>
      <c r="T1218" s="6"/>
      <c r="U1218" s="6"/>
      <c r="V1218" s="6"/>
      <c r="W1218" s="7"/>
      <c r="X1218" s="7"/>
      <c r="Y1218" s="7"/>
      <c r="Z1218" s="7"/>
    </row>
    <row r="1219">
      <c r="A1219" s="6"/>
      <c r="B1219" s="6"/>
      <c r="C1219" s="6"/>
      <c r="D1219" s="6"/>
      <c r="E1219" s="6"/>
      <c r="F1219" s="6"/>
      <c r="G1219" s="6"/>
      <c r="H1219" s="6"/>
      <c r="I1219" s="6"/>
      <c r="J1219" s="6"/>
      <c r="K1219" s="6"/>
      <c r="L1219" s="80"/>
      <c r="M1219" s="80"/>
      <c r="N1219" s="80"/>
      <c r="O1219" s="80"/>
      <c r="P1219" s="6"/>
      <c r="Q1219" s="6"/>
      <c r="R1219" s="6"/>
      <c r="S1219" s="6"/>
      <c r="T1219" s="6"/>
      <c r="U1219" s="6"/>
      <c r="V1219" s="6"/>
      <c r="W1219" s="7"/>
      <c r="X1219" s="7"/>
      <c r="Y1219" s="7"/>
      <c r="Z1219" s="7"/>
    </row>
    <row r="1220">
      <c r="A1220" s="6"/>
      <c r="B1220" s="6"/>
      <c r="C1220" s="6"/>
      <c r="D1220" s="6"/>
      <c r="E1220" s="6"/>
      <c r="F1220" s="6"/>
      <c r="G1220" s="6"/>
      <c r="H1220" s="6"/>
      <c r="I1220" s="6"/>
      <c r="J1220" s="6"/>
      <c r="K1220" s="6"/>
      <c r="L1220" s="80"/>
      <c r="M1220" s="80"/>
      <c r="N1220" s="80"/>
      <c r="O1220" s="80"/>
      <c r="P1220" s="6"/>
      <c r="Q1220" s="6"/>
      <c r="R1220" s="6"/>
      <c r="S1220" s="6"/>
      <c r="T1220" s="6"/>
      <c r="U1220" s="6"/>
      <c r="V1220" s="6"/>
      <c r="W1220" s="7"/>
      <c r="X1220" s="7"/>
      <c r="Y1220" s="7"/>
      <c r="Z1220" s="7"/>
    </row>
    <row r="1221">
      <c r="A1221" s="6"/>
      <c r="B1221" s="6"/>
      <c r="C1221" s="6"/>
      <c r="D1221" s="6"/>
      <c r="E1221" s="6"/>
      <c r="F1221" s="6"/>
      <c r="G1221" s="6"/>
      <c r="H1221" s="6"/>
      <c r="I1221" s="6"/>
      <c r="J1221" s="6"/>
      <c r="K1221" s="6"/>
      <c r="L1221" s="80"/>
      <c r="M1221" s="80"/>
      <c r="N1221" s="80"/>
      <c r="O1221" s="80"/>
      <c r="P1221" s="6"/>
      <c r="Q1221" s="6"/>
      <c r="R1221" s="6"/>
      <c r="S1221" s="6"/>
      <c r="T1221" s="6"/>
      <c r="U1221" s="6"/>
      <c r="V1221" s="6"/>
      <c r="W1221" s="7"/>
      <c r="X1221" s="7"/>
      <c r="Y1221" s="7"/>
      <c r="Z1221" s="7"/>
    </row>
    <row r="1222">
      <c r="A1222" s="6"/>
      <c r="B1222" s="6"/>
      <c r="C1222" s="6"/>
      <c r="D1222" s="6"/>
      <c r="E1222" s="6"/>
      <c r="F1222" s="6"/>
      <c r="G1222" s="6"/>
      <c r="H1222" s="6"/>
      <c r="I1222" s="6"/>
      <c r="J1222" s="6"/>
      <c r="K1222" s="6"/>
      <c r="L1222" s="80"/>
      <c r="M1222" s="80"/>
      <c r="N1222" s="80"/>
      <c r="O1222" s="80"/>
      <c r="P1222" s="6"/>
      <c r="Q1222" s="6"/>
      <c r="R1222" s="6"/>
      <c r="S1222" s="6"/>
      <c r="T1222" s="6"/>
      <c r="U1222" s="6"/>
      <c r="V1222" s="6"/>
      <c r="W1222" s="7"/>
      <c r="X1222" s="7"/>
      <c r="Y1222" s="7"/>
      <c r="Z1222" s="7"/>
    </row>
    <row r="1223">
      <c r="A1223" s="6"/>
      <c r="B1223" s="6"/>
      <c r="C1223" s="6"/>
      <c r="D1223" s="6"/>
      <c r="E1223" s="6"/>
      <c r="F1223" s="6"/>
      <c r="G1223" s="6"/>
      <c r="H1223" s="6"/>
      <c r="I1223" s="6"/>
      <c r="J1223" s="6"/>
      <c r="K1223" s="6"/>
      <c r="L1223" s="80"/>
      <c r="M1223" s="80"/>
      <c r="N1223" s="80"/>
      <c r="O1223" s="80"/>
      <c r="P1223" s="6"/>
      <c r="Q1223" s="6"/>
      <c r="R1223" s="6"/>
      <c r="S1223" s="6"/>
      <c r="T1223" s="6"/>
      <c r="U1223" s="6"/>
      <c r="V1223" s="6"/>
      <c r="W1223" s="7"/>
      <c r="X1223" s="7"/>
      <c r="Y1223" s="7"/>
      <c r="Z1223" s="7"/>
    </row>
    <row r="1224">
      <c r="A1224" s="6"/>
      <c r="B1224" s="6"/>
      <c r="C1224" s="6"/>
      <c r="D1224" s="6"/>
      <c r="E1224" s="6"/>
      <c r="F1224" s="6"/>
      <c r="G1224" s="6"/>
      <c r="H1224" s="6"/>
      <c r="I1224" s="6"/>
      <c r="J1224" s="6"/>
      <c r="K1224" s="6"/>
      <c r="L1224" s="80"/>
      <c r="M1224" s="80"/>
      <c r="N1224" s="80"/>
      <c r="O1224" s="80"/>
      <c r="P1224" s="6"/>
      <c r="Q1224" s="6"/>
      <c r="R1224" s="6"/>
      <c r="S1224" s="6"/>
      <c r="T1224" s="6"/>
      <c r="U1224" s="6"/>
      <c r="V1224" s="6"/>
      <c r="W1224" s="7"/>
      <c r="X1224" s="7"/>
      <c r="Y1224" s="7"/>
      <c r="Z1224" s="7"/>
    </row>
    <row r="1225">
      <c r="A1225" s="6"/>
      <c r="B1225" s="6"/>
      <c r="C1225" s="6"/>
      <c r="D1225" s="6"/>
      <c r="E1225" s="6"/>
      <c r="F1225" s="6"/>
      <c r="G1225" s="6"/>
      <c r="H1225" s="6"/>
      <c r="I1225" s="6"/>
      <c r="J1225" s="6"/>
      <c r="K1225" s="6"/>
      <c r="L1225" s="80"/>
      <c r="M1225" s="80"/>
      <c r="N1225" s="80"/>
      <c r="O1225" s="80"/>
      <c r="P1225" s="6"/>
      <c r="Q1225" s="6"/>
      <c r="R1225" s="6"/>
      <c r="S1225" s="6"/>
      <c r="T1225" s="6"/>
      <c r="U1225" s="6"/>
      <c r="V1225" s="6"/>
      <c r="W1225" s="7"/>
      <c r="X1225" s="7"/>
      <c r="Y1225" s="7"/>
      <c r="Z1225" s="7"/>
    </row>
    <row r="1226">
      <c r="A1226" s="6"/>
      <c r="B1226" s="6"/>
      <c r="C1226" s="6"/>
      <c r="D1226" s="6"/>
      <c r="E1226" s="6"/>
      <c r="F1226" s="6"/>
      <c r="G1226" s="6"/>
      <c r="H1226" s="6"/>
      <c r="I1226" s="6"/>
      <c r="J1226" s="6"/>
      <c r="K1226" s="6"/>
      <c r="L1226" s="80"/>
      <c r="M1226" s="80"/>
      <c r="N1226" s="80"/>
      <c r="O1226" s="80"/>
      <c r="P1226" s="6"/>
      <c r="Q1226" s="6"/>
      <c r="R1226" s="6"/>
      <c r="S1226" s="6"/>
      <c r="T1226" s="6"/>
      <c r="U1226" s="6"/>
      <c r="V1226" s="6"/>
      <c r="W1226" s="7"/>
      <c r="X1226" s="7"/>
      <c r="Y1226" s="7"/>
      <c r="Z1226" s="7"/>
    </row>
    <row r="1227">
      <c r="A1227" s="6"/>
      <c r="B1227" s="6"/>
      <c r="C1227" s="6"/>
      <c r="D1227" s="6"/>
      <c r="E1227" s="6"/>
      <c r="F1227" s="6"/>
      <c r="G1227" s="6"/>
      <c r="H1227" s="6"/>
      <c r="I1227" s="6"/>
      <c r="J1227" s="6"/>
      <c r="K1227" s="6"/>
      <c r="L1227" s="80"/>
      <c r="M1227" s="80"/>
      <c r="N1227" s="80"/>
      <c r="O1227" s="80"/>
      <c r="P1227" s="6"/>
      <c r="Q1227" s="6"/>
      <c r="R1227" s="6"/>
      <c r="S1227" s="6"/>
      <c r="T1227" s="6"/>
      <c r="U1227" s="6"/>
      <c r="V1227" s="6"/>
      <c r="W1227" s="7"/>
      <c r="X1227" s="7"/>
      <c r="Y1227" s="7"/>
      <c r="Z1227" s="7"/>
    </row>
    <row r="1228">
      <c r="A1228" s="6"/>
      <c r="B1228" s="6"/>
      <c r="C1228" s="6"/>
      <c r="D1228" s="6"/>
      <c r="E1228" s="6"/>
      <c r="F1228" s="6"/>
      <c r="G1228" s="6"/>
      <c r="H1228" s="6"/>
      <c r="I1228" s="6"/>
      <c r="J1228" s="6"/>
      <c r="K1228" s="6"/>
      <c r="L1228" s="80"/>
      <c r="M1228" s="80"/>
      <c r="N1228" s="80"/>
      <c r="O1228" s="80"/>
      <c r="P1228" s="6"/>
      <c r="Q1228" s="6"/>
      <c r="R1228" s="6"/>
      <c r="S1228" s="6"/>
      <c r="T1228" s="6"/>
      <c r="U1228" s="6"/>
      <c r="V1228" s="6"/>
      <c r="W1228" s="7"/>
      <c r="X1228" s="7"/>
      <c r="Y1228" s="7"/>
      <c r="Z1228" s="7"/>
    </row>
    <row r="1229">
      <c r="A1229" s="6"/>
      <c r="B1229" s="6"/>
      <c r="C1229" s="6"/>
      <c r="D1229" s="6"/>
      <c r="E1229" s="6"/>
      <c r="F1229" s="6"/>
      <c r="G1229" s="6"/>
      <c r="H1229" s="6"/>
      <c r="I1229" s="6"/>
      <c r="J1229" s="6"/>
      <c r="K1229" s="6"/>
      <c r="L1229" s="80"/>
      <c r="M1229" s="80"/>
      <c r="N1229" s="80"/>
      <c r="O1229" s="80"/>
      <c r="P1229" s="6"/>
      <c r="Q1229" s="6"/>
      <c r="R1229" s="6"/>
      <c r="S1229" s="6"/>
      <c r="T1229" s="6"/>
      <c r="U1229" s="6"/>
      <c r="V1229" s="6"/>
      <c r="W1229" s="7"/>
      <c r="X1229" s="7"/>
      <c r="Y1229" s="7"/>
      <c r="Z1229" s="7"/>
    </row>
    <row r="1230">
      <c r="A1230" s="6"/>
      <c r="B1230" s="6"/>
      <c r="C1230" s="6"/>
      <c r="D1230" s="6"/>
      <c r="E1230" s="6"/>
      <c r="F1230" s="6"/>
      <c r="G1230" s="6"/>
      <c r="H1230" s="6"/>
      <c r="I1230" s="6"/>
      <c r="J1230" s="6"/>
      <c r="K1230" s="6"/>
      <c r="L1230" s="80"/>
      <c r="M1230" s="80"/>
      <c r="N1230" s="80"/>
      <c r="O1230" s="80"/>
      <c r="P1230" s="6"/>
      <c r="Q1230" s="6"/>
      <c r="R1230" s="6"/>
      <c r="S1230" s="6"/>
      <c r="T1230" s="6"/>
      <c r="U1230" s="6"/>
      <c r="V1230" s="6"/>
      <c r="W1230" s="7"/>
      <c r="X1230" s="7"/>
      <c r="Y1230" s="7"/>
      <c r="Z1230" s="7"/>
    </row>
    <row r="1231">
      <c r="A1231" s="6"/>
      <c r="B1231" s="6"/>
      <c r="C1231" s="6"/>
      <c r="D1231" s="6"/>
      <c r="E1231" s="6"/>
      <c r="F1231" s="6"/>
      <c r="G1231" s="6"/>
      <c r="H1231" s="6"/>
      <c r="I1231" s="6"/>
      <c r="J1231" s="6"/>
      <c r="K1231" s="6"/>
      <c r="L1231" s="80"/>
      <c r="M1231" s="80"/>
      <c r="N1231" s="80"/>
      <c r="O1231" s="80"/>
      <c r="P1231" s="6"/>
      <c r="Q1231" s="6"/>
      <c r="R1231" s="6"/>
      <c r="S1231" s="6"/>
      <c r="T1231" s="6"/>
      <c r="U1231" s="6"/>
      <c r="V1231" s="6"/>
      <c r="W1231" s="7"/>
      <c r="X1231" s="7"/>
      <c r="Y1231" s="7"/>
      <c r="Z1231" s="7"/>
    </row>
    <row r="1232">
      <c r="A1232" s="6"/>
      <c r="B1232" s="6"/>
      <c r="C1232" s="6"/>
      <c r="D1232" s="6"/>
      <c r="E1232" s="6"/>
      <c r="F1232" s="6"/>
      <c r="G1232" s="6"/>
      <c r="H1232" s="6"/>
      <c r="I1232" s="6"/>
      <c r="J1232" s="6"/>
      <c r="K1232" s="6"/>
      <c r="L1232" s="80"/>
      <c r="M1232" s="80"/>
      <c r="N1232" s="80"/>
      <c r="O1232" s="80"/>
      <c r="P1232" s="6"/>
      <c r="Q1232" s="6"/>
      <c r="R1232" s="6"/>
      <c r="S1232" s="6"/>
      <c r="T1232" s="6"/>
      <c r="U1232" s="6"/>
      <c r="V1232" s="6"/>
      <c r="W1232" s="7"/>
      <c r="X1232" s="7"/>
      <c r="Y1232" s="7"/>
      <c r="Z1232" s="7"/>
    </row>
    <row r="1233">
      <c r="A1233" s="6"/>
      <c r="B1233" s="6"/>
      <c r="C1233" s="6"/>
      <c r="D1233" s="6"/>
      <c r="E1233" s="6"/>
      <c r="F1233" s="6"/>
      <c r="G1233" s="6"/>
      <c r="H1233" s="6"/>
      <c r="I1233" s="6"/>
      <c r="J1233" s="6"/>
      <c r="K1233" s="6"/>
      <c r="L1233" s="80"/>
      <c r="M1233" s="80"/>
      <c r="N1233" s="80"/>
      <c r="O1233" s="80"/>
      <c r="P1233" s="6"/>
      <c r="Q1233" s="6"/>
      <c r="R1233" s="6"/>
      <c r="S1233" s="6"/>
      <c r="T1233" s="6"/>
      <c r="U1233" s="6"/>
      <c r="V1233" s="6"/>
      <c r="W1233" s="7"/>
      <c r="X1233" s="7"/>
      <c r="Y1233" s="7"/>
      <c r="Z1233" s="7"/>
    </row>
    <row r="1234">
      <c r="A1234" s="6"/>
      <c r="B1234" s="6"/>
      <c r="C1234" s="6"/>
      <c r="D1234" s="6"/>
      <c r="E1234" s="6"/>
      <c r="F1234" s="6"/>
      <c r="G1234" s="6"/>
      <c r="H1234" s="6"/>
      <c r="I1234" s="6"/>
      <c r="J1234" s="6"/>
      <c r="K1234" s="6"/>
      <c r="L1234" s="80"/>
      <c r="M1234" s="80"/>
      <c r="N1234" s="80"/>
      <c r="O1234" s="80"/>
      <c r="P1234" s="6"/>
      <c r="Q1234" s="6"/>
      <c r="R1234" s="6"/>
      <c r="S1234" s="6"/>
      <c r="T1234" s="6"/>
      <c r="U1234" s="6"/>
      <c r="V1234" s="6"/>
      <c r="W1234" s="7"/>
      <c r="X1234" s="7"/>
      <c r="Y1234" s="7"/>
      <c r="Z1234" s="7"/>
    </row>
    <row r="1235">
      <c r="A1235" s="6"/>
      <c r="B1235" s="6"/>
      <c r="C1235" s="6"/>
      <c r="D1235" s="6"/>
      <c r="E1235" s="6"/>
      <c r="F1235" s="6"/>
      <c r="G1235" s="6"/>
      <c r="H1235" s="6"/>
      <c r="I1235" s="6"/>
      <c r="J1235" s="6"/>
      <c r="K1235" s="6"/>
      <c r="L1235" s="80"/>
      <c r="M1235" s="80"/>
      <c r="N1235" s="80"/>
      <c r="O1235" s="80"/>
      <c r="P1235" s="6"/>
      <c r="Q1235" s="6"/>
      <c r="R1235" s="6"/>
      <c r="S1235" s="6"/>
      <c r="T1235" s="6"/>
      <c r="U1235" s="6"/>
      <c r="V1235" s="6"/>
      <c r="W1235" s="7"/>
      <c r="X1235" s="7"/>
      <c r="Y1235" s="7"/>
      <c r="Z1235" s="7"/>
    </row>
    <row r="1236">
      <c r="A1236" s="6"/>
      <c r="B1236" s="6"/>
      <c r="C1236" s="6"/>
      <c r="D1236" s="6"/>
      <c r="E1236" s="6"/>
      <c r="F1236" s="6"/>
      <c r="G1236" s="6"/>
      <c r="H1236" s="6"/>
      <c r="I1236" s="6"/>
      <c r="J1236" s="6"/>
      <c r="K1236" s="6"/>
      <c r="L1236" s="80"/>
      <c r="M1236" s="80"/>
      <c r="N1236" s="80"/>
      <c r="O1236" s="80"/>
      <c r="P1236" s="6"/>
      <c r="Q1236" s="6"/>
      <c r="R1236" s="6"/>
      <c r="S1236" s="6"/>
      <c r="T1236" s="6"/>
      <c r="U1236" s="6"/>
      <c r="V1236" s="6"/>
      <c r="W1236" s="7"/>
      <c r="X1236" s="7"/>
      <c r="Y1236" s="7"/>
      <c r="Z1236" s="7"/>
    </row>
    <row r="1237">
      <c r="A1237" s="6"/>
      <c r="B1237" s="6"/>
      <c r="C1237" s="6"/>
      <c r="D1237" s="6"/>
      <c r="E1237" s="6"/>
      <c r="F1237" s="6"/>
      <c r="G1237" s="6"/>
      <c r="H1237" s="6"/>
      <c r="I1237" s="6"/>
      <c r="J1237" s="6"/>
      <c r="K1237" s="6"/>
      <c r="L1237" s="80"/>
      <c r="M1237" s="80"/>
      <c r="N1237" s="80"/>
      <c r="O1237" s="80"/>
      <c r="P1237" s="6"/>
      <c r="Q1237" s="6"/>
      <c r="R1237" s="6"/>
      <c r="S1237" s="6"/>
      <c r="T1237" s="6"/>
      <c r="U1237" s="6"/>
      <c r="V1237" s="6"/>
      <c r="W1237" s="7"/>
      <c r="X1237" s="7"/>
      <c r="Y1237" s="7"/>
      <c r="Z1237" s="7"/>
    </row>
    <row r="1238">
      <c r="A1238" s="6"/>
      <c r="B1238" s="6"/>
      <c r="C1238" s="6"/>
      <c r="D1238" s="6"/>
      <c r="E1238" s="6"/>
      <c r="F1238" s="6"/>
      <c r="G1238" s="6"/>
      <c r="H1238" s="6"/>
      <c r="I1238" s="6"/>
      <c r="J1238" s="6"/>
      <c r="K1238" s="6"/>
      <c r="L1238" s="80"/>
      <c r="M1238" s="80"/>
      <c r="N1238" s="80"/>
      <c r="O1238" s="80"/>
      <c r="P1238" s="6"/>
      <c r="Q1238" s="6"/>
      <c r="R1238" s="6"/>
      <c r="S1238" s="6"/>
      <c r="T1238" s="6"/>
      <c r="U1238" s="6"/>
      <c r="V1238" s="6"/>
      <c r="W1238" s="7"/>
      <c r="X1238" s="7"/>
      <c r="Y1238" s="7"/>
      <c r="Z1238" s="7"/>
    </row>
    <row r="1239">
      <c r="A1239" s="6"/>
      <c r="B1239" s="6"/>
      <c r="C1239" s="6"/>
      <c r="D1239" s="6"/>
      <c r="E1239" s="6"/>
      <c r="F1239" s="6"/>
      <c r="G1239" s="6"/>
      <c r="H1239" s="6"/>
      <c r="I1239" s="6"/>
      <c r="J1239" s="6"/>
      <c r="K1239" s="6"/>
      <c r="L1239" s="80"/>
      <c r="M1239" s="80"/>
      <c r="N1239" s="80"/>
      <c r="O1239" s="80"/>
      <c r="P1239" s="6"/>
      <c r="Q1239" s="6"/>
      <c r="R1239" s="6"/>
      <c r="S1239" s="6"/>
      <c r="T1239" s="6"/>
      <c r="U1239" s="6"/>
      <c r="V1239" s="6"/>
      <c r="W1239" s="7"/>
      <c r="X1239" s="7"/>
      <c r="Y1239" s="7"/>
      <c r="Z1239" s="7"/>
    </row>
    <row r="1240">
      <c r="A1240" s="6"/>
      <c r="B1240" s="6"/>
      <c r="C1240" s="6"/>
      <c r="D1240" s="6"/>
      <c r="E1240" s="6"/>
      <c r="F1240" s="6"/>
      <c r="G1240" s="6"/>
      <c r="H1240" s="6"/>
      <c r="I1240" s="6"/>
      <c r="J1240" s="6"/>
      <c r="K1240" s="6"/>
      <c r="L1240" s="80"/>
      <c r="M1240" s="80"/>
      <c r="N1240" s="80"/>
      <c r="O1240" s="80"/>
      <c r="P1240" s="6"/>
      <c r="Q1240" s="6"/>
      <c r="R1240" s="6"/>
      <c r="S1240" s="6"/>
      <c r="T1240" s="6"/>
      <c r="U1240" s="6"/>
      <c r="V1240" s="6"/>
      <c r="W1240" s="7"/>
      <c r="X1240" s="7"/>
      <c r="Y1240" s="7"/>
      <c r="Z1240" s="7"/>
    </row>
    <row r="1241">
      <c r="A1241" s="6"/>
      <c r="B1241" s="6"/>
      <c r="C1241" s="6"/>
      <c r="D1241" s="6"/>
      <c r="E1241" s="6"/>
      <c r="F1241" s="6"/>
      <c r="G1241" s="6"/>
      <c r="H1241" s="6"/>
      <c r="I1241" s="6"/>
      <c r="J1241" s="6"/>
      <c r="K1241" s="6"/>
      <c r="L1241" s="80"/>
      <c r="M1241" s="80"/>
      <c r="N1241" s="80"/>
      <c r="O1241" s="80"/>
      <c r="P1241" s="6"/>
      <c r="Q1241" s="6"/>
      <c r="R1241" s="6"/>
      <c r="S1241" s="6"/>
      <c r="T1241" s="6"/>
      <c r="U1241" s="6"/>
      <c r="V1241" s="6"/>
      <c r="W1241" s="7"/>
      <c r="X1241" s="7"/>
      <c r="Y1241" s="7"/>
      <c r="Z1241" s="7"/>
    </row>
    <row r="1242">
      <c r="A1242" s="6"/>
      <c r="B1242" s="6"/>
      <c r="C1242" s="6"/>
      <c r="D1242" s="6"/>
      <c r="E1242" s="6"/>
      <c r="F1242" s="6"/>
      <c r="G1242" s="6"/>
      <c r="H1242" s="6"/>
      <c r="I1242" s="6"/>
      <c r="J1242" s="6"/>
      <c r="K1242" s="6"/>
      <c r="L1242" s="80"/>
      <c r="M1242" s="80"/>
      <c r="N1242" s="80"/>
      <c r="O1242" s="80"/>
      <c r="P1242" s="6"/>
      <c r="Q1242" s="6"/>
      <c r="R1242" s="6"/>
      <c r="S1242" s="6"/>
      <c r="T1242" s="6"/>
      <c r="U1242" s="6"/>
      <c r="V1242" s="6"/>
      <c r="W1242" s="7"/>
      <c r="X1242" s="7"/>
      <c r="Y1242" s="7"/>
      <c r="Z1242" s="7"/>
    </row>
    <row r="1243">
      <c r="A1243" s="6"/>
      <c r="B1243" s="6"/>
      <c r="C1243" s="6"/>
      <c r="D1243" s="6"/>
      <c r="E1243" s="6"/>
      <c r="F1243" s="6"/>
      <c r="G1243" s="6"/>
      <c r="H1243" s="6"/>
      <c r="I1243" s="6"/>
      <c r="J1243" s="6"/>
      <c r="K1243" s="6"/>
      <c r="L1243" s="80"/>
      <c r="M1243" s="80"/>
      <c r="N1243" s="80"/>
      <c r="O1243" s="80"/>
      <c r="P1243" s="6"/>
      <c r="Q1243" s="6"/>
      <c r="R1243" s="6"/>
      <c r="S1243" s="6"/>
      <c r="T1243" s="6"/>
      <c r="U1243" s="6"/>
      <c r="V1243" s="6"/>
      <c r="W1243" s="7"/>
      <c r="X1243" s="7"/>
      <c r="Y1243" s="7"/>
      <c r="Z1243" s="7"/>
    </row>
    <row r="1244">
      <c r="A1244" s="6"/>
      <c r="B1244" s="6"/>
      <c r="C1244" s="6"/>
      <c r="D1244" s="6"/>
      <c r="E1244" s="6"/>
      <c r="F1244" s="6"/>
      <c r="G1244" s="6"/>
      <c r="H1244" s="6"/>
      <c r="I1244" s="6"/>
      <c r="J1244" s="6"/>
      <c r="K1244" s="6"/>
      <c r="L1244" s="80"/>
      <c r="M1244" s="80"/>
      <c r="N1244" s="80"/>
      <c r="O1244" s="80"/>
      <c r="P1244" s="6"/>
      <c r="Q1244" s="6"/>
      <c r="R1244" s="6"/>
      <c r="S1244" s="6"/>
      <c r="T1244" s="6"/>
      <c r="U1244" s="6"/>
      <c r="V1244" s="6"/>
      <c r="W1244" s="7"/>
      <c r="X1244" s="7"/>
      <c r="Y1244" s="7"/>
      <c r="Z1244" s="7"/>
    </row>
    <row r="1245">
      <c r="A1245" s="6"/>
      <c r="B1245" s="6"/>
      <c r="C1245" s="6"/>
      <c r="D1245" s="6"/>
      <c r="E1245" s="6"/>
      <c r="F1245" s="6"/>
      <c r="G1245" s="6"/>
      <c r="H1245" s="6"/>
      <c r="I1245" s="6"/>
      <c r="J1245" s="6"/>
      <c r="K1245" s="6"/>
      <c r="L1245" s="80"/>
      <c r="M1245" s="80"/>
      <c r="N1245" s="80"/>
      <c r="O1245" s="80"/>
      <c r="P1245" s="6"/>
      <c r="Q1245" s="6"/>
      <c r="R1245" s="6"/>
      <c r="S1245" s="6"/>
      <c r="T1245" s="6"/>
      <c r="U1245" s="6"/>
      <c r="V1245" s="6"/>
      <c r="W1245" s="7"/>
      <c r="X1245" s="7"/>
      <c r="Y1245" s="7"/>
      <c r="Z1245" s="7"/>
    </row>
    <row r="1246">
      <c r="A1246" s="6"/>
      <c r="B1246" s="6"/>
      <c r="C1246" s="6"/>
      <c r="D1246" s="6"/>
      <c r="E1246" s="6"/>
      <c r="F1246" s="6"/>
      <c r="G1246" s="6"/>
      <c r="H1246" s="6"/>
      <c r="I1246" s="6"/>
      <c r="J1246" s="6"/>
      <c r="K1246" s="6"/>
      <c r="L1246" s="80"/>
      <c r="M1246" s="80"/>
      <c r="N1246" s="80"/>
      <c r="O1246" s="80"/>
      <c r="P1246" s="6"/>
      <c r="Q1246" s="6"/>
      <c r="R1246" s="6"/>
      <c r="S1246" s="6"/>
      <c r="T1246" s="6"/>
      <c r="U1246" s="6"/>
      <c r="V1246" s="6"/>
      <c r="W1246" s="7"/>
      <c r="X1246" s="7"/>
      <c r="Y1246" s="7"/>
      <c r="Z1246" s="7"/>
    </row>
    <row r="1247">
      <c r="A1247" s="6"/>
      <c r="B1247" s="6"/>
      <c r="C1247" s="6"/>
      <c r="D1247" s="6"/>
      <c r="E1247" s="6"/>
      <c r="F1247" s="6"/>
      <c r="G1247" s="6"/>
      <c r="H1247" s="6"/>
      <c r="I1247" s="6"/>
      <c r="J1247" s="6"/>
      <c r="K1247" s="6"/>
      <c r="L1247" s="80"/>
      <c r="M1247" s="80"/>
      <c r="N1247" s="80"/>
      <c r="O1247" s="80"/>
      <c r="P1247" s="6"/>
      <c r="Q1247" s="6"/>
      <c r="R1247" s="6"/>
      <c r="S1247" s="6"/>
      <c r="T1247" s="6"/>
      <c r="U1247" s="6"/>
      <c r="V1247" s="6"/>
      <c r="W1247" s="7"/>
      <c r="X1247" s="7"/>
      <c r="Y1247" s="7"/>
      <c r="Z1247" s="7"/>
    </row>
    <row r="1248">
      <c r="A1248" s="6"/>
      <c r="B1248" s="6"/>
      <c r="C1248" s="6"/>
      <c r="D1248" s="6"/>
      <c r="E1248" s="6"/>
      <c r="F1248" s="6"/>
      <c r="G1248" s="6"/>
      <c r="H1248" s="6"/>
      <c r="I1248" s="6"/>
      <c r="J1248" s="6"/>
      <c r="K1248" s="6"/>
      <c r="L1248" s="80"/>
      <c r="M1248" s="80"/>
      <c r="N1248" s="80"/>
      <c r="O1248" s="80"/>
      <c r="P1248" s="6"/>
      <c r="Q1248" s="6"/>
      <c r="R1248" s="6"/>
      <c r="S1248" s="6"/>
      <c r="T1248" s="6"/>
      <c r="U1248" s="6"/>
      <c r="V1248" s="6"/>
      <c r="W1248" s="7"/>
      <c r="X1248" s="7"/>
      <c r="Y1248" s="7"/>
      <c r="Z1248" s="7"/>
    </row>
    <row r="1249">
      <c r="A1249" s="6"/>
      <c r="B1249" s="6"/>
      <c r="C1249" s="6"/>
      <c r="D1249" s="6"/>
      <c r="E1249" s="6"/>
      <c r="F1249" s="6"/>
      <c r="G1249" s="6"/>
      <c r="H1249" s="6"/>
      <c r="I1249" s="6"/>
      <c r="J1249" s="6"/>
      <c r="K1249" s="6"/>
      <c r="L1249" s="80"/>
      <c r="M1249" s="80"/>
      <c r="N1249" s="80"/>
      <c r="O1249" s="80"/>
      <c r="P1249" s="6"/>
      <c r="Q1249" s="6"/>
      <c r="R1249" s="6"/>
      <c r="S1249" s="6"/>
      <c r="T1249" s="6"/>
      <c r="U1249" s="6"/>
      <c r="V1249" s="6"/>
      <c r="W1249" s="7"/>
      <c r="X1249" s="7"/>
      <c r="Y1249" s="7"/>
      <c r="Z1249" s="7"/>
    </row>
    <row r="1250">
      <c r="A1250" s="6"/>
      <c r="B1250" s="6"/>
      <c r="C1250" s="6"/>
      <c r="D1250" s="6"/>
      <c r="E1250" s="6"/>
      <c r="F1250" s="6"/>
      <c r="G1250" s="6"/>
      <c r="H1250" s="6"/>
      <c r="I1250" s="6"/>
      <c r="J1250" s="6"/>
      <c r="K1250" s="6"/>
      <c r="L1250" s="80"/>
      <c r="M1250" s="80"/>
      <c r="N1250" s="80"/>
      <c r="O1250" s="80"/>
      <c r="P1250" s="6"/>
      <c r="Q1250" s="6"/>
      <c r="R1250" s="6"/>
      <c r="S1250" s="6"/>
      <c r="T1250" s="6"/>
      <c r="U1250" s="6"/>
      <c r="V1250" s="6"/>
      <c r="W1250" s="7"/>
      <c r="X1250" s="7"/>
      <c r="Y1250" s="7"/>
      <c r="Z1250" s="7"/>
    </row>
    <row r="1251">
      <c r="A1251" s="6"/>
      <c r="B1251" s="6"/>
      <c r="C1251" s="6"/>
      <c r="D1251" s="6"/>
      <c r="E1251" s="6"/>
      <c r="F1251" s="6"/>
      <c r="G1251" s="6"/>
      <c r="H1251" s="6"/>
      <c r="I1251" s="6"/>
      <c r="J1251" s="6"/>
      <c r="K1251" s="6"/>
      <c r="L1251" s="80"/>
      <c r="M1251" s="80"/>
      <c r="N1251" s="80"/>
      <c r="O1251" s="80"/>
      <c r="P1251" s="6"/>
      <c r="Q1251" s="6"/>
      <c r="R1251" s="6"/>
      <c r="S1251" s="6"/>
      <c r="T1251" s="6"/>
      <c r="U1251" s="6"/>
      <c r="V1251" s="6"/>
      <c r="W1251" s="7"/>
      <c r="X1251" s="7"/>
      <c r="Y1251" s="7"/>
      <c r="Z1251" s="7"/>
    </row>
    <row r="1252">
      <c r="A1252" s="6"/>
      <c r="B1252" s="6"/>
      <c r="C1252" s="6"/>
      <c r="D1252" s="6"/>
      <c r="E1252" s="6"/>
      <c r="F1252" s="6"/>
      <c r="G1252" s="6"/>
      <c r="H1252" s="6"/>
      <c r="I1252" s="6"/>
      <c r="J1252" s="6"/>
      <c r="K1252" s="6"/>
      <c r="L1252" s="80"/>
      <c r="M1252" s="80"/>
      <c r="N1252" s="80"/>
      <c r="O1252" s="80"/>
      <c r="P1252" s="6"/>
      <c r="Q1252" s="6"/>
      <c r="R1252" s="6"/>
      <c r="S1252" s="6"/>
      <c r="T1252" s="6"/>
      <c r="U1252" s="6"/>
      <c r="V1252" s="6"/>
      <c r="W1252" s="7"/>
      <c r="X1252" s="7"/>
      <c r="Y1252" s="7"/>
      <c r="Z1252" s="7"/>
    </row>
    <row r="1253">
      <c r="A1253" s="6"/>
      <c r="B1253" s="6"/>
      <c r="C1253" s="6"/>
      <c r="D1253" s="6"/>
      <c r="E1253" s="6"/>
      <c r="F1253" s="6"/>
      <c r="G1253" s="6"/>
      <c r="H1253" s="6"/>
      <c r="I1253" s="6"/>
      <c r="J1253" s="6"/>
      <c r="K1253" s="6"/>
      <c r="L1253" s="80"/>
      <c r="M1253" s="80"/>
      <c r="N1253" s="80"/>
      <c r="O1253" s="80"/>
      <c r="P1253" s="6"/>
      <c r="Q1253" s="6"/>
      <c r="R1253" s="6"/>
      <c r="S1253" s="6"/>
      <c r="T1253" s="6"/>
      <c r="U1253" s="6"/>
      <c r="V1253" s="6"/>
      <c r="W1253" s="7"/>
      <c r="X1253" s="7"/>
      <c r="Y1253" s="7"/>
      <c r="Z1253" s="7"/>
    </row>
    <row r="1254">
      <c r="A1254" s="6"/>
      <c r="B1254" s="6"/>
      <c r="C1254" s="6"/>
      <c r="D1254" s="6"/>
      <c r="E1254" s="6"/>
      <c r="F1254" s="6"/>
      <c r="G1254" s="6"/>
      <c r="H1254" s="6"/>
      <c r="I1254" s="6"/>
      <c r="J1254" s="6"/>
      <c r="K1254" s="6"/>
      <c r="L1254" s="80"/>
      <c r="M1254" s="80"/>
      <c r="N1254" s="80"/>
      <c r="O1254" s="80"/>
      <c r="P1254" s="6"/>
      <c r="Q1254" s="6"/>
      <c r="R1254" s="6"/>
      <c r="S1254" s="6"/>
      <c r="T1254" s="6"/>
      <c r="U1254" s="6"/>
      <c r="V1254" s="6"/>
      <c r="W1254" s="7"/>
      <c r="X1254" s="7"/>
      <c r="Y1254" s="7"/>
      <c r="Z1254" s="7"/>
    </row>
    <row r="1255">
      <c r="A1255" s="6"/>
      <c r="B1255" s="6"/>
      <c r="C1255" s="6"/>
      <c r="D1255" s="6"/>
      <c r="E1255" s="6"/>
      <c r="F1255" s="6"/>
      <c r="G1255" s="6"/>
      <c r="H1255" s="6"/>
      <c r="I1255" s="6"/>
      <c r="J1255" s="6"/>
      <c r="K1255" s="6"/>
      <c r="L1255" s="80"/>
      <c r="M1255" s="80"/>
      <c r="N1255" s="80"/>
      <c r="O1255" s="80"/>
      <c r="P1255" s="6"/>
      <c r="Q1255" s="6"/>
      <c r="R1255" s="6"/>
      <c r="S1255" s="6"/>
      <c r="T1255" s="6"/>
      <c r="U1255" s="6"/>
      <c r="V1255" s="6"/>
      <c r="W1255" s="7"/>
      <c r="X1255" s="7"/>
      <c r="Y1255" s="7"/>
      <c r="Z1255" s="7"/>
    </row>
    <row r="1256">
      <c r="A1256" s="6"/>
      <c r="B1256" s="6"/>
      <c r="C1256" s="6"/>
      <c r="D1256" s="6"/>
      <c r="E1256" s="6"/>
      <c r="F1256" s="6"/>
      <c r="G1256" s="6"/>
      <c r="H1256" s="6"/>
      <c r="I1256" s="6"/>
      <c r="J1256" s="6"/>
      <c r="K1256" s="6"/>
      <c r="L1256" s="80"/>
      <c r="M1256" s="80"/>
      <c r="N1256" s="80"/>
      <c r="O1256" s="80"/>
      <c r="P1256" s="6"/>
      <c r="Q1256" s="6"/>
      <c r="R1256" s="6"/>
      <c r="S1256" s="6"/>
      <c r="T1256" s="6"/>
      <c r="U1256" s="6"/>
      <c r="V1256" s="6"/>
      <c r="W1256" s="7"/>
      <c r="X1256" s="7"/>
      <c r="Y1256" s="7"/>
      <c r="Z1256" s="7"/>
    </row>
    <row r="1257">
      <c r="A1257" s="6"/>
      <c r="B1257" s="6"/>
      <c r="C1257" s="6"/>
      <c r="D1257" s="6"/>
      <c r="E1257" s="6"/>
      <c r="F1257" s="6"/>
      <c r="G1257" s="6"/>
      <c r="H1257" s="6"/>
      <c r="I1257" s="6"/>
      <c r="J1257" s="6"/>
      <c r="K1257" s="6"/>
      <c r="L1257" s="80"/>
      <c r="M1257" s="80"/>
      <c r="N1257" s="80"/>
      <c r="O1257" s="80"/>
      <c r="P1257" s="6"/>
      <c r="Q1257" s="6"/>
      <c r="R1257" s="6"/>
      <c r="S1257" s="6"/>
      <c r="T1257" s="6"/>
      <c r="U1257" s="6"/>
      <c r="V1257" s="6"/>
      <c r="W1257" s="7"/>
      <c r="X1257" s="7"/>
      <c r="Y1257" s="7"/>
      <c r="Z1257" s="7"/>
    </row>
    <row r="1258">
      <c r="A1258" s="6"/>
      <c r="B1258" s="6"/>
      <c r="C1258" s="6"/>
      <c r="D1258" s="6"/>
      <c r="E1258" s="6"/>
      <c r="F1258" s="6"/>
      <c r="G1258" s="6"/>
      <c r="H1258" s="6"/>
      <c r="I1258" s="6"/>
      <c r="J1258" s="6"/>
      <c r="K1258" s="6"/>
      <c r="L1258" s="80"/>
      <c r="M1258" s="80"/>
      <c r="N1258" s="80"/>
      <c r="O1258" s="80"/>
      <c r="P1258" s="6"/>
      <c r="Q1258" s="6"/>
      <c r="R1258" s="6"/>
      <c r="S1258" s="6"/>
      <c r="T1258" s="6"/>
      <c r="U1258" s="6"/>
      <c r="V1258" s="6"/>
      <c r="W1258" s="7"/>
      <c r="X1258" s="7"/>
      <c r="Y1258" s="7"/>
      <c r="Z1258" s="7"/>
    </row>
    <row r="1259">
      <c r="A1259" s="6"/>
      <c r="B1259" s="6"/>
      <c r="C1259" s="6"/>
      <c r="D1259" s="6"/>
      <c r="E1259" s="6"/>
      <c r="F1259" s="6"/>
      <c r="G1259" s="6"/>
      <c r="H1259" s="6"/>
      <c r="I1259" s="6"/>
      <c r="J1259" s="6"/>
      <c r="K1259" s="6"/>
      <c r="L1259" s="80"/>
      <c r="M1259" s="80"/>
      <c r="N1259" s="80"/>
      <c r="O1259" s="80"/>
      <c r="P1259" s="6"/>
      <c r="Q1259" s="6"/>
      <c r="R1259" s="6"/>
      <c r="S1259" s="6"/>
      <c r="T1259" s="6"/>
      <c r="U1259" s="6"/>
      <c r="V1259" s="6"/>
      <c r="W1259" s="7"/>
      <c r="X1259" s="7"/>
      <c r="Y1259" s="7"/>
      <c r="Z1259" s="7"/>
    </row>
    <row r="1260">
      <c r="A1260" s="6"/>
      <c r="B1260" s="6"/>
      <c r="C1260" s="6"/>
      <c r="D1260" s="6"/>
      <c r="E1260" s="6"/>
      <c r="F1260" s="6"/>
      <c r="G1260" s="6"/>
      <c r="H1260" s="6"/>
      <c r="I1260" s="6"/>
      <c r="J1260" s="6"/>
      <c r="K1260" s="6"/>
      <c r="L1260" s="80"/>
      <c r="M1260" s="80"/>
      <c r="N1260" s="80"/>
      <c r="O1260" s="80"/>
      <c r="P1260" s="6"/>
      <c r="Q1260" s="6"/>
      <c r="R1260" s="6"/>
      <c r="S1260" s="6"/>
      <c r="T1260" s="6"/>
      <c r="U1260" s="6"/>
      <c r="V1260" s="6"/>
      <c r="W1260" s="7"/>
      <c r="X1260" s="7"/>
      <c r="Y1260" s="7"/>
      <c r="Z1260" s="7"/>
    </row>
    <row r="1261">
      <c r="A1261" s="6"/>
      <c r="B1261" s="6"/>
      <c r="C1261" s="6"/>
      <c r="D1261" s="6"/>
      <c r="E1261" s="6"/>
      <c r="F1261" s="6"/>
      <c r="G1261" s="6"/>
      <c r="H1261" s="6"/>
      <c r="I1261" s="6"/>
      <c r="J1261" s="6"/>
      <c r="K1261" s="6"/>
      <c r="L1261" s="80"/>
      <c r="M1261" s="80"/>
      <c r="N1261" s="80"/>
      <c r="O1261" s="80"/>
      <c r="P1261" s="6"/>
      <c r="Q1261" s="6"/>
      <c r="R1261" s="6"/>
      <c r="S1261" s="6"/>
      <c r="T1261" s="6"/>
      <c r="U1261" s="6"/>
      <c r="V1261" s="6"/>
      <c r="W1261" s="7"/>
      <c r="X1261" s="7"/>
      <c r="Y1261" s="7"/>
      <c r="Z1261" s="7"/>
    </row>
    <row r="1262">
      <c r="A1262" s="6"/>
      <c r="B1262" s="6"/>
      <c r="C1262" s="6"/>
      <c r="D1262" s="6"/>
      <c r="E1262" s="6"/>
      <c r="F1262" s="6"/>
      <c r="G1262" s="6"/>
      <c r="H1262" s="6"/>
      <c r="I1262" s="6"/>
      <c r="J1262" s="6"/>
      <c r="K1262" s="6"/>
      <c r="L1262" s="80"/>
      <c r="M1262" s="80"/>
      <c r="N1262" s="80"/>
      <c r="O1262" s="80"/>
      <c r="P1262" s="6"/>
      <c r="Q1262" s="6"/>
      <c r="R1262" s="6"/>
      <c r="S1262" s="6"/>
      <c r="T1262" s="6"/>
      <c r="U1262" s="6"/>
      <c r="V1262" s="6"/>
      <c r="W1262" s="7"/>
      <c r="X1262" s="7"/>
      <c r="Y1262" s="7"/>
      <c r="Z1262" s="7"/>
    </row>
    <row r="1263">
      <c r="A1263" s="6"/>
      <c r="B1263" s="6"/>
      <c r="C1263" s="6"/>
      <c r="D1263" s="6"/>
      <c r="E1263" s="6"/>
      <c r="F1263" s="6"/>
      <c r="G1263" s="6"/>
      <c r="H1263" s="6"/>
      <c r="I1263" s="6"/>
      <c r="J1263" s="6"/>
      <c r="K1263" s="6"/>
      <c r="L1263" s="80"/>
      <c r="M1263" s="80"/>
      <c r="N1263" s="80"/>
      <c r="O1263" s="80"/>
      <c r="P1263" s="6"/>
      <c r="Q1263" s="6"/>
      <c r="R1263" s="6"/>
      <c r="S1263" s="6"/>
      <c r="T1263" s="6"/>
      <c r="U1263" s="6"/>
      <c r="V1263" s="6"/>
      <c r="W1263" s="7"/>
      <c r="X1263" s="7"/>
      <c r="Y1263" s="7"/>
      <c r="Z1263" s="7"/>
    </row>
    <row r="1264">
      <c r="A1264" s="6"/>
      <c r="B1264" s="6"/>
      <c r="C1264" s="6"/>
      <c r="D1264" s="6"/>
      <c r="E1264" s="6"/>
      <c r="F1264" s="6"/>
      <c r="G1264" s="6"/>
      <c r="H1264" s="6"/>
      <c r="I1264" s="6"/>
      <c r="J1264" s="6"/>
      <c r="K1264" s="6"/>
      <c r="L1264" s="80"/>
      <c r="M1264" s="80"/>
      <c r="N1264" s="80"/>
      <c r="O1264" s="80"/>
      <c r="P1264" s="6"/>
      <c r="Q1264" s="6"/>
      <c r="R1264" s="6"/>
      <c r="S1264" s="6"/>
      <c r="T1264" s="6"/>
      <c r="U1264" s="6"/>
      <c r="V1264" s="6"/>
      <c r="W1264" s="7"/>
      <c r="X1264" s="7"/>
      <c r="Y1264" s="7"/>
      <c r="Z1264" s="7"/>
    </row>
    <row r="1265">
      <c r="A1265" s="6"/>
      <c r="B1265" s="6"/>
      <c r="C1265" s="6"/>
      <c r="D1265" s="6"/>
      <c r="E1265" s="6"/>
      <c r="F1265" s="6"/>
      <c r="G1265" s="6"/>
      <c r="H1265" s="6"/>
      <c r="I1265" s="6"/>
      <c r="J1265" s="6"/>
      <c r="K1265" s="6"/>
      <c r="L1265" s="80"/>
      <c r="M1265" s="80"/>
      <c r="N1265" s="80"/>
      <c r="O1265" s="80"/>
      <c r="P1265" s="6"/>
      <c r="Q1265" s="6"/>
      <c r="R1265" s="6"/>
      <c r="S1265" s="6"/>
      <c r="T1265" s="6"/>
      <c r="U1265" s="6"/>
      <c r="V1265" s="6"/>
      <c r="W1265" s="7"/>
      <c r="X1265" s="7"/>
      <c r="Y1265" s="7"/>
      <c r="Z1265" s="7"/>
    </row>
    <row r="1266">
      <c r="A1266" s="6"/>
      <c r="B1266" s="6"/>
      <c r="C1266" s="6"/>
      <c r="D1266" s="6"/>
      <c r="E1266" s="6"/>
      <c r="F1266" s="6"/>
      <c r="G1266" s="6"/>
      <c r="H1266" s="6"/>
      <c r="I1266" s="6"/>
      <c r="J1266" s="6"/>
      <c r="K1266" s="6"/>
      <c r="L1266" s="80"/>
      <c r="M1266" s="80"/>
      <c r="N1266" s="80"/>
      <c r="O1266" s="80"/>
      <c r="P1266" s="6"/>
      <c r="Q1266" s="6"/>
      <c r="R1266" s="6"/>
      <c r="S1266" s="6"/>
      <c r="T1266" s="6"/>
      <c r="U1266" s="6"/>
      <c r="V1266" s="6"/>
      <c r="W1266" s="7"/>
      <c r="X1266" s="7"/>
      <c r="Y1266" s="7"/>
      <c r="Z1266" s="7"/>
    </row>
    <row r="1267">
      <c r="A1267" s="6"/>
      <c r="B1267" s="6"/>
      <c r="C1267" s="6"/>
      <c r="D1267" s="6"/>
      <c r="E1267" s="6"/>
      <c r="F1267" s="6"/>
      <c r="G1267" s="6"/>
      <c r="H1267" s="6"/>
      <c r="I1267" s="6"/>
      <c r="J1267" s="6"/>
      <c r="K1267" s="6"/>
      <c r="L1267" s="80"/>
      <c r="M1267" s="80"/>
      <c r="N1267" s="80"/>
      <c r="O1267" s="80"/>
      <c r="P1267" s="6"/>
      <c r="Q1267" s="6"/>
      <c r="R1267" s="6"/>
      <c r="S1267" s="6"/>
      <c r="T1267" s="6"/>
      <c r="U1267" s="6"/>
      <c r="V1267" s="6"/>
      <c r="W1267" s="7"/>
      <c r="X1267" s="7"/>
      <c r="Y1267" s="7"/>
      <c r="Z1267" s="7"/>
    </row>
    <row r="1268">
      <c r="A1268" s="6"/>
      <c r="B1268" s="6"/>
      <c r="C1268" s="6"/>
      <c r="D1268" s="6"/>
      <c r="E1268" s="6"/>
      <c r="F1268" s="6"/>
      <c r="G1268" s="6"/>
      <c r="H1268" s="6"/>
      <c r="I1268" s="6"/>
      <c r="J1268" s="6"/>
      <c r="K1268" s="6"/>
      <c r="L1268" s="80"/>
      <c r="M1268" s="80"/>
      <c r="N1268" s="80"/>
      <c r="O1268" s="80"/>
      <c r="P1268" s="6"/>
      <c r="Q1268" s="6"/>
      <c r="R1268" s="6"/>
      <c r="S1268" s="6"/>
      <c r="T1268" s="6"/>
      <c r="U1268" s="6"/>
      <c r="V1268" s="6"/>
      <c r="W1268" s="7"/>
      <c r="X1268" s="7"/>
      <c r="Y1268" s="7"/>
      <c r="Z1268" s="7"/>
    </row>
    <row r="1269">
      <c r="A1269" s="6"/>
      <c r="B1269" s="6"/>
      <c r="C1269" s="6"/>
      <c r="D1269" s="6"/>
      <c r="E1269" s="6"/>
      <c r="F1269" s="6"/>
      <c r="G1269" s="6"/>
      <c r="H1269" s="6"/>
      <c r="I1269" s="6"/>
      <c r="J1269" s="6"/>
      <c r="K1269" s="6"/>
      <c r="L1269" s="80"/>
      <c r="M1269" s="80"/>
      <c r="N1269" s="80"/>
      <c r="O1269" s="80"/>
      <c r="P1269" s="6"/>
      <c r="Q1269" s="6"/>
      <c r="R1269" s="6"/>
      <c r="S1269" s="6"/>
      <c r="T1269" s="6"/>
      <c r="U1269" s="6"/>
      <c r="V1269" s="6"/>
      <c r="W1269" s="7"/>
      <c r="X1269" s="7"/>
      <c r="Y1269" s="7"/>
      <c r="Z1269" s="7"/>
    </row>
    <row r="1270">
      <c r="A1270" s="6"/>
      <c r="B1270" s="6"/>
      <c r="C1270" s="6"/>
      <c r="D1270" s="6"/>
      <c r="E1270" s="6"/>
      <c r="F1270" s="6"/>
      <c r="G1270" s="6"/>
      <c r="H1270" s="6"/>
      <c r="I1270" s="6"/>
      <c r="J1270" s="6"/>
      <c r="K1270" s="6"/>
      <c r="L1270" s="80"/>
      <c r="M1270" s="80"/>
      <c r="N1270" s="80"/>
      <c r="O1270" s="80"/>
      <c r="P1270" s="6"/>
      <c r="Q1270" s="6"/>
      <c r="R1270" s="6"/>
      <c r="S1270" s="6"/>
      <c r="T1270" s="6"/>
      <c r="U1270" s="6"/>
      <c r="V1270" s="6"/>
      <c r="W1270" s="7"/>
      <c r="X1270" s="7"/>
      <c r="Y1270" s="7"/>
      <c r="Z1270" s="7"/>
    </row>
    <row r="1271">
      <c r="A1271" s="6"/>
      <c r="B1271" s="6"/>
      <c r="C1271" s="6"/>
      <c r="D1271" s="6"/>
      <c r="E1271" s="6"/>
      <c r="F1271" s="6"/>
      <c r="G1271" s="6"/>
      <c r="H1271" s="6"/>
      <c r="I1271" s="6"/>
      <c r="J1271" s="6"/>
      <c r="K1271" s="6"/>
      <c r="L1271" s="80"/>
      <c r="M1271" s="80"/>
      <c r="N1271" s="80"/>
      <c r="O1271" s="80"/>
      <c r="P1271" s="6"/>
      <c r="Q1271" s="6"/>
      <c r="R1271" s="6"/>
      <c r="S1271" s="6"/>
      <c r="T1271" s="6"/>
      <c r="U1271" s="6"/>
      <c r="V1271" s="6"/>
      <c r="W1271" s="7"/>
      <c r="X1271" s="7"/>
      <c r="Y1271" s="7"/>
      <c r="Z1271" s="7"/>
    </row>
    <row r="1272">
      <c r="A1272" s="6"/>
      <c r="B1272" s="6"/>
      <c r="C1272" s="6"/>
      <c r="D1272" s="6"/>
      <c r="E1272" s="6"/>
      <c r="F1272" s="6"/>
      <c r="G1272" s="6"/>
      <c r="H1272" s="6"/>
      <c r="I1272" s="6"/>
      <c r="J1272" s="6"/>
      <c r="K1272" s="6"/>
      <c r="L1272" s="80"/>
      <c r="M1272" s="80"/>
      <c r="N1272" s="80"/>
      <c r="O1272" s="80"/>
      <c r="P1272" s="6"/>
      <c r="Q1272" s="6"/>
      <c r="R1272" s="6"/>
      <c r="S1272" s="6"/>
      <c r="T1272" s="6"/>
      <c r="U1272" s="6"/>
      <c r="V1272" s="6"/>
      <c r="W1272" s="7"/>
      <c r="X1272" s="7"/>
      <c r="Y1272" s="7"/>
      <c r="Z1272" s="7"/>
    </row>
    <row r="1273">
      <c r="A1273" s="6"/>
      <c r="B1273" s="6"/>
      <c r="C1273" s="6"/>
      <c r="D1273" s="6"/>
      <c r="E1273" s="6"/>
      <c r="F1273" s="6"/>
      <c r="G1273" s="6"/>
      <c r="H1273" s="6"/>
      <c r="I1273" s="6"/>
      <c r="J1273" s="6"/>
      <c r="K1273" s="6"/>
      <c r="L1273" s="80"/>
      <c r="M1273" s="80"/>
      <c r="N1273" s="80"/>
      <c r="O1273" s="80"/>
      <c r="P1273" s="6"/>
      <c r="Q1273" s="6"/>
      <c r="R1273" s="6"/>
      <c r="S1273" s="6"/>
      <c r="T1273" s="6"/>
      <c r="U1273" s="6"/>
      <c r="V1273" s="6"/>
      <c r="W1273" s="7"/>
      <c r="X1273" s="7"/>
      <c r="Y1273" s="7"/>
      <c r="Z1273" s="7"/>
    </row>
    <row r="1274">
      <c r="A1274" s="6"/>
      <c r="B1274" s="6"/>
      <c r="C1274" s="6"/>
      <c r="D1274" s="6"/>
      <c r="E1274" s="6"/>
      <c r="F1274" s="6"/>
      <c r="G1274" s="6"/>
      <c r="H1274" s="6"/>
      <c r="I1274" s="6"/>
      <c r="J1274" s="6"/>
      <c r="K1274" s="6"/>
      <c r="L1274" s="80"/>
      <c r="M1274" s="80"/>
      <c r="N1274" s="80"/>
      <c r="O1274" s="80"/>
      <c r="P1274" s="6"/>
      <c r="Q1274" s="6"/>
      <c r="R1274" s="6"/>
      <c r="S1274" s="6"/>
      <c r="T1274" s="6"/>
      <c r="U1274" s="6"/>
      <c r="V1274" s="6"/>
      <c r="W1274" s="7"/>
      <c r="X1274" s="7"/>
      <c r="Y1274" s="7"/>
      <c r="Z1274" s="7"/>
    </row>
    <row r="1275">
      <c r="A1275" s="6"/>
      <c r="B1275" s="6"/>
      <c r="C1275" s="6"/>
      <c r="D1275" s="6"/>
      <c r="E1275" s="6"/>
      <c r="F1275" s="6"/>
      <c r="G1275" s="6"/>
      <c r="H1275" s="6"/>
      <c r="I1275" s="6"/>
      <c r="J1275" s="6"/>
      <c r="K1275" s="6"/>
      <c r="L1275" s="80"/>
      <c r="M1275" s="80"/>
      <c r="N1275" s="80"/>
      <c r="O1275" s="80"/>
      <c r="P1275" s="6"/>
      <c r="Q1275" s="6"/>
      <c r="R1275" s="6"/>
      <c r="S1275" s="6"/>
      <c r="T1275" s="6"/>
      <c r="U1275" s="6"/>
      <c r="V1275" s="6"/>
      <c r="W1275" s="7"/>
      <c r="X1275" s="7"/>
      <c r="Y1275" s="7"/>
      <c r="Z1275" s="7"/>
    </row>
    <row r="1276">
      <c r="A1276" s="6"/>
      <c r="B1276" s="6"/>
      <c r="C1276" s="6"/>
      <c r="D1276" s="6"/>
      <c r="E1276" s="6"/>
      <c r="F1276" s="6"/>
      <c r="G1276" s="6"/>
      <c r="H1276" s="6"/>
      <c r="I1276" s="6"/>
      <c r="J1276" s="6"/>
      <c r="K1276" s="6"/>
      <c r="L1276" s="80"/>
      <c r="M1276" s="80"/>
      <c r="N1276" s="80"/>
      <c r="O1276" s="80"/>
      <c r="P1276" s="6"/>
      <c r="Q1276" s="6"/>
      <c r="R1276" s="6"/>
      <c r="S1276" s="6"/>
      <c r="T1276" s="6"/>
      <c r="U1276" s="6"/>
      <c r="V1276" s="6"/>
      <c r="W1276" s="7"/>
      <c r="X1276" s="7"/>
      <c r="Y1276" s="7"/>
      <c r="Z1276" s="7"/>
    </row>
    <row r="1277">
      <c r="A1277" s="6"/>
      <c r="B1277" s="6"/>
      <c r="C1277" s="6"/>
      <c r="D1277" s="6"/>
      <c r="E1277" s="6"/>
      <c r="F1277" s="6"/>
      <c r="G1277" s="6"/>
      <c r="H1277" s="6"/>
      <c r="I1277" s="6"/>
      <c r="J1277" s="6"/>
      <c r="K1277" s="6"/>
      <c r="L1277" s="80"/>
      <c r="M1277" s="80"/>
      <c r="N1277" s="80"/>
      <c r="O1277" s="80"/>
      <c r="P1277" s="6"/>
      <c r="Q1277" s="6"/>
      <c r="R1277" s="6"/>
      <c r="S1277" s="6"/>
      <c r="T1277" s="6"/>
      <c r="U1277" s="6"/>
      <c r="V1277" s="6"/>
      <c r="W1277" s="7"/>
      <c r="X1277" s="7"/>
      <c r="Y1277" s="7"/>
      <c r="Z1277" s="7"/>
    </row>
    <row r="1278">
      <c r="A1278" s="6"/>
      <c r="B1278" s="6"/>
      <c r="C1278" s="6"/>
      <c r="D1278" s="6"/>
      <c r="E1278" s="6"/>
      <c r="F1278" s="6"/>
      <c r="G1278" s="6"/>
      <c r="H1278" s="6"/>
      <c r="I1278" s="6"/>
      <c r="J1278" s="6"/>
      <c r="K1278" s="6"/>
      <c r="L1278" s="80"/>
      <c r="M1278" s="80"/>
      <c r="N1278" s="80"/>
      <c r="O1278" s="80"/>
      <c r="P1278" s="6"/>
      <c r="Q1278" s="6"/>
      <c r="R1278" s="6"/>
      <c r="S1278" s="6"/>
      <c r="T1278" s="6"/>
      <c r="U1278" s="6"/>
      <c r="V1278" s="6"/>
      <c r="W1278" s="7"/>
      <c r="X1278" s="7"/>
      <c r="Y1278" s="7"/>
      <c r="Z1278" s="7"/>
    </row>
    <row r="1279">
      <c r="A1279" s="6"/>
      <c r="B1279" s="6"/>
      <c r="C1279" s="6"/>
      <c r="D1279" s="6"/>
      <c r="E1279" s="6"/>
      <c r="F1279" s="6"/>
      <c r="G1279" s="6"/>
      <c r="H1279" s="6"/>
      <c r="I1279" s="6"/>
      <c r="J1279" s="6"/>
      <c r="K1279" s="6"/>
      <c r="L1279" s="80"/>
      <c r="M1279" s="80"/>
      <c r="N1279" s="80"/>
      <c r="O1279" s="80"/>
      <c r="P1279" s="6"/>
      <c r="Q1279" s="6"/>
      <c r="R1279" s="6"/>
      <c r="S1279" s="6"/>
      <c r="T1279" s="6"/>
      <c r="U1279" s="6"/>
      <c r="V1279" s="6"/>
      <c r="W1279" s="7"/>
      <c r="X1279" s="7"/>
      <c r="Y1279" s="7"/>
      <c r="Z1279" s="7"/>
    </row>
    <row r="1280">
      <c r="A1280" s="6"/>
      <c r="B1280" s="6"/>
      <c r="C1280" s="6"/>
      <c r="D1280" s="6"/>
      <c r="E1280" s="6"/>
      <c r="F1280" s="6"/>
      <c r="G1280" s="6"/>
      <c r="H1280" s="6"/>
      <c r="I1280" s="6"/>
      <c r="J1280" s="6"/>
      <c r="K1280" s="6"/>
      <c r="L1280" s="80"/>
      <c r="M1280" s="80"/>
      <c r="N1280" s="80"/>
      <c r="O1280" s="80"/>
      <c r="P1280" s="6"/>
      <c r="Q1280" s="6"/>
      <c r="R1280" s="6"/>
      <c r="S1280" s="6"/>
      <c r="T1280" s="6"/>
      <c r="U1280" s="6"/>
      <c r="V1280" s="6"/>
      <c r="W1280" s="7"/>
      <c r="X1280" s="7"/>
      <c r="Y1280" s="7"/>
      <c r="Z1280" s="7"/>
    </row>
    <row r="1281">
      <c r="A1281" s="6"/>
      <c r="B1281" s="6"/>
      <c r="C1281" s="6"/>
      <c r="D1281" s="6"/>
      <c r="E1281" s="6"/>
      <c r="F1281" s="6"/>
      <c r="G1281" s="6"/>
      <c r="H1281" s="6"/>
      <c r="I1281" s="6"/>
      <c r="J1281" s="6"/>
      <c r="K1281" s="6"/>
      <c r="L1281" s="80"/>
      <c r="M1281" s="80"/>
      <c r="N1281" s="80"/>
      <c r="O1281" s="80"/>
      <c r="P1281" s="6"/>
      <c r="Q1281" s="6"/>
      <c r="R1281" s="6"/>
      <c r="S1281" s="6"/>
      <c r="T1281" s="6"/>
      <c r="U1281" s="6"/>
      <c r="V1281" s="6"/>
      <c r="W1281" s="7"/>
      <c r="X1281" s="7"/>
      <c r="Y1281" s="7"/>
      <c r="Z1281" s="7"/>
    </row>
    <row r="1282">
      <c r="A1282" s="6"/>
      <c r="B1282" s="6"/>
      <c r="C1282" s="6"/>
      <c r="D1282" s="6"/>
      <c r="E1282" s="6"/>
      <c r="F1282" s="6"/>
      <c r="G1282" s="6"/>
      <c r="H1282" s="6"/>
      <c r="I1282" s="6"/>
      <c r="J1282" s="6"/>
      <c r="K1282" s="6"/>
      <c r="L1282" s="80"/>
      <c r="M1282" s="80"/>
      <c r="N1282" s="80"/>
      <c r="O1282" s="80"/>
      <c r="P1282" s="6"/>
      <c r="Q1282" s="6"/>
      <c r="R1282" s="6"/>
      <c r="S1282" s="6"/>
      <c r="T1282" s="6"/>
      <c r="U1282" s="6"/>
      <c r="V1282" s="6"/>
      <c r="W1282" s="7"/>
      <c r="X1282" s="7"/>
      <c r="Y1282" s="7"/>
      <c r="Z1282" s="7"/>
    </row>
    <row r="1283">
      <c r="A1283" s="6"/>
      <c r="B1283" s="6"/>
      <c r="C1283" s="6"/>
      <c r="D1283" s="6"/>
      <c r="E1283" s="6"/>
      <c r="F1283" s="6"/>
      <c r="G1283" s="6"/>
      <c r="H1283" s="6"/>
      <c r="I1283" s="6"/>
      <c r="J1283" s="6"/>
      <c r="K1283" s="6"/>
      <c r="L1283" s="80"/>
      <c r="M1283" s="80"/>
      <c r="N1283" s="80"/>
      <c r="O1283" s="80"/>
      <c r="P1283" s="6"/>
      <c r="Q1283" s="6"/>
      <c r="R1283" s="6"/>
      <c r="S1283" s="6"/>
      <c r="T1283" s="6"/>
      <c r="U1283" s="6"/>
      <c r="V1283" s="6"/>
      <c r="W1283" s="7"/>
      <c r="X1283" s="7"/>
      <c r="Y1283" s="7"/>
      <c r="Z1283" s="7"/>
    </row>
    <row r="1284">
      <c r="A1284" s="6"/>
      <c r="B1284" s="6"/>
      <c r="C1284" s="6"/>
      <c r="D1284" s="6"/>
      <c r="E1284" s="6"/>
      <c r="F1284" s="6"/>
      <c r="G1284" s="6"/>
      <c r="H1284" s="6"/>
      <c r="I1284" s="6"/>
      <c r="J1284" s="6"/>
      <c r="K1284" s="6"/>
      <c r="L1284" s="80"/>
      <c r="M1284" s="80"/>
      <c r="N1284" s="80"/>
      <c r="O1284" s="80"/>
      <c r="P1284" s="6"/>
      <c r="Q1284" s="6"/>
      <c r="R1284" s="6"/>
      <c r="S1284" s="6"/>
      <c r="T1284" s="6"/>
      <c r="U1284" s="6"/>
      <c r="V1284" s="6"/>
      <c r="W1284" s="7"/>
      <c r="X1284" s="7"/>
      <c r="Y1284" s="7"/>
      <c r="Z1284" s="7"/>
    </row>
    <row r="1285">
      <c r="A1285" s="6"/>
      <c r="B1285" s="6"/>
      <c r="C1285" s="6"/>
      <c r="D1285" s="6"/>
      <c r="E1285" s="6"/>
      <c r="F1285" s="6"/>
      <c r="G1285" s="6"/>
      <c r="H1285" s="6"/>
      <c r="I1285" s="6"/>
      <c r="J1285" s="6"/>
      <c r="K1285" s="6"/>
      <c r="L1285" s="80"/>
      <c r="M1285" s="80"/>
      <c r="N1285" s="80"/>
      <c r="O1285" s="80"/>
      <c r="P1285" s="6"/>
      <c r="Q1285" s="6"/>
      <c r="R1285" s="6"/>
      <c r="S1285" s="6"/>
      <c r="T1285" s="6"/>
      <c r="U1285" s="6"/>
      <c r="V1285" s="6"/>
      <c r="W1285" s="7"/>
      <c r="X1285" s="7"/>
      <c r="Y1285" s="7"/>
      <c r="Z1285" s="7"/>
    </row>
    <row r="1286">
      <c r="A1286" s="6"/>
      <c r="B1286" s="6"/>
      <c r="C1286" s="6"/>
      <c r="D1286" s="6"/>
      <c r="E1286" s="6"/>
      <c r="F1286" s="6"/>
      <c r="G1286" s="6"/>
      <c r="H1286" s="6"/>
      <c r="I1286" s="6"/>
      <c r="J1286" s="6"/>
      <c r="K1286" s="6"/>
      <c r="L1286" s="80"/>
      <c r="M1286" s="80"/>
      <c r="N1286" s="80"/>
      <c r="O1286" s="80"/>
      <c r="P1286" s="6"/>
      <c r="Q1286" s="6"/>
      <c r="R1286" s="6"/>
      <c r="S1286" s="6"/>
      <c r="T1286" s="6"/>
      <c r="U1286" s="6"/>
      <c r="V1286" s="6"/>
      <c r="W1286" s="7"/>
      <c r="X1286" s="7"/>
      <c r="Y1286" s="7"/>
      <c r="Z1286" s="7"/>
    </row>
    <row r="1287">
      <c r="A1287" s="6"/>
      <c r="B1287" s="6"/>
      <c r="C1287" s="6"/>
      <c r="D1287" s="6"/>
      <c r="E1287" s="6"/>
      <c r="F1287" s="6"/>
      <c r="G1287" s="6"/>
      <c r="H1287" s="6"/>
      <c r="I1287" s="6"/>
      <c r="J1287" s="6"/>
      <c r="K1287" s="6"/>
      <c r="L1287" s="80"/>
      <c r="M1287" s="80"/>
      <c r="N1287" s="80"/>
      <c r="O1287" s="80"/>
      <c r="P1287" s="6"/>
      <c r="Q1287" s="6"/>
      <c r="R1287" s="6"/>
      <c r="S1287" s="6"/>
      <c r="T1287" s="6"/>
      <c r="U1287" s="6"/>
      <c r="V1287" s="6"/>
      <c r="W1287" s="7"/>
      <c r="X1287" s="7"/>
      <c r="Y1287" s="7"/>
      <c r="Z1287" s="7"/>
    </row>
    <row r="1288">
      <c r="A1288" s="6"/>
      <c r="B1288" s="6"/>
      <c r="C1288" s="6"/>
      <c r="D1288" s="6"/>
      <c r="E1288" s="6"/>
      <c r="F1288" s="6"/>
      <c r="G1288" s="6"/>
      <c r="H1288" s="6"/>
      <c r="I1288" s="6"/>
      <c r="J1288" s="6"/>
      <c r="K1288" s="6"/>
      <c r="L1288" s="80"/>
      <c r="M1288" s="80"/>
      <c r="N1288" s="80"/>
      <c r="O1288" s="80"/>
      <c r="P1288" s="6"/>
      <c r="Q1288" s="6"/>
      <c r="R1288" s="6"/>
      <c r="S1288" s="6"/>
      <c r="T1288" s="6"/>
      <c r="U1288" s="6"/>
      <c r="V1288" s="6"/>
      <c r="W1288" s="7"/>
      <c r="X1288" s="7"/>
      <c r="Y1288" s="7"/>
      <c r="Z1288" s="7"/>
    </row>
    <row r="1289">
      <c r="A1289" s="6"/>
      <c r="B1289" s="6"/>
      <c r="C1289" s="6"/>
      <c r="D1289" s="6"/>
      <c r="E1289" s="6"/>
      <c r="F1289" s="6"/>
      <c r="G1289" s="6"/>
      <c r="H1289" s="6"/>
      <c r="I1289" s="6"/>
      <c r="J1289" s="6"/>
      <c r="K1289" s="6"/>
      <c r="L1289" s="80"/>
      <c r="M1289" s="80"/>
      <c r="N1289" s="80"/>
      <c r="O1289" s="80"/>
      <c r="P1289" s="6"/>
      <c r="Q1289" s="6"/>
      <c r="R1289" s="6"/>
      <c r="S1289" s="6"/>
      <c r="T1289" s="6"/>
      <c r="U1289" s="6"/>
      <c r="V1289" s="6"/>
      <c r="W1289" s="7"/>
      <c r="X1289" s="7"/>
      <c r="Y1289" s="7"/>
      <c r="Z1289" s="7"/>
    </row>
    <row r="1290">
      <c r="A1290" s="6"/>
      <c r="B1290" s="6"/>
      <c r="C1290" s="6"/>
      <c r="D1290" s="6"/>
      <c r="E1290" s="6"/>
      <c r="F1290" s="6"/>
      <c r="G1290" s="6"/>
      <c r="H1290" s="6"/>
      <c r="I1290" s="6"/>
      <c r="J1290" s="6"/>
      <c r="K1290" s="6"/>
      <c r="L1290" s="80"/>
      <c r="M1290" s="80"/>
      <c r="N1290" s="80"/>
      <c r="O1290" s="80"/>
      <c r="P1290" s="6"/>
      <c r="Q1290" s="6"/>
      <c r="R1290" s="6"/>
      <c r="S1290" s="6"/>
      <c r="T1290" s="6"/>
      <c r="U1290" s="6"/>
      <c r="V1290" s="6"/>
      <c r="W1290" s="7"/>
      <c r="X1290" s="7"/>
      <c r="Y1290" s="7"/>
      <c r="Z1290" s="7"/>
    </row>
    <row r="1291">
      <c r="A1291" s="6"/>
      <c r="B1291" s="6"/>
      <c r="C1291" s="6"/>
      <c r="D1291" s="6"/>
      <c r="E1291" s="6"/>
      <c r="F1291" s="6"/>
      <c r="G1291" s="6"/>
      <c r="H1291" s="6"/>
      <c r="I1291" s="6"/>
      <c r="J1291" s="6"/>
      <c r="K1291" s="6"/>
      <c r="L1291" s="80"/>
      <c r="M1291" s="80"/>
      <c r="N1291" s="80"/>
      <c r="O1291" s="80"/>
      <c r="P1291" s="6"/>
      <c r="Q1291" s="6"/>
      <c r="R1291" s="6"/>
      <c r="S1291" s="6"/>
      <c r="T1291" s="6"/>
      <c r="U1291" s="6"/>
      <c r="V1291" s="6"/>
      <c r="W1291" s="7"/>
      <c r="X1291" s="7"/>
      <c r="Y1291" s="7"/>
      <c r="Z1291" s="7"/>
    </row>
    <row r="1292">
      <c r="A1292" s="6"/>
      <c r="B1292" s="6"/>
      <c r="C1292" s="6"/>
      <c r="D1292" s="6"/>
      <c r="E1292" s="6"/>
      <c r="F1292" s="6"/>
      <c r="G1292" s="6"/>
      <c r="H1292" s="6"/>
      <c r="I1292" s="6"/>
      <c r="J1292" s="6"/>
      <c r="K1292" s="6"/>
      <c r="L1292" s="80"/>
      <c r="M1292" s="80"/>
      <c r="N1292" s="80"/>
      <c r="O1292" s="80"/>
      <c r="P1292" s="6"/>
      <c r="Q1292" s="6"/>
      <c r="R1292" s="6"/>
      <c r="S1292" s="6"/>
      <c r="T1292" s="6"/>
      <c r="U1292" s="6"/>
      <c r="V1292" s="6"/>
      <c r="W1292" s="7"/>
      <c r="X1292" s="7"/>
      <c r="Y1292" s="7"/>
      <c r="Z1292" s="7"/>
    </row>
    <row r="1293">
      <c r="A1293" s="6"/>
      <c r="B1293" s="6"/>
      <c r="C1293" s="6"/>
      <c r="D1293" s="6"/>
      <c r="E1293" s="6"/>
      <c r="F1293" s="6"/>
      <c r="G1293" s="6"/>
      <c r="H1293" s="6"/>
      <c r="I1293" s="6"/>
      <c r="J1293" s="6"/>
      <c r="K1293" s="6"/>
      <c r="L1293" s="80"/>
      <c r="M1293" s="80"/>
      <c r="N1293" s="80"/>
      <c r="O1293" s="80"/>
      <c r="P1293" s="6"/>
      <c r="Q1293" s="6"/>
      <c r="R1293" s="6"/>
      <c r="S1293" s="6"/>
      <c r="T1293" s="6"/>
      <c r="U1293" s="6"/>
      <c r="V1293" s="6"/>
      <c r="W1293" s="7"/>
      <c r="X1293" s="7"/>
      <c r="Y1293" s="7"/>
      <c r="Z1293" s="7"/>
    </row>
    <row r="1294">
      <c r="A1294" s="6"/>
      <c r="B1294" s="6"/>
      <c r="C1294" s="6"/>
      <c r="D1294" s="6"/>
      <c r="E1294" s="6"/>
      <c r="F1294" s="6"/>
      <c r="G1294" s="6"/>
      <c r="H1294" s="6"/>
      <c r="I1294" s="6"/>
      <c r="J1294" s="6"/>
      <c r="K1294" s="6"/>
      <c r="L1294" s="80"/>
      <c r="M1294" s="80"/>
      <c r="N1294" s="80"/>
      <c r="O1294" s="80"/>
      <c r="P1294" s="6"/>
      <c r="Q1294" s="6"/>
      <c r="R1294" s="6"/>
      <c r="S1294" s="6"/>
      <c r="T1294" s="6"/>
      <c r="U1294" s="6"/>
      <c r="V1294" s="6"/>
      <c r="W1294" s="7"/>
      <c r="X1294" s="7"/>
      <c r="Y1294" s="7"/>
      <c r="Z1294" s="7"/>
    </row>
    <row r="1295">
      <c r="A1295" s="6"/>
      <c r="B1295" s="6"/>
      <c r="C1295" s="6"/>
      <c r="D1295" s="6"/>
      <c r="E1295" s="6"/>
      <c r="F1295" s="6"/>
      <c r="G1295" s="6"/>
      <c r="H1295" s="6"/>
      <c r="I1295" s="6"/>
      <c r="J1295" s="6"/>
      <c r="K1295" s="6"/>
      <c r="L1295" s="80"/>
      <c r="M1295" s="80"/>
      <c r="N1295" s="80"/>
      <c r="O1295" s="80"/>
      <c r="P1295" s="6"/>
      <c r="Q1295" s="6"/>
      <c r="R1295" s="6"/>
      <c r="S1295" s="6"/>
      <c r="T1295" s="6"/>
      <c r="U1295" s="6"/>
      <c r="V1295" s="6"/>
      <c r="W1295" s="7"/>
      <c r="X1295" s="7"/>
      <c r="Y1295" s="7"/>
      <c r="Z1295" s="7"/>
    </row>
    <row r="1296">
      <c r="A1296" s="6"/>
      <c r="B1296" s="6"/>
      <c r="C1296" s="6"/>
      <c r="D1296" s="6"/>
      <c r="E1296" s="6"/>
      <c r="F1296" s="6"/>
      <c r="G1296" s="6"/>
      <c r="H1296" s="6"/>
      <c r="I1296" s="6"/>
      <c r="J1296" s="6"/>
      <c r="K1296" s="6"/>
      <c r="L1296" s="80"/>
      <c r="M1296" s="80"/>
      <c r="N1296" s="80"/>
      <c r="O1296" s="80"/>
      <c r="P1296" s="6"/>
      <c r="Q1296" s="6"/>
      <c r="R1296" s="6"/>
      <c r="S1296" s="6"/>
      <c r="T1296" s="6"/>
      <c r="U1296" s="6"/>
      <c r="V1296" s="6"/>
      <c r="W1296" s="7"/>
      <c r="X1296" s="7"/>
      <c r="Y1296" s="7"/>
      <c r="Z1296" s="7"/>
    </row>
    <row r="1297">
      <c r="A1297" s="6"/>
      <c r="B1297" s="6"/>
      <c r="C1297" s="6"/>
      <c r="D1297" s="6"/>
      <c r="E1297" s="6"/>
      <c r="F1297" s="6"/>
      <c r="G1297" s="6"/>
      <c r="H1297" s="6"/>
      <c r="I1297" s="6"/>
      <c r="J1297" s="6"/>
      <c r="K1297" s="6"/>
      <c r="L1297" s="80"/>
      <c r="M1297" s="80"/>
      <c r="N1297" s="80"/>
      <c r="O1297" s="80"/>
      <c r="P1297" s="6"/>
      <c r="Q1297" s="6"/>
      <c r="R1297" s="6"/>
      <c r="S1297" s="6"/>
      <c r="T1297" s="6"/>
      <c r="U1297" s="6"/>
      <c r="V1297" s="6"/>
      <c r="W1297" s="7"/>
      <c r="X1297" s="7"/>
      <c r="Y1297" s="7"/>
      <c r="Z1297" s="7"/>
    </row>
    <row r="1298">
      <c r="A1298" s="6"/>
      <c r="B1298" s="6"/>
      <c r="C1298" s="6"/>
      <c r="D1298" s="6"/>
      <c r="E1298" s="6"/>
      <c r="F1298" s="6"/>
      <c r="G1298" s="6"/>
      <c r="H1298" s="6"/>
      <c r="I1298" s="6"/>
      <c r="J1298" s="6"/>
      <c r="K1298" s="6"/>
      <c r="L1298" s="80"/>
      <c r="M1298" s="80"/>
      <c r="N1298" s="80"/>
      <c r="O1298" s="80"/>
      <c r="P1298" s="6"/>
      <c r="Q1298" s="6"/>
      <c r="R1298" s="6"/>
      <c r="S1298" s="6"/>
      <c r="T1298" s="6"/>
      <c r="U1298" s="6"/>
      <c r="V1298" s="6"/>
      <c r="W1298" s="7"/>
      <c r="X1298" s="7"/>
      <c r="Y1298" s="7"/>
      <c r="Z1298" s="7"/>
    </row>
    <row r="1299">
      <c r="A1299" s="6"/>
      <c r="B1299" s="6"/>
      <c r="C1299" s="6"/>
      <c r="D1299" s="6"/>
      <c r="E1299" s="6"/>
      <c r="F1299" s="6"/>
      <c r="G1299" s="6"/>
      <c r="H1299" s="6"/>
      <c r="I1299" s="6"/>
      <c r="J1299" s="6"/>
      <c r="K1299" s="6"/>
      <c r="L1299" s="80"/>
      <c r="M1299" s="80"/>
      <c r="N1299" s="80"/>
      <c r="O1299" s="80"/>
      <c r="P1299" s="6"/>
      <c r="Q1299" s="6"/>
      <c r="R1299" s="6"/>
      <c r="S1299" s="6"/>
      <c r="T1299" s="6"/>
      <c r="U1299" s="6"/>
      <c r="V1299" s="6"/>
      <c r="W1299" s="7"/>
      <c r="X1299" s="7"/>
      <c r="Y1299" s="7"/>
      <c r="Z1299" s="7"/>
    </row>
    <row r="1300">
      <c r="A1300" s="6"/>
      <c r="B1300" s="6"/>
      <c r="C1300" s="6"/>
      <c r="D1300" s="6"/>
      <c r="E1300" s="6"/>
      <c r="F1300" s="6"/>
      <c r="G1300" s="6"/>
      <c r="H1300" s="6"/>
      <c r="I1300" s="6"/>
      <c r="J1300" s="6"/>
      <c r="K1300" s="6"/>
      <c r="L1300" s="80"/>
      <c r="M1300" s="80"/>
      <c r="N1300" s="80"/>
      <c r="O1300" s="80"/>
      <c r="P1300" s="6"/>
      <c r="Q1300" s="6"/>
      <c r="R1300" s="6"/>
      <c r="S1300" s="6"/>
      <c r="T1300" s="6"/>
      <c r="U1300" s="6"/>
      <c r="V1300" s="6"/>
      <c r="W1300" s="7"/>
      <c r="X1300" s="7"/>
      <c r="Y1300" s="7"/>
      <c r="Z1300" s="7"/>
    </row>
    <row r="1301">
      <c r="A1301" s="6"/>
      <c r="B1301" s="6"/>
      <c r="C1301" s="6"/>
      <c r="D1301" s="6"/>
      <c r="E1301" s="6"/>
      <c r="F1301" s="6"/>
      <c r="G1301" s="6"/>
      <c r="H1301" s="6"/>
      <c r="I1301" s="6"/>
      <c r="J1301" s="6"/>
      <c r="K1301" s="6"/>
      <c r="L1301" s="80"/>
      <c r="M1301" s="80"/>
      <c r="N1301" s="80"/>
      <c r="O1301" s="80"/>
      <c r="P1301" s="6"/>
      <c r="Q1301" s="6"/>
      <c r="R1301" s="6"/>
      <c r="S1301" s="6"/>
      <c r="T1301" s="6"/>
      <c r="U1301" s="6"/>
      <c r="V1301" s="6"/>
      <c r="W1301" s="7"/>
      <c r="X1301" s="7"/>
      <c r="Y1301" s="7"/>
      <c r="Z1301" s="7"/>
    </row>
    <row r="1302">
      <c r="A1302" s="6"/>
      <c r="B1302" s="6"/>
      <c r="C1302" s="6"/>
      <c r="D1302" s="6"/>
      <c r="E1302" s="6"/>
      <c r="F1302" s="6"/>
      <c r="G1302" s="6"/>
      <c r="H1302" s="6"/>
      <c r="I1302" s="6"/>
      <c r="J1302" s="6"/>
      <c r="K1302" s="6"/>
      <c r="L1302" s="80"/>
      <c r="M1302" s="80"/>
      <c r="N1302" s="80"/>
      <c r="O1302" s="80"/>
      <c r="P1302" s="6"/>
      <c r="Q1302" s="6"/>
      <c r="R1302" s="6"/>
      <c r="S1302" s="6"/>
      <c r="T1302" s="6"/>
      <c r="U1302" s="6"/>
      <c r="V1302" s="6"/>
      <c r="W1302" s="7"/>
      <c r="X1302" s="7"/>
      <c r="Y1302" s="7"/>
      <c r="Z1302" s="7"/>
    </row>
    <row r="1303">
      <c r="A1303" s="6"/>
      <c r="B1303" s="6"/>
      <c r="C1303" s="6"/>
      <c r="D1303" s="6"/>
      <c r="E1303" s="6"/>
      <c r="F1303" s="6"/>
      <c r="G1303" s="6"/>
      <c r="H1303" s="6"/>
      <c r="I1303" s="6"/>
      <c r="J1303" s="6"/>
      <c r="K1303" s="6"/>
      <c r="L1303" s="80"/>
      <c r="M1303" s="80"/>
      <c r="N1303" s="80"/>
      <c r="O1303" s="80"/>
      <c r="P1303" s="6"/>
      <c r="Q1303" s="6"/>
      <c r="R1303" s="6"/>
      <c r="S1303" s="6"/>
      <c r="T1303" s="6"/>
      <c r="U1303" s="6"/>
      <c r="V1303" s="6"/>
      <c r="W1303" s="7"/>
      <c r="X1303" s="7"/>
      <c r="Y1303" s="7"/>
      <c r="Z1303" s="7"/>
    </row>
    <row r="1304">
      <c r="A1304" s="6"/>
      <c r="B1304" s="6"/>
      <c r="C1304" s="6"/>
      <c r="D1304" s="6"/>
      <c r="E1304" s="6"/>
      <c r="F1304" s="6"/>
      <c r="G1304" s="6"/>
      <c r="H1304" s="6"/>
      <c r="I1304" s="6"/>
      <c r="J1304" s="6"/>
      <c r="K1304" s="6"/>
      <c r="L1304" s="80"/>
      <c r="M1304" s="80"/>
      <c r="N1304" s="80"/>
      <c r="O1304" s="80"/>
      <c r="P1304" s="6"/>
      <c r="Q1304" s="6"/>
      <c r="R1304" s="6"/>
      <c r="S1304" s="6"/>
      <c r="T1304" s="6"/>
      <c r="U1304" s="6"/>
      <c r="V1304" s="6"/>
      <c r="W1304" s="7"/>
      <c r="X1304" s="7"/>
      <c r="Y1304" s="7"/>
      <c r="Z1304" s="7"/>
    </row>
    <row r="1305">
      <c r="A1305" s="6"/>
      <c r="B1305" s="6"/>
      <c r="C1305" s="6"/>
      <c r="D1305" s="6"/>
      <c r="E1305" s="6"/>
      <c r="F1305" s="6"/>
      <c r="G1305" s="6"/>
      <c r="H1305" s="6"/>
      <c r="I1305" s="6"/>
      <c r="J1305" s="6"/>
      <c r="K1305" s="6"/>
      <c r="L1305" s="80"/>
      <c r="M1305" s="80"/>
      <c r="N1305" s="80"/>
      <c r="O1305" s="80"/>
      <c r="P1305" s="6"/>
      <c r="Q1305" s="6"/>
      <c r="R1305" s="6"/>
      <c r="S1305" s="6"/>
      <c r="T1305" s="6"/>
      <c r="U1305" s="6"/>
      <c r="V1305" s="6"/>
      <c r="W1305" s="7"/>
      <c r="X1305" s="7"/>
      <c r="Y1305" s="7"/>
      <c r="Z1305" s="7"/>
    </row>
    <row r="1306">
      <c r="A1306" s="6"/>
      <c r="B1306" s="6"/>
      <c r="C1306" s="6"/>
      <c r="D1306" s="6"/>
      <c r="E1306" s="6"/>
      <c r="F1306" s="6"/>
      <c r="G1306" s="6"/>
      <c r="H1306" s="6"/>
      <c r="I1306" s="6"/>
      <c r="J1306" s="6"/>
      <c r="K1306" s="6"/>
      <c r="L1306" s="80"/>
      <c r="M1306" s="80"/>
      <c r="N1306" s="80"/>
      <c r="O1306" s="80"/>
      <c r="P1306" s="6"/>
      <c r="Q1306" s="6"/>
      <c r="R1306" s="6"/>
      <c r="S1306" s="6"/>
      <c r="T1306" s="6"/>
      <c r="U1306" s="6"/>
      <c r="V1306" s="6"/>
      <c r="W1306" s="7"/>
      <c r="X1306" s="7"/>
      <c r="Y1306" s="7"/>
      <c r="Z1306" s="7"/>
    </row>
    <row r="1307">
      <c r="A1307" s="6"/>
      <c r="B1307" s="6"/>
      <c r="C1307" s="6"/>
      <c r="D1307" s="6"/>
      <c r="E1307" s="6"/>
      <c r="F1307" s="6"/>
      <c r="G1307" s="6"/>
      <c r="H1307" s="6"/>
      <c r="I1307" s="6"/>
      <c r="J1307" s="6"/>
      <c r="K1307" s="6"/>
      <c r="L1307" s="80"/>
      <c r="M1307" s="80"/>
      <c r="N1307" s="80"/>
      <c r="O1307" s="80"/>
      <c r="P1307" s="6"/>
      <c r="Q1307" s="6"/>
      <c r="R1307" s="6"/>
      <c r="S1307" s="6"/>
      <c r="T1307" s="6"/>
      <c r="U1307" s="6"/>
      <c r="V1307" s="6"/>
      <c r="W1307" s="7"/>
      <c r="X1307" s="7"/>
      <c r="Y1307" s="7"/>
      <c r="Z1307" s="7"/>
    </row>
    <row r="1308">
      <c r="A1308" s="6"/>
      <c r="B1308" s="6"/>
      <c r="C1308" s="6"/>
      <c r="D1308" s="6"/>
      <c r="E1308" s="6"/>
      <c r="F1308" s="6"/>
      <c r="G1308" s="6"/>
      <c r="H1308" s="6"/>
      <c r="I1308" s="6"/>
      <c r="J1308" s="6"/>
      <c r="K1308" s="6"/>
      <c r="L1308" s="80"/>
      <c r="M1308" s="80"/>
      <c r="N1308" s="80"/>
      <c r="O1308" s="80"/>
      <c r="P1308" s="6"/>
      <c r="Q1308" s="6"/>
      <c r="R1308" s="6"/>
      <c r="S1308" s="6"/>
      <c r="T1308" s="6"/>
      <c r="U1308" s="6"/>
      <c r="V1308" s="6"/>
      <c r="W1308" s="7"/>
      <c r="X1308" s="7"/>
      <c r="Y1308" s="7"/>
      <c r="Z1308" s="7"/>
    </row>
    <row r="1309">
      <c r="A1309" s="6"/>
      <c r="B1309" s="6"/>
      <c r="C1309" s="6"/>
      <c r="D1309" s="6"/>
      <c r="E1309" s="6"/>
      <c r="F1309" s="6"/>
      <c r="G1309" s="6"/>
      <c r="H1309" s="6"/>
      <c r="I1309" s="6"/>
      <c r="J1309" s="6"/>
      <c r="K1309" s="6"/>
      <c r="L1309" s="80"/>
      <c r="M1309" s="80"/>
      <c r="N1309" s="80"/>
      <c r="O1309" s="80"/>
      <c r="P1309" s="6"/>
      <c r="Q1309" s="6"/>
      <c r="R1309" s="6"/>
      <c r="S1309" s="6"/>
      <c r="T1309" s="6"/>
      <c r="U1309" s="6"/>
      <c r="V1309" s="6"/>
      <c r="W1309" s="7"/>
      <c r="X1309" s="7"/>
      <c r="Y1309" s="7"/>
      <c r="Z1309" s="7"/>
    </row>
    <row r="1310">
      <c r="A1310" s="6"/>
      <c r="B1310" s="6"/>
      <c r="C1310" s="6"/>
      <c r="D1310" s="6"/>
      <c r="E1310" s="6"/>
      <c r="F1310" s="6"/>
      <c r="G1310" s="6"/>
      <c r="H1310" s="6"/>
      <c r="I1310" s="6"/>
      <c r="J1310" s="6"/>
      <c r="K1310" s="6"/>
      <c r="L1310" s="80"/>
      <c r="M1310" s="80"/>
      <c r="N1310" s="80"/>
      <c r="O1310" s="80"/>
      <c r="P1310" s="6"/>
      <c r="Q1310" s="6"/>
      <c r="R1310" s="6"/>
      <c r="S1310" s="6"/>
      <c r="T1310" s="6"/>
      <c r="U1310" s="6"/>
      <c r="V1310" s="6"/>
      <c r="W1310" s="7"/>
      <c r="X1310" s="7"/>
      <c r="Y1310" s="7"/>
      <c r="Z1310" s="7"/>
    </row>
    <row r="1311">
      <c r="A1311" s="6"/>
      <c r="B1311" s="6"/>
      <c r="C1311" s="6"/>
      <c r="D1311" s="6"/>
      <c r="E1311" s="6"/>
      <c r="F1311" s="6"/>
      <c r="G1311" s="6"/>
      <c r="H1311" s="6"/>
      <c r="I1311" s="6"/>
      <c r="J1311" s="6"/>
      <c r="K1311" s="6"/>
      <c r="L1311" s="80"/>
      <c r="M1311" s="80"/>
      <c r="N1311" s="80"/>
      <c r="O1311" s="80"/>
      <c r="P1311" s="6"/>
      <c r="Q1311" s="6"/>
      <c r="R1311" s="6"/>
      <c r="S1311" s="6"/>
      <c r="T1311" s="6"/>
      <c r="U1311" s="6"/>
      <c r="V1311" s="6"/>
      <c r="W1311" s="7"/>
      <c r="X1311" s="7"/>
      <c r="Y1311" s="7"/>
      <c r="Z1311" s="7"/>
    </row>
    <row r="1312">
      <c r="A1312" s="6"/>
      <c r="B1312" s="6"/>
      <c r="C1312" s="6"/>
      <c r="D1312" s="6"/>
      <c r="E1312" s="6"/>
      <c r="F1312" s="6"/>
      <c r="G1312" s="6"/>
      <c r="H1312" s="6"/>
      <c r="I1312" s="6"/>
      <c r="J1312" s="6"/>
      <c r="K1312" s="6"/>
      <c r="L1312" s="80"/>
      <c r="M1312" s="80"/>
      <c r="N1312" s="80"/>
      <c r="O1312" s="80"/>
      <c r="P1312" s="6"/>
      <c r="Q1312" s="6"/>
      <c r="R1312" s="6"/>
      <c r="S1312" s="6"/>
      <c r="T1312" s="6"/>
      <c r="U1312" s="6"/>
      <c r="V1312" s="6"/>
      <c r="W1312" s="7"/>
      <c r="X1312" s="7"/>
      <c r="Y1312" s="7"/>
      <c r="Z1312" s="7"/>
    </row>
    <row r="1313">
      <c r="A1313" s="6"/>
      <c r="B1313" s="6"/>
      <c r="C1313" s="6"/>
      <c r="D1313" s="6"/>
      <c r="E1313" s="6"/>
      <c r="F1313" s="6"/>
      <c r="G1313" s="6"/>
      <c r="H1313" s="6"/>
      <c r="I1313" s="6"/>
      <c r="J1313" s="6"/>
      <c r="K1313" s="6"/>
      <c r="L1313" s="80"/>
      <c r="M1313" s="80"/>
      <c r="N1313" s="80"/>
      <c r="O1313" s="80"/>
      <c r="P1313" s="6"/>
      <c r="Q1313" s="6"/>
      <c r="R1313" s="6"/>
      <c r="S1313" s="6"/>
      <c r="T1313" s="6"/>
      <c r="U1313" s="6"/>
      <c r="V1313" s="6"/>
      <c r="W1313" s="7"/>
      <c r="X1313" s="7"/>
      <c r="Y1313" s="7"/>
      <c r="Z1313" s="7"/>
    </row>
    <row r="1314">
      <c r="A1314" s="6"/>
      <c r="B1314" s="6"/>
      <c r="C1314" s="6"/>
      <c r="D1314" s="6"/>
      <c r="E1314" s="6"/>
      <c r="F1314" s="6"/>
      <c r="G1314" s="6"/>
      <c r="H1314" s="6"/>
      <c r="I1314" s="6"/>
      <c r="J1314" s="6"/>
      <c r="K1314" s="6"/>
      <c r="L1314" s="80"/>
      <c r="M1314" s="80"/>
      <c r="N1314" s="80"/>
      <c r="O1314" s="80"/>
      <c r="P1314" s="6"/>
      <c r="Q1314" s="6"/>
      <c r="R1314" s="6"/>
      <c r="S1314" s="6"/>
      <c r="T1314" s="6"/>
      <c r="U1314" s="6"/>
      <c r="V1314" s="6"/>
      <c r="W1314" s="7"/>
      <c r="X1314" s="7"/>
      <c r="Y1314" s="7"/>
      <c r="Z1314" s="7"/>
    </row>
    <row r="1315">
      <c r="A1315" s="6"/>
      <c r="B1315" s="6"/>
      <c r="C1315" s="6"/>
      <c r="D1315" s="6"/>
      <c r="E1315" s="6"/>
      <c r="F1315" s="6"/>
      <c r="G1315" s="6"/>
      <c r="H1315" s="6"/>
      <c r="I1315" s="6"/>
      <c r="J1315" s="6"/>
      <c r="K1315" s="6"/>
      <c r="L1315" s="80"/>
      <c r="M1315" s="80"/>
      <c r="N1315" s="80"/>
      <c r="O1315" s="80"/>
      <c r="P1315" s="6"/>
      <c r="Q1315" s="6"/>
      <c r="R1315" s="6"/>
      <c r="S1315" s="6"/>
      <c r="T1315" s="6"/>
      <c r="U1315" s="6"/>
      <c r="V1315" s="6"/>
      <c r="W1315" s="7"/>
      <c r="X1315" s="7"/>
      <c r="Y1315" s="7"/>
      <c r="Z1315" s="7"/>
    </row>
    <row r="1316">
      <c r="A1316" s="6"/>
      <c r="B1316" s="6"/>
      <c r="C1316" s="6"/>
      <c r="D1316" s="6"/>
      <c r="E1316" s="6"/>
      <c r="F1316" s="6"/>
      <c r="G1316" s="6"/>
      <c r="H1316" s="6"/>
      <c r="I1316" s="6"/>
      <c r="J1316" s="6"/>
      <c r="K1316" s="6"/>
      <c r="L1316" s="80"/>
      <c r="M1316" s="80"/>
      <c r="N1316" s="80"/>
      <c r="O1316" s="80"/>
      <c r="P1316" s="6"/>
      <c r="Q1316" s="6"/>
      <c r="R1316" s="6"/>
      <c r="S1316" s="6"/>
      <c r="T1316" s="6"/>
      <c r="U1316" s="6"/>
      <c r="V1316" s="6"/>
      <c r="W1316" s="7"/>
      <c r="X1316" s="7"/>
      <c r="Y1316" s="7"/>
      <c r="Z1316" s="7"/>
    </row>
    <row r="1317">
      <c r="A1317" s="6"/>
      <c r="B1317" s="6"/>
      <c r="C1317" s="6"/>
      <c r="D1317" s="6"/>
      <c r="E1317" s="6"/>
      <c r="F1317" s="6"/>
      <c r="G1317" s="6"/>
      <c r="H1317" s="6"/>
      <c r="I1317" s="6"/>
      <c r="J1317" s="6"/>
      <c r="K1317" s="6"/>
      <c r="L1317" s="80"/>
      <c r="M1317" s="80"/>
      <c r="N1317" s="80"/>
      <c r="O1317" s="80"/>
      <c r="P1317" s="6"/>
      <c r="Q1317" s="6"/>
      <c r="R1317" s="6"/>
      <c r="S1317" s="6"/>
      <c r="T1317" s="6"/>
      <c r="U1317" s="6"/>
      <c r="V1317" s="6"/>
      <c r="W1317" s="7"/>
      <c r="X1317" s="7"/>
      <c r="Y1317" s="7"/>
      <c r="Z1317" s="7"/>
    </row>
    <row r="1318">
      <c r="A1318" s="6"/>
      <c r="B1318" s="6"/>
      <c r="C1318" s="6"/>
      <c r="D1318" s="6"/>
      <c r="E1318" s="6"/>
      <c r="F1318" s="6"/>
      <c r="G1318" s="6"/>
      <c r="H1318" s="6"/>
      <c r="I1318" s="6"/>
      <c r="J1318" s="6"/>
      <c r="K1318" s="6"/>
      <c r="L1318" s="80"/>
      <c r="M1318" s="80"/>
      <c r="N1318" s="80"/>
      <c r="O1318" s="80"/>
      <c r="P1318" s="6"/>
      <c r="Q1318" s="6"/>
      <c r="R1318" s="6"/>
      <c r="S1318" s="6"/>
      <c r="T1318" s="6"/>
      <c r="U1318" s="6"/>
      <c r="V1318" s="6"/>
      <c r="W1318" s="7"/>
      <c r="X1318" s="7"/>
      <c r="Y1318" s="7"/>
      <c r="Z1318" s="7"/>
    </row>
    <row r="1319">
      <c r="A1319" s="6"/>
      <c r="B1319" s="6"/>
      <c r="C1319" s="6"/>
      <c r="D1319" s="6"/>
      <c r="E1319" s="6"/>
      <c r="F1319" s="6"/>
      <c r="G1319" s="6"/>
      <c r="H1319" s="6"/>
      <c r="I1319" s="6"/>
      <c r="J1319" s="6"/>
      <c r="K1319" s="6"/>
      <c r="L1319" s="80"/>
      <c r="M1319" s="80"/>
      <c r="N1319" s="80"/>
      <c r="O1319" s="80"/>
      <c r="P1319" s="6"/>
      <c r="Q1319" s="6"/>
      <c r="R1319" s="6"/>
      <c r="S1319" s="6"/>
      <c r="T1319" s="6"/>
      <c r="U1319" s="6"/>
      <c r="V1319" s="6"/>
      <c r="W1319" s="7"/>
      <c r="X1319" s="7"/>
      <c r="Y1319" s="7"/>
      <c r="Z1319" s="7"/>
    </row>
    <row r="1320">
      <c r="A1320" s="6"/>
      <c r="B1320" s="6"/>
      <c r="C1320" s="6"/>
      <c r="D1320" s="6"/>
      <c r="E1320" s="6"/>
      <c r="F1320" s="6"/>
      <c r="G1320" s="6"/>
      <c r="H1320" s="6"/>
      <c r="I1320" s="6"/>
      <c r="J1320" s="6"/>
      <c r="K1320" s="6"/>
      <c r="L1320" s="80"/>
      <c r="M1320" s="80"/>
      <c r="N1320" s="80"/>
      <c r="O1320" s="80"/>
      <c r="P1320" s="6"/>
      <c r="Q1320" s="6"/>
      <c r="R1320" s="6"/>
      <c r="S1320" s="6"/>
      <c r="T1320" s="6"/>
      <c r="U1320" s="6"/>
      <c r="V1320" s="6"/>
      <c r="W1320" s="7"/>
      <c r="X1320" s="7"/>
      <c r="Y1320" s="7"/>
      <c r="Z1320" s="7"/>
    </row>
    <row r="1321">
      <c r="A1321" s="6"/>
      <c r="B1321" s="6"/>
      <c r="C1321" s="6"/>
      <c r="D1321" s="6"/>
      <c r="E1321" s="6"/>
      <c r="F1321" s="6"/>
      <c r="G1321" s="6"/>
      <c r="H1321" s="6"/>
      <c r="I1321" s="6"/>
      <c r="J1321" s="6"/>
      <c r="K1321" s="6"/>
      <c r="L1321" s="80"/>
      <c r="M1321" s="80"/>
      <c r="N1321" s="80"/>
      <c r="O1321" s="80"/>
      <c r="P1321" s="6"/>
      <c r="Q1321" s="6"/>
      <c r="R1321" s="6"/>
      <c r="S1321" s="6"/>
      <c r="T1321" s="6"/>
      <c r="U1321" s="6"/>
      <c r="V1321" s="6"/>
      <c r="W1321" s="7"/>
      <c r="X1321" s="7"/>
      <c r="Y1321" s="7"/>
      <c r="Z1321" s="7"/>
    </row>
    <row r="1322">
      <c r="A1322" s="6"/>
      <c r="B1322" s="6"/>
      <c r="C1322" s="6"/>
      <c r="D1322" s="6"/>
      <c r="E1322" s="6"/>
      <c r="F1322" s="6"/>
      <c r="G1322" s="6"/>
      <c r="H1322" s="6"/>
      <c r="I1322" s="6"/>
      <c r="J1322" s="6"/>
      <c r="K1322" s="6"/>
      <c r="L1322" s="80"/>
      <c r="M1322" s="80"/>
      <c r="N1322" s="80"/>
      <c r="O1322" s="80"/>
      <c r="P1322" s="6"/>
      <c r="Q1322" s="6"/>
      <c r="R1322" s="6"/>
      <c r="S1322" s="6"/>
      <c r="T1322" s="6"/>
      <c r="U1322" s="6"/>
      <c r="V1322" s="6"/>
      <c r="W1322" s="7"/>
      <c r="X1322" s="7"/>
      <c r="Y1322" s="7"/>
      <c r="Z1322" s="7"/>
    </row>
    <row r="1323">
      <c r="A1323" s="6"/>
      <c r="B1323" s="6"/>
      <c r="C1323" s="6"/>
      <c r="D1323" s="6"/>
      <c r="E1323" s="6"/>
      <c r="F1323" s="6"/>
      <c r="G1323" s="6"/>
      <c r="H1323" s="6"/>
      <c r="I1323" s="6"/>
      <c r="J1323" s="6"/>
      <c r="K1323" s="6"/>
      <c r="L1323" s="80"/>
      <c r="M1323" s="80"/>
      <c r="N1323" s="80"/>
      <c r="O1323" s="80"/>
      <c r="P1323" s="6"/>
      <c r="Q1323" s="6"/>
      <c r="R1323" s="6"/>
      <c r="S1323" s="6"/>
      <c r="T1323" s="6"/>
      <c r="U1323" s="6"/>
      <c r="V1323" s="6"/>
      <c r="W1323" s="7"/>
      <c r="X1323" s="7"/>
      <c r="Y1323" s="7"/>
      <c r="Z1323" s="7"/>
    </row>
    <row r="1324">
      <c r="A1324" s="6"/>
      <c r="B1324" s="6"/>
      <c r="C1324" s="6"/>
      <c r="D1324" s="6"/>
      <c r="E1324" s="6"/>
      <c r="F1324" s="6"/>
      <c r="G1324" s="6"/>
      <c r="H1324" s="6"/>
      <c r="I1324" s="6"/>
      <c r="J1324" s="6"/>
      <c r="K1324" s="6"/>
      <c r="L1324" s="80"/>
      <c r="M1324" s="80"/>
      <c r="N1324" s="80"/>
      <c r="O1324" s="80"/>
      <c r="P1324" s="6"/>
      <c r="Q1324" s="6"/>
      <c r="R1324" s="6"/>
      <c r="S1324" s="6"/>
      <c r="T1324" s="6"/>
      <c r="U1324" s="6"/>
      <c r="V1324" s="6"/>
      <c r="W1324" s="7"/>
      <c r="X1324" s="7"/>
      <c r="Y1324" s="7"/>
      <c r="Z1324" s="7"/>
    </row>
    <row r="1325">
      <c r="A1325" s="6"/>
      <c r="B1325" s="6"/>
      <c r="C1325" s="6"/>
      <c r="D1325" s="6"/>
      <c r="E1325" s="6"/>
      <c r="F1325" s="6"/>
      <c r="G1325" s="6"/>
      <c r="H1325" s="6"/>
      <c r="I1325" s="6"/>
      <c r="J1325" s="6"/>
      <c r="K1325" s="6"/>
      <c r="L1325" s="80"/>
      <c r="M1325" s="80"/>
      <c r="N1325" s="80"/>
      <c r="O1325" s="80"/>
      <c r="P1325" s="6"/>
      <c r="Q1325" s="6"/>
      <c r="R1325" s="6"/>
      <c r="S1325" s="6"/>
      <c r="T1325" s="6"/>
      <c r="U1325" s="6"/>
      <c r="V1325" s="6"/>
      <c r="W1325" s="7"/>
      <c r="X1325" s="7"/>
      <c r="Y1325" s="7"/>
      <c r="Z1325" s="7"/>
    </row>
    <row r="1326">
      <c r="A1326" s="6"/>
      <c r="B1326" s="6"/>
      <c r="C1326" s="6"/>
      <c r="D1326" s="6"/>
      <c r="E1326" s="6"/>
      <c r="F1326" s="6"/>
      <c r="G1326" s="6"/>
      <c r="H1326" s="6"/>
      <c r="I1326" s="6"/>
      <c r="J1326" s="6"/>
      <c r="K1326" s="6"/>
      <c r="L1326" s="80"/>
      <c r="M1326" s="80"/>
      <c r="N1326" s="80"/>
      <c r="O1326" s="80"/>
      <c r="P1326" s="6"/>
      <c r="Q1326" s="6"/>
      <c r="R1326" s="6"/>
      <c r="S1326" s="6"/>
      <c r="T1326" s="6"/>
      <c r="U1326" s="6"/>
      <c r="V1326" s="6"/>
      <c r="W1326" s="7"/>
      <c r="X1326" s="7"/>
      <c r="Y1326" s="7"/>
      <c r="Z1326" s="7"/>
    </row>
    <row r="1327">
      <c r="A1327" s="6"/>
      <c r="B1327" s="6"/>
      <c r="C1327" s="6"/>
      <c r="D1327" s="6"/>
      <c r="E1327" s="6"/>
      <c r="F1327" s="6"/>
      <c r="G1327" s="6"/>
      <c r="H1327" s="6"/>
      <c r="I1327" s="6"/>
      <c r="J1327" s="6"/>
      <c r="K1327" s="6"/>
      <c r="L1327" s="80"/>
      <c r="M1327" s="80"/>
      <c r="N1327" s="80"/>
      <c r="O1327" s="80"/>
      <c r="P1327" s="6"/>
      <c r="Q1327" s="6"/>
      <c r="R1327" s="6"/>
      <c r="S1327" s="6"/>
      <c r="T1327" s="6"/>
      <c r="U1327" s="6"/>
      <c r="V1327" s="6"/>
      <c r="W1327" s="7"/>
      <c r="X1327" s="7"/>
      <c r="Y1327" s="7"/>
      <c r="Z1327" s="7"/>
    </row>
    <row r="1328">
      <c r="A1328" s="6"/>
      <c r="B1328" s="6"/>
      <c r="C1328" s="6"/>
      <c r="D1328" s="6"/>
      <c r="E1328" s="6"/>
      <c r="F1328" s="6"/>
      <c r="G1328" s="6"/>
      <c r="H1328" s="6"/>
      <c r="I1328" s="6"/>
      <c r="J1328" s="6"/>
      <c r="K1328" s="6"/>
      <c r="L1328" s="80"/>
      <c r="M1328" s="80"/>
      <c r="N1328" s="80"/>
      <c r="O1328" s="80"/>
      <c r="P1328" s="6"/>
      <c r="Q1328" s="6"/>
      <c r="R1328" s="6"/>
      <c r="S1328" s="6"/>
      <c r="T1328" s="6"/>
      <c r="U1328" s="6"/>
      <c r="V1328" s="6"/>
      <c r="W1328" s="7"/>
      <c r="X1328" s="7"/>
      <c r="Y1328" s="7"/>
      <c r="Z1328" s="7"/>
    </row>
    <row r="1329">
      <c r="A1329" s="6"/>
      <c r="B1329" s="6"/>
      <c r="C1329" s="6"/>
      <c r="D1329" s="6"/>
      <c r="E1329" s="6"/>
      <c r="F1329" s="6"/>
      <c r="G1329" s="6"/>
      <c r="H1329" s="6"/>
      <c r="I1329" s="6"/>
      <c r="J1329" s="6"/>
      <c r="K1329" s="6"/>
      <c r="L1329" s="80"/>
      <c r="M1329" s="80"/>
      <c r="N1329" s="80"/>
      <c r="O1329" s="80"/>
      <c r="P1329" s="6"/>
      <c r="Q1329" s="6"/>
      <c r="R1329" s="6"/>
      <c r="S1329" s="6"/>
      <c r="T1329" s="6"/>
      <c r="U1329" s="6"/>
      <c r="V1329" s="6"/>
      <c r="W1329" s="7"/>
      <c r="X1329" s="7"/>
      <c r="Y1329" s="7"/>
      <c r="Z1329" s="7"/>
    </row>
    <row r="1330">
      <c r="A1330" s="6"/>
      <c r="B1330" s="6"/>
      <c r="C1330" s="6"/>
      <c r="D1330" s="6"/>
      <c r="E1330" s="6"/>
      <c r="F1330" s="6"/>
      <c r="G1330" s="6"/>
      <c r="H1330" s="6"/>
      <c r="I1330" s="6"/>
      <c r="J1330" s="6"/>
      <c r="K1330" s="6"/>
      <c r="L1330" s="80"/>
      <c r="M1330" s="80"/>
      <c r="N1330" s="80"/>
      <c r="O1330" s="80"/>
      <c r="P1330" s="6"/>
      <c r="Q1330" s="6"/>
      <c r="R1330" s="6"/>
      <c r="S1330" s="6"/>
      <c r="T1330" s="6"/>
      <c r="U1330" s="6"/>
      <c r="V1330" s="6"/>
      <c r="W1330" s="7"/>
      <c r="X1330" s="7"/>
      <c r="Y1330" s="7"/>
      <c r="Z1330" s="7"/>
    </row>
    <row r="1331">
      <c r="A1331" s="6"/>
      <c r="B1331" s="6"/>
      <c r="C1331" s="6"/>
      <c r="D1331" s="6"/>
      <c r="E1331" s="6"/>
      <c r="F1331" s="6"/>
      <c r="G1331" s="6"/>
      <c r="H1331" s="6"/>
      <c r="I1331" s="6"/>
      <c r="J1331" s="6"/>
      <c r="K1331" s="6"/>
      <c r="L1331" s="80"/>
      <c r="M1331" s="80"/>
      <c r="N1331" s="80"/>
      <c r="O1331" s="80"/>
      <c r="P1331" s="6"/>
      <c r="Q1331" s="6"/>
      <c r="R1331" s="6"/>
      <c r="S1331" s="6"/>
      <c r="T1331" s="6"/>
      <c r="U1331" s="6"/>
      <c r="V1331" s="6"/>
      <c r="W1331" s="7"/>
      <c r="X1331" s="7"/>
      <c r="Y1331" s="7"/>
      <c r="Z1331" s="7"/>
    </row>
    <row r="1332">
      <c r="A1332" s="6"/>
      <c r="B1332" s="6"/>
      <c r="C1332" s="6"/>
      <c r="D1332" s="6"/>
      <c r="E1332" s="6"/>
      <c r="F1332" s="6"/>
      <c r="G1332" s="6"/>
      <c r="H1332" s="6"/>
      <c r="I1332" s="6"/>
      <c r="J1332" s="6"/>
      <c r="K1332" s="6"/>
      <c r="L1332" s="80"/>
      <c r="M1332" s="80"/>
      <c r="N1332" s="80"/>
      <c r="O1332" s="80"/>
      <c r="P1332" s="6"/>
      <c r="Q1332" s="6"/>
      <c r="R1332" s="6"/>
      <c r="S1332" s="6"/>
      <c r="T1332" s="6"/>
      <c r="U1332" s="6"/>
      <c r="V1332" s="6"/>
      <c r="W1332" s="7"/>
      <c r="X1332" s="7"/>
      <c r="Y1332" s="7"/>
      <c r="Z1332" s="7"/>
    </row>
    <row r="1333">
      <c r="A1333" s="6"/>
      <c r="B1333" s="6"/>
      <c r="C1333" s="6"/>
      <c r="D1333" s="6"/>
      <c r="E1333" s="6"/>
      <c r="F1333" s="6"/>
      <c r="G1333" s="6"/>
      <c r="H1333" s="6"/>
      <c r="I1333" s="6"/>
      <c r="J1333" s="6"/>
      <c r="K1333" s="6"/>
      <c r="L1333" s="80"/>
      <c r="M1333" s="80"/>
      <c r="N1333" s="80"/>
      <c r="O1333" s="80"/>
      <c r="P1333" s="6"/>
      <c r="Q1333" s="6"/>
      <c r="R1333" s="6"/>
      <c r="S1333" s="6"/>
      <c r="T1333" s="6"/>
      <c r="U1333" s="6"/>
      <c r="V1333" s="6"/>
      <c r="W1333" s="7"/>
      <c r="X1333" s="7"/>
      <c r="Y1333" s="7"/>
      <c r="Z1333" s="7"/>
    </row>
    <row r="1334">
      <c r="A1334" s="6"/>
      <c r="B1334" s="6"/>
      <c r="C1334" s="6"/>
      <c r="D1334" s="6"/>
      <c r="E1334" s="6"/>
      <c r="F1334" s="6"/>
      <c r="G1334" s="6"/>
      <c r="H1334" s="6"/>
      <c r="I1334" s="6"/>
      <c r="J1334" s="6"/>
      <c r="K1334" s="6"/>
      <c r="L1334" s="80"/>
      <c r="M1334" s="80"/>
      <c r="N1334" s="80"/>
      <c r="O1334" s="80"/>
      <c r="P1334" s="6"/>
      <c r="Q1334" s="6"/>
      <c r="R1334" s="6"/>
      <c r="S1334" s="6"/>
      <c r="T1334" s="6"/>
      <c r="U1334" s="6"/>
      <c r="V1334" s="6"/>
      <c r="W1334" s="7"/>
      <c r="X1334" s="7"/>
      <c r="Y1334" s="7"/>
      <c r="Z1334" s="7"/>
    </row>
    <row r="1335">
      <c r="A1335" s="6"/>
      <c r="B1335" s="6"/>
      <c r="C1335" s="6"/>
      <c r="D1335" s="6"/>
      <c r="E1335" s="6"/>
      <c r="F1335" s="6"/>
      <c r="G1335" s="6"/>
      <c r="H1335" s="6"/>
      <c r="I1335" s="6"/>
      <c r="J1335" s="6"/>
      <c r="K1335" s="6"/>
      <c r="L1335" s="80"/>
      <c r="M1335" s="80"/>
      <c r="N1335" s="80"/>
      <c r="O1335" s="80"/>
      <c r="P1335" s="6"/>
      <c r="Q1335" s="6"/>
      <c r="R1335" s="6"/>
      <c r="S1335" s="6"/>
      <c r="T1335" s="6"/>
      <c r="U1335" s="6"/>
      <c r="V1335" s="6"/>
      <c r="W1335" s="7"/>
      <c r="X1335" s="7"/>
      <c r="Y1335" s="7"/>
      <c r="Z1335" s="7"/>
    </row>
    <row r="1336">
      <c r="A1336" s="6"/>
      <c r="B1336" s="6"/>
      <c r="C1336" s="6"/>
      <c r="D1336" s="6"/>
      <c r="E1336" s="6"/>
      <c r="F1336" s="6"/>
      <c r="G1336" s="6"/>
      <c r="H1336" s="6"/>
      <c r="I1336" s="6"/>
      <c r="J1336" s="6"/>
      <c r="K1336" s="6"/>
      <c r="L1336" s="80"/>
      <c r="M1336" s="80"/>
      <c r="N1336" s="80"/>
      <c r="O1336" s="80"/>
      <c r="P1336" s="6"/>
      <c r="Q1336" s="6"/>
      <c r="R1336" s="6"/>
      <c r="S1336" s="6"/>
      <c r="T1336" s="6"/>
      <c r="U1336" s="6"/>
      <c r="V1336" s="6"/>
      <c r="W1336" s="7"/>
      <c r="X1336" s="7"/>
      <c r="Y1336" s="7"/>
      <c r="Z1336" s="7"/>
    </row>
    <row r="1337">
      <c r="A1337" s="6"/>
      <c r="B1337" s="6"/>
      <c r="C1337" s="6"/>
      <c r="D1337" s="6"/>
      <c r="E1337" s="6"/>
      <c r="F1337" s="6"/>
      <c r="G1337" s="6"/>
      <c r="H1337" s="6"/>
      <c r="I1337" s="6"/>
      <c r="J1337" s="6"/>
      <c r="K1337" s="6"/>
      <c r="L1337" s="80"/>
      <c r="M1337" s="80"/>
      <c r="N1337" s="80"/>
      <c r="O1337" s="80"/>
      <c r="P1337" s="6"/>
      <c r="Q1337" s="6"/>
      <c r="R1337" s="6"/>
      <c r="S1337" s="6"/>
      <c r="T1337" s="6"/>
      <c r="U1337" s="6"/>
      <c r="V1337" s="6"/>
      <c r="W1337" s="7"/>
      <c r="X1337" s="7"/>
      <c r="Y1337" s="7"/>
      <c r="Z1337" s="7"/>
    </row>
    <row r="1338">
      <c r="A1338" s="6"/>
      <c r="B1338" s="6"/>
      <c r="C1338" s="6"/>
      <c r="D1338" s="6"/>
      <c r="E1338" s="6"/>
      <c r="F1338" s="6"/>
      <c r="G1338" s="6"/>
      <c r="H1338" s="6"/>
      <c r="I1338" s="6"/>
      <c r="J1338" s="6"/>
      <c r="K1338" s="6"/>
      <c r="L1338" s="80"/>
      <c r="M1338" s="80"/>
      <c r="N1338" s="80"/>
      <c r="O1338" s="80"/>
      <c r="P1338" s="6"/>
      <c r="Q1338" s="6"/>
      <c r="R1338" s="6"/>
      <c r="S1338" s="6"/>
      <c r="T1338" s="6"/>
      <c r="U1338" s="6"/>
      <c r="V1338" s="6"/>
      <c r="W1338" s="7"/>
      <c r="X1338" s="7"/>
      <c r="Y1338" s="7"/>
      <c r="Z1338" s="7"/>
    </row>
    <row r="1339">
      <c r="A1339" s="6"/>
      <c r="B1339" s="6"/>
      <c r="C1339" s="6"/>
      <c r="D1339" s="6"/>
      <c r="E1339" s="6"/>
      <c r="F1339" s="6"/>
      <c r="G1339" s="6"/>
      <c r="H1339" s="6"/>
      <c r="I1339" s="6"/>
      <c r="J1339" s="6"/>
      <c r="K1339" s="6"/>
      <c r="L1339" s="80"/>
      <c r="M1339" s="80"/>
      <c r="N1339" s="80"/>
      <c r="O1339" s="80"/>
      <c r="P1339" s="6"/>
      <c r="Q1339" s="6"/>
      <c r="R1339" s="6"/>
      <c r="S1339" s="6"/>
      <c r="T1339" s="6"/>
      <c r="U1339" s="6"/>
      <c r="V1339" s="6"/>
      <c r="W1339" s="7"/>
      <c r="X1339" s="7"/>
      <c r="Y1339" s="7"/>
      <c r="Z1339" s="7"/>
    </row>
    <row r="1340">
      <c r="A1340" s="6"/>
      <c r="B1340" s="6"/>
      <c r="C1340" s="6"/>
      <c r="D1340" s="6"/>
      <c r="E1340" s="6"/>
      <c r="F1340" s="6"/>
      <c r="G1340" s="6"/>
      <c r="H1340" s="6"/>
      <c r="I1340" s="6"/>
      <c r="J1340" s="6"/>
      <c r="K1340" s="6"/>
      <c r="L1340" s="80"/>
      <c r="M1340" s="80"/>
      <c r="N1340" s="80"/>
      <c r="O1340" s="80"/>
      <c r="P1340" s="6"/>
      <c r="Q1340" s="6"/>
      <c r="R1340" s="6"/>
      <c r="S1340" s="6"/>
      <c r="T1340" s="6"/>
      <c r="U1340" s="6"/>
      <c r="V1340" s="6"/>
      <c r="W1340" s="7"/>
      <c r="X1340" s="7"/>
      <c r="Y1340" s="7"/>
      <c r="Z1340" s="7"/>
    </row>
    <row r="1341">
      <c r="A1341" s="6"/>
      <c r="B1341" s="6"/>
      <c r="C1341" s="6"/>
      <c r="D1341" s="6"/>
      <c r="E1341" s="6"/>
      <c r="F1341" s="6"/>
      <c r="G1341" s="6"/>
      <c r="H1341" s="6"/>
      <c r="I1341" s="6"/>
      <c r="J1341" s="6"/>
      <c r="K1341" s="6"/>
      <c r="L1341" s="80"/>
      <c r="M1341" s="80"/>
      <c r="N1341" s="80"/>
      <c r="O1341" s="80"/>
      <c r="P1341" s="6"/>
      <c r="Q1341" s="6"/>
      <c r="R1341" s="6"/>
      <c r="S1341" s="6"/>
      <c r="T1341" s="6"/>
      <c r="U1341" s="6"/>
      <c r="V1341" s="6"/>
      <c r="W1341" s="7"/>
      <c r="X1341" s="7"/>
      <c r="Y1341" s="7"/>
      <c r="Z1341" s="7"/>
    </row>
    <row r="1342">
      <c r="A1342" s="6"/>
      <c r="B1342" s="6"/>
      <c r="C1342" s="6"/>
      <c r="D1342" s="6"/>
      <c r="E1342" s="6"/>
      <c r="F1342" s="6"/>
      <c r="G1342" s="6"/>
      <c r="H1342" s="6"/>
      <c r="I1342" s="6"/>
      <c r="J1342" s="6"/>
      <c r="K1342" s="6"/>
      <c r="L1342" s="80"/>
      <c r="M1342" s="80"/>
      <c r="N1342" s="80"/>
      <c r="O1342" s="80"/>
      <c r="P1342" s="6"/>
      <c r="Q1342" s="6"/>
      <c r="R1342" s="6"/>
      <c r="S1342" s="6"/>
      <c r="T1342" s="6"/>
      <c r="U1342" s="6"/>
      <c r="V1342" s="6"/>
      <c r="W1342" s="7"/>
      <c r="X1342" s="7"/>
      <c r="Y1342" s="7"/>
      <c r="Z1342" s="7"/>
    </row>
    <row r="1343">
      <c r="A1343" s="6"/>
      <c r="B1343" s="6"/>
      <c r="C1343" s="6"/>
      <c r="D1343" s="6"/>
      <c r="E1343" s="6"/>
      <c r="F1343" s="6"/>
      <c r="G1343" s="6"/>
      <c r="H1343" s="6"/>
      <c r="I1343" s="6"/>
      <c r="J1343" s="6"/>
      <c r="K1343" s="6"/>
      <c r="L1343" s="80"/>
      <c r="M1343" s="80"/>
      <c r="N1343" s="80"/>
      <c r="O1343" s="80"/>
      <c r="P1343" s="6"/>
      <c r="Q1343" s="6"/>
      <c r="R1343" s="6"/>
      <c r="S1343" s="6"/>
      <c r="T1343" s="6"/>
      <c r="U1343" s="6"/>
      <c r="V1343" s="6"/>
      <c r="W1343" s="7"/>
      <c r="X1343" s="7"/>
      <c r="Y1343" s="7"/>
      <c r="Z1343" s="7"/>
    </row>
    <row r="1344">
      <c r="A1344" s="6"/>
      <c r="B1344" s="6"/>
      <c r="C1344" s="6"/>
      <c r="D1344" s="6"/>
      <c r="E1344" s="6"/>
      <c r="F1344" s="6"/>
      <c r="G1344" s="6"/>
      <c r="H1344" s="6"/>
      <c r="I1344" s="6"/>
      <c r="J1344" s="6"/>
      <c r="K1344" s="6"/>
      <c r="L1344" s="80"/>
      <c r="M1344" s="80"/>
      <c r="N1344" s="80"/>
      <c r="O1344" s="80"/>
      <c r="P1344" s="6"/>
      <c r="Q1344" s="6"/>
      <c r="R1344" s="6"/>
      <c r="S1344" s="6"/>
      <c r="T1344" s="6"/>
      <c r="U1344" s="6"/>
      <c r="V1344" s="6"/>
      <c r="W1344" s="7"/>
      <c r="X1344" s="7"/>
      <c r="Y1344" s="7"/>
      <c r="Z1344" s="7"/>
    </row>
    <row r="1345">
      <c r="A1345" s="6"/>
      <c r="B1345" s="6"/>
      <c r="C1345" s="6"/>
      <c r="D1345" s="6"/>
      <c r="E1345" s="6"/>
      <c r="F1345" s="6"/>
      <c r="G1345" s="6"/>
      <c r="H1345" s="6"/>
      <c r="I1345" s="6"/>
      <c r="J1345" s="6"/>
      <c r="K1345" s="6"/>
      <c r="L1345" s="80"/>
      <c r="M1345" s="80"/>
      <c r="N1345" s="80"/>
      <c r="O1345" s="80"/>
      <c r="P1345" s="6"/>
      <c r="Q1345" s="6"/>
      <c r="R1345" s="6"/>
      <c r="S1345" s="6"/>
      <c r="T1345" s="6"/>
      <c r="U1345" s="6"/>
      <c r="V1345" s="6"/>
      <c r="W1345" s="7"/>
      <c r="X1345" s="7"/>
      <c r="Y1345" s="7"/>
      <c r="Z1345" s="7"/>
    </row>
    <row r="1346">
      <c r="A1346" s="6"/>
      <c r="B1346" s="6"/>
      <c r="C1346" s="6"/>
      <c r="D1346" s="6"/>
      <c r="E1346" s="6"/>
      <c r="F1346" s="6"/>
      <c r="G1346" s="6"/>
      <c r="H1346" s="6"/>
      <c r="I1346" s="6"/>
      <c r="J1346" s="6"/>
      <c r="K1346" s="6"/>
      <c r="L1346" s="80"/>
      <c r="M1346" s="80"/>
      <c r="N1346" s="80"/>
      <c r="O1346" s="80"/>
      <c r="P1346" s="6"/>
      <c r="Q1346" s="6"/>
      <c r="R1346" s="6"/>
      <c r="S1346" s="6"/>
      <c r="T1346" s="6"/>
      <c r="U1346" s="6"/>
      <c r="V1346" s="6"/>
      <c r="W1346" s="7"/>
      <c r="X1346" s="7"/>
      <c r="Y1346" s="7"/>
      <c r="Z1346" s="7"/>
    </row>
    <row r="1347">
      <c r="A1347" s="6"/>
      <c r="B1347" s="6"/>
      <c r="C1347" s="6"/>
      <c r="D1347" s="6"/>
      <c r="E1347" s="6"/>
      <c r="F1347" s="6"/>
      <c r="G1347" s="6"/>
      <c r="H1347" s="6"/>
      <c r="I1347" s="6"/>
      <c r="J1347" s="6"/>
      <c r="K1347" s="6"/>
      <c r="L1347" s="80"/>
      <c r="M1347" s="80"/>
      <c r="N1347" s="80"/>
      <c r="O1347" s="80"/>
      <c r="P1347" s="6"/>
      <c r="Q1347" s="6"/>
      <c r="R1347" s="6"/>
      <c r="S1347" s="6"/>
      <c r="T1347" s="6"/>
      <c r="U1347" s="6"/>
      <c r="V1347" s="6"/>
      <c r="W1347" s="7"/>
      <c r="X1347" s="7"/>
      <c r="Y1347" s="7"/>
      <c r="Z1347" s="7"/>
    </row>
    <row r="1348">
      <c r="A1348" s="6"/>
      <c r="B1348" s="6"/>
      <c r="C1348" s="6"/>
      <c r="D1348" s="6"/>
      <c r="E1348" s="6"/>
      <c r="F1348" s="6"/>
      <c r="G1348" s="6"/>
      <c r="H1348" s="6"/>
      <c r="I1348" s="6"/>
      <c r="J1348" s="6"/>
      <c r="K1348" s="6"/>
      <c r="L1348" s="80"/>
      <c r="M1348" s="80"/>
      <c r="N1348" s="80"/>
      <c r="O1348" s="80"/>
      <c r="P1348" s="6"/>
      <c r="Q1348" s="6"/>
      <c r="R1348" s="6"/>
      <c r="S1348" s="6"/>
      <c r="T1348" s="6"/>
      <c r="U1348" s="6"/>
      <c r="V1348" s="6"/>
      <c r="W1348" s="7"/>
      <c r="X1348" s="7"/>
      <c r="Y1348" s="7"/>
      <c r="Z1348" s="7"/>
    </row>
    <row r="1349">
      <c r="A1349" s="6"/>
      <c r="B1349" s="6"/>
      <c r="C1349" s="6"/>
      <c r="D1349" s="6"/>
      <c r="E1349" s="6"/>
      <c r="F1349" s="6"/>
      <c r="G1349" s="6"/>
      <c r="H1349" s="6"/>
      <c r="I1349" s="6"/>
      <c r="J1349" s="6"/>
      <c r="K1349" s="6"/>
      <c r="L1349" s="80"/>
      <c r="M1349" s="80"/>
      <c r="N1349" s="80"/>
      <c r="O1349" s="80"/>
      <c r="P1349" s="6"/>
      <c r="Q1349" s="6"/>
      <c r="R1349" s="6"/>
      <c r="S1349" s="6"/>
      <c r="T1349" s="6"/>
      <c r="U1349" s="6"/>
      <c r="V1349" s="6"/>
      <c r="W1349" s="7"/>
      <c r="X1349" s="7"/>
      <c r="Y1349" s="7"/>
      <c r="Z1349" s="7"/>
    </row>
    <row r="1350">
      <c r="A1350" s="6"/>
      <c r="B1350" s="6"/>
      <c r="C1350" s="6"/>
      <c r="D1350" s="6"/>
      <c r="E1350" s="6"/>
      <c r="F1350" s="6"/>
      <c r="G1350" s="6"/>
      <c r="H1350" s="6"/>
      <c r="I1350" s="6"/>
      <c r="J1350" s="6"/>
      <c r="K1350" s="6"/>
      <c r="L1350" s="80"/>
      <c r="M1350" s="80"/>
      <c r="N1350" s="80"/>
      <c r="O1350" s="80"/>
      <c r="P1350" s="6"/>
      <c r="Q1350" s="6"/>
      <c r="R1350" s="6"/>
      <c r="S1350" s="6"/>
      <c r="T1350" s="6"/>
      <c r="U1350" s="6"/>
      <c r="V1350" s="6"/>
      <c r="W1350" s="7"/>
      <c r="X1350" s="7"/>
      <c r="Y1350" s="7"/>
      <c r="Z1350" s="7"/>
    </row>
    <row r="1351">
      <c r="A1351" s="6"/>
      <c r="B1351" s="6"/>
      <c r="C1351" s="6"/>
      <c r="D1351" s="6"/>
      <c r="E1351" s="6"/>
      <c r="F1351" s="6"/>
      <c r="G1351" s="6"/>
      <c r="H1351" s="6"/>
      <c r="I1351" s="6"/>
      <c r="J1351" s="6"/>
      <c r="K1351" s="6"/>
      <c r="L1351" s="80"/>
      <c r="M1351" s="80"/>
      <c r="N1351" s="80"/>
      <c r="O1351" s="80"/>
      <c r="P1351" s="6"/>
      <c r="Q1351" s="6"/>
      <c r="R1351" s="6"/>
      <c r="S1351" s="6"/>
      <c r="T1351" s="6"/>
      <c r="U1351" s="6"/>
      <c r="V1351" s="6"/>
      <c r="W1351" s="7"/>
      <c r="X1351" s="7"/>
      <c r="Y1351" s="7"/>
      <c r="Z1351" s="7"/>
    </row>
    <row r="1352">
      <c r="A1352" s="6"/>
      <c r="B1352" s="6"/>
      <c r="C1352" s="6"/>
      <c r="D1352" s="6"/>
      <c r="E1352" s="6"/>
      <c r="F1352" s="6"/>
      <c r="G1352" s="6"/>
      <c r="H1352" s="6"/>
      <c r="I1352" s="6"/>
      <c r="J1352" s="6"/>
      <c r="K1352" s="6"/>
      <c r="L1352" s="80"/>
      <c r="M1352" s="80"/>
      <c r="N1352" s="80"/>
      <c r="O1352" s="80"/>
      <c r="P1352" s="6"/>
      <c r="Q1352" s="6"/>
      <c r="R1352" s="6"/>
      <c r="S1352" s="6"/>
      <c r="T1352" s="6"/>
      <c r="U1352" s="6"/>
      <c r="V1352" s="6"/>
      <c r="W1352" s="7"/>
      <c r="X1352" s="7"/>
      <c r="Y1352" s="7"/>
      <c r="Z1352" s="7"/>
    </row>
    <row r="1353">
      <c r="A1353" s="6"/>
      <c r="B1353" s="6"/>
      <c r="C1353" s="6"/>
      <c r="D1353" s="6"/>
      <c r="E1353" s="6"/>
      <c r="F1353" s="6"/>
      <c r="G1353" s="6"/>
      <c r="H1353" s="6"/>
      <c r="I1353" s="6"/>
      <c r="J1353" s="6"/>
      <c r="K1353" s="6"/>
      <c r="L1353" s="80"/>
      <c r="M1353" s="80"/>
      <c r="N1353" s="80"/>
      <c r="O1353" s="80"/>
      <c r="P1353" s="6"/>
      <c r="Q1353" s="6"/>
      <c r="R1353" s="6"/>
      <c r="S1353" s="6"/>
      <c r="T1353" s="6"/>
      <c r="U1353" s="6"/>
      <c r="V1353" s="6"/>
      <c r="W1353" s="7"/>
      <c r="X1353" s="7"/>
      <c r="Y1353" s="7"/>
      <c r="Z1353" s="7"/>
    </row>
    <row r="1354">
      <c r="A1354" s="6"/>
      <c r="B1354" s="6"/>
      <c r="C1354" s="6"/>
      <c r="D1354" s="6"/>
      <c r="E1354" s="6"/>
      <c r="F1354" s="6"/>
      <c r="G1354" s="6"/>
      <c r="H1354" s="6"/>
      <c r="I1354" s="6"/>
      <c r="J1354" s="6"/>
      <c r="K1354" s="6"/>
      <c r="L1354" s="80"/>
      <c r="M1354" s="80"/>
      <c r="N1354" s="80"/>
      <c r="O1354" s="80"/>
      <c r="P1354" s="6"/>
      <c r="Q1354" s="6"/>
      <c r="R1354" s="6"/>
      <c r="S1354" s="6"/>
      <c r="T1354" s="6"/>
      <c r="U1354" s="6"/>
      <c r="V1354" s="6"/>
      <c r="W1354" s="7"/>
      <c r="X1354" s="7"/>
      <c r="Y1354" s="7"/>
      <c r="Z1354" s="7"/>
    </row>
    <row r="1355">
      <c r="A1355" s="6"/>
      <c r="B1355" s="6"/>
      <c r="C1355" s="6"/>
      <c r="D1355" s="6"/>
      <c r="E1355" s="6"/>
      <c r="F1355" s="6"/>
      <c r="G1355" s="6"/>
      <c r="H1355" s="6"/>
      <c r="I1355" s="6"/>
      <c r="J1355" s="6"/>
      <c r="K1355" s="6"/>
      <c r="L1355" s="80"/>
      <c r="M1355" s="80"/>
      <c r="N1355" s="80"/>
      <c r="O1355" s="80"/>
      <c r="P1355" s="6"/>
      <c r="Q1355" s="6"/>
      <c r="R1355" s="6"/>
      <c r="S1355" s="6"/>
      <c r="T1355" s="6"/>
      <c r="U1355" s="6"/>
      <c r="V1355" s="6"/>
      <c r="W1355" s="7"/>
      <c r="X1355" s="7"/>
      <c r="Y1355" s="7"/>
      <c r="Z1355" s="7"/>
    </row>
    <row r="1356">
      <c r="A1356" s="6"/>
      <c r="B1356" s="6"/>
      <c r="C1356" s="6"/>
      <c r="D1356" s="6"/>
      <c r="E1356" s="6"/>
      <c r="F1356" s="6"/>
      <c r="G1356" s="6"/>
      <c r="H1356" s="6"/>
      <c r="I1356" s="6"/>
      <c r="J1356" s="6"/>
      <c r="K1356" s="6"/>
      <c r="L1356" s="80"/>
      <c r="M1356" s="80"/>
      <c r="N1356" s="80"/>
      <c r="O1356" s="80"/>
      <c r="P1356" s="6"/>
      <c r="Q1356" s="6"/>
      <c r="R1356" s="6"/>
      <c r="S1356" s="6"/>
      <c r="T1356" s="6"/>
      <c r="U1356" s="6"/>
      <c r="V1356" s="6"/>
      <c r="W1356" s="7"/>
      <c r="X1356" s="7"/>
      <c r="Y1356" s="7"/>
      <c r="Z1356" s="7"/>
    </row>
    <row r="1357">
      <c r="A1357" s="6"/>
      <c r="B1357" s="6"/>
      <c r="C1357" s="6"/>
      <c r="D1357" s="6"/>
      <c r="E1357" s="6"/>
      <c r="F1357" s="6"/>
      <c r="G1357" s="6"/>
      <c r="H1357" s="6"/>
      <c r="I1357" s="6"/>
      <c r="J1357" s="6"/>
      <c r="K1357" s="6"/>
      <c r="L1357" s="80"/>
      <c r="M1357" s="80"/>
      <c r="N1357" s="80"/>
      <c r="O1357" s="80"/>
      <c r="P1357" s="6"/>
      <c r="Q1357" s="6"/>
      <c r="R1357" s="6"/>
      <c r="S1357" s="6"/>
      <c r="T1357" s="6"/>
      <c r="U1357" s="6"/>
      <c r="V1357" s="6"/>
      <c r="W1357" s="7"/>
      <c r="X1357" s="7"/>
      <c r="Y1357" s="7"/>
      <c r="Z1357" s="7"/>
    </row>
    <row r="1358">
      <c r="A1358" s="6"/>
      <c r="B1358" s="6"/>
      <c r="C1358" s="6"/>
      <c r="D1358" s="6"/>
      <c r="E1358" s="6"/>
      <c r="F1358" s="6"/>
      <c r="G1358" s="6"/>
      <c r="H1358" s="6"/>
      <c r="I1358" s="6"/>
      <c r="J1358" s="6"/>
      <c r="K1358" s="6"/>
      <c r="L1358" s="80"/>
      <c r="M1358" s="80"/>
      <c r="N1358" s="80"/>
      <c r="O1358" s="80"/>
      <c r="P1358" s="6"/>
      <c r="Q1358" s="6"/>
      <c r="R1358" s="6"/>
      <c r="S1358" s="6"/>
      <c r="T1358" s="6"/>
      <c r="U1358" s="6"/>
      <c r="V1358" s="6"/>
      <c r="W1358" s="7"/>
      <c r="X1358" s="7"/>
      <c r="Y1358" s="7"/>
      <c r="Z1358" s="7"/>
    </row>
    <row r="1359">
      <c r="A1359" s="6"/>
      <c r="B1359" s="6"/>
      <c r="C1359" s="6"/>
      <c r="D1359" s="6"/>
      <c r="E1359" s="6"/>
      <c r="F1359" s="6"/>
      <c r="G1359" s="6"/>
      <c r="H1359" s="6"/>
      <c r="I1359" s="6"/>
      <c r="J1359" s="6"/>
      <c r="K1359" s="6"/>
      <c r="L1359" s="80"/>
      <c r="M1359" s="80"/>
      <c r="N1359" s="80"/>
      <c r="O1359" s="80"/>
      <c r="P1359" s="6"/>
      <c r="Q1359" s="6"/>
      <c r="R1359" s="6"/>
      <c r="S1359" s="6"/>
      <c r="T1359" s="6"/>
      <c r="U1359" s="6"/>
      <c r="V1359" s="6"/>
      <c r="W1359" s="7"/>
      <c r="X1359" s="7"/>
      <c r="Y1359" s="7"/>
      <c r="Z1359" s="7"/>
    </row>
    <row r="1360">
      <c r="A1360" s="6"/>
      <c r="B1360" s="6"/>
      <c r="C1360" s="6"/>
      <c r="D1360" s="6"/>
      <c r="E1360" s="6"/>
      <c r="F1360" s="6"/>
      <c r="G1360" s="6"/>
      <c r="H1360" s="6"/>
      <c r="I1360" s="6"/>
      <c r="J1360" s="6"/>
      <c r="K1360" s="6"/>
      <c r="L1360" s="80"/>
      <c r="M1360" s="80"/>
      <c r="N1360" s="80"/>
      <c r="O1360" s="80"/>
      <c r="P1360" s="6"/>
      <c r="Q1360" s="6"/>
      <c r="R1360" s="6"/>
      <c r="S1360" s="6"/>
      <c r="T1360" s="6"/>
      <c r="U1360" s="6"/>
      <c r="V1360" s="6"/>
      <c r="W1360" s="7"/>
      <c r="X1360" s="7"/>
      <c r="Y1360" s="7"/>
      <c r="Z1360" s="7"/>
    </row>
    <row r="1361">
      <c r="A1361" s="6"/>
      <c r="B1361" s="6"/>
      <c r="C1361" s="6"/>
      <c r="D1361" s="6"/>
      <c r="E1361" s="6"/>
      <c r="F1361" s="6"/>
      <c r="G1361" s="6"/>
      <c r="H1361" s="6"/>
      <c r="I1361" s="6"/>
      <c r="J1361" s="6"/>
      <c r="K1361" s="6"/>
      <c r="L1361" s="80"/>
      <c r="M1361" s="80"/>
      <c r="N1361" s="80"/>
      <c r="O1361" s="80"/>
      <c r="P1361" s="6"/>
      <c r="Q1361" s="6"/>
      <c r="R1361" s="6"/>
      <c r="S1361" s="6"/>
      <c r="T1361" s="6"/>
      <c r="U1361" s="6"/>
      <c r="V1361" s="6"/>
      <c r="W1361" s="7"/>
      <c r="X1361" s="7"/>
      <c r="Y1361" s="7"/>
      <c r="Z1361" s="7"/>
    </row>
    <row r="1362">
      <c r="A1362" s="6"/>
      <c r="B1362" s="6"/>
      <c r="C1362" s="6"/>
      <c r="D1362" s="6"/>
      <c r="E1362" s="6"/>
      <c r="F1362" s="6"/>
      <c r="G1362" s="6"/>
      <c r="H1362" s="6"/>
      <c r="I1362" s="6"/>
      <c r="J1362" s="6"/>
      <c r="K1362" s="6"/>
      <c r="L1362" s="80"/>
      <c r="M1362" s="80"/>
      <c r="N1362" s="80"/>
      <c r="O1362" s="80"/>
      <c r="P1362" s="6"/>
      <c r="Q1362" s="6"/>
      <c r="R1362" s="6"/>
      <c r="S1362" s="6"/>
      <c r="T1362" s="6"/>
      <c r="U1362" s="6"/>
      <c r="V1362" s="6"/>
      <c r="W1362" s="7"/>
      <c r="X1362" s="7"/>
      <c r="Y1362" s="7"/>
      <c r="Z1362" s="7"/>
    </row>
    <row r="1363">
      <c r="A1363" s="6"/>
      <c r="B1363" s="6"/>
      <c r="C1363" s="6"/>
      <c r="D1363" s="6"/>
      <c r="E1363" s="6"/>
      <c r="F1363" s="6"/>
      <c r="G1363" s="6"/>
      <c r="H1363" s="6"/>
      <c r="I1363" s="6"/>
      <c r="J1363" s="6"/>
      <c r="K1363" s="6"/>
      <c r="L1363" s="80"/>
      <c r="M1363" s="80"/>
      <c r="N1363" s="80"/>
      <c r="O1363" s="80"/>
      <c r="P1363" s="6"/>
      <c r="Q1363" s="6"/>
      <c r="R1363" s="6"/>
      <c r="S1363" s="6"/>
      <c r="T1363" s="6"/>
      <c r="U1363" s="6"/>
      <c r="V1363" s="6"/>
      <c r="W1363" s="7"/>
      <c r="X1363" s="7"/>
      <c r="Y1363" s="7"/>
      <c r="Z1363" s="7"/>
    </row>
    <row r="1364">
      <c r="A1364" s="6"/>
      <c r="B1364" s="6"/>
      <c r="C1364" s="6"/>
      <c r="D1364" s="6"/>
      <c r="E1364" s="6"/>
      <c r="F1364" s="6"/>
      <c r="G1364" s="6"/>
      <c r="H1364" s="6"/>
      <c r="I1364" s="6"/>
      <c r="J1364" s="6"/>
      <c r="K1364" s="6"/>
      <c r="L1364" s="80"/>
      <c r="M1364" s="80"/>
      <c r="N1364" s="80"/>
      <c r="O1364" s="80"/>
      <c r="P1364" s="6"/>
      <c r="Q1364" s="6"/>
      <c r="R1364" s="6"/>
      <c r="S1364" s="6"/>
      <c r="T1364" s="6"/>
      <c r="U1364" s="6"/>
      <c r="V1364" s="6"/>
      <c r="W1364" s="7"/>
      <c r="X1364" s="7"/>
      <c r="Y1364" s="7"/>
      <c r="Z1364" s="7"/>
    </row>
    <row r="1365">
      <c r="A1365" s="6"/>
      <c r="B1365" s="6"/>
      <c r="C1365" s="6"/>
      <c r="D1365" s="6"/>
      <c r="E1365" s="6"/>
      <c r="F1365" s="6"/>
      <c r="G1365" s="6"/>
      <c r="H1365" s="6"/>
      <c r="I1365" s="6"/>
      <c r="J1365" s="6"/>
      <c r="K1365" s="6"/>
      <c r="L1365" s="80"/>
      <c r="M1365" s="80"/>
      <c r="N1365" s="80"/>
      <c r="O1365" s="80"/>
      <c r="P1365" s="6"/>
      <c r="Q1365" s="6"/>
      <c r="R1365" s="6"/>
      <c r="S1365" s="6"/>
      <c r="T1365" s="6"/>
      <c r="U1365" s="6"/>
      <c r="V1365" s="6"/>
      <c r="W1365" s="7"/>
      <c r="X1365" s="7"/>
      <c r="Y1365" s="7"/>
      <c r="Z1365" s="7"/>
    </row>
    <row r="1366">
      <c r="A1366" s="6"/>
      <c r="B1366" s="6"/>
      <c r="C1366" s="6"/>
      <c r="D1366" s="6"/>
      <c r="E1366" s="6"/>
      <c r="F1366" s="6"/>
      <c r="G1366" s="6"/>
      <c r="H1366" s="6"/>
      <c r="I1366" s="6"/>
      <c r="J1366" s="6"/>
      <c r="K1366" s="6"/>
      <c r="L1366" s="80"/>
      <c r="M1366" s="80"/>
      <c r="N1366" s="80"/>
      <c r="O1366" s="80"/>
      <c r="P1366" s="6"/>
      <c r="Q1366" s="6"/>
      <c r="R1366" s="6"/>
      <c r="S1366" s="6"/>
      <c r="T1366" s="6"/>
      <c r="U1366" s="6"/>
      <c r="V1366" s="6"/>
      <c r="W1366" s="7"/>
      <c r="X1366" s="7"/>
      <c r="Y1366" s="7"/>
      <c r="Z1366" s="7"/>
    </row>
    <row r="1367">
      <c r="A1367" s="6"/>
      <c r="B1367" s="6"/>
      <c r="C1367" s="6"/>
      <c r="D1367" s="6"/>
      <c r="E1367" s="6"/>
      <c r="F1367" s="6"/>
      <c r="G1367" s="6"/>
      <c r="H1367" s="6"/>
      <c r="I1367" s="6"/>
      <c r="J1367" s="6"/>
      <c r="K1367" s="6"/>
      <c r="L1367" s="80"/>
      <c r="M1367" s="80"/>
      <c r="N1367" s="80"/>
      <c r="O1367" s="80"/>
      <c r="P1367" s="6"/>
      <c r="Q1367" s="6"/>
      <c r="R1367" s="6"/>
      <c r="S1367" s="6"/>
      <c r="T1367" s="6"/>
      <c r="U1367" s="6"/>
      <c r="V1367" s="6"/>
      <c r="W1367" s="7"/>
      <c r="X1367" s="7"/>
      <c r="Y1367" s="7"/>
      <c r="Z1367" s="7"/>
    </row>
    <row r="1368">
      <c r="A1368" s="6"/>
      <c r="B1368" s="6"/>
      <c r="C1368" s="6"/>
      <c r="D1368" s="6"/>
      <c r="E1368" s="6"/>
      <c r="F1368" s="6"/>
      <c r="G1368" s="6"/>
      <c r="H1368" s="6"/>
      <c r="I1368" s="6"/>
      <c r="J1368" s="6"/>
      <c r="K1368" s="6"/>
      <c r="L1368" s="80"/>
      <c r="M1368" s="80"/>
      <c r="N1368" s="80"/>
      <c r="O1368" s="80"/>
      <c r="P1368" s="6"/>
      <c r="Q1368" s="6"/>
      <c r="R1368" s="6"/>
      <c r="S1368" s="6"/>
      <c r="T1368" s="6"/>
      <c r="U1368" s="6"/>
      <c r="V1368" s="6"/>
      <c r="W1368" s="7"/>
      <c r="X1368" s="7"/>
      <c r="Y1368" s="7"/>
      <c r="Z1368" s="7"/>
    </row>
    <row r="1369">
      <c r="A1369" s="6"/>
      <c r="B1369" s="6"/>
      <c r="C1369" s="6"/>
      <c r="D1369" s="6"/>
      <c r="E1369" s="6"/>
      <c r="F1369" s="6"/>
      <c r="G1369" s="6"/>
      <c r="H1369" s="6"/>
      <c r="I1369" s="6"/>
      <c r="J1369" s="6"/>
      <c r="K1369" s="6"/>
      <c r="L1369" s="80"/>
      <c r="M1369" s="80"/>
      <c r="N1369" s="80"/>
      <c r="O1369" s="80"/>
      <c r="P1369" s="6"/>
      <c r="Q1369" s="6"/>
      <c r="R1369" s="6"/>
      <c r="S1369" s="6"/>
      <c r="T1369" s="6"/>
      <c r="U1369" s="6"/>
      <c r="V1369" s="6"/>
      <c r="W1369" s="7"/>
      <c r="X1369" s="7"/>
      <c r="Y1369" s="7"/>
      <c r="Z1369" s="7"/>
    </row>
    <row r="1370">
      <c r="A1370" s="6"/>
      <c r="B1370" s="6"/>
      <c r="C1370" s="6"/>
      <c r="D1370" s="6"/>
      <c r="E1370" s="6"/>
      <c r="F1370" s="6"/>
      <c r="G1370" s="6"/>
      <c r="H1370" s="6"/>
      <c r="I1370" s="6"/>
      <c r="J1370" s="6"/>
      <c r="K1370" s="6"/>
      <c r="L1370" s="80"/>
      <c r="M1370" s="80"/>
      <c r="N1370" s="80"/>
      <c r="O1370" s="80"/>
      <c r="P1370" s="6"/>
      <c r="Q1370" s="6"/>
      <c r="R1370" s="6"/>
      <c r="S1370" s="6"/>
      <c r="T1370" s="6"/>
      <c r="U1370" s="6"/>
      <c r="V1370" s="6"/>
      <c r="W1370" s="7"/>
      <c r="X1370" s="7"/>
      <c r="Y1370" s="7"/>
      <c r="Z1370" s="7"/>
    </row>
    <row r="1371">
      <c r="A1371" s="6"/>
      <c r="B1371" s="6"/>
      <c r="C1371" s="6"/>
      <c r="D1371" s="6"/>
      <c r="E1371" s="6"/>
      <c r="F1371" s="6"/>
      <c r="G1371" s="6"/>
      <c r="H1371" s="6"/>
      <c r="I1371" s="6"/>
      <c r="J1371" s="6"/>
      <c r="K1371" s="6"/>
      <c r="L1371" s="80"/>
      <c r="M1371" s="80"/>
      <c r="N1371" s="80"/>
      <c r="O1371" s="80"/>
      <c r="P1371" s="6"/>
      <c r="Q1371" s="6"/>
      <c r="R1371" s="6"/>
      <c r="S1371" s="6"/>
      <c r="T1371" s="6"/>
      <c r="U1371" s="6"/>
      <c r="V1371" s="6"/>
      <c r="W1371" s="7"/>
      <c r="X1371" s="7"/>
      <c r="Y1371" s="7"/>
      <c r="Z1371" s="7"/>
    </row>
    <row r="1372">
      <c r="A1372" s="6"/>
      <c r="B1372" s="6"/>
      <c r="C1372" s="6"/>
      <c r="D1372" s="6"/>
      <c r="E1372" s="6"/>
      <c r="F1372" s="6"/>
      <c r="G1372" s="6"/>
      <c r="H1372" s="6"/>
      <c r="I1372" s="6"/>
      <c r="J1372" s="6"/>
      <c r="K1372" s="6"/>
      <c r="L1372" s="80"/>
      <c r="M1372" s="80"/>
      <c r="N1372" s="80"/>
      <c r="O1372" s="80"/>
      <c r="P1372" s="6"/>
      <c r="Q1372" s="6"/>
      <c r="R1372" s="6"/>
      <c r="S1372" s="6"/>
      <c r="T1372" s="6"/>
      <c r="U1372" s="6"/>
      <c r="V1372" s="6"/>
      <c r="W1372" s="7"/>
      <c r="X1372" s="7"/>
      <c r="Y1372" s="7"/>
      <c r="Z1372" s="7"/>
    </row>
    <row r="1373">
      <c r="A1373" s="6"/>
      <c r="B1373" s="6"/>
      <c r="C1373" s="6"/>
      <c r="D1373" s="6"/>
      <c r="E1373" s="6"/>
      <c r="F1373" s="6"/>
      <c r="G1373" s="6"/>
      <c r="H1373" s="6"/>
      <c r="I1373" s="6"/>
      <c r="J1373" s="6"/>
      <c r="K1373" s="6"/>
      <c r="L1373" s="80"/>
      <c r="M1373" s="80"/>
      <c r="N1373" s="80"/>
      <c r="O1373" s="80"/>
      <c r="P1373" s="6"/>
      <c r="Q1373" s="6"/>
      <c r="R1373" s="6"/>
      <c r="S1373" s="6"/>
      <c r="T1373" s="6"/>
      <c r="U1373" s="6"/>
      <c r="V1373" s="6"/>
      <c r="W1373" s="7"/>
      <c r="X1373" s="7"/>
      <c r="Y1373" s="7"/>
      <c r="Z1373" s="7"/>
    </row>
    <row r="1374">
      <c r="A1374" s="6"/>
      <c r="B1374" s="6"/>
      <c r="C1374" s="6"/>
      <c r="D1374" s="6"/>
      <c r="E1374" s="6"/>
      <c r="F1374" s="6"/>
      <c r="G1374" s="6"/>
      <c r="H1374" s="6"/>
      <c r="I1374" s="6"/>
      <c r="J1374" s="6"/>
      <c r="K1374" s="6"/>
      <c r="L1374" s="80"/>
      <c r="M1374" s="80"/>
      <c r="N1374" s="80"/>
      <c r="O1374" s="80"/>
      <c r="P1374" s="6"/>
      <c r="Q1374" s="6"/>
      <c r="R1374" s="6"/>
      <c r="S1374" s="6"/>
      <c r="T1374" s="6"/>
      <c r="U1374" s="6"/>
      <c r="V1374" s="6"/>
      <c r="W1374" s="7"/>
      <c r="X1374" s="7"/>
      <c r="Y1374" s="7"/>
      <c r="Z1374" s="7"/>
    </row>
    <row r="1375">
      <c r="A1375" s="6"/>
      <c r="B1375" s="6"/>
      <c r="C1375" s="6"/>
      <c r="D1375" s="6"/>
      <c r="E1375" s="6"/>
      <c r="F1375" s="6"/>
      <c r="G1375" s="6"/>
      <c r="H1375" s="6"/>
      <c r="I1375" s="6"/>
      <c r="J1375" s="6"/>
      <c r="K1375" s="6"/>
      <c r="L1375" s="80"/>
      <c r="M1375" s="80"/>
      <c r="N1375" s="80"/>
      <c r="O1375" s="80"/>
      <c r="P1375" s="6"/>
      <c r="Q1375" s="6"/>
      <c r="R1375" s="6"/>
      <c r="S1375" s="6"/>
      <c r="T1375" s="6"/>
      <c r="U1375" s="6"/>
      <c r="V1375" s="6"/>
      <c r="W1375" s="7"/>
      <c r="X1375" s="7"/>
      <c r="Y1375" s="7"/>
      <c r="Z1375" s="7"/>
    </row>
    <row r="1376">
      <c r="A1376" s="6"/>
      <c r="B1376" s="6"/>
      <c r="C1376" s="6"/>
      <c r="D1376" s="6"/>
      <c r="E1376" s="6"/>
      <c r="F1376" s="6"/>
      <c r="G1376" s="6"/>
      <c r="H1376" s="6"/>
      <c r="I1376" s="6"/>
      <c r="J1376" s="6"/>
      <c r="K1376" s="6"/>
      <c r="L1376" s="80"/>
      <c r="M1376" s="80"/>
      <c r="N1376" s="80"/>
      <c r="O1376" s="80"/>
      <c r="P1376" s="6"/>
      <c r="Q1376" s="6"/>
      <c r="R1376" s="6"/>
      <c r="S1376" s="6"/>
      <c r="T1376" s="6"/>
      <c r="U1376" s="6"/>
      <c r="V1376" s="6"/>
      <c r="W1376" s="7"/>
      <c r="X1376" s="7"/>
      <c r="Y1376" s="7"/>
      <c r="Z1376" s="7"/>
    </row>
    <row r="1377">
      <c r="A1377" s="6"/>
      <c r="B1377" s="6"/>
      <c r="C1377" s="6"/>
      <c r="D1377" s="6"/>
      <c r="E1377" s="6"/>
      <c r="F1377" s="6"/>
      <c r="G1377" s="6"/>
      <c r="H1377" s="6"/>
      <c r="I1377" s="6"/>
      <c r="J1377" s="6"/>
      <c r="K1377" s="6"/>
      <c r="L1377" s="80"/>
      <c r="M1377" s="80"/>
      <c r="N1377" s="80"/>
      <c r="O1377" s="80"/>
      <c r="P1377" s="6"/>
      <c r="Q1377" s="6"/>
      <c r="R1377" s="6"/>
      <c r="S1377" s="6"/>
      <c r="T1377" s="6"/>
      <c r="U1377" s="6"/>
      <c r="V1377" s="6"/>
      <c r="W1377" s="7"/>
      <c r="X1377" s="7"/>
      <c r="Y1377" s="7"/>
      <c r="Z1377" s="7"/>
    </row>
    <row r="1378">
      <c r="A1378" s="6"/>
      <c r="B1378" s="6"/>
      <c r="C1378" s="6"/>
      <c r="D1378" s="6"/>
      <c r="E1378" s="6"/>
      <c r="F1378" s="6"/>
      <c r="G1378" s="6"/>
      <c r="H1378" s="6"/>
      <c r="I1378" s="6"/>
      <c r="J1378" s="6"/>
      <c r="K1378" s="6"/>
      <c r="L1378" s="80"/>
      <c r="M1378" s="80"/>
      <c r="N1378" s="80"/>
      <c r="O1378" s="80"/>
      <c r="P1378" s="6"/>
      <c r="Q1378" s="6"/>
      <c r="R1378" s="6"/>
      <c r="S1378" s="6"/>
      <c r="T1378" s="6"/>
      <c r="U1378" s="6"/>
      <c r="V1378" s="6"/>
      <c r="W1378" s="7"/>
      <c r="X1378" s="7"/>
      <c r="Y1378" s="7"/>
      <c r="Z1378" s="7"/>
    </row>
    <row r="1379">
      <c r="A1379" s="6"/>
      <c r="B1379" s="6"/>
      <c r="C1379" s="6"/>
      <c r="D1379" s="6"/>
      <c r="E1379" s="6"/>
      <c r="F1379" s="6"/>
      <c r="G1379" s="6"/>
      <c r="H1379" s="6"/>
      <c r="I1379" s="6"/>
      <c r="J1379" s="6"/>
      <c r="K1379" s="6"/>
      <c r="L1379" s="80"/>
      <c r="M1379" s="80"/>
      <c r="N1379" s="80"/>
      <c r="O1379" s="80"/>
      <c r="P1379" s="6"/>
      <c r="Q1379" s="6"/>
      <c r="R1379" s="6"/>
      <c r="S1379" s="6"/>
      <c r="T1379" s="6"/>
      <c r="U1379" s="6"/>
      <c r="V1379" s="6"/>
      <c r="W1379" s="7"/>
      <c r="X1379" s="7"/>
      <c r="Y1379" s="7"/>
      <c r="Z1379" s="7"/>
    </row>
    <row r="1380">
      <c r="A1380" s="6"/>
      <c r="B1380" s="6"/>
      <c r="C1380" s="6"/>
      <c r="D1380" s="6"/>
      <c r="E1380" s="6"/>
      <c r="F1380" s="6"/>
      <c r="G1380" s="6"/>
      <c r="H1380" s="6"/>
      <c r="I1380" s="6"/>
      <c r="J1380" s="6"/>
      <c r="K1380" s="6"/>
      <c r="L1380" s="80"/>
      <c r="M1380" s="80"/>
      <c r="N1380" s="80"/>
      <c r="O1380" s="80"/>
      <c r="P1380" s="6"/>
      <c r="Q1380" s="6"/>
      <c r="R1380" s="6"/>
      <c r="S1380" s="6"/>
      <c r="T1380" s="6"/>
      <c r="U1380" s="6"/>
      <c r="V1380" s="6"/>
      <c r="W1380" s="7"/>
      <c r="X1380" s="7"/>
      <c r="Y1380" s="7"/>
      <c r="Z1380" s="7"/>
    </row>
    <row r="1381">
      <c r="A1381" s="6"/>
      <c r="B1381" s="6"/>
      <c r="C1381" s="6"/>
      <c r="D1381" s="6"/>
      <c r="E1381" s="6"/>
      <c r="F1381" s="6"/>
      <c r="G1381" s="6"/>
      <c r="H1381" s="6"/>
      <c r="I1381" s="6"/>
      <c r="J1381" s="6"/>
      <c r="K1381" s="6"/>
      <c r="L1381" s="80"/>
      <c r="M1381" s="80"/>
      <c r="N1381" s="80"/>
      <c r="O1381" s="80"/>
      <c r="P1381" s="6"/>
      <c r="Q1381" s="6"/>
      <c r="R1381" s="6"/>
      <c r="S1381" s="6"/>
      <c r="T1381" s="6"/>
      <c r="U1381" s="6"/>
      <c r="V1381" s="6"/>
      <c r="W1381" s="7"/>
      <c r="X1381" s="7"/>
      <c r="Y1381" s="7"/>
      <c r="Z1381" s="7"/>
    </row>
    <row r="1382">
      <c r="A1382" s="6"/>
      <c r="B1382" s="6"/>
      <c r="C1382" s="6"/>
      <c r="D1382" s="6"/>
      <c r="E1382" s="6"/>
      <c r="F1382" s="6"/>
      <c r="G1382" s="6"/>
      <c r="H1382" s="6"/>
      <c r="I1382" s="6"/>
      <c r="J1382" s="6"/>
      <c r="K1382" s="6"/>
      <c r="L1382" s="80"/>
      <c r="M1382" s="80"/>
      <c r="N1382" s="80"/>
      <c r="O1382" s="80"/>
      <c r="P1382" s="6"/>
      <c r="Q1382" s="6"/>
      <c r="R1382" s="6"/>
      <c r="S1382" s="6"/>
      <c r="T1382" s="6"/>
      <c r="U1382" s="6"/>
      <c r="V1382" s="6"/>
      <c r="W1382" s="7"/>
      <c r="X1382" s="7"/>
      <c r="Y1382" s="7"/>
      <c r="Z1382" s="7"/>
    </row>
    <row r="1383">
      <c r="A1383" s="6"/>
      <c r="B1383" s="6"/>
      <c r="C1383" s="6"/>
      <c r="D1383" s="6"/>
      <c r="E1383" s="6"/>
      <c r="F1383" s="6"/>
      <c r="G1383" s="6"/>
      <c r="H1383" s="6"/>
      <c r="I1383" s="6"/>
      <c r="J1383" s="6"/>
      <c r="K1383" s="6"/>
      <c r="L1383" s="80"/>
      <c r="M1383" s="80"/>
      <c r="N1383" s="80"/>
      <c r="O1383" s="80"/>
      <c r="P1383" s="6"/>
      <c r="Q1383" s="6"/>
      <c r="R1383" s="6"/>
      <c r="S1383" s="6"/>
      <c r="T1383" s="6"/>
      <c r="U1383" s="6"/>
      <c r="V1383" s="6"/>
      <c r="W1383" s="7"/>
      <c r="X1383" s="7"/>
      <c r="Y1383" s="7"/>
      <c r="Z1383" s="7"/>
    </row>
    <row r="1384">
      <c r="A1384" s="6"/>
      <c r="B1384" s="6"/>
      <c r="C1384" s="6"/>
      <c r="D1384" s="6"/>
      <c r="E1384" s="6"/>
      <c r="F1384" s="6"/>
      <c r="G1384" s="6"/>
      <c r="H1384" s="6"/>
      <c r="I1384" s="6"/>
      <c r="J1384" s="6"/>
      <c r="K1384" s="6"/>
      <c r="L1384" s="80"/>
      <c r="M1384" s="80"/>
      <c r="N1384" s="80"/>
      <c r="O1384" s="80"/>
      <c r="P1384" s="6"/>
      <c r="Q1384" s="6"/>
      <c r="R1384" s="6"/>
      <c r="S1384" s="6"/>
      <c r="T1384" s="6"/>
      <c r="U1384" s="6"/>
      <c r="V1384" s="6"/>
      <c r="W1384" s="7"/>
      <c r="X1384" s="7"/>
      <c r="Y1384" s="7"/>
      <c r="Z1384" s="7"/>
    </row>
  </sheetData>
  <mergeCells count="26">
    <mergeCell ref="G3:I3"/>
    <mergeCell ref="G4:I4"/>
    <mergeCell ref="C4:E4"/>
    <mergeCell ref="C5:F5"/>
    <mergeCell ref="G5:I5"/>
    <mergeCell ref="J5:L5"/>
    <mergeCell ref="C3:F3"/>
    <mergeCell ref="C7:F7"/>
    <mergeCell ref="G7:I7"/>
    <mergeCell ref="J7:L7"/>
    <mergeCell ref="C8:E8"/>
    <mergeCell ref="G8:I8"/>
    <mergeCell ref="J8:L8"/>
    <mergeCell ref="C9:F9"/>
    <mergeCell ref="G9:I9"/>
    <mergeCell ref="J9:L9"/>
    <mergeCell ref="D10:K10"/>
    <mergeCell ref="L10:R10"/>
    <mergeCell ref="S10:T10"/>
    <mergeCell ref="A1:B1"/>
    <mergeCell ref="A2:T2"/>
    <mergeCell ref="A3:B9"/>
    <mergeCell ref="J3:L3"/>
    <mergeCell ref="M3:M9"/>
    <mergeCell ref="J4:L4"/>
    <mergeCell ref="J6:L6"/>
  </mergeCells>
  <dataValidations>
    <dataValidation type="list" allowBlank="1" sqref="A2 A19:Z19 A27 A35 A43 A51 A59 A67 A75 A83 A91 A99 A107 A115 A123 A131 A139 A147 A155 A163 A171 A179 A187 A195 A203 A211 A219 A227 A235 A243 A251 A259 A267 A275 A283 A291 A299 A307 A315 A323 A331 A339 A347 A355 A363 A371 A379 A387 A395 A403 A411 A419 A427">
      <formula1>"Previous Week,Current Week"</formula1>
    </dataValidation>
  </dataValidations>
  <hyperlinks>
    <hyperlink r:id="rId1" location="/report?id=102%3ADetailSalesTrafficByTime&amp;chartCols=17&amp;columns=0%2F1%2F2%2F3%2F4%2F5%2F6%2F17%2F18%2F23%2F24%2F25%2F26%2F29%2F30%2F31%2F32&amp;fromDate=2024-08-04&amp;toDate=2024-08-10" ref="A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25"/>
    <col customWidth="1" min="2" max="2" width="42.63"/>
    <col customWidth="1" min="5" max="5" width="47.5"/>
    <col customWidth="1" min="6" max="6" width="38.88"/>
    <col customWidth="1" min="7" max="7" width="24.63"/>
    <col customWidth="1" min="8" max="8" width="51.63"/>
    <col customWidth="1" min="9" max="9" width="50.38"/>
    <col customWidth="1" min="10" max="10" width="54.0"/>
    <col customWidth="1" min="11" max="11" width="42.38"/>
  </cols>
  <sheetData>
    <row r="1">
      <c r="A1" s="111" t="s">
        <v>148</v>
      </c>
      <c r="B1" s="111" t="s">
        <v>149</v>
      </c>
      <c r="C1" s="111" t="s">
        <v>150</v>
      </c>
      <c r="D1" s="111" t="s">
        <v>151</v>
      </c>
      <c r="E1" s="111" t="s">
        <v>152</v>
      </c>
      <c r="F1" s="112" t="s">
        <v>153</v>
      </c>
      <c r="G1" s="111" t="s">
        <v>154</v>
      </c>
      <c r="H1" s="113" t="s">
        <v>155</v>
      </c>
      <c r="I1" s="113" t="s">
        <v>156</v>
      </c>
      <c r="J1" s="113" t="s">
        <v>157</v>
      </c>
      <c r="K1" s="113" t="s">
        <v>158</v>
      </c>
      <c r="L1" s="114"/>
      <c r="M1" s="114"/>
      <c r="N1" s="114"/>
      <c r="O1" s="114"/>
      <c r="P1" s="114"/>
      <c r="Q1" s="114"/>
      <c r="R1" s="114"/>
      <c r="S1" s="114"/>
      <c r="T1" s="114"/>
      <c r="U1" s="114"/>
      <c r="V1" s="114"/>
      <c r="W1" s="114"/>
      <c r="X1" s="114"/>
      <c r="Y1" s="114"/>
      <c r="Z1" s="114"/>
      <c r="AA1" s="114"/>
    </row>
    <row r="2" ht="149.25" customHeight="1">
      <c r="A2" s="115" t="s">
        <v>159</v>
      </c>
      <c r="B2" s="116" t="s">
        <v>160</v>
      </c>
      <c r="C2" s="117">
        <v>45721.0</v>
      </c>
      <c r="D2" s="118"/>
      <c r="E2" s="116" t="s">
        <v>161</v>
      </c>
      <c r="F2" s="115" t="s">
        <v>162</v>
      </c>
      <c r="G2" s="115" t="s">
        <v>163</v>
      </c>
      <c r="H2" s="119" t="s">
        <v>164</v>
      </c>
      <c r="I2" s="119" t="s">
        <v>165</v>
      </c>
      <c r="J2" s="119" t="s">
        <v>166</v>
      </c>
      <c r="K2" s="119" t="s">
        <v>167</v>
      </c>
      <c r="L2" s="2"/>
      <c r="M2" s="2"/>
      <c r="N2" s="2"/>
      <c r="O2" s="2"/>
      <c r="P2" s="2"/>
      <c r="Q2" s="2"/>
      <c r="R2" s="2"/>
      <c r="S2" s="2"/>
      <c r="T2" s="2"/>
      <c r="U2" s="2"/>
      <c r="V2" s="2"/>
      <c r="W2" s="2"/>
      <c r="X2" s="2"/>
      <c r="Y2" s="2"/>
      <c r="Z2" s="2"/>
      <c r="AA2" s="2"/>
    </row>
    <row r="3">
      <c r="A3" s="115" t="s">
        <v>168</v>
      </c>
      <c r="B3" s="116" t="s">
        <v>169</v>
      </c>
      <c r="C3" s="117">
        <v>45721.0</v>
      </c>
      <c r="D3" s="118"/>
      <c r="E3" s="116" t="s">
        <v>170</v>
      </c>
      <c r="F3" s="115" t="s">
        <v>171</v>
      </c>
      <c r="G3" s="120"/>
      <c r="H3" s="119" t="s">
        <v>172</v>
      </c>
      <c r="I3" s="119" t="s">
        <v>173</v>
      </c>
      <c r="J3" s="119" t="s">
        <v>174</v>
      </c>
      <c r="K3" s="119" t="s">
        <v>175</v>
      </c>
      <c r="L3" s="2"/>
      <c r="M3" s="2"/>
      <c r="N3" s="2"/>
      <c r="O3" s="2"/>
      <c r="P3" s="2"/>
      <c r="Q3" s="2"/>
      <c r="R3" s="2"/>
      <c r="S3" s="2"/>
      <c r="T3" s="2"/>
      <c r="U3" s="2"/>
      <c r="V3" s="2"/>
      <c r="W3" s="2"/>
      <c r="X3" s="2"/>
      <c r="Y3" s="2"/>
      <c r="Z3" s="2"/>
      <c r="AA3" s="2"/>
    </row>
    <row r="4">
      <c r="A4" s="121" t="s">
        <v>176</v>
      </c>
      <c r="B4" s="122" t="s">
        <v>177</v>
      </c>
      <c r="C4" s="117">
        <v>45748.0</v>
      </c>
      <c r="E4" s="116" t="s">
        <v>178</v>
      </c>
      <c r="F4" s="123" t="s">
        <v>179</v>
      </c>
      <c r="G4" s="124"/>
      <c r="I4" s="116" t="s">
        <v>180</v>
      </c>
      <c r="J4" s="123" t="s">
        <v>181</v>
      </c>
      <c r="K4" s="123" t="s">
        <v>182</v>
      </c>
    </row>
    <row r="5">
      <c r="A5" s="121" t="s">
        <v>183</v>
      </c>
      <c r="B5" s="123" t="s">
        <v>184</v>
      </c>
      <c r="C5" s="117">
        <v>45748.0</v>
      </c>
      <c r="D5" s="123" t="s">
        <v>185</v>
      </c>
      <c r="E5" s="121" t="s">
        <v>186</v>
      </c>
      <c r="F5" s="123" t="s">
        <v>187</v>
      </c>
      <c r="G5" s="121" t="s">
        <v>188</v>
      </c>
      <c r="I5" s="116" t="s">
        <v>189</v>
      </c>
      <c r="J5" s="123" t="s">
        <v>190</v>
      </c>
      <c r="K5" s="123" t="s">
        <v>191</v>
      </c>
    </row>
    <row r="6">
      <c r="A6" s="121" t="s">
        <v>192</v>
      </c>
      <c r="B6" s="123" t="s">
        <v>193</v>
      </c>
      <c r="C6" s="117">
        <v>45755.0</v>
      </c>
      <c r="D6" s="123" t="s">
        <v>185</v>
      </c>
      <c r="E6" s="121" t="s">
        <v>194</v>
      </c>
      <c r="G6" s="121" t="s">
        <v>195</v>
      </c>
      <c r="H6" s="123" t="s">
        <v>196</v>
      </c>
      <c r="J6" s="123" t="s">
        <v>197</v>
      </c>
      <c r="K6" s="123" t="s">
        <v>198</v>
      </c>
    </row>
    <row r="7">
      <c r="A7" s="124"/>
      <c r="E7" s="124"/>
      <c r="G7" s="124"/>
    </row>
    <row r="8">
      <c r="A8" s="124"/>
      <c r="E8" s="124"/>
      <c r="G8" s="124"/>
    </row>
    <row r="9">
      <c r="A9" s="124"/>
      <c r="E9" s="124"/>
      <c r="G9" s="124"/>
    </row>
    <row r="10">
      <c r="A10" s="124"/>
      <c r="E10" s="124"/>
      <c r="G10" s="124"/>
    </row>
    <row r="11">
      <c r="A11" s="124"/>
      <c r="E11" s="124"/>
      <c r="G11" s="124"/>
    </row>
    <row r="12">
      <c r="A12" s="124"/>
      <c r="E12" s="124"/>
      <c r="G12" s="124"/>
    </row>
    <row r="13">
      <c r="A13" s="124"/>
      <c r="E13" s="124"/>
      <c r="G13" s="124"/>
    </row>
    <row r="14">
      <c r="A14" s="124"/>
      <c r="E14" s="124"/>
      <c r="G14" s="124"/>
    </row>
    <row r="15">
      <c r="A15" s="124"/>
      <c r="E15" s="124"/>
      <c r="G15" s="124"/>
    </row>
    <row r="16">
      <c r="A16" s="124"/>
      <c r="E16" s="124"/>
      <c r="G16" s="124"/>
    </row>
    <row r="17">
      <c r="A17" s="124"/>
      <c r="E17" s="124"/>
      <c r="G17" s="124"/>
    </row>
    <row r="18">
      <c r="A18" s="124"/>
      <c r="E18" s="124"/>
      <c r="G18" s="124"/>
    </row>
    <row r="19">
      <c r="A19" s="124"/>
      <c r="E19" s="124"/>
      <c r="G19" s="124"/>
    </row>
    <row r="20">
      <c r="A20" s="124"/>
      <c r="E20" s="124"/>
      <c r="G20" s="124"/>
    </row>
    <row r="21">
      <c r="A21" s="124"/>
      <c r="E21" s="124"/>
      <c r="G21" s="124"/>
    </row>
    <row r="22">
      <c r="A22" s="124"/>
      <c r="E22" s="124"/>
      <c r="G22" s="124"/>
    </row>
    <row r="23">
      <c r="A23" s="124"/>
      <c r="E23" s="124"/>
      <c r="G23" s="124"/>
    </row>
    <row r="24">
      <c r="A24" s="124"/>
      <c r="E24" s="124"/>
      <c r="G24" s="124"/>
    </row>
    <row r="25">
      <c r="A25" s="124"/>
      <c r="E25" s="124"/>
      <c r="G25" s="124"/>
    </row>
    <row r="26">
      <c r="A26" s="124"/>
      <c r="E26" s="124"/>
      <c r="G26" s="124"/>
    </row>
    <row r="27">
      <c r="A27" s="124"/>
      <c r="E27" s="124"/>
      <c r="G27" s="124"/>
    </row>
    <row r="28">
      <c r="A28" s="124"/>
      <c r="E28" s="124"/>
      <c r="G28" s="124"/>
    </row>
    <row r="29">
      <c r="A29" s="124"/>
      <c r="E29" s="124"/>
      <c r="G29" s="124"/>
    </row>
    <row r="30">
      <c r="A30" s="124"/>
      <c r="E30" s="124"/>
      <c r="G30" s="124"/>
    </row>
    <row r="31">
      <c r="A31" s="124"/>
      <c r="E31" s="124"/>
      <c r="G31" s="124"/>
    </row>
    <row r="32">
      <c r="A32" s="124"/>
      <c r="E32" s="124"/>
      <c r="G32" s="124"/>
    </row>
    <row r="33">
      <c r="A33" s="124"/>
      <c r="E33" s="124"/>
      <c r="G33" s="124"/>
    </row>
    <row r="34">
      <c r="A34" s="124"/>
      <c r="E34" s="124"/>
      <c r="G34" s="124"/>
    </row>
    <row r="35">
      <c r="A35" s="124"/>
      <c r="E35" s="124"/>
      <c r="G35" s="124"/>
    </row>
    <row r="36">
      <c r="A36" s="124"/>
      <c r="E36" s="124"/>
      <c r="G36" s="124"/>
    </row>
    <row r="37">
      <c r="A37" s="124"/>
      <c r="E37" s="124"/>
      <c r="G37" s="124"/>
    </row>
    <row r="38">
      <c r="A38" s="124"/>
      <c r="E38" s="124"/>
      <c r="G38" s="124"/>
    </row>
    <row r="39">
      <c r="A39" s="124"/>
      <c r="E39" s="124"/>
      <c r="G39" s="124"/>
    </row>
    <row r="40">
      <c r="A40" s="124"/>
      <c r="E40" s="124"/>
      <c r="G40" s="124"/>
    </row>
    <row r="41">
      <c r="A41" s="124"/>
      <c r="E41" s="124"/>
      <c r="G41" s="124"/>
    </row>
    <row r="42">
      <c r="A42" s="124"/>
      <c r="E42" s="124"/>
      <c r="G42" s="124"/>
    </row>
    <row r="43">
      <c r="A43" s="124"/>
      <c r="E43" s="124"/>
      <c r="G43" s="124"/>
    </row>
    <row r="44">
      <c r="A44" s="124"/>
      <c r="E44" s="124"/>
      <c r="G44" s="124"/>
    </row>
    <row r="45">
      <c r="A45" s="124"/>
      <c r="E45" s="124"/>
      <c r="G45" s="124"/>
    </row>
    <row r="46">
      <c r="A46" s="124"/>
      <c r="E46" s="124"/>
      <c r="G46" s="124"/>
    </row>
    <row r="47">
      <c r="A47" s="124"/>
      <c r="E47" s="124"/>
      <c r="G47" s="124"/>
    </row>
    <row r="48">
      <c r="A48" s="124"/>
      <c r="E48" s="124"/>
      <c r="G48" s="124"/>
    </row>
    <row r="49">
      <c r="A49" s="124"/>
      <c r="E49" s="124"/>
      <c r="G49" s="124"/>
    </row>
    <row r="50">
      <c r="A50" s="124"/>
      <c r="E50" s="124"/>
      <c r="G50" s="124"/>
    </row>
    <row r="51">
      <c r="A51" s="124"/>
      <c r="E51" s="124"/>
      <c r="G51" s="124"/>
    </row>
    <row r="52">
      <c r="A52" s="124"/>
      <c r="E52" s="124"/>
      <c r="G52" s="124"/>
    </row>
    <row r="53">
      <c r="A53" s="124"/>
      <c r="E53" s="124"/>
      <c r="G53" s="124"/>
    </row>
    <row r="54">
      <c r="A54" s="124"/>
      <c r="E54" s="124"/>
      <c r="G54" s="124"/>
    </row>
    <row r="55">
      <c r="A55" s="124"/>
      <c r="E55" s="124"/>
      <c r="G55" s="124"/>
    </row>
    <row r="56">
      <c r="A56" s="124"/>
      <c r="E56" s="124"/>
      <c r="G56" s="124"/>
    </row>
    <row r="57">
      <c r="A57" s="124"/>
      <c r="E57" s="124"/>
      <c r="G57" s="124"/>
    </row>
    <row r="58">
      <c r="A58" s="124"/>
      <c r="E58" s="124"/>
      <c r="G58" s="124"/>
    </row>
    <row r="59">
      <c r="A59" s="124"/>
      <c r="E59" s="124"/>
      <c r="G59" s="124"/>
    </row>
    <row r="60">
      <c r="A60" s="124"/>
      <c r="E60" s="124"/>
      <c r="G60" s="124"/>
    </row>
    <row r="61">
      <c r="A61" s="124"/>
      <c r="E61" s="124"/>
      <c r="G61" s="124"/>
    </row>
    <row r="62">
      <c r="A62" s="124"/>
      <c r="E62" s="124"/>
      <c r="G62" s="124"/>
    </row>
    <row r="63">
      <c r="A63" s="124"/>
      <c r="E63" s="124"/>
      <c r="G63" s="124"/>
    </row>
    <row r="64">
      <c r="A64" s="124"/>
      <c r="E64" s="124"/>
      <c r="G64" s="124"/>
    </row>
    <row r="65">
      <c r="A65" s="124"/>
      <c r="E65" s="124"/>
      <c r="G65" s="124"/>
    </row>
    <row r="66">
      <c r="A66" s="124"/>
      <c r="E66" s="124"/>
      <c r="G66" s="124"/>
    </row>
    <row r="67">
      <c r="A67" s="124"/>
      <c r="E67" s="124"/>
      <c r="G67" s="124"/>
    </row>
    <row r="68">
      <c r="A68" s="124"/>
      <c r="E68" s="124"/>
      <c r="G68" s="124"/>
    </row>
    <row r="69">
      <c r="A69" s="124"/>
      <c r="E69" s="124"/>
      <c r="G69" s="124"/>
    </row>
    <row r="70">
      <c r="A70" s="124"/>
      <c r="E70" s="124"/>
      <c r="G70" s="124"/>
    </row>
    <row r="71">
      <c r="A71" s="124"/>
      <c r="E71" s="124"/>
      <c r="G71" s="124"/>
    </row>
    <row r="72">
      <c r="A72" s="124"/>
      <c r="E72" s="124"/>
      <c r="G72" s="124"/>
    </row>
    <row r="73">
      <c r="A73" s="124"/>
      <c r="E73" s="124"/>
      <c r="G73" s="124"/>
    </row>
    <row r="74">
      <c r="A74" s="124"/>
      <c r="E74" s="124"/>
      <c r="G74" s="124"/>
    </row>
    <row r="75">
      <c r="A75" s="124"/>
      <c r="E75" s="124"/>
      <c r="G75" s="124"/>
    </row>
    <row r="76">
      <c r="A76" s="124"/>
      <c r="E76" s="124"/>
      <c r="G76" s="124"/>
    </row>
    <row r="77">
      <c r="A77" s="124"/>
      <c r="E77" s="124"/>
      <c r="G77" s="124"/>
    </row>
    <row r="78">
      <c r="A78" s="124"/>
      <c r="E78" s="124"/>
      <c r="G78" s="124"/>
    </row>
    <row r="79">
      <c r="A79" s="124"/>
      <c r="E79" s="124"/>
      <c r="G79" s="124"/>
    </row>
    <row r="80">
      <c r="A80" s="124"/>
      <c r="E80" s="124"/>
      <c r="G80" s="124"/>
    </row>
    <row r="81">
      <c r="A81" s="124"/>
      <c r="E81" s="124"/>
      <c r="G81" s="124"/>
    </row>
    <row r="82">
      <c r="A82" s="124"/>
      <c r="E82" s="124"/>
      <c r="G82" s="124"/>
    </row>
    <row r="83">
      <c r="A83" s="124"/>
      <c r="E83" s="124"/>
      <c r="G83" s="124"/>
    </row>
    <row r="84">
      <c r="A84" s="124"/>
      <c r="E84" s="124"/>
      <c r="G84" s="124"/>
    </row>
    <row r="85">
      <c r="A85" s="124"/>
      <c r="E85" s="124"/>
      <c r="G85" s="124"/>
    </row>
    <row r="86">
      <c r="A86" s="124"/>
      <c r="E86" s="124"/>
      <c r="G86" s="124"/>
    </row>
    <row r="87">
      <c r="A87" s="124"/>
      <c r="E87" s="124"/>
      <c r="G87" s="124"/>
    </row>
    <row r="88">
      <c r="A88" s="124"/>
      <c r="E88" s="124"/>
      <c r="G88" s="124"/>
    </row>
    <row r="89">
      <c r="A89" s="124"/>
      <c r="E89" s="124"/>
      <c r="G89" s="124"/>
    </row>
    <row r="90">
      <c r="A90" s="124"/>
      <c r="E90" s="124"/>
      <c r="G90" s="124"/>
    </row>
    <row r="91">
      <c r="A91" s="124"/>
      <c r="E91" s="124"/>
      <c r="G91" s="124"/>
    </row>
    <row r="92">
      <c r="A92" s="124"/>
      <c r="E92" s="124"/>
      <c r="G92" s="124"/>
    </row>
    <row r="93">
      <c r="A93" s="124"/>
      <c r="E93" s="124"/>
      <c r="G93" s="124"/>
    </row>
    <row r="94">
      <c r="A94" s="124"/>
      <c r="E94" s="124"/>
      <c r="G94" s="124"/>
    </row>
    <row r="95">
      <c r="A95" s="124"/>
      <c r="E95" s="124"/>
      <c r="G95" s="124"/>
    </row>
    <row r="96">
      <c r="A96" s="124"/>
      <c r="E96" s="124"/>
      <c r="G96" s="124"/>
    </row>
    <row r="97">
      <c r="A97" s="124"/>
      <c r="E97" s="124"/>
      <c r="G97" s="124"/>
    </row>
    <row r="98">
      <c r="A98" s="124"/>
      <c r="E98" s="124"/>
      <c r="G98" s="124"/>
    </row>
    <row r="99">
      <c r="A99" s="124"/>
      <c r="E99" s="124"/>
      <c r="G99" s="124"/>
    </row>
    <row r="100">
      <c r="A100" s="124"/>
      <c r="E100" s="124"/>
      <c r="G100" s="124"/>
    </row>
    <row r="101">
      <c r="A101" s="124"/>
      <c r="E101" s="124"/>
      <c r="G101" s="124"/>
    </row>
    <row r="102">
      <c r="A102" s="124"/>
      <c r="E102" s="124"/>
      <c r="G102" s="124"/>
    </row>
    <row r="103">
      <c r="A103" s="124"/>
      <c r="E103" s="124"/>
      <c r="G103" s="124"/>
    </row>
    <row r="104">
      <c r="A104" s="124"/>
      <c r="E104" s="124"/>
      <c r="G104" s="124"/>
    </row>
    <row r="105">
      <c r="A105" s="124"/>
      <c r="E105" s="124"/>
      <c r="G105" s="124"/>
    </row>
    <row r="106">
      <c r="A106" s="124"/>
      <c r="E106" s="124"/>
      <c r="G106" s="124"/>
    </row>
    <row r="107">
      <c r="A107" s="124"/>
      <c r="E107" s="124"/>
      <c r="G107" s="124"/>
    </row>
    <row r="108">
      <c r="A108" s="124"/>
      <c r="E108" s="124"/>
      <c r="G108" s="124"/>
    </row>
    <row r="109">
      <c r="A109" s="124"/>
      <c r="E109" s="124"/>
      <c r="G109" s="124"/>
    </row>
    <row r="110">
      <c r="A110" s="124"/>
      <c r="E110" s="124"/>
      <c r="G110" s="124"/>
    </row>
    <row r="111">
      <c r="A111" s="124"/>
      <c r="E111" s="124"/>
      <c r="G111" s="124"/>
    </row>
    <row r="112">
      <c r="A112" s="124"/>
      <c r="E112" s="124"/>
      <c r="G112" s="124"/>
    </row>
    <row r="113">
      <c r="A113" s="124"/>
      <c r="E113" s="124"/>
      <c r="G113" s="124"/>
    </row>
    <row r="114">
      <c r="A114" s="124"/>
      <c r="E114" s="124"/>
      <c r="G114" s="124"/>
    </row>
    <row r="115">
      <c r="A115" s="124"/>
      <c r="E115" s="124"/>
      <c r="G115" s="124"/>
    </row>
    <row r="116">
      <c r="A116" s="124"/>
      <c r="E116" s="124"/>
      <c r="G116" s="124"/>
    </row>
    <row r="117">
      <c r="A117" s="124"/>
      <c r="E117" s="124"/>
      <c r="G117" s="124"/>
    </row>
    <row r="118">
      <c r="A118" s="124"/>
      <c r="E118" s="124"/>
      <c r="G118" s="124"/>
    </row>
    <row r="119">
      <c r="A119" s="124"/>
      <c r="E119" s="124"/>
      <c r="G119" s="124"/>
    </row>
    <row r="120">
      <c r="A120" s="124"/>
      <c r="E120" s="124"/>
      <c r="G120" s="124"/>
    </row>
    <row r="121">
      <c r="A121" s="124"/>
      <c r="E121" s="124"/>
      <c r="G121" s="124"/>
    </row>
    <row r="122">
      <c r="A122" s="124"/>
      <c r="E122" s="124"/>
      <c r="G122" s="124"/>
    </row>
    <row r="123">
      <c r="A123" s="124"/>
      <c r="E123" s="124"/>
      <c r="G123" s="124"/>
    </row>
    <row r="124">
      <c r="A124" s="124"/>
      <c r="E124" s="124"/>
      <c r="G124" s="124"/>
    </row>
    <row r="125">
      <c r="A125" s="124"/>
      <c r="E125" s="124"/>
      <c r="G125" s="124"/>
    </row>
    <row r="126">
      <c r="A126" s="124"/>
      <c r="E126" s="124"/>
      <c r="G126" s="124"/>
    </row>
    <row r="127">
      <c r="A127" s="124"/>
      <c r="E127" s="124"/>
      <c r="G127" s="124"/>
    </row>
    <row r="128">
      <c r="A128" s="124"/>
      <c r="E128" s="124"/>
      <c r="G128" s="124"/>
    </row>
    <row r="129">
      <c r="A129" s="124"/>
      <c r="E129" s="124"/>
      <c r="G129" s="124"/>
    </row>
    <row r="130">
      <c r="A130" s="124"/>
      <c r="E130" s="124"/>
      <c r="G130" s="124"/>
    </row>
    <row r="131">
      <c r="A131" s="124"/>
      <c r="E131" s="124"/>
      <c r="G131" s="124"/>
    </row>
    <row r="132">
      <c r="A132" s="124"/>
      <c r="E132" s="124"/>
      <c r="G132" s="124"/>
    </row>
    <row r="133">
      <c r="A133" s="124"/>
      <c r="E133" s="124"/>
      <c r="G133" s="124"/>
    </row>
    <row r="134">
      <c r="A134" s="124"/>
      <c r="E134" s="124"/>
      <c r="G134" s="124"/>
    </row>
    <row r="135">
      <c r="A135" s="124"/>
      <c r="E135" s="124"/>
      <c r="G135" s="124"/>
    </row>
    <row r="136">
      <c r="A136" s="124"/>
      <c r="E136" s="124"/>
      <c r="G136" s="124"/>
    </row>
    <row r="137">
      <c r="A137" s="124"/>
      <c r="E137" s="124"/>
      <c r="G137" s="124"/>
    </row>
    <row r="138">
      <c r="A138" s="124"/>
      <c r="E138" s="124"/>
      <c r="G138" s="124"/>
    </row>
    <row r="139">
      <c r="A139" s="124"/>
      <c r="E139" s="124"/>
      <c r="G139" s="124"/>
    </row>
    <row r="140">
      <c r="A140" s="124"/>
      <c r="E140" s="124"/>
      <c r="G140" s="124"/>
    </row>
    <row r="141">
      <c r="A141" s="124"/>
      <c r="E141" s="124"/>
      <c r="G141" s="124"/>
    </row>
    <row r="142">
      <c r="A142" s="124"/>
      <c r="E142" s="124"/>
      <c r="G142" s="124"/>
    </row>
    <row r="143">
      <c r="A143" s="124"/>
      <c r="E143" s="124"/>
      <c r="G143" s="124"/>
    </row>
    <row r="144">
      <c r="A144" s="124"/>
      <c r="E144" s="124"/>
      <c r="G144" s="124"/>
    </row>
    <row r="145">
      <c r="A145" s="124"/>
      <c r="E145" s="124"/>
      <c r="G145" s="124"/>
    </row>
    <row r="146">
      <c r="A146" s="124"/>
      <c r="E146" s="124"/>
      <c r="G146" s="124"/>
    </row>
    <row r="147">
      <c r="A147" s="124"/>
      <c r="E147" s="124"/>
      <c r="G147" s="124"/>
    </row>
    <row r="148">
      <c r="A148" s="124"/>
      <c r="E148" s="124"/>
      <c r="G148" s="124"/>
    </row>
    <row r="149">
      <c r="A149" s="124"/>
      <c r="E149" s="124"/>
      <c r="G149" s="124"/>
    </row>
    <row r="150">
      <c r="A150" s="124"/>
      <c r="E150" s="124"/>
      <c r="G150" s="124"/>
    </row>
    <row r="151">
      <c r="A151" s="124"/>
      <c r="E151" s="124"/>
      <c r="G151" s="124"/>
    </row>
    <row r="152">
      <c r="A152" s="124"/>
      <c r="E152" s="124"/>
      <c r="G152" s="124"/>
    </row>
    <row r="153">
      <c r="A153" s="124"/>
      <c r="E153" s="124"/>
      <c r="G153" s="124"/>
    </row>
    <row r="154">
      <c r="A154" s="124"/>
      <c r="E154" s="124"/>
      <c r="G154" s="124"/>
    </row>
    <row r="155">
      <c r="A155" s="124"/>
      <c r="E155" s="124"/>
      <c r="G155" s="124"/>
    </row>
    <row r="156">
      <c r="A156" s="124"/>
      <c r="E156" s="124"/>
      <c r="G156" s="124"/>
    </row>
    <row r="157">
      <c r="A157" s="124"/>
      <c r="E157" s="124"/>
      <c r="G157" s="124"/>
    </row>
    <row r="158">
      <c r="A158" s="124"/>
      <c r="E158" s="124"/>
      <c r="G158" s="124"/>
    </row>
    <row r="159">
      <c r="A159" s="124"/>
      <c r="E159" s="124"/>
      <c r="G159" s="124"/>
    </row>
    <row r="160">
      <c r="A160" s="124"/>
      <c r="E160" s="124"/>
      <c r="G160" s="124"/>
    </row>
    <row r="161">
      <c r="A161" s="124"/>
      <c r="E161" s="124"/>
      <c r="G161" s="124"/>
    </row>
    <row r="162">
      <c r="A162" s="124"/>
      <c r="E162" s="124"/>
      <c r="G162" s="124"/>
    </row>
    <row r="163">
      <c r="A163" s="124"/>
      <c r="E163" s="124"/>
      <c r="G163" s="124"/>
    </row>
    <row r="164">
      <c r="A164" s="124"/>
      <c r="E164" s="124"/>
      <c r="G164" s="124"/>
    </row>
    <row r="165">
      <c r="A165" s="124"/>
      <c r="E165" s="124"/>
      <c r="G165" s="124"/>
    </row>
    <row r="166">
      <c r="A166" s="124"/>
      <c r="E166" s="124"/>
      <c r="G166" s="124"/>
    </row>
    <row r="167">
      <c r="A167" s="124"/>
      <c r="E167" s="124"/>
      <c r="G167" s="124"/>
    </row>
    <row r="168">
      <c r="A168" s="124"/>
      <c r="E168" s="124"/>
      <c r="G168" s="124"/>
    </row>
    <row r="169">
      <c r="A169" s="124"/>
      <c r="E169" s="124"/>
      <c r="G169" s="124"/>
    </row>
    <row r="170">
      <c r="A170" s="124"/>
      <c r="E170" s="124"/>
      <c r="G170" s="124"/>
    </row>
    <row r="171">
      <c r="A171" s="124"/>
      <c r="E171" s="124"/>
      <c r="G171" s="124"/>
    </row>
    <row r="172">
      <c r="A172" s="124"/>
      <c r="E172" s="124"/>
      <c r="G172" s="124"/>
    </row>
    <row r="173">
      <c r="A173" s="124"/>
      <c r="E173" s="124"/>
      <c r="G173" s="124"/>
    </row>
    <row r="174">
      <c r="A174" s="124"/>
      <c r="E174" s="124"/>
      <c r="G174" s="124"/>
    </row>
    <row r="175">
      <c r="A175" s="124"/>
      <c r="E175" s="124"/>
      <c r="G175" s="124"/>
    </row>
    <row r="176">
      <c r="A176" s="124"/>
      <c r="E176" s="124"/>
      <c r="G176" s="124"/>
    </row>
    <row r="177">
      <c r="A177" s="124"/>
      <c r="E177" s="124"/>
      <c r="G177" s="124"/>
    </row>
    <row r="178">
      <c r="A178" s="124"/>
      <c r="E178" s="124"/>
      <c r="G178" s="124"/>
    </row>
    <row r="179">
      <c r="A179" s="124"/>
      <c r="E179" s="124"/>
      <c r="G179" s="124"/>
    </row>
    <row r="180">
      <c r="A180" s="124"/>
      <c r="E180" s="124"/>
      <c r="G180" s="124"/>
    </row>
    <row r="181">
      <c r="A181" s="124"/>
      <c r="E181" s="124"/>
      <c r="G181" s="124"/>
    </row>
    <row r="182">
      <c r="A182" s="124"/>
      <c r="E182" s="124"/>
      <c r="G182" s="124"/>
    </row>
    <row r="183">
      <c r="A183" s="124"/>
      <c r="E183" s="124"/>
      <c r="G183" s="124"/>
    </row>
    <row r="184">
      <c r="A184" s="124"/>
      <c r="E184" s="124"/>
      <c r="G184" s="124"/>
    </row>
    <row r="185">
      <c r="A185" s="124"/>
      <c r="E185" s="124"/>
      <c r="G185" s="124"/>
    </row>
    <row r="186">
      <c r="A186" s="124"/>
      <c r="E186" s="124"/>
      <c r="G186" s="124"/>
    </row>
    <row r="187">
      <c r="A187" s="124"/>
      <c r="E187" s="124"/>
      <c r="G187" s="124"/>
    </row>
    <row r="188">
      <c r="A188" s="124"/>
      <c r="E188" s="124"/>
      <c r="G188" s="124"/>
    </row>
    <row r="189">
      <c r="A189" s="124"/>
      <c r="E189" s="124"/>
      <c r="G189" s="124"/>
    </row>
    <row r="190">
      <c r="A190" s="124"/>
      <c r="E190" s="124"/>
      <c r="G190" s="124"/>
    </row>
    <row r="191">
      <c r="A191" s="124"/>
      <c r="E191" s="124"/>
      <c r="G191" s="124"/>
    </row>
    <row r="192">
      <c r="A192" s="124"/>
      <c r="E192" s="124"/>
      <c r="G192" s="124"/>
    </row>
    <row r="193">
      <c r="A193" s="124"/>
      <c r="E193" s="124"/>
      <c r="G193" s="124"/>
    </row>
    <row r="194">
      <c r="A194" s="124"/>
      <c r="E194" s="124"/>
      <c r="G194" s="124"/>
    </row>
    <row r="195">
      <c r="A195" s="124"/>
      <c r="E195" s="124"/>
      <c r="G195" s="124"/>
    </row>
    <row r="196">
      <c r="A196" s="124"/>
      <c r="E196" s="124"/>
      <c r="G196" s="124"/>
    </row>
    <row r="197">
      <c r="A197" s="124"/>
      <c r="E197" s="124"/>
      <c r="G197" s="124"/>
    </row>
    <row r="198">
      <c r="A198" s="124"/>
      <c r="E198" s="124"/>
      <c r="G198" s="124"/>
    </row>
    <row r="199">
      <c r="A199" s="124"/>
      <c r="E199" s="124"/>
      <c r="G199" s="124"/>
    </row>
    <row r="200">
      <c r="A200" s="124"/>
      <c r="E200" s="124"/>
      <c r="G200" s="124"/>
    </row>
    <row r="201">
      <c r="A201" s="124"/>
      <c r="E201" s="124"/>
      <c r="G201" s="124"/>
    </row>
    <row r="202">
      <c r="A202" s="124"/>
      <c r="E202" s="124"/>
      <c r="G202" s="124"/>
    </row>
    <row r="203">
      <c r="A203" s="124"/>
      <c r="E203" s="124"/>
      <c r="G203" s="124"/>
    </row>
    <row r="204">
      <c r="A204" s="124"/>
      <c r="E204" s="124"/>
      <c r="G204" s="124"/>
    </row>
    <row r="205">
      <c r="A205" s="124"/>
      <c r="E205" s="124"/>
      <c r="G205" s="124"/>
    </row>
    <row r="206">
      <c r="A206" s="124"/>
      <c r="E206" s="124"/>
      <c r="G206" s="124"/>
    </row>
    <row r="207">
      <c r="A207" s="124"/>
      <c r="E207" s="124"/>
      <c r="G207" s="124"/>
    </row>
    <row r="208">
      <c r="A208" s="124"/>
      <c r="E208" s="124"/>
      <c r="G208" s="124"/>
    </row>
    <row r="209">
      <c r="A209" s="124"/>
      <c r="E209" s="124"/>
      <c r="G209" s="124"/>
    </row>
    <row r="210">
      <c r="A210" s="124"/>
      <c r="E210" s="124"/>
      <c r="G210" s="124"/>
    </row>
    <row r="211">
      <c r="A211" s="124"/>
      <c r="E211" s="124"/>
      <c r="G211" s="124"/>
    </row>
    <row r="212">
      <c r="A212" s="124"/>
      <c r="E212" s="124"/>
      <c r="G212" s="124"/>
    </row>
    <row r="213">
      <c r="A213" s="124"/>
      <c r="E213" s="124"/>
      <c r="G213" s="124"/>
    </row>
    <row r="214">
      <c r="A214" s="124"/>
      <c r="E214" s="124"/>
      <c r="G214" s="124"/>
    </row>
    <row r="215">
      <c r="A215" s="124"/>
      <c r="E215" s="124"/>
      <c r="G215" s="124"/>
    </row>
    <row r="216">
      <c r="A216" s="124"/>
      <c r="E216" s="124"/>
      <c r="G216" s="124"/>
    </row>
    <row r="217">
      <c r="A217" s="124"/>
      <c r="E217" s="124"/>
      <c r="G217" s="124"/>
    </row>
    <row r="218">
      <c r="A218" s="124"/>
      <c r="E218" s="124"/>
      <c r="G218" s="124"/>
    </row>
    <row r="219">
      <c r="A219" s="124"/>
      <c r="E219" s="124"/>
      <c r="G219" s="124"/>
    </row>
    <row r="220">
      <c r="A220" s="124"/>
      <c r="E220" s="124"/>
      <c r="G220" s="124"/>
    </row>
    <row r="221">
      <c r="A221" s="124"/>
      <c r="E221" s="124"/>
      <c r="G221" s="124"/>
    </row>
    <row r="222">
      <c r="A222" s="124"/>
      <c r="E222" s="124"/>
      <c r="G222" s="124"/>
    </row>
    <row r="223">
      <c r="A223" s="124"/>
      <c r="E223" s="124"/>
      <c r="G223" s="124"/>
    </row>
    <row r="224">
      <c r="A224" s="124"/>
      <c r="E224" s="124"/>
      <c r="G224" s="124"/>
    </row>
    <row r="225">
      <c r="A225" s="124"/>
      <c r="E225" s="124"/>
      <c r="G225" s="124"/>
    </row>
    <row r="226">
      <c r="A226" s="124"/>
      <c r="E226" s="124"/>
      <c r="G226" s="124"/>
    </row>
    <row r="227">
      <c r="A227" s="124"/>
      <c r="E227" s="124"/>
      <c r="G227" s="124"/>
    </row>
    <row r="228">
      <c r="A228" s="124"/>
      <c r="E228" s="124"/>
      <c r="G228" s="124"/>
    </row>
    <row r="229">
      <c r="A229" s="124"/>
      <c r="E229" s="124"/>
      <c r="G229" s="124"/>
    </row>
    <row r="230">
      <c r="A230" s="124"/>
      <c r="E230" s="124"/>
      <c r="G230" s="124"/>
    </row>
    <row r="231">
      <c r="A231" s="124"/>
      <c r="E231" s="124"/>
      <c r="G231" s="124"/>
    </row>
    <row r="232">
      <c r="A232" s="124"/>
      <c r="E232" s="124"/>
      <c r="G232" s="124"/>
    </row>
    <row r="233">
      <c r="A233" s="124"/>
      <c r="E233" s="124"/>
      <c r="G233" s="124"/>
    </row>
    <row r="234">
      <c r="A234" s="124"/>
      <c r="E234" s="124"/>
      <c r="G234" s="124"/>
    </row>
    <row r="235">
      <c r="A235" s="124"/>
      <c r="E235" s="124"/>
      <c r="G235" s="124"/>
    </row>
    <row r="236">
      <c r="A236" s="124"/>
      <c r="E236" s="124"/>
      <c r="G236" s="124"/>
    </row>
    <row r="237">
      <c r="A237" s="124"/>
      <c r="E237" s="124"/>
      <c r="G237" s="124"/>
    </row>
    <row r="238">
      <c r="A238" s="124"/>
      <c r="E238" s="124"/>
      <c r="G238" s="124"/>
    </row>
    <row r="239">
      <c r="A239" s="124"/>
      <c r="E239" s="124"/>
      <c r="G239" s="124"/>
    </row>
    <row r="240">
      <c r="A240" s="124"/>
      <c r="E240" s="124"/>
      <c r="G240" s="124"/>
    </row>
    <row r="241">
      <c r="A241" s="124"/>
      <c r="E241" s="124"/>
      <c r="G241" s="124"/>
    </row>
    <row r="242">
      <c r="A242" s="124"/>
      <c r="E242" s="124"/>
      <c r="G242" s="124"/>
    </row>
    <row r="243">
      <c r="A243" s="124"/>
      <c r="E243" s="124"/>
      <c r="G243" s="124"/>
    </row>
    <row r="244">
      <c r="A244" s="124"/>
      <c r="E244" s="124"/>
      <c r="G244" s="124"/>
    </row>
    <row r="245">
      <c r="A245" s="124"/>
      <c r="E245" s="124"/>
      <c r="G245" s="124"/>
    </row>
    <row r="246">
      <c r="A246" s="124"/>
      <c r="E246" s="124"/>
      <c r="G246" s="124"/>
    </row>
    <row r="247">
      <c r="A247" s="124"/>
      <c r="E247" s="124"/>
      <c r="G247" s="124"/>
    </row>
    <row r="248">
      <c r="A248" s="124"/>
      <c r="E248" s="124"/>
      <c r="G248" s="124"/>
    </row>
    <row r="249">
      <c r="A249" s="124"/>
      <c r="E249" s="124"/>
      <c r="G249" s="124"/>
    </row>
    <row r="250">
      <c r="A250" s="124"/>
      <c r="E250" s="124"/>
      <c r="G250" s="124"/>
    </row>
    <row r="251">
      <c r="A251" s="124"/>
      <c r="E251" s="124"/>
      <c r="G251" s="124"/>
    </row>
    <row r="252">
      <c r="A252" s="124"/>
      <c r="E252" s="124"/>
      <c r="G252" s="124"/>
    </row>
    <row r="253">
      <c r="A253" s="124"/>
      <c r="E253" s="124"/>
      <c r="G253" s="124"/>
    </row>
    <row r="254">
      <c r="A254" s="124"/>
      <c r="E254" s="124"/>
      <c r="G254" s="124"/>
    </row>
    <row r="255">
      <c r="A255" s="124"/>
      <c r="E255" s="124"/>
      <c r="G255" s="124"/>
    </row>
    <row r="256">
      <c r="A256" s="124"/>
      <c r="E256" s="124"/>
      <c r="G256" s="124"/>
    </row>
    <row r="257">
      <c r="A257" s="124"/>
      <c r="E257" s="124"/>
      <c r="G257" s="124"/>
    </row>
    <row r="258">
      <c r="A258" s="124"/>
      <c r="E258" s="124"/>
      <c r="G258" s="124"/>
    </row>
    <row r="259">
      <c r="A259" s="124"/>
      <c r="E259" s="124"/>
      <c r="G259" s="124"/>
    </row>
    <row r="260">
      <c r="A260" s="124"/>
      <c r="E260" s="124"/>
      <c r="G260" s="124"/>
    </row>
    <row r="261">
      <c r="A261" s="124"/>
      <c r="E261" s="124"/>
      <c r="G261" s="124"/>
    </row>
    <row r="262">
      <c r="A262" s="124"/>
      <c r="E262" s="124"/>
      <c r="G262" s="124"/>
    </row>
    <row r="263">
      <c r="A263" s="124"/>
      <c r="E263" s="124"/>
      <c r="G263" s="124"/>
    </row>
    <row r="264">
      <c r="A264" s="124"/>
      <c r="E264" s="124"/>
      <c r="G264" s="124"/>
    </row>
    <row r="265">
      <c r="A265" s="124"/>
      <c r="E265" s="124"/>
      <c r="G265" s="124"/>
    </row>
    <row r="266">
      <c r="A266" s="124"/>
      <c r="E266" s="124"/>
      <c r="G266" s="124"/>
    </row>
    <row r="267">
      <c r="A267" s="124"/>
      <c r="E267" s="124"/>
      <c r="G267" s="124"/>
    </row>
    <row r="268">
      <c r="A268" s="124"/>
      <c r="E268" s="124"/>
      <c r="G268" s="124"/>
    </row>
    <row r="269">
      <c r="A269" s="124"/>
      <c r="E269" s="124"/>
      <c r="G269" s="124"/>
    </row>
    <row r="270">
      <c r="A270" s="124"/>
      <c r="E270" s="124"/>
      <c r="G270" s="124"/>
    </row>
    <row r="271">
      <c r="A271" s="124"/>
      <c r="E271" s="124"/>
      <c r="G271" s="124"/>
    </row>
    <row r="272">
      <c r="A272" s="124"/>
      <c r="E272" s="124"/>
      <c r="G272" s="124"/>
    </row>
    <row r="273">
      <c r="A273" s="124"/>
      <c r="E273" s="124"/>
      <c r="G273" s="124"/>
    </row>
    <row r="274">
      <c r="A274" s="124"/>
      <c r="E274" s="124"/>
      <c r="G274" s="124"/>
    </row>
    <row r="275">
      <c r="A275" s="124"/>
      <c r="E275" s="124"/>
      <c r="G275" s="124"/>
    </row>
    <row r="276">
      <c r="A276" s="124"/>
      <c r="E276" s="124"/>
      <c r="G276" s="124"/>
    </row>
    <row r="277">
      <c r="A277" s="124"/>
      <c r="E277" s="124"/>
      <c r="G277" s="124"/>
    </row>
    <row r="278">
      <c r="A278" s="124"/>
      <c r="E278" s="124"/>
      <c r="G278" s="124"/>
    </row>
    <row r="279">
      <c r="A279" s="124"/>
      <c r="E279" s="124"/>
      <c r="G279" s="124"/>
    </row>
    <row r="280">
      <c r="A280" s="124"/>
      <c r="E280" s="124"/>
      <c r="G280" s="124"/>
    </row>
    <row r="281">
      <c r="A281" s="124"/>
      <c r="E281" s="124"/>
      <c r="G281" s="124"/>
    </row>
    <row r="282">
      <c r="A282" s="124"/>
      <c r="E282" s="124"/>
      <c r="G282" s="124"/>
    </row>
    <row r="283">
      <c r="A283" s="124"/>
      <c r="E283" s="124"/>
      <c r="G283" s="124"/>
    </row>
    <row r="284">
      <c r="A284" s="124"/>
      <c r="E284" s="124"/>
      <c r="G284" s="124"/>
    </row>
    <row r="285">
      <c r="A285" s="124"/>
      <c r="E285" s="124"/>
      <c r="G285" s="124"/>
    </row>
    <row r="286">
      <c r="A286" s="124"/>
      <c r="E286" s="124"/>
      <c r="G286" s="124"/>
    </row>
    <row r="287">
      <c r="A287" s="124"/>
      <c r="E287" s="124"/>
      <c r="G287" s="124"/>
    </row>
    <row r="288">
      <c r="A288" s="124"/>
      <c r="E288" s="124"/>
      <c r="G288" s="124"/>
    </row>
    <row r="289">
      <c r="A289" s="124"/>
      <c r="E289" s="124"/>
      <c r="G289" s="124"/>
    </row>
    <row r="290">
      <c r="A290" s="124"/>
      <c r="E290" s="124"/>
      <c r="G290" s="124"/>
    </row>
    <row r="291">
      <c r="A291" s="124"/>
      <c r="E291" s="124"/>
      <c r="G291" s="124"/>
    </row>
    <row r="292">
      <c r="A292" s="124"/>
      <c r="E292" s="124"/>
      <c r="G292" s="124"/>
    </row>
    <row r="293">
      <c r="A293" s="124"/>
      <c r="E293" s="124"/>
      <c r="G293" s="124"/>
    </row>
    <row r="294">
      <c r="A294" s="124"/>
      <c r="E294" s="124"/>
      <c r="G294" s="124"/>
    </row>
    <row r="295">
      <c r="A295" s="124"/>
      <c r="E295" s="124"/>
      <c r="G295" s="124"/>
    </row>
    <row r="296">
      <c r="A296" s="124"/>
      <c r="E296" s="124"/>
      <c r="G296" s="124"/>
    </row>
    <row r="297">
      <c r="A297" s="124"/>
      <c r="E297" s="124"/>
      <c r="G297" s="124"/>
    </row>
    <row r="298">
      <c r="A298" s="124"/>
      <c r="E298" s="124"/>
      <c r="G298" s="124"/>
    </row>
    <row r="299">
      <c r="A299" s="124"/>
      <c r="E299" s="124"/>
      <c r="G299" s="124"/>
    </row>
    <row r="300">
      <c r="A300" s="124"/>
      <c r="E300" s="124"/>
      <c r="G300" s="124"/>
    </row>
    <row r="301">
      <c r="A301" s="124"/>
      <c r="E301" s="124"/>
      <c r="G301" s="124"/>
    </row>
    <row r="302">
      <c r="A302" s="124"/>
      <c r="E302" s="124"/>
      <c r="G302" s="124"/>
    </row>
    <row r="303">
      <c r="A303" s="124"/>
      <c r="E303" s="124"/>
      <c r="G303" s="124"/>
    </row>
    <row r="304">
      <c r="A304" s="124"/>
      <c r="E304" s="124"/>
      <c r="G304" s="124"/>
    </row>
    <row r="305">
      <c r="A305" s="124"/>
      <c r="E305" s="124"/>
      <c r="G305" s="124"/>
    </row>
    <row r="306">
      <c r="A306" s="124"/>
      <c r="E306" s="124"/>
      <c r="G306" s="124"/>
    </row>
    <row r="307">
      <c r="A307" s="124"/>
      <c r="E307" s="124"/>
      <c r="G307" s="124"/>
    </row>
    <row r="308">
      <c r="A308" s="124"/>
      <c r="E308" s="124"/>
      <c r="G308" s="124"/>
    </row>
    <row r="309">
      <c r="A309" s="124"/>
      <c r="E309" s="124"/>
      <c r="G309" s="124"/>
    </row>
    <row r="310">
      <c r="A310" s="124"/>
      <c r="E310" s="124"/>
      <c r="G310" s="124"/>
    </row>
    <row r="311">
      <c r="A311" s="124"/>
      <c r="E311" s="124"/>
      <c r="G311" s="124"/>
    </row>
    <row r="312">
      <c r="A312" s="124"/>
      <c r="E312" s="124"/>
      <c r="G312" s="124"/>
    </row>
    <row r="313">
      <c r="A313" s="124"/>
      <c r="E313" s="124"/>
      <c r="G313" s="124"/>
    </row>
    <row r="314">
      <c r="A314" s="124"/>
      <c r="E314" s="124"/>
      <c r="G314" s="124"/>
    </row>
    <row r="315">
      <c r="A315" s="124"/>
      <c r="E315" s="124"/>
      <c r="G315" s="124"/>
    </row>
    <row r="316">
      <c r="A316" s="124"/>
      <c r="E316" s="124"/>
      <c r="G316" s="124"/>
    </row>
    <row r="317">
      <c r="A317" s="124"/>
      <c r="E317" s="124"/>
      <c r="G317" s="124"/>
    </row>
    <row r="318">
      <c r="A318" s="124"/>
      <c r="E318" s="124"/>
      <c r="G318" s="124"/>
    </row>
    <row r="319">
      <c r="A319" s="124"/>
      <c r="E319" s="124"/>
      <c r="G319" s="124"/>
    </row>
    <row r="320">
      <c r="A320" s="124"/>
      <c r="E320" s="124"/>
      <c r="G320" s="124"/>
    </row>
    <row r="321">
      <c r="A321" s="124"/>
      <c r="E321" s="124"/>
      <c r="G321" s="124"/>
    </row>
    <row r="322">
      <c r="A322" s="124"/>
      <c r="E322" s="124"/>
      <c r="G322" s="124"/>
    </row>
    <row r="323">
      <c r="A323" s="124"/>
      <c r="E323" s="124"/>
      <c r="G323" s="124"/>
    </row>
    <row r="324">
      <c r="A324" s="124"/>
      <c r="E324" s="124"/>
      <c r="G324" s="124"/>
    </row>
    <row r="325">
      <c r="A325" s="124"/>
      <c r="E325" s="124"/>
      <c r="G325" s="124"/>
    </row>
    <row r="326">
      <c r="A326" s="124"/>
      <c r="E326" s="124"/>
      <c r="G326" s="124"/>
    </row>
    <row r="327">
      <c r="A327" s="124"/>
      <c r="E327" s="124"/>
      <c r="G327" s="124"/>
    </row>
    <row r="328">
      <c r="A328" s="124"/>
      <c r="E328" s="124"/>
      <c r="G328" s="124"/>
    </row>
    <row r="329">
      <c r="A329" s="124"/>
      <c r="E329" s="124"/>
      <c r="G329" s="124"/>
    </row>
    <row r="330">
      <c r="A330" s="124"/>
      <c r="E330" s="124"/>
      <c r="G330" s="124"/>
    </row>
    <row r="331">
      <c r="A331" s="124"/>
      <c r="E331" s="124"/>
      <c r="G331" s="124"/>
    </row>
    <row r="332">
      <c r="A332" s="124"/>
      <c r="E332" s="124"/>
      <c r="G332" s="124"/>
    </row>
    <row r="333">
      <c r="A333" s="124"/>
      <c r="E333" s="124"/>
      <c r="G333" s="124"/>
    </row>
    <row r="334">
      <c r="A334" s="124"/>
      <c r="E334" s="124"/>
      <c r="G334" s="124"/>
    </row>
    <row r="335">
      <c r="A335" s="124"/>
      <c r="E335" s="124"/>
      <c r="G335" s="124"/>
    </row>
    <row r="336">
      <c r="A336" s="124"/>
      <c r="E336" s="124"/>
      <c r="G336" s="124"/>
    </row>
    <row r="337">
      <c r="A337" s="124"/>
      <c r="E337" s="124"/>
      <c r="G337" s="124"/>
    </row>
    <row r="338">
      <c r="A338" s="124"/>
      <c r="E338" s="124"/>
      <c r="G338" s="124"/>
    </row>
    <row r="339">
      <c r="A339" s="124"/>
      <c r="E339" s="124"/>
      <c r="G339" s="124"/>
    </row>
    <row r="340">
      <c r="A340" s="124"/>
      <c r="E340" s="124"/>
      <c r="G340" s="124"/>
    </row>
    <row r="341">
      <c r="A341" s="124"/>
      <c r="E341" s="124"/>
      <c r="G341" s="124"/>
    </row>
    <row r="342">
      <c r="A342" s="124"/>
      <c r="E342" s="124"/>
      <c r="G342" s="124"/>
    </row>
    <row r="343">
      <c r="A343" s="124"/>
      <c r="E343" s="124"/>
      <c r="G343" s="124"/>
    </row>
    <row r="344">
      <c r="A344" s="124"/>
      <c r="E344" s="124"/>
      <c r="G344" s="124"/>
    </row>
    <row r="345">
      <c r="A345" s="124"/>
      <c r="E345" s="124"/>
      <c r="G345" s="124"/>
    </row>
    <row r="346">
      <c r="A346" s="124"/>
      <c r="E346" s="124"/>
      <c r="G346" s="124"/>
    </row>
    <row r="347">
      <c r="A347" s="124"/>
      <c r="E347" s="124"/>
      <c r="G347" s="124"/>
    </row>
    <row r="348">
      <c r="A348" s="124"/>
      <c r="E348" s="124"/>
      <c r="G348" s="124"/>
    </row>
    <row r="349">
      <c r="A349" s="124"/>
      <c r="E349" s="124"/>
      <c r="G349" s="124"/>
    </row>
    <row r="350">
      <c r="A350" s="124"/>
      <c r="E350" s="124"/>
      <c r="G350" s="124"/>
    </row>
    <row r="351">
      <c r="A351" s="124"/>
      <c r="E351" s="124"/>
      <c r="G351" s="124"/>
    </row>
    <row r="352">
      <c r="A352" s="124"/>
      <c r="E352" s="124"/>
      <c r="G352" s="124"/>
    </row>
    <row r="353">
      <c r="A353" s="124"/>
      <c r="E353" s="124"/>
      <c r="G353" s="124"/>
    </row>
    <row r="354">
      <c r="A354" s="124"/>
      <c r="E354" s="124"/>
      <c r="G354" s="124"/>
    </row>
    <row r="355">
      <c r="A355" s="124"/>
      <c r="E355" s="124"/>
      <c r="G355" s="124"/>
    </row>
    <row r="356">
      <c r="A356" s="124"/>
      <c r="E356" s="124"/>
      <c r="G356" s="124"/>
    </row>
    <row r="357">
      <c r="A357" s="124"/>
      <c r="E357" s="124"/>
      <c r="G357" s="124"/>
    </row>
    <row r="358">
      <c r="A358" s="124"/>
      <c r="E358" s="124"/>
      <c r="G358" s="124"/>
    </row>
    <row r="359">
      <c r="A359" s="124"/>
      <c r="E359" s="124"/>
      <c r="G359" s="124"/>
    </row>
    <row r="360">
      <c r="A360" s="124"/>
      <c r="E360" s="124"/>
      <c r="G360" s="124"/>
    </row>
    <row r="361">
      <c r="A361" s="124"/>
      <c r="E361" s="124"/>
      <c r="G361" s="124"/>
    </row>
    <row r="362">
      <c r="A362" s="124"/>
      <c r="E362" s="124"/>
      <c r="G362" s="124"/>
    </row>
    <row r="363">
      <c r="A363" s="124"/>
      <c r="E363" s="124"/>
      <c r="G363" s="124"/>
    </row>
    <row r="364">
      <c r="A364" s="124"/>
      <c r="E364" s="124"/>
      <c r="G364" s="124"/>
    </row>
    <row r="365">
      <c r="A365" s="124"/>
      <c r="E365" s="124"/>
      <c r="G365" s="124"/>
    </row>
    <row r="366">
      <c r="A366" s="124"/>
      <c r="E366" s="124"/>
      <c r="G366" s="124"/>
    </row>
    <row r="367">
      <c r="A367" s="124"/>
      <c r="E367" s="124"/>
      <c r="G367" s="124"/>
    </row>
    <row r="368">
      <c r="A368" s="124"/>
      <c r="E368" s="124"/>
      <c r="G368" s="124"/>
    </row>
    <row r="369">
      <c r="A369" s="124"/>
      <c r="E369" s="124"/>
      <c r="G369" s="124"/>
    </row>
    <row r="370">
      <c r="A370" s="124"/>
      <c r="E370" s="124"/>
      <c r="G370" s="124"/>
    </row>
    <row r="371">
      <c r="A371" s="124"/>
      <c r="E371" s="124"/>
      <c r="G371" s="124"/>
    </row>
    <row r="372">
      <c r="A372" s="124"/>
      <c r="E372" s="124"/>
      <c r="G372" s="124"/>
    </row>
    <row r="373">
      <c r="A373" s="124"/>
      <c r="E373" s="124"/>
      <c r="G373" s="124"/>
    </row>
    <row r="374">
      <c r="A374" s="124"/>
      <c r="E374" s="124"/>
      <c r="G374" s="124"/>
    </row>
    <row r="375">
      <c r="A375" s="124"/>
      <c r="E375" s="124"/>
      <c r="G375" s="124"/>
    </row>
    <row r="376">
      <c r="A376" s="124"/>
      <c r="E376" s="124"/>
      <c r="G376" s="124"/>
    </row>
    <row r="377">
      <c r="A377" s="124"/>
      <c r="E377" s="124"/>
      <c r="G377" s="124"/>
    </row>
    <row r="378">
      <c r="A378" s="124"/>
      <c r="E378" s="124"/>
      <c r="G378" s="124"/>
    </row>
    <row r="379">
      <c r="A379" s="124"/>
      <c r="E379" s="124"/>
      <c r="G379" s="124"/>
    </row>
    <row r="380">
      <c r="A380" s="124"/>
      <c r="E380" s="124"/>
      <c r="G380" s="124"/>
    </row>
    <row r="381">
      <c r="A381" s="124"/>
      <c r="E381" s="124"/>
      <c r="G381" s="124"/>
    </row>
    <row r="382">
      <c r="A382" s="124"/>
      <c r="E382" s="124"/>
      <c r="G382" s="124"/>
    </row>
    <row r="383">
      <c r="A383" s="124"/>
      <c r="E383" s="124"/>
      <c r="G383" s="124"/>
    </row>
    <row r="384">
      <c r="A384" s="124"/>
      <c r="E384" s="124"/>
      <c r="G384" s="124"/>
    </row>
    <row r="385">
      <c r="A385" s="124"/>
      <c r="E385" s="124"/>
      <c r="G385" s="124"/>
    </row>
    <row r="386">
      <c r="A386" s="124"/>
      <c r="E386" s="124"/>
      <c r="G386" s="124"/>
    </row>
    <row r="387">
      <c r="A387" s="124"/>
      <c r="E387" s="124"/>
      <c r="G387" s="124"/>
    </row>
    <row r="388">
      <c r="A388" s="124"/>
      <c r="E388" s="124"/>
      <c r="G388" s="124"/>
    </row>
    <row r="389">
      <c r="A389" s="124"/>
      <c r="E389" s="124"/>
      <c r="G389" s="124"/>
    </row>
    <row r="390">
      <c r="A390" s="124"/>
      <c r="E390" s="124"/>
      <c r="G390" s="124"/>
    </row>
    <row r="391">
      <c r="A391" s="124"/>
      <c r="E391" s="124"/>
      <c r="G391" s="124"/>
    </row>
    <row r="392">
      <c r="A392" s="124"/>
      <c r="E392" s="124"/>
      <c r="G392" s="124"/>
    </row>
    <row r="393">
      <c r="A393" s="124"/>
      <c r="E393" s="124"/>
      <c r="G393" s="124"/>
    </row>
    <row r="394">
      <c r="A394" s="124"/>
      <c r="E394" s="124"/>
      <c r="G394" s="124"/>
    </row>
    <row r="395">
      <c r="A395" s="124"/>
      <c r="E395" s="124"/>
      <c r="G395" s="124"/>
    </row>
    <row r="396">
      <c r="A396" s="124"/>
      <c r="E396" s="124"/>
      <c r="G396" s="124"/>
    </row>
    <row r="397">
      <c r="A397" s="124"/>
      <c r="E397" s="124"/>
      <c r="G397" s="124"/>
    </row>
    <row r="398">
      <c r="A398" s="124"/>
      <c r="E398" s="124"/>
      <c r="G398" s="124"/>
    </row>
    <row r="399">
      <c r="A399" s="124"/>
      <c r="E399" s="124"/>
      <c r="G399" s="124"/>
    </row>
    <row r="400">
      <c r="A400" s="124"/>
      <c r="E400" s="124"/>
      <c r="G400" s="124"/>
    </row>
    <row r="401">
      <c r="A401" s="124"/>
      <c r="E401" s="124"/>
      <c r="G401" s="124"/>
    </row>
    <row r="402">
      <c r="A402" s="124"/>
      <c r="E402" s="124"/>
      <c r="G402" s="124"/>
    </row>
    <row r="403">
      <c r="A403" s="124"/>
      <c r="E403" s="124"/>
      <c r="G403" s="124"/>
    </row>
    <row r="404">
      <c r="A404" s="124"/>
      <c r="E404" s="124"/>
      <c r="G404" s="124"/>
    </row>
    <row r="405">
      <c r="A405" s="124"/>
      <c r="E405" s="124"/>
      <c r="G405" s="124"/>
    </row>
    <row r="406">
      <c r="A406" s="124"/>
      <c r="E406" s="124"/>
      <c r="G406" s="124"/>
    </row>
    <row r="407">
      <c r="A407" s="124"/>
      <c r="E407" s="124"/>
      <c r="G407" s="124"/>
    </row>
    <row r="408">
      <c r="A408" s="124"/>
      <c r="E408" s="124"/>
      <c r="G408" s="124"/>
    </row>
    <row r="409">
      <c r="A409" s="124"/>
      <c r="E409" s="124"/>
      <c r="G409" s="124"/>
    </row>
    <row r="410">
      <c r="A410" s="124"/>
      <c r="E410" s="124"/>
      <c r="G410" s="124"/>
    </row>
    <row r="411">
      <c r="A411" s="124"/>
      <c r="E411" s="124"/>
      <c r="G411" s="124"/>
    </row>
    <row r="412">
      <c r="A412" s="124"/>
      <c r="E412" s="124"/>
      <c r="G412" s="124"/>
    </row>
    <row r="413">
      <c r="A413" s="124"/>
      <c r="E413" s="124"/>
      <c r="G413" s="124"/>
    </row>
    <row r="414">
      <c r="A414" s="124"/>
      <c r="E414" s="124"/>
      <c r="G414" s="124"/>
    </row>
    <row r="415">
      <c r="A415" s="124"/>
      <c r="E415" s="124"/>
      <c r="G415" s="124"/>
    </row>
    <row r="416">
      <c r="A416" s="124"/>
      <c r="E416" s="124"/>
      <c r="G416" s="124"/>
    </row>
    <row r="417">
      <c r="A417" s="124"/>
      <c r="E417" s="124"/>
      <c r="G417" s="124"/>
    </row>
    <row r="418">
      <c r="A418" s="124"/>
      <c r="E418" s="124"/>
      <c r="G418" s="124"/>
    </row>
    <row r="419">
      <c r="A419" s="124"/>
      <c r="E419" s="124"/>
      <c r="G419" s="124"/>
    </row>
    <row r="420">
      <c r="A420" s="124"/>
      <c r="E420" s="124"/>
      <c r="G420" s="124"/>
    </row>
    <row r="421">
      <c r="A421" s="124"/>
      <c r="E421" s="124"/>
      <c r="G421" s="124"/>
    </row>
    <row r="422">
      <c r="A422" s="124"/>
      <c r="E422" s="124"/>
      <c r="G422" s="124"/>
    </row>
    <row r="423">
      <c r="A423" s="124"/>
      <c r="E423" s="124"/>
      <c r="G423" s="124"/>
    </row>
    <row r="424">
      <c r="A424" s="124"/>
      <c r="E424" s="124"/>
      <c r="G424" s="124"/>
    </row>
    <row r="425">
      <c r="A425" s="124"/>
      <c r="E425" s="124"/>
      <c r="G425" s="124"/>
    </row>
    <row r="426">
      <c r="A426" s="124"/>
      <c r="E426" s="124"/>
      <c r="G426" s="124"/>
    </row>
    <row r="427">
      <c r="A427" s="124"/>
      <c r="E427" s="124"/>
      <c r="G427" s="124"/>
    </row>
    <row r="428">
      <c r="A428" s="124"/>
      <c r="E428" s="124"/>
      <c r="G428" s="124"/>
    </row>
    <row r="429">
      <c r="A429" s="124"/>
      <c r="E429" s="124"/>
      <c r="G429" s="124"/>
    </row>
    <row r="430">
      <c r="A430" s="124"/>
      <c r="E430" s="124"/>
      <c r="G430" s="124"/>
    </row>
    <row r="431">
      <c r="A431" s="124"/>
      <c r="E431" s="124"/>
      <c r="G431" s="124"/>
    </row>
    <row r="432">
      <c r="A432" s="124"/>
      <c r="E432" s="124"/>
      <c r="G432" s="124"/>
    </row>
    <row r="433">
      <c r="A433" s="124"/>
      <c r="E433" s="124"/>
      <c r="G433" s="124"/>
    </row>
    <row r="434">
      <c r="A434" s="124"/>
      <c r="E434" s="124"/>
      <c r="G434" s="124"/>
    </row>
    <row r="435">
      <c r="A435" s="124"/>
      <c r="E435" s="124"/>
      <c r="G435" s="124"/>
    </row>
    <row r="436">
      <c r="A436" s="124"/>
      <c r="E436" s="124"/>
      <c r="G436" s="124"/>
    </row>
    <row r="437">
      <c r="A437" s="124"/>
      <c r="E437" s="124"/>
      <c r="G437" s="124"/>
    </row>
    <row r="438">
      <c r="A438" s="124"/>
      <c r="E438" s="124"/>
      <c r="G438" s="124"/>
    </row>
    <row r="439">
      <c r="A439" s="124"/>
      <c r="E439" s="124"/>
      <c r="G439" s="124"/>
    </row>
    <row r="440">
      <c r="A440" s="124"/>
      <c r="E440" s="124"/>
      <c r="G440" s="124"/>
    </row>
    <row r="441">
      <c r="A441" s="124"/>
      <c r="E441" s="124"/>
      <c r="G441" s="124"/>
    </row>
    <row r="442">
      <c r="A442" s="124"/>
      <c r="E442" s="124"/>
      <c r="G442" s="124"/>
    </row>
    <row r="443">
      <c r="A443" s="124"/>
      <c r="E443" s="124"/>
      <c r="G443" s="124"/>
    </row>
    <row r="444">
      <c r="A444" s="124"/>
      <c r="E444" s="124"/>
      <c r="G444" s="124"/>
    </row>
    <row r="445">
      <c r="A445" s="124"/>
      <c r="E445" s="124"/>
      <c r="G445" s="124"/>
    </row>
    <row r="446">
      <c r="A446" s="124"/>
      <c r="E446" s="124"/>
      <c r="G446" s="124"/>
    </row>
    <row r="447">
      <c r="A447" s="124"/>
      <c r="E447" s="124"/>
      <c r="G447" s="124"/>
    </row>
    <row r="448">
      <c r="A448" s="124"/>
      <c r="E448" s="124"/>
      <c r="G448" s="124"/>
    </row>
    <row r="449">
      <c r="A449" s="124"/>
      <c r="E449" s="124"/>
      <c r="G449" s="124"/>
    </row>
    <row r="450">
      <c r="A450" s="124"/>
      <c r="E450" s="124"/>
      <c r="G450" s="124"/>
    </row>
    <row r="451">
      <c r="A451" s="124"/>
      <c r="E451" s="124"/>
      <c r="G451" s="124"/>
    </row>
    <row r="452">
      <c r="A452" s="124"/>
      <c r="E452" s="124"/>
      <c r="G452" s="124"/>
    </row>
    <row r="453">
      <c r="A453" s="124"/>
      <c r="E453" s="124"/>
      <c r="G453" s="124"/>
    </row>
    <row r="454">
      <c r="A454" s="124"/>
      <c r="E454" s="124"/>
      <c r="G454" s="124"/>
    </row>
    <row r="455">
      <c r="A455" s="124"/>
      <c r="E455" s="124"/>
      <c r="G455" s="124"/>
    </row>
    <row r="456">
      <c r="A456" s="124"/>
      <c r="E456" s="124"/>
      <c r="G456" s="124"/>
    </row>
    <row r="457">
      <c r="A457" s="124"/>
      <c r="E457" s="124"/>
      <c r="G457" s="124"/>
    </row>
    <row r="458">
      <c r="A458" s="124"/>
      <c r="E458" s="124"/>
      <c r="G458" s="124"/>
    </row>
    <row r="459">
      <c r="A459" s="124"/>
      <c r="E459" s="124"/>
      <c r="G459" s="124"/>
    </row>
    <row r="460">
      <c r="A460" s="124"/>
      <c r="E460" s="124"/>
      <c r="G460" s="124"/>
    </row>
    <row r="461">
      <c r="A461" s="124"/>
      <c r="E461" s="124"/>
      <c r="G461" s="124"/>
    </row>
    <row r="462">
      <c r="A462" s="124"/>
      <c r="E462" s="124"/>
      <c r="G462" s="124"/>
    </row>
    <row r="463">
      <c r="A463" s="124"/>
      <c r="E463" s="124"/>
      <c r="G463" s="124"/>
    </row>
    <row r="464">
      <c r="A464" s="124"/>
      <c r="E464" s="124"/>
      <c r="G464" s="124"/>
    </row>
    <row r="465">
      <c r="A465" s="124"/>
      <c r="E465" s="124"/>
      <c r="G465" s="124"/>
    </row>
    <row r="466">
      <c r="A466" s="124"/>
      <c r="E466" s="124"/>
      <c r="G466" s="124"/>
    </row>
    <row r="467">
      <c r="A467" s="124"/>
      <c r="E467" s="124"/>
      <c r="G467" s="124"/>
    </row>
    <row r="468">
      <c r="A468" s="124"/>
      <c r="E468" s="124"/>
      <c r="G468" s="124"/>
    </row>
    <row r="469">
      <c r="A469" s="124"/>
      <c r="E469" s="124"/>
      <c r="G469" s="124"/>
    </row>
    <row r="470">
      <c r="A470" s="124"/>
      <c r="E470" s="124"/>
      <c r="G470" s="124"/>
    </row>
    <row r="471">
      <c r="A471" s="124"/>
      <c r="E471" s="124"/>
      <c r="G471" s="124"/>
    </row>
    <row r="472">
      <c r="A472" s="124"/>
      <c r="E472" s="124"/>
      <c r="G472" s="124"/>
    </row>
    <row r="473">
      <c r="A473" s="124"/>
      <c r="E473" s="124"/>
      <c r="G473" s="124"/>
    </row>
    <row r="474">
      <c r="A474" s="124"/>
      <c r="E474" s="124"/>
      <c r="G474" s="124"/>
    </row>
    <row r="475">
      <c r="A475" s="124"/>
      <c r="E475" s="124"/>
      <c r="G475" s="124"/>
    </row>
    <row r="476">
      <c r="A476" s="124"/>
      <c r="E476" s="124"/>
      <c r="G476" s="124"/>
    </row>
    <row r="477">
      <c r="A477" s="124"/>
      <c r="E477" s="124"/>
      <c r="G477" s="124"/>
    </row>
    <row r="478">
      <c r="A478" s="124"/>
      <c r="E478" s="124"/>
      <c r="G478" s="124"/>
    </row>
    <row r="479">
      <c r="A479" s="124"/>
      <c r="E479" s="124"/>
      <c r="G479" s="124"/>
    </row>
    <row r="480">
      <c r="A480" s="124"/>
      <c r="E480" s="124"/>
      <c r="G480" s="124"/>
    </row>
    <row r="481">
      <c r="A481" s="124"/>
      <c r="E481" s="124"/>
      <c r="G481" s="124"/>
    </row>
    <row r="482">
      <c r="A482" s="124"/>
      <c r="E482" s="124"/>
      <c r="G482" s="124"/>
    </row>
    <row r="483">
      <c r="A483" s="124"/>
      <c r="E483" s="124"/>
      <c r="G483" s="124"/>
    </row>
    <row r="484">
      <c r="A484" s="124"/>
      <c r="E484" s="124"/>
      <c r="G484" s="124"/>
    </row>
    <row r="485">
      <c r="A485" s="124"/>
      <c r="E485" s="124"/>
      <c r="G485" s="124"/>
    </row>
    <row r="486">
      <c r="A486" s="124"/>
      <c r="E486" s="124"/>
      <c r="G486" s="124"/>
    </row>
    <row r="487">
      <c r="A487" s="124"/>
      <c r="E487" s="124"/>
      <c r="G487" s="124"/>
    </row>
    <row r="488">
      <c r="A488" s="124"/>
      <c r="E488" s="124"/>
      <c r="G488" s="124"/>
    </row>
    <row r="489">
      <c r="A489" s="124"/>
      <c r="E489" s="124"/>
      <c r="G489" s="124"/>
    </row>
    <row r="490">
      <c r="A490" s="124"/>
      <c r="E490" s="124"/>
      <c r="G490" s="124"/>
    </row>
    <row r="491">
      <c r="A491" s="124"/>
      <c r="E491" s="124"/>
      <c r="G491" s="124"/>
    </row>
    <row r="492">
      <c r="A492" s="124"/>
      <c r="E492" s="124"/>
      <c r="G492" s="124"/>
    </row>
    <row r="493">
      <c r="A493" s="124"/>
      <c r="E493" s="124"/>
      <c r="G493" s="124"/>
    </row>
    <row r="494">
      <c r="A494" s="124"/>
      <c r="E494" s="124"/>
      <c r="G494" s="124"/>
    </row>
    <row r="495">
      <c r="A495" s="124"/>
      <c r="E495" s="124"/>
      <c r="G495" s="124"/>
    </row>
    <row r="496">
      <c r="A496" s="124"/>
      <c r="E496" s="124"/>
      <c r="G496" s="124"/>
    </row>
    <row r="497">
      <c r="A497" s="124"/>
      <c r="E497" s="124"/>
      <c r="G497" s="124"/>
    </row>
    <row r="498">
      <c r="A498" s="124"/>
      <c r="E498" s="124"/>
      <c r="G498" s="124"/>
    </row>
    <row r="499">
      <c r="A499" s="124"/>
      <c r="E499" s="124"/>
      <c r="G499" s="124"/>
    </row>
    <row r="500">
      <c r="A500" s="124"/>
      <c r="E500" s="124"/>
      <c r="G500" s="124"/>
    </row>
    <row r="501">
      <c r="A501" s="124"/>
      <c r="E501" s="124"/>
      <c r="G501" s="124"/>
    </row>
    <row r="502">
      <c r="A502" s="124"/>
      <c r="E502" s="124"/>
      <c r="G502" s="124"/>
    </row>
    <row r="503">
      <c r="A503" s="124"/>
      <c r="E503" s="124"/>
      <c r="G503" s="124"/>
    </row>
    <row r="504">
      <c r="A504" s="124"/>
      <c r="E504" s="124"/>
      <c r="G504" s="124"/>
    </row>
    <row r="505">
      <c r="A505" s="124"/>
      <c r="E505" s="124"/>
      <c r="G505" s="124"/>
    </row>
    <row r="506">
      <c r="A506" s="124"/>
      <c r="E506" s="124"/>
      <c r="G506" s="124"/>
    </row>
    <row r="507">
      <c r="A507" s="124"/>
      <c r="E507" s="124"/>
      <c r="G507" s="124"/>
    </row>
    <row r="508">
      <c r="A508" s="124"/>
      <c r="E508" s="124"/>
      <c r="G508" s="124"/>
    </row>
    <row r="509">
      <c r="A509" s="124"/>
      <c r="E509" s="124"/>
      <c r="G509" s="124"/>
    </row>
    <row r="510">
      <c r="A510" s="124"/>
      <c r="E510" s="124"/>
      <c r="G510" s="124"/>
    </row>
    <row r="511">
      <c r="A511" s="124"/>
      <c r="E511" s="124"/>
      <c r="G511" s="124"/>
    </row>
    <row r="512">
      <c r="A512" s="124"/>
      <c r="E512" s="124"/>
      <c r="G512" s="124"/>
    </row>
    <row r="513">
      <c r="A513" s="124"/>
      <c r="E513" s="124"/>
      <c r="G513" s="124"/>
    </row>
    <row r="514">
      <c r="A514" s="124"/>
      <c r="E514" s="124"/>
      <c r="G514" s="124"/>
    </row>
    <row r="515">
      <c r="A515" s="124"/>
      <c r="E515" s="124"/>
      <c r="G515" s="124"/>
    </row>
    <row r="516">
      <c r="A516" s="124"/>
      <c r="E516" s="124"/>
      <c r="G516" s="124"/>
    </row>
    <row r="517">
      <c r="A517" s="124"/>
      <c r="E517" s="124"/>
      <c r="G517" s="124"/>
    </row>
    <row r="518">
      <c r="A518" s="124"/>
      <c r="E518" s="124"/>
      <c r="G518" s="124"/>
    </row>
    <row r="519">
      <c r="A519" s="124"/>
      <c r="E519" s="124"/>
      <c r="G519" s="124"/>
    </row>
    <row r="520">
      <c r="A520" s="124"/>
      <c r="E520" s="124"/>
      <c r="G520" s="124"/>
    </row>
    <row r="521">
      <c r="A521" s="124"/>
      <c r="E521" s="124"/>
      <c r="G521" s="124"/>
    </row>
    <row r="522">
      <c r="A522" s="124"/>
      <c r="E522" s="124"/>
      <c r="G522" s="124"/>
    </row>
    <row r="523">
      <c r="A523" s="124"/>
      <c r="E523" s="124"/>
      <c r="G523" s="124"/>
    </row>
    <row r="524">
      <c r="A524" s="124"/>
      <c r="E524" s="124"/>
      <c r="G524" s="124"/>
    </row>
    <row r="525">
      <c r="A525" s="124"/>
      <c r="E525" s="124"/>
      <c r="G525" s="124"/>
    </row>
    <row r="526">
      <c r="A526" s="124"/>
      <c r="E526" s="124"/>
      <c r="G526" s="124"/>
    </row>
    <row r="527">
      <c r="A527" s="124"/>
      <c r="E527" s="124"/>
      <c r="G527" s="124"/>
    </row>
    <row r="528">
      <c r="A528" s="124"/>
      <c r="E528" s="124"/>
      <c r="G528" s="124"/>
    </row>
    <row r="529">
      <c r="A529" s="124"/>
      <c r="E529" s="124"/>
      <c r="G529" s="124"/>
    </row>
    <row r="530">
      <c r="A530" s="124"/>
      <c r="E530" s="124"/>
      <c r="G530" s="124"/>
    </row>
    <row r="531">
      <c r="A531" s="124"/>
      <c r="E531" s="124"/>
      <c r="G531" s="124"/>
    </row>
    <row r="532">
      <c r="A532" s="124"/>
      <c r="E532" s="124"/>
      <c r="G532" s="124"/>
    </row>
    <row r="533">
      <c r="A533" s="124"/>
      <c r="E533" s="124"/>
      <c r="G533" s="124"/>
    </row>
    <row r="534">
      <c r="A534" s="124"/>
      <c r="E534" s="124"/>
      <c r="G534" s="124"/>
    </row>
    <row r="535">
      <c r="A535" s="124"/>
      <c r="E535" s="124"/>
      <c r="G535" s="124"/>
    </row>
    <row r="536">
      <c r="A536" s="124"/>
      <c r="E536" s="124"/>
      <c r="G536" s="124"/>
    </row>
    <row r="537">
      <c r="A537" s="124"/>
      <c r="E537" s="124"/>
      <c r="G537" s="124"/>
    </row>
    <row r="538">
      <c r="A538" s="124"/>
      <c r="E538" s="124"/>
      <c r="G538" s="124"/>
    </row>
    <row r="539">
      <c r="A539" s="124"/>
      <c r="E539" s="124"/>
      <c r="G539" s="124"/>
    </row>
    <row r="540">
      <c r="A540" s="124"/>
      <c r="E540" s="124"/>
      <c r="G540" s="124"/>
    </row>
    <row r="541">
      <c r="A541" s="124"/>
      <c r="E541" s="124"/>
      <c r="G541" s="124"/>
    </row>
    <row r="542">
      <c r="A542" s="124"/>
      <c r="E542" s="124"/>
      <c r="G542" s="124"/>
    </row>
    <row r="543">
      <c r="A543" s="124"/>
      <c r="E543" s="124"/>
      <c r="G543" s="124"/>
    </row>
    <row r="544">
      <c r="A544" s="124"/>
      <c r="E544" s="124"/>
      <c r="G544" s="124"/>
    </row>
    <row r="545">
      <c r="A545" s="124"/>
      <c r="E545" s="124"/>
      <c r="G545" s="124"/>
    </row>
    <row r="546">
      <c r="A546" s="124"/>
      <c r="E546" s="124"/>
      <c r="G546" s="124"/>
    </row>
    <row r="547">
      <c r="A547" s="124"/>
      <c r="E547" s="124"/>
      <c r="G547" s="124"/>
    </row>
    <row r="548">
      <c r="A548" s="124"/>
      <c r="E548" s="124"/>
      <c r="G548" s="124"/>
    </row>
    <row r="549">
      <c r="A549" s="124"/>
      <c r="E549" s="124"/>
      <c r="G549" s="124"/>
    </row>
    <row r="550">
      <c r="A550" s="124"/>
      <c r="E550" s="124"/>
      <c r="G550" s="124"/>
    </row>
    <row r="551">
      <c r="A551" s="124"/>
      <c r="E551" s="124"/>
      <c r="G551" s="124"/>
    </row>
    <row r="552">
      <c r="A552" s="124"/>
      <c r="E552" s="124"/>
      <c r="G552" s="124"/>
    </row>
    <row r="553">
      <c r="A553" s="124"/>
      <c r="E553" s="124"/>
      <c r="G553" s="124"/>
    </row>
    <row r="554">
      <c r="A554" s="124"/>
      <c r="E554" s="124"/>
      <c r="G554" s="124"/>
    </row>
    <row r="555">
      <c r="A555" s="124"/>
      <c r="E555" s="124"/>
      <c r="G555" s="124"/>
    </row>
    <row r="556">
      <c r="A556" s="124"/>
      <c r="E556" s="124"/>
      <c r="G556" s="124"/>
    </row>
    <row r="557">
      <c r="A557" s="124"/>
      <c r="E557" s="124"/>
      <c r="G557" s="124"/>
    </row>
    <row r="558">
      <c r="A558" s="124"/>
      <c r="E558" s="124"/>
      <c r="G558" s="124"/>
    </row>
    <row r="559">
      <c r="A559" s="124"/>
      <c r="E559" s="124"/>
      <c r="G559" s="124"/>
    </row>
    <row r="560">
      <c r="A560" s="124"/>
      <c r="E560" s="124"/>
      <c r="G560" s="124"/>
    </row>
    <row r="561">
      <c r="A561" s="124"/>
      <c r="E561" s="124"/>
      <c r="G561" s="124"/>
    </row>
    <row r="562">
      <c r="A562" s="124"/>
      <c r="E562" s="124"/>
      <c r="G562" s="124"/>
    </row>
    <row r="563">
      <c r="A563" s="124"/>
      <c r="E563" s="124"/>
      <c r="G563" s="124"/>
    </row>
    <row r="564">
      <c r="A564" s="124"/>
      <c r="E564" s="124"/>
      <c r="G564" s="124"/>
    </row>
    <row r="565">
      <c r="A565" s="124"/>
      <c r="E565" s="124"/>
      <c r="G565" s="124"/>
    </row>
    <row r="566">
      <c r="A566" s="124"/>
      <c r="E566" s="124"/>
      <c r="G566" s="124"/>
    </row>
    <row r="567">
      <c r="A567" s="124"/>
      <c r="E567" s="124"/>
      <c r="G567" s="124"/>
    </row>
    <row r="568">
      <c r="A568" s="124"/>
      <c r="E568" s="124"/>
      <c r="G568" s="124"/>
    </row>
    <row r="569">
      <c r="A569" s="124"/>
      <c r="E569" s="124"/>
      <c r="G569" s="124"/>
    </row>
    <row r="570">
      <c r="A570" s="124"/>
      <c r="E570" s="124"/>
      <c r="G570" s="124"/>
    </row>
    <row r="571">
      <c r="A571" s="124"/>
      <c r="E571" s="124"/>
      <c r="G571" s="124"/>
    </row>
    <row r="572">
      <c r="A572" s="124"/>
      <c r="E572" s="124"/>
      <c r="G572" s="124"/>
    </row>
    <row r="573">
      <c r="A573" s="124"/>
      <c r="E573" s="124"/>
      <c r="G573" s="124"/>
    </row>
    <row r="574">
      <c r="A574" s="124"/>
      <c r="E574" s="124"/>
      <c r="G574" s="124"/>
    </row>
    <row r="575">
      <c r="A575" s="124"/>
      <c r="E575" s="124"/>
      <c r="G575" s="124"/>
    </row>
    <row r="576">
      <c r="A576" s="124"/>
      <c r="E576" s="124"/>
      <c r="G576" s="124"/>
    </row>
    <row r="577">
      <c r="A577" s="124"/>
      <c r="E577" s="124"/>
      <c r="G577" s="124"/>
    </row>
    <row r="578">
      <c r="A578" s="124"/>
      <c r="E578" s="124"/>
      <c r="G578" s="124"/>
    </row>
    <row r="579">
      <c r="A579" s="124"/>
      <c r="E579" s="124"/>
      <c r="G579" s="124"/>
    </row>
    <row r="580">
      <c r="A580" s="124"/>
      <c r="E580" s="124"/>
      <c r="G580" s="124"/>
    </row>
    <row r="581">
      <c r="A581" s="124"/>
      <c r="E581" s="124"/>
      <c r="G581" s="124"/>
    </row>
    <row r="582">
      <c r="A582" s="124"/>
      <c r="E582" s="124"/>
      <c r="G582" s="124"/>
    </row>
    <row r="583">
      <c r="A583" s="124"/>
      <c r="E583" s="124"/>
      <c r="G583" s="124"/>
    </row>
    <row r="584">
      <c r="A584" s="124"/>
      <c r="E584" s="124"/>
      <c r="G584" s="124"/>
    </row>
    <row r="585">
      <c r="A585" s="124"/>
      <c r="E585" s="124"/>
      <c r="G585" s="124"/>
    </row>
    <row r="586">
      <c r="A586" s="124"/>
      <c r="E586" s="124"/>
      <c r="G586" s="124"/>
    </row>
    <row r="587">
      <c r="A587" s="124"/>
      <c r="E587" s="124"/>
      <c r="G587" s="124"/>
    </row>
    <row r="588">
      <c r="A588" s="124"/>
      <c r="E588" s="124"/>
      <c r="G588" s="124"/>
    </row>
    <row r="589">
      <c r="A589" s="124"/>
      <c r="E589" s="124"/>
      <c r="G589" s="124"/>
    </row>
    <row r="590">
      <c r="A590" s="124"/>
      <c r="E590" s="124"/>
      <c r="G590" s="124"/>
    </row>
    <row r="591">
      <c r="A591" s="124"/>
      <c r="E591" s="124"/>
      <c r="G591" s="124"/>
    </row>
    <row r="592">
      <c r="A592" s="124"/>
      <c r="E592" s="124"/>
      <c r="G592" s="124"/>
    </row>
    <row r="593">
      <c r="A593" s="124"/>
      <c r="E593" s="124"/>
      <c r="G593" s="124"/>
    </row>
    <row r="594">
      <c r="A594" s="124"/>
      <c r="E594" s="124"/>
      <c r="G594" s="124"/>
    </row>
    <row r="595">
      <c r="A595" s="124"/>
      <c r="E595" s="124"/>
      <c r="G595" s="124"/>
    </row>
    <row r="596">
      <c r="A596" s="124"/>
      <c r="E596" s="124"/>
      <c r="G596" s="124"/>
    </row>
    <row r="597">
      <c r="A597" s="124"/>
      <c r="E597" s="124"/>
      <c r="G597" s="124"/>
    </row>
    <row r="598">
      <c r="A598" s="124"/>
      <c r="E598" s="124"/>
      <c r="G598" s="124"/>
    </row>
    <row r="599">
      <c r="A599" s="124"/>
      <c r="E599" s="124"/>
      <c r="G599" s="124"/>
    </row>
    <row r="600">
      <c r="A600" s="124"/>
      <c r="E600" s="124"/>
      <c r="G600" s="124"/>
    </row>
    <row r="601">
      <c r="A601" s="124"/>
      <c r="E601" s="124"/>
      <c r="G601" s="124"/>
    </row>
    <row r="602">
      <c r="A602" s="124"/>
      <c r="E602" s="124"/>
      <c r="G602" s="124"/>
    </row>
    <row r="603">
      <c r="A603" s="124"/>
      <c r="E603" s="124"/>
      <c r="G603" s="124"/>
    </row>
    <row r="604">
      <c r="A604" s="124"/>
      <c r="E604" s="124"/>
      <c r="G604" s="124"/>
    </row>
    <row r="605">
      <c r="A605" s="124"/>
      <c r="E605" s="124"/>
      <c r="G605" s="124"/>
    </row>
    <row r="606">
      <c r="A606" s="124"/>
      <c r="E606" s="124"/>
      <c r="G606" s="124"/>
    </row>
    <row r="607">
      <c r="A607" s="124"/>
      <c r="E607" s="124"/>
      <c r="G607" s="124"/>
    </row>
    <row r="608">
      <c r="A608" s="124"/>
      <c r="E608" s="124"/>
      <c r="G608" s="124"/>
    </row>
    <row r="609">
      <c r="A609" s="124"/>
      <c r="E609" s="124"/>
      <c r="G609" s="124"/>
    </row>
    <row r="610">
      <c r="A610" s="124"/>
      <c r="E610" s="124"/>
      <c r="G610" s="124"/>
    </row>
    <row r="611">
      <c r="A611" s="124"/>
      <c r="E611" s="124"/>
      <c r="G611" s="124"/>
    </row>
    <row r="612">
      <c r="A612" s="124"/>
      <c r="E612" s="124"/>
      <c r="G612" s="124"/>
    </row>
    <row r="613">
      <c r="A613" s="124"/>
      <c r="E613" s="124"/>
      <c r="G613" s="124"/>
    </row>
    <row r="614">
      <c r="A614" s="124"/>
      <c r="E614" s="124"/>
      <c r="G614" s="124"/>
    </row>
    <row r="615">
      <c r="A615" s="124"/>
      <c r="E615" s="124"/>
      <c r="G615" s="124"/>
    </row>
    <row r="616">
      <c r="A616" s="124"/>
      <c r="E616" s="124"/>
      <c r="G616" s="124"/>
    </row>
    <row r="617">
      <c r="A617" s="124"/>
      <c r="E617" s="124"/>
      <c r="G617" s="124"/>
    </row>
    <row r="618">
      <c r="A618" s="124"/>
      <c r="E618" s="124"/>
      <c r="G618" s="124"/>
    </row>
    <row r="619">
      <c r="A619" s="124"/>
      <c r="E619" s="124"/>
      <c r="G619" s="124"/>
    </row>
    <row r="620">
      <c r="A620" s="124"/>
      <c r="E620" s="124"/>
      <c r="G620" s="124"/>
    </row>
    <row r="621">
      <c r="A621" s="124"/>
      <c r="E621" s="124"/>
      <c r="G621" s="124"/>
    </row>
    <row r="622">
      <c r="A622" s="124"/>
      <c r="E622" s="124"/>
      <c r="G622" s="124"/>
    </row>
    <row r="623">
      <c r="A623" s="124"/>
      <c r="E623" s="124"/>
      <c r="G623" s="124"/>
    </row>
    <row r="624">
      <c r="A624" s="124"/>
      <c r="E624" s="124"/>
      <c r="G624" s="124"/>
    </row>
    <row r="625">
      <c r="A625" s="124"/>
      <c r="E625" s="124"/>
      <c r="G625" s="124"/>
    </row>
    <row r="626">
      <c r="A626" s="124"/>
      <c r="E626" s="124"/>
      <c r="G626" s="124"/>
    </row>
    <row r="627">
      <c r="A627" s="124"/>
      <c r="E627" s="124"/>
      <c r="G627" s="124"/>
    </row>
    <row r="628">
      <c r="A628" s="124"/>
      <c r="E628" s="124"/>
      <c r="G628" s="124"/>
    </row>
    <row r="629">
      <c r="A629" s="124"/>
      <c r="E629" s="124"/>
      <c r="G629" s="124"/>
    </row>
    <row r="630">
      <c r="A630" s="124"/>
      <c r="E630" s="124"/>
      <c r="G630" s="124"/>
    </row>
    <row r="631">
      <c r="A631" s="124"/>
      <c r="E631" s="124"/>
      <c r="G631" s="124"/>
    </row>
    <row r="632">
      <c r="A632" s="124"/>
      <c r="E632" s="124"/>
      <c r="G632" s="124"/>
    </row>
    <row r="633">
      <c r="A633" s="124"/>
      <c r="E633" s="124"/>
      <c r="G633" s="124"/>
    </row>
    <row r="634">
      <c r="A634" s="124"/>
      <c r="E634" s="124"/>
      <c r="G634" s="124"/>
    </row>
    <row r="635">
      <c r="A635" s="124"/>
      <c r="E635" s="124"/>
      <c r="G635" s="124"/>
    </row>
    <row r="636">
      <c r="A636" s="124"/>
      <c r="E636" s="124"/>
      <c r="G636" s="124"/>
    </row>
    <row r="637">
      <c r="A637" s="124"/>
      <c r="E637" s="124"/>
      <c r="G637" s="124"/>
    </row>
    <row r="638">
      <c r="A638" s="124"/>
      <c r="E638" s="124"/>
      <c r="G638" s="124"/>
    </row>
    <row r="639">
      <c r="A639" s="124"/>
      <c r="E639" s="124"/>
      <c r="G639" s="124"/>
    </row>
    <row r="640">
      <c r="A640" s="124"/>
      <c r="E640" s="124"/>
      <c r="G640" s="124"/>
    </row>
    <row r="641">
      <c r="A641" s="124"/>
      <c r="E641" s="124"/>
      <c r="G641" s="124"/>
    </row>
    <row r="642">
      <c r="A642" s="124"/>
      <c r="E642" s="124"/>
      <c r="G642" s="124"/>
    </row>
    <row r="643">
      <c r="A643" s="124"/>
      <c r="E643" s="124"/>
      <c r="G643" s="124"/>
    </row>
    <row r="644">
      <c r="A644" s="124"/>
      <c r="E644" s="124"/>
      <c r="G644" s="124"/>
    </row>
    <row r="645">
      <c r="A645" s="124"/>
      <c r="E645" s="124"/>
      <c r="G645" s="124"/>
    </row>
    <row r="646">
      <c r="A646" s="124"/>
      <c r="E646" s="124"/>
      <c r="G646" s="124"/>
    </row>
    <row r="647">
      <c r="A647" s="124"/>
      <c r="E647" s="124"/>
      <c r="G647" s="124"/>
    </row>
    <row r="648">
      <c r="A648" s="124"/>
      <c r="E648" s="124"/>
      <c r="G648" s="124"/>
    </row>
    <row r="649">
      <c r="A649" s="124"/>
      <c r="E649" s="124"/>
      <c r="G649" s="124"/>
    </row>
    <row r="650">
      <c r="A650" s="124"/>
      <c r="E650" s="124"/>
      <c r="G650" s="124"/>
    </row>
    <row r="651">
      <c r="A651" s="124"/>
      <c r="E651" s="124"/>
      <c r="G651" s="124"/>
    </row>
    <row r="652">
      <c r="A652" s="124"/>
      <c r="E652" s="124"/>
      <c r="G652" s="124"/>
    </row>
    <row r="653">
      <c r="A653" s="124"/>
      <c r="E653" s="124"/>
      <c r="G653" s="124"/>
    </row>
    <row r="654">
      <c r="A654" s="124"/>
      <c r="E654" s="124"/>
      <c r="G654" s="124"/>
    </row>
    <row r="655">
      <c r="A655" s="124"/>
      <c r="E655" s="124"/>
      <c r="G655" s="124"/>
    </row>
    <row r="656">
      <c r="A656" s="124"/>
      <c r="E656" s="124"/>
      <c r="G656" s="124"/>
    </row>
    <row r="657">
      <c r="A657" s="124"/>
      <c r="E657" s="124"/>
      <c r="G657" s="124"/>
    </row>
    <row r="658">
      <c r="A658" s="124"/>
      <c r="E658" s="124"/>
      <c r="G658" s="124"/>
    </row>
    <row r="659">
      <c r="A659" s="124"/>
      <c r="E659" s="124"/>
      <c r="G659" s="124"/>
    </row>
    <row r="660">
      <c r="A660" s="124"/>
      <c r="E660" s="124"/>
      <c r="G660" s="124"/>
    </row>
    <row r="661">
      <c r="A661" s="124"/>
      <c r="E661" s="124"/>
      <c r="G661" s="124"/>
    </row>
    <row r="662">
      <c r="A662" s="124"/>
      <c r="E662" s="124"/>
      <c r="G662" s="124"/>
    </row>
    <row r="663">
      <c r="A663" s="124"/>
      <c r="E663" s="124"/>
      <c r="G663" s="124"/>
    </row>
    <row r="664">
      <c r="A664" s="124"/>
      <c r="E664" s="124"/>
      <c r="G664" s="124"/>
    </row>
    <row r="665">
      <c r="A665" s="124"/>
      <c r="E665" s="124"/>
      <c r="G665" s="124"/>
    </row>
    <row r="666">
      <c r="A666" s="124"/>
      <c r="E666" s="124"/>
      <c r="G666" s="124"/>
    </row>
    <row r="667">
      <c r="A667" s="124"/>
      <c r="E667" s="124"/>
      <c r="G667" s="124"/>
    </row>
    <row r="668">
      <c r="A668" s="124"/>
      <c r="E668" s="124"/>
      <c r="G668" s="124"/>
    </row>
    <row r="669">
      <c r="A669" s="124"/>
      <c r="E669" s="124"/>
      <c r="G669" s="124"/>
    </row>
    <row r="670">
      <c r="A670" s="124"/>
      <c r="E670" s="124"/>
      <c r="G670" s="124"/>
    </row>
    <row r="671">
      <c r="A671" s="124"/>
      <c r="E671" s="124"/>
      <c r="G671" s="124"/>
    </row>
    <row r="672">
      <c r="A672" s="124"/>
      <c r="E672" s="124"/>
      <c r="G672" s="124"/>
    </row>
    <row r="673">
      <c r="A673" s="124"/>
      <c r="E673" s="124"/>
      <c r="G673" s="124"/>
    </row>
    <row r="674">
      <c r="A674" s="124"/>
      <c r="E674" s="124"/>
      <c r="G674" s="124"/>
    </row>
    <row r="675">
      <c r="A675" s="124"/>
      <c r="E675" s="124"/>
      <c r="G675" s="124"/>
    </row>
    <row r="676">
      <c r="A676" s="124"/>
      <c r="E676" s="124"/>
      <c r="G676" s="124"/>
    </row>
    <row r="677">
      <c r="A677" s="124"/>
      <c r="E677" s="124"/>
      <c r="G677" s="124"/>
    </row>
    <row r="678">
      <c r="A678" s="124"/>
      <c r="E678" s="124"/>
      <c r="G678" s="124"/>
    </row>
    <row r="679">
      <c r="A679" s="124"/>
      <c r="E679" s="124"/>
      <c r="G679" s="124"/>
    </row>
    <row r="680">
      <c r="A680" s="124"/>
      <c r="E680" s="124"/>
      <c r="G680" s="124"/>
    </row>
    <row r="681">
      <c r="A681" s="124"/>
      <c r="E681" s="124"/>
      <c r="G681" s="124"/>
    </row>
    <row r="682">
      <c r="A682" s="124"/>
      <c r="E682" s="124"/>
      <c r="G682" s="124"/>
    </row>
    <row r="683">
      <c r="A683" s="124"/>
      <c r="E683" s="124"/>
      <c r="G683" s="124"/>
    </row>
    <row r="684">
      <c r="A684" s="124"/>
      <c r="E684" s="124"/>
      <c r="G684" s="124"/>
    </row>
    <row r="685">
      <c r="A685" s="124"/>
      <c r="E685" s="124"/>
      <c r="G685" s="124"/>
    </row>
    <row r="686">
      <c r="A686" s="124"/>
      <c r="E686" s="124"/>
      <c r="G686" s="124"/>
    </row>
    <row r="687">
      <c r="A687" s="124"/>
      <c r="E687" s="124"/>
      <c r="G687" s="124"/>
    </row>
    <row r="688">
      <c r="A688" s="124"/>
      <c r="E688" s="124"/>
      <c r="G688" s="124"/>
    </row>
    <row r="689">
      <c r="A689" s="124"/>
      <c r="E689" s="124"/>
      <c r="G689" s="124"/>
    </row>
    <row r="690">
      <c r="A690" s="124"/>
      <c r="E690" s="124"/>
      <c r="G690" s="124"/>
    </row>
    <row r="691">
      <c r="A691" s="124"/>
      <c r="E691" s="124"/>
      <c r="G691" s="124"/>
    </row>
    <row r="692">
      <c r="A692" s="124"/>
      <c r="E692" s="124"/>
      <c r="G692" s="124"/>
    </row>
    <row r="693">
      <c r="A693" s="124"/>
      <c r="E693" s="124"/>
      <c r="G693" s="124"/>
    </row>
    <row r="694">
      <c r="A694" s="124"/>
      <c r="E694" s="124"/>
      <c r="G694" s="124"/>
    </row>
    <row r="695">
      <c r="A695" s="124"/>
      <c r="E695" s="124"/>
      <c r="G695" s="124"/>
    </row>
    <row r="696">
      <c r="A696" s="124"/>
      <c r="E696" s="124"/>
      <c r="G696" s="124"/>
    </row>
    <row r="697">
      <c r="A697" s="124"/>
      <c r="E697" s="124"/>
      <c r="G697" s="124"/>
    </row>
    <row r="698">
      <c r="A698" s="124"/>
      <c r="E698" s="124"/>
      <c r="G698" s="124"/>
    </row>
    <row r="699">
      <c r="A699" s="124"/>
      <c r="E699" s="124"/>
      <c r="G699" s="124"/>
    </row>
    <row r="700">
      <c r="A700" s="124"/>
      <c r="E700" s="124"/>
      <c r="G700" s="124"/>
    </row>
    <row r="701">
      <c r="A701" s="124"/>
      <c r="E701" s="124"/>
      <c r="G701" s="124"/>
    </row>
    <row r="702">
      <c r="A702" s="124"/>
      <c r="E702" s="124"/>
      <c r="G702" s="124"/>
    </row>
    <row r="703">
      <c r="A703" s="124"/>
      <c r="E703" s="124"/>
      <c r="G703" s="124"/>
    </row>
    <row r="704">
      <c r="A704" s="124"/>
      <c r="E704" s="124"/>
      <c r="G704" s="124"/>
    </row>
    <row r="705">
      <c r="A705" s="124"/>
      <c r="E705" s="124"/>
      <c r="G705" s="124"/>
    </row>
    <row r="706">
      <c r="A706" s="124"/>
      <c r="E706" s="124"/>
      <c r="G706" s="124"/>
    </row>
    <row r="707">
      <c r="A707" s="124"/>
      <c r="E707" s="124"/>
      <c r="G707" s="124"/>
    </row>
    <row r="708">
      <c r="A708" s="124"/>
      <c r="E708" s="124"/>
      <c r="G708" s="124"/>
    </row>
    <row r="709">
      <c r="A709" s="124"/>
      <c r="E709" s="124"/>
      <c r="G709" s="124"/>
    </row>
    <row r="710">
      <c r="A710" s="124"/>
      <c r="E710" s="124"/>
      <c r="G710" s="124"/>
    </row>
    <row r="711">
      <c r="A711" s="124"/>
      <c r="E711" s="124"/>
      <c r="G711" s="124"/>
    </row>
    <row r="712">
      <c r="A712" s="124"/>
      <c r="E712" s="124"/>
      <c r="G712" s="124"/>
    </row>
    <row r="713">
      <c r="A713" s="124"/>
      <c r="E713" s="124"/>
      <c r="G713" s="124"/>
    </row>
    <row r="714">
      <c r="A714" s="124"/>
      <c r="E714" s="124"/>
      <c r="G714" s="124"/>
    </row>
    <row r="715">
      <c r="A715" s="124"/>
      <c r="E715" s="124"/>
      <c r="G715" s="124"/>
    </row>
    <row r="716">
      <c r="A716" s="124"/>
      <c r="E716" s="124"/>
      <c r="G716" s="124"/>
    </row>
    <row r="717">
      <c r="A717" s="124"/>
      <c r="E717" s="124"/>
      <c r="G717" s="124"/>
    </row>
    <row r="718">
      <c r="A718" s="124"/>
      <c r="E718" s="124"/>
      <c r="G718" s="124"/>
    </row>
    <row r="719">
      <c r="A719" s="124"/>
      <c r="E719" s="124"/>
      <c r="G719" s="124"/>
    </row>
    <row r="720">
      <c r="A720" s="124"/>
      <c r="E720" s="124"/>
      <c r="G720" s="124"/>
    </row>
    <row r="721">
      <c r="A721" s="124"/>
      <c r="E721" s="124"/>
      <c r="G721" s="124"/>
    </row>
    <row r="722">
      <c r="A722" s="124"/>
      <c r="E722" s="124"/>
      <c r="G722" s="124"/>
    </row>
    <row r="723">
      <c r="A723" s="124"/>
      <c r="E723" s="124"/>
      <c r="G723" s="124"/>
    </row>
    <row r="724">
      <c r="A724" s="124"/>
      <c r="E724" s="124"/>
      <c r="G724" s="124"/>
    </row>
    <row r="725">
      <c r="A725" s="124"/>
      <c r="E725" s="124"/>
      <c r="G725" s="124"/>
    </row>
    <row r="726">
      <c r="A726" s="124"/>
      <c r="E726" s="124"/>
      <c r="G726" s="124"/>
    </row>
    <row r="727">
      <c r="A727" s="124"/>
      <c r="E727" s="124"/>
      <c r="G727" s="124"/>
    </row>
    <row r="728">
      <c r="A728" s="124"/>
      <c r="E728" s="124"/>
      <c r="G728" s="124"/>
    </row>
    <row r="729">
      <c r="A729" s="124"/>
      <c r="E729" s="124"/>
      <c r="G729" s="124"/>
    </row>
    <row r="730">
      <c r="A730" s="124"/>
      <c r="E730" s="124"/>
      <c r="G730" s="124"/>
    </row>
    <row r="731">
      <c r="A731" s="124"/>
      <c r="E731" s="124"/>
      <c r="G731" s="124"/>
    </row>
    <row r="732">
      <c r="A732" s="124"/>
      <c r="E732" s="124"/>
      <c r="G732" s="124"/>
    </row>
    <row r="733">
      <c r="A733" s="124"/>
      <c r="E733" s="124"/>
      <c r="G733" s="124"/>
    </row>
    <row r="734">
      <c r="A734" s="124"/>
      <c r="E734" s="124"/>
      <c r="G734" s="124"/>
    </row>
    <row r="735">
      <c r="A735" s="124"/>
      <c r="E735" s="124"/>
      <c r="G735" s="124"/>
    </row>
    <row r="736">
      <c r="A736" s="124"/>
      <c r="E736" s="124"/>
      <c r="G736" s="124"/>
    </row>
    <row r="737">
      <c r="A737" s="124"/>
      <c r="E737" s="124"/>
      <c r="G737" s="124"/>
    </row>
    <row r="738">
      <c r="A738" s="124"/>
      <c r="E738" s="124"/>
      <c r="G738" s="124"/>
    </row>
    <row r="739">
      <c r="A739" s="124"/>
      <c r="E739" s="124"/>
      <c r="G739" s="124"/>
    </row>
    <row r="740">
      <c r="A740" s="124"/>
      <c r="E740" s="124"/>
      <c r="G740" s="124"/>
    </row>
    <row r="741">
      <c r="A741" s="124"/>
      <c r="E741" s="124"/>
      <c r="G741" s="124"/>
    </row>
    <row r="742">
      <c r="A742" s="124"/>
      <c r="E742" s="124"/>
      <c r="G742" s="124"/>
    </row>
    <row r="743">
      <c r="A743" s="124"/>
      <c r="E743" s="124"/>
      <c r="G743" s="124"/>
    </row>
    <row r="744">
      <c r="A744" s="124"/>
      <c r="E744" s="124"/>
      <c r="G744" s="124"/>
    </row>
    <row r="745">
      <c r="A745" s="124"/>
      <c r="E745" s="124"/>
      <c r="G745" s="124"/>
    </row>
    <row r="746">
      <c r="A746" s="124"/>
      <c r="E746" s="124"/>
      <c r="G746" s="124"/>
    </row>
    <row r="747">
      <c r="A747" s="124"/>
      <c r="E747" s="124"/>
      <c r="G747" s="124"/>
    </row>
    <row r="748">
      <c r="A748" s="124"/>
      <c r="E748" s="124"/>
      <c r="G748" s="124"/>
    </row>
    <row r="749">
      <c r="A749" s="124"/>
      <c r="E749" s="124"/>
      <c r="G749" s="124"/>
    </row>
    <row r="750">
      <c r="A750" s="124"/>
      <c r="E750" s="124"/>
      <c r="G750" s="124"/>
    </row>
    <row r="751">
      <c r="A751" s="124"/>
      <c r="E751" s="124"/>
      <c r="G751" s="124"/>
    </row>
    <row r="752">
      <c r="A752" s="124"/>
      <c r="E752" s="124"/>
      <c r="G752" s="124"/>
    </row>
    <row r="753">
      <c r="A753" s="124"/>
      <c r="E753" s="124"/>
      <c r="G753" s="124"/>
    </row>
    <row r="754">
      <c r="A754" s="124"/>
      <c r="E754" s="124"/>
      <c r="G754" s="124"/>
    </row>
    <row r="755">
      <c r="A755" s="124"/>
      <c r="E755" s="124"/>
      <c r="G755" s="124"/>
    </row>
    <row r="756">
      <c r="A756" s="124"/>
      <c r="E756" s="124"/>
      <c r="G756" s="124"/>
    </row>
    <row r="757">
      <c r="A757" s="124"/>
      <c r="E757" s="124"/>
      <c r="G757" s="124"/>
    </row>
    <row r="758">
      <c r="A758" s="124"/>
      <c r="E758" s="124"/>
      <c r="G758" s="124"/>
    </row>
    <row r="759">
      <c r="A759" s="124"/>
      <c r="E759" s="124"/>
      <c r="G759" s="124"/>
    </row>
    <row r="760">
      <c r="A760" s="124"/>
      <c r="E760" s="124"/>
      <c r="G760" s="124"/>
    </row>
    <row r="761">
      <c r="A761" s="124"/>
      <c r="E761" s="124"/>
      <c r="G761" s="124"/>
    </row>
    <row r="762">
      <c r="A762" s="124"/>
      <c r="E762" s="124"/>
      <c r="G762" s="124"/>
    </row>
    <row r="763">
      <c r="A763" s="124"/>
      <c r="E763" s="124"/>
      <c r="G763" s="124"/>
    </row>
    <row r="764">
      <c r="A764" s="124"/>
      <c r="E764" s="124"/>
      <c r="G764" s="124"/>
    </row>
    <row r="765">
      <c r="A765" s="124"/>
      <c r="E765" s="124"/>
      <c r="G765" s="124"/>
    </row>
    <row r="766">
      <c r="A766" s="124"/>
      <c r="E766" s="124"/>
      <c r="G766" s="124"/>
    </row>
    <row r="767">
      <c r="A767" s="124"/>
      <c r="E767" s="124"/>
      <c r="G767" s="124"/>
    </row>
    <row r="768">
      <c r="A768" s="124"/>
      <c r="E768" s="124"/>
      <c r="G768" s="124"/>
    </row>
    <row r="769">
      <c r="A769" s="124"/>
      <c r="E769" s="124"/>
      <c r="G769" s="124"/>
    </row>
    <row r="770">
      <c r="A770" s="124"/>
      <c r="E770" s="124"/>
      <c r="G770" s="124"/>
    </row>
    <row r="771">
      <c r="A771" s="124"/>
      <c r="E771" s="124"/>
      <c r="G771" s="124"/>
    </row>
    <row r="772">
      <c r="A772" s="124"/>
      <c r="E772" s="124"/>
      <c r="G772" s="124"/>
    </row>
    <row r="773">
      <c r="A773" s="124"/>
      <c r="E773" s="124"/>
      <c r="G773" s="124"/>
    </row>
    <row r="774">
      <c r="A774" s="124"/>
      <c r="E774" s="124"/>
      <c r="G774" s="124"/>
    </row>
    <row r="775">
      <c r="A775" s="124"/>
      <c r="E775" s="124"/>
      <c r="G775" s="124"/>
    </row>
    <row r="776">
      <c r="A776" s="124"/>
      <c r="E776" s="124"/>
      <c r="G776" s="124"/>
    </row>
    <row r="777">
      <c r="A777" s="124"/>
      <c r="E777" s="124"/>
      <c r="G777" s="124"/>
    </row>
    <row r="778">
      <c r="A778" s="124"/>
      <c r="E778" s="124"/>
      <c r="G778" s="124"/>
    </row>
    <row r="779">
      <c r="A779" s="124"/>
      <c r="E779" s="124"/>
      <c r="G779" s="124"/>
    </row>
    <row r="780">
      <c r="A780" s="124"/>
      <c r="E780" s="124"/>
      <c r="G780" s="124"/>
    </row>
    <row r="781">
      <c r="A781" s="124"/>
      <c r="E781" s="124"/>
      <c r="G781" s="124"/>
    </row>
    <row r="782">
      <c r="A782" s="124"/>
      <c r="E782" s="124"/>
      <c r="G782" s="124"/>
    </row>
    <row r="783">
      <c r="A783" s="124"/>
      <c r="E783" s="124"/>
      <c r="G783" s="124"/>
    </row>
    <row r="784">
      <c r="A784" s="124"/>
      <c r="E784" s="124"/>
      <c r="G784" s="124"/>
    </row>
    <row r="785">
      <c r="A785" s="124"/>
      <c r="E785" s="124"/>
      <c r="G785" s="124"/>
    </row>
    <row r="786">
      <c r="A786" s="124"/>
      <c r="E786" s="124"/>
      <c r="G786" s="124"/>
    </row>
    <row r="787">
      <c r="A787" s="124"/>
      <c r="E787" s="124"/>
      <c r="G787" s="124"/>
    </row>
    <row r="788">
      <c r="A788" s="124"/>
      <c r="E788" s="124"/>
      <c r="G788" s="124"/>
    </row>
    <row r="789">
      <c r="A789" s="124"/>
      <c r="E789" s="124"/>
      <c r="G789" s="124"/>
    </row>
    <row r="790">
      <c r="A790" s="124"/>
      <c r="E790" s="124"/>
      <c r="G790" s="124"/>
    </row>
    <row r="791">
      <c r="A791" s="124"/>
      <c r="E791" s="124"/>
      <c r="G791" s="124"/>
    </row>
    <row r="792">
      <c r="A792" s="124"/>
      <c r="E792" s="124"/>
      <c r="G792" s="124"/>
    </row>
    <row r="793">
      <c r="A793" s="124"/>
      <c r="E793" s="124"/>
      <c r="G793" s="124"/>
    </row>
    <row r="794">
      <c r="A794" s="124"/>
      <c r="E794" s="124"/>
      <c r="G794" s="124"/>
    </row>
    <row r="795">
      <c r="A795" s="124"/>
      <c r="E795" s="124"/>
      <c r="G795" s="124"/>
    </row>
    <row r="796">
      <c r="A796" s="124"/>
      <c r="E796" s="124"/>
      <c r="G796" s="124"/>
    </row>
    <row r="797">
      <c r="A797" s="124"/>
      <c r="E797" s="124"/>
      <c r="G797" s="124"/>
    </row>
    <row r="798">
      <c r="A798" s="124"/>
      <c r="E798" s="124"/>
      <c r="G798" s="124"/>
    </row>
    <row r="799">
      <c r="A799" s="124"/>
      <c r="E799" s="124"/>
      <c r="G799" s="124"/>
    </row>
    <row r="800">
      <c r="A800" s="124"/>
      <c r="E800" s="124"/>
      <c r="G800" s="124"/>
    </row>
    <row r="801">
      <c r="A801" s="124"/>
      <c r="E801" s="124"/>
      <c r="G801" s="124"/>
    </row>
    <row r="802">
      <c r="A802" s="124"/>
      <c r="E802" s="124"/>
      <c r="G802" s="124"/>
    </row>
    <row r="803">
      <c r="A803" s="124"/>
      <c r="E803" s="124"/>
      <c r="G803" s="124"/>
    </row>
    <row r="804">
      <c r="A804" s="124"/>
      <c r="E804" s="124"/>
      <c r="G804" s="124"/>
    </row>
    <row r="805">
      <c r="A805" s="124"/>
      <c r="E805" s="124"/>
      <c r="G805" s="124"/>
    </row>
    <row r="806">
      <c r="A806" s="124"/>
      <c r="E806" s="124"/>
      <c r="G806" s="124"/>
    </row>
    <row r="807">
      <c r="A807" s="124"/>
      <c r="E807" s="124"/>
      <c r="G807" s="124"/>
    </row>
    <row r="808">
      <c r="A808" s="124"/>
      <c r="E808" s="124"/>
      <c r="G808" s="124"/>
    </row>
    <row r="809">
      <c r="A809" s="124"/>
      <c r="E809" s="124"/>
      <c r="G809" s="124"/>
    </row>
    <row r="810">
      <c r="A810" s="124"/>
      <c r="E810" s="124"/>
      <c r="G810" s="124"/>
    </row>
    <row r="811">
      <c r="A811" s="124"/>
      <c r="E811" s="124"/>
      <c r="G811" s="124"/>
    </row>
    <row r="812">
      <c r="A812" s="124"/>
      <c r="E812" s="124"/>
      <c r="G812" s="124"/>
    </row>
    <row r="813">
      <c r="A813" s="124"/>
      <c r="E813" s="124"/>
      <c r="G813" s="124"/>
    </row>
    <row r="814">
      <c r="A814" s="124"/>
      <c r="E814" s="124"/>
      <c r="G814" s="124"/>
    </row>
    <row r="815">
      <c r="A815" s="124"/>
      <c r="E815" s="124"/>
      <c r="G815" s="124"/>
    </row>
    <row r="816">
      <c r="A816" s="124"/>
      <c r="E816" s="124"/>
      <c r="G816" s="124"/>
    </row>
    <row r="817">
      <c r="A817" s="124"/>
      <c r="E817" s="124"/>
      <c r="G817" s="124"/>
    </row>
    <row r="818">
      <c r="A818" s="124"/>
      <c r="E818" s="124"/>
      <c r="G818" s="124"/>
    </row>
    <row r="819">
      <c r="A819" s="124"/>
      <c r="E819" s="124"/>
      <c r="G819" s="124"/>
    </row>
    <row r="820">
      <c r="A820" s="124"/>
      <c r="E820" s="124"/>
      <c r="G820" s="124"/>
    </row>
    <row r="821">
      <c r="A821" s="124"/>
      <c r="E821" s="124"/>
      <c r="G821" s="124"/>
    </row>
    <row r="822">
      <c r="A822" s="124"/>
      <c r="E822" s="124"/>
      <c r="G822" s="124"/>
    </row>
    <row r="823">
      <c r="A823" s="124"/>
      <c r="E823" s="124"/>
      <c r="G823" s="124"/>
    </row>
    <row r="824">
      <c r="A824" s="124"/>
      <c r="E824" s="124"/>
      <c r="G824" s="124"/>
    </row>
    <row r="825">
      <c r="A825" s="124"/>
      <c r="E825" s="124"/>
      <c r="G825" s="124"/>
    </row>
    <row r="826">
      <c r="A826" s="124"/>
      <c r="E826" s="124"/>
      <c r="G826" s="124"/>
    </row>
    <row r="827">
      <c r="A827" s="124"/>
      <c r="E827" s="124"/>
      <c r="G827" s="124"/>
    </row>
    <row r="828">
      <c r="A828" s="124"/>
      <c r="E828" s="124"/>
      <c r="G828" s="124"/>
    </row>
    <row r="829">
      <c r="A829" s="124"/>
      <c r="E829" s="124"/>
      <c r="G829" s="124"/>
    </row>
    <row r="830">
      <c r="A830" s="124"/>
      <c r="E830" s="124"/>
      <c r="G830" s="124"/>
    </row>
    <row r="831">
      <c r="A831" s="124"/>
      <c r="E831" s="124"/>
      <c r="G831" s="124"/>
    </row>
    <row r="832">
      <c r="A832" s="124"/>
      <c r="E832" s="124"/>
      <c r="G832" s="124"/>
    </row>
    <row r="833">
      <c r="A833" s="124"/>
      <c r="E833" s="124"/>
      <c r="G833" s="124"/>
    </row>
    <row r="834">
      <c r="A834" s="124"/>
      <c r="E834" s="124"/>
      <c r="G834" s="124"/>
    </row>
    <row r="835">
      <c r="A835" s="124"/>
      <c r="E835" s="124"/>
      <c r="G835" s="124"/>
    </row>
    <row r="836">
      <c r="A836" s="124"/>
      <c r="E836" s="124"/>
      <c r="G836" s="124"/>
    </row>
    <row r="837">
      <c r="A837" s="124"/>
      <c r="E837" s="124"/>
      <c r="G837" s="124"/>
    </row>
    <row r="838">
      <c r="A838" s="124"/>
      <c r="E838" s="124"/>
      <c r="G838" s="124"/>
    </row>
    <row r="839">
      <c r="A839" s="124"/>
      <c r="E839" s="124"/>
      <c r="G839" s="124"/>
    </row>
    <row r="840">
      <c r="A840" s="124"/>
      <c r="E840" s="124"/>
      <c r="G840" s="124"/>
    </row>
    <row r="841">
      <c r="A841" s="124"/>
      <c r="E841" s="124"/>
      <c r="G841" s="124"/>
    </row>
    <row r="842">
      <c r="A842" s="124"/>
      <c r="E842" s="124"/>
      <c r="G842" s="124"/>
    </row>
    <row r="843">
      <c r="A843" s="124"/>
      <c r="E843" s="124"/>
      <c r="G843" s="124"/>
    </row>
    <row r="844">
      <c r="A844" s="124"/>
      <c r="E844" s="124"/>
      <c r="G844" s="124"/>
    </row>
    <row r="845">
      <c r="A845" s="124"/>
      <c r="E845" s="124"/>
      <c r="G845" s="124"/>
    </row>
    <row r="846">
      <c r="A846" s="124"/>
      <c r="E846" s="124"/>
      <c r="G846" s="124"/>
    </row>
    <row r="847">
      <c r="A847" s="124"/>
      <c r="E847" s="124"/>
      <c r="G847" s="124"/>
    </row>
    <row r="848">
      <c r="A848" s="124"/>
      <c r="E848" s="124"/>
      <c r="G848" s="124"/>
    </row>
    <row r="849">
      <c r="A849" s="124"/>
      <c r="E849" s="124"/>
      <c r="G849" s="124"/>
    </row>
    <row r="850">
      <c r="A850" s="124"/>
      <c r="E850" s="124"/>
      <c r="G850" s="124"/>
    </row>
    <row r="851">
      <c r="A851" s="124"/>
      <c r="E851" s="124"/>
      <c r="G851" s="124"/>
    </row>
    <row r="852">
      <c r="A852" s="124"/>
      <c r="E852" s="124"/>
      <c r="G852" s="124"/>
    </row>
    <row r="853">
      <c r="A853" s="124"/>
      <c r="E853" s="124"/>
      <c r="G853" s="124"/>
    </row>
    <row r="854">
      <c r="A854" s="124"/>
      <c r="E854" s="124"/>
      <c r="G854" s="124"/>
    </row>
    <row r="855">
      <c r="A855" s="124"/>
      <c r="E855" s="124"/>
      <c r="G855" s="124"/>
    </row>
    <row r="856">
      <c r="A856" s="124"/>
      <c r="E856" s="124"/>
      <c r="G856" s="124"/>
    </row>
    <row r="857">
      <c r="A857" s="124"/>
      <c r="E857" s="124"/>
      <c r="G857" s="124"/>
    </row>
    <row r="858">
      <c r="A858" s="124"/>
      <c r="E858" s="124"/>
      <c r="G858" s="124"/>
    </row>
    <row r="859">
      <c r="A859" s="124"/>
      <c r="E859" s="124"/>
      <c r="G859" s="124"/>
    </row>
    <row r="860">
      <c r="A860" s="124"/>
      <c r="E860" s="124"/>
      <c r="G860" s="124"/>
    </row>
    <row r="861">
      <c r="A861" s="124"/>
      <c r="E861" s="124"/>
      <c r="G861" s="124"/>
    </row>
    <row r="862">
      <c r="A862" s="124"/>
      <c r="E862" s="124"/>
      <c r="G862" s="124"/>
    </row>
    <row r="863">
      <c r="A863" s="124"/>
      <c r="E863" s="124"/>
      <c r="G863" s="124"/>
    </row>
    <row r="864">
      <c r="A864" s="124"/>
      <c r="E864" s="124"/>
      <c r="G864" s="124"/>
    </row>
    <row r="865">
      <c r="A865" s="124"/>
      <c r="E865" s="124"/>
      <c r="G865" s="124"/>
    </row>
    <row r="866">
      <c r="A866" s="124"/>
      <c r="E866" s="124"/>
      <c r="G866" s="124"/>
    </row>
    <row r="867">
      <c r="A867" s="124"/>
      <c r="E867" s="124"/>
      <c r="G867" s="124"/>
    </row>
    <row r="868">
      <c r="A868" s="124"/>
      <c r="E868" s="124"/>
      <c r="G868" s="124"/>
    </row>
    <row r="869">
      <c r="A869" s="124"/>
      <c r="E869" s="124"/>
      <c r="G869" s="124"/>
    </row>
    <row r="870">
      <c r="A870" s="124"/>
      <c r="E870" s="124"/>
      <c r="G870" s="124"/>
    </row>
    <row r="871">
      <c r="A871" s="124"/>
      <c r="E871" s="124"/>
      <c r="G871" s="124"/>
    </row>
    <row r="872">
      <c r="A872" s="124"/>
      <c r="E872" s="124"/>
      <c r="G872" s="124"/>
    </row>
    <row r="873">
      <c r="A873" s="124"/>
      <c r="E873" s="124"/>
      <c r="G873" s="124"/>
    </row>
    <row r="874">
      <c r="A874" s="124"/>
      <c r="E874" s="124"/>
      <c r="G874" s="124"/>
    </row>
    <row r="875">
      <c r="A875" s="124"/>
      <c r="E875" s="124"/>
      <c r="G875" s="124"/>
    </row>
    <row r="876">
      <c r="A876" s="124"/>
      <c r="E876" s="124"/>
      <c r="G876" s="124"/>
    </row>
    <row r="877">
      <c r="A877" s="124"/>
      <c r="E877" s="124"/>
      <c r="G877" s="124"/>
    </row>
    <row r="878">
      <c r="A878" s="124"/>
      <c r="E878" s="124"/>
      <c r="G878" s="124"/>
    </row>
    <row r="879">
      <c r="A879" s="124"/>
      <c r="E879" s="124"/>
      <c r="G879" s="124"/>
    </row>
    <row r="880">
      <c r="A880" s="124"/>
      <c r="E880" s="124"/>
      <c r="G880" s="124"/>
    </row>
    <row r="881">
      <c r="A881" s="124"/>
      <c r="E881" s="124"/>
      <c r="G881" s="124"/>
    </row>
    <row r="882">
      <c r="A882" s="124"/>
      <c r="E882" s="124"/>
      <c r="G882" s="124"/>
    </row>
    <row r="883">
      <c r="A883" s="124"/>
      <c r="E883" s="124"/>
      <c r="G883" s="124"/>
    </row>
    <row r="884">
      <c r="A884" s="124"/>
      <c r="E884" s="124"/>
      <c r="G884" s="124"/>
    </row>
    <row r="885">
      <c r="A885" s="124"/>
      <c r="E885" s="124"/>
      <c r="G885" s="124"/>
    </row>
    <row r="886">
      <c r="A886" s="124"/>
      <c r="E886" s="124"/>
      <c r="G886" s="124"/>
    </row>
    <row r="887">
      <c r="A887" s="124"/>
      <c r="E887" s="124"/>
      <c r="G887" s="124"/>
    </row>
    <row r="888">
      <c r="A888" s="124"/>
      <c r="E888" s="124"/>
      <c r="G888" s="124"/>
    </row>
    <row r="889">
      <c r="A889" s="124"/>
      <c r="E889" s="124"/>
      <c r="G889" s="124"/>
    </row>
    <row r="890">
      <c r="A890" s="124"/>
      <c r="E890" s="124"/>
      <c r="G890" s="124"/>
    </row>
    <row r="891">
      <c r="A891" s="124"/>
      <c r="E891" s="124"/>
      <c r="G891" s="124"/>
    </row>
    <row r="892">
      <c r="A892" s="124"/>
      <c r="E892" s="124"/>
      <c r="G892" s="124"/>
    </row>
    <row r="893">
      <c r="A893" s="124"/>
      <c r="E893" s="124"/>
      <c r="G893" s="124"/>
    </row>
    <row r="894">
      <c r="A894" s="124"/>
      <c r="E894" s="124"/>
      <c r="G894" s="124"/>
    </row>
    <row r="895">
      <c r="A895" s="124"/>
      <c r="E895" s="124"/>
      <c r="G895" s="124"/>
    </row>
    <row r="896">
      <c r="A896" s="124"/>
      <c r="E896" s="124"/>
      <c r="G896" s="124"/>
    </row>
    <row r="897">
      <c r="A897" s="124"/>
      <c r="E897" s="124"/>
      <c r="G897" s="124"/>
    </row>
    <row r="898">
      <c r="A898" s="124"/>
      <c r="E898" s="124"/>
      <c r="G898" s="124"/>
    </row>
    <row r="899">
      <c r="A899" s="124"/>
      <c r="E899" s="124"/>
      <c r="G899" s="124"/>
    </row>
    <row r="900">
      <c r="A900" s="124"/>
      <c r="E900" s="124"/>
      <c r="G900" s="124"/>
    </row>
    <row r="901">
      <c r="A901" s="124"/>
      <c r="E901" s="124"/>
      <c r="G901" s="124"/>
    </row>
    <row r="902">
      <c r="A902" s="124"/>
      <c r="E902" s="124"/>
      <c r="G902" s="124"/>
    </row>
    <row r="903">
      <c r="A903" s="124"/>
      <c r="E903" s="124"/>
      <c r="G903" s="124"/>
    </row>
    <row r="904">
      <c r="A904" s="124"/>
      <c r="E904" s="124"/>
      <c r="G904" s="124"/>
    </row>
    <row r="905">
      <c r="A905" s="124"/>
      <c r="E905" s="124"/>
      <c r="G905" s="124"/>
    </row>
    <row r="906">
      <c r="A906" s="124"/>
      <c r="E906" s="124"/>
      <c r="G906" s="124"/>
    </row>
    <row r="907">
      <c r="A907" s="124"/>
      <c r="E907" s="124"/>
      <c r="G907" s="124"/>
    </row>
    <row r="908">
      <c r="A908" s="124"/>
      <c r="E908" s="124"/>
      <c r="G908" s="124"/>
    </row>
    <row r="909">
      <c r="A909" s="124"/>
      <c r="E909" s="124"/>
      <c r="G909" s="124"/>
    </row>
    <row r="910">
      <c r="A910" s="124"/>
      <c r="E910" s="124"/>
      <c r="G910" s="124"/>
    </row>
    <row r="911">
      <c r="A911" s="124"/>
      <c r="E911" s="124"/>
      <c r="G911" s="124"/>
    </row>
    <row r="912">
      <c r="A912" s="124"/>
      <c r="E912" s="124"/>
      <c r="G912" s="124"/>
    </row>
    <row r="913">
      <c r="A913" s="124"/>
      <c r="E913" s="124"/>
      <c r="G913" s="124"/>
    </row>
    <row r="914">
      <c r="A914" s="124"/>
      <c r="E914" s="124"/>
      <c r="G914" s="124"/>
    </row>
    <row r="915">
      <c r="A915" s="124"/>
      <c r="E915" s="124"/>
      <c r="G915" s="124"/>
    </row>
    <row r="916">
      <c r="A916" s="124"/>
      <c r="E916" s="124"/>
      <c r="G916" s="124"/>
    </row>
    <row r="917">
      <c r="A917" s="124"/>
      <c r="E917" s="124"/>
      <c r="G917" s="124"/>
    </row>
    <row r="918">
      <c r="A918" s="124"/>
      <c r="E918" s="124"/>
      <c r="G918" s="124"/>
    </row>
    <row r="919">
      <c r="A919" s="124"/>
      <c r="E919" s="124"/>
      <c r="G919" s="124"/>
    </row>
    <row r="920">
      <c r="A920" s="124"/>
      <c r="E920" s="124"/>
      <c r="G920" s="124"/>
    </row>
    <row r="921">
      <c r="A921" s="124"/>
      <c r="E921" s="124"/>
      <c r="G921" s="124"/>
    </row>
    <row r="922">
      <c r="A922" s="124"/>
      <c r="E922" s="124"/>
      <c r="G922" s="124"/>
    </row>
    <row r="923">
      <c r="A923" s="124"/>
      <c r="E923" s="124"/>
      <c r="G923" s="124"/>
    </row>
    <row r="924">
      <c r="A924" s="124"/>
      <c r="E924" s="124"/>
      <c r="G924" s="124"/>
    </row>
    <row r="925">
      <c r="A925" s="124"/>
      <c r="E925" s="124"/>
      <c r="G925" s="124"/>
    </row>
    <row r="926">
      <c r="A926" s="124"/>
      <c r="E926" s="124"/>
      <c r="G926" s="124"/>
    </row>
    <row r="927">
      <c r="A927" s="124"/>
      <c r="E927" s="124"/>
      <c r="G927" s="124"/>
    </row>
    <row r="928">
      <c r="A928" s="124"/>
      <c r="E928" s="124"/>
      <c r="G928" s="124"/>
    </row>
    <row r="929">
      <c r="A929" s="124"/>
      <c r="E929" s="124"/>
      <c r="G929" s="124"/>
    </row>
    <row r="930">
      <c r="A930" s="124"/>
      <c r="E930" s="124"/>
      <c r="G930" s="124"/>
    </row>
    <row r="931">
      <c r="A931" s="124"/>
      <c r="E931" s="124"/>
      <c r="G931" s="124"/>
    </row>
    <row r="932">
      <c r="A932" s="124"/>
      <c r="E932" s="124"/>
      <c r="G932" s="124"/>
    </row>
    <row r="933">
      <c r="A933" s="124"/>
      <c r="E933" s="124"/>
      <c r="G933" s="124"/>
    </row>
    <row r="934">
      <c r="A934" s="124"/>
      <c r="E934" s="124"/>
      <c r="G934" s="124"/>
    </row>
    <row r="935">
      <c r="A935" s="124"/>
      <c r="E935" s="124"/>
      <c r="G935" s="124"/>
    </row>
    <row r="936">
      <c r="A936" s="124"/>
      <c r="E936" s="124"/>
      <c r="G936" s="124"/>
    </row>
    <row r="937">
      <c r="A937" s="124"/>
      <c r="E937" s="124"/>
      <c r="G937" s="124"/>
    </row>
    <row r="938">
      <c r="A938" s="124"/>
      <c r="E938" s="124"/>
      <c r="G938" s="124"/>
    </row>
    <row r="939">
      <c r="A939" s="124"/>
      <c r="E939" s="124"/>
      <c r="G939" s="124"/>
    </row>
    <row r="940">
      <c r="A940" s="124"/>
      <c r="E940" s="124"/>
      <c r="G940" s="124"/>
    </row>
    <row r="941">
      <c r="A941" s="124"/>
      <c r="E941" s="124"/>
      <c r="G941" s="124"/>
    </row>
    <row r="942">
      <c r="A942" s="124"/>
      <c r="E942" s="124"/>
      <c r="G942" s="124"/>
    </row>
    <row r="943">
      <c r="A943" s="124"/>
      <c r="E943" s="124"/>
      <c r="G943" s="124"/>
    </row>
    <row r="944">
      <c r="A944" s="124"/>
      <c r="E944" s="124"/>
      <c r="G944" s="124"/>
    </row>
    <row r="945">
      <c r="A945" s="124"/>
      <c r="E945" s="124"/>
      <c r="G945" s="124"/>
    </row>
    <row r="946">
      <c r="A946" s="124"/>
      <c r="E946" s="124"/>
      <c r="G946" s="124"/>
    </row>
    <row r="947">
      <c r="A947" s="124"/>
      <c r="E947" s="124"/>
      <c r="G947" s="124"/>
    </row>
    <row r="948">
      <c r="A948" s="124"/>
      <c r="E948" s="124"/>
      <c r="G948" s="124"/>
    </row>
    <row r="949">
      <c r="A949" s="124"/>
      <c r="E949" s="124"/>
      <c r="G949" s="124"/>
    </row>
    <row r="950">
      <c r="A950" s="124"/>
      <c r="E950" s="124"/>
      <c r="G950" s="124"/>
    </row>
    <row r="951">
      <c r="A951" s="124"/>
      <c r="E951" s="124"/>
      <c r="G951" s="124"/>
    </row>
    <row r="952">
      <c r="A952" s="124"/>
      <c r="E952" s="124"/>
      <c r="G952" s="124"/>
    </row>
    <row r="953">
      <c r="A953" s="124"/>
      <c r="E953" s="124"/>
      <c r="G953" s="124"/>
    </row>
    <row r="954">
      <c r="A954" s="124"/>
      <c r="E954" s="124"/>
      <c r="G954" s="124"/>
    </row>
    <row r="955">
      <c r="A955" s="124"/>
      <c r="E955" s="124"/>
      <c r="G955" s="124"/>
    </row>
    <row r="956">
      <c r="A956" s="124"/>
      <c r="E956" s="124"/>
      <c r="G956" s="124"/>
    </row>
    <row r="957">
      <c r="A957" s="124"/>
      <c r="E957" s="124"/>
      <c r="G957" s="124"/>
    </row>
    <row r="958">
      <c r="A958" s="124"/>
      <c r="E958" s="124"/>
      <c r="G958" s="124"/>
    </row>
    <row r="959">
      <c r="A959" s="124"/>
      <c r="E959" s="124"/>
      <c r="G959" s="124"/>
    </row>
    <row r="960">
      <c r="A960" s="124"/>
      <c r="E960" s="124"/>
      <c r="G960" s="124"/>
    </row>
    <row r="961">
      <c r="A961" s="124"/>
      <c r="E961" s="124"/>
      <c r="G961" s="124"/>
    </row>
    <row r="962">
      <c r="A962" s="124"/>
      <c r="E962" s="124"/>
      <c r="G962" s="124"/>
    </row>
    <row r="963">
      <c r="A963" s="124"/>
      <c r="E963" s="124"/>
      <c r="G963" s="124"/>
    </row>
    <row r="964">
      <c r="A964" s="124"/>
      <c r="E964" s="124"/>
      <c r="G964" s="124"/>
    </row>
    <row r="965">
      <c r="A965" s="124"/>
      <c r="E965" s="124"/>
      <c r="G965" s="124"/>
    </row>
    <row r="966">
      <c r="A966" s="124"/>
      <c r="E966" s="124"/>
      <c r="G966" s="124"/>
    </row>
    <row r="967">
      <c r="A967" s="124"/>
      <c r="E967" s="124"/>
      <c r="G967" s="124"/>
    </row>
    <row r="968">
      <c r="A968" s="124"/>
      <c r="E968" s="124"/>
      <c r="G968" s="124"/>
    </row>
    <row r="969">
      <c r="A969" s="124"/>
      <c r="E969" s="124"/>
      <c r="G969" s="124"/>
    </row>
    <row r="970">
      <c r="A970" s="124"/>
      <c r="E970" s="124"/>
      <c r="G970" s="124"/>
    </row>
    <row r="971">
      <c r="A971" s="124"/>
      <c r="E971" s="124"/>
      <c r="G971" s="124"/>
    </row>
    <row r="972">
      <c r="A972" s="124"/>
      <c r="E972" s="124"/>
      <c r="G972" s="124"/>
    </row>
    <row r="973">
      <c r="A973" s="124"/>
      <c r="E973" s="124"/>
      <c r="G973" s="124"/>
    </row>
    <row r="974">
      <c r="A974" s="124"/>
      <c r="E974" s="124"/>
      <c r="G974" s="124"/>
    </row>
    <row r="975">
      <c r="A975" s="124"/>
      <c r="E975" s="124"/>
      <c r="G975" s="124"/>
    </row>
    <row r="976">
      <c r="A976" s="124"/>
      <c r="E976" s="124"/>
      <c r="G976" s="124"/>
    </row>
    <row r="977">
      <c r="A977" s="124"/>
      <c r="E977" s="124"/>
      <c r="G977" s="124"/>
    </row>
    <row r="978">
      <c r="A978" s="124"/>
      <c r="E978" s="124"/>
      <c r="G978" s="124"/>
    </row>
    <row r="979">
      <c r="A979" s="124"/>
      <c r="E979" s="124"/>
      <c r="G979" s="124"/>
    </row>
    <row r="980">
      <c r="A980" s="124"/>
      <c r="E980" s="124"/>
      <c r="G980" s="124"/>
    </row>
    <row r="981">
      <c r="A981" s="124"/>
      <c r="E981" s="124"/>
      <c r="G981" s="124"/>
    </row>
    <row r="982">
      <c r="A982" s="124"/>
      <c r="E982" s="124"/>
      <c r="G982" s="124"/>
    </row>
    <row r="983">
      <c r="A983" s="124"/>
      <c r="E983" s="124"/>
      <c r="G983" s="124"/>
    </row>
    <row r="984">
      <c r="A984" s="124"/>
      <c r="E984" s="124"/>
      <c r="G984" s="124"/>
    </row>
    <row r="985">
      <c r="A985" s="124"/>
      <c r="E985" s="124"/>
      <c r="G985" s="124"/>
    </row>
    <row r="986">
      <c r="A986" s="124"/>
      <c r="E986" s="124"/>
      <c r="G986" s="124"/>
    </row>
    <row r="987">
      <c r="A987" s="124"/>
      <c r="E987" s="124"/>
      <c r="G987" s="124"/>
    </row>
    <row r="988">
      <c r="A988" s="124"/>
      <c r="E988" s="124"/>
      <c r="G988" s="124"/>
    </row>
    <row r="989">
      <c r="A989" s="124"/>
      <c r="E989" s="124"/>
      <c r="G989" s="124"/>
    </row>
    <row r="990">
      <c r="A990" s="124"/>
      <c r="E990" s="124"/>
      <c r="G990" s="124"/>
    </row>
    <row r="991">
      <c r="A991" s="124"/>
      <c r="E991" s="124"/>
      <c r="G991" s="124"/>
    </row>
    <row r="992">
      <c r="A992" s="124"/>
      <c r="E992" s="124"/>
      <c r="G992" s="124"/>
    </row>
    <row r="993">
      <c r="A993" s="124"/>
      <c r="E993" s="124"/>
      <c r="G993" s="124"/>
    </row>
    <row r="994">
      <c r="A994" s="124"/>
      <c r="E994" s="124"/>
      <c r="G994" s="124"/>
    </row>
    <row r="995">
      <c r="A995" s="124"/>
      <c r="E995" s="124"/>
      <c r="G995" s="124"/>
    </row>
    <row r="996">
      <c r="A996" s="124"/>
      <c r="E996" s="124"/>
      <c r="G996" s="124"/>
    </row>
    <row r="997">
      <c r="A997" s="124"/>
      <c r="E997" s="124"/>
      <c r="G997" s="124"/>
    </row>
    <row r="998">
      <c r="A998" s="124"/>
      <c r="E998" s="124"/>
      <c r="G998" s="124"/>
    </row>
    <row r="999">
      <c r="A999" s="124"/>
      <c r="E999" s="124"/>
      <c r="G999" s="124"/>
    </row>
    <row r="1000">
      <c r="A1000" s="124"/>
      <c r="E1000" s="124"/>
      <c r="G1000" s="124"/>
    </row>
  </sheetData>
  <drawing r:id="rId1"/>
</worksheet>
</file>