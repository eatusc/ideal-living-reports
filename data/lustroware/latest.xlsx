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Sale Tracker" sheetId="2" r:id="rId6"/>
    <sheet state="visible" name="2026 - Performance Report" sheetId="3" r:id="rId7"/>
    <sheet state="visible" name="2026 - As inidividual SKUs" sheetId="4" r:id="rId8"/>
    <sheet state="visible" name="2025 - Performance Report" sheetId="5" r:id="rId9"/>
    <sheet state="visible" name="2025 - As inidividual SKUs" sheetId="6" r:id="rId10"/>
    <sheet state="visible" name="2024 - Performance Report" sheetId="7" r:id="rId11"/>
    <sheet state="visible" name="2024 - As inidividual SKUs" sheetId="8" r:id="rId12"/>
  </sheets>
  <definedNames/>
  <calcPr/>
</workbook>
</file>

<file path=xl/sharedStrings.xml><?xml version="1.0" encoding="utf-8"?>
<sst xmlns="http://schemas.openxmlformats.org/spreadsheetml/2006/main" count="1309" uniqueCount="145">
  <si>
    <t>https://sellercentral.amazon.com/business-reports/ref=xx_sitemetric_dnav_xx#/report?id=102%3ADetailSalesTrafficByTime&amp;chartCols=17&amp;columns=0%2F1%2F2%2F3%2F4%2F5%2F6%2F17%2F18%2F23%2F24%2F25%2F26%2F29%2F30%2F31%2F32</t>
  </si>
  <si>
    <t>- SALES (note SALES = **Ordered Product Sales** on Sales Performance Report spreadsheet)</t>
  </si>
  <si>
    <t>- UNITS SOLD (note UNITS SOLD = **Units Ordered** on Sales Performance Report spreadsheet)</t>
  </si>
  <si>
    <t>- ORDERED ITEMS (note ORDERED ITEMS = **Total Order Items** on Sales Performance Report spreadsheet)</t>
  </si>
  <si>
    <t>- SESSIONS (SESSIONS **traffic = Sessions - Total** on Sales Performance Report spreadsheet)</t>
  </si>
  <si>
    <t>Date Created</t>
  </si>
  <si>
    <t>Date Ended</t>
  </si>
  <si>
    <t>Discount</t>
  </si>
  <si>
    <t>SKU</t>
  </si>
  <si>
    <t>Product Description</t>
  </si>
  <si>
    <t>Notes</t>
  </si>
  <si>
    <t>-15 %</t>
  </si>
  <si>
    <t>49-80O9-EQ16</t>
  </si>
  <si>
    <t xml:space="preserve">Lustroware QuickFlip Slim Airtight Pitcher - 1.2L </t>
  </si>
  <si>
    <t>RI-W918-3HD2</t>
  </si>
  <si>
    <t>Lustroware TwistServe Airtight Pitcher - 2.1L</t>
  </si>
  <si>
    <t>Buiness Report &gt; Detail Sales</t>
  </si>
  <si>
    <t>Lustroware</t>
  </si>
  <si>
    <t>Total Sales</t>
  </si>
  <si>
    <t>Total Orders</t>
  </si>
  <si>
    <t>Total Units Sold</t>
  </si>
  <si>
    <t>Advertising Sales</t>
  </si>
  <si>
    <t>Advertising Cost</t>
  </si>
  <si>
    <t>ACoS</t>
  </si>
  <si>
    <t>SALES METRICS</t>
  </si>
  <si>
    <t xml:space="preserve">ADVERTISING PERFORMANCE </t>
  </si>
  <si>
    <t>WOW</t>
  </si>
  <si>
    <t>MONTH 
CODE</t>
  </si>
  <si>
    <t>DATE</t>
  </si>
  <si>
    <t>SALES</t>
  </si>
  <si>
    <t>UNITS SOLD</t>
  </si>
  <si>
    <t>ORDERS</t>
  </si>
  <si>
    <t>UNITS PER ORDER</t>
  </si>
  <si>
    <t>$$ PER 
ORDER</t>
  </si>
  <si>
    <t>AVE SALES 
PRICE</t>
  </si>
  <si>
    <t>SESSIONS (traffic)</t>
  </si>
  <si>
    <t>SALE PER SESSION (conversion)</t>
  </si>
  <si>
    <t>SP AD SPEND</t>
  </si>
  <si>
    <t>AD SALES</t>
  </si>
  <si>
    <t>UNIT SALES</t>
  </si>
  <si>
    <t>IMPRESSIONS</t>
  </si>
  <si>
    <t>ROAS (return on ad spend)</t>
  </si>
  <si>
    <t>REVENUE PERCENTAGE OF AD SALES</t>
  </si>
  <si>
    <t>UNITS</t>
  </si>
  <si>
    <t>2025 - Week 52</t>
  </si>
  <si>
    <t>2026 - Week 1</t>
  </si>
  <si>
    <t>2026 - Week 2</t>
  </si>
  <si>
    <t>2026 - Week 3</t>
  </si>
  <si>
    <t>2026 - Week 4</t>
  </si>
  <si>
    <t>2026 - Week 5</t>
  </si>
  <si>
    <t>2026 - Week 6</t>
  </si>
  <si>
    <t>2026 - Week 7</t>
  </si>
  <si>
    <t>2026 - Week 8</t>
  </si>
  <si>
    <t>2026 - Week 9</t>
  </si>
  <si>
    <t>2026 - Week 10</t>
  </si>
  <si>
    <t>Previous Week</t>
  </si>
  <si>
    <t>Current Week</t>
  </si>
  <si>
    <t>Buiness Report &gt; Detail Sales (By ASIN)</t>
  </si>
  <si>
    <t>DATE RANGE</t>
  </si>
  <si>
    <t>SALES PER ORDER</t>
  </si>
  <si>
    <t>All Pitchers</t>
  </si>
  <si>
    <t>BO-RYJ7-TONO</t>
  </si>
  <si>
    <t>Lustroware QuickServe Airtight Pitcher - 2.1L</t>
  </si>
  <si>
    <t>W2-10V2-K4DL</t>
  </si>
  <si>
    <t>Lustroware SlideServe Slim Airtight Pitcher - 2.1L</t>
  </si>
  <si>
    <t xml:space="preserve">LW-QKSR-03WT
</t>
  </si>
  <si>
    <t>QuickServe Large Airtight Pitcher - 3L</t>
  </si>
  <si>
    <t>2024 - Week 52</t>
  </si>
  <si>
    <t>2025 - Week 1</t>
  </si>
  <si>
    <t>2025 - Week 2</t>
  </si>
  <si>
    <t>2025 - Week 3</t>
  </si>
  <si>
    <t>2025 - Week 4</t>
  </si>
  <si>
    <t>2025 - Week 5</t>
  </si>
  <si>
    <t>2025 - Week 6</t>
  </si>
  <si>
    <t>2025 - Week 7</t>
  </si>
  <si>
    <t>2025 - Week 8</t>
  </si>
  <si>
    <t>2025 - Week 9</t>
  </si>
  <si>
    <t>2025 - Week 10</t>
  </si>
  <si>
    <t>2025 - Week 11</t>
  </si>
  <si>
    <t>2025 - Week 12</t>
  </si>
  <si>
    <t>2025 - Week 13</t>
  </si>
  <si>
    <t>2025 - Week 14</t>
  </si>
  <si>
    <t>2025 - Week 15</t>
  </si>
  <si>
    <t>2025 - Week 16</t>
  </si>
  <si>
    <t>2025 - Week 17</t>
  </si>
  <si>
    <t>2025 - Week 18</t>
  </si>
  <si>
    <t>2025 - Week 19</t>
  </si>
  <si>
    <t>2025 - Week 20</t>
  </si>
  <si>
    <t>2025 - Week 21</t>
  </si>
  <si>
    <t>2025 - Week 22</t>
  </si>
  <si>
    <t>2025 - Week 23</t>
  </si>
  <si>
    <t>2025 - Week 24</t>
  </si>
  <si>
    <t>2025 - Week 25</t>
  </si>
  <si>
    <t>2025 - Week 26</t>
  </si>
  <si>
    <t>2025 - Week 27</t>
  </si>
  <si>
    <t>2025 - Week 28</t>
  </si>
  <si>
    <t>2025 - Week 29</t>
  </si>
  <si>
    <t>2025 - Week 30</t>
  </si>
  <si>
    <t>2025 - Week 31</t>
  </si>
  <si>
    <t>2025 - Week 32</t>
  </si>
  <si>
    <t>2025 - Week 33</t>
  </si>
  <si>
    <t>2025 - Week 34</t>
  </si>
  <si>
    <t>2025 - Week 35</t>
  </si>
  <si>
    <t>2025 - Week 36</t>
  </si>
  <si>
    <t>2025 - Week 37</t>
  </si>
  <si>
    <t>2025 - Week 38</t>
  </si>
  <si>
    <t>2025 - Week 39</t>
  </si>
  <si>
    <t>2025 - Week 40</t>
  </si>
  <si>
    <t>2025 - Week 41</t>
  </si>
  <si>
    <t>2025 - Week 42</t>
  </si>
  <si>
    <t>2025 - Week 43</t>
  </si>
  <si>
    <t>2025 - Week 44</t>
  </si>
  <si>
    <t>2025 - Week 45</t>
  </si>
  <si>
    <t>2025 - Weel 46</t>
  </si>
  <si>
    <t>2025 - Week 47</t>
  </si>
  <si>
    <t>2025 - Week 48</t>
  </si>
  <si>
    <t>2025 - Week 49</t>
  </si>
  <si>
    <t>2025 - Week 50</t>
  </si>
  <si>
    <t>2025 - Week 51</t>
  </si>
  <si>
    <t>2025 - Week 46</t>
  </si>
  <si>
    <t>2024 - Week 27</t>
  </si>
  <si>
    <t>2024 - Week 28</t>
  </si>
  <si>
    <t>2024 - Week 29</t>
  </si>
  <si>
    <t>2024 - Week 30</t>
  </si>
  <si>
    <t>2024 - Week 31</t>
  </si>
  <si>
    <t>2024 - Week 32</t>
  </si>
  <si>
    <t>2024 - Week 33</t>
  </si>
  <si>
    <t>2024 - Week 34</t>
  </si>
  <si>
    <t>2024 - Week 35</t>
  </si>
  <si>
    <t>2024 - Week 36</t>
  </si>
  <si>
    <t>2024 - Week 37</t>
  </si>
  <si>
    <t>2024 - Week 38</t>
  </si>
  <si>
    <t>2024 - Week 39</t>
  </si>
  <si>
    <t>2024 - Week 40</t>
  </si>
  <si>
    <t>2024 - Week 41</t>
  </si>
  <si>
    <t>2024 - Week 42</t>
  </si>
  <si>
    <t>2024 - Week 43</t>
  </si>
  <si>
    <t>2024 - Week 44</t>
  </si>
  <si>
    <t>2024 - Week 45</t>
  </si>
  <si>
    <t>2024 - Week 46</t>
  </si>
  <si>
    <t>2024 - Week 47</t>
  </si>
  <si>
    <t>2024 - Week 48</t>
  </si>
  <si>
    <t>2024 - Week 49</t>
  </si>
  <si>
    <t>2024 - Week 50</t>
  </si>
  <si>
    <t>2024 - Week 51</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</si>
</sst>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numFmt numFmtId="165" formatCode="&quot;$&quot;#,##0"/>
    <numFmt numFmtId="166" formatCode="&quot;$&quot;#,##0.00"/>
  </numFmts>
  <fonts count="17">
    <font>
      <sz val="10.0"/>
      <color rgb="FF000000"/>
      <name val="Arial"/>
      <scheme val="minor"/>
    </font>
    <font>
      <u/>
      <color rgb="FF1155CC"/>
      <name val="Arial"/>
    </font>
    <font>
      <color theme="1"/>
      <name val="Arial"/>
    </font>
    <font>
      <color theme="1"/>
      <name val="Arial"/>
      <scheme val="minor"/>
    </font>
    <font>
      <u/>
      <color rgb="FF0000FF"/>
      <name val="Calibri"/>
    </font>
    <font/>
    <font>
      <b/>
      <sz val="23.0"/>
      <color theme="1"/>
      <name val="Calibri"/>
    </font>
    <font>
      <sz val="12.0"/>
      <color rgb="FF757171"/>
      <name val="Calibri"/>
    </font>
    <font>
      <b/>
      <sz val="14.0"/>
      <color theme="1"/>
      <name val="Calibri"/>
    </font>
    <font>
      <b/>
      <color rgb="FF6AA84F"/>
      <name val="Calibri"/>
    </font>
    <font>
      <b/>
      <color rgb="FFCC0000"/>
      <name val="Calibri"/>
    </font>
    <font>
      <b/>
      <color rgb="FF008000"/>
      <name val="Calibri"/>
    </font>
    <font>
      <b/>
      <color theme="1"/>
      <name val="Calibri"/>
    </font>
    <font>
      <color theme="1"/>
      <name val="Calibri"/>
    </font>
    <font>
      <b/>
      <sz val="10.0"/>
      <color theme="1"/>
      <name val="Calibri"/>
    </font>
    <font>
      <u/>
      <color rgb="FF0000FF"/>
      <name val="Calibri"/>
    </font>
    <font>
      <b/>
      <color theme="1"/>
      <name val="Arial"/>
    </font>
  </fonts>
  <fills count="13">
    <fill>
      <patternFill patternType="none"/>
    </fill>
    <fill>
      <patternFill patternType="lightGray"/>
    </fill>
    <fill>
      <patternFill patternType="solid">
        <fgColor rgb="FFF9CB9C"/>
        <bgColor rgb="FFF9CB9C"/>
      </patternFill>
    </fill>
    <fill>
      <patternFill patternType="solid">
        <fgColor rgb="FFB7E1CD"/>
        <bgColor rgb="FFB7E1CD"/>
      </patternFill>
    </fill>
    <fill>
      <patternFill patternType="solid">
        <fgColor rgb="FFFFFFFF"/>
        <bgColor rgb="FFFFFFFF"/>
      </patternFill>
    </fill>
    <fill>
      <patternFill patternType="solid">
        <fgColor rgb="FFEFEFEF"/>
        <bgColor rgb="FFEFEFEF"/>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EAD1DC"/>
        <bgColor rgb="FFEAD1DC"/>
      </patternFill>
    </fill>
    <fill>
      <patternFill patternType="solid">
        <fgColor rgb="FFCCCCCC"/>
        <bgColor rgb="FFCCCCCC"/>
      </patternFill>
    </fill>
    <fill>
      <patternFill patternType="solid">
        <fgColor rgb="FFB7B7B7"/>
        <bgColor rgb="FFB7B7B7"/>
      </patternFill>
    </fill>
    <fill>
      <patternFill patternType="solid">
        <fgColor rgb="FFFCE5CD"/>
        <bgColor rgb="FFFCE5CD"/>
      </patternFill>
    </fill>
  </fills>
  <borders count="18">
    <border/>
    <border>
      <left style="thin">
        <color rgb="FFFFFFFF"/>
      </left>
      <top style="thin">
        <color rgb="FFFFFFFF"/>
      </top>
      <bottom style="thin">
        <color rgb="FFFFFFFF"/>
      </bottom>
    </border>
    <border>
      <right style="thin">
        <color rgb="FFFFFFFF"/>
      </right>
      <top style="thin">
        <color rgb="FFFFFFFF"/>
      </top>
      <bottom style="thin">
        <color rgb="FFFFFFFF"/>
      </bottom>
    </border>
    <border>
      <bottom style="thin">
        <color rgb="FFFFFFFF"/>
      </bottom>
    </border>
    <border>
      <right style="thin">
        <color rgb="FFFFFFFF"/>
      </right>
      <bottom style="thin">
        <color rgb="FFFFFFFF"/>
      </bottom>
    </border>
    <border>
      <bottom style="thin">
        <color rgb="FF000000"/>
      </bottom>
    </border>
    <border>
      <right style="thin">
        <color rgb="FFFFFFFF"/>
      </right>
      <bottom style="thin">
        <color rgb="FF000000"/>
      </bottom>
    </border>
    <border>
      <left style="thin">
        <color rgb="FF000000"/>
      </left>
      <right style="thin">
        <color rgb="FFFFFFFF"/>
      </right>
      <bottom style="thin">
        <color rgb="FFFFFFFF"/>
      </bottom>
    </border>
    <border>
      <right style="thin">
        <color rgb="FF000000"/>
      </right>
      <bottom style="thin">
        <color rgb="FFFFFFFF"/>
      </bottom>
    </border>
    <border>
      <left style="thin">
        <color rgb="FF000000"/>
      </left>
      <right style="thin">
        <color rgb="FFFFFFFF"/>
      </right>
      <bottom style="thin">
        <color rgb="FF000000"/>
      </bottom>
    </border>
    <border>
      <right style="thin">
        <color rgb="FF000000"/>
      </right>
      <bottom style="thin">
        <color rgb="FF000000"/>
      </bottom>
    </border>
    <border>
      <right style="thin">
        <color rgb="FFFFFFFF"/>
      </right>
      <top style="thin">
        <color rgb="FFFFFFFF"/>
      </top>
    </border>
    <border>
      <top style="thin">
        <color rgb="FFFFFFFF"/>
      </top>
      <bottom style="thin">
        <color rgb="FFFFFFFF"/>
      </bottom>
    </border>
    <border>
      <right style="thin">
        <color rgb="FF000000"/>
      </right>
      <top style="thin">
        <color rgb="FFFFFFFF"/>
      </top>
      <bottom style="thin">
        <color rgb="FFFFFFFF"/>
      </bottom>
    </border>
    <border>
      <right style="thin">
        <color rgb="FFFFFFFF"/>
      </right>
    </border>
    <border>
      <left style="thin">
        <color rgb="FF000000"/>
      </left>
      <right style="thin">
        <color rgb="FFFFFFFF"/>
      </right>
      <top style="thin">
        <color rgb="FF000000"/>
      </top>
      <bottom style="thin">
        <color rgb="FFFFFFFF"/>
      </bottom>
    </border>
    <border>
      <top style="thin">
        <color rgb="FF000000"/>
      </top>
      <bottom style="thin">
        <color rgb="FFFFFFFF"/>
      </bottom>
    </border>
    <border>
      <right style="thin">
        <color rgb="FF000000"/>
      </right>
      <top style="thin">
        <color rgb="FF000000"/>
      </top>
      <bottom style="thin">
        <color rgb="FFFFFFFF"/>
      </bottom>
    </border>
  </borders>
  <cellStyleXfs count="1">
    <xf borderId="0" fillId="0" fontId="0" numFmtId="0" applyAlignment="1" applyFont="1"/>
  </cellStyleXfs>
  <cellXfs count="271">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vertical="bottom"/>
    </xf>
    <xf borderId="0" fillId="0" fontId="3" numFmtId="0" xfId="0" applyAlignment="1" applyFont="1">
      <alignment readingOrder="0"/>
    </xf>
    <xf borderId="0" fillId="0" fontId="3" numFmtId="0" xfId="0" applyFont="1"/>
    <xf borderId="0" fillId="0" fontId="3" numFmtId="164" xfId="0" applyAlignment="1" applyFont="1" applyNumberFormat="1">
      <alignment readingOrder="0"/>
    </xf>
    <xf borderId="1" fillId="2" fontId="4" numFmtId="0" xfId="0" applyAlignment="1" applyBorder="1" applyFill="1" applyFont="1">
      <alignment horizontal="left" readingOrder="0" vertical="bottom"/>
    </xf>
    <xf borderId="2" fillId="0" fontId="5" numFmtId="0" xfId="0" applyBorder="1" applyFont="1"/>
    <xf borderId="2" fillId="0" fontId="2" numFmtId="0" xfId="0" applyAlignment="1" applyBorder="1" applyFont="1">
      <alignment horizontal="left" vertical="bottom"/>
    </xf>
    <xf borderId="0" fillId="0" fontId="2" numFmtId="0" xfId="0" applyAlignment="1" applyFont="1">
      <alignment horizontal="left" vertical="bottom"/>
    </xf>
    <xf borderId="0" fillId="0" fontId="3" numFmtId="0" xfId="0" applyAlignment="1" applyFont="1">
      <alignment horizontal="left"/>
    </xf>
    <xf borderId="3" fillId="3" fontId="6" numFmtId="0" xfId="0" applyAlignment="1" applyBorder="1" applyFill="1" applyFont="1">
      <alignment horizontal="left" readingOrder="0" vertical="bottom"/>
    </xf>
    <xf borderId="3" fillId="0" fontId="5" numFmtId="0" xfId="0" applyBorder="1" applyFont="1"/>
    <xf borderId="4" fillId="0" fontId="5" numFmtId="0" xfId="0" applyBorder="1" applyFont="1"/>
    <xf borderId="3" fillId="0" fontId="7" numFmtId="0" xfId="0" applyAlignment="1" applyBorder="1" applyFont="1">
      <alignment horizontal="left" vertical="bottom"/>
    </xf>
    <xf borderId="4" fillId="0" fontId="2" numFmtId="0" xfId="0" applyAlignment="1" applyBorder="1" applyFont="1">
      <alignment horizontal="left" vertical="bottom"/>
    </xf>
    <xf borderId="3" fillId="0" fontId="8" numFmtId="165" xfId="0" applyAlignment="1" applyBorder="1" applyFont="1" applyNumberFormat="1">
      <alignment horizontal="left" vertical="bottom"/>
    </xf>
    <xf borderId="3" fillId="0" fontId="8" numFmtId="0" xfId="0" applyAlignment="1" applyBorder="1" applyFont="1">
      <alignment horizontal="left" vertical="bottom"/>
    </xf>
    <xf borderId="3" fillId="4" fontId="9" numFmtId="10" xfId="0" applyAlignment="1" applyBorder="1" applyFill="1" applyFont="1" applyNumberFormat="1">
      <alignment horizontal="left" vertical="bottom"/>
    </xf>
    <xf borderId="3" fillId="0" fontId="2" numFmtId="0" xfId="0" applyAlignment="1" applyBorder="1" applyFont="1">
      <alignment horizontal="left" vertical="bottom"/>
    </xf>
    <xf borderId="3" fillId="0" fontId="8" numFmtId="10" xfId="0" applyAlignment="1" applyBorder="1" applyFont="1" applyNumberFormat="1">
      <alignment horizontal="left" vertical="bottom"/>
    </xf>
    <xf borderId="5" fillId="0" fontId="5" numFmtId="0" xfId="0" applyBorder="1" applyFont="1"/>
    <xf borderId="5" fillId="4" fontId="9" numFmtId="10" xfId="0" applyAlignment="1" applyBorder="1" applyFont="1" applyNumberFormat="1">
      <alignment horizontal="left" vertical="bottom"/>
    </xf>
    <xf borderId="6" fillId="0" fontId="5" numFmtId="0" xfId="0" applyBorder="1" applyFont="1"/>
    <xf borderId="5" fillId="4" fontId="10" numFmtId="10" xfId="0" applyAlignment="1" applyBorder="1" applyFont="1" applyNumberFormat="1">
      <alignment horizontal="left" vertical="bottom"/>
    </xf>
    <xf borderId="5" fillId="0" fontId="11" numFmtId="10" xfId="0" applyAlignment="1" applyBorder="1" applyFont="1" applyNumberFormat="1">
      <alignment horizontal="left" vertical="bottom"/>
    </xf>
    <xf borderId="6" fillId="0" fontId="2" numFmtId="0" xfId="0" applyAlignment="1" applyBorder="1" applyFont="1">
      <alignment horizontal="left" vertical="bottom"/>
    </xf>
    <xf borderId="7" fillId="0" fontId="2" numFmtId="0" xfId="0" applyAlignment="1" applyBorder="1" applyFont="1">
      <alignment horizontal="left" vertical="bottom"/>
    </xf>
    <xf borderId="8" fillId="0" fontId="2" numFmtId="0" xfId="0" applyAlignment="1" applyBorder="1" applyFont="1">
      <alignment horizontal="left" vertical="bottom"/>
    </xf>
    <xf borderId="8" fillId="0" fontId="5" numFmtId="0" xfId="0" applyBorder="1" applyFont="1"/>
    <xf borderId="3" fillId="0" fontId="8" numFmtId="0" xfId="0" applyAlignment="1" applyBorder="1" applyFont="1">
      <alignment horizontal="left" shrinkToFit="0" vertical="bottom" wrapText="1"/>
    </xf>
    <xf borderId="9" fillId="0" fontId="12" numFmtId="0" xfId="0" applyAlignment="1" applyBorder="1" applyFont="1">
      <alignment horizontal="left" shrinkToFit="0" vertical="bottom" wrapText="1"/>
    </xf>
    <xf borderId="10" fillId="0" fontId="12" numFmtId="0" xfId="0" applyAlignment="1" applyBorder="1" applyFont="1">
      <alignment horizontal="left" shrinkToFit="0" vertical="bottom" wrapText="1"/>
    </xf>
    <xf borderId="10" fillId="0" fontId="2" numFmtId="0" xfId="0" applyAlignment="1" applyBorder="1" applyFont="1">
      <alignment horizontal="left" vertical="bottom"/>
    </xf>
    <xf borderId="6" fillId="0" fontId="12" numFmtId="0" xfId="0" applyAlignment="1" applyBorder="1" applyFont="1">
      <alignment horizontal="left" shrinkToFit="0" vertical="bottom" wrapText="1"/>
    </xf>
    <xf borderId="5" fillId="0" fontId="12" numFmtId="0" xfId="0" applyAlignment="1" applyBorder="1" applyFont="1">
      <alignment horizontal="left" shrinkToFit="0" vertical="bottom" wrapText="1"/>
    </xf>
    <xf borderId="11" fillId="4" fontId="13" numFmtId="164" xfId="0" applyAlignment="1" applyBorder="1" applyFont="1" applyNumberFormat="1">
      <alignment horizontal="left" vertical="bottom"/>
    </xf>
    <xf borderId="2" fillId="0" fontId="13" numFmtId="164" xfId="0" applyAlignment="1" applyBorder="1" applyFont="1" applyNumberFormat="1">
      <alignment horizontal="left" vertical="bottom"/>
    </xf>
    <xf borderId="2" fillId="5" fontId="2" numFmtId="10" xfId="0" applyAlignment="1" applyBorder="1" applyFill="1" applyFont="1" applyNumberFormat="1">
      <alignment horizontal="left" vertical="bottom"/>
    </xf>
    <xf borderId="2" fillId="0" fontId="13" numFmtId="166" xfId="0" applyAlignment="1" applyBorder="1" applyFont="1" applyNumberFormat="1">
      <alignment horizontal="left" vertical="bottom"/>
    </xf>
    <xf borderId="2" fillId="0" fontId="13" numFmtId="0" xfId="0" applyAlignment="1" applyBorder="1" applyFont="1">
      <alignment horizontal="left" vertical="bottom"/>
    </xf>
    <xf borderId="2" fillId="0" fontId="13" numFmtId="2" xfId="0" applyAlignment="1" applyBorder="1" applyFont="1" applyNumberFormat="1">
      <alignment horizontal="left" vertical="bottom"/>
    </xf>
    <xf borderId="2" fillId="0" fontId="13" numFmtId="3" xfId="0" applyAlignment="1" applyBorder="1" applyFont="1" applyNumberFormat="1">
      <alignment horizontal="left" vertical="bottom"/>
    </xf>
    <xf borderId="2" fillId="0" fontId="13" numFmtId="10" xfId="0" applyAlignment="1" applyBorder="1" applyFont="1" applyNumberFormat="1">
      <alignment horizontal="left" vertical="bottom"/>
    </xf>
    <xf borderId="2" fillId="0" fontId="13" numFmtId="4" xfId="0" applyAlignment="1" applyBorder="1" applyFont="1" applyNumberFormat="1">
      <alignment horizontal="left" vertical="bottom"/>
    </xf>
    <xf borderId="12" fillId="0" fontId="2" numFmtId="0" xfId="0" applyAlignment="1" applyBorder="1" applyFont="1">
      <alignment horizontal="left" vertical="bottom"/>
    </xf>
    <xf borderId="13" fillId="0" fontId="2" numFmtId="0" xfId="0" applyAlignment="1" applyBorder="1" applyFont="1">
      <alignment horizontal="left" vertical="bottom"/>
    </xf>
    <xf borderId="14" fillId="4" fontId="13" numFmtId="164" xfId="0" applyAlignment="1" applyBorder="1" applyFont="1" applyNumberFormat="1">
      <alignment horizontal="left" vertical="bottom"/>
    </xf>
    <xf borderId="4" fillId="5" fontId="2" numFmtId="10" xfId="0" applyAlignment="1" applyBorder="1" applyFont="1" applyNumberFormat="1">
      <alignment horizontal="left" vertical="bottom"/>
    </xf>
    <xf borderId="4" fillId="0" fontId="13" numFmtId="166" xfId="0" applyAlignment="1" applyBorder="1" applyFont="1" applyNumberFormat="1">
      <alignment horizontal="left" vertical="bottom"/>
    </xf>
    <xf borderId="4" fillId="0" fontId="13" numFmtId="0" xfId="0" applyAlignment="1" applyBorder="1" applyFont="1">
      <alignment horizontal="left" vertical="bottom"/>
    </xf>
    <xf borderId="4" fillId="0" fontId="13" numFmtId="2" xfId="0" applyAlignment="1" applyBorder="1" applyFont="1" applyNumberFormat="1">
      <alignment horizontal="left" vertical="bottom"/>
    </xf>
    <xf borderId="4" fillId="0" fontId="13" numFmtId="3" xfId="0" applyAlignment="1" applyBorder="1" applyFont="1" applyNumberFormat="1">
      <alignment horizontal="left" vertical="bottom"/>
    </xf>
    <xf borderId="4" fillId="0" fontId="13" numFmtId="10" xfId="0" applyAlignment="1" applyBorder="1" applyFont="1" applyNumberFormat="1">
      <alignment horizontal="left" vertical="bottom"/>
    </xf>
    <xf borderId="4" fillId="4" fontId="13" numFmtId="166" xfId="0" applyAlignment="1" applyBorder="1" applyFont="1" applyNumberFormat="1">
      <alignment horizontal="left" vertical="bottom"/>
    </xf>
    <xf borderId="4" fillId="0" fontId="13" numFmtId="4" xfId="0" applyAlignment="1" applyBorder="1" applyFont="1" applyNumberFormat="1">
      <alignment horizontal="left" vertical="bottom"/>
    </xf>
    <xf borderId="11" fillId="4" fontId="13" numFmtId="164" xfId="0" applyAlignment="1" applyBorder="1" applyFont="1" applyNumberFormat="1">
      <alignment vertical="bottom"/>
    </xf>
    <xf borderId="2" fillId="0" fontId="13" numFmtId="164" xfId="0" applyAlignment="1" applyBorder="1" applyFont="1" applyNumberFormat="1">
      <alignment vertical="bottom"/>
    </xf>
    <xf borderId="2" fillId="5" fontId="2" numFmtId="10" xfId="0" applyAlignment="1" applyBorder="1" applyFont="1" applyNumberFormat="1">
      <alignment vertical="bottom"/>
    </xf>
    <xf borderId="2" fillId="0" fontId="13" numFmtId="166" xfId="0" applyAlignment="1" applyBorder="1" applyFont="1" applyNumberFormat="1">
      <alignment vertical="bottom"/>
    </xf>
    <xf borderId="2" fillId="0" fontId="13" numFmtId="0" xfId="0" applyAlignment="1" applyBorder="1" applyFont="1">
      <alignment vertical="bottom"/>
    </xf>
    <xf borderId="2" fillId="0" fontId="13" numFmtId="2" xfId="0" applyAlignment="1" applyBorder="1" applyFont="1" applyNumberFormat="1">
      <alignment vertical="bottom"/>
    </xf>
    <xf borderId="2" fillId="0" fontId="13" numFmtId="3" xfId="0" applyAlignment="1" applyBorder="1" applyFont="1" applyNumberFormat="1">
      <alignment vertical="bottom"/>
    </xf>
    <xf borderId="2" fillId="0" fontId="13" numFmtId="10" xfId="0" applyAlignment="1" applyBorder="1" applyFont="1" applyNumberFormat="1">
      <alignment vertical="bottom"/>
    </xf>
    <xf borderId="2" fillId="0" fontId="13" numFmtId="4" xfId="0" applyAlignment="1" applyBorder="1" applyFont="1" applyNumberFormat="1">
      <alignment vertical="bottom"/>
    </xf>
    <xf borderId="12" fillId="0" fontId="2" numFmtId="0" xfId="0" applyAlignment="1" applyBorder="1" applyFont="1">
      <alignment vertical="bottom"/>
    </xf>
    <xf borderId="13" fillId="0" fontId="2" numFmtId="0" xfId="0" applyAlignment="1" applyBorder="1" applyFont="1">
      <alignment vertical="bottom"/>
    </xf>
    <xf borderId="14" fillId="4" fontId="13" numFmtId="164" xfId="0" applyAlignment="1" applyBorder="1" applyFont="1" applyNumberFormat="1">
      <alignment vertical="bottom"/>
    </xf>
    <xf borderId="4" fillId="5" fontId="2" numFmtId="10" xfId="0" applyAlignment="1" applyBorder="1" applyFont="1" applyNumberFormat="1">
      <alignment vertical="bottom"/>
    </xf>
    <xf borderId="4" fillId="0" fontId="13" numFmtId="166" xfId="0" applyAlignment="1" applyBorder="1" applyFont="1" applyNumberFormat="1">
      <alignment vertical="bottom"/>
    </xf>
    <xf borderId="4" fillId="0" fontId="13" numFmtId="0" xfId="0" applyAlignment="1" applyBorder="1" applyFont="1">
      <alignment vertical="bottom"/>
    </xf>
    <xf borderId="4" fillId="0" fontId="13" numFmtId="2" xfId="0" applyAlignment="1" applyBorder="1" applyFont="1" applyNumberFormat="1">
      <alignment vertical="bottom"/>
    </xf>
    <xf borderId="4" fillId="0" fontId="13" numFmtId="3" xfId="0" applyAlignment="1" applyBorder="1" applyFont="1" applyNumberFormat="1">
      <alignment vertical="bottom"/>
    </xf>
    <xf borderId="4" fillId="0" fontId="13" numFmtId="10" xfId="0" applyAlignment="1" applyBorder="1" applyFont="1" applyNumberFormat="1">
      <alignment vertical="bottom"/>
    </xf>
    <xf borderId="4" fillId="4" fontId="13" numFmtId="166" xfId="0" applyAlignment="1" applyBorder="1" applyFont="1" applyNumberFormat="1">
      <alignment vertical="bottom"/>
    </xf>
    <xf borderId="4" fillId="0" fontId="13" numFmtId="4" xfId="0" applyAlignment="1" applyBorder="1" applyFont="1" applyNumberFormat="1">
      <alignment vertical="bottom"/>
    </xf>
    <xf borderId="3" fillId="0" fontId="2" numFmtId="0" xfId="0" applyAlignment="1" applyBorder="1" applyFont="1">
      <alignment vertical="bottom"/>
    </xf>
    <xf borderId="8" fillId="0" fontId="2" numFmtId="0" xfId="0" applyAlignment="1" applyBorder="1" applyFont="1">
      <alignment vertical="bottom"/>
    </xf>
    <xf borderId="4" fillId="3" fontId="12" numFmtId="0" xfId="0" applyAlignment="1" applyBorder="1" applyFont="1">
      <alignment readingOrder="0" vertical="bottom"/>
    </xf>
    <xf borderId="4" fillId="3" fontId="2" numFmtId="164" xfId="0" applyAlignment="1" applyBorder="1" applyFont="1" applyNumberFormat="1">
      <alignment vertical="bottom"/>
    </xf>
    <xf borderId="4" fillId="3" fontId="2" numFmtId="10" xfId="0" applyAlignment="1" applyBorder="1" applyFont="1" applyNumberFormat="1">
      <alignment vertical="bottom"/>
    </xf>
    <xf borderId="4" fillId="3" fontId="12" numFmtId="166" xfId="0" applyAlignment="1" applyBorder="1" applyFont="1" applyNumberFormat="1">
      <alignment vertical="bottom"/>
    </xf>
    <xf borderId="4" fillId="3" fontId="12" numFmtId="49" xfId="0" applyAlignment="1" applyBorder="1" applyFont="1" applyNumberFormat="1">
      <alignment vertical="bottom"/>
    </xf>
    <xf borderId="2" fillId="3" fontId="12" numFmtId="2" xfId="0" applyAlignment="1" applyBorder="1" applyFont="1" applyNumberFormat="1">
      <alignment vertical="bottom"/>
    </xf>
    <xf borderId="2" fillId="3" fontId="12" numFmtId="166" xfId="0" applyAlignment="1" applyBorder="1" applyFont="1" applyNumberFormat="1">
      <alignment vertical="bottom"/>
    </xf>
    <xf borderId="4" fillId="3" fontId="12" numFmtId="3" xfId="0" applyAlignment="1" applyBorder="1" applyFont="1" applyNumberFormat="1">
      <alignment vertical="bottom"/>
    </xf>
    <xf borderId="4" fillId="3" fontId="12" numFmtId="10" xfId="0" applyAlignment="1" applyBorder="1" applyFont="1" applyNumberFormat="1">
      <alignment vertical="bottom"/>
    </xf>
    <xf borderId="4" fillId="3" fontId="12" numFmtId="0" xfId="0" applyAlignment="1" applyBorder="1" applyFont="1">
      <alignment vertical="bottom"/>
    </xf>
    <xf borderId="4" fillId="3" fontId="2" numFmtId="4" xfId="0" applyAlignment="1" applyBorder="1" applyFont="1" applyNumberFormat="1">
      <alignment vertical="bottom"/>
    </xf>
    <xf borderId="4" fillId="3" fontId="13" numFmtId="10" xfId="0" applyAlignment="1" applyBorder="1" applyFont="1" applyNumberFormat="1">
      <alignment vertical="bottom"/>
    </xf>
    <xf borderId="8" fillId="3" fontId="2" numFmtId="10" xfId="0" applyAlignment="1" applyBorder="1" applyFont="1" applyNumberFormat="1">
      <alignment vertical="bottom"/>
    </xf>
    <xf borderId="2" fillId="0" fontId="13" numFmtId="164" xfId="0" applyAlignment="1" applyBorder="1" applyFont="1" applyNumberFormat="1">
      <alignment horizontal="left" readingOrder="0" vertical="bottom"/>
    </xf>
    <xf borderId="2" fillId="0" fontId="13" numFmtId="166" xfId="0" applyAlignment="1" applyBorder="1" applyFont="1" applyNumberFormat="1">
      <alignment horizontal="left" readingOrder="0" vertical="bottom"/>
    </xf>
    <xf borderId="2" fillId="0" fontId="13" numFmtId="0" xfId="0" applyAlignment="1" applyBorder="1" applyFont="1">
      <alignment horizontal="left" readingOrder="0" vertical="bottom"/>
    </xf>
    <xf borderId="2" fillId="0" fontId="13" numFmtId="3" xfId="0" applyAlignment="1" applyBorder="1" applyFont="1" applyNumberFormat="1">
      <alignment horizontal="left" readingOrder="0" vertical="bottom"/>
    </xf>
    <xf borderId="2" fillId="0" fontId="13" numFmtId="10" xfId="0" applyAlignment="1" applyBorder="1" applyFont="1" applyNumberFormat="1">
      <alignment horizontal="left" readingOrder="0" vertical="bottom"/>
    </xf>
    <xf borderId="4" fillId="0" fontId="13" numFmtId="166" xfId="0" applyAlignment="1" applyBorder="1" applyFont="1" applyNumberFormat="1">
      <alignment horizontal="left" readingOrder="0" vertical="bottom"/>
    </xf>
    <xf borderId="4" fillId="0" fontId="13" numFmtId="0" xfId="0" applyAlignment="1" applyBorder="1" applyFont="1">
      <alignment horizontal="left" readingOrder="0" vertical="bottom"/>
    </xf>
    <xf borderId="4" fillId="0" fontId="13" numFmtId="3" xfId="0" applyAlignment="1" applyBorder="1" applyFont="1" applyNumberFormat="1">
      <alignment horizontal="left" readingOrder="0" vertical="bottom"/>
    </xf>
    <xf borderId="4" fillId="4" fontId="13" numFmtId="166" xfId="0" applyAlignment="1" applyBorder="1" applyFont="1" applyNumberFormat="1">
      <alignment horizontal="left" readingOrder="0" vertical="bottom"/>
    </xf>
    <xf borderId="4" fillId="0" fontId="13" numFmtId="10" xfId="0" applyAlignment="1" applyBorder="1" applyFont="1" applyNumberFormat="1">
      <alignment horizontal="left" readingOrder="0" vertical="bottom"/>
    </xf>
    <xf borderId="4" fillId="3" fontId="12" numFmtId="0" xfId="0" applyAlignment="1" applyBorder="1" applyFont="1">
      <alignment horizontal="left" readingOrder="0" vertical="bottom"/>
    </xf>
    <xf borderId="4" fillId="3" fontId="2" numFmtId="164" xfId="0" applyAlignment="1" applyBorder="1" applyFont="1" applyNumberFormat="1">
      <alignment horizontal="left" vertical="bottom"/>
    </xf>
    <xf borderId="4" fillId="3" fontId="2" numFmtId="10" xfId="0" applyAlignment="1" applyBorder="1" applyFont="1" applyNumberFormat="1">
      <alignment horizontal="left" vertical="bottom"/>
    </xf>
    <xf borderId="4" fillId="3" fontId="12" numFmtId="166" xfId="0" applyAlignment="1" applyBorder="1" applyFont="1" applyNumberFormat="1">
      <alignment horizontal="left" vertical="bottom"/>
    </xf>
    <xf borderId="4" fillId="3" fontId="12" numFmtId="49" xfId="0" applyAlignment="1" applyBorder="1" applyFont="1" applyNumberFormat="1">
      <alignment horizontal="left" vertical="bottom"/>
    </xf>
    <xf borderId="2" fillId="3" fontId="14" numFmtId="2" xfId="0" applyAlignment="1" applyBorder="1" applyFont="1" applyNumberFormat="1">
      <alignment horizontal="left" vertical="bottom"/>
    </xf>
    <xf borderId="2" fillId="3" fontId="14" numFmtId="166" xfId="0" applyAlignment="1" applyBorder="1" applyFont="1" applyNumberFormat="1">
      <alignment horizontal="left" vertical="bottom"/>
    </xf>
    <xf borderId="4" fillId="3" fontId="12" numFmtId="3" xfId="0" applyAlignment="1" applyBorder="1" applyFont="1" applyNumberFormat="1">
      <alignment horizontal="left" vertical="bottom"/>
    </xf>
    <xf borderId="4" fillId="3" fontId="12" numFmtId="10" xfId="0" applyAlignment="1" applyBorder="1" applyFont="1" applyNumberFormat="1">
      <alignment horizontal="left" vertical="bottom"/>
    </xf>
    <xf borderId="4" fillId="3" fontId="12" numFmtId="0" xfId="0" applyAlignment="1" applyBorder="1" applyFont="1">
      <alignment horizontal="left" vertical="bottom"/>
    </xf>
    <xf borderId="4" fillId="3" fontId="12" numFmtId="3" xfId="0" applyAlignment="1" applyBorder="1" applyFont="1" applyNumberFormat="1">
      <alignment horizontal="left" readingOrder="0" vertical="bottom"/>
    </xf>
    <xf borderId="4" fillId="3" fontId="2" numFmtId="4" xfId="0" applyAlignment="1" applyBorder="1" applyFont="1" applyNumberFormat="1">
      <alignment horizontal="left" readingOrder="0" vertical="bottom"/>
    </xf>
    <xf borderId="4" fillId="3" fontId="13" numFmtId="10" xfId="0" applyAlignment="1" applyBorder="1" applyFont="1" applyNumberFormat="1">
      <alignment horizontal="left" vertical="bottom"/>
    </xf>
    <xf borderId="8" fillId="3" fontId="2" numFmtId="10" xfId="0" applyAlignment="1" applyBorder="1" applyFont="1" applyNumberFormat="1">
      <alignment horizontal="left" vertical="bottom"/>
    </xf>
    <xf borderId="0" fillId="0" fontId="13" numFmtId="0" xfId="0" applyAlignment="1" applyFont="1">
      <alignment horizontal="left" vertical="bottom"/>
    </xf>
    <xf borderId="1" fillId="2" fontId="15" numFmtId="0" xfId="0" applyAlignment="1" applyBorder="1" applyFont="1">
      <alignment readingOrder="0" vertical="bottom"/>
    </xf>
    <xf borderId="12" fillId="0" fontId="5" numFmtId="0" xfId="0" applyBorder="1" applyFont="1"/>
    <xf borderId="2" fillId="0" fontId="2" numFmtId="0" xfId="0" applyAlignment="1" applyBorder="1" applyFont="1">
      <alignment vertical="bottom"/>
    </xf>
    <xf borderId="3" fillId="0" fontId="7" numFmtId="0" xfId="0" applyAlignment="1" applyBorder="1" applyFont="1">
      <alignment vertical="bottom"/>
    </xf>
    <xf borderId="4" fillId="0" fontId="2" numFmtId="0" xfId="0" applyAlignment="1" applyBorder="1" applyFont="1">
      <alignment vertical="bottom"/>
    </xf>
    <xf borderId="3" fillId="0" fontId="8" numFmtId="165" xfId="0" applyAlignment="1" applyBorder="1" applyFont="1" applyNumberFormat="1">
      <alignment vertical="bottom"/>
    </xf>
    <xf borderId="3" fillId="0" fontId="8" numFmtId="0" xfId="0" applyAlignment="1" applyBorder="1" applyFont="1">
      <alignment vertical="bottom"/>
    </xf>
    <xf borderId="3" fillId="4" fontId="10" numFmtId="10" xfId="0" applyAlignment="1" applyBorder="1" applyFont="1" applyNumberFormat="1">
      <alignment vertical="bottom"/>
    </xf>
    <xf borderId="3" fillId="0" fontId="8" numFmtId="10" xfId="0" applyAlignment="1" applyBorder="1" applyFont="1" applyNumberFormat="1">
      <alignment vertical="bottom"/>
    </xf>
    <xf borderId="0" fillId="4" fontId="10" numFmtId="10" xfId="0" applyAlignment="1" applyFont="1" applyNumberFormat="1">
      <alignment vertical="bottom"/>
    </xf>
    <xf borderId="14" fillId="0" fontId="5" numFmtId="0" xfId="0" applyBorder="1" applyFont="1"/>
    <xf borderId="5" fillId="4" fontId="9" numFmtId="10" xfId="0" applyAlignment="1" applyBorder="1" applyFont="1" applyNumberFormat="1">
      <alignment vertical="bottom"/>
    </xf>
    <xf borderId="5" fillId="0" fontId="11" numFmtId="10" xfId="0" applyAlignment="1" applyBorder="1" applyFont="1" applyNumberFormat="1">
      <alignment vertical="bottom"/>
    </xf>
    <xf borderId="6" fillId="0" fontId="2" numFmtId="0" xfId="0" applyAlignment="1" applyBorder="1" applyFont="1">
      <alignment vertical="bottom"/>
    </xf>
    <xf borderId="15" fillId="0" fontId="2" numFmtId="0" xfId="0" applyAlignment="1" applyBorder="1" applyFont="1">
      <alignment vertical="bottom"/>
    </xf>
    <xf borderId="16" fillId="0" fontId="2" numFmtId="0" xfId="0" applyAlignment="1" applyBorder="1" applyFont="1">
      <alignment vertical="bottom"/>
    </xf>
    <xf borderId="17" fillId="0" fontId="2" numFmtId="0" xfId="0" applyAlignment="1" applyBorder="1" applyFont="1">
      <alignment vertical="bottom"/>
    </xf>
    <xf borderId="16" fillId="0" fontId="8" numFmtId="0" xfId="0" applyAlignment="1" applyBorder="1" applyFont="1">
      <alignment horizontal="center" vertical="bottom"/>
    </xf>
    <xf borderId="16" fillId="0" fontId="5" numFmtId="0" xfId="0" applyBorder="1" applyFont="1"/>
    <xf borderId="17" fillId="0" fontId="5" numFmtId="0" xfId="0" applyBorder="1" applyFont="1"/>
    <xf borderId="16" fillId="0" fontId="8" numFmtId="0" xfId="0" applyAlignment="1" applyBorder="1" applyFont="1">
      <alignment horizontal="center" shrinkToFit="0" vertical="bottom" wrapText="1"/>
    </xf>
    <xf borderId="3" fillId="0" fontId="8" numFmtId="0" xfId="0" applyAlignment="1" applyBorder="1" applyFont="1">
      <alignment horizontal="center" vertical="bottom"/>
    </xf>
    <xf borderId="9" fillId="0" fontId="12" numFmtId="0" xfId="0" applyAlignment="1" applyBorder="1" applyFont="1">
      <alignment horizontal="center" shrinkToFit="0" vertical="bottom" wrapText="1"/>
    </xf>
    <xf borderId="10" fillId="0" fontId="12" numFmtId="0" xfId="0" applyAlignment="1" applyBorder="1" applyFont="1">
      <alignment horizontal="center" shrinkToFit="0" vertical="bottom" wrapText="1"/>
    </xf>
    <xf borderId="5" fillId="0" fontId="12" numFmtId="0" xfId="0" applyAlignment="1" applyBorder="1" applyFont="1">
      <alignment horizontal="center" shrinkToFit="0" vertical="bottom" wrapText="1"/>
    </xf>
    <xf borderId="10" fillId="0" fontId="2" numFmtId="0" xfId="0" applyAlignment="1" applyBorder="1" applyFont="1">
      <alignment vertical="bottom"/>
    </xf>
    <xf borderId="6" fillId="0" fontId="12" numFmtId="0" xfId="0" applyAlignment="1" applyBorder="1" applyFont="1">
      <alignment horizontal="center" shrinkToFit="0" vertical="bottom" wrapText="1"/>
    </xf>
    <xf borderId="2" fillId="0" fontId="13" numFmtId="164" xfId="0" applyAlignment="1" applyBorder="1" applyFont="1" applyNumberFormat="1">
      <alignment horizontal="right" vertical="bottom"/>
    </xf>
    <xf borderId="11" fillId="5" fontId="2" numFmtId="0" xfId="0" applyAlignment="1" applyBorder="1" applyFont="1">
      <alignment vertical="bottom"/>
    </xf>
    <xf borderId="11" fillId="5" fontId="10" numFmtId="0" xfId="0" applyAlignment="1" applyBorder="1" applyFont="1">
      <alignment shrinkToFit="0" vertical="bottom" wrapText="1"/>
    </xf>
    <xf borderId="2" fillId="6" fontId="2" numFmtId="166" xfId="0" applyAlignment="1" applyBorder="1" applyFill="1" applyFont="1" applyNumberFormat="1">
      <alignment vertical="bottom"/>
    </xf>
    <xf borderId="2" fillId="6" fontId="2" numFmtId="0" xfId="0" applyAlignment="1" applyBorder="1" applyFont="1">
      <alignment vertical="bottom"/>
    </xf>
    <xf borderId="4" fillId="6" fontId="2" numFmtId="2" xfId="0" applyAlignment="1" applyBorder="1" applyFont="1" applyNumberFormat="1">
      <alignment vertical="bottom"/>
    </xf>
    <xf borderId="4" fillId="6" fontId="2" numFmtId="166" xfId="0" applyAlignment="1" applyBorder="1" applyFont="1" applyNumberFormat="1">
      <alignment vertical="bottom"/>
    </xf>
    <xf borderId="4" fillId="6" fontId="2" numFmtId="3" xfId="0" applyAlignment="1" applyBorder="1" applyFont="1" applyNumberFormat="1">
      <alignment vertical="bottom"/>
    </xf>
    <xf borderId="4" fillId="6" fontId="2" numFmtId="10" xfId="0" applyAlignment="1" applyBorder="1" applyFont="1" applyNumberFormat="1">
      <alignment vertical="bottom"/>
    </xf>
    <xf borderId="11" fillId="5" fontId="13" numFmtId="166" xfId="0" applyAlignment="1" applyBorder="1" applyFont="1" applyNumberFormat="1">
      <alignment horizontal="right" vertical="bottom"/>
    </xf>
    <xf borderId="11" fillId="5" fontId="13" numFmtId="0" xfId="0" applyAlignment="1" applyBorder="1" applyFont="1">
      <alignment horizontal="right" vertical="bottom"/>
    </xf>
    <xf borderId="11" fillId="5" fontId="13" numFmtId="3" xfId="0" applyAlignment="1" applyBorder="1" applyFont="1" applyNumberFormat="1">
      <alignment horizontal="right" vertical="bottom"/>
    </xf>
    <xf borderId="4" fillId="0" fontId="13" numFmtId="10" xfId="0" applyAlignment="1" applyBorder="1" applyFont="1" applyNumberFormat="1">
      <alignment horizontal="right" vertical="bottom"/>
    </xf>
    <xf borderId="4" fillId="0" fontId="13" numFmtId="4" xfId="0" applyAlignment="1" applyBorder="1" applyFont="1" applyNumberFormat="1">
      <alignment horizontal="right" vertical="bottom"/>
    </xf>
    <xf borderId="14" fillId="4" fontId="2" numFmtId="164" xfId="0" applyAlignment="1" applyBorder="1" applyFont="1" applyNumberFormat="1">
      <alignment vertical="bottom"/>
    </xf>
    <xf borderId="2" fillId="0" fontId="2" numFmtId="164" xfId="0" applyAlignment="1" applyBorder="1" applyFont="1" applyNumberFormat="1">
      <alignment vertical="bottom"/>
    </xf>
    <xf borderId="11" fillId="7" fontId="13" numFmtId="0" xfId="0" applyAlignment="1" applyBorder="1" applyFill="1" applyFont="1">
      <alignment shrinkToFit="0" vertical="bottom" wrapText="1"/>
    </xf>
    <xf borderId="11" fillId="7" fontId="13" numFmtId="0" xfId="0" applyAlignment="1" applyBorder="1" applyFont="1">
      <alignment shrinkToFit="0" vertical="bottom" wrapText="1"/>
    </xf>
    <xf borderId="2" fillId="0" fontId="13" numFmtId="166" xfId="0" applyAlignment="1" applyBorder="1" applyFont="1" applyNumberFormat="1">
      <alignment horizontal="right" vertical="bottom"/>
    </xf>
    <xf borderId="2" fillId="0" fontId="13" numFmtId="0" xfId="0" applyAlignment="1" applyBorder="1" applyFont="1">
      <alignment horizontal="right" vertical="bottom"/>
    </xf>
    <xf borderId="4" fillId="0" fontId="13" numFmtId="2" xfId="0" applyAlignment="1" applyBorder="1" applyFont="1" applyNumberFormat="1">
      <alignment horizontal="right" vertical="bottom"/>
    </xf>
    <xf borderId="4" fillId="0" fontId="13" numFmtId="166" xfId="0" applyAlignment="1" applyBorder="1" applyFont="1" applyNumberFormat="1">
      <alignment horizontal="right" vertical="bottom"/>
    </xf>
    <xf borderId="4" fillId="0" fontId="13" numFmtId="3" xfId="0" applyAlignment="1" applyBorder="1" applyFont="1" applyNumberFormat="1">
      <alignment horizontal="right" vertical="bottom"/>
    </xf>
    <xf borderId="11" fillId="7" fontId="13" numFmtId="166" xfId="0" applyAlignment="1" applyBorder="1" applyFont="1" applyNumberFormat="1">
      <alignment horizontal="right" vertical="bottom"/>
    </xf>
    <xf borderId="11" fillId="7" fontId="13" numFmtId="0" xfId="0" applyAlignment="1" applyBorder="1" applyFont="1">
      <alignment horizontal="right" vertical="bottom"/>
    </xf>
    <xf borderId="11" fillId="7" fontId="13" numFmtId="3" xfId="0" applyAlignment="1" applyBorder="1" applyFont="1" applyNumberFormat="1">
      <alignment horizontal="right" vertical="bottom"/>
    </xf>
    <xf borderId="14" fillId="8" fontId="13" numFmtId="0" xfId="0" applyAlignment="1" applyBorder="1" applyFill="1" applyFont="1">
      <alignment shrinkToFit="0" vertical="bottom" wrapText="1"/>
    </xf>
    <xf borderId="14" fillId="8" fontId="13" numFmtId="0" xfId="0" applyAlignment="1" applyBorder="1" applyFont="1">
      <alignment shrinkToFit="0" vertical="bottom" wrapText="1"/>
    </xf>
    <xf borderId="4" fillId="0" fontId="13" numFmtId="0" xfId="0" applyAlignment="1" applyBorder="1" applyFont="1">
      <alignment horizontal="right" vertical="bottom"/>
    </xf>
    <xf borderId="2" fillId="8" fontId="13" numFmtId="166" xfId="0" applyAlignment="1" applyBorder="1" applyFont="1" applyNumberFormat="1">
      <alignment horizontal="right" vertical="bottom"/>
    </xf>
    <xf borderId="2" fillId="8" fontId="13" numFmtId="0" xfId="0" applyAlignment="1" applyBorder="1" applyFont="1">
      <alignment horizontal="right" vertical="bottom"/>
    </xf>
    <xf borderId="2" fillId="8" fontId="13" numFmtId="3" xfId="0" applyAlignment="1" applyBorder="1" applyFont="1" applyNumberFormat="1">
      <alignment horizontal="right" vertical="bottom"/>
    </xf>
    <xf borderId="11" fillId="4" fontId="2" numFmtId="164" xfId="0" applyAlignment="1" applyBorder="1" applyFont="1" applyNumberFormat="1">
      <alignment vertical="bottom"/>
    </xf>
    <xf borderId="14" fillId="9" fontId="13" numFmtId="0" xfId="0" applyAlignment="1" applyBorder="1" applyFill="1" applyFont="1">
      <alignment shrinkToFit="0" vertical="bottom" wrapText="1"/>
    </xf>
    <xf borderId="14" fillId="9" fontId="13" numFmtId="0" xfId="0" applyAlignment="1" applyBorder="1" applyFont="1">
      <alignment shrinkToFit="0" vertical="bottom" wrapText="1"/>
    </xf>
    <xf borderId="2" fillId="6" fontId="13" numFmtId="166" xfId="0" applyAlignment="1" applyBorder="1" applyFont="1" applyNumberFormat="1">
      <alignment horizontal="right" vertical="bottom"/>
    </xf>
    <xf borderId="2" fillId="6" fontId="13" numFmtId="0" xfId="0" applyAlignment="1" applyBorder="1" applyFont="1">
      <alignment horizontal="right" vertical="bottom"/>
    </xf>
    <xf borderId="2" fillId="6" fontId="13" numFmtId="3" xfId="0" applyAlignment="1" applyBorder="1" applyFont="1" applyNumberFormat="1">
      <alignment horizontal="right" vertical="bottom"/>
    </xf>
    <xf borderId="14" fillId="10" fontId="13" numFmtId="0" xfId="0" applyAlignment="1" applyBorder="1" applyFill="1" applyFont="1">
      <alignment shrinkToFit="0" vertical="bottom" wrapText="1"/>
    </xf>
    <xf borderId="14" fillId="10" fontId="13" numFmtId="0" xfId="0" applyAlignment="1" applyBorder="1" applyFont="1">
      <alignment shrinkToFit="0" vertical="bottom" wrapText="1"/>
    </xf>
    <xf borderId="4" fillId="11" fontId="13" numFmtId="166" xfId="0" applyAlignment="1" applyBorder="1" applyFill="1" applyFont="1" applyNumberFormat="1">
      <alignment horizontal="right" vertical="bottom"/>
    </xf>
    <xf borderId="4" fillId="11" fontId="13" numFmtId="3" xfId="0" applyAlignment="1" applyBorder="1" applyFont="1" applyNumberFormat="1">
      <alignment horizontal="right" vertical="bottom"/>
    </xf>
    <xf borderId="2" fillId="11" fontId="13" numFmtId="3" xfId="0" applyAlignment="1" applyBorder="1" applyFont="1" applyNumberFormat="1">
      <alignment horizontal="right" vertical="bottom"/>
    </xf>
    <xf borderId="14" fillId="12" fontId="13" numFmtId="0" xfId="0" applyAlignment="1" applyBorder="1" applyFill="1" applyFont="1">
      <alignment shrinkToFit="0" vertical="bottom" wrapText="1"/>
    </xf>
    <xf borderId="14" fillId="12" fontId="13" numFmtId="0" xfId="0" applyAlignment="1" applyBorder="1" applyFont="1">
      <alignment shrinkToFit="0" vertical="bottom" wrapText="1"/>
    </xf>
    <xf borderId="4" fillId="12" fontId="13" numFmtId="166" xfId="0" applyAlignment="1" applyBorder="1" applyFont="1" applyNumberFormat="1">
      <alignment horizontal="right" vertical="bottom"/>
    </xf>
    <xf borderId="4" fillId="12" fontId="13" numFmtId="3" xfId="0" applyAlignment="1" applyBorder="1" applyFont="1" applyNumberFormat="1">
      <alignment horizontal="right" vertical="bottom"/>
    </xf>
    <xf borderId="4" fillId="3" fontId="12" numFmtId="166" xfId="0" applyAlignment="1" applyBorder="1" applyFont="1" applyNumberFormat="1">
      <alignment horizontal="right" vertical="bottom"/>
    </xf>
    <xf borderId="4" fillId="3" fontId="12" numFmtId="0" xfId="0" applyAlignment="1" applyBorder="1" applyFont="1">
      <alignment horizontal="right" vertical="bottom"/>
    </xf>
    <xf borderId="4" fillId="3" fontId="16" numFmtId="2" xfId="0" applyAlignment="1" applyBorder="1" applyFont="1" applyNumberFormat="1">
      <alignment horizontal="right" vertical="bottom"/>
    </xf>
    <xf borderId="2" fillId="3" fontId="12" numFmtId="166" xfId="0" applyAlignment="1" applyBorder="1" applyFont="1" applyNumberFormat="1">
      <alignment horizontal="right" vertical="bottom"/>
    </xf>
    <xf borderId="4" fillId="3" fontId="12" numFmtId="3" xfId="0" applyAlignment="1" applyBorder="1" applyFont="1" applyNumberFormat="1">
      <alignment horizontal="right" vertical="bottom"/>
    </xf>
    <xf borderId="4" fillId="3" fontId="12" numFmtId="10" xfId="0" applyAlignment="1" applyBorder="1" applyFont="1" applyNumberFormat="1">
      <alignment horizontal="right" vertical="bottom"/>
    </xf>
    <xf borderId="4" fillId="3" fontId="12" numFmtId="0" xfId="0" applyAlignment="1" applyBorder="1" applyFont="1">
      <alignment horizontal="right" vertical="bottom"/>
    </xf>
    <xf borderId="4" fillId="3" fontId="16" numFmtId="3" xfId="0" applyAlignment="1" applyBorder="1" applyFont="1" applyNumberFormat="1">
      <alignment horizontal="right" vertical="bottom"/>
    </xf>
    <xf borderId="4" fillId="3" fontId="12" numFmtId="4" xfId="0" applyAlignment="1" applyBorder="1" applyFont="1" applyNumberFormat="1">
      <alignment horizontal="right" vertical="bottom"/>
    </xf>
    <xf borderId="4" fillId="3" fontId="13" numFmtId="10" xfId="0" applyAlignment="1" applyBorder="1" applyFont="1" applyNumberFormat="1">
      <alignment horizontal="right" vertical="bottom"/>
    </xf>
    <xf borderId="4" fillId="3" fontId="12" numFmtId="164" xfId="0" applyAlignment="1" applyBorder="1" applyFont="1" applyNumberFormat="1">
      <alignment vertical="bottom"/>
    </xf>
    <xf borderId="4" fillId="0" fontId="13" numFmtId="2" xfId="0" applyAlignment="1" applyBorder="1" applyFont="1" applyNumberFormat="1">
      <alignment horizontal="center" vertical="bottom"/>
    </xf>
    <xf borderId="4" fillId="0" fontId="13" numFmtId="166" xfId="0" applyAlignment="1" applyBorder="1" applyFont="1" applyNumberFormat="1">
      <alignment horizontal="center" vertical="bottom"/>
    </xf>
    <xf borderId="4" fillId="0" fontId="13" numFmtId="10" xfId="0" applyAlignment="1" applyBorder="1" applyFont="1" applyNumberFormat="1">
      <alignment horizontal="center" vertical="bottom"/>
    </xf>
    <xf borderId="11" fillId="5" fontId="13" numFmtId="166" xfId="0" applyAlignment="1" applyBorder="1" applyFont="1" applyNumberFormat="1">
      <alignment horizontal="right" readingOrder="0" vertical="bottom"/>
    </xf>
    <xf borderId="11" fillId="5" fontId="13" numFmtId="0" xfId="0" applyAlignment="1" applyBorder="1" applyFont="1">
      <alignment horizontal="right" readingOrder="0" vertical="bottom"/>
    </xf>
    <xf borderId="11" fillId="5" fontId="13" numFmtId="3" xfId="0" applyAlignment="1" applyBorder="1" applyFont="1" applyNumberFormat="1">
      <alignment horizontal="right" readingOrder="0" vertical="bottom"/>
    </xf>
    <xf borderId="2" fillId="0" fontId="13" numFmtId="166" xfId="0" applyAlignment="1" applyBorder="1" applyFont="1" applyNumberFormat="1">
      <alignment horizontal="right" readingOrder="0" vertical="bottom"/>
    </xf>
    <xf borderId="2" fillId="0" fontId="13" numFmtId="0" xfId="0" applyAlignment="1" applyBorder="1" applyFont="1">
      <alignment horizontal="right" readingOrder="0" vertical="bottom"/>
    </xf>
    <xf borderId="4" fillId="0" fontId="13" numFmtId="3" xfId="0" applyAlignment="1" applyBorder="1" applyFont="1" applyNumberFormat="1">
      <alignment horizontal="right" readingOrder="0" vertical="bottom"/>
    </xf>
    <xf borderId="11" fillId="7" fontId="13" numFmtId="166" xfId="0" applyAlignment="1" applyBorder="1" applyFont="1" applyNumberFormat="1">
      <alignment horizontal="right" readingOrder="0" vertical="bottom"/>
    </xf>
    <xf borderId="11" fillId="7" fontId="13" numFmtId="3" xfId="0" applyAlignment="1" applyBorder="1" applyFont="1" applyNumberFormat="1">
      <alignment horizontal="right" readingOrder="0" vertical="bottom"/>
    </xf>
    <xf borderId="4" fillId="0" fontId="13" numFmtId="166" xfId="0" applyAlignment="1" applyBorder="1" applyFont="1" applyNumberFormat="1">
      <alignment horizontal="right" readingOrder="0" vertical="bottom"/>
    </xf>
    <xf borderId="4" fillId="0" fontId="13" numFmtId="0" xfId="0" applyAlignment="1" applyBorder="1" applyFont="1">
      <alignment horizontal="right" readingOrder="0" vertical="bottom"/>
    </xf>
    <xf borderId="2" fillId="8" fontId="13" numFmtId="166" xfId="0" applyAlignment="1" applyBorder="1" applyFont="1" applyNumberFormat="1">
      <alignment horizontal="right" readingOrder="0" vertical="bottom"/>
    </xf>
    <xf borderId="2" fillId="8" fontId="13" numFmtId="0" xfId="0" applyAlignment="1" applyBorder="1" applyFont="1">
      <alignment horizontal="right" readingOrder="0" vertical="bottom"/>
    </xf>
    <xf borderId="2" fillId="8" fontId="13" numFmtId="3" xfId="0" applyAlignment="1" applyBorder="1" applyFont="1" applyNumberFormat="1">
      <alignment horizontal="right" readingOrder="0" vertical="bottom"/>
    </xf>
    <xf borderId="2" fillId="6" fontId="13" numFmtId="166" xfId="0" applyAlignment="1" applyBorder="1" applyFont="1" applyNumberFormat="1">
      <alignment horizontal="right" readingOrder="0" vertical="bottom"/>
    </xf>
    <xf borderId="2" fillId="6" fontId="13" numFmtId="0" xfId="0" applyAlignment="1" applyBorder="1" applyFont="1">
      <alignment horizontal="right" readingOrder="0" vertical="bottom"/>
    </xf>
    <xf borderId="2" fillId="6" fontId="13" numFmtId="3" xfId="0" applyAlignment="1" applyBorder="1" applyFont="1" applyNumberFormat="1">
      <alignment horizontal="right" readingOrder="0" vertical="bottom"/>
    </xf>
    <xf borderId="4" fillId="11" fontId="13" numFmtId="166" xfId="0" applyAlignment="1" applyBorder="1" applyFont="1" applyNumberFormat="1">
      <alignment horizontal="right" readingOrder="0" vertical="bottom"/>
    </xf>
    <xf borderId="4" fillId="11" fontId="13" numFmtId="3" xfId="0" applyAlignment="1" applyBorder="1" applyFont="1" applyNumberFormat="1">
      <alignment horizontal="right" readingOrder="0" vertical="bottom"/>
    </xf>
    <xf borderId="2" fillId="11" fontId="13" numFmtId="3" xfId="0" applyAlignment="1" applyBorder="1" applyFont="1" applyNumberFormat="1">
      <alignment horizontal="right" readingOrder="0" vertical="bottom"/>
    </xf>
    <xf borderId="4" fillId="12" fontId="13" numFmtId="166" xfId="0" applyAlignment="1" applyBorder="1" applyFont="1" applyNumberFormat="1">
      <alignment horizontal="right" readingOrder="0" vertical="bottom"/>
    </xf>
    <xf borderId="4" fillId="12" fontId="13" numFmtId="3" xfId="0" applyAlignment="1" applyBorder="1" applyFont="1" applyNumberFormat="1">
      <alignment horizontal="right" readingOrder="0" vertical="bottom"/>
    </xf>
    <xf borderId="4" fillId="3" fontId="2" numFmtId="10" xfId="0" applyAlignment="1" applyBorder="1" applyFont="1" applyNumberFormat="1">
      <alignment horizontal="right" vertical="bottom"/>
    </xf>
    <xf borderId="8" fillId="3" fontId="2" numFmtId="10" xfId="0" applyAlignment="1" applyBorder="1" applyFont="1" applyNumberFormat="1">
      <alignment horizontal="right" vertical="bottom"/>
    </xf>
    <xf borderId="2" fillId="0" fontId="13" numFmtId="164" xfId="0" applyAlignment="1" applyBorder="1" applyFont="1" applyNumberFormat="1">
      <alignment readingOrder="0" vertical="bottom"/>
    </xf>
    <xf borderId="11" fillId="5" fontId="10" numFmtId="0" xfId="0" applyAlignment="1" applyBorder="1" applyFont="1">
      <alignment readingOrder="0" shrinkToFit="0" vertical="bottom" wrapText="1"/>
    </xf>
    <xf borderId="11" fillId="5" fontId="13" numFmtId="166" xfId="0" applyAlignment="1" applyBorder="1" applyFont="1" applyNumberFormat="1">
      <alignment readingOrder="0" vertical="bottom"/>
    </xf>
    <xf borderId="11" fillId="5" fontId="13" numFmtId="0" xfId="0" applyAlignment="1" applyBorder="1" applyFont="1">
      <alignment readingOrder="0" vertical="bottom"/>
    </xf>
    <xf borderId="11" fillId="5" fontId="13" numFmtId="3" xfId="0" applyAlignment="1" applyBorder="1" applyFont="1" applyNumberFormat="1">
      <alignment readingOrder="0" vertical="bottom"/>
    </xf>
    <xf borderId="11" fillId="7" fontId="13" numFmtId="0" xfId="0" applyAlignment="1" applyBorder="1" applyFont="1">
      <alignment readingOrder="0" shrinkToFit="0" vertical="bottom" wrapText="1"/>
    </xf>
    <xf borderId="2" fillId="0" fontId="13" numFmtId="166" xfId="0" applyAlignment="1" applyBorder="1" applyFont="1" applyNumberFormat="1">
      <alignment readingOrder="0" vertical="bottom"/>
    </xf>
    <xf borderId="2" fillId="0" fontId="13" numFmtId="0" xfId="0" applyAlignment="1" applyBorder="1" applyFont="1">
      <alignment readingOrder="0" vertical="bottom"/>
    </xf>
    <xf borderId="4" fillId="0" fontId="13" numFmtId="166" xfId="0" applyAlignment="1" applyBorder="1" applyFont="1" applyNumberFormat="1">
      <alignment readingOrder="0" vertical="bottom"/>
    </xf>
    <xf borderId="4" fillId="0" fontId="13" numFmtId="3" xfId="0" applyAlignment="1" applyBorder="1" applyFont="1" applyNumberFormat="1">
      <alignment readingOrder="0" vertical="bottom"/>
    </xf>
    <xf borderId="11" fillId="7" fontId="13" numFmtId="166" xfId="0" applyAlignment="1" applyBorder="1" applyFont="1" applyNumberFormat="1">
      <alignment readingOrder="0" vertical="bottom"/>
    </xf>
    <xf borderId="11" fillId="7" fontId="13" numFmtId="0" xfId="0" applyAlignment="1" applyBorder="1" applyFont="1">
      <alignment readingOrder="0" vertical="bottom"/>
    </xf>
    <xf borderId="11" fillId="7" fontId="13" numFmtId="3" xfId="0" applyAlignment="1" applyBorder="1" applyFont="1" applyNumberFormat="1">
      <alignment readingOrder="0" vertical="bottom"/>
    </xf>
    <xf borderId="14" fillId="8" fontId="13" numFmtId="0" xfId="0" applyAlignment="1" applyBorder="1" applyFont="1">
      <alignment readingOrder="0" shrinkToFit="0" vertical="bottom" wrapText="1"/>
    </xf>
    <xf borderId="4" fillId="0" fontId="13" numFmtId="0" xfId="0" applyAlignment="1" applyBorder="1" applyFont="1">
      <alignment readingOrder="0" vertical="bottom"/>
    </xf>
    <xf borderId="2" fillId="8" fontId="13" numFmtId="166" xfId="0" applyAlignment="1" applyBorder="1" applyFont="1" applyNumberFormat="1">
      <alignment readingOrder="0" vertical="bottom"/>
    </xf>
    <xf borderId="2" fillId="8" fontId="13" numFmtId="0" xfId="0" applyAlignment="1" applyBorder="1" applyFont="1">
      <alignment readingOrder="0" vertical="bottom"/>
    </xf>
    <xf borderId="2" fillId="8" fontId="13" numFmtId="3" xfId="0" applyAlignment="1" applyBorder="1" applyFont="1" applyNumberFormat="1">
      <alignment readingOrder="0" vertical="bottom"/>
    </xf>
    <xf borderId="14" fillId="9" fontId="13" numFmtId="0" xfId="0" applyAlignment="1" applyBorder="1" applyFont="1">
      <alignment readingOrder="0" shrinkToFit="0" vertical="bottom" wrapText="1"/>
    </xf>
    <xf borderId="2" fillId="6" fontId="13" numFmtId="166" xfId="0" applyAlignment="1" applyBorder="1" applyFont="1" applyNumberFormat="1">
      <alignment readingOrder="0" vertical="bottom"/>
    </xf>
    <xf borderId="2" fillId="6" fontId="13" numFmtId="0" xfId="0" applyAlignment="1" applyBorder="1" applyFont="1">
      <alignment readingOrder="0" vertical="bottom"/>
    </xf>
    <xf borderId="2" fillId="6" fontId="13" numFmtId="3" xfId="0" applyAlignment="1" applyBorder="1" applyFont="1" applyNumberFormat="1">
      <alignment readingOrder="0" vertical="bottom"/>
    </xf>
    <xf borderId="14" fillId="10" fontId="13" numFmtId="0" xfId="0" applyAlignment="1" applyBorder="1" applyFont="1">
      <alignment readingOrder="0" shrinkToFit="0" vertical="bottom" wrapText="1"/>
    </xf>
    <xf borderId="4" fillId="11" fontId="13" numFmtId="166" xfId="0" applyAlignment="1" applyBorder="1" applyFont="1" applyNumberFormat="1">
      <alignment readingOrder="0" vertical="bottom"/>
    </xf>
    <xf borderId="4" fillId="11" fontId="13" numFmtId="3" xfId="0" applyAlignment="1" applyBorder="1" applyFont="1" applyNumberFormat="1">
      <alignment readingOrder="0" vertical="bottom"/>
    </xf>
    <xf borderId="2" fillId="11" fontId="13" numFmtId="3" xfId="0" applyAlignment="1" applyBorder="1" applyFont="1" applyNumberFormat="1">
      <alignment readingOrder="0" vertical="bottom"/>
    </xf>
    <xf borderId="14" fillId="12" fontId="13" numFmtId="0" xfId="0" applyAlignment="1" applyBorder="1" applyFont="1">
      <alignment readingOrder="0" shrinkToFit="0" vertical="bottom" wrapText="1"/>
    </xf>
    <xf borderId="4" fillId="12" fontId="13" numFmtId="166" xfId="0" applyAlignment="1" applyBorder="1" applyFont="1" applyNumberFormat="1">
      <alignment readingOrder="0" vertical="bottom"/>
    </xf>
    <xf borderId="4" fillId="12" fontId="13" numFmtId="3" xfId="0" applyAlignment="1" applyBorder="1" applyFont="1" applyNumberFormat="1">
      <alignment readingOrder="0" vertical="bottom"/>
    </xf>
    <xf borderId="4" fillId="3" fontId="12" numFmtId="0" xfId="0" applyAlignment="1" applyBorder="1" applyFont="1">
      <alignment vertical="bottom"/>
    </xf>
    <xf borderId="4" fillId="3" fontId="16" numFmtId="2" xfId="0" applyAlignment="1" applyBorder="1" applyFont="1" applyNumberFormat="1">
      <alignment vertical="bottom"/>
    </xf>
    <xf borderId="4" fillId="3" fontId="16" numFmtId="3" xfId="0" applyAlignment="1" applyBorder="1" applyFont="1" applyNumberFormat="1">
      <alignment vertical="bottom"/>
    </xf>
    <xf borderId="4" fillId="3" fontId="12" numFmtId="4" xfId="0" applyAlignment="1" applyBorder="1" applyFont="1" applyNumberFormat="1">
      <alignment vertical="bottom"/>
    </xf>
    <xf borderId="2" fillId="3" fontId="12" numFmtId="2" xfId="0" applyAlignment="1" applyBorder="1" applyFont="1" applyNumberFormat="1">
      <alignment horizontal="left" vertical="bottom"/>
    </xf>
    <xf borderId="2" fillId="3" fontId="12" numFmtId="166" xfId="0" applyAlignment="1" applyBorder="1" applyFont="1" applyNumberFormat="1">
      <alignment horizontal="left" vertical="bottom"/>
    </xf>
    <xf borderId="4" fillId="3" fontId="12" numFmtId="0" xfId="0" applyAlignment="1" applyBorder="1" applyFont="1">
      <alignment horizontal="left" vertical="bottom"/>
    </xf>
    <xf borderId="4" fillId="3" fontId="2" numFmtId="4" xfId="0" applyAlignment="1" applyBorder="1" applyFont="1" applyNumberFormat="1">
      <alignment horizontal="left" vertical="bottom"/>
    </xf>
    <xf borderId="4" fillId="3" fontId="12" numFmtId="10" xfId="0" applyAlignment="1" applyBorder="1" applyFont="1" applyNumberFormat="1">
      <alignment horizontal="center" vertical="bottom"/>
    </xf>
    <xf borderId="4" fillId="3" fontId="12" numFmtId="4" xfId="0" applyAlignment="1" applyBorder="1" applyFont="1" applyNumberFormat="1">
      <alignment horizontal="center" vertical="bottom"/>
    </xf>
    <xf borderId="4" fillId="12" fontId="2" numFmtId="166" xfId="0" applyAlignment="1" applyBorder="1" applyFont="1" applyNumberFormat="1">
      <alignment vertical="bottom"/>
    </xf>
    <xf borderId="4" fillId="12" fontId="2" numFmtId="3" xfId="0" applyAlignment="1" applyBorder="1" applyFont="1" applyNumberFormat="1">
      <alignment vertical="bottom"/>
    </xf>
    <xf borderId="4" fillId="6" fontId="13" numFmtId="166" xfId="0" applyAlignment="1" applyBorder="1" applyFont="1" applyNumberFormat="1">
      <alignment horizontal="left" vertical="bottom"/>
    </xf>
    <xf borderId="4" fillId="11" fontId="13" numFmtId="0" xfId="0" applyAlignment="1" applyBorder="1" applyFont="1">
      <alignment readingOrder="0" vertical="bottom"/>
    </xf>
    <xf borderId="4" fillId="11" fontId="13" numFmtId="0" xfId="0" applyAlignment="1" applyBorder="1" applyFont="1">
      <alignment horizontal="righ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ellercentral.amazon.com/business-reports/ref=xx_sitemetric_dnav_xx"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sellercentral.amazon.com/business-reports/ref=xx_sitemetric_dnav_xx"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sellercentral.amazon.com/business-reports/ref=xx_sitemetric_dnav_xx"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sellercentral.amazon.com/business-reports/ref=xx_sitemetric_dnav_xx" TargetMode="External"/><Relationship Id="rId2"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sellercentral.amazon.com/business-reports/ref=xx_sitemetric_dnav_xx"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sellercentral.amazon.com/business-reports/ref=xx_sitemetric_dnav_xx"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ellercentral.amazon.com/business-reports/ref=xx_sitemetric_dnav_xx" TargetMode="External"/><Relationship Id="rId2"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2"/>
      <c r="C1" s="2"/>
      <c r="D1" s="2"/>
      <c r="E1" s="2"/>
      <c r="F1" s="2"/>
      <c r="G1" s="2"/>
      <c r="H1" s="2"/>
      <c r="I1" s="2"/>
      <c r="J1" s="2"/>
      <c r="K1" s="2"/>
      <c r="L1" s="2"/>
      <c r="M1" s="2"/>
      <c r="N1" s="2"/>
      <c r="O1" s="2"/>
      <c r="P1" s="2"/>
      <c r="Q1" s="2"/>
      <c r="R1" s="2"/>
      <c r="S1" s="2"/>
      <c r="T1" s="2"/>
      <c r="U1" s="2"/>
      <c r="V1" s="2"/>
      <c r="W1" s="2"/>
      <c r="X1" s="2"/>
      <c r="Y1" s="2"/>
      <c r="Z1" s="2"/>
    </row>
    <row r="2">
      <c r="A2" s="2" t="s">
        <v>1</v>
      </c>
      <c r="B2" s="2"/>
      <c r="C2" s="2"/>
      <c r="D2" s="2"/>
      <c r="E2" s="2"/>
      <c r="F2" s="2"/>
      <c r="G2" s="2"/>
      <c r="H2" s="2"/>
      <c r="I2" s="2"/>
      <c r="J2" s="2"/>
      <c r="K2" s="2"/>
      <c r="L2" s="2"/>
      <c r="M2" s="2"/>
      <c r="N2" s="2"/>
      <c r="O2" s="2"/>
      <c r="P2" s="2"/>
      <c r="Q2" s="2"/>
      <c r="R2" s="2"/>
      <c r="S2" s="2"/>
      <c r="T2" s="2"/>
      <c r="U2" s="2"/>
      <c r="V2" s="2"/>
      <c r="W2" s="2"/>
      <c r="X2" s="2"/>
      <c r="Y2" s="2"/>
      <c r="Z2" s="2"/>
    </row>
    <row r="3">
      <c r="A3" s="2" t="s">
        <v>2</v>
      </c>
      <c r="B3" s="2"/>
      <c r="C3" s="2"/>
      <c r="D3" s="2"/>
      <c r="E3" s="2"/>
      <c r="F3" s="2"/>
      <c r="G3" s="2"/>
      <c r="H3" s="2"/>
      <c r="I3" s="2"/>
      <c r="J3" s="2"/>
      <c r="K3" s="2"/>
      <c r="L3" s="2"/>
      <c r="M3" s="2"/>
      <c r="N3" s="2"/>
      <c r="O3" s="2"/>
      <c r="P3" s="2"/>
      <c r="Q3" s="2"/>
      <c r="R3" s="2"/>
      <c r="S3" s="2"/>
      <c r="T3" s="2"/>
      <c r="U3" s="2"/>
      <c r="V3" s="2"/>
      <c r="W3" s="2"/>
      <c r="X3" s="2"/>
      <c r="Y3" s="2"/>
      <c r="Z3" s="2"/>
    </row>
    <row r="4">
      <c r="A4" s="2" t="s">
        <v>3</v>
      </c>
      <c r="B4" s="2"/>
      <c r="C4" s="2"/>
      <c r="D4" s="2"/>
      <c r="E4" s="2"/>
      <c r="F4" s="2"/>
      <c r="G4" s="2"/>
      <c r="H4" s="2"/>
      <c r="I4" s="2"/>
      <c r="J4" s="2"/>
      <c r="K4" s="2"/>
      <c r="L4" s="2"/>
      <c r="M4" s="2"/>
      <c r="N4" s="2"/>
      <c r="O4" s="2"/>
      <c r="P4" s="2"/>
      <c r="Q4" s="2"/>
      <c r="R4" s="2"/>
      <c r="S4" s="2"/>
      <c r="T4" s="2"/>
      <c r="U4" s="2"/>
      <c r="V4" s="2"/>
      <c r="W4" s="2"/>
      <c r="X4" s="2"/>
      <c r="Y4" s="2"/>
      <c r="Z4" s="2"/>
    </row>
    <row r="5">
      <c r="A5" s="2" t="s">
        <v>4</v>
      </c>
      <c r="B5" s="2"/>
      <c r="C5" s="2"/>
      <c r="D5" s="2"/>
      <c r="E5" s="2"/>
      <c r="F5" s="2"/>
      <c r="G5" s="2"/>
      <c r="H5" s="2"/>
      <c r="I5" s="2"/>
      <c r="J5" s="2"/>
      <c r="K5" s="2"/>
      <c r="L5" s="2"/>
      <c r="M5" s="2"/>
      <c r="N5" s="2"/>
      <c r="O5" s="2"/>
      <c r="P5" s="2"/>
      <c r="Q5" s="2"/>
      <c r="R5" s="2"/>
      <c r="S5" s="2"/>
      <c r="T5" s="2"/>
      <c r="U5" s="2"/>
      <c r="V5" s="2"/>
      <c r="W5" s="2"/>
      <c r="X5" s="2"/>
      <c r="Y5" s="2"/>
      <c r="Z5" s="2"/>
    </row>
    <row r="6">
      <c r="A6" s="2"/>
      <c r="B6" s="2"/>
      <c r="C6" s="2"/>
      <c r="D6" s="2"/>
      <c r="E6" s="2"/>
      <c r="F6" s="2"/>
      <c r="G6" s="2"/>
      <c r="H6" s="2"/>
      <c r="I6" s="2"/>
      <c r="J6" s="2"/>
      <c r="K6" s="2"/>
      <c r="L6" s="2"/>
      <c r="M6" s="2"/>
      <c r="N6" s="2"/>
      <c r="O6" s="2"/>
      <c r="P6" s="2"/>
      <c r="Q6" s="2"/>
      <c r="R6" s="2"/>
      <c r="S6" s="2"/>
      <c r="T6" s="2"/>
      <c r="U6" s="2"/>
      <c r="V6" s="2"/>
      <c r="W6" s="2"/>
      <c r="X6" s="2"/>
      <c r="Y6" s="2"/>
      <c r="Z6" s="2"/>
    </row>
    <row r="7">
      <c r="A7" s="2"/>
      <c r="B7" s="2"/>
      <c r="C7" s="2"/>
      <c r="D7" s="2"/>
      <c r="E7" s="2"/>
      <c r="F7" s="2"/>
      <c r="G7" s="2"/>
      <c r="H7" s="2"/>
      <c r="I7" s="2"/>
      <c r="J7" s="2"/>
      <c r="K7" s="2"/>
      <c r="L7" s="2"/>
      <c r="M7" s="2"/>
      <c r="N7" s="2"/>
      <c r="O7" s="2"/>
      <c r="P7" s="2"/>
      <c r="Q7" s="2"/>
      <c r="R7" s="2"/>
      <c r="S7" s="2"/>
      <c r="T7" s="2"/>
      <c r="U7" s="2"/>
      <c r="V7" s="2"/>
      <c r="W7" s="2"/>
      <c r="X7" s="2"/>
      <c r="Y7" s="2"/>
      <c r="Z7" s="2"/>
    </row>
    <row r="8">
      <c r="A8" s="2"/>
      <c r="B8" s="2"/>
      <c r="C8" s="2"/>
      <c r="D8" s="2"/>
      <c r="E8" s="2"/>
      <c r="F8" s="2"/>
      <c r="G8" s="2"/>
      <c r="H8" s="2"/>
      <c r="I8" s="2"/>
      <c r="J8" s="2"/>
      <c r="K8" s="2"/>
      <c r="L8" s="2"/>
      <c r="M8" s="2"/>
      <c r="N8" s="2"/>
      <c r="O8" s="2"/>
      <c r="P8" s="2"/>
      <c r="Q8" s="2"/>
      <c r="R8" s="2"/>
      <c r="S8" s="2"/>
      <c r="T8" s="2"/>
      <c r="U8" s="2"/>
      <c r="V8" s="2"/>
      <c r="W8" s="2"/>
      <c r="X8" s="2"/>
      <c r="Y8" s="2"/>
      <c r="Z8" s="2"/>
    </row>
    <row r="9">
      <c r="A9" s="2"/>
      <c r="B9" s="2"/>
      <c r="C9" s="2"/>
      <c r="D9" s="2"/>
      <c r="E9" s="2"/>
      <c r="F9" s="2"/>
      <c r="G9" s="2"/>
      <c r="H9" s="2"/>
      <c r="I9" s="2"/>
      <c r="J9" s="2"/>
      <c r="K9" s="2"/>
      <c r="L9" s="2"/>
      <c r="M9" s="2"/>
      <c r="N9" s="2"/>
      <c r="O9" s="2"/>
      <c r="P9" s="2"/>
      <c r="Q9" s="2"/>
      <c r="R9" s="2"/>
      <c r="S9" s="2"/>
      <c r="T9" s="2"/>
      <c r="U9" s="2"/>
      <c r="V9" s="2"/>
      <c r="W9" s="2"/>
      <c r="X9" s="2"/>
      <c r="Y9" s="2"/>
      <c r="Z9" s="2"/>
    </row>
    <row r="10">
      <c r="A10" s="2"/>
      <c r="B10" s="2"/>
      <c r="C10" s="2"/>
      <c r="D10" s="2"/>
      <c r="E10" s="2"/>
      <c r="F10" s="2"/>
      <c r="G10" s="2"/>
      <c r="H10" s="2"/>
      <c r="I10" s="2"/>
      <c r="J10" s="2"/>
      <c r="K10" s="2"/>
      <c r="L10" s="2"/>
      <c r="M10" s="2"/>
      <c r="N10" s="2"/>
      <c r="O10" s="2"/>
      <c r="P10" s="2"/>
      <c r="Q10" s="2"/>
      <c r="R10" s="2"/>
      <c r="S10" s="2"/>
      <c r="T10" s="2"/>
      <c r="U10" s="2"/>
      <c r="V10" s="2"/>
      <c r="W10" s="2"/>
      <c r="X10" s="2"/>
      <c r="Y10" s="2"/>
      <c r="Z10" s="2"/>
    </row>
    <row r="11">
      <c r="A11" s="2"/>
      <c r="B11" s="2"/>
      <c r="C11" s="2"/>
      <c r="D11" s="2"/>
      <c r="E11" s="2"/>
      <c r="F11" s="2"/>
      <c r="G11" s="2"/>
      <c r="H11" s="2"/>
      <c r="I11" s="2"/>
      <c r="J11" s="2"/>
      <c r="K11" s="2"/>
      <c r="L11" s="2"/>
      <c r="M11" s="2"/>
      <c r="N11" s="2"/>
      <c r="O11" s="2"/>
      <c r="P11" s="2"/>
      <c r="Q11" s="2"/>
      <c r="R11" s="2"/>
      <c r="S11" s="2"/>
      <c r="T11" s="2"/>
      <c r="U11" s="2"/>
      <c r="V11" s="2"/>
      <c r="W11" s="2"/>
      <c r="X11" s="2"/>
      <c r="Y11" s="2"/>
      <c r="Z11" s="2"/>
    </row>
    <row r="12">
      <c r="A12" s="2"/>
      <c r="B12" s="2"/>
      <c r="C12" s="2"/>
      <c r="D12" s="2"/>
      <c r="E12" s="2"/>
      <c r="F12" s="2"/>
      <c r="G12" s="2"/>
      <c r="H12" s="2"/>
      <c r="I12" s="2"/>
      <c r="J12" s="2"/>
      <c r="K12" s="2"/>
      <c r="L12" s="2"/>
      <c r="M12" s="2"/>
      <c r="N12" s="2"/>
      <c r="O12" s="2"/>
      <c r="P12" s="2"/>
      <c r="Q12" s="2"/>
      <c r="R12" s="2"/>
      <c r="S12" s="2"/>
      <c r="T12" s="2"/>
      <c r="U12" s="2"/>
      <c r="V12" s="2"/>
      <c r="W12" s="2"/>
      <c r="X12" s="2"/>
      <c r="Y12" s="2"/>
      <c r="Z12" s="2"/>
    </row>
    <row r="13">
      <c r="A13" s="2"/>
      <c r="B13" s="2"/>
      <c r="C13" s="2"/>
      <c r="D13" s="2"/>
      <c r="E13" s="2"/>
      <c r="F13" s="2"/>
      <c r="G13" s="2"/>
      <c r="H13" s="2"/>
      <c r="I13" s="2"/>
      <c r="J13" s="2"/>
      <c r="K13" s="2"/>
      <c r="L13" s="2"/>
      <c r="M13" s="2"/>
      <c r="N13" s="2"/>
      <c r="O13" s="2"/>
      <c r="P13" s="2"/>
      <c r="Q13" s="2"/>
      <c r="R13" s="2"/>
      <c r="S13" s="2"/>
      <c r="T13" s="2"/>
      <c r="U13" s="2"/>
      <c r="V13" s="2"/>
      <c r="W13" s="2"/>
      <c r="X13" s="2"/>
      <c r="Y13" s="2"/>
      <c r="Z13" s="2"/>
    </row>
    <row r="14">
      <c r="A14" s="2"/>
      <c r="B14" s="2"/>
      <c r="C14" s="2"/>
      <c r="D14" s="2"/>
      <c r="E14" s="2"/>
      <c r="F14" s="2"/>
      <c r="G14" s="2"/>
      <c r="H14" s="2"/>
      <c r="I14" s="2"/>
      <c r="J14" s="2"/>
      <c r="K14" s="2"/>
      <c r="L14" s="2"/>
      <c r="M14" s="2"/>
      <c r="N14" s="2"/>
      <c r="O14" s="2"/>
      <c r="P14" s="2"/>
      <c r="Q14" s="2"/>
      <c r="R14" s="2"/>
      <c r="S14" s="2"/>
      <c r="T14" s="2"/>
      <c r="U14" s="2"/>
      <c r="V14" s="2"/>
      <c r="W14" s="2"/>
      <c r="X14" s="2"/>
      <c r="Y14" s="2"/>
      <c r="Z14" s="2"/>
    </row>
    <row r="15">
      <c r="A15" s="2"/>
      <c r="B15" s="2"/>
      <c r="C15" s="2"/>
      <c r="D15" s="2"/>
      <c r="E15" s="2"/>
      <c r="F15" s="2"/>
      <c r="G15" s="2"/>
      <c r="H15" s="2"/>
      <c r="I15" s="2"/>
      <c r="J15" s="2"/>
      <c r="K15" s="2"/>
      <c r="L15" s="2"/>
      <c r="M15" s="2"/>
      <c r="N15" s="2"/>
      <c r="O15" s="2"/>
      <c r="P15" s="2"/>
      <c r="Q15" s="2"/>
      <c r="R15" s="2"/>
      <c r="S15" s="2"/>
      <c r="T15" s="2"/>
      <c r="U15" s="2"/>
      <c r="V15" s="2"/>
      <c r="W15" s="2"/>
      <c r="X15" s="2"/>
      <c r="Y15" s="2"/>
      <c r="Z15" s="2"/>
    </row>
    <row r="16">
      <c r="A16" s="2"/>
      <c r="B16" s="2"/>
      <c r="C16" s="2"/>
      <c r="D16" s="2"/>
      <c r="E16" s="2"/>
      <c r="F16" s="2"/>
      <c r="G16" s="2"/>
      <c r="H16" s="2"/>
      <c r="I16" s="2"/>
      <c r="J16" s="2"/>
      <c r="K16" s="2"/>
      <c r="L16" s="2"/>
      <c r="M16" s="2"/>
      <c r="N16" s="2"/>
      <c r="O16" s="2"/>
      <c r="P16" s="2"/>
      <c r="Q16" s="2"/>
      <c r="R16" s="2"/>
      <c r="S16" s="2"/>
      <c r="T16" s="2"/>
      <c r="U16" s="2"/>
      <c r="V16" s="2"/>
      <c r="W16" s="2"/>
      <c r="X16" s="2"/>
      <c r="Y16" s="2"/>
      <c r="Z16" s="2"/>
    </row>
    <row r="17">
      <c r="A17" s="2"/>
      <c r="B17" s="2"/>
      <c r="C17" s="2"/>
      <c r="D17" s="2"/>
      <c r="E17" s="2"/>
      <c r="F17" s="2"/>
      <c r="G17" s="2"/>
      <c r="H17" s="2"/>
      <c r="I17" s="2"/>
      <c r="J17" s="2"/>
      <c r="K17" s="2"/>
      <c r="L17" s="2"/>
      <c r="M17" s="2"/>
      <c r="N17" s="2"/>
      <c r="O17" s="2"/>
      <c r="P17" s="2"/>
      <c r="Q17" s="2"/>
      <c r="R17" s="2"/>
      <c r="S17" s="2"/>
      <c r="T17" s="2"/>
      <c r="U17" s="2"/>
      <c r="V17" s="2"/>
      <c r="W17" s="2"/>
      <c r="X17" s="2"/>
      <c r="Y17" s="2"/>
      <c r="Z17" s="2"/>
    </row>
    <row r="18">
      <c r="A18" s="2"/>
      <c r="B18" s="2"/>
      <c r="C18" s="2"/>
      <c r="D18" s="2"/>
      <c r="E18" s="2"/>
      <c r="F18" s="2"/>
      <c r="G18" s="2"/>
      <c r="H18" s="2"/>
      <c r="I18" s="2"/>
      <c r="J18" s="2"/>
      <c r="K18" s="2"/>
      <c r="L18" s="2"/>
      <c r="M18" s="2"/>
      <c r="N18" s="2"/>
      <c r="O18" s="2"/>
      <c r="P18" s="2"/>
      <c r="Q18" s="2"/>
      <c r="R18" s="2"/>
      <c r="S18" s="2"/>
      <c r="T18" s="2"/>
      <c r="U18" s="2"/>
      <c r="V18" s="2"/>
      <c r="W18" s="2"/>
      <c r="X18" s="2"/>
      <c r="Y18" s="2"/>
      <c r="Z18" s="2"/>
    </row>
    <row r="19">
      <c r="A19" s="2"/>
      <c r="B19" s="2"/>
      <c r="C19" s="2"/>
      <c r="D19" s="2"/>
      <c r="E19" s="2"/>
      <c r="F19" s="2"/>
      <c r="G19" s="2"/>
      <c r="H19" s="2"/>
      <c r="I19" s="2"/>
      <c r="J19" s="2"/>
      <c r="K19" s="2"/>
      <c r="L19" s="2"/>
      <c r="M19" s="2"/>
      <c r="N19" s="2"/>
      <c r="O19" s="2"/>
      <c r="P19" s="2"/>
      <c r="Q19" s="2"/>
      <c r="R19" s="2"/>
      <c r="S19" s="2"/>
      <c r="T19" s="2"/>
      <c r="U19" s="2"/>
      <c r="V19" s="2"/>
      <c r="W19" s="2"/>
      <c r="X19" s="2"/>
      <c r="Y19" s="2"/>
      <c r="Z19" s="2"/>
    </row>
    <row r="20">
      <c r="A20" s="2"/>
      <c r="B20" s="2"/>
      <c r="C20" s="2"/>
      <c r="D20" s="2"/>
      <c r="E20" s="2"/>
      <c r="F20" s="2"/>
      <c r="G20" s="2"/>
      <c r="H20" s="2"/>
      <c r="I20" s="2"/>
      <c r="J20" s="2"/>
      <c r="K20" s="2"/>
      <c r="L20" s="2"/>
      <c r="M20" s="2"/>
      <c r="N20" s="2"/>
      <c r="O20" s="2"/>
      <c r="P20" s="2"/>
      <c r="Q20" s="2"/>
      <c r="R20" s="2"/>
      <c r="S20" s="2"/>
      <c r="T20" s="2"/>
      <c r="U20" s="2"/>
      <c r="V20" s="2"/>
      <c r="W20" s="2"/>
      <c r="X20" s="2"/>
      <c r="Y20" s="2"/>
      <c r="Z20" s="2"/>
    </row>
    <row r="21">
      <c r="A21" s="2"/>
      <c r="B21" s="2"/>
      <c r="C21" s="2"/>
      <c r="D21" s="2"/>
      <c r="E21" s="2"/>
      <c r="F21" s="2"/>
      <c r="G21" s="2"/>
      <c r="H21" s="2"/>
      <c r="I21" s="2"/>
      <c r="J21" s="2"/>
      <c r="K21" s="2"/>
      <c r="L21" s="2"/>
      <c r="M21" s="2"/>
      <c r="N21" s="2"/>
      <c r="O21" s="2"/>
      <c r="P21" s="2"/>
      <c r="Q21" s="2"/>
      <c r="R21" s="2"/>
      <c r="S21" s="2"/>
      <c r="T21" s="2"/>
      <c r="U21" s="2"/>
      <c r="V21" s="2"/>
      <c r="W21" s="2"/>
      <c r="X21" s="2"/>
      <c r="Y21" s="2"/>
      <c r="Z21" s="2"/>
    </row>
    <row r="22">
      <c r="A22" s="2"/>
      <c r="B22" s="2"/>
      <c r="C22" s="2"/>
      <c r="D22" s="2"/>
      <c r="E22" s="2"/>
      <c r="F22" s="2"/>
      <c r="G22" s="2"/>
      <c r="H22" s="2"/>
      <c r="I22" s="2"/>
      <c r="J22" s="2"/>
      <c r="K22" s="2"/>
      <c r="L22" s="2"/>
      <c r="M22" s="2"/>
      <c r="N22" s="2"/>
      <c r="O22" s="2"/>
      <c r="P22" s="2"/>
      <c r="Q22" s="2"/>
      <c r="R22" s="2"/>
      <c r="S22" s="2"/>
      <c r="T22" s="2"/>
      <c r="U22" s="2"/>
      <c r="V22" s="2"/>
      <c r="W22" s="2"/>
      <c r="X22" s="2"/>
      <c r="Y22" s="2"/>
      <c r="Z22" s="2"/>
    </row>
    <row r="23">
      <c r="A23" s="2"/>
      <c r="B23" s="2"/>
      <c r="C23" s="2"/>
      <c r="D23" s="2"/>
      <c r="E23" s="2"/>
      <c r="F23" s="2"/>
      <c r="G23" s="2"/>
      <c r="H23" s="2"/>
      <c r="I23" s="2"/>
      <c r="J23" s="2"/>
      <c r="K23" s="2"/>
      <c r="L23" s="2"/>
      <c r="M23" s="2"/>
      <c r="N23" s="2"/>
      <c r="O23" s="2"/>
      <c r="P23" s="2"/>
      <c r="Q23" s="2"/>
      <c r="R23" s="2"/>
      <c r="S23" s="2"/>
      <c r="T23" s="2"/>
      <c r="U23" s="2"/>
      <c r="V23" s="2"/>
      <c r="W23" s="2"/>
      <c r="X23" s="2"/>
      <c r="Y23" s="2"/>
      <c r="Z23" s="2"/>
    </row>
    <row r="24">
      <c r="A24" s="2"/>
      <c r="B24" s="2"/>
      <c r="C24" s="2"/>
      <c r="D24" s="2"/>
      <c r="E24" s="2"/>
      <c r="F24" s="2"/>
      <c r="G24" s="2"/>
      <c r="H24" s="2"/>
      <c r="I24" s="2"/>
      <c r="J24" s="2"/>
      <c r="K24" s="2"/>
      <c r="L24" s="2"/>
      <c r="M24" s="2"/>
      <c r="N24" s="2"/>
      <c r="O24" s="2"/>
      <c r="P24" s="2"/>
      <c r="Q24" s="2"/>
      <c r="R24" s="2"/>
      <c r="S24" s="2"/>
      <c r="T24" s="2"/>
      <c r="U24" s="2"/>
      <c r="V24" s="2"/>
      <c r="W24" s="2"/>
      <c r="X24" s="2"/>
      <c r="Y24" s="2"/>
      <c r="Z24" s="2"/>
    </row>
    <row r="25">
      <c r="A25" s="2"/>
      <c r="B25" s="2"/>
      <c r="C25" s="2"/>
      <c r="D25" s="2"/>
      <c r="E25" s="2"/>
      <c r="F25" s="2"/>
      <c r="G25" s="2"/>
      <c r="H25" s="2"/>
      <c r="I25" s="2"/>
      <c r="J25" s="2"/>
      <c r="K25" s="2"/>
      <c r="L25" s="2"/>
      <c r="M25" s="2"/>
      <c r="N25" s="2"/>
      <c r="O25" s="2"/>
      <c r="P25" s="2"/>
      <c r="Q25" s="2"/>
      <c r="R25" s="2"/>
      <c r="S25" s="2"/>
      <c r="T25" s="2"/>
      <c r="U25" s="2"/>
      <c r="V25" s="2"/>
      <c r="W25" s="2"/>
      <c r="X25" s="2"/>
      <c r="Y25" s="2"/>
      <c r="Z25" s="2"/>
    </row>
    <row r="26">
      <c r="A26" s="2"/>
      <c r="B26" s="2"/>
      <c r="C26" s="2"/>
      <c r="D26" s="2"/>
      <c r="E26" s="2"/>
      <c r="F26" s="2"/>
      <c r="G26" s="2"/>
      <c r="H26" s="2"/>
      <c r="I26" s="2"/>
      <c r="J26" s="2"/>
      <c r="K26" s="2"/>
      <c r="L26" s="2"/>
      <c r="M26" s="2"/>
      <c r="N26" s="2"/>
      <c r="O26" s="2"/>
      <c r="P26" s="2"/>
      <c r="Q26" s="2"/>
      <c r="R26" s="2"/>
      <c r="S26" s="2"/>
      <c r="T26" s="2"/>
      <c r="U26" s="2"/>
      <c r="V26" s="2"/>
      <c r="W26" s="2"/>
      <c r="X26" s="2"/>
      <c r="Y26" s="2"/>
      <c r="Z26" s="2"/>
    </row>
    <row r="27">
      <c r="A27" s="2"/>
      <c r="B27" s="2"/>
      <c r="C27" s="2"/>
      <c r="D27" s="2"/>
      <c r="E27" s="2"/>
      <c r="F27" s="2"/>
      <c r="G27" s="2"/>
      <c r="H27" s="2"/>
      <c r="I27" s="2"/>
      <c r="J27" s="2"/>
      <c r="K27" s="2"/>
      <c r="L27" s="2"/>
      <c r="M27" s="2"/>
      <c r="N27" s="2"/>
      <c r="O27" s="2"/>
      <c r="P27" s="2"/>
      <c r="Q27" s="2"/>
      <c r="R27" s="2"/>
      <c r="S27" s="2"/>
      <c r="T27" s="2"/>
      <c r="U27" s="2"/>
      <c r="V27" s="2"/>
      <c r="W27" s="2"/>
      <c r="X27" s="2"/>
      <c r="Y27" s="2"/>
      <c r="Z27" s="2"/>
    </row>
    <row r="28">
      <c r="A28" s="2"/>
      <c r="B28" s="2"/>
      <c r="C28" s="2"/>
      <c r="D28" s="2"/>
      <c r="E28" s="2"/>
      <c r="F28" s="2"/>
      <c r="G28" s="2"/>
      <c r="H28" s="2"/>
      <c r="I28" s="2"/>
      <c r="J28" s="2"/>
      <c r="K28" s="2"/>
      <c r="L28" s="2"/>
      <c r="M28" s="2"/>
      <c r="N28" s="2"/>
      <c r="O28" s="2"/>
      <c r="P28" s="2"/>
      <c r="Q28" s="2"/>
      <c r="R28" s="2"/>
      <c r="S28" s="2"/>
      <c r="T28" s="2"/>
      <c r="U28" s="2"/>
      <c r="V28" s="2"/>
      <c r="W28" s="2"/>
      <c r="X28" s="2"/>
      <c r="Y28" s="2"/>
      <c r="Z28" s="2"/>
    </row>
    <row r="29">
      <c r="A29" s="2"/>
      <c r="B29" s="2"/>
      <c r="C29" s="2"/>
      <c r="D29" s="2"/>
      <c r="E29" s="2"/>
      <c r="F29" s="2"/>
      <c r="G29" s="2"/>
      <c r="H29" s="2"/>
      <c r="I29" s="2"/>
      <c r="J29" s="2"/>
      <c r="K29" s="2"/>
      <c r="L29" s="2"/>
      <c r="M29" s="2"/>
      <c r="N29" s="2"/>
      <c r="O29" s="2"/>
      <c r="P29" s="2"/>
      <c r="Q29" s="2"/>
      <c r="R29" s="2"/>
      <c r="S29" s="2"/>
      <c r="T29" s="2"/>
      <c r="U29" s="2"/>
      <c r="V29" s="2"/>
      <c r="W29" s="2"/>
      <c r="X29" s="2"/>
      <c r="Y29" s="2"/>
      <c r="Z29" s="2"/>
    </row>
    <row r="30">
      <c r="A30" s="2"/>
      <c r="B30" s="2"/>
      <c r="C30" s="2"/>
      <c r="D30" s="2"/>
      <c r="E30" s="2"/>
      <c r="F30" s="2"/>
      <c r="G30" s="2"/>
      <c r="H30" s="2"/>
      <c r="I30" s="2"/>
      <c r="J30" s="2"/>
      <c r="K30" s="2"/>
      <c r="L30" s="2"/>
      <c r="M30" s="2"/>
      <c r="N30" s="2"/>
      <c r="O30" s="2"/>
      <c r="P30" s="2"/>
      <c r="Q30" s="2"/>
      <c r="R30" s="2"/>
      <c r="S30" s="2"/>
      <c r="T30" s="2"/>
      <c r="U30" s="2"/>
      <c r="V30" s="2"/>
      <c r="W30" s="2"/>
      <c r="X30" s="2"/>
      <c r="Y30" s="2"/>
      <c r="Z30" s="2"/>
    </row>
    <row r="31">
      <c r="A31" s="2"/>
      <c r="B31" s="2"/>
      <c r="C31" s="2"/>
      <c r="D31" s="2"/>
      <c r="E31" s="2"/>
      <c r="F31" s="2"/>
      <c r="G31" s="2"/>
      <c r="H31" s="2"/>
      <c r="I31" s="2"/>
      <c r="J31" s="2"/>
      <c r="K31" s="2"/>
      <c r="L31" s="2"/>
      <c r="M31" s="2"/>
      <c r="N31" s="2"/>
      <c r="O31" s="2"/>
      <c r="P31" s="2"/>
      <c r="Q31" s="2"/>
      <c r="R31" s="2"/>
      <c r="S31" s="2"/>
      <c r="T31" s="2"/>
      <c r="U31" s="2"/>
      <c r="V31" s="2"/>
      <c r="W31" s="2"/>
      <c r="X31" s="2"/>
      <c r="Y31" s="2"/>
      <c r="Z31" s="2"/>
    </row>
    <row r="32">
      <c r="A32" s="2"/>
      <c r="B32" s="2"/>
      <c r="C32" s="2"/>
      <c r="D32" s="2"/>
      <c r="E32" s="2"/>
      <c r="F32" s="2"/>
      <c r="G32" s="2"/>
      <c r="H32" s="2"/>
      <c r="I32" s="2"/>
      <c r="J32" s="2"/>
      <c r="K32" s="2"/>
      <c r="L32" s="2"/>
      <c r="M32" s="2"/>
      <c r="N32" s="2"/>
      <c r="O32" s="2"/>
      <c r="P32" s="2"/>
      <c r="Q32" s="2"/>
      <c r="R32" s="2"/>
      <c r="S32" s="2"/>
      <c r="T32" s="2"/>
      <c r="U32" s="2"/>
      <c r="V32" s="2"/>
      <c r="W32" s="2"/>
      <c r="X32" s="2"/>
      <c r="Y32" s="2"/>
      <c r="Z32" s="2"/>
    </row>
    <row r="33">
      <c r="A33" s="2"/>
      <c r="B33" s="2"/>
      <c r="C33" s="2"/>
      <c r="D33" s="2"/>
      <c r="E33" s="2"/>
      <c r="F33" s="2"/>
      <c r="G33" s="2"/>
      <c r="H33" s="2"/>
      <c r="I33" s="2"/>
      <c r="J33" s="2"/>
      <c r="K33" s="2"/>
      <c r="L33" s="2"/>
      <c r="M33" s="2"/>
      <c r="N33" s="2"/>
      <c r="O33" s="2"/>
      <c r="P33" s="2"/>
      <c r="Q33" s="2"/>
      <c r="R33" s="2"/>
      <c r="S33" s="2"/>
      <c r="T33" s="2"/>
      <c r="U33" s="2"/>
      <c r="V33" s="2"/>
      <c r="W33" s="2"/>
      <c r="X33" s="2"/>
      <c r="Y33" s="2"/>
      <c r="Z33" s="2"/>
    </row>
    <row r="34">
      <c r="A34" s="2"/>
      <c r="B34" s="2"/>
      <c r="C34" s="2"/>
      <c r="D34" s="2"/>
      <c r="E34" s="2"/>
      <c r="F34" s="2"/>
      <c r="G34" s="2"/>
      <c r="H34" s="2"/>
      <c r="I34" s="2"/>
      <c r="J34" s="2"/>
      <c r="K34" s="2"/>
      <c r="L34" s="2"/>
      <c r="M34" s="2"/>
      <c r="N34" s="2"/>
      <c r="O34" s="2"/>
      <c r="P34" s="2"/>
      <c r="Q34" s="2"/>
      <c r="R34" s="2"/>
      <c r="S34" s="2"/>
      <c r="T34" s="2"/>
      <c r="U34" s="2"/>
      <c r="V34" s="2"/>
      <c r="W34" s="2"/>
      <c r="X34" s="2"/>
      <c r="Y34" s="2"/>
      <c r="Z34" s="2"/>
    </row>
    <row r="35">
      <c r="A35" s="2"/>
      <c r="B35" s="2"/>
      <c r="C35" s="2"/>
      <c r="D35" s="2"/>
      <c r="E35" s="2"/>
      <c r="F35" s="2"/>
      <c r="G35" s="2"/>
      <c r="H35" s="2"/>
      <c r="I35" s="2"/>
      <c r="J35" s="2"/>
      <c r="K35" s="2"/>
      <c r="L35" s="2"/>
      <c r="M35" s="2"/>
      <c r="N35" s="2"/>
      <c r="O35" s="2"/>
      <c r="P35" s="2"/>
      <c r="Q35" s="2"/>
      <c r="R35" s="2"/>
      <c r="S35" s="2"/>
      <c r="T35" s="2"/>
      <c r="U35" s="2"/>
      <c r="V35" s="2"/>
      <c r="W35" s="2"/>
      <c r="X35" s="2"/>
      <c r="Y35" s="2"/>
      <c r="Z35" s="2"/>
    </row>
    <row r="36">
      <c r="A36" s="2"/>
      <c r="B36" s="2"/>
      <c r="C36" s="2"/>
      <c r="D36" s="2"/>
      <c r="E36" s="2"/>
      <c r="F36" s="2"/>
      <c r="G36" s="2"/>
      <c r="H36" s="2"/>
      <c r="I36" s="2"/>
      <c r="J36" s="2"/>
      <c r="K36" s="2"/>
      <c r="L36" s="2"/>
      <c r="M36" s="2"/>
      <c r="N36" s="2"/>
      <c r="O36" s="2"/>
      <c r="P36" s="2"/>
      <c r="Q36" s="2"/>
      <c r="R36" s="2"/>
      <c r="S36" s="2"/>
      <c r="T36" s="2"/>
      <c r="U36" s="2"/>
      <c r="V36" s="2"/>
      <c r="W36" s="2"/>
      <c r="X36" s="2"/>
      <c r="Y36" s="2"/>
      <c r="Z36" s="2"/>
    </row>
    <row r="37">
      <c r="A37" s="2"/>
      <c r="B37" s="2"/>
      <c r="C37" s="2"/>
      <c r="D37" s="2"/>
      <c r="E37" s="2"/>
      <c r="F37" s="2"/>
      <c r="G37" s="2"/>
      <c r="H37" s="2"/>
      <c r="I37" s="2"/>
      <c r="J37" s="2"/>
      <c r="K37" s="2"/>
      <c r="L37" s="2"/>
      <c r="M37" s="2"/>
      <c r="N37" s="2"/>
      <c r="O37" s="2"/>
      <c r="P37" s="2"/>
      <c r="Q37" s="2"/>
      <c r="R37" s="2"/>
      <c r="S37" s="2"/>
      <c r="T37" s="2"/>
      <c r="U37" s="2"/>
      <c r="V37" s="2"/>
      <c r="W37" s="2"/>
      <c r="X37" s="2"/>
      <c r="Y37" s="2"/>
      <c r="Z37" s="2"/>
    </row>
    <row r="38">
      <c r="A38" s="2"/>
      <c r="B38" s="2"/>
      <c r="C38" s="2"/>
      <c r="D38" s="2"/>
      <c r="E38" s="2"/>
      <c r="F38" s="2"/>
      <c r="G38" s="2"/>
      <c r="H38" s="2"/>
      <c r="I38" s="2"/>
      <c r="J38" s="2"/>
      <c r="K38" s="2"/>
      <c r="L38" s="2"/>
      <c r="M38" s="2"/>
      <c r="N38" s="2"/>
      <c r="O38" s="2"/>
      <c r="P38" s="2"/>
      <c r="Q38" s="2"/>
      <c r="R38" s="2"/>
      <c r="S38" s="2"/>
      <c r="T38" s="2"/>
      <c r="U38" s="2"/>
      <c r="V38" s="2"/>
      <c r="W38" s="2"/>
      <c r="X38" s="2"/>
      <c r="Y38" s="2"/>
      <c r="Z38" s="2"/>
    </row>
    <row r="39">
      <c r="A39" s="2"/>
      <c r="B39" s="2"/>
      <c r="C39" s="2"/>
      <c r="D39" s="2"/>
      <c r="E39" s="2"/>
      <c r="F39" s="2"/>
      <c r="G39" s="2"/>
      <c r="H39" s="2"/>
      <c r="I39" s="2"/>
      <c r="J39" s="2"/>
      <c r="K39" s="2"/>
      <c r="L39" s="2"/>
      <c r="M39" s="2"/>
      <c r="N39" s="2"/>
      <c r="O39" s="2"/>
      <c r="P39" s="2"/>
      <c r="Q39" s="2"/>
      <c r="R39" s="2"/>
      <c r="S39" s="2"/>
      <c r="T39" s="2"/>
      <c r="U39" s="2"/>
      <c r="V39" s="2"/>
      <c r="W39" s="2"/>
      <c r="X39" s="2"/>
      <c r="Y39" s="2"/>
      <c r="Z39" s="2"/>
    </row>
    <row r="40">
      <c r="A40" s="2"/>
      <c r="B40" s="2"/>
      <c r="C40" s="2"/>
      <c r="D40" s="2"/>
      <c r="E40" s="2"/>
      <c r="F40" s="2"/>
      <c r="G40" s="2"/>
      <c r="H40" s="2"/>
      <c r="I40" s="2"/>
      <c r="J40" s="2"/>
      <c r="K40" s="2"/>
      <c r="L40" s="2"/>
      <c r="M40" s="2"/>
      <c r="N40" s="2"/>
      <c r="O40" s="2"/>
      <c r="P40" s="2"/>
      <c r="Q40" s="2"/>
      <c r="R40" s="2"/>
      <c r="S40" s="2"/>
      <c r="T40" s="2"/>
      <c r="U40" s="2"/>
      <c r="V40" s="2"/>
      <c r="W40" s="2"/>
      <c r="X40" s="2"/>
      <c r="Y40" s="2"/>
      <c r="Z40" s="2"/>
    </row>
    <row r="41">
      <c r="A41" s="2"/>
      <c r="B41" s="2"/>
      <c r="C41" s="2"/>
      <c r="D41" s="2"/>
      <c r="E41" s="2"/>
      <c r="F41" s="2"/>
      <c r="G41" s="2"/>
      <c r="H41" s="2"/>
      <c r="I41" s="2"/>
      <c r="J41" s="2"/>
      <c r="K41" s="2"/>
      <c r="L41" s="2"/>
      <c r="M41" s="2"/>
      <c r="N41" s="2"/>
      <c r="O41" s="2"/>
      <c r="P41" s="2"/>
      <c r="Q41" s="2"/>
      <c r="R41" s="2"/>
      <c r="S41" s="2"/>
      <c r="T41" s="2"/>
      <c r="U41" s="2"/>
      <c r="V41" s="2"/>
      <c r="W41" s="2"/>
      <c r="X41" s="2"/>
      <c r="Y41" s="2"/>
      <c r="Z41" s="2"/>
    </row>
    <row r="42">
      <c r="A42" s="2"/>
      <c r="B42" s="2"/>
      <c r="C42" s="2"/>
      <c r="D42" s="2"/>
      <c r="E42" s="2"/>
      <c r="F42" s="2"/>
      <c r="G42" s="2"/>
      <c r="H42" s="2"/>
      <c r="I42" s="2"/>
      <c r="J42" s="2"/>
      <c r="K42" s="2"/>
      <c r="L42" s="2"/>
      <c r="M42" s="2"/>
      <c r="N42" s="2"/>
      <c r="O42" s="2"/>
      <c r="P42" s="2"/>
      <c r="Q42" s="2"/>
      <c r="R42" s="2"/>
      <c r="S42" s="2"/>
      <c r="T42" s="2"/>
      <c r="U42" s="2"/>
      <c r="V42" s="2"/>
      <c r="W42" s="2"/>
      <c r="X42" s="2"/>
      <c r="Y42" s="2"/>
      <c r="Z42" s="2"/>
    </row>
    <row r="43">
      <c r="A43" s="2"/>
      <c r="B43" s="2"/>
      <c r="C43" s="2"/>
      <c r="D43" s="2"/>
      <c r="E43" s="2"/>
      <c r="F43" s="2"/>
      <c r="G43" s="2"/>
      <c r="H43" s="2"/>
      <c r="I43" s="2"/>
      <c r="J43" s="2"/>
      <c r="K43" s="2"/>
      <c r="L43" s="2"/>
      <c r="M43" s="2"/>
      <c r="N43" s="2"/>
      <c r="O43" s="2"/>
      <c r="P43" s="2"/>
      <c r="Q43" s="2"/>
      <c r="R43" s="2"/>
      <c r="S43" s="2"/>
      <c r="T43" s="2"/>
      <c r="U43" s="2"/>
      <c r="V43" s="2"/>
      <c r="W43" s="2"/>
      <c r="X43" s="2"/>
      <c r="Y43" s="2"/>
      <c r="Z43" s="2"/>
    </row>
    <row r="44">
      <c r="A44" s="2"/>
      <c r="B44" s="2"/>
      <c r="C44" s="2"/>
      <c r="D44" s="2"/>
      <c r="E44" s="2"/>
      <c r="F44" s="2"/>
      <c r="G44" s="2"/>
      <c r="H44" s="2"/>
      <c r="I44" s="2"/>
      <c r="J44" s="2"/>
      <c r="K44" s="2"/>
      <c r="L44" s="2"/>
      <c r="M44" s="2"/>
      <c r="N44" s="2"/>
      <c r="O44" s="2"/>
      <c r="P44" s="2"/>
      <c r="Q44" s="2"/>
      <c r="R44" s="2"/>
      <c r="S44" s="2"/>
      <c r="T44" s="2"/>
      <c r="U44" s="2"/>
      <c r="V44" s="2"/>
      <c r="W44" s="2"/>
      <c r="X44" s="2"/>
      <c r="Y44" s="2"/>
      <c r="Z44" s="2"/>
    </row>
    <row r="45">
      <c r="A45" s="2"/>
      <c r="B45" s="2"/>
      <c r="C45" s="2"/>
      <c r="D45" s="2"/>
      <c r="E45" s="2"/>
      <c r="F45" s="2"/>
      <c r="G45" s="2"/>
      <c r="H45" s="2"/>
      <c r="I45" s="2"/>
      <c r="J45" s="2"/>
      <c r="K45" s="2"/>
      <c r="L45" s="2"/>
      <c r="M45" s="2"/>
      <c r="N45" s="2"/>
      <c r="O45" s="2"/>
      <c r="P45" s="2"/>
      <c r="Q45" s="2"/>
      <c r="R45" s="2"/>
      <c r="S45" s="2"/>
      <c r="T45" s="2"/>
      <c r="U45" s="2"/>
      <c r="V45" s="2"/>
      <c r="W45" s="2"/>
      <c r="X45" s="2"/>
      <c r="Y45" s="2"/>
      <c r="Z45" s="2"/>
    </row>
    <row r="46">
      <c r="A46" s="2"/>
      <c r="B46" s="2"/>
      <c r="C46" s="2"/>
      <c r="D46" s="2"/>
      <c r="E46" s="2"/>
      <c r="F46" s="2"/>
      <c r="G46" s="2"/>
      <c r="H46" s="2"/>
      <c r="I46" s="2"/>
      <c r="J46" s="2"/>
      <c r="K46" s="2"/>
      <c r="L46" s="2"/>
      <c r="M46" s="2"/>
      <c r="N46" s="2"/>
      <c r="O46" s="2"/>
      <c r="P46" s="2"/>
      <c r="Q46" s="2"/>
      <c r="R46" s="2"/>
      <c r="S46" s="2"/>
      <c r="T46" s="2"/>
      <c r="U46" s="2"/>
      <c r="V46" s="2"/>
      <c r="W46" s="2"/>
      <c r="X46" s="2"/>
      <c r="Y46" s="2"/>
      <c r="Z46" s="2"/>
    </row>
    <row r="47">
      <c r="A47" s="2"/>
      <c r="B47" s="2"/>
      <c r="C47" s="2"/>
      <c r="D47" s="2"/>
      <c r="E47" s="2"/>
      <c r="F47" s="2"/>
      <c r="G47" s="2"/>
      <c r="H47" s="2"/>
      <c r="I47" s="2"/>
      <c r="J47" s="2"/>
      <c r="K47" s="2"/>
      <c r="L47" s="2"/>
      <c r="M47" s="2"/>
      <c r="N47" s="2"/>
      <c r="O47" s="2"/>
      <c r="P47" s="2"/>
      <c r="Q47" s="2"/>
      <c r="R47" s="2"/>
      <c r="S47" s="2"/>
      <c r="T47" s="2"/>
      <c r="U47" s="2"/>
      <c r="V47" s="2"/>
      <c r="W47" s="2"/>
      <c r="X47" s="2"/>
      <c r="Y47" s="2"/>
      <c r="Z47" s="2"/>
    </row>
    <row r="48">
      <c r="A48" s="2"/>
      <c r="B48" s="2"/>
      <c r="C48" s="2"/>
      <c r="D48" s="2"/>
      <c r="E48" s="2"/>
      <c r="F48" s="2"/>
      <c r="G48" s="2"/>
      <c r="H48" s="2"/>
      <c r="I48" s="2"/>
      <c r="J48" s="2"/>
      <c r="K48" s="2"/>
      <c r="L48" s="2"/>
      <c r="M48" s="2"/>
      <c r="N48" s="2"/>
      <c r="O48" s="2"/>
      <c r="P48" s="2"/>
      <c r="Q48" s="2"/>
      <c r="R48" s="2"/>
      <c r="S48" s="2"/>
      <c r="T48" s="2"/>
      <c r="U48" s="2"/>
      <c r="V48" s="2"/>
      <c r="W48" s="2"/>
      <c r="X48" s="2"/>
      <c r="Y48" s="2"/>
      <c r="Z48" s="2"/>
    </row>
    <row r="49">
      <c r="A49" s="2"/>
      <c r="B49" s="2"/>
      <c r="C49" s="2"/>
      <c r="D49" s="2"/>
      <c r="E49" s="2"/>
      <c r="F49" s="2"/>
      <c r="G49" s="2"/>
      <c r="H49" s="2"/>
      <c r="I49" s="2"/>
      <c r="J49" s="2"/>
      <c r="K49" s="2"/>
      <c r="L49" s="2"/>
      <c r="M49" s="2"/>
      <c r="N49" s="2"/>
      <c r="O49" s="2"/>
      <c r="P49" s="2"/>
      <c r="Q49" s="2"/>
      <c r="R49" s="2"/>
      <c r="S49" s="2"/>
      <c r="T49" s="2"/>
      <c r="U49" s="2"/>
      <c r="V49" s="2"/>
      <c r="W49" s="2"/>
      <c r="X49" s="2"/>
      <c r="Y49" s="2"/>
      <c r="Z49" s="2"/>
    </row>
    <row r="50">
      <c r="A50" s="2"/>
      <c r="B50" s="2"/>
      <c r="C50" s="2"/>
      <c r="D50" s="2"/>
      <c r="E50" s="2"/>
      <c r="F50" s="2"/>
      <c r="G50" s="2"/>
      <c r="H50" s="2"/>
      <c r="I50" s="2"/>
      <c r="J50" s="2"/>
      <c r="K50" s="2"/>
      <c r="L50" s="2"/>
      <c r="M50" s="2"/>
      <c r="N50" s="2"/>
      <c r="O50" s="2"/>
      <c r="P50" s="2"/>
      <c r="Q50" s="2"/>
      <c r="R50" s="2"/>
      <c r="S50" s="2"/>
      <c r="T50" s="2"/>
      <c r="U50" s="2"/>
      <c r="V50" s="2"/>
      <c r="W50" s="2"/>
      <c r="X50" s="2"/>
      <c r="Y50" s="2"/>
      <c r="Z50" s="2"/>
    </row>
    <row r="51">
      <c r="A51" s="2"/>
      <c r="B51" s="2"/>
      <c r="C51" s="2"/>
      <c r="D51" s="2"/>
      <c r="E51" s="2"/>
      <c r="F51" s="2"/>
      <c r="G51" s="2"/>
      <c r="H51" s="2"/>
      <c r="I51" s="2"/>
      <c r="J51" s="2"/>
      <c r="K51" s="2"/>
      <c r="L51" s="2"/>
      <c r="M51" s="2"/>
      <c r="N51" s="2"/>
      <c r="O51" s="2"/>
      <c r="P51" s="2"/>
      <c r="Q51" s="2"/>
      <c r="R51" s="2"/>
      <c r="S51" s="2"/>
      <c r="T51" s="2"/>
      <c r="U51" s="2"/>
      <c r="V51" s="2"/>
      <c r="W51" s="2"/>
      <c r="X51" s="2"/>
      <c r="Y51" s="2"/>
      <c r="Z51" s="2"/>
    </row>
    <row r="52">
      <c r="A52" s="2"/>
      <c r="B52" s="2"/>
      <c r="C52" s="2"/>
      <c r="D52" s="2"/>
      <c r="E52" s="2"/>
      <c r="F52" s="2"/>
      <c r="G52" s="2"/>
      <c r="H52" s="2"/>
      <c r="I52" s="2"/>
      <c r="J52" s="2"/>
      <c r="K52" s="2"/>
      <c r="L52" s="2"/>
      <c r="M52" s="2"/>
      <c r="N52" s="2"/>
      <c r="O52" s="2"/>
      <c r="P52" s="2"/>
      <c r="Q52" s="2"/>
      <c r="R52" s="2"/>
      <c r="S52" s="2"/>
      <c r="T52" s="2"/>
      <c r="U52" s="2"/>
      <c r="V52" s="2"/>
      <c r="W52" s="2"/>
      <c r="X52" s="2"/>
      <c r="Y52" s="2"/>
      <c r="Z52" s="2"/>
    </row>
    <row r="53">
      <c r="A53" s="2"/>
      <c r="B53" s="2"/>
      <c r="C53" s="2"/>
      <c r="D53" s="2"/>
      <c r="E53" s="2"/>
      <c r="F53" s="2"/>
      <c r="G53" s="2"/>
      <c r="H53" s="2"/>
      <c r="I53" s="2"/>
      <c r="J53" s="2"/>
      <c r="K53" s="2"/>
      <c r="L53" s="2"/>
      <c r="M53" s="2"/>
      <c r="N53" s="2"/>
      <c r="O53" s="2"/>
      <c r="P53" s="2"/>
      <c r="Q53" s="2"/>
      <c r="R53" s="2"/>
      <c r="S53" s="2"/>
      <c r="T53" s="2"/>
      <c r="U53" s="2"/>
      <c r="V53" s="2"/>
      <c r="W53" s="2"/>
      <c r="X53" s="2"/>
      <c r="Y53" s="2"/>
      <c r="Z53" s="2"/>
    </row>
    <row r="54">
      <c r="A54" s="2"/>
      <c r="B54" s="2"/>
      <c r="C54" s="2"/>
      <c r="D54" s="2"/>
      <c r="E54" s="2"/>
      <c r="F54" s="2"/>
      <c r="G54" s="2"/>
      <c r="H54" s="2"/>
      <c r="I54" s="2"/>
      <c r="J54" s="2"/>
      <c r="K54" s="2"/>
      <c r="L54" s="2"/>
      <c r="M54" s="2"/>
      <c r="N54" s="2"/>
      <c r="O54" s="2"/>
      <c r="P54" s="2"/>
      <c r="Q54" s="2"/>
      <c r="R54" s="2"/>
      <c r="S54" s="2"/>
      <c r="T54" s="2"/>
      <c r="U54" s="2"/>
      <c r="V54" s="2"/>
      <c r="W54" s="2"/>
      <c r="X54" s="2"/>
      <c r="Y54" s="2"/>
      <c r="Z54" s="2"/>
    </row>
    <row r="55">
      <c r="A55" s="2"/>
      <c r="B55" s="2"/>
      <c r="C55" s="2"/>
      <c r="D55" s="2"/>
      <c r="E55" s="2"/>
      <c r="F55" s="2"/>
      <c r="G55" s="2"/>
      <c r="H55" s="2"/>
      <c r="I55" s="2"/>
      <c r="J55" s="2"/>
      <c r="K55" s="2"/>
      <c r="L55" s="2"/>
      <c r="M55" s="2"/>
      <c r="N55" s="2"/>
      <c r="O55" s="2"/>
      <c r="P55" s="2"/>
      <c r="Q55" s="2"/>
      <c r="R55" s="2"/>
      <c r="S55" s="2"/>
      <c r="T55" s="2"/>
      <c r="U55" s="2"/>
      <c r="V55" s="2"/>
      <c r="W55" s="2"/>
      <c r="X55" s="2"/>
      <c r="Y55" s="2"/>
      <c r="Z55" s="2"/>
    </row>
    <row r="56">
      <c r="A56" s="2"/>
      <c r="B56" s="2"/>
      <c r="C56" s="2"/>
      <c r="D56" s="2"/>
      <c r="E56" s="2"/>
      <c r="F56" s="2"/>
      <c r="G56" s="2"/>
      <c r="H56" s="2"/>
      <c r="I56" s="2"/>
      <c r="J56" s="2"/>
      <c r="K56" s="2"/>
      <c r="L56" s="2"/>
      <c r="M56" s="2"/>
      <c r="N56" s="2"/>
      <c r="O56" s="2"/>
      <c r="P56" s="2"/>
      <c r="Q56" s="2"/>
      <c r="R56" s="2"/>
      <c r="S56" s="2"/>
      <c r="T56" s="2"/>
      <c r="U56" s="2"/>
      <c r="V56" s="2"/>
      <c r="W56" s="2"/>
      <c r="X56" s="2"/>
      <c r="Y56" s="2"/>
      <c r="Z56" s="2"/>
    </row>
    <row r="57">
      <c r="A57" s="2"/>
      <c r="B57" s="2"/>
      <c r="C57" s="2"/>
      <c r="D57" s="2"/>
      <c r="E57" s="2"/>
      <c r="F57" s="2"/>
      <c r="G57" s="2"/>
      <c r="H57" s="2"/>
      <c r="I57" s="2"/>
      <c r="J57" s="2"/>
      <c r="K57" s="2"/>
      <c r="L57" s="2"/>
      <c r="M57" s="2"/>
      <c r="N57" s="2"/>
      <c r="O57" s="2"/>
      <c r="P57" s="2"/>
      <c r="Q57" s="2"/>
      <c r="R57" s="2"/>
      <c r="S57" s="2"/>
      <c r="T57" s="2"/>
      <c r="U57" s="2"/>
      <c r="V57" s="2"/>
      <c r="W57" s="2"/>
      <c r="X57" s="2"/>
      <c r="Y57" s="2"/>
      <c r="Z57" s="2"/>
    </row>
    <row r="58">
      <c r="A58" s="2"/>
      <c r="B58" s="2"/>
      <c r="C58" s="2"/>
      <c r="D58" s="2"/>
      <c r="E58" s="2"/>
      <c r="F58" s="2"/>
      <c r="G58" s="2"/>
      <c r="H58" s="2"/>
      <c r="I58" s="2"/>
      <c r="J58" s="2"/>
      <c r="K58" s="2"/>
      <c r="L58" s="2"/>
      <c r="M58" s="2"/>
      <c r="N58" s="2"/>
      <c r="O58" s="2"/>
      <c r="P58" s="2"/>
      <c r="Q58" s="2"/>
      <c r="R58" s="2"/>
      <c r="S58" s="2"/>
      <c r="T58" s="2"/>
      <c r="U58" s="2"/>
      <c r="V58" s="2"/>
      <c r="W58" s="2"/>
      <c r="X58" s="2"/>
      <c r="Y58" s="2"/>
      <c r="Z58" s="2"/>
    </row>
    <row r="59">
      <c r="A59" s="2"/>
      <c r="B59" s="2"/>
      <c r="C59" s="2"/>
      <c r="D59" s="2"/>
      <c r="E59" s="2"/>
      <c r="F59" s="2"/>
      <c r="G59" s="2"/>
      <c r="H59" s="2"/>
      <c r="I59" s="2"/>
      <c r="J59" s="2"/>
      <c r="K59" s="2"/>
      <c r="L59" s="2"/>
      <c r="M59" s="2"/>
      <c r="N59" s="2"/>
      <c r="O59" s="2"/>
      <c r="P59" s="2"/>
      <c r="Q59" s="2"/>
      <c r="R59" s="2"/>
      <c r="S59" s="2"/>
      <c r="T59" s="2"/>
      <c r="U59" s="2"/>
      <c r="V59" s="2"/>
      <c r="W59" s="2"/>
      <c r="X59" s="2"/>
      <c r="Y59" s="2"/>
      <c r="Z59" s="2"/>
    </row>
    <row r="60">
      <c r="A60" s="2"/>
      <c r="B60" s="2"/>
      <c r="C60" s="2"/>
      <c r="D60" s="2"/>
      <c r="E60" s="2"/>
      <c r="F60" s="2"/>
      <c r="G60" s="2"/>
      <c r="H60" s="2"/>
      <c r="I60" s="2"/>
      <c r="J60" s="2"/>
      <c r="K60" s="2"/>
      <c r="L60" s="2"/>
      <c r="M60" s="2"/>
      <c r="N60" s="2"/>
      <c r="O60" s="2"/>
      <c r="P60" s="2"/>
      <c r="Q60" s="2"/>
      <c r="R60" s="2"/>
      <c r="S60" s="2"/>
      <c r="T60" s="2"/>
      <c r="U60" s="2"/>
      <c r="V60" s="2"/>
      <c r="W60" s="2"/>
      <c r="X60" s="2"/>
      <c r="Y60" s="2"/>
      <c r="Z60" s="2"/>
    </row>
    <row r="61">
      <c r="A61" s="2"/>
      <c r="B61" s="2"/>
      <c r="C61" s="2"/>
      <c r="D61" s="2"/>
      <c r="E61" s="2"/>
      <c r="F61" s="2"/>
      <c r="G61" s="2"/>
      <c r="H61" s="2"/>
      <c r="I61" s="2"/>
      <c r="J61" s="2"/>
      <c r="K61" s="2"/>
      <c r="L61" s="2"/>
      <c r="M61" s="2"/>
      <c r="N61" s="2"/>
      <c r="O61" s="2"/>
      <c r="P61" s="2"/>
      <c r="Q61" s="2"/>
      <c r="R61" s="2"/>
      <c r="S61" s="2"/>
      <c r="T61" s="2"/>
      <c r="U61" s="2"/>
      <c r="V61" s="2"/>
      <c r="W61" s="2"/>
      <c r="X61" s="2"/>
      <c r="Y61" s="2"/>
      <c r="Z61" s="2"/>
    </row>
    <row r="62">
      <c r="A62" s="2"/>
      <c r="B62" s="2"/>
      <c r="C62" s="2"/>
      <c r="D62" s="2"/>
      <c r="E62" s="2"/>
      <c r="F62" s="2"/>
      <c r="G62" s="2"/>
      <c r="H62" s="2"/>
      <c r="I62" s="2"/>
      <c r="J62" s="2"/>
      <c r="K62" s="2"/>
      <c r="L62" s="2"/>
      <c r="M62" s="2"/>
      <c r="N62" s="2"/>
      <c r="O62" s="2"/>
      <c r="P62" s="2"/>
      <c r="Q62" s="2"/>
      <c r="R62" s="2"/>
      <c r="S62" s="2"/>
      <c r="T62" s="2"/>
      <c r="U62" s="2"/>
      <c r="V62" s="2"/>
      <c r="W62" s="2"/>
      <c r="X62" s="2"/>
      <c r="Y62" s="2"/>
      <c r="Z62" s="2"/>
    </row>
    <row r="63">
      <c r="A63" s="2"/>
      <c r="B63" s="2"/>
      <c r="C63" s="2"/>
      <c r="D63" s="2"/>
      <c r="E63" s="2"/>
      <c r="F63" s="2"/>
      <c r="G63" s="2"/>
      <c r="H63" s="2"/>
      <c r="I63" s="2"/>
      <c r="J63" s="2"/>
      <c r="K63" s="2"/>
      <c r="L63" s="2"/>
      <c r="M63" s="2"/>
      <c r="N63" s="2"/>
      <c r="O63" s="2"/>
      <c r="P63" s="2"/>
      <c r="Q63" s="2"/>
      <c r="R63" s="2"/>
      <c r="S63" s="2"/>
      <c r="T63" s="2"/>
      <c r="U63" s="2"/>
      <c r="V63" s="2"/>
      <c r="W63" s="2"/>
      <c r="X63" s="2"/>
      <c r="Y63" s="2"/>
      <c r="Z63" s="2"/>
    </row>
    <row r="64">
      <c r="A64" s="2"/>
      <c r="B64" s="2"/>
      <c r="C64" s="2"/>
      <c r="D64" s="2"/>
      <c r="E64" s="2"/>
      <c r="F64" s="2"/>
      <c r="G64" s="2"/>
      <c r="H64" s="2"/>
      <c r="I64" s="2"/>
      <c r="J64" s="2"/>
      <c r="K64" s="2"/>
      <c r="L64" s="2"/>
      <c r="M64" s="2"/>
      <c r="N64" s="2"/>
      <c r="O64" s="2"/>
      <c r="P64" s="2"/>
      <c r="Q64" s="2"/>
      <c r="R64" s="2"/>
      <c r="S64" s="2"/>
      <c r="T64" s="2"/>
      <c r="U64" s="2"/>
      <c r="V64" s="2"/>
      <c r="W64" s="2"/>
      <c r="X64" s="2"/>
      <c r="Y64" s="2"/>
      <c r="Z64" s="2"/>
    </row>
    <row r="65">
      <c r="A65" s="2"/>
      <c r="B65" s="2"/>
      <c r="C65" s="2"/>
      <c r="D65" s="2"/>
      <c r="E65" s="2"/>
      <c r="F65" s="2"/>
      <c r="G65" s="2"/>
      <c r="H65" s="2"/>
      <c r="I65" s="2"/>
      <c r="J65" s="2"/>
      <c r="K65" s="2"/>
      <c r="L65" s="2"/>
      <c r="M65" s="2"/>
      <c r="N65" s="2"/>
      <c r="O65" s="2"/>
      <c r="P65" s="2"/>
      <c r="Q65" s="2"/>
      <c r="R65" s="2"/>
      <c r="S65" s="2"/>
      <c r="T65" s="2"/>
      <c r="U65" s="2"/>
      <c r="V65" s="2"/>
      <c r="W65" s="2"/>
      <c r="X65" s="2"/>
      <c r="Y65" s="2"/>
      <c r="Z65" s="2"/>
    </row>
    <row r="66">
      <c r="A66" s="2"/>
      <c r="B66" s="2"/>
      <c r="C66" s="2"/>
      <c r="D66" s="2"/>
      <c r="E66" s="2"/>
      <c r="F66" s="2"/>
      <c r="G66" s="2"/>
      <c r="H66" s="2"/>
      <c r="I66" s="2"/>
      <c r="J66" s="2"/>
      <c r="K66" s="2"/>
      <c r="L66" s="2"/>
      <c r="M66" s="2"/>
      <c r="N66" s="2"/>
      <c r="O66" s="2"/>
      <c r="P66" s="2"/>
      <c r="Q66" s="2"/>
      <c r="R66" s="2"/>
      <c r="S66" s="2"/>
      <c r="T66" s="2"/>
      <c r="U66" s="2"/>
      <c r="V66" s="2"/>
      <c r="W66" s="2"/>
      <c r="X66" s="2"/>
      <c r="Y66" s="2"/>
      <c r="Z66" s="2"/>
    </row>
    <row r="67">
      <c r="A67" s="2"/>
      <c r="B67" s="2"/>
      <c r="C67" s="2"/>
      <c r="D67" s="2"/>
      <c r="E67" s="2"/>
      <c r="F67" s="2"/>
      <c r="G67" s="2"/>
      <c r="H67" s="2"/>
      <c r="I67" s="2"/>
      <c r="J67" s="2"/>
      <c r="K67" s="2"/>
      <c r="L67" s="2"/>
      <c r="M67" s="2"/>
      <c r="N67" s="2"/>
      <c r="O67" s="2"/>
      <c r="P67" s="2"/>
      <c r="Q67" s="2"/>
      <c r="R67" s="2"/>
      <c r="S67" s="2"/>
      <c r="T67" s="2"/>
      <c r="U67" s="2"/>
      <c r="V67" s="2"/>
      <c r="W67" s="2"/>
      <c r="X67" s="2"/>
      <c r="Y67" s="2"/>
      <c r="Z67" s="2"/>
    </row>
    <row r="68">
      <c r="A68" s="2"/>
      <c r="B68" s="2"/>
      <c r="C68" s="2"/>
      <c r="D68" s="2"/>
      <c r="E68" s="2"/>
      <c r="F68" s="2"/>
      <c r="G68" s="2"/>
      <c r="H68" s="2"/>
      <c r="I68" s="2"/>
      <c r="J68" s="2"/>
      <c r="K68" s="2"/>
      <c r="L68" s="2"/>
      <c r="M68" s="2"/>
      <c r="N68" s="2"/>
      <c r="O68" s="2"/>
      <c r="P68" s="2"/>
      <c r="Q68" s="2"/>
      <c r="R68" s="2"/>
      <c r="S68" s="2"/>
      <c r="T68" s="2"/>
      <c r="U68" s="2"/>
      <c r="V68" s="2"/>
      <c r="W68" s="2"/>
      <c r="X68" s="2"/>
      <c r="Y68" s="2"/>
      <c r="Z68" s="2"/>
    </row>
    <row r="69">
      <c r="A69" s="2"/>
      <c r="B69" s="2"/>
      <c r="C69" s="2"/>
      <c r="D69" s="2"/>
      <c r="E69" s="2"/>
      <c r="F69" s="2"/>
      <c r="G69" s="2"/>
      <c r="H69" s="2"/>
      <c r="I69" s="2"/>
      <c r="J69" s="2"/>
      <c r="K69" s="2"/>
      <c r="L69" s="2"/>
      <c r="M69" s="2"/>
      <c r="N69" s="2"/>
      <c r="O69" s="2"/>
      <c r="P69" s="2"/>
      <c r="Q69" s="2"/>
      <c r="R69" s="2"/>
      <c r="S69" s="2"/>
      <c r="T69" s="2"/>
      <c r="U69" s="2"/>
      <c r="V69" s="2"/>
      <c r="W69" s="2"/>
      <c r="X69" s="2"/>
      <c r="Y69" s="2"/>
      <c r="Z69" s="2"/>
    </row>
    <row r="70">
      <c r="A70" s="2"/>
      <c r="B70" s="2"/>
      <c r="C70" s="2"/>
      <c r="D70" s="2"/>
      <c r="E70" s="2"/>
      <c r="F70" s="2"/>
      <c r="G70" s="2"/>
      <c r="H70" s="2"/>
      <c r="I70" s="2"/>
      <c r="J70" s="2"/>
      <c r="K70" s="2"/>
      <c r="L70" s="2"/>
      <c r="M70" s="2"/>
      <c r="N70" s="2"/>
      <c r="O70" s="2"/>
      <c r="P70" s="2"/>
      <c r="Q70" s="2"/>
      <c r="R70" s="2"/>
      <c r="S70" s="2"/>
      <c r="T70" s="2"/>
      <c r="U70" s="2"/>
      <c r="V70" s="2"/>
      <c r="W70" s="2"/>
      <c r="X70" s="2"/>
      <c r="Y70" s="2"/>
      <c r="Z70" s="2"/>
    </row>
    <row r="71">
      <c r="A71" s="2"/>
      <c r="B71" s="2"/>
      <c r="C71" s="2"/>
      <c r="D71" s="2"/>
      <c r="E71" s="2"/>
      <c r="F71" s="2"/>
      <c r="G71" s="2"/>
      <c r="H71" s="2"/>
      <c r="I71" s="2"/>
      <c r="J71" s="2"/>
      <c r="K71" s="2"/>
      <c r="L71" s="2"/>
      <c r="M71" s="2"/>
      <c r="N71" s="2"/>
      <c r="O71" s="2"/>
      <c r="P71" s="2"/>
      <c r="Q71" s="2"/>
      <c r="R71" s="2"/>
      <c r="S71" s="2"/>
      <c r="T71" s="2"/>
      <c r="U71" s="2"/>
      <c r="V71" s="2"/>
      <c r="W71" s="2"/>
      <c r="X71" s="2"/>
      <c r="Y71" s="2"/>
      <c r="Z71" s="2"/>
    </row>
    <row r="72">
      <c r="A72" s="2"/>
      <c r="B72" s="2"/>
      <c r="C72" s="2"/>
      <c r="D72" s="2"/>
      <c r="E72" s="2"/>
      <c r="F72" s="2"/>
      <c r="G72" s="2"/>
      <c r="H72" s="2"/>
      <c r="I72" s="2"/>
      <c r="J72" s="2"/>
      <c r="K72" s="2"/>
      <c r="L72" s="2"/>
      <c r="M72" s="2"/>
      <c r="N72" s="2"/>
      <c r="O72" s="2"/>
      <c r="P72" s="2"/>
      <c r="Q72" s="2"/>
      <c r="R72" s="2"/>
      <c r="S72" s="2"/>
      <c r="T72" s="2"/>
      <c r="U72" s="2"/>
      <c r="V72" s="2"/>
      <c r="W72" s="2"/>
      <c r="X72" s="2"/>
      <c r="Y72" s="2"/>
      <c r="Z72" s="2"/>
    </row>
    <row r="73">
      <c r="A73" s="2"/>
      <c r="B73" s="2"/>
      <c r="C73" s="2"/>
      <c r="D73" s="2"/>
      <c r="E73" s="2"/>
      <c r="F73" s="2"/>
      <c r="G73" s="2"/>
      <c r="H73" s="2"/>
      <c r="I73" s="2"/>
      <c r="J73" s="2"/>
      <c r="K73" s="2"/>
      <c r="L73" s="2"/>
      <c r="M73" s="2"/>
      <c r="N73" s="2"/>
      <c r="O73" s="2"/>
      <c r="P73" s="2"/>
      <c r="Q73" s="2"/>
      <c r="R73" s="2"/>
      <c r="S73" s="2"/>
      <c r="T73" s="2"/>
      <c r="U73" s="2"/>
      <c r="V73" s="2"/>
      <c r="W73" s="2"/>
      <c r="X73" s="2"/>
      <c r="Y73" s="2"/>
      <c r="Z73" s="2"/>
    </row>
    <row r="74">
      <c r="A74" s="2"/>
      <c r="B74" s="2"/>
      <c r="C74" s="2"/>
      <c r="D74" s="2"/>
      <c r="E74" s="2"/>
      <c r="F74" s="2"/>
      <c r="G74" s="2"/>
      <c r="H74" s="2"/>
      <c r="I74" s="2"/>
      <c r="J74" s="2"/>
      <c r="K74" s="2"/>
      <c r="L74" s="2"/>
      <c r="M74" s="2"/>
      <c r="N74" s="2"/>
      <c r="O74" s="2"/>
      <c r="P74" s="2"/>
      <c r="Q74" s="2"/>
      <c r="R74" s="2"/>
      <c r="S74" s="2"/>
      <c r="T74" s="2"/>
      <c r="U74" s="2"/>
      <c r="V74" s="2"/>
      <c r="W74" s="2"/>
      <c r="X74" s="2"/>
      <c r="Y74" s="2"/>
      <c r="Z74" s="2"/>
    </row>
    <row r="75">
      <c r="A75" s="2"/>
      <c r="B75" s="2"/>
      <c r="C75" s="2"/>
      <c r="D75" s="2"/>
      <c r="E75" s="2"/>
      <c r="F75" s="2"/>
      <c r="G75" s="2"/>
      <c r="H75" s="2"/>
      <c r="I75" s="2"/>
      <c r="J75" s="2"/>
      <c r="K75" s="2"/>
      <c r="L75" s="2"/>
      <c r="M75" s="2"/>
      <c r="N75" s="2"/>
      <c r="O75" s="2"/>
      <c r="P75" s="2"/>
      <c r="Q75" s="2"/>
      <c r="R75" s="2"/>
      <c r="S75" s="2"/>
      <c r="T75" s="2"/>
      <c r="U75" s="2"/>
      <c r="V75" s="2"/>
      <c r="W75" s="2"/>
      <c r="X75" s="2"/>
      <c r="Y75" s="2"/>
      <c r="Z75" s="2"/>
    </row>
    <row r="76">
      <c r="A76" s="2"/>
      <c r="B76" s="2"/>
      <c r="C76" s="2"/>
      <c r="D76" s="2"/>
      <c r="E76" s="2"/>
      <c r="F76" s="2"/>
      <c r="G76" s="2"/>
      <c r="H76" s="2"/>
      <c r="I76" s="2"/>
      <c r="J76" s="2"/>
      <c r="K76" s="2"/>
      <c r="L76" s="2"/>
      <c r="M76" s="2"/>
      <c r="N76" s="2"/>
      <c r="O76" s="2"/>
      <c r="P76" s="2"/>
      <c r="Q76" s="2"/>
      <c r="R76" s="2"/>
      <c r="S76" s="2"/>
      <c r="T76" s="2"/>
      <c r="U76" s="2"/>
      <c r="V76" s="2"/>
      <c r="W76" s="2"/>
      <c r="X76" s="2"/>
      <c r="Y76" s="2"/>
      <c r="Z76" s="2"/>
    </row>
    <row r="77">
      <c r="A77" s="2"/>
      <c r="B77" s="2"/>
      <c r="C77" s="2"/>
      <c r="D77" s="2"/>
      <c r="E77" s="2"/>
      <c r="F77" s="2"/>
      <c r="G77" s="2"/>
      <c r="H77" s="2"/>
      <c r="I77" s="2"/>
      <c r="J77" s="2"/>
      <c r="K77" s="2"/>
      <c r="L77" s="2"/>
      <c r="M77" s="2"/>
      <c r="N77" s="2"/>
      <c r="O77" s="2"/>
      <c r="P77" s="2"/>
      <c r="Q77" s="2"/>
      <c r="R77" s="2"/>
      <c r="S77" s="2"/>
      <c r="T77" s="2"/>
      <c r="U77" s="2"/>
      <c r="V77" s="2"/>
      <c r="W77" s="2"/>
      <c r="X77" s="2"/>
      <c r="Y77" s="2"/>
      <c r="Z77" s="2"/>
    </row>
    <row r="78">
      <c r="A78" s="2"/>
      <c r="B78" s="2"/>
      <c r="C78" s="2"/>
      <c r="D78" s="2"/>
      <c r="E78" s="2"/>
      <c r="F78" s="2"/>
      <c r="G78" s="2"/>
      <c r="H78" s="2"/>
      <c r="I78" s="2"/>
      <c r="J78" s="2"/>
      <c r="K78" s="2"/>
      <c r="L78" s="2"/>
      <c r="M78" s="2"/>
      <c r="N78" s="2"/>
      <c r="O78" s="2"/>
      <c r="P78" s="2"/>
      <c r="Q78" s="2"/>
      <c r="R78" s="2"/>
      <c r="S78" s="2"/>
      <c r="T78" s="2"/>
      <c r="U78" s="2"/>
      <c r="V78" s="2"/>
      <c r="W78" s="2"/>
      <c r="X78" s="2"/>
      <c r="Y78" s="2"/>
      <c r="Z78" s="2"/>
    </row>
    <row r="79">
      <c r="A79" s="2"/>
      <c r="B79" s="2"/>
      <c r="C79" s="2"/>
      <c r="D79" s="2"/>
      <c r="E79" s="2"/>
      <c r="F79" s="2"/>
      <c r="G79" s="2"/>
      <c r="H79" s="2"/>
      <c r="I79" s="2"/>
      <c r="J79" s="2"/>
      <c r="K79" s="2"/>
      <c r="L79" s="2"/>
      <c r="M79" s="2"/>
      <c r="N79" s="2"/>
      <c r="O79" s="2"/>
      <c r="P79" s="2"/>
      <c r="Q79" s="2"/>
      <c r="R79" s="2"/>
      <c r="S79" s="2"/>
      <c r="T79" s="2"/>
      <c r="U79" s="2"/>
      <c r="V79" s="2"/>
      <c r="W79" s="2"/>
      <c r="X79" s="2"/>
      <c r="Y79" s="2"/>
      <c r="Z79" s="2"/>
    </row>
    <row r="80">
      <c r="A80" s="2"/>
      <c r="B80" s="2"/>
      <c r="C80" s="2"/>
      <c r="D80" s="2"/>
      <c r="E80" s="2"/>
      <c r="F80" s="2"/>
      <c r="G80" s="2"/>
      <c r="H80" s="2"/>
      <c r="I80" s="2"/>
      <c r="J80" s="2"/>
      <c r="K80" s="2"/>
      <c r="L80" s="2"/>
      <c r="M80" s="2"/>
      <c r="N80" s="2"/>
      <c r="O80" s="2"/>
      <c r="P80" s="2"/>
      <c r="Q80" s="2"/>
      <c r="R80" s="2"/>
      <c r="S80" s="2"/>
      <c r="T80" s="2"/>
      <c r="U80" s="2"/>
      <c r="V80" s="2"/>
      <c r="W80" s="2"/>
      <c r="X80" s="2"/>
      <c r="Y80" s="2"/>
      <c r="Z80" s="2"/>
    </row>
    <row r="81">
      <c r="A81" s="2"/>
      <c r="B81" s="2"/>
      <c r="C81" s="2"/>
      <c r="D81" s="2"/>
      <c r="E81" s="2"/>
      <c r="F81" s="2"/>
      <c r="G81" s="2"/>
      <c r="H81" s="2"/>
      <c r="I81" s="2"/>
      <c r="J81" s="2"/>
      <c r="K81" s="2"/>
      <c r="L81" s="2"/>
      <c r="M81" s="2"/>
      <c r="N81" s="2"/>
      <c r="O81" s="2"/>
      <c r="P81" s="2"/>
      <c r="Q81" s="2"/>
      <c r="R81" s="2"/>
      <c r="S81" s="2"/>
      <c r="T81" s="2"/>
      <c r="U81" s="2"/>
      <c r="V81" s="2"/>
      <c r="W81" s="2"/>
      <c r="X81" s="2"/>
      <c r="Y81" s="2"/>
      <c r="Z81" s="2"/>
    </row>
    <row r="82">
      <c r="A82" s="2"/>
      <c r="B82" s="2"/>
      <c r="C82" s="2"/>
      <c r="D82" s="2"/>
      <c r="E82" s="2"/>
      <c r="F82" s="2"/>
      <c r="G82" s="2"/>
      <c r="H82" s="2"/>
      <c r="I82" s="2"/>
      <c r="J82" s="2"/>
      <c r="K82" s="2"/>
      <c r="L82" s="2"/>
      <c r="M82" s="2"/>
      <c r="N82" s="2"/>
      <c r="O82" s="2"/>
      <c r="P82" s="2"/>
      <c r="Q82" s="2"/>
      <c r="R82" s="2"/>
      <c r="S82" s="2"/>
      <c r="T82" s="2"/>
      <c r="U82" s="2"/>
      <c r="V82" s="2"/>
      <c r="W82" s="2"/>
      <c r="X82" s="2"/>
      <c r="Y82" s="2"/>
      <c r="Z82" s="2"/>
    </row>
    <row r="83">
      <c r="A83" s="2"/>
      <c r="B83" s="2"/>
      <c r="C83" s="2"/>
      <c r="D83" s="2"/>
      <c r="E83" s="2"/>
      <c r="F83" s="2"/>
      <c r="G83" s="2"/>
      <c r="H83" s="2"/>
      <c r="I83" s="2"/>
      <c r="J83" s="2"/>
      <c r="K83" s="2"/>
      <c r="L83" s="2"/>
      <c r="M83" s="2"/>
      <c r="N83" s="2"/>
      <c r="O83" s="2"/>
      <c r="P83" s="2"/>
      <c r="Q83" s="2"/>
      <c r="R83" s="2"/>
      <c r="S83" s="2"/>
      <c r="T83" s="2"/>
      <c r="U83" s="2"/>
      <c r="V83" s="2"/>
      <c r="W83" s="2"/>
      <c r="X83" s="2"/>
      <c r="Y83" s="2"/>
      <c r="Z83" s="2"/>
    </row>
    <row r="84">
      <c r="A84" s="2"/>
      <c r="B84" s="2"/>
      <c r="C84" s="2"/>
      <c r="D84" s="2"/>
      <c r="E84" s="2"/>
      <c r="F84" s="2"/>
      <c r="G84" s="2"/>
      <c r="H84" s="2"/>
      <c r="I84" s="2"/>
      <c r="J84" s="2"/>
      <c r="K84" s="2"/>
      <c r="L84" s="2"/>
      <c r="M84" s="2"/>
      <c r="N84" s="2"/>
      <c r="O84" s="2"/>
      <c r="P84" s="2"/>
      <c r="Q84" s="2"/>
      <c r="R84" s="2"/>
      <c r="S84" s="2"/>
      <c r="T84" s="2"/>
      <c r="U84" s="2"/>
      <c r="V84" s="2"/>
      <c r="W84" s="2"/>
      <c r="X84" s="2"/>
      <c r="Y84" s="2"/>
      <c r="Z84" s="2"/>
    </row>
    <row r="85">
      <c r="A85" s="2"/>
      <c r="B85" s="2"/>
      <c r="C85" s="2"/>
      <c r="D85" s="2"/>
      <c r="E85" s="2"/>
      <c r="F85" s="2"/>
      <c r="G85" s="2"/>
      <c r="H85" s="2"/>
      <c r="I85" s="2"/>
      <c r="J85" s="2"/>
      <c r="K85" s="2"/>
      <c r="L85" s="2"/>
      <c r="M85" s="2"/>
      <c r="N85" s="2"/>
      <c r="O85" s="2"/>
      <c r="P85" s="2"/>
      <c r="Q85" s="2"/>
      <c r="R85" s="2"/>
      <c r="S85" s="2"/>
      <c r="T85" s="2"/>
      <c r="U85" s="2"/>
      <c r="V85" s="2"/>
      <c r="W85" s="2"/>
      <c r="X85" s="2"/>
      <c r="Y85" s="2"/>
      <c r="Z85" s="2"/>
    </row>
    <row r="86">
      <c r="A86" s="2"/>
      <c r="B86" s="2"/>
      <c r="C86" s="2"/>
      <c r="D86" s="2"/>
      <c r="E86" s="2"/>
      <c r="F86" s="2"/>
      <c r="G86" s="2"/>
      <c r="H86" s="2"/>
      <c r="I86" s="2"/>
      <c r="J86" s="2"/>
      <c r="K86" s="2"/>
      <c r="L86" s="2"/>
      <c r="M86" s="2"/>
      <c r="N86" s="2"/>
      <c r="O86" s="2"/>
      <c r="P86" s="2"/>
      <c r="Q86" s="2"/>
      <c r="R86" s="2"/>
      <c r="S86" s="2"/>
      <c r="T86" s="2"/>
      <c r="U86" s="2"/>
      <c r="V86" s="2"/>
      <c r="W86" s="2"/>
      <c r="X86" s="2"/>
      <c r="Y86" s="2"/>
      <c r="Z86" s="2"/>
    </row>
    <row r="87">
      <c r="A87" s="2"/>
      <c r="B87" s="2"/>
      <c r="C87" s="2"/>
      <c r="D87" s="2"/>
      <c r="E87" s="2"/>
      <c r="F87" s="2"/>
      <c r="G87" s="2"/>
      <c r="H87" s="2"/>
      <c r="I87" s="2"/>
      <c r="J87" s="2"/>
      <c r="K87" s="2"/>
      <c r="L87" s="2"/>
      <c r="M87" s="2"/>
      <c r="N87" s="2"/>
      <c r="O87" s="2"/>
      <c r="P87" s="2"/>
      <c r="Q87" s="2"/>
      <c r="R87" s="2"/>
      <c r="S87" s="2"/>
      <c r="T87" s="2"/>
      <c r="U87" s="2"/>
      <c r="V87" s="2"/>
      <c r="W87" s="2"/>
      <c r="X87" s="2"/>
      <c r="Y87" s="2"/>
      <c r="Z87" s="2"/>
    </row>
    <row r="88">
      <c r="A88" s="2"/>
      <c r="B88" s="2"/>
      <c r="C88" s="2"/>
      <c r="D88" s="2"/>
      <c r="E88" s="2"/>
      <c r="F88" s="2"/>
      <c r="G88" s="2"/>
      <c r="H88" s="2"/>
      <c r="I88" s="2"/>
      <c r="J88" s="2"/>
      <c r="K88" s="2"/>
      <c r="L88" s="2"/>
      <c r="M88" s="2"/>
      <c r="N88" s="2"/>
      <c r="O88" s="2"/>
      <c r="P88" s="2"/>
      <c r="Q88" s="2"/>
      <c r="R88" s="2"/>
      <c r="S88" s="2"/>
      <c r="T88" s="2"/>
      <c r="U88" s="2"/>
      <c r="V88" s="2"/>
      <c r="W88" s="2"/>
      <c r="X88" s="2"/>
      <c r="Y88" s="2"/>
      <c r="Z88" s="2"/>
    </row>
    <row r="89">
      <c r="A89" s="2"/>
      <c r="B89" s="2"/>
      <c r="C89" s="2"/>
      <c r="D89" s="2"/>
      <c r="E89" s="2"/>
      <c r="F89" s="2"/>
      <c r="G89" s="2"/>
      <c r="H89" s="2"/>
      <c r="I89" s="2"/>
      <c r="J89" s="2"/>
      <c r="K89" s="2"/>
      <c r="L89" s="2"/>
      <c r="M89" s="2"/>
      <c r="N89" s="2"/>
      <c r="O89" s="2"/>
      <c r="P89" s="2"/>
      <c r="Q89" s="2"/>
      <c r="R89" s="2"/>
      <c r="S89" s="2"/>
      <c r="T89" s="2"/>
      <c r="U89" s="2"/>
      <c r="V89" s="2"/>
      <c r="W89" s="2"/>
      <c r="X89" s="2"/>
      <c r="Y89" s="2"/>
      <c r="Z89" s="2"/>
    </row>
    <row r="90">
      <c r="A90" s="2"/>
      <c r="B90" s="2"/>
      <c r="C90" s="2"/>
      <c r="D90" s="2"/>
      <c r="E90" s="2"/>
      <c r="F90" s="2"/>
      <c r="G90" s="2"/>
      <c r="H90" s="2"/>
      <c r="I90" s="2"/>
      <c r="J90" s="2"/>
      <c r="K90" s="2"/>
      <c r="L90" s="2"/>
      <c r="M90" s="2"/>
      <c r="N90" s="2"/>
      <c r="O90" s="2"/>
      <c r="P90" s="2"/>
      <c r="Q90" s="2"/>
      <c r="R90" s="2"/>
      <c r="S90" s="2"/>
      <c r="T90" s="2"/>
      <c r="U90" s="2"/>
      <c r="V90" s="2"/>
      <c r="W90" s="2"/>
      <c r="X90" s="2"/>
      <c r="Y90" s="2"/>
      <c r="Z90" s="2"/>
    </row>
    <row r="91">
      <c r="A91" s="2"/>
      <c r="B91" s="2"/>
      <c r="C91" s="2"/>
      <c r="D91" s="2"/>
      <c r="E91" s="2"/>
      <c r="F91" s="2"/>
      <c r="G91" s="2"/>
      <c r="H91" s="2"/>
      <c r="I91" s="2"/>
      <c r="J91" s="2"/>
      <c r="K91" s="2"/>
      <c r="L91" s="2"/>
      <c r="M91" s="2"/>
      <c r="N91" s="2"/>
      <c r="O91" s="2"/>
      <c r="P91" s="2"/>
      <c r="Q91" s="2"/>
      <c r="R91" s="2"/>
      <c r="S91" s="2"/>
      <c r="T91" s="2"/>
      <c r="U91" s="2"/>
      <c r="V91" s="2"/>
      <c r="W91" s="2"/>
      <c r="X91" s="2"/>
      <c r="Y91" s="2"/>
      <c r="Z91" s="2"/>
    </row>
    <row r="92">
      <c r="A92" s="2"/>
      <c r="B92" s="2"/>
      <c r="C92" s="2"/>
      <c r="D92" s="2"/>
      <c r="E92" s="2"/>
      <c r="F92" s="2"/>
      <c r="G92" s="2"/>
      <c r="H92" s="2"/>
      <c r="I92" s="2"/>
      <c r="J92" s="2"/>
      <c r="K92" s="2"/>
      <c r="L92" s="2"/>
      <c r="M92" s="2"/>
      <c r="N92" s="2"/>
      <c r="O92" s="2"/>
      <c r="P92" s="2"/>
      <c r="Q92" s="2"/>
      <c r="R92" s="2"/>
      <c r="S92" s="2"/>
      <c r="T92" s="2"/>
      <c r="U92" s="2"/>
      <c r="V92" s="2"/>
      <c r="W92" s="2"/>
      <c r="X92" s="2"/>
      <c r="Y92" s="2"/>
      <c r="Z92" s="2"/>
    </row>
    <row r="93">
      <c r="A93" s="2"/>
      <c r="B93" s="2"/>
      <c r="C93" s="2"/>
      <c r="D93" s="2"/>
      <c r="E93" s="2"/>
      <c r="F93" s="2"/>
      <c r="G93" s="2"/>
      <c r="H93" s="2"/>
      <c r="I93" s="2"/>
      <c r="J93" s="2"/>
      <c r="K93" s="2"/>
      <c r="L93" s="2"/>
      <c r="M93" s="2"/>
      <c r="N93" s="2"/>
      <c r="O93" s="2"/>
      <c r="P93" s="2"/>
      <c r="Q93" s="2"/>
      <c r="R93" s="2"/>
      <c r="S93" s="2"/>
      <c r="T93" s="2"/>
      <c r="U93" s="2"/>
      <c r="V93" s="2"/>
      <c r="W93" s="2"/>
      <c r="X93" s="2"/>
      <c r="Y93" s="2"/>
      <c r="Z93" s="2"/>
    </row>
    <row r="94">
      <c r="A94" s="2"/>
      <c r="B94" s="2"/>
      <c r="C94" s="2"/>
      <c r="D94" s="2"/>
      <c r="E94" s="2"/>
      <c r="F94" s="2"/>
      <c r="G94" s="2"/>
      <c r="H94" s="2"/>
      <c r="I94" s="2"/>
      <c r="J94" s="2"/>
      <c r="K94" s="2"/>
      <c r="L94" s="2"/>
      <c r="M94" s="2"/>
      <c r="N94" s="2"/>
      <c r="O94" s="2"/>
      <c r="P94" s="2"/>
      <c r="Q94" s="2"/>
      <c r="R94" s="2"/>
      <c r="S94" s="2"/>
      <c r="T94" s="2"/>
      <c r="U94" s="2"/>
      <c r="V94" s="2"/>
      <c r="W94" s="2"/>
      <c r="X94" s="2"/>
      <c r="Y94" s="2"/>
      <c r="Z94" s="2"/>
    </row>
    <row r="95">
      <c r="A95" s="2"/>
      <c r="B95" s="2"/>
      <c r="C95" s="2"/>
      <c r="D95" s="2"/>
      <c r="E95" s="2"/>
      <c r="F95" s="2"/>
      <c r="G95" s="2"/>
      <c r="H95" s="2"/>
      <c r="I95" s="2"/>
      <c r="J95" s="2"/>
      <c r="K95" s="2"/>
      <c r="L95" s="2"/>
      <c r="M95" s="2"/>
      <c r="N95" s="2"/>
      <c r="O95" s="2"/>
      <c r="P95" s="2"/>
      <c r="Q95" s="2"/>
      <c r="R95" s="2"/>
      <c r="S95" s="2"/>
      <c r="T95" s="2"/>
      <c r="U95" s="2"/>
      <c r="V95" s="2"/>
      <c r="W95" s="2"/>
      <c r="X95" s="2"/>
      <c r="Y95" s="2"/>
      <c r="Z95" s="2"/>
    </row>
    <row r="96">
      <c r="A96" s="2"/>
      <c r="B96" s="2"/>
      <c r="C96" s="2"/>
      <c r="D96" s="2"/>
      <c r="E96" s="2"/>
      <c r="F96" s="2"/>
      <c r="G96" s="2"/>
      <c r="H96" s="2"/>
      <c r="I96" s="2"/>
      <c r="J96" s="2"/>
      <c r="K96" s="2"/>
      <c r="L96" s="2"/>
      <c r="M96" s="2"/>
      <c r="N96" s="2"/>
      <c r="O96" s="2"/>
      <c r="P96" s="2"/>
      <c r="Q96" s="2"/>
      <c r="R96" s="2"/>
      <c r="S96" s="2"/>
      <c r="T96" s="2"/>
      <c r="U96" s="2"/>
      <c r="V96" s="2"/>
      <c r="W96" s="2"/>
      <c r="X96" s="2"/>
      <c r="Y96" s="2"/>
      <c r="Z96" s="2"/>
    </row>
    <row r="97">
      <c r="A97" s="2"/>
      <c r="B97" s="2"/>
      <c r="C97" s="2"/>
      <c r="D97" s="2"/>
      <c r="E97" s="2"/>
      <c r="F97" s="2"/>
      <c r="G97" s="2"/>
      <c r="H97" s="2"/>
      <c r="I97" s="2"/>
      <c r="J97" s="2"/>
      <c r="K97" s="2"/>
      <c r="L97" s="2"/>
      <c r="M97" s="2"/>
      <c r="N97" s="2"/>
      <c r="O97" s="2"/>
      <c r="P97" s="2"/>
      <c r="Q97" s="2"/>
      <c r="R97" s="2"/>
      <c r="S97" s="2"/>
      <c r="T97" s="2"/>
      <c r="U97" s="2"/>
      <c r="V97" s="2"/>
      <c r="W97" s="2"/>
      <c r="X97" s="2"/>
      <c r="Y97" s="2"/>
      <c r="Z97" s="2"/>
    </row>
    <row r="98">
      <c r="A98" s="2"/>
      <c r="B98" s="2"/>
      <c r="C98" s="2"/>
      <c r="D98" s="2"/>
      <c r="E98" s="2"/>
      <c r="F98" s="2"/>
      <c r="G98" s="2"/>
      <c r="H98" s="2"/>
      <c r="I98" s="2"/>
      <c r="J98" s="2"/>
      <c r="K98" s="2"/>
      <c r="L98" s="2"/>
      <c r="M98" s="2"/>
      <c r="N98" s="2"/>
      <c r="O98" s="2"/>
      <c r="P98" s="2"/>
      <c r="Q98" s="2"/>
      <c r="R98" s="2"/>
      <c r="S98" s="2"/>
      <c r="T98" s="2"/>
      <c r="U98" s="2"/>
      <c r="V98" s="2"/>
      <c r="W98" s="2"/>
      <c r="X98" s="2"/>
      <c r="Y98" s="2"/>
      <c r="Z98" s="2"/>
    </row>
    <row r="99">
      <c r="A99" s="2"/>
      <c r="B99" s="2"/>
      <c r="C99" s="2"/>
      <c r="D99" s="2"/>
      <c r="E99" s="2"/>
      <c r="F99" s="2"/>
      <c r="G99" s="2"/>
      <c r="H99" s="2"/>
      <c r="I99" s="2"/>
      <c r="J99" s="2"/>
      <c r="K99" s="2"/>
      <c r="L99" s="2"/>
      <c r="M99" s="2"/>
      <c r="N99" s="2"/>
      <c r="O99" s="2"/>
      <c r="P99" s="2"/>
      <c r="Q99" s="2"/>
      <c r="R99" s="2"/>
      <c r="S99" s="2"/>
      <c r="T99" s="2"/>
      <c r="U99" s="2"/>
      <c r="V99" s="2"/>
      <c r="W99" s="2"/>
      <c r="X99" s="2"/>
      <c r="Y99" s="2"/>
      <c r="Z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hyperlinks>
    <hyperlink r:id="rId1" location="/report?id=102%3ADetailSalesTrafficByTime&amp;chartCols=17&amp;columns=0%2F1%2F2%2F3%2F4%2F5%2F6%2F17%2F18%2F23%2F24%2F25%2F26%2F29%2F30%2F31%2F32" ref="A1"/>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5" max="5" width="37.5"/>
  </cols>
  <sheetData>
    <row r="1">
      <c r="A1" s="3" t="s">
        <v>5</v>
      </c>
      <c r="B1" s="3" t="s">
        <v>6</v>
      </c>
      <c r="C1" s="3" t="s">
        <v>7</v>
      </c>
      <c r="D1" s="4" t="s">
        <v>8</v>
      </c>
      <c r="E1" s="4" t="s">
        <v>9</v>
      </c>
      <c r="F1" s="3" t="s">
        <v>10</v>
      </c>
    </row>
    <row r="2">
      <c r="A2" s="5">
        <v>45747.0</v>
      </c>
      <c r="B2" s="5"/>
      <c r="C2" s="3" t="s">
        <v>11</v>
      </c>
      <c r="D2" s="3" t="s">
        <v>12</v>
      </c>
      <c r="E2" s="3" t="s">
        <v>13</v>
      </c>
    </row>
    <row r="3">
      <c r="A3" s="5">
        <v>45747.0</v>
      </c>
      <c r="B3" s="5"/>
      <c r="C3" s="3" t="s">
        <v>11</v>
      </c>
      <c r="D3" s="3" t="s">
        <v>14</v>
      </c>
      <c r="E3" s="3" t="s">
        <v>15</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ySplit="11.0" topLeftCell="A12" activePane="bottomLeft" state="frozen"/>
      <selection activeCell="B13" sqref="B13" pane="bottomLeft"/>
    </sheetView>
  </sheetViews>
  <sheetFormatPr customHeight="1" defaultColWidth="12.63" defaultRowHeight="15.75" outlineLevelRow="1"/>
  <cols>
    <col customWidth="1" min="1" max="1" width="19.0"/>
  </cols>
  <sheetData>
    <row r="1">
      <c r="A1" s="6" t="s">
        <v>16</v>
      </c>
      <c r="B1" s="7"/>
      <c r="C1" s="8"/>
      <c r="D1" s="8"/>
      <c r="E1" s="8"/>
      <c r="F1" s="8"/>
      <c r="G1" s="8"/>
      <c r="H1" s="8"/>
      <c r="I1" s="8"/>
      <c r="J1" s="8"/>
      <c r="K1" s="8"/>
      <c r="L1" s="8"/>
      <c r="M1" s="8"/>
      <c r="N1" s="8"/>
      <c r="O1" s="8"/>
      <c r="P1" s="8"/>
      <c r="Q1" s="8"/>
      <c r="R1" s="8"/>
      <c r="S1" s="8"/>
      <c r="T1" s="8"/>
      <c r="U1" s="9"/>
      <c r="V1" s="9"/>
      <c r="W1" s="10"/>
      <c r="X1" s="10"/>
      <c r="Y1" s="10"/>
      <c r="Z1" s="10"/>
    </row>
    <row r="2">
      <c r="A2" s="11" t="s">
        <v>17</v>
      </c>
      <c r="B2" s="12"/>
      <c r="C2" s="12"/>
      <c r="D2" s="12"/>
      <c r="E2" s="12"/>
      <c r="F2" s="12"/>
      <c r="G2" s="12"/>
      <c r="H2" s="12"/>
      <c r="I2" s="12"/>
      <c r="J2" s="12"/>
      <c r="K2" s="12"/>
      <c r="L2" s="12"/>
      <c r="M2" s="12"/>
      <c r="N2" s="12"/>
      <c r="O2" s="12"/>
      <c r="P2" s="12"/>
      <c r="Q2" s="12"/>
      <c r="R2" s="12"/>
      <c r="S2" s="12"/>
      <c r="T2" s="13"/>
      <c r="U2" s="9"/>
      <c r="V2" s="9"/>
      <c r="W2" s="10"/>
      <c r="X2" s="10"/>
      <c r="Y2" s="10"/>
      <c r="Z2" s="10"/>
    </row>
    <row r="3">
      <c r="A3" s="9"/>
      <c r="C3" s="14" t="s">
        <v>18</v>
      </c>
      <c r="D3" s="12"/>
      <c r="E3" s="12"/>
      <c r="F3" s="13"/>
      <c r="G3" s="14" t="s">
        <v>19</v>
      </c>
      <c r="H3" s="12"/>
      <c r="I3" s="13"/>
      <c r="J3" s="14" t="s">
        <v>20</v>
      </c>
      <c r="K3" s="12"/>
      <c r="L3" s="12"/>
      <c r="M3" s="9"/>
      <c r="N3" s="15"/>
      <c r="O3" s="15"/>
      <c r="P3" s="15"/>
      <c r="Q3" s="15"/>
      <c r="R3" s="15"/>
      <c r="S3" s="15"/>
      <c r="T3" s="15"/>
      <c r="U3" s="9"/>
      <c r="V3" s="9"/>
      <c r="W3" s="10"/>
      <c r="X3" s="10"/>
      <c r="Y3" s="10"/>
      <c r="Z3" s="10"/>
    </row>
    <row r="4">
      <c r="C4" s="16">
        <f>VLOOKUP("Current Week",$A$11:$T$409,match("SALES",$A$11:$T$11,0),FALSE)</f>
        <v>7378.15</v>
      </c>
      <c r="D4" s="12"/>
      <c r="E4" s="13"/>
      <c r="F4" s="15"/>
      <c r="G4" s="17">
        <f>VLOOKUP("Current Week",$A$11:$T$409,match("ORDERS",$A$11:$T$11,0),FALSE)</f>
        <v>220</v>
      </c>
      <c r="H4" s="12"/>
      <c r="I4" s="13"/>
      <c r="J4" s="17">
        <f>VLOOKUP("Current Week",$A$11:$T$409,match("UNITS SOLD",$A$11:$T$11,0),FALSE)</f>
        <v>271</v>
      </c>
      <c r="K4" s="12"/>
      <c r="L4" s="12"/>
      <c r="N4" s="15"/>
      <c r="O4" s="15"/>
      <c r="P4" s="15"/>
      <c r="Q4" s="15"/>
      <c r="R4" s="15"/>
      <c r="S4" s="15"/>
      <c r="T4" s="15"/>
      <c r="U4" s="9"/>
      <c r="V4" s="9"/>
      <c r="W4" s="10"/>
      <c r="X4" s="10"/>
      <c r="Y4" s="10"/>
      <c r="Z4" s="10"/>
    </row>
    <row r="5">
      <c r="C5" s="18">
        <f>(C4-(VLOOKUP("Previous Week",$A$11:$T409,match("SALES",$A$11:$T$11,0),FALSE)))/C4</f>
        <v>0.2528411594</v>
      </c>
      <c r="D5" s="12"/>
      <c r="E5" s="12"/>
      <c r="F5" s="13"/>
      <c r="G5" s="18">
        <f>(G4-(VLOOKUP("Previous Week",$A$11:$T409,match("ORDERS",$A$11:$T$11,0),FALSE)))/G4</f>
        <v>0.1318181818</v>
      </c>
      <c r="H5" s="12"/>
      <c r="I5" s="13"/>
      <c r="J5" s="18">
        <f>(J4-(VLOOKUP("Previous Week",$A$11:$T409,match("UNITS SOLD",$A$11:$T$11,0),FALSE)))/J4</f>
        <v>0.2324723247</v>
      </c>
      <c r="K5" s="12"/>
      <c r="L5" s="12"/>
      <c r="N5" s="15"/>
      <c r="O5" s="15"/>
      <c r="P5" s="15"/>
      <c r="Q5" s="15"/>
      <c r="R5" s="15"/>
      <c r="S5" s="15"/>
      <c r="T5" s="15"/>
      <c r="U5" s="9"/>
      <c r="V5" s="9"/>
      <c r="W5" s="10"/>
      <c r="X5" s="10"/>
      <c r="Y5" s="10"/>
      <c r="Z5" s="10"/>
    </row>
    <row r="6">
      <c r="C6" s="15"/>
      <c r="D6" s="15"/>
      <c r="E6" s="15"/>
      <c r="F6" s="15"/>
      <c r="G6" s="15"/>
      <c r="H6" s="15"/>
      <c r="I6" s="15"/>
      <c r="J6" s="19"/>
      <c r="K6" s="12"/>
      <c r="L6" s="13"/>
      <c r="N6" s="15"/>
      <c r="O6" s="15"/>
      <c r="P6" s="15"/>
      <c r="Q6" s="15"/>
      <c r="R6" s="15"/>
      <c r="S6" s="15"/>
      <c r="T6" s="15"/>
      <c r="U6" s="9"/>
      <c r="V6" s="9"/>
      <c r="W6" s="10"/>
      <c r="X6" s="10"/>
      <c r="Y6" s="10"/>
      <c r="Z6" s="10"/>
    </row>
    <row r="7">
      <c r="C7" s="14" t="s">
        <v>21</v>
      </c>
      <c r="D7" s="12"/>
      <c r="E7" s="12"/>
      <c r="F7" s="13"/>
      <c r="G7" s="14" t="s">
        <v>22</v>
      </c>
      <c r="H7" s="12"/>
      <c r="I7" s="13"/>
      <c r="J7" s="14" t="s">
        <v>23</v>
      </c>
      <c r="K7" s="12"/>
      <c r="L7" s="12"/>
      <c r="N7" s="15"/>
      <c r="O7" s="15"/>
      <c r="P7" s="15"/>
      <c r="Q7" s="15"/>
      <c r="R7" s="15"/>
      <c r="S7" s="15"/>
      <c r="T7" s="15"/>
      <c r="U7" s="9"/>
      <c r="V7" s="9"/>
      <c r="W7" s="10"/>
      <c r="X7" s="10"/>
      <c r="Y7" s="10"/>
      <c r="Z7" s="10"/>
    </row>
    <row r="8">
      <c r="C8" s="16">
        <f>VLOOKUP("Current Week",$A$11:$T$409,match("AD SALES",$A$11:$T$11,0),FALSE)</f>
        <v>5455.48</v>
      </c>
      <c r="D8" s="12"/>
      <c r="E8" s="13"/>
      <c r="F8" s="15"/>
      <c r="G8" s="16">
        <f>VLOOKUP("Current Week",$A$11:$T$409,match("SP AD SPEND",$A$11:$T$11,0),FALSE)</f>
        <v>1735.14</v>
      </c>
      <c r="H8" s="12"/>
      <c r="I8" s="13"/>
      <c r="J8" s="20" t="str">
        <f>I8/E8</f>
        <v>#DIV/0!</v>
      </c>
      <c r="K8" s="12"/>
      <c r="L8" s="12"/>
      <c r="N8" s="15"/>
      <c r="O8" s="15"/>
      <c r="P8" s="15"/>
      <c r="Q8" s="15"/>
      <c r="R8" s="15"/>
      <c r="S8" s="15"/>
      <c r="T8" s="15"/>
      <c r="U8" s="9"/>
      <c r="V8" s="9"/>
      <c r="W8" s="10"/>
      <c r="X8" s="10"/>
      <c r="Y8" s="10"/>
      <c r="Z8" s="10"/>
    </row>
    <row r="9">
      <c r="A9" s="21"/>
      <c r="B9" s="21"/>
      <c r="C9" s="22">
        <f>(C8-(VLOOKUP("Previous Week",$A$11:$T409,match("AD SALES",$A$11:$T$11,0),FALSE)))/C8</f>
        <v>0.2596196852</v>
      </c>
      <c r="D9" s="21"/>
      <c r="E9" s="21"/>
      <c r="F9" s="23"/>
      <c r="G9" s="24">
        <f>(G8-(VLOOKUP("Previous Week",$A$11:$T409,match("SP AD SPEND",$A$11:$T$11,0),FALSE)))/G8</f>
        <v>0.1253558791</v>
      </c>
      <c r="H9" s="21"/>
      <c r="I9" s="23"/>
      <c r="J9" s="25" t="str">
        <f>(J8-(VLOOKUP("Previous Week",$A$11:$T409,match("ACoS",$A$11:$T$11,0),FALSE)))/J8</f>
        <v>#DIV/0!</v>
      </c>
      <c r="K9" s="21"/>
      <c r="L9" s="21"/>
      <c r="M9" s="21"/>
      <c r="N9" s="26"/>
      <c r="O9" s="26"/>
      <c r="P9" s="26"/>
      <c r="Q9" s="26"/>
      <c r="R9" s="26"/>
      <c r="S9" s="26"/>
      <c r="T9" s="26"/>
      <c r="U9" s="9"/>
      <c r="V9" s="9"/>
      <c r="W9" s="10"/>
      <c r="X9" s="10"/>
      <c r="Y9" s="10"/>
      <c r="Z9" s="10"/>
    </row>
    <row r="10">
      <c r="A10" s="27"/>
      <c r="B10" s="28"/>
      <c r="C10" s="28"/>
      <c r="D10" s="17" t="s">
        <v>24</v>
      </c>
      <c r="E10" s="12"/>
      <c r="F10" s="12"/>
      <c r="G10" s="12"/>
      <c r="H10" s="12"/>
      <c r="I10" s="12"/>
      <c r="J10" s="12"/>
      <c r="K10" s="29"/>
      <c r="L10" s="30" t="s">
        <v>25</v>
      </c>
      <c r="M10" s="12"/>
      <c r="N10" s="12"/>
      <c r="O10" s="12"/>
      <c r="P10" s="12"/>
      <c r="Q10" s="12"/>
      <c r="R10" s="29"/>
      <c r="S10" s="17" t="s">
        <v>26</v>
      </c>
      <c r="T10" s="29"/>
      <c r="U10" s="9"/>
      <c r="V10" s="9"/>
      <c r="W10" s="10"/>
      <c r="X10" s="10"/>
      <c r="Y10" s="10"/>
      <c r="Z10" s="10"/>
    </row>
    <row r="11">
      <c r="A11" s="31" t="s">
        <v>27</v>
      </c>
      <c r="B11" s="32" t="s">
        <v>28</v>
      </c>
      <c r="C11" s="33"/>
      <c r="D11" s="34" t="s">
        <v>29</v>
      </c>
      <c r="E11" s="34" t="s">
        <v>30</v>
      </c>
      <c r="F11" s="34" t="s">
        <v>31</v>
      </c>
      <c r="G11" s="34" t="s">
        <v>32</v>
      </c>
      <c r="H11" s="34" t="s">
        <v>33</v>
      </c>
      <c r="I11" s="34" t="s">
        <v>34</v>
      </c>
      <c r="J11" s="34" t="s">
        <v>35</v>
      </c>
      <c r="K11" s="32" t="s">
        <v>36</v>
      </c>
      <c r="L11" s="34" t="s">
        <v>37</v>
      </c>
      <c r="M11" s="34" t="s">
        <v>38</v>
      </c>
      <c r="N11" s="34" t="s">
        <v>39</v>
      </c>
      <c r="O11" s="34" t="s">
        <v>40</v>
      </c>
      <c r="P11" s="34" t="s">
        <v>23</v>
      </c>
      <c r="Q11" s="34" t="s">
        <v>41</v>
      </c>
      <c r="R11" s="32" t="s">
        <v>42</v>
      </c>
      <c r="S11" s="35" t="s">
        <v>29</v>
      </c>
      <c r="T11" s="32" t="s">
        <v>43</v>
      </c>
      <c r="U11" s="9"/>
      <c r="V11" s="9"/>
      <c r="W11" s="10"/>
      <c r="X11" s="10"/>
      <c r="Y11" s="10"/>
      <c r="Z11" s="10"/>
    </row>
    <row r="12" hidden="1" outlineLevel="1">
      <c r="A12" s="36" t="str">
        <f t="shared" ref="A12:A25" si="1">iferror(if(B12&gt;0,month(B12)&amp;"-"&amp;year(B12),B12),)</f>
        <v>12-2024</v>
      </c>
      <c r="B12" s="37">
        <v>45648.0</v>
      </c>
      <c r="C12" s="38"/>
      <c r="D12" s="39">
        <v>228.91</v>
      </c>
      <c r="E12" s="40">
        <v>9.0</v>
      </c>
      <c r="F12" s="40">
        <v>8.0</v>
      </c>
      <c r="G12" s="41">
        <f t="shared" ref="G12:G122" si="2">E12/F12</f>
        <v>1.125</v>
      </c>
      <c r="H12" s="39">
        <f t="shared" ref="H12:H25" si="3">D12/F12</f>
        <v>28.61375</v>
      </c>
      <c r="I12" s="39">
        <f t="shared" ref="I12:I25" si="4">D12/E12</f>
        <v>25.43444444</v>
      </c>
      <c r="J12" s="42">
        <v>156.0</v>
      </c>
      <c r="K12" s="43">
        <f t="shared" ref="K12:K122" si="5">E12/J12</f>
        <v>0.05769230769</v>
      </c>
      <c r="L12" s="39">
        <v>96.69</v>
      </c>
      <c r="M12" s="39">
        <v>201.92</v>
      </c>
      <c r="N12" s="40">
        <v>7.0</v>
      </c>
      <c r="O12" s="42">
        <v>22184.0</v>
      </c>
      <c r="P12" s="43">
        <f t="shared" ref="P12:P18" si="6">L12/M12</f>
        <v>0.4788530111</v>
      </c>
      <c r="Q12" s="44">
        <f t="shared" ref="Q12:Q122" si="7">M12/L12</f>
        <v>2.088323508</v>
      </c>
      <c r="R12" s="43">
        <f t="shared" ref="R12:R122" si="8">M12/D12</f>
        <v>0.8820933992</v>
      </c>
      <c r="S12" s="45"/>
      <c r="T12" s="46"/>
      <c r="U12" s="9"/>
      <c r="V12" s="9"/>
      <c r="W12" s="9"/>
      <c r="X12" s="9"/>
      <c r="Y12" s="9"/>
      <c r="Z12" s="9"/>
    </row>
    <row r="13" hidden="1" outlineLevel="1">
      <c r="A13" s="47" t="str">
        <f t="shared" si="1"/>
        <v>12-2024</v>
      </c>
      <c r="B13" s="37">
        <v>45649.0</v>
      </c>
      <c r="C13" s="48"/>
      <c r="D13" s="49">
        <v>124.95</v>
      </c>
      <c r="E13" s="50">
        <v>6.0</v>
      </c>
      <c r="F13" s="50">
        <v>6.0</v>
      </c>
      <c r="G13" s="51">
        <f t="shared" si="2"/>
        <v>1</v>
      </c>
      <c r="H13" s="49">
        <f t="shared" si="3"/>
        <v>20.825</v>
      </c>
      <c r="I13" s="49">
        <f t="shared" si="4"/>
        <v>20.825</v>
      </c>
      <c r="J13" s="52">
        <v>88.0</v>
      </c>
      <c r="K13" s="53">
        <f t="shared" si="5"/>
        <v>0.06818181818</v>
      </c>
      <c r="L13" s="49">
        <v>40.17</v>
      </c>
      <c r="M13" s="54">
        <v>74.97</v>
      </c>
      <c r="N13" s="50">
        <v>3.0</v>
      </c>
      <c r="O13" s="52">
        <v>11889.0</v>
      </c>
      <c r="P13" s="53">
        <f t="shared" si="6"/>
        <v>0.5358143257</v>
      </c>
      <c r="Q13" s="55">
        <f t="shared" si="7"/>
        <v>1.866318148</v>
      </c>
      <c r="R13" s="53">
        <f t="shared" si="8"/>
        <v>0.6</v>
      </c>
      <c r="S13" s="19"/>
      <c r="T13" s="28"/>
      <c r="U13" s="9"/>
      <c r="V13" s="9"/>
      <c r="W13" s="9"/>
      <c r="X13" s="9"/>
      <c r="Y13" s="9"/>
      <c r="Z13" s="9"/>
    </row>
    <row r="14" hidden="1" outlineLevel="1">
      <c r="A14" s="47" t="str">
        <f t="shared" si="1"/>
        <v>12-2024</v>
      </c>
      <c r="B14" s="37">
        <v>45650.0</v>
      </c>
      <c r="C14" s="48"/>
      <c r="D14" s="49">
        <v>74.97</v>
      </c>
      <c r="E14" s="50">
        <v>3.0</v>
      </c>
      <c r="F14" s="50">
        <v>2.0</v>
      </c>
      <c r="G14" s="51">
        <f t="shared" si="2"/>
        <v>1.5</v>
      </c>
      <c r="H14" s="49">
        <f t="shared" si="3"/>
        <v>37.485</v>
      </c>
      <c r="I14" s="49">
        <f t="shared" si="4"/>
        <v>24.99</v>
      </c>
      <c r="J14" s="52">
        <v>56.0</v>
      </c>
      <c r="K14" s="53">
        <f t="shared" si="5"/>
        <v>0.05357142857</v>
      </c>
      <c r="L14" s="39">
        <v>26.53</v>
      </c>
      <c r="M14" s="39">
        <v>74.97</v>
      </c>
      <c r="N14" s="40">
        <v>2.0</v>
      </c>
      <c r="O14" s="52">
        <v>8251.0</v>
      </c>
      <c r="P14" s="53">
        <f t="shared" si="6"/>
        <v>0.3538748833</v>
      </c>
      <c r="Q14" s="55">
        <f t="shared" si="7"/>
        <v>2.82585752</v>
      </c>
      <c r="R14" s="53">
        <f t="shared" si="8"/>
        <v>1</v>
      </c>
      <c r="S14" s="19"/>
      <c r="T14" s="28"/>
      <c r="U14" s="9"/>
      <c r="V14" s="9"/>
      <c r="W14" s="9"/>
      <c r="X14" s="9"/>
      <c r="Y14" s="9"/>
      <c r="Z14" s="9"/>
    </row>
    <row r="15" hidden="1" outlineLevel="1">
      <c r="A15" s="47" t="str">
        <f t="shared" si="1"/>
        <v>12-2024</v>
      </c>
      <c r="B15" s="37">
        <v>45651.0</v>
      </c>
      <c r="C15" s="48"/>
      <c r="D15" s="49">
        <v>155.94</v>
      </c>
      <c r="E15" s="50">
        <v>6.0</v>
      </c>
      <c r="F15" s="50">
        <v>4.0</v>
      </c>
      <c r="G15" s="51">
        <f t="shared" si="2"/>
        <v>1.5</v>
      </c>
      <c r="H15" s="49">
        <f t="shared" si="3"/>
        <v>38.985</v>
      </c>
      <c r="I15" s="49">
        <f t="shared" si="4"/>
        <v>25.99</v>
      </c>
      <c r="J15" s="52">
        <v>94.0</v>
      </c>
      <c r="K15" s="53">
        <f t="shared" si="5"/>
        <v>0.06382978723</v>
      </c>
      <c r="L15" s="49">
        <v>38.97</v>
      </c>
      <c r="M15" s="49">
        <v>74.97</v>
      </c>
      <c r="N15" s="50">
        <v>3.0</v>
      </c>
      <c r="O15" s="52">
        <v>11515.0</v>
      </c>
      <c r="P15" s="53">
        <f t="shared" si="6"/>
        <v>0.5198079232</v>
      </c>
      <c r="Q15" s="55">
        <f t="shared" si="7"/>
        <v>1.923787529</v>
      </c>
      <c r="R15" s="53">
        <f t="shared" si="8"/>
        <v>0.4807618315</v>
      </c>
      <c r="S15" s="19"/>
      <c r="T15" s="28"/>
      <c r="U15" s="9"/>
      <c r="V15" s="9"/>
      <c r="W15" s="9"/>
      <c r="X15" s="9"/>
      <c r="Y15" s="9"/>
      <c r="Z15" s="9"/>
    </row>
    <row r="16" hidden="1" outlineLevel="1">
      <c r="A16" s="47" t="str">
        <f t="shared" si="1"/>
        <v>12-2024</v>
      </c>
      <c r="B16" s="37">
        <v>45652.0</v>
      </c>
      <c r="C16" s="48"/>
      <c r="D16" s="49">
        <v>278.89</v>
      </c>
      <c r="E16" s="50">
        <v>12.0</v>
      </c>
      <c r="F16" s="50">
        <v>10.0</v>
      </c>
      <c r="G16" s="51">
        <f t="shared" si="2"/>
        <v>1.2</v>
      </c>
      <c r="H16" s="49">
        <f t="shared" si="3"/>
        <v>27.889</v>
      </c>
      <c r="I16" s="49">
        <f t="shared" si="4"/>
        <v>23.24083333</v>
      </c>
      <c r="J16" s="52">
        <v>140.0</v>
      </c>
      <c r="K16" s="53">
        <f t="shared" si="5"/>
        <v>0.08571428571</v>
      </c>
      <c r="L16" s="49">
        <v>76.85</v>
      </c>
      <c r="M16" s="49">
        <v>370.85</v>
      </c>
      <c r="N16" s="50">
        <v>13.0</v>
      </c>
      <c r="O16" s="52">
        <v>20049.0</v>
      </c>
      <c r="P16" s="53">
        <f t="shared" si="6"/>
        <v>0.2072266415</v>
      </c>
      <c r="Q16" s="55">
        <f t="shared" si="7"/>
        <v>4.825634353</v>
      </c>
      <c r="R16" s="53">
        <f t="shared" si="8"/>
        <v>1.329735738</v>
      </c>
      <c r="S16" s="19"/>
      <c r="T16" s="28"/>
      <c r="U16" s="9"/>
      <c r="V16" s="9"/>
      <c r="W16" s="9"/>
      <c r="X16" s="9"/>
      <c r="Y16" s="9"/>
      <c r="Z16" s="9"/>
    </row>
    <row r="17" hidden="1" outlineLevel="1">
      <c r="A17" s="47" t="str">
        <f t="shared" si="1"/>
        <v>12-2024</v>
      </c>
      <c r="B17" s="37">
        <v>45653.0</v>
      </c>
      <c r="C17" s="48"/>
      <c r="D17" s="49">
        <v>151.94</v>
      </c>
      <c r="E17" s="50">
        <v>6.0</v>
      </c>
      <c r="F17" s="50">
        <v>6.0</v>
      </c>
      <c r="G17" s="51">
        <f t="shared" si="2"/>
        <v>1</v>
      </c>
      <c r="H17" s="49">
        <f t="shared" si="3"/>
        <v>25.32333333</v>
      </c>
      <c r="I17" s="49">
        <f t="shared" si="4"/>
        <v>25.32333333</v>
      </c>
      <c r="J17" s="52">
        <v>152.0</v>
      </c>
      <c r="K17" s="53">
        <f t="shared" si="5"/>
        <v>0.03947368421</v>
      </c>
      <c r="L17" s="49">
        <v>68.47</v>
      </c>
      <c r="M17" s="49">
        <v>53.98</v>
      </c>
      <c r="N17" s="50">
        <v>2.0</v>
      </c>
      <c r="O17" s="52">
        <v>22523.0</v>
      </c>
      <c r="P17" s="53">
        <f t="shared" si="6"/>
        <v>1.268432753</v>
      </c>
      <c r="Q17" s="55">
        <f t="shared" si="7"/>
        <v>0.7883744706</v>
      </c>
      <c r="R17" s="53">
        <f t="shared" si="8"/>
        <v>0.3552718178</v>
      </c>
      <c r="S17" s="19"/>
      <c r="T17" s="28"/>
      <c r="U17" s="9"/>
      <c r="V17" s="9"/>
      <c r="W17" s="9"/>
      <c r="X17" s="9"/>
      <c r="Y17" s="9"/>
      <c r="Z17" s="9"/>
    </row>
    <row r="18" hidden="1" outlineLevel="1">
      <c r="A18" s="47" t="str">
        <f t="shared" si="1"/>
        <v>12-2024</v>
      </c>
      <c r="B18" s="37">
        <v>45654.0</v>
      </c>
      <c r="C18" s="48"/>
      <c r="D18" s="49">
        <v>251.9</v>
      </c>
      <c r="E18" s="50">
        <v>10.0</v>
      </c>
      <c r="F18" s="50">
        <v>10.0</v>
      </c>
      <c r="G18" s="51">
        <f t="shared" si="2"/>
        <v>1</v>
      </c>
      <c r="H18" s="49">
        <f t="shared" si="3"/>
        <v>25.19</v>
      </c>
      <c r="I18" s="49">
        <f t="shared" si="4"/>
        <v>25.19</v>
      </c>
      <c r="J18" s="52">
        <v>194.0</v>
      </c>
      <c r="K18" s="53">
        <f t="shared" si="5"/>
        <v>0.05154639175</v>
      </c>
      <c r="L18" s="49">
        <v>109.27</v>
      </c>
      <c r="M18" s="49">
        <v>276.89</v>
      </c>
      <c r="N18" s="50">
        <v>11.0</v>
      </c>
      <c r="O18" s="52">
        <v>30752.0</v>
      </c>
      <c r="P18" s="53">
        <f t="shared" si="6"/>
        <v>0.3946332479</v>
      </c>
      <c r="Q18" s="55">
        <f t="shared" si="7"/>
        <v>2.533998353</v>
      </c>
      <c r="R18" s="53">
        <f t="shared" si="8"/>
        <v>1.099206034</v>
      </c>
      <c r="S18" s="19"/>
      <c r="T18" s="28"/>
      <c r="U18" s="9"/>
      <c r="V18" s="9"/>
      <c r="W18" s="9"/>
      <c r="X18" s="9"/>
      <c r="Y18" s="9"/>
      <c r="Z18" s="9"/>
    </row>
    <row r="19" hidden="1" outlineLevel="1">
      <c r="A19" s="56" t="str">
        <f t="shared" si="1"/>
        <v>12-2025</v>
      </c>
      <c r="B19" s="57">
        <v>46012.0</v>
      </c>
      <c r="C19" s="58"/>
      <c r="D19" s="59">
        <v>502.61</v>
      </c>
      <c r="E19" s="60">
        <v>19.0</v>
      </c>
      <c r="F19" s="60">
        <v>18.0</v>
      </c>
      <c r="G19" s="61">
        <f t="shared" si="2"/>
        <v>1.055555556</v>
      </c>
      <c r="H19" s="59">
        <f t="shared" si="3"/>
        <v>27.92277778</v>
      </c>
      <c r="I19" s="59">
        <f t="shared" si="4"/>
        <v>26.45315789</v>
      </c>
      <c r="J19" s="62">
        <v>419.0</v>
      </c>
      <c r="K19" s="63">
        <f t="shared" si="5"/>
        <v>0.04534606205</v>
      </c>
      <c r="L19" s="59">
        <v>338.35</v>
      </c>
      <c r="M19" s="59">
        <v>496.61</v>
      </c>
      <c r="N19" s="60">
        <v>18.0</v>
      </c>
      <c r="O19" s="62">
        <v>56554.0</v>
      </c>
      <c r="P19" s="63">
        <v>0.4734</v>
      </c>
      <c r="Q19" s="64">
        <f t="shared" si="7"/>
        <v>1.467740505</v>
      </c>
      <c r="R19" s="63">
        <f t="shared" si="8"/>
        <v>0.9880623147</v>
      </c>
      <c r="S19" s="65"/>
      <c r="T19" s="66"/>
      <c r="U19" s="2"/>
      <c r="V19" s="2"/>
      <c r="W19" s="2"/>
      <c r="X19" s="2"/>
      <c r="Y19" s="2"/>
      <c r="Z19" s="2"/>
    </row>
    <row r="20" hidden="1" outlineLevel="1">
      <c r="A20" s="67" t="str">
        <f t="shared" si="1"/>
        <v>12-2025</v>
      </c>
      <c r="B20" s="57">
        <v>46013.0</v>
      </c>
      <c r="C20" s="68"/>
      <c r="D20" s="69">
        <v>446.38</v>
      </c>
      <c r="E20" s="70">
        <v>17.0</v>
      </c>
      <c r="F20" s="70">
        <v>15.0</v>
      </c>
      <c r="G20" s="71">
        <f t="shared" si="2"/>
        <v>1.133333333</v>
      </c>
      <c r="H20" s="69">
        <f t="shared" si="3"/>
        <v>29.75866667</v>
      </c>
      <c r="I20" s="69">
        <f t="shared" si="4"/>
        <v>26.25764706</v>
      </c>
      <c r="J20" s="72">
        <v>251.0</v>
      </c>
      <c r="K20" s="73">
        <f t="shared" si="5"/>
        <v>0.06772908367</v>
      </c>
      <c r="L20" s="69">
        <v>161.75</v>
      </c>
      <c r="M20" s="74">
        <v>374.65</v>
      </c>
      <c r="N20" s="70">
        <v>12.0</v>
      </c>
      <c r="O20" s="72">
        <v>39326.0</v>
      </c>
      <c r="P20" s="73">
        <v>0.2985</v>
      </c>
      <c r="Q20" s="75">
        <f t="shared" si="7"/>
        <v>2.316228748</v>
      </c>
      <c r="R20" s="73">
        <f t="shared" si="8"/>
        <v>0.8393073166</v>
      </c>
      <c r="S20" s="76"/>
      <c r="T20" s="77"/>
      <c r="U20" s="2"/>
      <c r="V20" s="2"/>
      <c r="W20" s="2"/>
      <c r="X20" s="2"/>
      <c r="Y20" s="2"/>
      <c r="Z20" s="2"/>
    </row>
    <row r="21" hidden="1" outlineLevel="1">
      <c r="A21" s="67" t="str">
        <f t="shared" si="1"/>
        <v>12-2025</v>
      </c>
      <c r="B21" s="57">
        <v>46014.0</v>
      </c>
      <c r="C21" s="68"/>
      <c r="D21" s="69">
        <v>350.63</v>
      </c>
      <c r="E21" s="70">
        <v>14.0</v>
      </c>
      <c r="F21" s="70">
        <v>11.0</v>
      </c>
      <c r="G21" s="71">
        <f t="shared" si="2"/>
        <v>1.272727273</v>
      </c>
      <c r="H21" s="69">
        <f t="shared" si="3"/>
        <v>31.87545455</v>
      </c>
      <c r="I21" s="69">
        <f t="shared" si="4"/>
        <v>25.045</v>
      </c>
      <c r="J21" s="72">
        <v>142.0</v>
      </c>
      <c r="K21" s="73">
        <f t="shared" si="5"/>
        <v>0.0985915493</v>
      </c>
      <c r="L21" s="59">
        <v>79.35</v>
      </c>
      <c r="M21" s="59">
        <v>214.18</v>
      </c>
      <c r="N21" s="60">
        <v>8.0</v>
      </c>
      <c r="O21" s="72">
        <v>21312.0</v>
      </c>
      <c r="P21" s="73">
        <v>0.3486</v>
      </c>
      <c r="Q21" s="75">
        <f t="shared" si="7"/>
        <v>2.699180844</v>
      </c>
      <c r="R21" s="73">
        <f t="shared" si="8"/>
        <v>0.6108433391</v>
      </c>
      <c r="S21" s="76"/>
      <c r="T21" s="77"/>
      <c r="U21" s="2"/>
      <c r="V21" s="2"/>
      <c r="W21" s="2"/>
      <c r="X21" s="2"/>
      <c r="Y21" s="2"/>
      <c r="Z21" s="2"/>
    </row>
    <row r="22" hidden="1" outlineLevel="1">
      <c r="A22" s="67" t="str">
        <f t="shared" si="1"/>
        <v>12-2025</v>
      </c>
      <c r="B22" s="57">
        <v>46015.0</v>
      </c>
      <c r="C22" s="68"/>
      <c r="D22" s="69">
        <v>156.2</v>
      </c>
      <c r="E22" s="70">
        <v>6.0</v>
      </c>
      <c r="F22" s="70">
        <v>5.0</v>
      </c>
      <c r="G22" s="71">
        <f t="shared" si="2"/>
        <v>1.2</v>
      </c>
      <c r="H22" s="69">
        <f t="shared" si="3"/>
        <v>31.24</v>
      </c>
      <c r="I22" s="69">
        <f t="shared" si="4"/>
        <v>26.03333333</v>
      </c>
      <c r="J22" s="72">
        <v>92.0</v>
      </c>
      <c r="K22" s="73">
        <f t="shared" si="5"/>
        <v>0.0652173913</v>
      </c>
      <c r="L22" s="69">
        <v>55.44</v>
      </c>
      <c r="M22" s="69">
        <v>102.22</v>
      </c>
      <c r="N22" s="70">
        <v>3.0</v>
      </c>
      <c r="O22" s="72">
        <v>12860.0</v>
      </c>
      <c r="P22" s="73">
        <v>0.3572</v>
      </c>
      <c r="Q22" s="75">
        <f t="shared" si="7"/>
        <v>1.843795094</v>
      </c>
      <c r="R22" s="73">
        <f t="shared" si="8"/>
        <v>0.6544174136</v>
      </c>
      <c r="S22" s="76"/>
      <c r="T22" s="77"/>
      <c r="U22" s="2"/>
      <c r="V22" s="2"/>
      <c r="W22" s="2"/>
      <c r="X22" s="2"/>
      <c r="Y22" s="2"/>
      <c r="Z22" s="2"/>
    </row>
    <row r="23" hidden="1" outlineLevel="1">
      <c r="A23" s="67" t="str">
        <f t="shared" si="1"/>
        <v>12-2025</v>
      </c>
      <c r="B23" s="57">
        <v>46016.0</v>
      </c>
      <c r="C23" s="68"/>
      <c r="D23" s="69">
        <v>121.72</v>
      </c>
      <c r="E23" s="70">
        <v>5.0</v>
      </c>
      <c r="F23" s="70">
        <v>5.0</v>
      </c>
      <c r="G23" s="71">
        <f t="shared" si="2"/>
        <v>1</v>
      </c>
      <c r="H23" s="69">
        <f t="shared" si="3"/>
        <v>24.344</v>
      </c>
      <c r="I23" s="69">
        <f t="shared" si="4"/>
        <v>24.344</v>
      </c>
      <c r="J23" s="72">
        <v>131.0</v>
      </c>
      <c r="K23" s="73">
        <f t="shared" si="5"/>
        <v>0.03816793893</v>
      </c>
      <c r="L23" s="69">
        <v>72.14</v>
      </c>
      <c r="M23" s="69">
        <v>123.47</v>
      </c>
      <c r="N23" s="70">
        <v>5.0</v>
      </c>
      <c r="O23" s="72">
        <v>19593.0</v>
      </c>
      <c r="P23" s="73">
        <v>0.3225</v>
      </c>
      <c r="Q23" s="75">
        <f t="shared" si="7"/>
        <v>1.71153313</v>
      </c>
      <c r="R23" s="73">
        <f t="shared" si="8"/>
        <v>1.014377259</v>
      </c>
      <c r="S23" s="76"/>
      <c r="T23" s="77"/>
      <c r="U23" s="2"/>
      <c r="V23" s="2"/>
      <c r="W23" s="2"/>
      <c r="X23" s="2"/>
      <c r="Y23" s="2"/>
      <c r="Z23" s="2"/>
    </row>
    <row r="24" hidden="1" outlineLevel="1">
      <c r="A24" s="67" t="str">
        <f t="shared" si="1"/>
        <v>12-2025</v>
      </c>
      <c r="B24" s="57">
        <v>46017.0</v>
      </c>
      <c r="C24" s="68"/>
      <c r="D24" s="69">
        <v>395.64</v>
      </c>
      <c r="E24" s="70">
        <v>16.0</v>
      </c>
      <c r="F24" s="70">
        <v>14.0</v>
      </c>
      <c r="G24" s="71">
        <f t="shared" si="2"/>
        <v>1.142857143</v>
      </c>
      <c r="H24" s="69">
        <f t="shared" si="3"/>
        <v>28.26</v>
      </c>
      <c r="I24" s="69">
        <f t="shared" si="4"/>
        <v>24.7275</v>
      </c>
      <c r="J24" s="72">
        <v>204.0</v>
      </c>
      <c r="K24" s="73">
        <f t="shared" si="5"/>
        <v>0.07843137255</v>
      </c>
      <c r="L24" s="69">
        <v>111.76</v>
      </c>
      <c r="M24" s="69">
        <v>302.91</v>
      </c>
      <c r="N24" s="70">
        <v>10.0</v>
      </c>
      <c r="O24" s="72">
        <v>30562.0</v>
      </c>
      <c r="P24" s="73">
        <v>0.5913</v>
      </c>
      <c r="Q24" s="75">
        <f t="shared" si="7"/>
        <v>2.710361489</v>
      </c>
      <c r="R24" s="73">
        <f t="shared" si="8"/>
        <v>0.7656202608</v>
      </c>
      <c r="S24" s="76"/>
      <c r="T24" s="77"/>
      <c r="U24" s="2"/>
      <c r="V24" s="2"/>
      <c r="W24" s="2"/>
      <c r="X24" s="2"/>
      <c r="Y24" s="2"/>
      <c r="Z24" s="2"/>
    </row>
    <row r="25" hidden="1" outlineLevel="1">
      <c r="A25" s="67" t="str">
        <f t="shared" si="1"/>
        <v>12-2025</v>
      </c>
      <c r="B25" s="57">
        <v>46018.0</v>
      </c>
      <c r="C25" s="68"/>
      <c r="D25" s="69">
        <v>511.09</v>
      </c>
      <c r="E25" s="70">
        <v>21.0</v>
      </c>
      <c r="F25" s="70">
        <v>17.0</v>
      </c>
      <c r="G25" s="71">
        <f t="shared" si="2"/>
        <v>1.235294118</v>
      </c>
      <c r="H25" s="69">
        <f t="shared" si="3"/>
        <v>30.06411765</v>
      </c>
      <c r="I25" s="69">
        <f t="shared" si="4"/>
        <v>24.33761905</v>
      </c>
      <c r="J25" s="72">
        <v>306.0</v>
      </c>
      <c r="K25" s="73">
        <f t="shared" si="5"/>
        <v>0.06862745098</v>
      </c>
      <c r="L25" s="69">
        <v>169.11</v>
      </c>
      <c r="M25" s="69">
        <v>528.08</v>
      </c>
      <c r="N25" s="70">
        <v>16.0</v>
      </c>
      <c r="O25" s="72">
        <v>40535.0</v>
      </c>
      <c r="P25" s="73">
        <f t="shared" ref="P25:P26" si="11">L25/M25</f>
        <v>0.3202355704</v>
      </c>
      <c r="Q25" s="75">
        <f t="shared" si="7"/>
        <v>3.1227012</v>
      </c>
      <c r="R25" s="73">
        <f t="shared" si="8"/>
        <v>1.033242677</v>
      </c>
      <c r="S25" s="76"/>
      <c r="T25" s="77"/>
      <c r="U25" s="2"/>
      <c r="V25" s="2"/>
      <c r="W25" s="2"/>
      <c r="X25" s="2"/>
      <c r="Y25" s="2"/>
      <c r="Z25" s="2"/>
    </row>
    <row r="26" collapsed="1">
      <c r="A26" s="78" t="s">
        <v>44</v>
      </c>
      <c r="B26" s="79"/>
      <c r="C26" s="80"/>
      <c r="D26" s="81">
        <f t="shared" ref="D26:F26" si="9">SUM(D19:D25)</f>
        <v>2484.27</v>
      </c>
      <c r="E26" s="82">
        <f t="shared" si="9"/>
        <v>98</v>
      </c>
      <c r="F26" s="82">
        <f t="shared" si="9"/>
        <v>85</v>
      </c>
      <c r="G26" s="83">
        <f t="shared" si="2"/>
        <v>1.152941176</v>
      </c>
      <c r="H26" s="81">
        <f>average(H19:H25)</f>
        <v>29.06643095</v>
      </c>
      <c r="I26" s="84">
        <f>H26/G26</f>
        <v>25.2106799</v>
      </c>
      <c r="J26" s="85">
        <f>SUM(J19:J25)</f>
        <v>1545</v>
      </c>
      <c r="K26" s="86">
        <f t="shared" si="5"/>
        <v>0.06343042071</v>
      </c>
      <c r="L26" s="81">
        <f t="shared" ref="L26:N26" si="10">SUM(L19:L25)</f>
        <v>987.9</v>
      </c>
      <c r="M26" s="81">
        <f t="shared" si="10"/>
        <v>2142.12</v>
      </c>
      <c r="N26" s="87">
        <f t="shared" si="10"/>
        <v>72</v>
      </c>
      <c r="O26" s="85">
        <f>sum(O19:O25)</f>
        <v>220742</v>
      </c>
      <c r="P26" s="86">
        <f t="shared" si="11"/>
        <v>0.4611786455</v>
      </c>
      <c r="Q26" s="88">
        <f t="shared" si="7"/>
        <v>2.168357121</v>
      </c>
      <c r="R26" s="89">
        <f t="shared" si="8"/>
        <v>0.8622734244</v>
      </c>
      <c r="S26" s="80" t="str">
        <f>iferror((D26-#REF!)/D26,)</f>
        <v/>
      </c>
      <c r="T26" s="90" t="str">
        <f>iferror((F26-#REF!)/F26,)</f>
        <v/>
      </c>
      <c r="U26" s="2"/>
      <c r="V26" s="2"/>
      <c r="W26" s="2"/>
      <c r="X26" s="2"/>
      <c r="Y26" s="2"/>
      <c r="Z26" s="2"/>
    </row>
    <row r="27" hidden="1" outlineLevel="1">
      <c r="A27" s="56" t="str">
        <f t="shared" ref="A27:A33" si="12">iferror(if(B27&gt;0,month(B27)&amp;"-"&amp;year(B27),B27),)</f>
        <v>12-2025</v>
      </c>
      <c r="B27" s="57">
        <v>46019.0</v>
      </c>
      <c r="C27" s="58"/>
      <c r="D27" s="59">
        <v>692.55</v>
      </c>
      <c r="E27" s="60">
        <v>28.0</v>
      </c>
      <c r="F27" s="60">
        <v>24.0</v>
      </c>
      <c r="G27" s="61">
        <f t="shared" si="2"/>
        <v>1.166666667</v>
      </c>
      <c r="H27" s="59">
        <f t="shared" ref="H27:H33" si="13">D27/F27</f>
        <v>28.85625</v>
      </c>
      <c r="I27" s="59">
        <f t="shared" ref="I27:I33" si="14">D27/E27</f>
        <v>24.73392857</v>
      </c>
      <c r="J27" s="62">
        <v>333.0</v>
      </c>
      <c r="K27" s="63">
        <f t="shared" si="5"/>
        <v>0.08408408408</v>
      </c>
      <c r="L27" s="59">
        <v>178.84</v>
      </c>
      <c r="M27" s="59">
        <v>518.84</v>
      </c>
      <c r="N27" s="60">
        <v>18.0</v>
      </c>
      <c r="O27" s="62">
        <v>46566.0</v>
      </c>
      <c r="P27" s="63">
        <v>0.4734</v>
      </c>
      <c r="Q27" s="64">
        <f t="shared" si="7"/>
        <v>2.901140684</v>
      </c>
      <c r="R27" s="63">
        <f t="shared" si="8"/>
        <v>0.7491733449</v>
      </c>
      <c r="S27" s="65"/>
      <c r="T27" s="66"/>
      <c r="U27" s="2"/>
      <c r="V27" s="2"/>
      <c r="W27" s="2"/>
      <c r="X27" s="2"/>
      <c r="Y27" s="2"/>
      <c r="Z27" s="2"/>
    </row>
    <row r="28" hidden="1" outlineLevel="1">
      <c r="A28" s="67" t="str">
        <f t="shared" si="12"/>
        <v>12-2025</v>
      </c>
      <c r="B28" s="57">
        <v>46020.0</v>
      </c>
      <c r="C28" s="68"/>
      <c r="D28" s="69">
        <v>535.37</v>
      </c>
      <c r="E28" s="70">
        <v>22.0</v>
      </c>
      <c r="F28" s="70">
        <v>19.0</v>
      </c>
      <c r="G28" s="71">
        <f t="shared" si="2"/>
        <v>1.157894737</v>
      </c>
      <c r="H28" s="69">
        <f t="shared" si="13"/>
        <v>28.17736842</v>
      </c>
      <c r="I28" s="69">
        <f t="shared" si="14"/>
        <v>24.335</v>
      </c>
      <c r="J28" s="72">
        <v>237.0</v>
      </c>
      <c r="K28" s="73">
        <f t="shared" si="5"/>
        <v>0.09282700422</v>
      </c>
      <c r="L28" s="69">
        <v>148.79</v>
      </c>
      <c r="M28" s="74">
        <v>398.42</v>
      </c>
      <c r="N28" s="70">
        <v>16.0</v>
      </c>
      <c r="O28" s="72">
        <v>43596.0</v>
      </c>
      <c r="P28" s="73">
        <v>0.2985</v>
      </c>
      <c r="Q28" s="75">
        <f t="shared" si="7"/>
        <v>2.677733719</v>
      </c>
      <c r="R28" s="73">
        <f t="shared" si="8"/>
        <v>0.744195603</v>
      </c>
      <c r="S28" s="76"/>
      <c r="T28" s="77"/>
      <c r="U28" s="2"/>
      <c r="V28" s="2"/>
      <c r="W28" s="2"/>
      <c r="X28" s="2"/>
      <c r="Y28" s="2"/>
      <c r="Z28" s="2"/>
    </row>
    <row r="29" hidden="1" outlineLevel="1">
      <c r="A29" s="67" t="str">
        <f t="shared" si="12"/>
        <v>12-2025</v>
      </c>
      <c r="B29" s="57">
        <v>46021.0</v>
      </c>
      <c r="C29" s="68"/>
      <c r="D29" s="69">
        <v>237.45</v>
      </c>
      <c r="E29" s="70">
        <v>10.0</v>
      </c>
      <c r="F29" s="70">
        <v>10.0</v>
      </c>
      <c r="G29" s="71">
        <f t="shared" si="2"/>
        <v>1</v>
      </c>
      <c r="H29" s="69">
        <f t="shared" si="13"/>
        <v>23.745</v>
      </c>
      <c r="I29" s="69">
        <f t="shared" si="14"/>
        <v>23.745</v>
      </c>
      <c r="J29" s="72">
        <v>248.0</v>
      </c>
      <c r="K29" s="73">
        <f t="shared" si="5"/>
        <v>0.04032258065</v>
      </c>
      <c r="L29" s="59">
        <v>161.78</v>
      </c>
      <c r="M29" s="59">
        <v>264.44</v>
      </c>
      <c r="N29" s="60">
        <v>11.0</v>
      </c>
      <c r="O29" s="72">
        <v>38124.0</v>
      </c>
      <c r="P29" s="73">
        <v>0.3486</v>
      </c>
      <c r="Q29" s="75">
        <f t="shared" si="7"/>
        <v>1.634565459</v>
      </c>
      <c r="R29" s="73">
        <f t="shared" si="8"/>
        <v>1.113666035</v>
      </c>
      <c r="S29" s="76"/>
      <c r="T29" s="77"/>
      <c r="U29" s="2"/>
      <c r="V29" s="2"/>
      <c r="W29" s="2"/>
      <c r="X29" s="2"/>
      <c r="Y29" s="2"/>
      <c r="Z29" s="2"/>
    </row>
    <row r="30" hidden="1" outlineLevel="1">
      <c r="A30" s="67" t="str">
        <f t="shared" si="12"/>
        <v>12-2025</v>
      </c>
      <c r="B30" s="57">
        <v>46022.0</v>
      </c>
      <c r="C30" s="68"/>
      <c r="D30" s="69">
        <v>446.14</v>
      </c>
      <c r="E30" s="70">
        <v>19.0</v>
      </c>
      <c r="F30" s="70">
        <v>17.0</v>
      </c>
      <c r="G30" s="71">
        <f t="shared" si="2"/>
        <v>1.117647059</v>
      </c>
      <c r="H30" s="69">
        <f t="shared" si="13"/>
        <v>26.24352941</v>
      </c>
      <c r="I30" s="69">
        <f t="shared" si="14"/>
        <v>23.48105263</v>
      </c>
      <c r="J30" s="72">
        <v>164.0</v>
      </c>
      <c r="K30" s="73">
        <f t="shared" si="5"/>
        <v>0.1158536585</v>
      </c>
      <c r="L30" s="69">
        <v>110.68</v>
      </c>
      <c r="M30" s="69">
        <v>369.17</v>
      </c>
      <c r="N30" s="70">
        <v>13.0</v>
      </c>
      <c r="O30" s="72">
        <v>23377.0</v>
      </c>
      <c r="P30" s="73">
        <v>0.3572</v>
      </c>
      <c r="Q30" s="75">
        <f t="shared" si="7"/>
        <v>3.33547163</v>
      </c>
      <c r="R30" s="73">
        <f t="shared" si="8"/>
        <v>0.8274756803</v>
      </c>
      <c r="S30" s="76"/>
      <c r="T30" s="77"/>
      <c r="U30" s="2"/>
      <c r="V30" s="2"/>
      <c r="W30" s="2"/>
      <c r="X30" s="2"/>
      <c r="Y30" s="2"/>
      <c r="Z30" s="2"/>
    </row>
    <row r="31" hidden="1" outlineLevel="1">
      <c r="A31" s="67" t="str">
        <f t="shared" si="12"/>
        <v>1-2026</v>
      </c>
      <c r="B31" s="57">
        <v>46023.0</v>
      </c>
      <c r="C31" s="68"/>
      <c r="D31" s="69">
        <v>351.66</v>
      </c>
      <c r="E31" s="70">
        <v>14.0</v>
      </c>
      <c r="F31" s="70">
        <v>13.0</v>
      </c>
      <c r="G31" s="71">
        <f t="shared" si="2"/>
        <v>1.076923077</v>
      </c>
      <c r="H31" s="69">
        <f t="shared" si="13"/>
        <v>27.05076923</v>
      </c>
      <c r="I31" s="69">
        <f t="shared" si="14"/>
        <v>25.11857143</v>
      </c>
      <c r="J31" s="72">
        <v>266.0</v>
      </c>
      <c r="K31" s="73">
        <f t="shared" si="5"/>
        <v>0.05263157895</v>
      </c>
      <c r="L31" s="69">
        <v>152.98</v>
      </c>
      <c r="M31" s="69">
        <v>339.66</v>
      </c>
      <c r="N31" s="70">
        <v>12.0</v>
      </c>
      <c r="O31" s="72">
        <v>37923.0</v>
      </c>
      <c r="P31" s="73">
        <v>0.3225</v>
      </c>
      <c r="Q31" s="75">
        <f t="shared" si="7"/>
        <v>2.220290234</v>
      </c>
      <c r="R31" s="73">
        <f t="shared" si="8"/>
        <v>0.9658761304</v>
      </c>
      <c r="S31" s="76"/>
      <c r="T31" s="77"/>
      <c r="U31" s="2"/>
      <c r="V31" s="2"/>
      <c r="W31" s="2"/>
      <c r="X31" s="2"/>
      <c r="Y31" s="2"/>
      <c r="Z31" s="2"/>
    </row>
    <row r="32" hidden="1" outlineLevel="1">
      <c r="A32" s="67" t="str">
        <f t="shared" si="12"/>
        <v>1-2026</v>
      </c>
      <c r="B32" s="57">
        <v>46024.0</v>
      </c>
      <c r="C32" s="68"/>
      <c r="D32" s="69">
        <v>826.01</v>
      </c>
      <c r="E32" s="70">
        <v>34.0</v>
      </c>
      <c r="F32" s="70">
        <v>27.0</v>
      </c>
      <c r="G32" s="71">
        <f t="shared" si="2"/>
        <v>1.259259259</v>
      </c>
      <c r="H32" s="69">
        <f t="shared" si="13"/>
        <v>30.59296296</v>
      </c>
      <c r="I32" s="69">
        <f t="shared" si="14"/>
        <v>24.29441176</v>
      </c>
      <c r="J32" s="72">
        <v>334.0</v>
      </c>
      <c r="K32" s="73">
        <f t="shared" si="5"/>
        <v>0.1017964072</v>
      </c>
      <c r="L32" s="69">
        <v>163.11</v>
      </c>
      <c r="M32" s="69">
        <v>554.1</v>
      </c>
      <c r="N32" s="70">
        <v>18.0</v>
      </c>
      <c r="O32" s="72">
        <v>45191.0</v>
      </c>
      <c r="P32" s="73">
        <v>0.5913</v>
      </c>
      <c r="Q32" s="75">
        <f t="shared" si="7"/>
        <v>3.397093986</v>
      </c>
      <c r="R32" s="73">
        <f t="shared" si="8"/>
        <v>0.6708151233</v>
      </c>
      <c r="S32" s="76"/>
      <c r="T32" s="77"/>
      <c r="U32" s="2"/>
      <c r="V32" s="2"/>
      <c r="W32" s="2"/>
      <c r="X32" s="2"/>
      <c r="Y32" s="2"/>
      <c r="Z32" s="2"/>
    </row>
    <row r="33" hidden="1" outlineLevel="1">
      <c r="A33" s="67" t="str">
        <f t="shared" si="12"/>
        <v>1-2026</v>
      </c>
      <c r="B33" s="57">
        <v>46025.0</v>
      </c>
      <c r="C33" s="68"/>
      <c r="D33" s="69">
        <v>629.08</v>
      </c>
      <c r="E33" s="70">
        <v>26.0</v>
      </c>
      <c r="F33" s="70">
        <v>21.0</v>
      </c>
      <c r="G33" s="71">
        <f t="shared" si="2"/>
        <v>1.238095238</v>
      </c>
      <c r="H33" s="69">
        <f t="shared" si="13"/>
        <v>29.95619048</v>
      </c>
      <c r="I33" s="69">
        <f t="shared" si="14"/>
        <v>24.19538462</v>
      </c>
      <c r="J33" s="72">
        <v>346.0</v>
      </c>
      <c r="K33" s="73">
        <f t="shared" si="5"/>
        <v>0.07514450867</v>
      </c>
      <c r="L33" s="69">
        <v>180.31</v>
      </c>
      <c r="M33" s="69">
        <v>480.88</v>
      </c>
      <c r="N33" s="70">
        <v>15.0</v>
      </c>
      <c r="O33" s="72">
        <v>55162.0</v>
      </c>
      <c r="P33" s="73">
        <f t="shared" ref="P33:P34" si="17">L33/M33</f>
        <v>0.3749584096</v>
      </c>
      <c r="Q33" s="75">
        <f t="shared" si="7"/>
        <v>2.666962454</v>
      </c>
      <c r="R33" s="73">
        <f t="shared" si="8"/>
        <v>0.7644178801</v>
      </c>
      <c r="S33" s="76"/>
      <c r="T33" s="77"/>
      <c r="U33" s="2"/>
      <c r="V33" s="2"/>
      <c r="W33" s="2"/>
      <c r="X33" s="2"/>
      <c r="Y33" s="2"/>
      <c r="Z33" s="2"/>
    </row>
    <row r="34" collapsed="1">
      <c r="A34" s="78" t="s">
        <v>45</v>
      </c>
      <c r="B34" s="79"/>
      <c r="C34" s="80"/>
      <c r="D34" s="81">
        <f t="shared" ref="D34:F34" si="15">SUM(D27:D33)</f>
        <v>3718.26</v>
      </c>
      <c r="E34" s="82">
        <f t="shared" si="15"/>
        <v>153</v>
      </c>
      <c r="F34" s="82">
        <f t="shared" si="15"/>
        <v>131</v>
      </c>
      <c r="G34" s="83">
        <f t="shared" si="2"/>
        <v>1.167938931</v>
      </c>
      <c r="H34" s="81">
        <f>average(H27:H33)</f>
        <v>27.80315293</v>
      </c>
      <c r="I34" s="84">
        <f>H34/G34</f>
        <v>23.80531395</v>
      </c>
      <c r="J34" s="85">
        <f>SUM(J27:J33)</f>
        <v>1928</v>
      </c>
      <c r="K34" s="86">
        <f t="shared" si="5"/>
        <v>0.07935684647</v>
      </c>
      <c r="L34" s="81">
        <f t="shared" ref="L34:N34" si="16">SUM(L27:L33)</f>
        <v>1096.49</v>
      </c>
      <c r="M34" s="81">
        <f t="shared" si="16"/>
        <v>2925.51</v>
      </c>
      <c r="N34" s="87">
        <f t="shared" si="16"/>
        <v>103</v>
      </c>
      <c r="O34" s="85">
        <f>sum(O27:O33)</f>
        <v>289939</v>
      </c>
      <c r="P34" s="86">
        <f t="shared" si="17"/>
        <v>0.3748030258</v>
      </c>
      <c r="Q34" s="88">
        <f t="shared" si="7"/>
        <v>2.668068108</v>
      </c>
      <c r="R34" s="89">
        <f t="shared" si="8"/>
        <v>0.7867954366</v>
      </c>
      <c r="S34" s="80" t="str">
        <f>iferror((D34-#REF!)/D34,)</f>
        <v/>
      </c>
      <c r="T34" s="90" t="str">
        <f>iferror((F34-#REF!)/F34,)</f>
        <v/>
      </c>
      <c r="U34" s="2"/>
      <c r="V34" s="2"/>
      <c r="W34" s="2"/>
      <c r="X34" s="2"/>
      <c r="Y34" s="2"/>
      <c r="Z34" s="2"/>
    </row>
    <row r="35" hidden="1" outlineLevel="1">
      <c r="A35" s="56" t="str">
        <f t="shared" ref="A35:A41" si="18">iferror(if(B35&gt;0,month(B35)&amp;"-"&amp;year(B35),B35),)</f>
        <v>1-2026</v>
      </c>
      <c r="B35" s="57">
        <v>46026.0</v>
      </c>
      <c r="C35" s="58"/>
      <c r="D35" s="59">
        <v>762.04</v>
      </c>
      <c r="E35" s="60">
        <v>31.0</v>
      </c>
      <c r="F35" s="60">
        <v>26.0</v>
      </c>
      <c r="G35" s="61">
        <f t="shared" si="2"/>
        <v>1.192307692</v>
      </c>
      <c r="H35" s="59">
        <f t="shared" ref="H35:H41" si="19">D35/F35</f>
        <v>29.30923077</v>
      </c>
      <c r="I35" s="59">
        <f t="shared" ref="I35:I41" si="20">D35/E35</f>
        <v>24.58193548</v>
      </c>
      <c r="J35" s="62">
        <v>341.0</v>
      </c>
      <c r="K35" s="63">
        <f t="shared" si="5"/>
        <v>0.09090909091</v>
      </c>
      <c r="L35" s="59">
        <v>207.48</v>
      </c>
      <c r="M35" s="59">
        <v>420.89</v>
      </c>
      <c r="N35" s="60">
        <v>17.0</v>
      </c>
      <c r="O35" s="62">
        <v>51056.0</v>
      </c>
      <c r="P35" s="63">
        <v>0.4734</v>
      </c>
      <c r="Q35" s="64">
        <f t="shared" si="7"/>
        <v>2.028581068</v>
      </c>
      <c r="R35" s="63">
        <f t="shared" si="8"/>
        <v>0.5523200882</v>
      </c>
      <c r="S35" s="65"/>
      <c r="T35" s="66"/>
      <c r="U35" s="2"/>
      <c r="V35" s="2"/>
      <c r="W35" s="2"/>
      <c r="X35" s="2"/>
      <c r="Y35" s="2"/>
      <c r="Z35" s="2"/>
    </row>
    <row r="36" hidden="1" outlineLevel="1">
      <c r="A36" s="67" t="str">
        <f t="shared" si="18"/>
        <v>1-2026</v>
      </c>
      <c r="B36" s="57">
        <v>46027.0</v>
      </c>
      <c r="C36" s="68"/>
      <c r="D36" s="69">
        <v>489.65</v>
      </c>
      <c r="E36" s="70">
        <v>21.0</v>
      </c>
      <c r="F36" s="70">
        <v>17.0</v>
      </c>
      <c r="G36" s="71">
        <f t="shared" si="2"/>
        <v>1.235294118</v>
      </c>
      <c r="H36" s="69">
        <f t="shared" si="19"/>
        <v>28.80294118</v>
      </c>
      <c r="I36" s="69">
        <f t="shared" si="20"/>
        <v>23.31666667</v>
      </c>
      <c r="J36" s="72">
        <v>171.0</v>
      </c>
      <c r="K36" s="73">
        <f t="shared" si="5"/>
        <v>0.1228070175</v>
      </c>
      <c r="L36" s="69">
        <v>119.24</v>
      </c>
      <c r="M36" s="74">
        <v>304.91</v>
      </c>
      <c r="N36" s="70">
        <v>11.0</v>
      </c>
      <c r="O36" s="72">
        <v>27683.0</v>
      </c>
      <c r="P36" s="73">
        <v>0.2985</v>
      </c>
      <c r="Q36" s="75">
        <f t="shared" si="7"/>
        <v>2.557111707</v>
      </c>
      <c r="R36" s="73">
        <f t="shared" si="8"/>
        <v>0.6227100991</v>
      </c>
      <c r="S36" s="76"/>
      <c r="T36" s="77"/>
      <c r="U36" s="2"/>
      <c r="V36" s="2"/>
      <c r="W36" s="2"/>
      <c r="X36" s="2"/>
      <c r="Y36" s="2"/>
      <c r="Z36" s="2"/>
    </row>
    <row r="37" hidden="1" outlineLevel="1">
      <c r="A37" s="67" t="str">
        <f t="shared" si="18"/>
        <v>1-2026</v>
      </c>
      <c r="B37" s="57">
        <v>46028.0</v>
      </c>
      <c r="C37" s="68"/>
      <c r="D37" s="69">
        <v>289.93</v>
      </c>
      <c r="E37" s="70">
        <v>12.0</v>
      </c>
      <c r="F37" s="70">
        <v>11.0</v>
      </c>
      <c r="G37" s="71">
        <f t="shared" si="2"/>
        <v>1.090909091</v>
      </c>
      <c r="H37" s="69">
        <f t="shared" si="19"/>
        <v>26.35727273</v>
      </c>
      <c r="I37" s="69">
        <f t="shared" si="20"/>
        <v>24.16083333</v>
      </c>
      <c r="J37" s="72">
        <v>180.0</v>
      </c>
      <c r="K37" s="73">
        <f t="shared" si="5"/>
        <v>0.06666666667</v>
      </c>
      <c r="L37" s="59">
        <v>102.52</v>
      </c>
      <c r="M37" s="59">
        <v>208.43</v>
      </c>
      <c r="N37" s="60">
        <v>7.0</v>
      </c>
      <c r="O37" s="72">
        <v>22973.0</v>
      </c>
      <c r="P37" s="73">
        <v>0.3486</v>
      </c>
      <c r="Q37" s="75">
        <f t="shared" si="7"/>
        <v>2.033066719</v>
      </c>
      <c r="R37" s="73">
        <f t="shared" si="8"/>
        <v>0.718897665</v>
      </c>
      <c r="S37" s="76"/>
      <c r="T37" s="77"/>
      <c r="U37" s="2"/>
      <c r="V37" s="2"/>
      <c r="W37" s="2"/>
      <c r="X37" s="2"/>
      <c r="Y37" s="2"/>
      <c r="Z37" s="2"/>
    </row>
    <row r="38" hidden="1" outlineLevel="1">
      <c r="A38" s="67" t="str">
        <f t="shared" si="18"/>
        <v>1-2026</v>
      </c>
      <c r="B38" s="57">
        <v>46029.0</v>
      </c>
      <c r="C38" s="68"/>
      <c r="D38" s="69">
        <v>461.64</v>
      </c>
      <c r="E38" s="70">
        <v>19.0</v>
      </c>
      <c r="F38" s="70">
        <v>17.0</v>
      </c>
      <c r="G38" s="71">
        <f t="shared" si="2"/>
        <v>1.117647059</v>
      </c>
      <c r="H38" s="69">
        <f t="shared" si="19"/>
        <v>27.15529412</v>
      </c>
      <c r="I38" s="69">
        <f t="shared" si="20"/>
        <v>24.29684211</v>
      </c>
      <c r="J38" s="72">
        <v>237.0</v>
      </c>
      <c r="K38" s="73">
        <f t="shared" si="5"/>
        <v>0.08016877637</v>
      </c>
      <c r="L38" s="69">
        <v>116.33</v>
      </c>
      <c r="M38" s="69">
        <v>305.44</v>
      </c>
      <c r="N38" s="70">
        <v>11.0</v>
      </c>
      <c r="O38" s="72">
        <v>33258.0</v>
      </c>
      <c r="P38" s="73">
        <v>0.3572</v>
      </c>
      <c r="Q38" s="75">
        <f t="shared" si="7"/>
        <v>2.625633972</v>
      </c>
      <c r="R38" s="73">
        <f t="shared" si="8"/>
        <v>0.6616411056</v>
      </c>
      <c r="S38" s="76"/>
      <c r="T38" s="77"/>
      <c r="U38" s="2"/>
      <c r="V38" s="2"/>
      <c r="W38" s="2"/>
      <c r="X38" s="2"/>
      <c r="Y38" s="2"/>
      <c r="Z38" s="2"/>
    </row>
    <row r="39" hidden="1" outlineLevel="1">
      <c r="A39" s="67" t="str">
        <f t="shared" si="18"/>
        <v>1-2026</v>
      </c>
      <c r="B39" s="57">
        <v>46030.0</v>
      </c>
      <c r="C39" s="68"/>
      <c r="D39" s="69">
        <v>380.14</v>
      </c>
      <c r="E39" s="70">
        <v>15.0</v>
      </c>
      <c r="F39" s="70">
        <v>14.0</v>
      </c>
      <c r="G39" s="71">
        <f t="shared" si="2"/>
        <v>1.071428571</v>
      </c>
      <c r="H39" s="69">
        <f t="shared" si="19"/>
        <v>27.15285714</v>
      </c>
      <c r="I39" s="69">
        <f t="shared" si="20"/>
        <v>25.34266667</v>
      </c>
      <c r="J39" s="72">
        <v>215.0</v>
      </c>
      <c r="K39" s="73">
        <f t="shared" si="5"/>
        <v>0.06976744186</v>
      </c>
      <c r="L39" s="69">
        <v>124.96</v>
      </c>
      <c r="M39" s="69">
        <v>318.67</v>
      </c>
      <c r="N39" s="70">
        <v>12.0</v>
      </c>
      <c r="O39" s="72">
        <v>33413.0</v>
      </c>
      <c r="P39" s="73">
        <v>0.3225</v>
      </c>
      <c r="Q39" s="75">
        <f t="shared" si="7"/>
        <v>2.550176056</v>
      </c>
      <c r="R39" s="73">
        <f t="shared" si="8"/>
        <v>0.8382964171</v>
      </c>
      <c r="S39" s="76"/>
      <c r="T39" s="77"/>
      <c r="U39" s="2"/>
      <c r="V39" s="2"/>
      <c r="W39" s="2"/>
      <c r="X39" s="2"/>
      <c r="Y39" s="2"/>
      <c r="Z39" s="2"/>
    </row>
    <row r="40" hidden="1" outlineLevel="1">
      <c r="A40" s="67" t="str">
        <f t="shared" si="18"/>
        <v>1-2026</v>
      </c>
      <c r="B40" s="57">
        <v>46031.0</v>
      </c>
      <c r="C40" s="68"/>
      <c r="D40" s="69">
        <v>261.72</v>
      </c>
      <c r="E40" s="70">
        <v>12.0</v>
      </c>
      <c r="F40" s="70">
        <v>11.0</v>
      </c>
      <c r="G40" s="71">
        <f t="shared" si="2"/>
        <v>1.090909091</v>
      </c>
      <c r="H40" s="69">
        <f t="shared" si="19"/>
        <v>23.79272727</v>
      </c>
      <c r="I40" s="69">
        <f t="shared" si="20"/>
        <v>21.81</v>
      </c>
      <c r="J40" s="72">
        <v>194.0</v>
      </c>
      <c r="K40" s="73">
        <f t="shared" si="5"/>
        <v>0.0618556701</v>
      </c>
      <c r="L40" s="69">
        <v>119.53</v>
      </c>
      <c r="M40" s="69">
        <v>169.96</v>
      </c>
      <c r="N40" s="70">
        <v>7.0</v>
      </c>
      <c r="O40" s="72">
        <v>28475.0</v>
      </c>
      <c r="P40" s="73">
        <v>0.5913</v>
      </c>
      <c r="Q40" s="75">
        <f t="shared" si="7"/>
        <v>1.421902451</v>
      </c>
      <c r="R40" s="73">
        <f t="shared" si="8"/>
        <v>0.6493963014</v>
      </c>
      <c r="S40" s="76"/>
      <c r="T40" s="77"/>
      <c r="U40" s="2"/>
      <c r="V40" s="2"/>
      <c r="W40" s="2"/>
      <c r="X40" s="2"/>
      <c r="Y40" s="2"/>
      <c r="Z40" s="2"/>
    </row>
    <row r="41" hidden="1" outlineLevel="1">
      <c r="A41" s="67" t="str">
        <f t="shared" si="18"/>
        <v>1-2026</v>
      </c>
      <c r="B41" s="57">
        <v>46032.0</v>
      </c>
      <c r="C41" s="68"/>
      <c r="D41" s="69">
        <v>546.9</v>
      </c>
      <c r="E41" s="70">
        <v>23.0</v>
      </c>
      <c r="F41" s="70">
        <v>19.0</v>
      </c>
      <c r="G41" s="71">
        <f t="shared" si="2"/>
        <v>1.210526316</v>
      </c>
      <c r="H41" s="69">
        <f t="shared" si="19"/>
        <v>28.78421053</v>
      </c>
      <c r="I41" s="69">
        <f t="shared" si="20"/>
        <v>23.77826087</v>
      </c>
      <c r="J41" s="72">
        <v>237.0</v>
      </c>
      <c r="K41" s="73">
        <f t="shared" si="5"/>
        <v>0.0970464135</v>
      </c>
      <c r="L41" s="69">
        <v>140.4</v>
      </c>
      <c r="M41" s="69">
        <v>299.21</v>
      </c>
      <c r="N41" s="70">
        <v>10.0</v>
      </c>
      <c r="O41" s="72">
        <v>43374.0</v>
      </c>
      <c r="P41" s="73">
        <f t="shared" ref="P41:P42" si="23">L41/M41</f>
        <v>0.4692356539</v>
      </c>
      <c r="Q41" s="75">
        <f t="shared" si="7"/>
        <v>2.131125356</v>
      </c>
      <c r="R41" s="73">
        <f t="shared" si="8"/>
        <v>0.5471018468</v>
      </c>
      <c r="S41" s="76"/>
      <c r="T41" s="77"/>
      <c r="U41" s="2"/>
      <c r="V41" s="2"/>
      <c r="W41" s="2"/>
      <c r="X41" s="2"/>
      <c r="Y41" s="2"/>
      <c r="Z41" s="2"/>
    </row>
    <row r="42" collapsed="1">
      <c r="A42" s="78" t="s">
        <v>46</v>
      </c>
      <c r="B42" s="79"/>
      <c r="C42" s="80"/>
      <c r="D42" s="81">
        <f t="shared" ref="D42:F42" si="21">SUM(D35:D41)</f>
        <v>3192.02</v>
      </c>
      <c r="E42" s="82">
        <f t="shared" si="21"/>
        <v>133</v>
      </c>
      <c r="F42" s="82">
        <f t="shared" si="21"/>
        <v>115</v>
      </c>
      <c r="G42" s="83">
        <f t="shared" si="2"/>
        <v>1.156521739</v>
      </c>
      <c r="H42" s="81">
        <f>average(H35:H41)</f>
        <v>27.33636196</v>
      </c>
      <c r="I42" s="84">
        <f>H42/G42</f>
        <v>23.63670395</v>
      </c>
      <c r="J42" s="85">
        <f>SUM(J35:J41)</f>
        <v>1575</v>
      </c>
      <c r="K42" s="86">
        <f t="shared" si="5"/>
        <v>0.08444444444</v>
      </c>
      <c r="L42" s="81">
        <f t="shared" ref="L42:N42" si="22">SUM(L35:L41)</f>
        <v>930.46</v>
      </c>
      <c r="M42" s="81">
        <f t="shared" si="22"/>
        <v>2027.51</v>
      </c>
      <c r="N42" s="87">
        <f t="shared" si="22"/>
        <v>75</v>
      </c>
      <c r="O42" s="85">
        <f>sum(O35:O41)</f>
        <v>240232</v>
      </c>
      <c r="P42" s="86">
        <f t="shared" si="23"/>
        <v>0.4589175886</v>
      </c>
      <c r="Q42" s="88">
        <f t="shared" si="7"/>
        <v>2.179040475</v>
      </c>
      <c r="R42" s="89">
        <f t="shared" si="8"/>
        <v>0.6351808573</v>
      </c>
      <c r="S42" s="80" t="str">
        <f>iferror((D42-#REF!)/D42,)</f>
        <v/>
      </c>
      <c r="T42" s="90" t="str">
        <f>iferror((F42-#REF!)/F42,)</f>
        <v/>
      </c>
      <c r="U42" s="2"/>
      <c r="V42" s="2"/>
      <c r="W42" s="2"/>
      <c r="X42" s="2"/>
      <c r="Y42" s="2"/>
      <c r="Z42" s="2"/>
    </row>
    <row r="43" hidden="1" outlineLevel="1">
      <c r="A43" s="56" t="str">
        <f t="shared" ref="A43:A49" si="24">iferror(if(B43&gt;0,month(B43)&amp;"-"&amp;year(B43),B43),)</f>
        <v>1-2026</v>
      </c>
      <c r="B43" s="57">
        <v>46033.0</v>
      </c>
      <c r="C43" s="58"/>
      <c r="D43" s="59">
        <v>311.18</v>
      </c>
      <c r="E43" s="60">
        <v>13.0</v>
      </c>
      <c r="F43" s="60">
        <v>12.0</v>
      </c>
      <c r="G43" s="61">
        <f t="shared" si="2"/>
        <v>1.083333333</v>
      </c>
      <c r="H43" s="59">
        <f t="shared" ref="H43:H49" si="25">D43/F43</f>
        <v>25.93166667</v>
      </c>
      <c r="I43" s="59">
        <f t="shared" ref="I43:I49" si="26">D43/E43</f>
        <v>23.93692308</v>
      </c>
      <c r="J43" s="62">
        <v>293.0</v>
      </c>
      <c r="K43" s="63">
        <f t="shared" si="5"/>
        <v>0.04436860068</v>
      </c>
      <c r="L43" s="59">
        <v>174.79</v>
      </c>
      <c r="M43" s="59">
        <v>357.67</v>
      </c>
      <c r="N43" s="60">
        <v>14.0</v>
      </c>
      <c r="O43" s="62">
        <v>59672.0</v>
      </c>
      <c r="P43" s="63">
        <v>0.4734</v>
      </c>
      <c r="Q43" s="64">
        <f t="shared" si="7"/>
        <v>2.046284112</v>
      </c>
      <c r="R43" s="63">
        <f t="shared" si="8"/>
        <v>1.149399062</v>
      </c>
      <c r="S43" s="65"/>
      <c r="T43" s="66"/>
      <c r="U43" s="2"/>
      <c r="V43" s="2"/>
      <c r="W43" s="2"/>
      <c r="X43" s="2"/>
      <c r="Y43" s="2"/>
      <c r="Z43" s="2"/>
    </row>
    <row r="44" hidden="1" outlineLevel="1">
      <c r="A44" s="67" t="str">
        <f t="shared" si="24"/>
        <v>1-2026</v>
      </c>
      <c r="B44" s="57">
        <v>46034.0</v>
      </c>
      <c r="C44" s="68"/>
      <c r="D44" s="69">
        <v>216.45</v>
      </c>
      <c r="E44" s="70">
        <v>9.0</v>
      </c>
      <c r="F44" s="70">
        <v>9.0</v>
      </c>
      <c r="G44" s="71">
        <f t="shared" si="2"/>
        <v>1</v>
      </c>
      <c r="H44" s="69">
        <f t="shared" si="25"/>
        <v>24.05</v>
      </c>
      <c r="I44" s="69">
        <f t="shared" si="26"/>
        <v>24.05</v>
      </c>
      <c r="J44" s="72">
        <v>250.0</v>
      </c>
      <c r="K44" s="73">
        <f t="shared" si="5"/>
        <v>0.036</v>
      </c>
      <c r="L44" s="69">
        <v>139.87</v>
      </c>
      <c r="M44" s="74">
        <v>180.22</v>
      </c>
      <c r="N44" s="70">
        <v>7.0</v>
      </c>
      <c r="O44" s="72">
        <v>37838.0</v>
      </c>
      <c r="P44" s="73">
        <v>0.2985</v>
      </c>
      <c r="Q44" s="75">
        <f t="shared" si="7"/>
        <v>1.288482162</v>
      </c>
      <c r="R44" s="73">
        <f t="shared" si="8"/>
        <v>0.8326172326</v>
      </c>
      <c r="S44" s="76"/>
      <c r="T44" s="77"/>
      <c r="U44" s="2"/>
      <c r="V44" s="2"/>
      <c r="W44" s="2"/>
      <c r="X44" s="2"/>
      <c r="Y44" s="2"/>
      <c r="Z44" s="2"/>
    </row>
    <row r="45" hidden="1" outlineLevel="1">
      <c r="A45" s="67" t="str">
        <f t="shared" si="24"/>
        <v>1-2026</v>
      </c>
      <c r="B45" s="57">
        <v>46035.0</v>
      </c>
      <c r="C45" s="68"/>
      <c r="D45" s="69">
        <v>329.9</v>
      </c>
      <c r="E45" s="70">
        <v>13.0</v>
      </c>
      <c r="F45" s="70">
        <v>11.0</v>
      </c>
      <c r="G45" s="71">
        <f t="shared" si="2"/>
        <v>1.181818182</v>
      </c>
      <c r="H45" s="69">
        <f t="shared" si="25"/>
        <v>29.99090909</v>
      </c>
      <c r="I45" s="69">
        <f t="shared" si="26"/>
        <v>25.37692308</v>
      </c>
      <c r="J45" s="72">
        <v>219.0</v>
      </c>
      <c r="K45" s="73">
        <f t="shared" si="5"/>
        <v>0.05936073059</v>
      </c>
      <c r="L45" s="59">
        <v>125.02</v>
      </c>
      <c r="M45" s="59">
        <v>185.71</v>
      </c>
      <c r="N45" s="60">
        <v>7.0</v>
      </c>
      <c r="O45" s="72">
        <v>24238.0</v>
      </c>
      <c r="P45" s="73">
        <v>0.3486</v>
      </c>
      <c r="Q45" s="75">
        <f t="shared" si="7"/>
        <v>1.485442329</v>
      </c>
      <c r="R45" s="73">
        <f t="shared" si="8"/>
        <v>0.56292816</v>
      </c>
      <c r="S45" s="76"/>
      <c r="T45" s="77"/>
      <c r="U45" s="2"/>
      <c r="V45" s="2"/>
      <c r="W45" s="2"/>
      <c r="X45" s="2"/>
      <c r="Y45" s="2"/>
      <c r="Z45" s="2"/>
    </row>
    <row r="46" hidden="1" outlineLevel="1">
      <c r="A46" s="67" t="str">
        <f t="shared" si="24"/>
        <v>1-2026</v>
      </c>
      <c r="B46" s="57">
        <v>46036.0</v>
      </c>
      <c r="C46" s="68"/>
      <c r="D46" s="69">
        <v>199.72</v>
      </c>
      <c r="E46" s="70">
        <v>9.0</v>
      </c>
      <c r="F46" s="70">
        <v>8.0</v>
      </c>
      <c r="G46" s="71">
        <f t="shared" si="2"/>
        <v>1.125</v>
      </c>
      <c r="H46" s="69">
        <f t="shared" si="25"/>
        <v>24.965</v>
      </c>
      <c r="I46" s="69">
        <f t="shared" si="26"/>
        <v>22.19111111</v>
      </c>
      <c r="J46" s="72">
        <v>165.0</v>
      </c>
      <c r="K46" s="73">
        <f t="shared" si="5"/>
        <v>0.05454545455</v>
      </c>
      <c r="L46" s="69">
        <v>95.85</v>
      </c>
      <c r="M46" s="69">
        <v>119.97</v>
      </c>
      <c r="N46" s="70">
        <v>5.0</v>
      </c>
      <c r="O46" s="72">
        <v>25542.0</v>
      </c>
      <c r="P46" s="73">
        <v>0.3572</v>
      </c>
      <c r="Q46" s="75">
        <f t="shared" si="7"/>
        <v>1.251643192</v>
      </c>
      <c r="R46" s="73">
        <f t="shared" si="8"/>
        <v>0.6006909674</v>
      </c>
      <c r="S46" s="76"/>
      <c r="T46" s="77"/>
      <c r="U46" s="2"/>
      <c r="V46" s="2"/>
      <c r="W46" s="2"/>
      <c r="X46" s="2"/>
      <c r="Y46" s="2"/>
      <c r="Z46" s="2"/>
    </row>
    <row r="47" hidden="1" outlineLevel="1">
      <c r="A47" s="67" t="str">
        <f t="shared" si="24"/>
        <v>1-2026</v>
      </c>
      <c r="B47" s="57">
        <v>46037.0</v>
      </c>
      <c r="C47" s="68"/>
      <c r="D47" s="69">
        <v>307.19</v>
      </c>
      <c r="E47" s="70">
        <v>13.0</v>
      </c>
      <c r="F47" s="70">
        <v>12.0</v>
      </c>
      <c r="G47" s="71">
        <f t="shared" si="2"/>
        <v>1.083333333</v>
      </c>
      <c r="H47" s="69">
        <f t="shared" si="25"/>
        <v>25.59916667</v>
      </c>
      <c r="I47" s="69">
        <f t="shared" si="26"/>
        <v>23.63</v>
      </c>
      <c r="J47" s="72">
        <v>225.0</v>
      </c>
      <c r="K47" s="73">
        <f t="shared" si="5"/>
        <v>0.05777777778</v>
      </c>
      <c r="L47" s="69">
        <v>104.39</v>
      </c>
      <c r="M47" s="69">
        <v>237.7</v>
      </c>
      <c r="N47" s="70">
        <v>9.0</v>
      </c>
      <c r="O47" s="72">
        <v>21331.0</v>
      </c>
      <c r="P47" s="73">
        <v>0.3225</v>
      </c>
      <c r="Q47" s="75">
        <f t="shared" si="7"/>
        <v>2.27703803</v>
      </c>
      <c r="R47" s="73">
        <f t="shared" si="8"/>
        <v>0.7737882093</v>
      </c>
      <c r="S47" s="76"/>
      <c r="T47" s="77"/>
      <c r="U47" s="2"/>
      <c r="V47" s="2"/>
      <c r="W47" s="2"/>
      <c r="X47" s="2"/>
      <c r="Y47" s="2"/>
      <c r="Z47" s="2"/>
    </row>
    <row r="48" hidden="1" outlineLevel="1">
      <c r="A48" s="67" t="str">
        <f t="shared" si="24"/>
        <v>1-2026</v>
      </c>
      <c r="B48" s="57">
        <v>46038.0</v>
      </c>
      <c r="C48" s="68"/>
      <c r="D48" s="69">
        <v>396.42</v>
      </c>
      <c r="E48" s="70">
        <v>17.0</v>
      </c>
      <c r="F48" s="70">
        <v>15.0</v>
      </c>
      <c r="G48" s="71">
        <f t="shared" si="2"/>
        <v>1.133333333</v>
      </c>
      <c r="H48" s="69">
        <f t="shared" si="25"/>
        <v>26.428</v>
      </c>
      <c r="I48" s="69">
        <f t="shared" si="26"/>
        <v>23.31882353</v>
      </c>
      <c r="J48" s="72">
        <v>170.0</v>
      </c>
      <c r="K48" s="73">
        <f t="shared" si="5"/>
        <v>0.1</v>
      </c>
      <c r="L48" s="69">
        <v>81.74</v>
      </c>
      <c r="M48" s="69">
        <v>181.97</v>
      </c>
      <c r="N48" s="70">
        <v>6.0</v>
      </c>
      <c r="O48" s="72">
        <v>18135.0</v>
      </c>
      <c r="P48" s="73">
        <v>0.5913</v>
      </c>
      <c r="Q48" s="75">
        <f t="shared" si="7"/>
        <v>2.22620504</v>
      </c>
      <c r="R48" s="73">
        <f t="shared" si="8"/>
        <v>0.4590333485</v>
      </c>
      <c r="S48" s="76"/>
      <c r="T48" s="77"/>
      <c r="U48" s="2"/>
      <c r="V48" s="2"/>
      <c r="W48" s="2"/>
      <c r="X48" s="2"/>
      <c r="Y48" s="2"/>
      <c r="Z48" s="2"/>
    </row>
    <row r="49" hidden="1" outlineLevel="1">
      <c r="A49" s="67" t="str">
        <f t="shared" si="24"/>
        <v>1-2026</v>
      </c>
      <c r="B49" s="57">
        <v>46039.0</v>
      </c>
      <c r="C49" s="68"/>
      <c r="D49" s="69">
        <v>239.45</v>
      </c>
      <c r="E49" s="70">
        <v>10.0</v>
      </c>
      <c r="F49" s="70">
        <v>10.0</v>
      </c>
      <c r="G49" s="71">
        <f t="shared" si="2"/>
        <v>1</v>
      </c>
      <c r="H49" s="69">
        <f t="shared" si="25"/>
        <v>23.945</v>
      </c>
      <c r="I49" s="69">
        <f t="shared" si="26"/>
        <v>23.945</v>
      </c>
      <c r="J49" s="72">
        <v>178.0</v>
      </c>
      <c r="K49" s="73">
        <f t="shared" si="5"/>
        <v>0.05617977528</v>
      </c>
      <c r="L49" s="69">
        <v>104.57</v>
      </c>
      <c r="M49" s="69">
        <v>285.94</v>
      </c>
      <c r="N49" s="70">
        <v>12.0</v>
      </c>
      <c r="O49" s="72">
        <v>20160.0</v>
      </c>
      <c r="P49" s="73">
        <f t="shared" ref="P49:P50" si="29">L49/M49</f>
        <v>0.3657060922</v>
      </c>
      <c r="Q49" s="75">
        <f t="shared" si="7"/>
        <v>2.734436263</v>
      </c>
      <c r="R49" s="73">
        <f t="shared" si="8"/>
        <v>1.194153268</v>
      </c>
      <c r="S49" s="76"/>
      <c r="T49" s="77"/>
      <c r="U49" s="2"/>
      <c r="V49" s="2"/>
      <c r="W49" s="2"/>
      <c r="X49" s="2"/>
      <c r="Y49" s="2"/>
      <c r="Z49" s="2"/>
    </row>
    <row r="50" collapsed="1">
      <c r="A50" s="78" t="s">
        <v>47</v>
      </c>
      <c r="B50" s="79"/>
      <c r="C50" s="80"/>
      <c r="D50" s="81">
        <f t="shared" ref="D50:F50" si="27">SUM(D43:D49)</f>
        <v>2000.31</v>
      </c>
      <c r="E50" s="82">
        <f t="shared" si="27"/>
        <v>84</v>
      </c>
      <c r="F50" s="82">
        <f t="shared" si="27"/>
        <v>77</v>
      </c>
      <c r="G50" s="83">
        <f t="shared" si="2"/>
        <v>1.090909091</v>
      </c>
      <c r="H50" s="81">
        <f>average(H43:H49)</f>
        <v>25.84424892</v>
      </c>
      <c r="I50" s="84">
        <f>H50/G50</f>
        <v>23.69056151</v>
      </c>
      <c r="J50" s="85">
        <f>SUM(J43:J49)</f>
        <v>1500</v>
      </c>
      <c r="K50" s="86">
        <f t="shared" si="5"/>
        <v>0.056</v>
      </c>
      <c r="L50" s="81">
        <f t="shared" ref="L50:N50" si="28">SUM(L43:L49)</f>
        <v>826.23</v>
      </c>
      <c r="M50" s="81">
        <f t="shared" si="28"/>
        <v>1549.18</v>
      </c>
      <c r="N50" s="87">
        <f t="shared" si="28"/>
        <v>60</v>
      </c>
      <c r="O50" s="85">
        <f>sum(O43:O49)</f>
        <v>206916</v>
      </c>
      <c r="P50" s="86">
        <f t="shared" si="29"/>
        <v>0.5333337637</v>
      </c>
      <c r="Q50" s="88">
        <f t="shared" si="7"/>
        <v>1.874998487</v>
      </c>
      <c r="R50" s="89">
        <f t="shared" si="8"/>
        <v>0.7744699572</v>
      </c>
      <c r="S50" s="80" t="str">
        <f>iferror((D50-#REF!)/D50,)</f>
        <v/>
      </c>
      <c r="T50" s="90" t="str">
        <f>iferror((F50-#REF!)/F50,)</f>
        <v/>
      </c>
      <c r="U50" s="2"/>
      <c r="V50" s="2"/>
      <c r="W50" s="2"/>
      <c r="X50" s="2"/>
      <c r="Y50" s="2"/>
      <c r="Z50" s="2"/>
    </row>
    <row r="51" hidden="1" outlineLevel="1">
      <c r="A51" s="56" t="str">
        <f t="shared" ref="A51:A57" si="30">iferror(if(B51&gt;0,month(B51)&amp;"-"&amp;year(B51),B51),)</f>
        <v>1-2026</v>
      </c>
      <c r="B51" s="57">
        <v>46040.0</v>
      </c>
      <c r="C51" s="58"/>
      <c r="D51" s="59">
        <v>766.55</v>
      </c>
      <c r="E51" s="60">
        <v>31.0</v>
      </c>
      <c r="F51" s="60">
        <v>27.0</v>
      </c>
      <c r="G51" s="61">
        <f t="shared" si="2"/>
        <v>1.148148148</v>
      </c>
      <c r="H51" s="59">
        <f t="shared" ref="H51:H57" si="31">D51/F51</f>
        <v>28.39074074</v>
      </c>
      <c r="I51" s="59">
        <f t="shared" ref="I51:I57" si="32">D51/E51</f>
        <v>24.72741935</v>
      </c>
      <c r="J51" s="62">
        <v>258.0</v>
      </c>
      <c r="K51" s="63">
        <f t="shared" si="5"/>
        <v>0.1201550388</v>
      </c>
      <c r="L51" s="59">
        <v>138.96</v>
      </c>
      <c r="M51" s="59">
        <v>475.4</v>
      </c>
      <c r="N51" s="60">
        <v>17.0</v>
      </c>
      <c r="O51" s="62">
        <v>28491.0</v>
      </c>
      <c r="P51" s="63">
        <v>0.4734</v>
      </c>
      <c r="Q51" s="64">
        <f t="shared" si="7"/>
        <v>3.421128382</v>
      </c>
      <c r="R51" s="63">
        <f t="shared" si="8"/>
        <v>0.6201813319</v>
      </c>
      <c r="S51" s="65"/>
      <c r="T51" s="66"/>
      <c r="U51" s="2"/>
      <c r="V51" s="2"/>
      <c r="W51" s="2"/>
      <c r="X51" s="2"/>
      <c r="Y51" s="2"/>
      <c r="Z51" s="2"/>
    </row>
    <row r="52" hidden="1" outlineLevel="1">
      <c r="A52" s="67" t="str">
        <f t="shared" si="30"/>
        <v>1-2026</v>
      </c>
      <c r="B52" s="57">
        <v>46041.0</v>
      </c>
      <c r="C52" s="68"/>
      <c r="D52" s="69">
        <v>387.43</v>
      </c>
      <c r="E52" s="70">
        <v>17.0</v>
      </c>
      <c r="F52" s="70">
        <v>16.0</v>
      </c>
      <c r="G52" s="71">
        <f t="shared" si="2"/>
        <v>1.0625</v>
      </c>
      <c r="H52" s="69">
        <f t="shared" si="31"/>
        <v>24.214375</v>
      </c>
      <c r="I52" s="69">
        <f t="shared" si="32"/>
        <v>22.79</v>
      </c>
      <c r="J52" s="72">
        <v>219.0</v>
      </c>
      <c r="K52" s="73">
        <f t="shared" si="5"/>
        <v>0.07762557078</v>
      </c>
      <c r="L52" s="69">
        <v>108.61</v>
      </c>
      <c r="M52" s="74">
        <v>219.22</v>
      </c>
      <c r="N52" s="70">
        <v>10.0</v>
      </c>
      <c r="O52" s="72">
        <v>25914.0</v>
      </c>
      <c r="P52" s="73">
        <v>0.2985</v>
      </c>
      <c r="Q52" s="75">
        <f t="shared" si="7"/>
        <v>2.018414511</v>
      </c>
      <c r="R52" s="73">
        <f t="shared" si="8"/>
        <v>0.5658312469</v>
      </c>
      <c r="S52" s="76"/>
      <c r="T52" s="77"/>
      <c r="U52" s="2"/>
      <c r="V52" s="2"/>
      <c r="W52" s="2"/>
      <c r="X52" s="2"/>
      <c r="Y52" s="2"/>
      <c r="Z52" s="2"/>
    </row>
    <row r="53" hidden="1" outlineLevel="1">
      <c r="A53" s="67" t="str">
        <f t="shared" si="30"/>
        <v>1-2026</v>
      </c>
      <c r="B53" s="57">
        <v>46042.0</v>
      </c>
      <c r="C53" s="68"/>
      <c r="D53" s="69">
        <v>268.68</v>
      </c>
      <c r="E53" s="70">
        <v>11.0</v>
      </c>
      <c r="F53" s="70">
        <v>10.0</v>
      </c>
      <c r="G53" s="71">
        <f t="shared" si="2"/>
        <v>1.1</v>
      </c>
      <c r="H53" s="69">
        <f t="shared" si="31"/>
        <v>26.868</v>
      </c>
      <c r="I53" s="69">
        <f t="shared" si="32"/>
        <v>24.42545455</v>
      </c>
      <c r="J53" s="72">
        <v>190.0</v>
      </c>
      <c r="K53" s="73">
        <f t="shared" si="5"/>
        <v>0.05789473684</v>
      </c>
      <c r="L53" s="59">
        <v>94.48</v>
      </c>
      <c r="M53" s="59">
        <v>247.96</v>
      </c>
      <c r="N53" s="60">
        <v>10.0</v>
      </c>
      <c r="O53" s="72">
        <v>19986.0</v>
      </c>
      <c r="P53" s="73">
        <v>0.3486</v>
      </c>
      <c r="Q53" s="75">
        <f t="shared" si="7"/>
        <v>2.624470787</v>
      </c>
      <c r="R53" s="73">
        <f t="shared" si="8"/>
        <v>0.9228822391</v>
      </c>
      <c r="S53" s="76"/>
      <c r="T53" s="77"/>
      <c r="U53" s="2"/>
      <c r="V53" s="2"/>
      <c r="W53" s="2"/>
      <c r="X53" s="2"/>
      <c r="Y53" s="2"/>
      <c r="Z53" s="2"/>
    </row>
    <row r="54" hidden="1" outlineLevel="1">
      <c r="A54" s="67" t="str">
        <f t="shared" si="30"/>
        <v>1-2026</v>
      </c>
      <c r="B54" s="57">
        <v>46043.0</v>
      </c>
      <c r="C54" s="68"/>
      <c r="D54" s="69">
        <v>475.38</v>
      </c>
      <c r="E54" s="70">
        <v>19.0</v>
      </c>
      <c r="F54" s="70">
        <v>17.0</v>
      </c>
      <c r="G54" s="71">
        <f t="shared" si="2"/>
        <v>1.117647059</v>
      </c>
      <c r="H54" s="69">
        <f t="shared" si="31"/>
        <v>27.96352941</v>
      </c>
      <c r="I54" s="69">
        <f t="shared" si="32"/>
        <v>25.02</v>
      </c>
      <c r="J54" s="72">
        <v>236.0</v>
      </c>
      <c r="K54" s="73">
        <f t="shared" si="5"/>
        <v>0.08050847458</v>
      </c>
      <c r="L54" s="69">
        <v>119.79</v>
      </c>
      <c r="M54" s="69">
        <v>230.2</v>
      </c>
      <c r="N54" s="70">
        <v>8.0</v>
      </c>
      <c r="O54" s="72">
        <v>24705.0</v>
      </c>
      <c r="P54" s="73">
        <v>0.3572</v>
      </c>
      <c r="Q54" s="75">
        <f t="shared" si="7"/>
        <v>1.921696302</v>
      </c>
      <c r="R54" s="73">
        <f t="shared" si="8"/>
        <v>0.4842441836</v>
      </c>
      <c r="S54" s="76"/>
      <c r="T54" s="77"/>
      <c r="U54" s="2"/>
      <c r="V54" s="2"/>
      <c r="W54" s="2"/>
      <c r="X54" s="2"/>
      <c r="Y54" s="2"/>
      <c r="Z54" s="2"/>
    </row>
    <row r="55" hidden="1" outlineLevel="1">
      <c r="A55" s="67" t="str">
        <f t="shared" si="30"/>
        <v>1-2026</v>
      </c>
      <c r="B55" s="57">
        <v>46044.0</v>
      </c>
      <c r="C55" s="68"/>
      <c r="D55" s="69">
        <v>303.69</v>
      </c>
      <c r="E55" s="70">
        <v>13.0</v>
      </c>
      <c r="F55" s="70">
        <v>12.0</v>
      </c>
      <c r="G55" s="71">
        <f t="shared" si="2"/>
        <v>1.083333333</v>
      </c>
      <c r="H55" s="69">
        <f t="shared" si="31"/>
        <v>25.3075</v>
      </c>
      <c r="I55" s="69">
        <f t="shared" si="32"/>
        <v>23.36076923</v>
      </c>
      <c r="J55" s="72">
        <v>266.0</v>
      </c>
      <c r="K55" s="73">
        <f t="shared" si="5"/>
        <v>0.04887218045</v>
      </c>
      <c r="L55" s="69">
        <v>132.87</v>
      </c>
      <c r="M55" s="69">
        <v>216.45</v>
      </c>
      <c r="N55" s="70">
        <v>9.0</v>
      </c>
      <c r="O55" s="72">
        <v>29515.0</v>
      </c>
      <c r="P55" s="73">
        <v>0.3225</v>
      </c>
      <c r="Q55" s="75">
        <f t="shared" si="7"/>
        <v>1.6290359</v>
      </c>
      <c r="R55" s="73">
        <f t="shared" si="8"/>
        <v>0.7127333794</v>
      </c>
      <c r="S55" s="76"/>
      <c r="T55" s="77"/>
      <c r="U55" s="2"/>
      <c r="V55" s="2"/>
      <c r="W55" s="2"/>
      <c r="X55" s="2"/>
      <c r="Y55" s="2"/>
      <c r="Z55" s="2"/>
    </row>
    <row r="56" hidden="1" outlineLevel="1">
      <c r="A56" s="67" t="str">
        <f t="shared" si="30"/>
        <v>1-2026</v>
      </c>
      <c r="B56" s="57">
        <v>46045.0</v>
      </c>
      <c r="C56" s="68"/>
      <c r="D56" s="69">
        <v>583.09</v>
      </c>
      <c r="E56" s="70">
        <v>21.0</v>
      </c>
      <c r="F56" s="70">
        <v>17.0</v>
      </c>
      <c r="G56" s="71">
        <f t="shared" si="2"/>
        <v>1.235294118</v>
      </c>
      <c r="H56" s="69">
        <f t="shared" si="31"/>
        <v>34.29941176</v>
      </c>
      <c r="I56" s="69">
        <f t="shared" si="32"/>
        <v>27.76619048</v>
      </c>
      <c r="J56" s="72">
        <v>275.0</v>
      </c>
      <c r="K56" s="73">
        <f t="shared" si="5"/>
        <v>0.07636363636</v>
      </c>
      <c r="L56" s="69">
        <v>126.43</v>
      </c>
      <c r="M56" s="69">
        <v>323.19</v>
      </c>
      <c r="N56" s="70">
        <v>8.0</v>
      </c>
      <c r="O56" s="72">
        <v>29579.0</v>
      </c>
      <c r="P56" s="73">
        <v>0.5913</v>
      </c>
      <c r="Q56" s="75">
        <f t="shared" si="7"/>
        <v>2.5562762</v>
      </c>
      <c r="R56" s="73">
        <f t="shared" si="8"/>
        <v>0.5542712103</v>
      </c>
      <c r="S56" s="76"/>
      <c r="T56" s="77"/>
      <c r="U56" s="2"/>
      <c r="V56" s="2"/>
      <c r="W56" s="2"/>
      <c r="X56" s="2"/>
      <c r="Y56" s="2"/>
      <c r="Z56" s="2"/>
    </row>
    <row r="57" hidden="1" outlineLevel="1">
      <c r="A57" s="67" t="str">
        <f t="shared" si="30"/>
        <v>1-2026</v>
      </c>
      <c r="B57" s="57">
        <v>46046.0</v>
      </c>
      <c r="C57" s="68"/>
      <c r="D57" s="69">
        <v>369.14</v>
      </c>
      <c r="E57" s="70">
        <v>14.0</v>
      </c>
      <c r="F57" s="70">
        <v>12.0</v>
      </c>
      <c r="G57" s="71">
        <f t="shared" si="2"/>
        <v>1.166666667</v>
      </c>
      <c r="H57" s="69">
        <f t="shared" si="31"/>
        <v>30.76166667</v>
      </c>
      <c r="I57" s="69">
        <f t="shared" si="32"/>
        <v>26.36714286</v>
      </c>
      <c r="J57" s="72">
        <v>309.0</v>
      </c>
      <c r="K57" s="73">
        <f t="shared" si="5"/>
        <v>0.04530744337</v>
      </c>
      <c r="L57" s="69">
        <v>153.56</v>
      </c>
      <c r="M57" s="69">
        <v>390.13</v>
      </c>
      <c r="N57" s="70">
        <v>13.0</v>
      </c>
      <c r="O57" s="72">
        <v>35861.0</v>
      </c>
      <c r="P57" s="73">
        <f t="shared" ref="P57:P58" si="35">L57/M57</f>
        <v>0.3936123856</v>
      </c>
      <c r="Q57" s="75">
        <f t="shared" si="7"/>
        <v>2.540570461</v>
      </c>
      <c r="R57" s="73">
        <f t="shared" si="8"/>
        <v>1.056861895</v>
      </c>
      <c r="S57" s="76"/>
      <c r="T57" s="77"/>
      <c r="U57" s="2"/>
      <c r="V57" s="2"/>
      <c r="W57" s="2"/>
      <c r="X57" s="2"/>
      <c r="Y57" s="2"/>
      <c r="Z57" s="2"/>
    </row>
    <row r="58" collapsed="1">
      <c r="A58" s="78" t="s">
        <v>48</v>
      </c>
      <c r="B58" s="79"/>
      <c r="C58" s="80"/>
      <c r="D58" s="81">
        <f t="shared" ref="D58:F58" si="33">SUM(D51:D57)</f>
        <v>3153.96</v>
      </c>
      <c r="E58" s="82">
        <f t="shared" si="33"/>
        <v>126</v>
      </c>
      <c r="F58" s="82">
        <f t="shared" si="33"/>
        <v>111</v>
      </c>
      <c r="G58" s="83">
        <f t="shared" si="2"/>
        <v>1.135135135</v>
      </c>
      <c r="H58" s="81">
        <f>average(H51:H57)</f>
        <v>28.25788908</v>
      </c>
      <c r="I58" s="84">
        <f>H58/G58</f>
        <v>24.89385467</v>
      </c>
      <c r="J58" s="85">
        <f>SUM(J51:J57)</f>
        <v>1753</v>
      </c>
      <c r="K58" s="86">
        <f t="shared" si="5"/>
        <v>0.07187678266</v>
      </c>
      <c r="L58" s="81">
        <f t="shared" ref="L58:N58" si="34">SUM(L51:L57)</f>
        <v>874.7</v>
      </c>
      <c r="M58" s="81">
        <f t="shared" si="34"/>
        <v>2102.55</v>
      </c>
      <c r="N58" s="87">
        <f t="shared" si="34"/>
        <v>75</v>
      </c>
      <c r="O58" s="85">
        <f>sum(O51:O57)</f>
        <v>194051</v>
      </c>
      <c r="P58" s="86">
        <f t="shared" si="35"/>
        <v>0.416018644</v>
      </c>
      <c r="Q58" s="88">
        <f t="shared" si="7"/>
        <v>2.403738425</v>
      </c>
      <c r="R58" s="89">
        <f t="shared" si="8"/>
        <v>0.6666381311</v>
      </c>
      <c r="S58" s="80" t="str">
        <f>iferror((D58-#REF!)/D58,)</f>
        <v/>
      </c>
      <c r="T58" s="90" t="str">
        <f>iferror((F58-#REF!)/F58,)</f>
        <v/>
      </c>
      <c r="U58" s="2"/>
      <c r="V58" s="2"/>
      <c r="W58" s="2"/>
      <c r="X58" s="2"/>
      <c r="Y58" s="2"/>
      <c r="Z58" s="2"/>
    </row>
    <row r="59" hidden="1" outlineLevel="1">
      <c r="A59" s="56" t="str">
        <f t="shared" ref="A59:A65" si="36">iferror(if(B59&gt;0,month(B59)&amp;"-"&amp;year(B59),B59),)</f>
        <v>1-2026</v>
      </c>
      <c r="B59" s="57">
        <v>46047.0</v>
      </c>
      <c r="C59" s="58"/>
      <c r="D59" s="59">
        <v>411.12</v>
      </c>
      <c r="E59" s="60">
        <v>17.0</v>
      </c>
      <c r="F59" s="60">
        <v>15.0</v>
      </c>
      <c r="G59" s="61">
        <f t="shared" si="2"/>
        <v>1.133333333</v>
      </c>
      <c r="H59" s="59">
        <f t="shared" ref="H59:H65" si="37">D59/F59</f>
        <v>27.408</v>
      </c>
      <c r="I59" s="59">
        <f t="shared" ref="I59:I65" si="38">D59/E59</f>
        <v>24.18352941</v>
      </c>
      <c r="J59" s="62">
        <v>452.0</v>
      </c>
      <c r="K59" s="63">
        <f t="shared" si="5"/>
        <v>0.03761061947</v>
      </c>
      <c r="L59" s="59">
        <v>248.54</v>
      </c>
      <c r="M59" s="59">
        <v>430.62</v>
      </c>
      <c r="N59" s="60">
        <v>15.0</v>
      </c>
      <c r="O59" s="62">
        <v>59114.0</v>
      </c>
      <c r="P59" s="63">
        <v>0.4734</v>
      </c>
      <c r="Q59" s="64">
        <f t="shared" si="7"/>
        <v>1.732598375</v>
      </c>
      <c r="R59" s="63">
        <f t="shared" si="8"/>
        <v>1.047431407</v>
      </c>
      <c r="S59" s="65"/>
      <c r="T59" s="66"/>
      <c r="U59" s="2"/>
      <c r="V59" s="2"/>
      <c r="W59" s="2"/>
      <c r="X59" s="2"/>
      <c r="Y59" s="2"/>
      <c r="Z59" s="2"/>
    </row>
    <row r="60" hidden="1" outlineLevel="1">
      <c r="A60" s="67" t="str">
        <f t="shared" si="36"/>
        <v>1-2026</v>
      </c>
      <c r="B60" s="57">
        <v>46048.0</v>
      </c>
      <c r="C60" s="68"/>
      <c r="D60" s="69">
        <v>187.46</v>
      </c>
      <c r="E60" s="70">
        <v>8.0</v>
      </c>
      <c r="F60" s="70">
        <v>8.0</v>
      </c>
      <c r="G60" s="71">
        <f t="shared" si="2"/>
        <v>1</v>
      </c>
      <c r="H60" s="69">
        <f t="shared" si="37"/>
        <v>23.4325</v>
      </c>
      <c r="I60" s="69">
        <f t="shared" si="38"/>
        <v>23.4325</v>
      </c>
      <c r="J60" s="72">
        <v>318.0</v>
      </c>
      <c r="K60" s="73">
        <f t="shared" si="5"/>
        <v>0.0251572327</v>
      </c>
      <c r="L60" s="69">
        <v>158.88</v>
      </c>
      <c r="M60" s="74">
        <v>214.45</v>
      </c>
      <c r="N60" s="70">
        <v>9.0</v>
      </c>
      <c r="O60" s="72">
        <v>39453.0</v>
      </c>
      <c r="P60" s="73">
        <v>0.2985</v>
      </c>
      <c r="Q60" s="75">
        <f t="shared" si="7"/>
        <v>1.349760826</v>
      </c>
      <c r="R60" s="73">
        <f t="shared" si="8"/>
        <v>1.143977382</v>
      </c>
      <c r="S60" s="76"/>
      <c r="T60" s="77"/>
      <c r="U60" s="2"/>
      <c r="V60" s="2"/>
      <c r="W60" s="2"/>
      <c r="X60" s="2"/>
      <c r="Y60" s="2"/>
      <c r="Z60" s="2"/>
    </row>
    <row r="61" hidden="1" outlineLevel="1">
      <c r="A61" s="67" t="str">
        <f t="shared" si="36"/>
        <v>1-2026</v>
      </c>
      <c r="B61" s="57">
        <v>46049.0</v>
      </c>
      <c r="C61" s="68"/>
      <c r="D61" s="69">
        <v>414.39</v>
      </c>
      <c r="E61" s="70">
        <v>15.0</v>
      </c>
      <c r="F61" s="70">
        <v>14.0</v>
      </c>
      <c r="G61" s="71">
        <f t="shared" si="2"/>
        <v>1.071428571</v>
      </c>
      <c r="H61" s="69">
        <f t="shared" si="37"/>
        <v>29.59928571</v>
      </c>
      <c r="I61" s="69">
        <f t="shared" si="38"/>
        <v>27.626</v>
      </c>
      <c r="J61" s="72">
        <v>244.0</v>
      </c>
      <c r="K61" s="73">
        <f t="shared" si="5"/>
        <v>0.06147540984</v>
      </c>
      <c r="L61" s="59">
        <v>117.78</v>
      </c>
      <c r="M61" s="59">
        <v>402.91</v>
      </c>
      <c r="N61" s="60">
        <v>14.0</v>
      </c>
      <c r="O61" s="72">
        <v>29500.0</v>
      </c>
      <c r="P61" s="73">
        <v>0.3486</v>
      </c>
      <c r="Q61" s="75">
        <f t="shared" si="7"/>
        <v>3.420869418</v>
      </c>
      <c r="R61" s="73">
        <f t="shared" si="8"/>
        <v>0.9722966288</v>
      </c>
      <c r="S61" s="76"/>
      <c r="T61" s="77"/>
      <c r="U61" s="2"/>
      <c r="V61" s="2"/>
      <c r="W61" s="2"/>
      <c r="X61" s="2"/>
      <c r="Y61" s="2"/>
      <c r="Z61" s="2"/>
    </row>
    <row r="62" hidden="1" outlineLevel="1">
      <c r="A62" s="67" t="str">
        <f t="shared" si="36"/>
        <v>1-2026</v>
      </c>
      <c r="B62" s="57">
        <v>46050.0</v>
      </c>
      <c r="C62" s="68"/>
      <c r="D62" s="69">
        <v>499.12</v>
      </c>
      <c r="E62" s="70">
        <v>20.0</v>
      </c>
      <c r="F62" s="70">
        <v>15.0</v>
      </c>
      <c r="G62" s="71">
        <f t="shared" si="2"/>
        <v>1.333333333</v>
      </c>
      <c r="H62" s="69">
        <f t="shared" si="37"/>
        <v>33.27466667</v>
      </c>
      <c r="I62" s="69">
        <f t="shared" si="38"/>
        <v>24.956</v>
      </c>
      <c r="J62" s="72">
        <v>257.0</v>
      </c>
      <c r="K62" s="73">
        <f t="shared" si="5"/>
        <v>0.07782101167</v>
      </c>
      <c r="L62" s="69">
        <v>129.68</v>
      </c>
      <c r="M62" s="69">
        <v>445.64</v>
      </c>
      <c r="N62" s="70">
        <v>10.0</v>
      </c>
      <c r="O62" s="72">
        <v>26978.0</v>
      </c>
      <c r="P62" s="73">
        <v>0.3572</v>
      </c>
      <c r="Q62" s="75">
        <f t="shared" si="7"/>
        <v>3.436458976</v>
      </c>
      <c r="R62" s="73">
        <f t="shared" si="8"/>
        <v>0.8928514185</v>
      </c>
      <c r="S62" s="76"/>
      <c r="T62" s="77"/>
      <c r="U62" s="2"/>
      <c r="V62" s="2"/>
      <c r="W62" s="2"/>
      <c r="X62" s="2"/>
      <c r="Y62" s="2"/>
      <c r="Z62" s="2"/>
    </row>
    <row r="63" hidden="1" outlineLevel="1">
      <c r="A63" s="67" t="str">
        <f t="shared" si="36"/>
        <v>1-2026</v>
      </c>
      <c r="B63" s="57">
        <v>46051.0</v>
      </c>
      <c r="C63" s="68"/>
      <c r="D63" s="69">
        <v>812.25</v>
      </c>
      <c r="E63" s="70">
        <v>29.0</v>
      </c>
      <c r="F63" s="70">
        <v>19.0</v>
      </c>
      <c r="G63" s="71">
        <f t="shared" si="2"/>
        <v>1.526315789</v>
      </c>
      <c r="H63" s="69">
        <f t="shared" si="37"/>
        <v>42.75</v>
      </c>
      <c r="I63" s="69">
        <f t="shared" si="38"/>
        <v>28.00862069</v>
      </c>
      <c r="J63" s="72">
        <v>230.0</v>
      </c>
      <c r="K63" s="73">
        <f t="shared" si="5"/>
        <v>0.1260869565</v>
      </c>
      <c r="L63" s="69">
        <v>102.81</v>
      </c>
      <c r="M63" s="69">
        <v>529.33</v>
      </c>
      <c r="N63" s="70">
        <v>14.0</v>
      </c>
      <c r="O63" s="72">
        <v>23329.0</v>
      </c>
      <c r="P63" s="73">
        <v>0.3225</v>
      </c>
      <c r="Q63" s="75">
        <f t="shared" si="7"/>
        <v>5.148623675</v>
      </c>
      <c r="R63" s="73">
        <f t="shared" si="8"/>
        <v>0.651683595</v>
      </c>
      <c r="S63" s="76"/>
      <c r="T63" s="77"/>
      <c r="U63" s="2"/>
      <c r="V63" s="2"/>
      <c r="W63" s="2"/>
      <c r="X63" s="2"/>
      <c r="Y63" s="2"/>
      <c r="Z63" s="2"/>
    </row>
    <row r="64" hidden="1" outlineLevel="1">
      <c r="A64" s="67" t="str">
        <f t="shared" si="36"/>
        <v>1-2026</v>
      </c>
      <c r="B64" s="57">
        <v>46052.0</v>
      </c>
      <c r="C64" s="68"/>
      <c r="D64" s="69">
        <v>297.15</v>
      </c>
      <c r="E64" s="70">
        <v>11.0</v>
      </c>
      <c r="F64" s="70">
        <v>11.0</v>
      </c>
      <c r="G64" s="71">
        <f t="shared" si="2"/>
        <v>1</v>
      </c>
      <c r="H64" s="69">
        <f t="shared" si="37"/>
        <v>27.01363636</v>
      </c>
      <c r="I64" s="69">
        <f t="shared" si="38"/>
        <v>27.01363636</v>
      </c>
      <c r="J64" s="72">
        <v>214.0</v>
      </c>
      <c r="K64" s="73">
        <f t="shared" si="5"/>
        <v>0.05140186916</v>
      </c>
      <c r="L64" s="69">
        <v>97.03</v>
      </c>
      <c r="M64" s="69">
        <v>179.45</v>
      </c>
      <c r="N64" s="70">
        <v>6.0</v>
      </c>
      <c r="O64" s="72">
        <v>23911.0</v>
      </c>
      <c r="P64" s="73">
        <v>0.5913</v>
      </c>
      <c r="Q64" s="75">
        <f t="shared" si="7"/>
        <v>1.849428012</v>
      </c>
      <c r="R64" s="73">
        <f t="shared" si="8"/>
        <v>0.6039037523</v>
      </c>
      <c r="S64" s="76"/>
      <c r="T64" s="77"/>
      <c r="U64" s="2"/>
      <c r="V64" s="2"/>
      <c r="W64" s="2"/>
      <c r="X64" s="2"/>
      <c r="Y64" s="2"/>
      <c r="Z64" s="2"/>
    </row>
    <row r="65" hidden="1" outlineLevel="1">
      <c r="A65" s="67" t="str">
        <f t="shared" si="36"/>
        <v>1-2026</v>
      </c>
      <c r="B65" s="57">
        <v>46053.0</v>
      </c>
      <c r="C65" s="68"/>
      <c r="D65" s="69">
        <v>595.08</v>
      </c>
      <c r="E65" s="70">
        <v>22.0</v>
      </c>
      <c r="F65" s="70">
        <v>20.0</v>
      </c>
      <c r="G65" s="71">
        <f t="shared" si="2"/>
        <v>1.1</v>
      </c>
      <c r="H65" s="69">
        <f t="shared" si="37"/>
        <v>29.754</v>
      </c>
      <c r="I65" s="69">
        <f t="shared" si="38"/>
        <v>27.04909091</v>
      </c>
      <c r="J65" s="72">
        <v>344.0</v>
      </c>
      <c r="K65" s="73">
        <f t="shared" si="5"/>
        <v>0.06395348837</v>
      </c>
      <c r="L65" s="69">
        <v>178.68</v>
      </c>
      <c r="M65" s="69">
        <v>162.46</v>
      </c>
      <c r="N65" s="70">
        <v>6.0</v>
      </c>
      <c r="O65" s="72">
        <v>42129.0</v>
      </c>
      <c r="P65" s="73">
        <f t="shared" ref="P65:P66" si="41">L65/M65</f>
        <v>1.099839961</v>
      </c>
      <c r="Q65" s="75">
        <f t="shared" si="7"/>
        <v>0.9092231923</v>
      </c>
      <c r="R65" s="73">
        <f t="shared" si="8"/>
        <v>0.2730053102</v>
      </c>
      <c r="S65" s="76"/>
      <c r="T65" s="77"/>
      <c r="U65" s="2"/>
      <c r="V65" s="2"/>
      <c r="W65" s="2"/>
      <c r="X65" s="2"/>
      <c r="Y65" s="2"/>
      <c r="Z65" s="2"/>
    </row>
    <row r="66" collapsed="1">
      <c r="A66" s="78" t="s">
        <v>49</v>
      </c>
      <c r="B66" s="79"/>
      <c r="C66" s="80"/>
      <c r="D66" s="81">
        <f t="shared" ref="D66:F66" si="39">SUM(D59:D65)</f>
        <v>3216.57</v>
      </c>
      <c r="E66" s="82">
        <f t="shared" si="39"/>
        <v>122</v>
      </c>
      <c r="F66" s="82">
        <f t="shared" si="39"/>
        <v>102</v>
      </c>
      <c r="G66" s="83">
        <f t="shared" si="2"/>
        <v>1.196078431</v>
      </c>
      <c r="H66" s="81">
        <f>average(H59:H65)</f>
        <v>30.46172696</v>
      </c>
      <c r="I66" s="84">
        <f>H66/G66</f>
        <v>25.46800123</v>
      </c>
      <c r="J66" s="85">
        <f>SUM(J59:J65)</f>
        <v>2059</v>
      </c>
      <c r="K66" s="86">
        <f t="shared" si="5"/>
        <v>0.05925206411</v>
      </c>
      <c r="L66" s="81">
        <f t="shared" ref="L66:N66" si="40">SUM(L59:L65)</f>
        <v>1033.4</v>
      </c>
      <c r="M66" s="81">
        <f t="shared" si="40"/>
        <v>2364.86</v>
      </c>
      <c r="N66" s="87">
        <f t="shared" si="40"/>
        <v>74</v>
      </c>
      <c r="O66" s="85">
        <f>sum(O59:O65)</f>
        <v>244414</v>
      </c>
      <c r="P66" s="86">
        <f t="shared" si="41"/>
        <v>0.4369814704</v>
      </c>
      <c r="Q66" s="88">
        <f t="shared" si="7"/>
        <v>2.288426553</v>
      </c>
      <c r="R66" s="89">
        <f t="shared" si="8"/>
        <v>0.7352117318</v>
      </c>
      <c r="S66" s="80" t="str">
        <f>iferror((D66-#REF!)/D66,)</f>
        <v/>
      </c>
      <c r="T66" s="90" t="str">
        <f>iferror((F66-#REF!)/F66,)</f>
        <v/>
      </c>
      <c r="U66" s="2"/>
      <c r="V66" s="2"/>
      <c r="W66" s="2"/>
      <c r="X66" s="2"/>
      <c r="Y66" s="2"/>
      <c r="Z66" s="2"/>
    </row>
    <row r="67" hidden="1" outlineLevel="1">
      <c r="A67" s="56" t="str">
        <f t="shared" ref="A67:A73" si="42">iferror(if(B67&gt;0,month(B67)&amp;"-"&amp;year(B67),B67),)</f>
        <v>2-2026</v>
      </c>
      <c r="B67" s="57">
        <v>46054.0</v>
      </c>
      <c r="C67" s="58"/>
      <c r="D67" s="59">
        <v>502.89</v>
      </c>
      <c r="E67" s="60">
        <v>20.0</v>
      </c>
      <c r="F67" s="60">
        <v>18.0</v>
      </c>
      <c r="G67" s="61">
        <f t="shared" si="2"/>
        <v>1.111111111</v>
      </c>
      <c r="H67" s="59">
        <f t="shared" ref="H67:H73" si="43">D67/F67</f>
        <v>27.93833333</v>
      </c>
      <c r="I67" s="59">
        <f t="shared" ref="I67:I73" si="44">D67/E67</f>
        <v>25.1445</v>
      </c>
      <c r="J67" s="62">
        <v>498.0</v>
      </c>
      <c r="K67" s="63">
        <f t="shared" si="5"/>
        <v>0.04016064257</v>
      </c>
      <c r="L67" s="59">
        <v>268.42</v>
      </c>
      <c r="M67" s="59">
        <v>525.85</v>
      </c>
      <c r="N67" s="60">
        <v>17.0</v>
      </c>
      <c r="O67" s="62">
        <v>62391.0</v>
      </c>
      <c r="P67" s="63">
        <v>0.4734</v>
      </c>
      <c r="Q67" s="64">
        <f t="shared" si="7"/>
        <v>1.959056702</v>
      </c>
      <c r="R67" s="63">
        <f t="shared" si="8"/>
        <v>1.045656108</v>
      </c>
      <c r="S67" s="65"/>
      <c r="T67" s="66"/>
      <c r="U67" s="2"/>
      <c r="V67" s="2"/>
      <c r="W67" s="2"/>
      <c r="X67" s="2"/>
      <c r="Y67" s="2"/>
      <c r="Z67" s="2"/>
    </row>
    <row r="68" hidden="1" outlineLevel="1">
      <c r="A68" s="67" t="str">
        <f t="shared" si="42"/>
        <v>2-2026</v>
      </c>
      <c r="B68" s="57">
        <v>46055.0</v>
      </c>
      <c r="C68" s="68"/>
      <c r="D68" s="69">
        <v>509.62</v>
      </c>
      <c r="E68" s="70">
        <v>19.0</v>
      </c>
      <c r="F68" s="70">
        <v>17.0</v>
      </c>
      <c r="G68" s="71">
        <f t="shared" si="2"/>
        <v>1.117647059</v>
      </c>
      <c r="H68" s="69">
        <f t="shared" si="43"/>
        <v>29.97764706</v>
      </c>
      <c r="I68" s="69">
        <f t="shared" si="44"/>
        <v>26.82210526</v>
      </c>
      <c r="J68" s="72">
        <v>330.0</v>
      </c>
      <c r="K68" s="73">
        <f t="shared" si="5"/>
        <v>0.05757575758</v>
      </c>
      <c r="L68" s="69">
        <v>193.37</v>
      </c>
      <c r="M68" s="74">
        <v>470.88</v>
      </c>
      <c r="N68" s="70">
        <v>15.0</v>
      </c>
      <c r="O68" s="72">
        <v>46418.0</v>
      </c>
      <c r="P68" s="73">
        <v>0.2985</v>
      </c>
      <c r="Q68" s="75">
        <f t="shared" si="7"/>
        <v>2.435124373</v>
      </c>
      <c r="R68" s="73">
        <f t="shared" si="8"/>
        <v>0.9239825753</v>
      </c>
      <c r="S68" s="76"/>
      <c r="T68" s="77"/>
      <c r="U68" s="2"/>
      <c r="V68" s="2"/>
      <c r="W68" s="2"/>
      <c r="X68" s="2"/>
      <c r="Y68" s="2"/>
      <c r="Z68" s="2"/>
    </row>
    <row r="69" hidden="1" outlineLevel="1">
      <c r="A69" s="67" t="str">
        <f t="shared" si="42"/>
        <v>2-2026</v>
      </c>
      <c r="B69" s="57">
        <v>46056.0</v>
      </c>
      <c r="C69" s="68"/>
      <c r="D69" s="69">
        <v>449.63</v>
      </c>
      <c r="E69" s="70">
        <v>16.0</v>
      </c>
      <c r="F69" s="70">
        <v>10.0</v>
      </c>
      <c r="G69" s="71">
        <f t="shared" si="2"/>
        <v>1.6</v>
      </c>
      <c r="H69" s="69">
        <f t="shared" si="43"/>
        <v>44.963</v>
      </c>
      <c r="I69" s="69">
        <f t="shared" si="44"/>
        <v>28.101875</v>
      </c>
      <c r="J69" s="72">
        <v>391.0</v>
      </c>
      <c r="K69" s="73">
        <f t="shared" si="5"/>
        <v>0.04092071611</v>
      </c>
      <c r="L69" s="59">
        <v>216.36</v>
      </c>
      <c r="M69" s="59">
        <v>327.15</v>
      </c>
      <c r="N69" s="60">
        <v>10.0</v>
      </c>
      <c r="O69" s="72">
        <v>58116.0</v>
      </c>
      <c r="P69" s="73">
        <v>0.3486</v>
      </c>
      <c r="Q69" s="75">
        <f t="shared" si="7"/>
        <v>1.512063228</v>
      </c>
      <c r="R69" s="73">
        <f t="shared" si="8"/>
        <v>0.7275982474</v>
      </c>
      <c r="S69" s="76"/>
      <c r="T69" s="77"/>
      <c r="U69" s="2"/>
      <c r="V69" s="2"/>
      <c r="W69" s="2"/>
      <c r="X69" s="2"/>
      <c r="Y69" s="2"/>
      <c r="Z69" s="2"/>
    </row>
    <row r="70" hidden="1" outlineLevel="1">
      <c r="A70" s="67" t="str">
        <f t="shared" si="42"/>
        <v>2-2026</v>
      </c>
      <c r="B70" s="57">
        <v>46057.0</v>
      </c>
      <c r="C70" s="68"/>
      <c r="D70" s="69">
        <v>711.54</v>
      </c>
      <c r="E70" s="70">
        <v>26.0</v>
      </c>
      <c r="F70" s="70">
        <v>25.0</v>
      </c>
      <c r="G70" s="71">
        <f t="shared" si="2"/>
        <v>1.04</v>
      </c>
      <c r="H70" s="69">
        <f t="shared" si="43"/>
        <v>28.4616</v>
      </c>
      <c r="I70" s="69">
        <f t="shared" si="44"/>
        <v>27.36692308</v>
      </c>
      <c r="J70" s="72">
        <v>361.0</v>
      </c>
      <c r="K70" s="73">
        <f t="shared" si="5"/>
        <v>0.07202216066</v>
      </c>
      <c r="L70" s="69">
        <v>213.31</v>
      </c>
      <c r="M70" s="69">
        <v>524.11</v>
      </c>
      <c r="N70" s="70">
        <v>20.0</v>
      </c>
      <c r="O70" s="72">
        <v>52397.0</v>
      </c>
      <c r="P70" s="73">
        <v>0.3572</v>
      </c>
      <c r="Q70" s="75">
        <f t="shared" si="7"/>
        <v>2.457034363</v>
      </c>
      <c r="R70" s="73">
        <f t="shared" si="8"/>
        <v>0.7365854344</v>
      </c>
      <c r="S70" s="76"/>
      <c r="T70" s="77"/>
      <c r="U70" s="2"/>
      <c r="V70" s="2"/>
      <c r="W70" s="2"/>
      <c r="X70" s="2"/>
      <c r="Y70" s="2"/>
      <c r="Z70" s="2"/>
    </row>
    <row r="71" hidden="1" outlineLevel="1">
      <c r="A71" s="67" t="str">
        <f t="shared" si="42"/>
        <v>2-2026</v>
      </c>
      <c r="B71" s="57">
        <v>46058.0</v>
      </c>
      <c r="C71" s="68"/>
      <c r="D71" s="69">
        <v>687.36</v>
      </c>
      <c r="E71" s="70">
        <v>26.0</v>
      </c>
      <c r="F71" s="70">
        <v>23.0</v>
      </c>
      <c r="G71" s="71">
        <f t="shared" si="2"/>
        <v>1.130434783</v>
      </c>
      <c r="H71" s="69">
        <f t="shared" si="43"/>
        <v>29.88521739</v>
      </c>
      <c r="I71" s="69">
        <f t="shared" si="44"/>
        <v>26.43692308</v>
      </c>
      <c r="J71" s="72">
        <v>350.0</v>
      </c>
      <c r="K71" s="73">
        <f t="shared" si="5"/>
        <v>0.07428571429</v>
      </c>
      <c r="L71" s="69">
        <v>193.96</v>
      </c>
      <c r="M71" s="69">
        <v>567.13</v>
      </c>
      <c r="N71" s="70">
        <v>19.0</v>
      </c>
      <c r="O71" s="72">
        <v>51478.0</v>
      </c>
      <c r="P71" s="73">
        <v>0.3225</v>
      </c>
      <c r="Q71" s="75">
        <f t="shared" si="7"/>
        <v>2.923953392</v>
      </c>
      <c r="R71" s="73">
        <f t="shared" si="8"/>
        <v>0.8250843808</v>
      </c>
      <c r="S71" s="76"/>
      <c r="T71" s="77"/>
      <c r="U71" s="2"/>
      <c r="V71" s="2"/>
      <c r="W71" s="2"/>
      <c r="X71" s="2"/>
      <c r="Y71" s="2"/>
      <c r="Z71" s="2"/>
    </row>
    <row r="72" hidden="1" outlineLevel="1">
      <c r="A72" s="67" t="str">
        <f t="shared" si="42"/>
        <v>2-2026</v>
      </c>
      <c r="B72" s="57">
        <v>46059.0</v>
      </c>
      <c r="C72" s="68"/>
      <c r="D72" s="69">
        <v>769.02</v>
      </c>
      <c r="E72" s="70">
        <v>28.0</v>
      </c>
      <c r="F72" s="70">
        <v>26.0</v>
      </c>
      <c r="G72" s="71">
        <f t="shared" si="2"/>
        <v>1.076923077</v>
      </c>
      <c r="H72" s="69">
        <f t="shared" si="43"/>
        <v>29.57769231</v>
      </c>
      <c r="I72" s="69">
        <f t="shared" si="44"/>
        <v>27.465</v>
      </c>
      <c r="J72" s="72">
        <v>325.0</v>
      </c>
      <c r="K72" s="73">
        <f t="shared" si="5"/>
        <v>0.08615384615</v>
      </c>
      <c r="L72" s="69">
        <v>173.28</v>
      </c>
      <c r="M72" s="69">
        <v>502.36</v>
      </c>
      <c r="N72" s="70">
        <v>18.0</v>
      </c>
      <c r="O72" s="72">
        <v>33499.0</v>
      </c>
      <c r="P72" s="73">
        <v>0.5913</v>
      </c>
      <c r="Q72" s="75">
        <f t="shared" si="7"/>
        <v>2.899122807</v>
      </c>
      <c r="R72" s="73">
        <f t="shared" si="8"/>
        <v>0.6532469897</v>
      </c>
      <c r="S72" s="76"/>
      <c r="T72" s="77"/>
      <c r="U72" s="2"/>
      <c r="V72" s="2"/>
      <c r="W72" s="2"/>
      <c r="X72" s="2"/>
      <c r="Y72" s="2"/>
      <c r="Z72" s="2"/>
    </row>
    <row r="73" hidden="1" outlineLevel="1">
      <c r="A73" s="67" t="str">
        <f t="shared" si="42"/>
        <v>2-2026</v>
      </c>
      <c r="B73" s="57">
        <v>46060.0</v>
      </c>
      <c r="C73" s="68"/>
      <c r="D73" s="69">
        <v>622.29</v>
      </c>
      <c r="E73" s="70">
        <v>22.0</v>
      </c>
      <c r="F73" s="70">
        <v>19.0</v>
      </c>
      <c r="G73" s="71">
        <f t="shared" si="2"/>
        <v>1.157894737</v>
      </c>
      <c r="H73" s="69">
        <f t="shared" si="43"/>
        <v>32.75210526</v>
      </c>
      <c r="I73" s="69">
        <f t="shared" si="44"/>
        <v>28.28590909</v>
      </c>
      <c r="J73" s="72">
        <v>356.0</v>
      </c>
      <c r="K73" s="73">
        <f t="shared" si="5"/>
        <v>0.06179775281</v>
      </c>
      <c r="L73" s="69">
        <v>190.07</v>
      </c>
      <c r="M73" s="69">
        <v>355.13</v>
      </c>
      <c r="N73" s="70">
        <v>11.0</v>
      </c>
      <c r="O73" s="72">
        <v>42480.0</v>
      </c>
      <c r="P73" s="73">
        <f t="shared" ref="P73:P74" si="47">L73/M73</f>
        <v>0.5352124574</v>
      </c>
      <c r="Q73" s="75">
        <f t="shared" si="7"/>
        <v>1.868416899</v>
      </c>
      <c r="R73" s="73">
        <f t="shared" si="8"/>
        <v>0.5706824792</v>
      </c>
      <c r="S73" s="76"/>
      <c r="T73" s="77"/>
      <c r="U73" s="2"/>
      <c r="V73" s="2"/>
      <c r="W73" s="2"/>
      <c r="X73" s="2"/>
      <c r="Y73" s="2"/>
      <c r="Z73" s="2"/>
    </row>
    <row r="74" collapsed="1">
      <c r="A74" s="78" t="s">
        <v>50</v>
      </c>
      <c r="B74" s="79"/>
      <c r="C74" s="80"/>
      <c r="D74" s="81">
        <f t="shared" ref="D74:F74" si="45">SUM(D67:D73)</f>
        <v>4252.35</v>
      </c>
      <c r="E74" s="82">
        <f t="shared" si="45"/>
        <v>157</v>
      </c>
      <c r="F74" s="82">
        <f t="shared" si="45"/>
        <v>138</v>
      </c>
      <c r="G74" s="83">
        <f t="shared" si="2"/>
        <v>1.137681159</v>
      </c>
      <c r="H74" s="81">
        <f>average(H67:H73)</f>
        <v>31.93651362</v>
      </c>
      <c r="I74" s="84">
        <f>H74/G74</f>
        <v>28.07158522</v>
      </c>
      <c r="J74" s="85">
        <f>SUM(J67:J73)</f>
        <v>2611</v>
      </c>
      <c r="K74" s="86">
        <f t="shared" si="5"/>
        <v>0.06013021831</v>
      </c>
      <c r="L74" s="81">
        <f t="shared" ref="L74:N74" si="46">SUM(L67:L73)</f>
        <v>1448.77</v>
      </c>
      <c r="M74" s="81">
        <f t="shared" si="46"/>
        <v>3272.61</v>
      </c>
      <c r="N74" s="87">
        <f t="shared" si="46"/>
        <v>110</v>
      </c>
      <c r="O74" s="85">
        <f>sum(O67:O73)</f>
        <v>346779</v>
      </c>
      <c r="P74" s="86">
        <f t="shared" si="47"/>
        <v>0.4426955855</v>
      </c>
      <c r="Q74" s="88">
        <f t="shared" si="7"/>
        <v>2.258888574</v>
      </c>
      <c r="R74" s="89">
        <f t="shared" si="8"/>
        <v>0.7696003386</v>
      </c>
      <c r="S74" s="80" t="str">
        <f>iferror((D74-#REF!)/D74,)</f>
        <v/>
      </c>
      <c r="T74" s="90" t="str">
        <f>iferror((F74-#REF!)/F74,)</f>
        <v/>
      </c>
      <c r="U74" s="2"/>
      <c r="V74" s="2"/>
      <c r="W74" s="2"/>
      <c r="X74" s="2"/>
      <c r="Y74" s="2"/>
      <c r="Z74" s="2"/>
    </row>
    <row r="75" hidden="1" outlineLevel="1">
      <c r="A75" s="56" t="str">
        <f t="shared" ref="A75:A81" si="48">iferror(if(B75&gt;0,month(B75)&amp;"-"&amp;year(B75),B75),)</f>
        <v>2-2026</v>
      </c>
      <c r="B75" s="57">
        <v>46061.0</v>
      </c>
      <c r="C75" s="58"/>
      <c r="D75" s="59">
        <v>697.82</v>
      </c>
      <c r="E75" s="60">
        <v>27.0</v>
      </c>
      <c r="F75" s="60">
        <v>22.0</v>
      </c>
      <c r="G75" s="61">
        <f t="shared" si="2"/>
        <v>1.227272727</v>
      </c>
      <c r="H75" s="59">
        <f t="shared" ref="H75:H81" si="49">D75/F75</f>
        <v>31.71909091</v>
      </c>
      <c r="I75" s="59">
        <f t="shared" ref="I75:I81" si="50">D75/E75</f>
        <v>25.84518519</v>
      </c>
      <c r="J75" s="62">
        <v>414.0</v>
      </c>
      <c r="K75" s="63">
        <f t="shared" si="5"/>
        <v>0.0652173913</v>
      </c>
      <c r="L75" s="59">
        <v>226.01</v>
      </c>
      <c r="M75" s="59">
        <v>685.02</v>
      </c>
      <c r="N75" s="60">
        <v>21.0</v>
      </c>
      <c r="O75" s="62">
        <v>49205.0</v>
      </c>
      <c r="P75" s="63">
        <v>0.4734</v>
      </c>
      <c r="Q75" s="64">
        <f t="shared" si="7"/>
        <v>3.030927835</v>
      </c>
      <c r="R75" s="63">
        <f t="shared" si="8"/>
        <v>0.9816571609</v>
      </c>
      <c r="S75" s="65"/>
      <c r="T75" s="66"/>
      <c r="U75" s="2"/>
      <c r="V75" s="2"/>
      <c r="W75" s="2"/>
      <c r="X75" s="2"/>
      <c r="Y75" s="2"/>
      <c r="Z75" s="2"/>
    </row>
    <row r="76" hidden="1" outlineLevel="1">
      <c r="A76" s="67" t="str">
        <f t="shared" si="48"/>
        <v>2-2026</v>
      </c>
      <c r="B76" s="57">
        <v>46062.0</v>
      </c>
      <c r="C76" s="68"/>
      <c r="D76" s="69">
        <v>320.65</v>
      </c>
      <c r="E76" s="70">
        <v>12.0</v>
      </c>
      <c r="F76" s="70">
        <v>11.0</v>
      </c>
      <c r="G76" s="71">
        <f t="shared" si="2"/>
        <v>1.090909091</v>
      </c>
      <c r="H76" s="69">
        <f t="shared" si="49"/>
        <v>29.15</v>
      </c>
      <c r="I76" s="69">
        <f t="shared" si="50"/>
        <v>26.72083333</v>
      </c>
      <c r="J76" s="72">
        <v>284.0</v>
      </c>
      <c r="K76" s="73">
        <f t="shared" si="5"/>
        <v>0.04225352113</v>
      </c>
      <c r="L76" s="69">
        <v>143.55</v>
      </c>
      <c r="M76" s="74">
        <v>204.93</v>
      </c>
      <c r="N76" s="70">
        <v>7.0</v>
      </c>
      <c r="O76" s="72">
        <v>35358.0</v>
      </c>
      <c r="P76" s="73">
        <v>0.2985</v>
      </c>
      <c r="Q76" s="75">
        <f t="shared" si="7"/>
        <v>1.427586207</v>
      </c>
      <c r="R76" s="73">
        <f t="shared" si="8"/>
        <v>0.6391080617</v>
      </c>
      <c r="S76" s="76"/>
      <c r="T76" s="77"/>
      <c r="U76" s="2"/>
      <c r="V76" s="2"/>
      <c r="W76" s="2"/>
      <c r="X76" s="2"/>
      <c r="Y76" s="2"/>
      <c r="Z76" s="2"/>
    </row>
    <row r="77" hidden="1" outlineLevel="1">
      <c r="A77" s="67" t="str">
        <f t="shared" si="48"/>
        <v>2-2026</v>
      </c>
      <c r="B77" s="57">
        <v>46063.0</v>
      </c>
      <c r="C77" s="68"/>
      <c r="D77" s="69">
        <v>752.03</v>
      </c>
      <c r="E77" s="70">
        <v>27.0</v>
      </c>
      <c r="F77" s="70">
        <v>23.0</v>
      </c>
      <c r="G77" s="71">
        <f t="shared" si="2"/>
        <v>1.173913043</v>
      </c>
      <c r="H77" s="69">
        <f t="shared" si="49"/>
        <v>32.69695652</v>
      </c>
      <c r="I77" s="69">
        <f t="shared" si="50"/>
        <v>27.85296296</v>
      </c>
      <c r="J77" s="72">
        <v>333.0</v>
      </c>
      <c r="K77" s="73">
        <f t="shared" si="5"/>
        <v>0.08108108108</v>
      </c>
      <c r="L77" s="59">
        <v>193.79</v>
      </c>
      <c r="M77" s="59">
        <v>548.1</v>
      </c>
      <c r="N77" s="60">
        <v>18.0</v>
      </c>
      <c r="O77" s="72">
        <v>35741.0</v>
      </c>
      <c r="P77" s="73">
        <v>0.3486</v>
      </c>
      <c r="Q77" s="75">
        <f t="shared" si="7"/>
        <v>2.828319315</v>
      </c>
      <c r="R77" s="73">
        <f t="shared" si="8"/>
        <v>0.7288273074</v>
      </c>
      <c r="S77" s="76"/>
      <c r="T77" s="77"/>
      <c r="U77" s="2"/>
      <c r="V77" s="2"/>
      <c r="W77" s="2"/>
      <c r="X77" s="2"/>
      <c r="Y77" s="2"/>
      <c r="Z77" s="2"/>
    </row>
    <row r="78" hidden="1" outlineLevel="1">
      <c r="A78" s="67" t="str">
        <f t="shared" si="48"/>
        <v>2-2026</v>
      </c>
      <c r="B78" s="57">
        <v>46064.0</v>
      </c>
      <c r="C78" s="68"/>
      <c r="D78" s="69">
        <v>526.11</v>
      </c>
      <c r="E78" s="70">
        <v>19.0</v>
      </c>
      <c r="F78" s="70">
        <v>18.0</v>
      </c>
      <c r="G78" s="71">
        <f t="shared" si="2"/>
        <v>1.055555556</v>
      </c>
      <c r="H78" s="69">
        <f t="shared" si="49"/>
        <v>29.22833333</v>
      </c>
      <c r="I78" s="69">
        <f t="shared" si="50"/>
        <v>27.69</v>
      </c>
      <c r="J78" s="72">
        <v>360.0</v>
      </c>
      <c r="K78" s="73">
        <f t="shared" si="5"/>
        <v>0.05277777778</v>
      </c>
      <c r="L78" s="69">
        <v>180.63</v>
      </c>
      <c r="M78" s="69">
        <v>485.38</v>
      </c>
      <c r="N78" s="70">
        <v>17.0</v>
      </c>
      <c r="O78" s="72">
        <v>37546.0</v>
      </c>
      <c r="P78" s="73">
        <v>0.3572</v>
      </c>
      <c r="Q78" s="75">
        <f t="shared" si="7"/>
        <v>2.687150529</v>
      </c>
      <c r="R78" s="73">
        <f t="shared" si="8"/>
        <v>0.9225827298</v>
      </c>
      <c r="S78" s="76"/>
      <c r="T78" s="77"/>
      <c r="U78" s="2"/>
      <c r="V78" s="2"/>
      <c r="W78" s="2"/>
      <c r="X78" s="2"/>
      <c r="Y78" s="2"/>
      <c r="Z78" s="2"/>
    </row>
    <row r="79" hidden="1" outlineLevel="1">
      <c r="A79" s="67" t="str">
        <f t="shared" si="48"/>
        <v>2-2026</v>
      </c>
      <c r="B79" s="57">
        <v>46065.0</v>
      </c>
      <c r="C79" s="68"/>
      <c r="D79" s="69">
        <v>509.36</v>
      </c>
      <c r="E79" s="70">
        <v>20.0</v>
      </c>
      <c r="F79" s="70">
        <v>18.0</v>
      </c>
      <c r="G79" s="71">
        <f t="shared" si="2"/>
        <v>1.111111111</v>
      </c>
      <c r="H79" s="69">
        <f t="shared" si="49"/>
        <v>28.29777778</v>
      </c>
      <c r="I79" s="69">
        <f t="shared" si="50"/>
        <v>25.468</v>
      </c>
      <c r="J79" s="72">
        <v>300.0</v>
      </c>
      <c r="K79" s="73">
        <f t="shared" si="5"/>
        <v>0.06666666667</v>
      </c>
      <c r="L79" s="69">
        <v>145.99</v>
      </c>
      <c r="M79" s="69">
        <v>396.16</v>
      </c>
      <c r="N79" s="70">
        <v>15.0</v>
      </c>
      <c r="O79" s="72">
        <v>29466.0</v>
      </c>
      <c r="P79" s="73">
        <v>0.3225</v>
      </c>
      <c r="Q79" s="75">
        <f t="shared" si="7"/>
        <v>2.713610521</v>
      </c>
      <c r="R79" s="73">
        <f t="shared" si="8"/>
        <v>0.7777603267</v>
      </c>
      <c r="S79" s="76"/>
      <c r="T79" s="77"/>
      <c r="U79" s="2"/>
      <c r="V79" s="2"/>
      <c r="W79" s="2"/>
      <c r="X79" s="2"/>
      <c r="Y79" s="2"/>
      <c r="Z79" s="2"/>
    </row>
    <row r="80" hidden="1" outlineLevel="1">
      <c r="A80" s="67" t="str">
        <f t="shared" si="48"/>
        <v>2-2026</v>
      </c>
      <c r="B80" s="57">
        <v>46066.0</v>
      </c>
      <c r="C80" s="68"/>
      <c r="D80" s="69">
        <v>511.1</v>
      </c>
      <c r="E80" s="70">
        <v>19.0</v>
      </c>
      <c r="F80" s="70">
        <v>18.0</v>
      </c>
      <c r="G80" s="71">
        <f t="shared" si="2"/>
        <v>1.055555556</v>
      </c>
      <c r="H80" s="69">
        <f t="shared" si="49"/>
        <v>28.39444444</v>
      </c>
      <c r="I80" s="69">
        <f t="shared" si="50"/>
        <v>26.9</v>
      </c>
      <c r="J80" s="72">
        <v>309.0</v>
      </c>
      <c r="K80" s="73">
        <f t="shared" si="5"/>
        <v>0.06148867314</v>
      </c>
      <c r="L80" s="69">
        <v>146.64</v>
      </c>
      <c r="M80" s="69">
        <v>300.15</v>
      </c>
      <c r="N80" s="70">
        <v>10.0</v>
      </c>
      <c r="O80" s="72">
        <v>29236.0</v>
      </c>
      <c r="P80" s="73">
        <v>0.5913</v>
      </c>
      <c r="Q80" s="75">
        <f t="shared" si="7"/>
        <v>2.046849427</v>
      </c>
      <c r="R80" s="73">
        <f t="shared" si="8"/>
        <v>0.5872627666</v>
      </c>
      <c r="S80" s="76"/>
      <c r="T80" s="77"/>
      <c r="U80" s="2"/>
      <c r="V80" s="2"/>
      <c r="W80" s="2"/>
      <c r="X80" s="2"/>
      <c r="Y80" s="2"/>
      <c r="Z80" s="2"/>
    </row>
    <row r="81" hidden="1" outlineLevel="1">
      <c r="A81" s="67" t="str">
        <f t="shared" si="48"/>
        <v>2-2026</v>
      </c>
      <c r="B81" s="57">
        <v>46067.0</v>
      </c>
      <c r="C81" s="68"/>
      <c r="D81" s="69">
        <v>448.61</v>
      </c>
      <c r="E81" s="70">
        <v>17.0</v>
      </c>
      <c r="F81" s="70">
        <v>16.0</v>
      </c>
      <c r="G81" s="71">
        <f t="shared" si="2"/>
        <v>1.0625</v>
      </c>
      <c r="H81" s="69">
        <f t="shared" si="49"/>
        <v>28.038125</v>
      </c>
      <c r="I81" s="69">
        <f t="shared" si="50"/>
        <v>26.38882353</v>
      </c>
      <c r="J81" s="72">
        <v>403.0</v>
      </c>
      <c r="K81" s="73">
        <f t="shared" si="5"/>
        <v>0.04218362283</v>
      </c>
      <c r="L81" s="69">
        <v>184.72</v>
      </c>
      <c r="M81" s="69">
        <v>351.13</v>
      </c>
      <c r="N81" s="70">
        <v>12.0</v>
      </c>
      <c r="O81" s="72">
        <v>37082.0</v>
      </c>
      <c r="P81" s="73">
        <f t="shared" ref="P81:P82" si="53">L81/M81</f>
        <v>0.5260729644</v>
      </c>
      <c r="Q81" s="75">
        <f t="shared" si="7"/>
        <v>1.900877003</v>
      </c>
      <c r="R81" s="73">
        <f t="shared" si="8"/>
        <v>0.7827065826</v>
      </c>
      <c r="S81" s="76"/>
      <c r="T81" s="77"/>
      <c r="U81" s="2"/>
      <c r="V81" s="2"/>
      <c r="W81" s="2"/>
      <c r="X81" s="2"/>
      <c r="Y81" s="2"/>
      <c r="Z81" s="2"/>
    </row>
    <row r="82" collapsed="1">
      <c r="A82" s="78" t="s">
        <v>51</v>
      </c>
      <c r="B82" s="79"/>
      <c r="C82" s="80"/>
      <c r="D82" s="81">
        <f t="shared" ref="D82:F82" si="51">SUM(D75:D81)</f>
        <v>3765.68</v>
      </c>
      <c r="E82" s="82">
        <f t="shared" si="51"/>
        <v>141</v>
      </c>
      <c r="F82" s="82">
        <f t="shared" si="51"/>
        <v>126</v>
      </c>
      <c r="G82" s="83">
        <f t="shared" si="2"/>
        <v>1.119047619</v>
      </c>
      <c r="H82" s="81">
        <f>average(H75:H81)</f>
        <v>29.64638971</v>
      </c>
      <c r="I82" s="84">
        <f>H82/G82</f>
        <v>26.49251847</v>
      </c>
      <c r="J82" s="85">
        <f>SUM(J75:J81)</f>
        <v>2403</v>
      </c>
      <c r="K82" s="86">
        <f t="shared" si="5"/>
        <v>0.05867665418</v>
      </c>
      <c r="L82" s="81">
        <f t="shared" ref="L82:N82" si="52">SUM(L75:L81)</f>
        <v>1221.33</v>
      </c>
      <c r="M82" s="81">
        <f t="shared" si="52"/>
        <v>2970.87</v>
      </c>
      <c r="N82" s="87">
        <f t="shared" si="52"/>
        <v>100</v>
      </c>
      <c r="O82" s="85">
        <f>sum(O75:O81)</f>
        <v>253634</v>
      </c>
      <c r="P82" s="86">
        <f t="shared" si="53"/>
        <v>0.4111017985</v>
      </c>
      <c r="Q82" s="88">
        <f t="shared" si="7"/>
        <v>2.432487534</v>
      </c>
      <c r="R82" s="89">
        <f t="shared" si="8"/>
        <v>0.7889332073</v>
      </c>
      <c r="S82" s="80" t="str">
        <f>iferror((D82-#REF!)/D82,)</f>
        <v/>
      </c>
      <c r="T82" s="90" t="str">
        <f>iferror((F82-#REF!)/F82,)</f>
        <v/>
      </c>
      <c r="U82" s="2"/>
      <c r="V82" s="2"/>
      <c r="W82" s="2"/>
      <c r="X82" s="2"/>
      <c r="Y82" s="2"/>
      <c r="Z82" s="2"/>
    </row>
    <row r="83" hidden="1" outlineLevel="1">
      <c r="A83" s="56" t="str">
        <f t="shared" ref="A83:A89" si="54">iferror(if(B83&gt;0,month(B83)&amp;"-"&amp;year(B83),B83),)</f>
        <v>2-2026</v>
      </c>
      <c r="B83" s="57">
        <v>46068.0</v>
      </c>
      <c r="C83" s="58"/>
      <c r="D83" s="59">
        <v>635.82</v>
      </c>
      <c r="E83" s="60">
        <v>25.0</v>
      </c>
      <c r="F83" s="60">
        <v>21.0</v>
      </c>
      <c r="G83" s="61">
        <f t="shared" si="2"/>
        <v>1.19047619</v>
      </c>
      <c r="H83" s="59">
        <f t="shared" ref="H83:H89" si="55">D83/F83</f>
        <v>30.27714286</v>
      </c>
      <c r="I83" s="59">
        <f t="shared" ref="I83:I89" si="56">D83/E83</f>
        <v>25.4328</v>
      </c>
      <c r="J83" s="62">
        <v>543.0</v>
      </c>
      <c r="K83" s="63">
        <f t="shared" si="5"/>
        <v>0.04604051565</v>
      </c>
      <c r="L83" s="59">
        <v>333.58</v>
      </c>
      <c r="M83" s="59">
        <v>474.37</v>
      </c>
      <c r="N83" s="60">
        <v>17.0</v>
      </c>
      <c r="O83" s="62">
        <v>73447.0</v>
      </c>
      <c r="P83" s="63">
        <v>0.4734</v>
      </c>
      <c r="Q83" s="64">
        <f t="shared" si="7"/>
        <v>1.422057677</v>
      </c>
      <c r="R83" s="63">
        <f t="shared" si="8"/>
        <v>0.7460759334</v>
      </c>
      <c r="S83" s="65"/>
      <c r="T83" s="66"/>
      <c r="U83" s="2"/>
      <c r="V83" s="2"/>
      <c r="W83" s="2"/>
      <c r="X83" s="2"/>
      <c r="Y83" s="2"/>
      <c r="Z83" s="2"/>
    </row>
    <row r="84" hidden="1" outlineLevel="1">
      <c r="A84" s="67" t="str">
        <f t="shared" si="54"/>
        <v>2-2026</v>
      </c>
      <c r="B84" s="57">
        <v>46069.0</v>
      </c>
      <c r="C84" s="68"/>
      <c r="D84" s="69">
        <v>593.83</v>
      </c>
      <c r="E84" s="70">
        <v>24.0</v>
      </c>
      <c r="F84" s="70">
        <v>21.0</v>
      </c>
      <c r="G84" s="71">
        <f t="shared" si="2"/>
        <v>1.142857143</v>
      </c>
      <c r="H84" s="69">
        <f t="shared" si="55"/>
        <v>28.27761905</v>
      </c>
      <c r="I84" s="69">
        <f t="shared" si="56"/>
        <v>24.74291667</v>
      </c>
      <c r="J84" s="72">
        <v>425.0</v>
      </c>
      <c r="K84" s="73">
        <f t="shared" si="5"/>
        <v>0.05647058824</v>
      </c>
      <c r="L84" s="69">
        <v>225.24</v>
      </c>
      <c r="M84" s="74">
        <v>645.31</v>
      </c>
      <c r="N84" s="70">
        <v>22.0</v>
      </c>
      <c r="O84" s="72">
        <v>47017.0</v>
      </c>
      <c r="P84" s="73">
        <v>0.2985</v>
      </c>
      <c r="Q84" s="75">
        <f t="shared" si="7"/>
        <v>2.864988457</v>
      </c>
      <c r="R84" s="73">
        <f t="shared" si="8"/>
        <v>1.086691477</v>
      </c>
      <c r="S84" s="76"/>
      <c r="T84" s="77"/>
      <c r="U84" s="2"/>
      <c r="V84" s="2"/>
      <c r="W84" s="2"/>
      <c r="X84" s="2"/>
      <c r="Y84" s="2"/>
      <c r="Z84" s="2"/>
    </row>
    <row r="85" hidden="1" outlineLevel="1">
      <c r="A85" s="67" t="str">
        <f t="shared" si="54"/>
        <v>2-2026</v>
      </c>
      <c r="B85" s="57">
        <v>46070.0</v>
      </c>
      <c r="C85" s="68"/>
      <c r="D85" s="69">
        <v>688.06</v>
      </c>
      <c r="E85" s="70">
        <v>26.0</v>
      </c>
      <c r="F85" s="70">
        <v>25.0</v>
      </c>
      <c r="G85" s="71">
        <f t="shared" si="2"/>
        <v>1.04</v>
      </c>
      <c r="H85" s="69">
        <f t="shared" si="55"/>
        <v>27.5224</v>
      </c>
      <c r="I85" s="69">
        <f t="shared" si="56"/>
        <v>26.46384615</v>
      </c>
      <c r="J85" s="72">
        <v>372.0</v>
      </c>
      <c r="K85" s="73">
        <f t="shared" si="5"/>
        <v>0.06989247312</v>
      </c>
      <c r="L85" s="59">
        <v>185.72</v>
      </c>
      <c r="M85" s="59">
        <v>496.13</v>
      </c>
      <c r="N85" s="60">
        <v>17.0</v>
      </c>
      <c r="O85" s="72">
        <v>35376.0</v>
      </c>
      <c r="P85" s="73">
        <v>0.3486</v>
      </c>
      <c r="Q85" s="75">
        <f t="shared" si="7"/>
        <v>2.671387034</v>
      </c>
      <c r="R85" s="73">
        <f t="shared" si="8"/>
        <v>0.7210563032</v>
      </c>
      <c r="S85" s="76"/>
      <c r="T85" s="77"/>
      <c r="U85" s="2"/>
      <c r="V85" s="2"/>
      <c r="W85" s="2"/>
      <c r="X85" s="2"/>
      <c r="Y85" s="2"/>
      <c r="Z85" s="2"/>
    </row>
    <row r="86" hidden="1" outlineLevel="1">
      <c r="A86" s="67" t="str">
        <f t="shared" si="54"/>
        <v>2-2026</v>
      </c>
      <c r="B86" s="57">
        <v>46071.0</v>
      </c>
      <c r="C86" s="68"/>
      <c r="D86" s="69">
        <v>538.13</v>
      </c>
      <c r="E86" s="70">
        <v>23.0</v>
      </c>
      <c r="F86" s="70">
        <v>21.0</v>
      </c>
      <c r="G86" s="71">
        <f t="shared" si="2"/>
        <v>1.095238095</v>
      </c>
      <c r="H86" s="69">
        <f t="shared" si="55"/>
        <v>25.6252381</v>
      </c>
      <c r="I86" s="69">
        <f t="shared" si="56"/>
        <v>23.39695652</v>
      </c>
      <c r="J86" s="72">
        <v>320.0</v>
      </c>
      <c r="K86" s="73">
        <f t="shared" si="5"/>
        <v>0.071875</v>
      </c>
      <c r="L86" s="69">
        <v>151.81</v>
      </c>
      <c r="M86" s="69">
        <v>395.42</v>
      </c>
      <c r="N86" s="70">
        <v>15.0</v>
      </c>
      <c r="O86" s="72">
        <v>34406.0</v>
      </c>
      <c r="P86" s="73">
        <v>0.3572</v>
      </c>
      <c r="Q86" s="75">
        <f t="shared" si="7"/>
        <v>2.604703247</v>
      </c>
      <c r="R86" s="73">
        <f t="shared" si="8"/>
        <v>0.7348038578</v>
      </c>
      <c r="S86" s="76"/>
      <c r="T86" s="77"/>
      <c r="U86" s="2"/>
      <c r="V86" s="2"/>
      <c r="W86" s="2"/>
      <c r="X86" s="2"/>
      <c r="Y86" s="2"/>
      <c r="Z86" s="2"/>
    </row>
    <row r="87" hidden="1" outlineLevel="1">
      <c r="A87" s="67" t="str">
        <f t="shared" si="54"/>
        <v>2-2026</v>
      </c>
      <c r="B87" s="57">
        <v>46072.0</v>
      </c>
      <c r="C87" s="68"/>
      <c r="D87" s="69">
        <v>507.6</v>
      </c>
      <c r="E87" s="70">
        <v>19.0</v>
      </c>
      <c r="F87" s="70">
        <v>19.0</v>
      </c>
      <c r="G87" s="71">
        <f t="shared" si="2"/>
        <v>1</v>
      </c>
      <c r="H87" s="69">
        <f t="shared" si="55"/>
        <v>26.71578947</v>
      </c>
      <c r="I87" s="69">
        <f t="shared" si="56"/>
        <v>26.71578947</v>
      </c>
      <c r="J87" s="72">
        <v>327.0</v>
      </c>
      <c r="K87" s="73">
        <f t="shared" si="5"/>
        <v>0.05810397554</v>
      </c>
      <c r="L87" s="69">
        <v>166.51</v>
      </c>
      <c r="M87" s="69">
        <v>511.36</v>
      </c>
      <c r="N87" s="70">
        <v>20.0</v>
      </c>
      <c r="O87" s="72">
        <v>39259.0</v>
      </c>
      <c r="P87" s="73">
        <v>0.3225</v>
      </c>
      <c r="Q87" s="75">
        <f t="shared" si="7"/>
        <v>3.071046784</v>
      </c>
      <c r="R87" s="73">
        <f t="shared" si="8"/>
        <v>1.007407407</v>
      </c>
      <c r="S87" s="76"/>
      <c r="T87" s="77"/>
      <c r="U87" s="2"/>
      <c r="V87" s="2"/>
      <c r="W87" s="2"/>
      <c r="X87" s="2"/>
      <c r="Y87" s="2"/>
      <c r="Z87" s="2"/>
    </row>
    <row r="88" hidden="1" outlineLevel="1">
      <c r="A88" s="67" t="str">
        <f t="shared" si="54"/>
        <v>2-2026</v>
      </c>
      <c r="B88" s="57">
        <v>46073.0</v>
      </c>
      <c r="C88" s="68"/>
      <c r="D88" s="69">
        <v>521.89</v>
      </c>
      <c r="E88" s="70">
        <v>21.0</v>
      </c>
      <c r="F88" s="70">
        <v>20.0</v>
      </c>
      <c r="G88" s="71">
        <f t="shared" si="2"/>
        <v>1.05</v>
      </c>
      <c r="H88" s="69">
        <f t="shared" si="55"/>
        <v>26.0945</v>
      </c>
      <c r="I88" s="69">
        <f t="shared" si="56"/>
        <v>24.85190476</v>
      </c>
      <c r="J88" s="72">
        <v>360.0</v>
      </c>
      <c r="K88" s="73">
        <f t="shared" si="5"/>
        <v>0.05833333333</v>
      </c>
      <c r="L88" s="69">
        <v>181.51</v>
      </c>
      <c r="M88" s="69">
        <v>274.45</v>
      </c>
      <c r="N88" s="70">
        <v>11.0</v>
      </c>
      <c r="O88" s="72">
        <v>38385.0</v>
      </c>
      <c r="P88" s="73">
        <v>0.5913</v>
      </c>
      <c r="Q88" s="75">
        <f t="shared" si="7"/>
        <v>1.512037904</v>
      </c>
      <c r="R88" s="73">
        <f t="shared" si="8"/>
        <v>0.5258771005</v>
      </c>
      <c r="S88" s="76"/>
      <c r="T88" s="77"/>
      <c r="U88" s="2"/>
      <c r="V88" s="2"/>
      <c r="W88" s="2"/>
      <c r="X88" s="2"/>
      <c r="Y88" s="2"/>
      <c r="Z88" s="2"/>
    </row>
    <row r="89" hidden="1" outlineLevel="1">
      <c r="A89" s="67" t="str">
        <f t="shared" si="54"/>
        <v>2-2026</v>
      </c>
      <c r="B89" s="57">
        <v>46074.0</v>
      </c>
      <c r="C89" s="68"/>
      <c r="D89" s="69">
        <v>1022.71</v>
      </c>
      <c r="E89" s="70">
        <v>39.0</v>
      </c>
      <c r="F89" s="70">
        <v>34.0</v>
      </c>
      <c r="G89" s="71">
        <f t="shared" si="2"/>
        <v>1.147058824</v>
      </c>
      <c r="H89" s="69">
        <f t="shared" si="55"/>
        <v>30.07970588</v>
      </c>
      <c r="I89" s="69">
        <f t="shared" si="56"/>
        <v>26.22333333</v>
      </c>
      <c r="J89" s="72">
        <v>453.0</v>
      </c>
      <c r="K89" s="73">
        <f t="shared" si="5"/>
        <v>0.08609271523</v>
      </c>
      <c r="L89" s="69">
        <v>233.68</v>
      </c>
      <c r="M89" s="69">
        <v>627.58</v>
      </c>
      <c r="N89" s="70">
        <v>20.0</v>
      </c>
      <c r="O89" s="72">
        <v>51106.0</v>
      </c>
      <c r="P89" s="73">
        <f t="shared" ref="P89:P90" si="59">L89/M89</f>
        <v>0.3723509353</v>
      </c>
      <c r="Q89" s="75">
        <f t="shared" si="7"/>
        <v>2.68563848</v>
      </c>
      <c r="R89" s="73">
        <f t="shared" si="8"/>
        <v>0.6136441415</v>
      </c>
      <c r="S89" s="76"/>
      <c r="T89" s="77"/>
      <c r="U89" s="2"/>
      <c r="V89" s="2"/>
      <c r="W89" s="2"/>
      <c r="X89" s="2"/>
      <c r="Y89" s="2"/>
      <c r="Z89" s="2"/>
    </row>
    <row r="90" collapsed="1">
      <c r="A90" s="78" t="s">
        <v>52</v>
      </c>
      <c r="B90" s="79"/>
      <c r="C90" s="80"/>
      <c r="D90" s="81">
        <f t="shared" ref="D90:F90" si="57">SUM(D83:D89)</f>
        <v>4508.04</v>
      </c>
      <c r="E90" s="82">
        <f t="shared" si="57"/>
        <v>177</v>
      </c>
      <c r="F90" s="82">
        <f t="shared" si="57"/>
        <v>161</v>
      </c>
      <c r="G90" s="83">
        <f t="shared" si="2"/>
        <v>1.099378882</v>
      </c>
      <c r="H90" s="81">
        <f>average(H83:H89)</f>
        <v>27.79891362</v>
      </c>
      <c r="I90" s="84">
        <f>H90/G90</f>
        <v>25.28601748</v>
      </c>
      <c r="J90" s="85">
        <f>SUM(J83:J89)</f>
        <v>2800</v>
      </c>
      <c r="K90" s="86">
        <f t="shared" si="5"/>
        <v>0.06321428571</v>
      </c>
      <c r="L90" s="81">
        <f t="shared" ref="L90:N90" si="58">SUM(L83:L89)</f>
        <v>1478.05</v>
      </c>
      <c r="M90" s="81">
        <f t="shared" si="58"/>
        <v>3424.62</v>
      </c>
      <c r="N90" s="87">
        <f t="shared" si="58"/>
        <v>122</v>
      </c>
      <c r="O90" s="85">
        <f>sum(O83:O89)</f>
        <v>318996</v>
      </c>
      <c r="P90" s="86">
        <f t="shared" si="59"/>
        <v>0.4315953303</v>
      </c>
      <c r="Q90" s="88">
        <f t="shared" si="7"/>
        <v>2.316985217</v>
      </c>
      <c r="R90" s="89">
        <f t="shared" si="8"/>
        <v>0.7596693907</v>
      </c>
      <c r="S90" s="80" t="str">
        <f>iferror((D90-#REF!)/D90,)</f>
        <v/>
      </c>
      <c r="T90" s="90" t="str">
        <f>iferror((F90-#REF!)/F90,)</f>
        <v/>
      </c>
      <c r="U90" s="2"/>
      <c r="V90" s="2"/>
      <c r="W90" s="2"/>
      <c r="X90" s="2"/>
      <c r="Y90" s="2"/>
      <c r="Z90" s="2"/>
    </row>
    <row r="91" hidden="1" outlineLevel="1">
      <c r="A91" s="56" t="str">
        <f t="shared" ref="A91:A97" si="60">iferror(if(B91&gt;0,month(B91)&amp;"-"&amp;year(B91),B91),)</f>
        <v>2-2026</v>
      </c>
      <c r="B91" s="57">
        <v>46075.0</v>
      </c>
      <c r="C91" s="58"/>
      <c r="D91" s="59">
        <v>789.51</v>
      </c>
      <c r="E91" s="60">
        <v>30.0</v>
      </c>
      <c r="F91" s="60">
        <v>25.0</v>
      </c>
      <c r="G91" s="61">
        <f t="shared" si="2"/>
        <v>1.2</v>
      </c>
      <c r="H91" s="59">
        <f t="shared" ref="H91:H97" si="61">D91/F91</f>
        <v>31.5804</v>
      </c>
      <c r="I91" s="59">
        <f t="shared" ref="I91:I97" si="62">D91/E91</f>
        <v>26.317</v>
      </c>
      <c r="J91" s="62">
        <v>561.0</v>
      </c>
      <c r="K91" s="63">
        <f t="shared" si="5"/>
        <v>0.05347593583</v>
      </c>
      <c r="L91" s="59">
        <v>290.85</v>
      </c>
      <c r="M91" s="59">
        <v>812.51</v>
      </c>
      <c r="N91" s="60">
        <v>26.0</v>
      </c>
      <c r="O91" s="62">
        <v>64389.0</v>
      </c>
      <c r="P91" s="63">
        <v>0.4734</v>
      </c>
      <c r="Q91" s="64">
        <f t="shared" si="7"/>
        <v>2.793570569</v>
      </c>
      <c r="R91" s="63">
        <f t="shared" si="8"/>
        <v>1.029131993</v>
      </c>
      <c r="S91" s="65"/>
      <c r="T91" s="66"/>
      <c r="U91" s="2"/>
      <c r="V91" s="2"/>
      <c r="W91" s="2"/>
      <c r="X91" s="2"/>
      <c r="Y91" s="2"/>
      <c r="Z91" s="2"/>
    </row>
    <row r="92" hidden="1" outlineLevel="1">
      <c r="A92" s="67" t="str">
        <f t="shared" si="60"/>
        <v>2-2026</v>
      </c>
      <c r="B92" s="57">
        <v>46076.0</v>
      </c>
      <c r="C92" s="68"/>
      <c r="D92" s="69">
        <v>464.12</v>
      </c>
      <c r="E92" s="70">
        <v>17.0</v>
      </c>
      <c r="F92" s="70">
        <v>17.0</v>
      </c>
      <c r="G92" s="71">
        <f t="shared" si="2"/>
        <v>1</v>
      </c>
      <c r="H92" s="69">
        <f t="shared" si="61"/>
        <v>27.30117647</v>
      </c>
      <c r="I92" s="69">
        <f t="shared" si="62"/>
        <v>27.30117647</v>
      </c>
      <c r="J92" s="72">
        <v>429.0</v>
      </c>
      <c r="K92" s="73">
        <f t="shared" si="5"/>
        <v>0.03962703963</v>
      </c>
      <c r="L92" s="69">
        <v>231.01</v>
      </c>
      <c r="M92" s="74">
        <v>260.19</v>
      </c>
      <c r="N92" s="70">
        <v>10.0</v>
      </c>
      <c r="O92" s="72">
        <v>53803.0</v>
      </c>
      <c r="P92" s="73">
        <v>0.2985</v>
      </c>
      <c r="Q92" s="75">
        <f t="shared" si="7"/>
        <v>1.126314878</v>
      </c>
      <c r="R92" s="73">
        <f t="shared" si="8"/>
        <v>0.5606093252</v>
      </c>
      <c r="S92" s="76"/>
      <c r="T92" s="77"/>
      <c r="U92" s="2"/>
      <c r="V92" s="2"/>
      <c r="W92" s="2"/>
      <c r="X92" s="2"/>
      <c r="Y92" s="2"/>
      <c r="Z92" s="2"/>
    </row>
    <row r="93" hidden="1" outlineLevel="1">
      <c r="A93" s="67" t="str">
        <f t="shared" si="60"/>
        <v>2-2026</v>
      </c>
      <c r="B93" s="57">
        <v>46077.0</v>
      </c>
      <c r="C93" s="68"/>
      <c r="D93" s="69">
        <v>522.35</v>
      </c>
      <c r="E93" s="70">
        <v>20.0</v>
      </c>
      <c r="F93" s="70">
        <v>20.0</v>
      </c>
      <c r="G93" s="71">
        <f t="shared" si="2"/>
        <v>1</v>
      </c>
      <c r="H93" s="69">
        <f t="shared" si="61"/>
        <v>26.1175</v>
      </c>
      <c r="I93" s="69">
        <f t="shared" si="62"/>
        <v>26.1175</v>
      </c>
      <c r="J93" s="72">
        <v>378.0</v>
      </c>
      <c r="K93" s="73">
        <f t="shared" si="5"/>
        <v>0.05291005291</v>
      </c>
      <c r="L93" s="59">
        <v>195.77</v>
      </c>
      <c r="M93" s="59">
        <v>372.63</v>
      </c>
      <c r="N93" s="60">
        <v>14.0</v>
      </c>
      <c r="O93" s="72">
        <v>47101.0</v>
      </c>
      <c r="P93" s="73">
        <v>0.3486</v>
      </c>
      <c r="Q93" s="75">
        <f t="shared" si="7"/>
        <v>1.903407059</v>
      </c>
      <c r="R93" s="73">
        <f t="shared" si="8"/>
        <v>0.71337226</v>
      </c>
      <c r="S93" s="76"/>
      <c r="T93" s="77"/>
      <c r="U93" s="2"/>
      <c r="V93" s="2"/>
      <c r="W93" s="2"/>
      <c r="X93" s="2"/>
      <c r="Y93" s="2"/>
      <c r="Z93" s="2"/>
    </row>
    <row r="94" hidden="1" outlineLevel="1">
      <c r="A94" s="67" t="str">
        <f t="shared" si="60"/>
        <v>2-2026</v>
      </c>
      <c r="B94" s="57">
        <v>46078.0</v>
      </c>
      <c r="C94" s="68"/>
      <c r="D94" s="69">
        <v>764.03</v>
      </c>
      <c r="E94" s="70">
        <v>29.0</v>
      </c>
      <c r="F94" s="70">
        <v>27.0</v>
      </c>
      <c r="G94" s="71">
        <f t="shared" si="2"/>
        <v>1.074074074</v>
      </c>
      <c r="H94" s="69">
        <f t="shared" si="61"/>
        <v>28.29740741</v>
      </c>
      <c r="I94" s="69">
        <f t="shared" si="62"/>
        <v>26.34586207</v>
      </c>
      <c r="J94" s="72">
        <v>352.0</v>
      </c>
      <c r="K94" s="73">
        <f t="shared" si="5"/>
        <v>0.08238636364</v>
      </c>
      <c r="L94" s="69">
        <v>168.95</v>
      </c>
      <c r="M94" s="69">
        <v>529.86</v>
      </c>
      <c r="N94" s="70">
        <v>20.0</v>
      </c>
      <c r="O94" s="72">
        <v>42816.0</v>
      </c>
      <c r="P94" s="73">
        <v>0.3572</v>
      </c>
      <c r="Q94" s="75">
        <f t="shared" si="7"/>
        <v>3.13619414</v>
      </c>
      <c r="R94" s="73">
        <f t="shared" si="8"/>
        <v>0.6935067995</v>
      </c>
      <c r="S94" s="76"/>
      <c r="T94" s="77"/>
      <c r="U94" s="2"/>
      <c r="V94" s="2"/>
      <c r="W94" s="2"/>
      <c r="X94" s="2"/>
      <c r="Y94" s="2"/>
      <c r="Z94" s="2"/>
    </row>
    <row r="95" hidden="1" outlineLevel="1">
      <c r="A95" s="67" t="str">
        <f t="shared" si="60"/>
        <v>2-2026</v>
      </c>
      <c r="B95" s="57">
        <v>46079.0</v>
      </c>
      <c r="C95" s="68"/>
      <c r="D95" s="69">
        <v>547.11</v>
      </c>
      <c r="E95" s="70">
        <v>23.0</v>
      </c>
      <c r="F95" s="70">
        <v>21.0</v>
      </c>
      <c r="G95" s="71">
        <f t="shared" si="2"/>
        <v>1.095238095</v>
      </c>
      <c r="H95" s="69">
        <f t="shared" si="61"/>
        <v>26.05285714</v>
      </c>
      <c r="I95" s="69">
        <f t="shared" si="62"/>
        <v>23.7873913</v>
      </c>
      <c r="J95" s="72">
        <v>351.0</v>
      </c>
      <c r="K95" s="73">
        <f t="shared" si="5"/>
        <v>0.06552706553</v>
      </c>
      <c r="L95" s="69">
        <v>163.18</v>
      </c>
      <c r="M95" s="69">
        <v>390.13</v>
      </c>
      <c r="N95" s="70">
        <v>14.0</v>
      </c>
      <c r="O95" s="72">
        <v>39060.0</v>
      </c>
      <c r="P95" s="73">
        <v>0.3225</v>
      </c>
      <c r="Q95" s="75">
        <f t="shared" si="7"/>
        <v>2.390795441</v>
      </c>
      <c r="R95" s="73">
        <f t="shared" si="8"/>
        <v>0.7130741533</v>
      </c>
      <c r="S95" s="76"/>
      <c r="T95" s="77"/>
      <c r="U95" s="2"/>
      <c r="V95" s="2"/>
      <c r="W95" s="2"/>
      <c r="X95" s="2"/>
      <c r="Y95" s="2"/>
      <c r="Z95" s="2"/>
    </row>
    <row r="96" hidden="1" outlineLevel="1">
      <c r="A96" s="67" t="str">
        <f t="shared" si="60"/>
        <v>2-2026</v>
      </c>
      <c r="B96" s="57">
        <v>46080.0</v>
      </c>
      <c r="C96" s="68"/>
      <c r="D96" s="69">
        <v>532.34</v>
      </c>
      <c r="E96" s="70">
        <v>20.0</v>
      </c>
      <c r="F96" s="70">
        <v>20.0</v>
      </c>
      <c r="G96" s="71">
        <f t="shared" si="2"/>
        <v>1</v>
      </c>
      <c r="H96" s="69">
        <f t="shared" si="61"/>
        <v>26.617</v>
      </c>
      <c r="I96" s="69">
        <f t="shared" si="62"/>
        <v>26.617</v>
      </c>
      <c r="J96" s="72">
        <v>320.0</v>
      </c>
      <c r="K96" s="73">
        <f t="shared" si="5"/>
        <v>0.0625</v>
      </c>
      <c r="L96" s="69">
        <v>157.22</v>
      </c>
      <c r="M96" s="69">
        <v>271.67</v>
      </c>
      <c r="N96" s="70">
        <v>10.0</v>
      </c>
      <c r="O96" s="72">
        <v>33073.0</v>
      </c>
      <c r="P96" s="73">
        <v>0.5913</v>
      </c>
      <c r="Q96" s="75">
        <f t="shared" si="7"/>
        <v>1.727960819</v>
      </c>
      <c r="R96" s="73">
        <f t="shared" si="8"/>
        <v>0.5103317429</v>
      </c>
      <c r="S96" s="76"/>
      <c r="T96" s="77"/>
      <c r="U96" s="2"/>
      <c r="V96" s="2"/>
      <c r="W96" s="2"/>
      <c r="X96" s="2"/>
      <c r="Y96" s="2"/>
      <c r="Z96" s="2"/>
    </row>
    <row r="97" hidden="1" outlineLevel="1">
      <c r="A97" s="67" t="str">
        <f t="shared" si="60"/>
        <v>2-2026</v>
      </c>
      <c r="B97" s="57">
        <v>46081.0</v>
      </c>
      <c r="C97" s="68"/>
      <c r="D97" s="69">
        <v>921.98</v>
      </c>
      <c r="E97" s="70">
        <v>35.0</v>
      </c>
      <c r="F97" s="70">
        <v>31.0</v>
      </c>
      <c r="G97" s="71">
        <f t="shared" si="2"/>
        <v>1.129032258</v>
      </c>
      <c r="H97" s="69">
        <f t="shared" si="61"/>
        <v>29.74129032</v>
      </c>
      <c r="I97" s="69">
        <f t="shared" si="62"/>
        <v>26.34228571</v>
      </c>
      <c r="J97" s="72">
        <v>460.0</v>
      </c>
      <c r="K97" s="73">
        <f t="shared" si="5"/>
        <v>0.07608695652</v>
      </c>
      <c r="L97" s="69">
        <v>217.92</v>
      </c>
      <c r="M97" s="69">
        <v>772.05</v>
      </c>
      <c r="N97" s="70">
        <v>24.0</v>
      </c>
      <c r="O97" s="72">
        <v>45827.0</v>
      </c>
      <c r="P97" s="73">
        <f t="shared" ref="P97:P98" si="65">L97/M97</f>
        <v>0.2822615116</v>
      </c>
      <c r="Q97" s="75">
        <f t="shared" si="7"/>
        <v>3.542813877</v>
      </c>
      <c r="R97" s="73">
        <f t="shared" si="8"/>
        <v>0.8373825896</v>
      </c>
      <c r="S97" s="76"/>
      <c r="T97" s="77"/>
      <c r="U97" s="2"/>
      <c r="V97" s="2"/>
      <c r="W97" s="2"/>
      <c r="X97" s="2"/>
      <c r="Y97" s="2"/>
      <c r="Z97" s="2"/>
    </row>
    <row r="98" collapsed="1">
      <c r="A98" s="78" t="s">
        <v>53</v>
      </c>
      <c r="B98" s="79"/>
      <c r="C98" s="80"/>
      <c r="D98" s="81">
        <f t="shared" ref="D98:F98" si="63">SUM(D91:D97)</f>
        <v>4541.44</v>
      </c>
      <c r="E98" s="82">
        <f t="shared" si="63"/>
        <v>174</v>
      </c>
      <c r="F98" s="82">
        <f t="shared" si="63"/>
        <v>161</v>
      </c>
      <c r="G98" s="83">
        <f t="shared" si="2"/>
        <v>1.080745342</v>
      </c>
      <c r="H98" s="81">
        <f>average(H91:H97)</f>
        <v>27.95823305</v>
      </c>
      <c r="I98" s="84">
        <f>H98/G98</f>
        <v>25.86939955</v>
      </c>
      <c r="J98" s="85">
        <f>SUM(J91:J97)</f>
        <v>2851</v>
      </c>
      <c r="K98" s="86">
        <f t="shared" si="5"/>
        <v>0.06103121712</v>
      </c>
      <c r="L98" s="81">
        <f t="shared" ref="L98:N98" si="64">SUM(L91:L97)</f>
        <v>1424.9</v>
      </c>
      <c r="M98" s="81">
        <f t="shared" si="64"/>
        <v>3409.04</v>
      </c>
      <c r="N98" s="87">
        <f t="shared" si="64"/>
        <v>118</v>
      </c>
      <c r="O98" s="85">
        <f>sum(O91:O97)</f>
        <v>326069</v>
      </c>
      <c r="P98" s="86">
        <f t="shared" si="65"/>
        <v>0.4179769085</v>
      </c>
      <c r="Q98" s="88">
        <f t="shared" si="7"/>
        <v>2.392476665</v>
      </c>
      <c r="R98" s="89">
        <f t="shared" si="8"/>
        <v>0.7506517756</v>
      </c>
      <c r="S98" s="80" t="str">
        <f>iferror((D98-#REF!)/D98,)</f>
        <v/>
      </c>
      <c r="T98" s="90" t="str">
        <f>iferror((F98-#REF!)/F98,)</f>
        <v/>
      </c>
      <c r="U98" s="2"/>
      <c r="V98" s="2"/>
      <c r="W98" s="2"/>
      <c r="X98" s="2"/>
      <c r="Y98" s="2"/>
      <c r="Z98" s="2"/>
    </row>
    <row r="99" hidden="1" outlineLevel="1">
      <c r="A99" s="56" t="str">
        <f t="shared" ref="A99:A105" si="66">iferror(if(B99&gt;0,month(B99)&amp;"-"&amp;year(B99),B99),)</f>
        <v>3-2026</v>
      </c>
      <c r="B99" s="57">
        <v>46082.0</v>
      </c>
      <c r="C99" s="58"/>
      <c r="D99" s="59">
        <v>1129.18</v>
      </c>
      <c r="E99" s="60">
        <v>43.0</v>
      </c>
      <c r="F99" s="60">
        <v>39.0</v>
      </c>
      <c r="G99" s="61">
        <f t="shared" si="2"/>
        <v>1.102564103</v>
      </c>
      <c r="H99" s="59">
        <f t="shared" ref="H99:H105" si="67">D99/F99</f>
        <v>28.95333333</v>
      </c>
      <c r="I99" s="59">
        <f t="shared" ref="I99:I105" si="68">D99/E99</f>
        <v>26.26</v>
      </c>
      <c r="J99" s="62">
        <v>638.0</v>
      </c>
      <c r="K99" s="63">
        <f t="shared" si="5"/>
        <v>0.06739811912</v>
      </c>
      <c r="L99" s="59">
        <v>339.77</v>
      </c>
      <c r="M99" s="59">
        <v>899.72</v>
      </c>
      <c r="N99" s="60">
        <v>32.0</v>
      </c>
      <c r="O99" s="62">
        <v>66810.0</v>
      </c>
      <c r="P99" s="63">
        <v>0.4734</v>
      </c>
      <c r="Q99" s="64">
        <f t="shared" si="7"/>
        <v>2.648026606</v>
      </c>
      <c r="R99" s="63">
        <f t="shared" si="8"/>
        <v>0.7967905914</v>
      </c>
      <c r="S99" s="65"/>
      <c r="T99" s="66"/>
      <c r="U99" s="2"/>
      <c r="V99" s="2"/>
      <c r="W99" s="2"/>
      <c r="X99" s="2"/>
      <c r="Y99" s="2"/>
      <c r="Z99" s="2"/>
    </row>
    <row r="100" hidden="1" outlineLevel="1">
      <c r="A100" s="67" t="str">
        <f t="shared" si="66"/>
        <v>3-2026</v>
      </c>
      <c r="B100" s="57">
        <v>46083.0</v>
      </c>
      <c r="C100" s="68"/>
      <c r="D100" s="69">
        <v>830.25</v>
      </c>
      <c r="E100" s="70">
        <v>30.0</v>
      </c>
      <c r="F100" s="70">
        <v>28.0</v>
      </c>
      <c r="G100" s="71">
        <f t="shared" si="2"/>
        <v>1.071428571</v>
      </c>
      <c r="H100" s="69">
        <f t="shared" si="67"/>
        <v>29.65178571</v>
      </c>
      <c r="I100" s="69">
        <f t="shared" si="68"/>
        <v>27.675</v>
      </c>
      <c r="J100" s="72">
        <v>435.0</v>
      </c>
      <c r="K100" s="73">
        <f t="shared" si="5"/>
        <v>0.06896551724</v>
      </c>
      <c r="L100" s="69">
        <v>253.34</v>
      </c>
      <c r="M100" s="74">
        <v>837.26</v>
      </c>
      <c r="N100" s="70">
        <v>30.0</v>
      </c>
      <c r="O100" s="72">
        <v>49091.0</v>
      </c>
      <c r="P100" s="73">
        <v>0.2985</v>
      </c>
      <c r="Q100" s="75">
        <f t="shared" si="7"/>
        <v>3.304886714</v>
      </c>
      <c r="R100" s="73">
        <f t="shared" si="8"/>
        <v>1.00844324</v>
      </c>
      <c r="S100" s="76"/>
      <c r="T100" s="77"/>
      <c r="U100" s="2"/>
      <c r="V100" s="2"/>
      <c r="W100" s="2"/>
      <c r="X100" s="2"/>
      <c r="Y100" s="2"/>
      <c r="Z100" s="2"/>
    </row>
    <row r="101" hidden="1" outlineLevel="1">
      <c r="A101" s="67" t="str">
        <f t="shared" si="66"/>
        <v>3-2026</v>
      </c>
      <c r="B101" s="57">
        <v>46084.0</v>
      </c>
      <c r="C101" s="68"/>
      <c r="D101" s="69">
        <v>944.43</v>
      </c>
      <c r="E101" s="70">
        <v>35.0</v>
      </c>
      <c r="F101" s="70">
        <v>34.0</v>
      </c>
      <c r="G101" s="71">
        <f t="shared" si="2"/>
        <v>1.029411765</v>
      </c>
      <c r="H101" s="69">
        <f t="shared" si="67"/>
        <v>27.77735294</v>
      </c>
      <c r="I101" s="69">
        <f t="shared" si="68"/>
        <v>26.98371429</v>
      </c>
      <c r="J101" s="72">
        <v>441.0</v>
      </c>
      <c r="K101" s="73">
        <f t="shared" si="5"/>
        <v>0.07936507937</v>
      </c>
      <c r="L101" s="59">
        <v>239.17</v>
      </c>
      <c r="M101" s="59">
        <v>588.55</v>
      </c>
      <c r="N101" s="60">
        <v>21.0</v>
      </c>
      <c r="O101" s="72">
        <v>53463.0</v>
      </c>
      <c r="P101" s="73">
        <v>0.3486</v>
      </c>
      <c r="Q101" s="75">
        <f t="shared" si="7"/>
        <v>2.46080194</v>
      </c>
      <c r="R101" s="73">
        <f t="shared" si="8"/>
        <v>0.6231801192</v>
      </c>
      <c r="S101" s="76"/>
      <c r="T101" s="77"/>
      <c r="U101" s="2"/>
      <c r="V101" s="2"/>
      <c r="W101" s="2"/>
      <c r="X101" s="2"/>
      <c r="Y101" s="2"/>
      <c r="Z101" s="2"/>
    </row>
    <row r="102" hidden="1" outlineLevel="1">
      <c r="A102" s="67" t="str">
        <f t="shared" si="66"/>
        <v>3-2026</v>
      </c>
      <c r="B102" s="57">
        <v>46085.0</v>
      </c>
      <c r="C102" s="68"/>
      <c r="D102" s="69">
        <v>723.53</v>
      </c>
      <c r="E102" s="70">
        <v>28.0</v>
      </c>
      <c r="F102" s="70">
        <v>26.0</v>
      </c>
      <c r="G102" s="71">
        <f t="shared" si="2"/>
        <v>1.076923077</v>
      </c>
      <c r="H102" s="69">
        <f t="shared" si="67"/>
        <v>27.82807692</v>
      </c>
      <c r="I102" s="69">
        <f t="shared" si="68"/>
        <v>25.84035714</v>
      </c>
      <c r="J102" s="72">
        <v>426.0</v>
      </c>
      <c r="K102" s="73">
        <f t="shared" si="5"/>
        <v>0.06572769953</v>
      </c>
      <c r="L102" s="69">
        <v>222.64</v>
      </c>
      <c r="M102" s="69">
        <v>583.06</v>
      </c>
      <c r="N102" s="70">
        <v>19.0</v>
      </c>
      <c r="O102" s="72">
        <v>50297.0</v>
      </c>
      <c r="P102" s="73">
        <v>0.3572</v>
      </c>
      <c r="Q102" s="75">
        <f t="shared" si="7"/>
        <v>2.618846568</v>
      </c>
      <c r="R102" s="73">
        <f t="shared" si="8"/>
        <v>0.8058546294</v>
      </c>
      <c r="S102" s="76"/>
      <c r="T102" s="77"/>
      <c r="U102" s="2"/>
      <c r="V102" s="2"/>
      <c r="W102" s="2"/>
      <c r="X102" s="2"/>
      <c r="Y102" s="2"/>
      <c r="Z102" s="2"/>
    </row>
    <row r="103" hidden="1" outlineLevel="1">
      <c r="A103" s="67" t="str">
        <f t="shared" si="66"/>
        <v>3-2026</v>
      </c>
      <c r="B103" s="57">
        <v>46086.0</v>
      </c>
      <c r="C103" s="68"/>
      <c r="D103" s="69">
        <v>513.09</v>
      </c>
      <c r="E103" s="70">
        <v>19.0</v>
      </c>
      <c r="F103" s="70">
        <v>17.0</v>
      </c>
      <c r="G103" s="71">
        <f t="shared" si="2"/>
        <v>1.117647059</v>
      </c>
      <c r="H103" s="69">
        <f t="shared" si="67"/>
        <v>30.18176471</v>
      </c>
      <c r="I103" s="69">
        <f t="shared" si="68"/>
        <v>27.00473684</v>
      </c>
      <c r="J103" s="72">
        <v>308.0</v>
      </c>
      <c r="K103" s="73">
        <f t="shared" si="5"/>
        <v>0.06168831169</v>
      </c>
      <c r="L103" s="69">
        <v>179.67</v>
      </c>
      <c r="M103" s="69">
        <v>306.4</v>
      </c>
      <c r="N103" s="70">
        <v>10.0</v>
      </c>
      <c r="O103" s="72">
        <v>40086.0</v>
      </c>
      <c r="P103" s="73">
        <v>0.3225</v>
      </c>
      <c r="Q103" s="75">
        <f t="shared" si="7"/>
        <v>1.705348695</v>
      </c>
      <c r="R103" s="73">
        <f t="shared" si="8"/>
        <v>0.5971661892</v>
      </c>
      <c r="S103" s="76"/>
      <c r="T103" s="77"/>
      <c r="U103" s="2"/>
      <c r="V103" s="2"/>
      <c r="W103" s="2"/>
      <c r="X103" s="2"/>
      <c r="Y103" s="2"/>
      <c r="Z103" s="2"/>
    </row>
    <row r="104" hidden="1" outlineLevel="1">
      <c r="A104" s="67" t="str">
        <f t="shared" si="66"/>
        <v>3-2026</v>
      </c>
      <c r="B104" s="57">
        <v>46087.0</v>
      </c>
      <c r="C104" s="68"/>
      <c r="D104" s="69">
        <v>719.8</v>
      </c>
      <c r="E104" s="70">
        <v>27.0</v>
      </c>
      <c r="F104" s="70">
        <v>22.0</v>
      </c>
      <c r="G104" s="71">
        <f t="shared" si="2"/>
        <v>1.227272727</v>
      </c>
      <c r="H104" s="69">
        <f t="shared" si="67"/>
        <v>32.71818182</v>
      </c>
      <c r="I104" s="69">
        <f t="shared" si="68"/>
        <v>26.65925926</v>
      </c>
      <c r="J104" s="72">
        <v>329.0</v>
      </c>
      <c r="K104" s="73">
        <f t="shared" si="5"/>
        <v>0.0820668693</v>
      </c>
      <c r="L104" s="69">
        <v>176.79</v>
      </c>
      <c r="M104" s="69">
        <v>506.11</v>
      </c>
      <c r="N104" s="70">
        <v>15.0</v>
      </c>
      <c r="O104" s="72">
        <v>30305.0</v>
      </c>
      <c r="P104" s="73">
        <v>0.5913</v>
      </c>
      <c r="Q104" s="75">
        <f t="shared" si="7"/>
        <v>2.862775044</v>
      </c>
      <c r="R104" s="73">
        <f t="shared" si="8"/>
        <v>0.7031258683</v>
      </c>
      <c r="S104" s="76"/>
      <c r="T104" s="77"/>
      <c r="U104" s="2"/>
      <c r="V104" s="2"/>
      <c r="W104" s="2"/>
      <c r="X104" s="2"/>
      <c r="Y104" s="2"/>
      <c r="Z104" s="2"/>
    </row>
    <row r="105" hidden="1" outlineLevel="1">
      <c r="A105" s="67" t="str">
        <f t="shared" si="66"/>
        <v>3-2026</v>
      </c>
      <c r="B105" s="57">
        <v>46088.0</v>
      </c>
      <c r="C105" s="68"/>
      <c r="D105" s="69">
        <v>745.77</v>
      </c>
      <c r="E105" s="70">
        <v>28.0</v>
      </c>
      <c r="F105" s="70">
        <v>27.0</v>
      </c>
      <c r="G105" s="71">
        <f t="shared" si="2"/>
        <v>1.037037037</v>
      </c>
      <c r="H105" s="69">
        <f t="shared" si="67"/>
        <v>27.62111111</v>
      </c>
      <c r="I105" s="69">
        <f t="shared" si="68"/>
        <v>26.63464286</v>
      </c>
      <c r="J105" s="72">
        <v>498.0</v>
      </c>
      <c r="K105" s="73">
        <f t="shared" si="5"/>
        <v>0.0562248996</v>
      </c>
      <c r="L105" s="69">
        <v>272.2</v>
      </c>
      <c r="M105" s="69">
        <v>646.04</v>
      </c>
      <c r="N105" s="70">
        <v>23.0</v>
      </c>
      <c r="O105" s="72">
        <v>49067.0</v>
      </c>
      <c r="P105" s="73">
        <f t="shared" ref="P105:P106" si="71">L105/M105</f>
        <v>0.4213361402</v>
      </c>
      <c r="Q105" s="75">
        <f t="shared" si="7"/>
        <v>2.37340191</v>
      </c>
      <c r="R105" s="73">
        <f t="shared" si="8"/>
        <v>0.8662724432</v>
      </c>
      <c r="S105" s="76"/>
      <c r="T105" s="77"/>
      <c r="U105" s="2"/>
      <c r="V105" s="2"/>
      <c r="W105" s="2"/>
      <c r="X105" s="2"/>
      <c r="Y105" s="2"/>
      <c r="Z105" s="2"/>
    </row>
    <row r="106" collapsed="1">
      <c r="A106" s="78" t="s">
        <v>54</v>
      </c>
      <c r="B106" s="79"/>
      <c r="C106" s="80"/>
      <c r="D106" s="81">
        <f t="shared" ref="D106:F106" si="69">SUM(D99:D105)</f>
        <v>5606.05</v>
      </c>
      <c r="E106" s="82">
        <f t="shared" si="69"/>
        <v>210</v>
      </c>
      <c r="F106" s="82">
        <f t="shared" si="69"/>
        <v>193</v>
      </c>
      <c r="G106" s="83">
        <f t="shared" si="2"/>
        <v>1.088082902</v>
      </c>
      <c r="H106" s="81">
        <f>average(H99:H105)</f>
        <v>29.24737236</v>
      </c>
      <c r="I106" s="84">
        <f>H106/G106</f>
        <v>26.87972793</v>
      </c>
      <c r="J106" s="85">
        <f>SUM(J99:J105)</f>
        <v>3075</v>
      </c>
      <c r="K106" s="86">
        <f t="shared" si="5"/>
        <v>0.06829268293</v>
      </c>
      <c r="L106" s="81">
        <f t="shared" ref="L106:N106" si="70">SUM(L99:L105)</f>
        <v>1683.58</v>
      </c>
      <c r="M106" s="81">
        <f t="shared" si="70"/>
        <v>4367.14</v>
      </c>
      <c r="N106" s="87">
        <f t="shared" si="70"/>
        <v>150</v>
      </c>
      <c r="O106" s="85">
        <f>sum(O99:O105)</f>
        <v>339119</v>
      </c>
      <c r="P106" s="86">
        <f t="shared" si="71"/>
        <v>0.3855108836</v>
      </c>
      <c r="Q106" s="88">
        <f t="shared" si="7"/>
        <v>2.593960489</v>
      </c>
      <c r="R106" s="89">
        <f t="shared" si="8"/>
        <v>0.7790048251</v>
      </c>
      <c r="S106" s="80" t="str">
        <f>iferror((D106-#REF!)/D106,)</f>
        <v/>
      </c>
      <c r="T106" s="90" t="str">
        <f>iferror((F106-#REF!)/F106,)</f>
        <v/>
      </c>
      <c r="U106" s="2"/>
      <c r="V106" s="2"/>
      <c r="W106" s="2"/>
      <c r="X106" s="2"/>
      <c r="Y106" s="2"/>
      <c r="Z106" s="2"/>
    </row>
    <row r="107">
      <c r="A107" s="36" t="str">
        <f t="shared" ref="A107:A113" si="72">iferror(if(B107&gt;0,month(B107)&amp;"-"&amp;year(B107),B107),)</f>
        <v>3-2026</v>
      </c>
      <c r="B107" s="91">
        <v>46089.0</v>
      </c>
      <c r="C107" s="38"/>
      <c r="D107" s="92">
        <v>894.48</v>
      </c>
      <c r="E107" s="93">
        <v>34.0</v>
      </c>
      <c r="F107" s="93">
        <v>31.0</v>
      </c>
      <c r="G107" s="41">
        <f t="shared" si="2"/>
        <v>1.096774194</v>
      </c>
      <c r="H107" s="39">
        <f t="shared" ref="H107:H113" si="73">D107/F107</f>
        <v>28.85419355</v>
      </c>
      <c r="I107" s="39">
        <f t="shared" ref="I107:I113" si="74">D107/E107</f>
        <v>26.30823529</v>
      </c>
      <c r="J107" s="94">
        <v>547.0</v>
      </c>
      <c r="K107" s="43">
        <f t="shared" si="5"/>
        <v>0.06215722121</v>
      </c>
      <c r="L107" s="92">
        <v>281.21</v>
      </c>
      <c r="M107" s="92">
        <v>798.5</v>
      </c>
      <c r="N107" s="93">
        <v>27.0</v>
      </c>
      <c r="O107" s="94">
        <v>54419.0</v>
      </c>
      <c r="P107" s="95">
        <v>0.4734</v>
      </c>
      <c r="Q107" s="44">
        <f t="shared" si="7"/>
        <v>2.839514953</v>
      </c>
      <c r="R107" s="43">
        <f t="shared" si="8"/>
        <v>0.8926974331</v>
      </c>
      <c r="S107" s="45"/>
      <c r="T107" s="46"/>
      <c r="U107" s="9"/>
      <c r="V107" s="9"/>
      <c r="W107" s="9"/>
      <c r="X107" s="9"/>
      <c r="Y107" s="9"/>
      <c r="Z107" s="9"/>
    </row>
    <row r="108">
      <c r="A108" s="47" t="str">
        <f t="shared" si="72"/>
        <v>3-2026</v>
      </c>
      <c r="B108" s="91">
        <v>46090.0</v>
      </c>
      <c r="C108" s="48"/>
      <c r="D108" s="96">
        <v>779.75</v>
      </c>
      <c r="E108" s="97">
        <v>30.0</v>
      </c>
      <c r="F108" s="97">
        <v>28.0</v>
      </c>
      <c r="G108" s="51">
        <f t="shared" si="2"/>
        <v>1.071428571</v>
      </c>
      <c r="H108" s="49">
        <f t="shared" si="73"/>
        <v>27.84821429</v>
      </c>
      <c r="I108" s="49">
        <f t="shared" si="74"/>
        <v>25.99166667</v>
      </c>
      <c r="J108" s="98">
        <v>432.0</v>
      </c>
      <c r="K108" s="53">
        <f t="shared" si="5"/>
        <v>0.06944444444</v>
      </c>
      <c r="L108" s="96">
        <v>212.86</v>
      </c>
      <c r="M108" s="99">
        <v>655.34</v>
      </c>
      <c r="N108" s="97">
        <v>22.0</v>
      </c>
      <c r="O108" s="98">
        <v>39521.0</v>
      </c>
      <c r="P108" s="100">
        <v>0.2985</v>
      </c>
      <c r="Q108" s="55">
        <f t="shared" si="7"/>
        <v>3.078737198</v>
      </c>
      <c r="R108" s="53">
        <f t="shared" si="8"/>
        <v>0.8404488618</v>
      </c>
      <c r="S108" s="19"/>
      <c r="T108" s="28"/>
      <c r="U108" s="9"/>
      <c r="V108" s="9"/>
      <c r="W108" s="9"/>
      <c r="X108" s="9"/>
      <c r="Y108" s="9"/>
      <c r="Z108" s="9"/>
    </row>
    <row r="109">
      <c r="A109" s="47" t="str">
        <f t="shared" si="72"/>
        <v>3-2026</v>
      </c>
      <c r="B109" s="91">
        <v>46091.0</v>
      </c>
      <c r="C109" s="48"/>
      <c r="D109" s="96">
        <v>548.36</v>
      </c>
      <c r="E109" s="97">
        <v>21.0</v>
      </c>
      <c r="F109" s="97">
        <v>20.0</v>
      </c>
      <c r="G109" s="51">
        <f t="shared" si="2"/>
        <v>1.05</v>
      </c>
      <c r="H109" s="49">
        <f t="shared" si="73"/>
        <v>27.418</v>
      </c>
      <c r="I109" s="49">
        <f t="shared" si="74"/>
        <v>26.11238095</v>
      </c>
      <c r="J109" s="98">
        <v>407.0</v>
      </c>
      <c r="K109" s="53">
        <f t="shared" si="5"/>
        <v>0.0515970516</v>
      </c>
      <c r="L109" s="92">
        <v>204.65</v>
      </c>
      <c r="M109" s="92">
        <v>464.13</v>
      </c>
      <c r="N109" s="93">
        <v>17.0</v>
      </c>
      <c r="O109" s="98">
        <v>43171.0</v>
      </c>
      <c r="P109" s="100">
        <v>0.3486</v>
      </c>
      <c r="Q109" s="55">
        <f t="shared" si="7"/>
        <v>2.26792084</v>
      </c>
      <c r="R109" s="53">
        <f t="shared" si="8"/>
        <v>0.8463965278</v>
      </c>
      <c r="S109" s="19"/>
      <c r="T109" s="28"/>
      <c r="U109" s="9"/>
      <c r="V109" s="9"/>
      <c r="W109" s="9"/>
      <c r="X109" s="9"/>
      <c r="Y109" s="9"/>
      <c r="Z109" s="9"/>
    </row>
    <row r="110">
      <c r="A110" s="47" t="str">
        <f t="shared" si="72"/>
        <v>3-2026</v>
      </c>
      <c r="B110" s="91">
        <v>46092.0</v>
      </c>
      <c r="C110" s="48"/>
      <c r="D110" s="96">
        <v>601.57</v>
      </c>
      <c r="E110" s="97">
        <v>23.0</v>
      </c>
      <c r="F110" s="97">
        <v>20.0</v>
      </c>
      <c r="G110" s="51">
        <f t="shared" si="2"/>
        <v>1.15</v>
      </c>
      <c r="H110" s="49">
        <f t="shared" si="73"/>
        <v>30.0785</v>
      </c>
      <c r="I110" s="49">
        <f t="shared" si="74"/>
        <v>26.15521739</v>
      </c>
      <c r="J110" s="98">
        <v>380.0</v>
      </c>
      <c r="K110" s="53">
        <f t="shared" si="5"/>
        <v>0.06052631579</v>
      </c>
      <c r="L110" s="96">
        <v>195.92</v>
      </c>
      <c r="M110" s="96">
        <v>472.36</v>
      </c>
      <c r="N110" s="97">
        <v>16.0</v>
      </c>
      <c r="O110" s="98">
        <v>45882.0</v>
      </c>
      <c r="P110" s="100">
        <v>0.3572</v>
      </c>
      <c r="Q110" s="55">
        <f t="shared" si="7"/>
        <v>2.410984075</v>
      </c>
      <c r="R110" s="53">
        <f t="shared" si="8"/>
        <v>0.7852120285</v>
      </c>
      <c r="S110" s="19"/>
      <c r="T110" s="28"/>
      <c r="U110" s="9"/>
      <c r="V110" s="9"/>
      <c r="W110" s="9"/>
      <c r="X110" s="9"/>
      <c r="Y110" s="9"/>
      <c r="Z110" s="9"/>
    </row>
    <row r="111">
      <c r="A111" s="47" t="str">
        <f t="shared" si="72"/>
        <v>3-2026</v>
      </c>
      <c r="B111" s="91">
        <v>46093.0</v>
      </c>
      <c r="C111" s="48"/>
      <c r="D111" s="96">
        <v>1009.46</v>
      </c>
      <c r="E111" s="97">
        <v>38.0</v>
      </c>
      <c r="F111" s="97">
        <v>36.0</v>
      </c>
      <c r="G111" s="51">
        <f t="shared" si="2"/>
        <v>1.055555556</v>
      </c>
      <c r="H111" s="49">
        <f t="shared" si="73"/>
        <v>28.04055556</v>
      </c>
      <c r="I111" s="49">
        <f t="shared" si="74"/>
        <v>26.56473684</v>
      </c>
      <c r="J111" s="98">
        <v>380.0</v>
      </c>
      <c r="K111" s="53">
        <f t="shared" si="5"/>
        <v>0.1</v>
      </c>
      <c r="L111" s="96">
        <v>173.74</v>
      </c>
      <c r="M111" s="96">
        <v>571.08</v>
      </c>
      <c r="N111" s="97">
        <v>21.0</v>
      </c>
      <c r="O111" s="98">
        <v>35269.0</v>
      </c>
      <c r="P111" s="100">
        <v>0.3225</v>
      </c>
      <c r="Q111" s="55">
        <f t="shared" si="7"/>
        <v>3.286980546</v>
      </c>
      <c r="R111" s="53">
        <f t="shared" si="8"/>
        <v>0.5657282111</v>
      </c>
      <c r="S111" s="19"/>
      <c r="T111" s="28"/>
      <c r="U111" s="9"/>
      <c r="V111" s="9"/>
      <c r="W111" s="9"/>
      <c r="X111" s="9"/>
      <c r="Y111" s="9"/>
      <c r="Z111" s="9"/>
    </row>
    <row r="112">
      <c r="A112" s="47" t="str">
        <f t="shared" si="72"/>
        <v>3-2026</v>
      </c>
      <c r="B112" s="91">
        <v>46094.0</v>
      </c>
      <c r="C112" s="48"/>
      <c r="D112" s="96">
        <v>873.26</v>
      </c>
      <c r="E112" s="97">
        <v>32.0</v>
      </c>
      <c r="F112" s="97">
        <v>27.0</v>
      </c>
      <c r="G112" s="51">
        <f t="shared" si="2"/>
        <v>1.185185185</v>
      </c>
      <c r="H112" s="49">
        <f t="shared" si="73"/>
        <v>32.34296296</v>
      </c>
      <c r="I112" s="49">
        <f t="shared" si="74"/>
        <v>27.289375</v>
      </c>
      <c r="J112" s="98">
        <v>368.0</v>
      </c>
      <c r="K112" s="53">
        <f t="shared" si="5"/>
        <v>0.08695652174</v>
      </c>
      <c r="L112" s="96">
        <v>196.46</v>
      </c>
      <c r="M112" s="96">
        <v>580.86</v>
      </c>
      <c r="N112" s="97">
        <v>17.0</v>
      </c>
      <c r="O112" s="98">
        <v>36895.0</v>
      </c>
      <c r="P112" s="100">
        <v>0.5913</v>
      </c>
      <c r="Q112" s="55">
        <f t="shared" si="7"/>
        <v>2.956632393</v>
      </c>
      <c r="R112" s="53">
        <f t="shared" si="8"/>
        <v>0.6651627236</v>
      </c>
      <c r="S112" s="19"/>
      <c r="T112" s="28"/>
      <c r="U112" s="9"/>
      <c r="V112" s="9"/>
      <c r="W112" s="9"/>
      <c r="X112" s="9"/>
      <c r="Y112" s="9"/>
      <c r="Z112" s="9"/>
    </row>
    <row r="113" ht="15.0" customHeight="1">
      <c r="A113" s="47" t="str">
        <f t="shared" si="72"/>
        <v>3-2026</v>
      </c>
      <c r="B113" s="91">
        <v>46095.0</v>
      </c>
      <c r="C113" s="48"/>
      <c r="D113" s="96">
        <v>805.77</v>
      </c>
      <c r="E113" s="97">
        <v>30.0</v>
      </c>
      <c r="F113" s="97">
        <v>29.0</v>
      </c>
      <c r="G113" s="51">
        <f t="shared" si="2"/>
        <v>1.034482759</v>
      </c>
      <c r="H113" s="49">
        <f t="shared" si="73"/>
        <v>27.78517241</v>
      </c>
      <c r="I113" s="49">
        <f t="shared" si="74"/>
        <v>26.859</v>
      </c>
      <c r="J113" s="98">
        <v>505.0</v>
      </c>
      <c r="K113" s="53">
        <f t="shared" si="5"/>
        <v>0.05940594059</v>
      </c>
      <c r="L113" s="96">
        <v>252.79</v>
      </c>
      <c r="M113" s="96">
        <v>496.86</v>
      </c>
      <c r="N113" s="97">
        <v>17.0</v>
      </c>
      <c r="O113" s="98">
        <v>46825.0</v>
      </c>
      <c r="P113" s="53">
        <f t="shared" ref="P113:P114" si="77">L113/M113</f>
        <v>0.5087751077</v>
      </c>
      <c r="Q113" s="55">
        <f t="shared" si="7"/>
        <v>1.965504965</v>
      </c>
      <c r="R113" s="53">
        <f t="shared" si="8"/>
        <v>0.6166275736</v>
      </c>
      <c r="S113" s="19"/>
      <c r="T113" s="28"/>
      <c r="U113" s="9"/>
      <c r="V113" s="9"/>
      <c r="W113" s="9"/>
      <c r="X113" s="9"/>
      <c r="Y113" s="9"/>
      <c r="Z113" s="9"/>
    </row>
    <row r="114">
      <c r="A114" s="101" t="s">
        <v>55</v>
      </c>
      <c r="B114" s="102"/>
      <c r="C114" s="103"/>
      <c r="D114" s="104">
        <f t="shared" ref="D114:F114" si="75">SUM(D107:D113)</f>
        <v>5512.65</v>
      </c>
      <c r="E114" s="105">
        <f t="shared" si="75"/>
        <v>208</v>
      </c>
      <c r="F114" s="105">
        <f t="shared" si="75"/>
        <v>191</v>
      </c>
      <c r="G114" s="106">
        <f t="shared" si="2"/>
        <v>1.089005236</v>
      </c>
      <c r="H114" s="104">
        <f>average(H107:H113)</f>
        <v>28.90965697</v>
      </c>
      <c r="I114" s="107">
        <f>H114/G114</f>
        <v>26.54684846</v>
      </c>
      <c r="J114" s="108">
        <f>SUM(J107:J113)</f>
        <v>3019</v>
      </c>
      <c r="K114" s="109">
        <f t="shared" si="5"/>
        <v>0.06889698576</v>
      </c>
      <c r="L114" s="104">
        <f t="shared" ref="L114:N114" si="76">SUM(L107:L113)</f>
        <v>1517.63</v>
      </c>
      <c r="M114" s="104">
        <f t="shared" si="76"/>
        <v>4039.13</v>
      </c>
      <c r="N114" s="110">
        <f t="shared" si="76"/>
        <v>137</v>
      </c>
      <c r="O114" s="111">
        <f>sum(O107:O113)</f>
        <v>301982</v>
      </c>
      <c r="P114" s="109">
        <f t="shared" si="77"/>
        <v>0.3757319027</v>
      </c>
      <c r="Q114" s="112">
        <f t="shared" si="7"/>
        <v>2.661472164</v>
      </c>
      <c r="R114" s="113">
        <f t="shared" si="8"/>
        <v>0.732702058</v>
      </c>
      <c r="S114" s="103" t="str">
        <f>iferror((D114-#REF!)/D114,)</f>
        <v/>
      </c>
      <c r="T114" s="114" t="str">
        <f>iferror((F114-#REF!)/F114,)</f>
        <v/>
      </c>
      <c r="U114" s="9"/>
      <c r="V114" s="9"/>
      <c r="W114" s="10"/>
      <c r="X114" s="10"/>
      <c r="Y114" s="10"/>
      <c r="Z114" s="10"/>
    </row>
    <row r="115">
      <c r="A115" s="36" t="str">
        <f t="shared" ref="A115:A121" si="78">iferror(if(B115&gt;0,month(B115)&amp;"-"&amp;year(B115),B115),)</f>
        <v>3-2026</v>
      </c>
      <c r="B115" s="91">
        <v>46096.0</v>
      </c>
      <c r="C115" s="38"/>
      <c r="D115" s="92">
        <v>1267.42</v>
      </c>
      <c r="E115" s="93">
        <v>47.0</v>
      </c>
      <c r="F115" s="93">
        <v>41.0</v>
      </c>
      <c r="G115" s="41">
        <f t="shared" si="2"/>
        <v>1.146341463</v>
      </c>
      <c r="H115" s="39">
        <f t="shared" ref="H115:H121" si="79">D115/F115</f>
        <v>30.91268293</v>
      </c>
      <c r="I115" s="39">
        <f t="shared" ref="I115:I121" si="80">D115/E115</f>
        <v>26.96638298</v>
      </c>
      <c r="J115" s="94">
        <v>594.0</v>
      </c>
      <c r="K115" s="43">
        <f t="shared" si="5"/>
        <v>0.07912457912</v>
      </c>
      <c r="L115" s="92">
        <v>329.62</v>
      </c>
      <c r="M115" s="92">
        <v>1352.91</v>
      </c>
      <c r="N115" s="93">
        <v>44.0</v>
      </c>
      <c r="O115" s="94">
        <v>63496.0</v>
      </c>
      <c r="P115" s="95">
        <v>0.4734</v>
      </c>
      <c r="Q115" s="44">
        <f t="shared" si="7"/>
        <v>4.104453613</v>
      </c>
      <c r="R115" s="43">
        <f t="shared" si="8"/>
        <v>1.067451989</v>
      </c>
      <c r="S115" s="45"/>
      <c r="T115" s="46"/>
      <c r="U115" s="9"/>
      <c r="V115" s="9"/>
      <c r="W115" s="9"/>
      <c r="X115" s="9"/>
      <c r="Y115" s="9"/>
      <c r="Z115" s="9"/>
    </row>
    <row r="116">
      <c r="A116" s="47" t="str">
        <f t="shared" si="78"/>
        <v>3-2026</v>
      </c>
      <c r="B116" s="91">
        <v>46097.0</v>
      </c>
      <c r="C116" s="48"/>
      <c r="D116" s="96">
        <v>849.96</v>
      </c>
      <c r="E116" s="97">
        <v>30.0</v>
      </c>
      <c r="F116" s="97">
        <v>23.0</v>
      </c>
      <c r="G116" s="51">
        <f t="shared" si="2"/>
        <v>1.304347826</v>
      </c>
      <c r="H116" s="49">
        <f t="shared" si="79"/>
        <v>36.95478261</v>
      </c>
      <c r="I116" s="49">
        <f t="shared" si="80"/>
        <v>28.332</v>
      </c>
      <c r="J116" s="98">
        <v>429.0</v>
      </c>
      <c r="K116" s="53">
        <f t="shared" si="5"/>
        <v>0.06993006993</v>
      </c>
      <c r="L116" s="96">
        <v>232.12</v>
      </c>
      <c r="M116" s="99">
        <v>529.07</v>
      </c>
      <c r="N116" s="97">
        <v>15.0</v>
      </c>
      <c r="O116" s="98">
        <v>54486.0</v>
      </c>
      <c r="P116" s="100">
        <v>0.2985</v>
      </c>
      <c r="Q116" s="55">
        <f t="shared" si="7"/>
        <v>2.279295192</v>
      </c>
      <c r="R116" s="53">
        <f t="shared" si="8"/>
        <v>0.6224645866</v>
      </c>
      <c r="S116" s="19"/>
      <c r="T116" s="28"/>
      <c r="U116" s="9"/>
      <c r="V116" s="9"/>
      <c r="W116" s="9"/>
      <c r="X116" s="9"/>
      <c r="Y116" s="9"/>
      <c r="Z116" s="9"/>
    </row>
    <row r="117">
      <c r="A117" s="47" t="str">
        <f t="shared" si="78"/>
        <v>3-2026</v>
      </c>
      <c r="B117" s="91">
        <v>46098.0</v>
      </c>
      <c r="C117" s="48"/>
      <c r="D117" s="96">
        <v>1106.99</v>
      </c>
      <c r="E117" s="97">
        <v>44.0</v>
      </c>
      <c r="F117" s="97">
        <v>31.0</v>
      </c>
      <c r="G117" s="51">
        <f t="shared" si="2"/>
        <v>1.419354839</v>
      </c>
      <c r="H117" s="49">
        <f t="shared" si="79"/>
        <v>35.70935484</v>
      </c>
      <c r="I117" s="49">
        <f t="shared" si="80"/>
        <v>25.15886364</v>
      </c>
      <c r="J117" s="98">
        <v>433.0</v>
      </c>
      <c r="K117" s="53">
        <f t="shared" si="5"/>
        <v>0.1016166282</v>
      </c>
      <c r="L117" s="92">
        <v>222.49</v>
      </c>
      <c r="M117" s="92">
        <v>877.56</v>
      </c>
      <c r="N117" s="93">
        <v>26.0</v>
      </c>
      <c r="O117" s="98">
        <v>56784.0</v>
      </c>
      <c r="P117" s="100">
        <v>0.3486</v>
      </c>
      <c r="Q117" s="55">
        <f t="shared" si="7"/>
        <v>3.944267158</v>
      </c>
      <c r="R117" s="53">
        <f t="shared" si="8"/>
        <v>0.7927442886</v>
      </c>
      <c r="S117" s="19"/>
      <c r="T117" s="28"/>
      <c r="U117" s="9"/>
      <c r="V117" s="9"/>
      <c r="W117" s="9"/>
      <c r="X117" s="9"/>
      <c r="Y117" s="9"/>
      <c r="Z117" s="9"/>
    </row>
    <row r="118">
      <c r="A118" s="47" t="str">
        <f t="shared" si="78"/>
        <v>3-2026</v>
      </c>
      <c r="B118" s="91">
        <v>46099.0</v>
      </c>
      <c r="C118" s="48"/>
      <c r="D118" s="96">
        <v>1325.11</v>
      </c>
      <c r="E118" s="97">
        <v>48.0</v>
      </c>
      <c r="F118" s="97">
        <v>38.0</v>
      </c>
      <c r="G118" s="51">
        <f t="shared" si="2"/>
        <v>1.263157895</v>
      </c>
      <c r="H118" s="49">
        <f t="shared" si="79"/>
        <v>34.87131579</v>
      </c>
      <c r="I118" s="49">
        <f t="shared" si="80"/>
        <v>27.60645833</v>
      </c>
      <c r="J118" s="98">
        <v>438.0</v>
      </c>
      <c r="K118" s="53">
        <f t="shared" si="5"/>
        <v>0.1095890411</v>
      </c>
      <c r="L118" s="96">
        <v>226.27</v>
      </c>
      <c r="M118" s="96">
        <v>847.75</v>
      </c>
      <c r="N118" s="97">
        <v>25.0</v>
      </c>
      <c r="O118" s="98">
        <v>48977.0</v>
      </c>
      <c r="P118" s="100">
        <v>0.3572</v>
      </c>
      <c r="Q118" s="55">
        <f t="shared" si="7"/>
        <v>3.746630132</v>
      </c>
      <c r="R118" s="53">
        <f t="shared" si="8"/>
        <v>0.6397582088</v>
      </c>
      <c r="S118" s="19"/>
      <c r="T118" s="28"/>
      <c r="U118" s="9"/>
      <c r="V118" s="9"/>
      <c r="W118" s="9"/>
      <c r="X118" s="9"/>
      <c r="Y118" s="9"/>
      <c r="Z118" s="9"/>
    </row>
    <row r="119">
      <c r="A119" s="47" t="str">
        <f t="shared" si="78"/>
        <v>3-2026</v>
      </c>
      <c r="B119" s="91">
        <v>46100.0</v>
      </c>
      <c r="C119" s="48"/>
      <c r="D119" s="96">
        <v>762.79</v>
      </c>
      <c r="E119" s="97">
        <v>28.0</v>
      </c>
      <c r="F119" s="97">
        <v>28.0</v>
      </c>
      <c r="G119" s="51">
        <f t="shared" si="2"/>
        <v>1</v>
      </c>
      <c r="H119" s="49">
        <f t="shared" si="79"/>
        <v>27.2425</v>
      </c>
      <c r="I119" s="49">
        <f t="shared" si="80"/>
        <v>27.2425</v>
      </c>
      <c r="J119" s="98">
        <v>421.0</v>
      </c>
      <c r="K119" s="53">
        <f t="shared" si="5"/>
        <v>0.06650831354</v>
      </c>
      <c r="L119" s="96">
        <v>178.04</v>
      </c>
      <c r="M119" s="96">
        <v>492.12</v>
      </c>
      <c r="N119" s="97">
        <v>18.0</v>
      </c>
      <c r="O119" s="98">
        <v>43729.0</v>
      </c>
      <c r="P119" s="100">
        <v>0.3225</v>
      </c>
      <c r="Q119" s="55">
        <f t="shared" si="7"/>
        <v>2.764097956</v>
      </c>
      <c r="R119" s="53">
        <f t="shared" si="8"/>
        <v>0.6451579072</v>
      </c>
      <c r="S119" s="19"/>
      <c r="T119" s="28"/>
      <c r="U119" s="9"/>
      <c r="V119" s="9"/>
      <c r="W119" s="9"/>
      <c r="X119" s="9"/>
      <c r="Y119" s="9"/>
      <c r="Z119" s="9"/>
    </row>
    <row r="120">
      <c r="A120" s="47" t="str">
        <f t="shared" si="78"/>
        <v>3-2026</v>
      </c>
      <c r="B120" s="91">
        <v>46101.0</v>
      </c>
      <c r="C120" s="48"/>
      <c r="D120" s="96">
        <v>831.5</v>
      </c>
      <c r="E120" s="97">
        <v>30.0</v>
      </c>
      <c r="F120" s="97">
        <v>27.0</v>
      </c>
      <c r="G120" s="51">
        <f t="shared" si="2"/>
        <v>1.111111111</v>
      </c>
      <c r="H120" s="49">
        <f t="shared" si="79"/>
        <v>30.7962963</v>
      </c>
      <c r="I120" s="49">
        <f t="shared" si="80"/>
        <v>27.71666667</v>
      </c>
      <c r="J120" s="98">
        <v>486.0</v>
      </c>
      <c r="K120" s="53">
        <f t="shared" si="5"/>
        <v>0.06172839506</v>
      </c>
      <c r="L120" s="96">
        <v>233.62</v>
      </c>
      <c r="M120" s="96">
        <v>543.83</v>
      </c>
      <c r="N120" s="97">
        <v>19.0</v>
      </c>
      <c r="O120" s="98">
        <v>44471.0</v>
      </c>
      <c r="P120" s="100">
        <v>0.5913</v>
      </c>
      <c r="Q120" s="55">
        <f t="shared" si="7"/>
        <v>2.327840082</v>
      </c>
      <c r="R120" s="53">
        <f t="shared" si="8"/>
        <v>0.6540348767</v>
      </c>
      <c r="S120" s="19"/>
      <c r="T120" s="28"/>
      <c r="U120" s="9"/>
      <c r="V120" s="9"/>
      <c r="W120" s="9"/>
      <c r="X120" s="9"/>
      <c r="Y120" s="9"/>
      <c r="Z120" s="9"/>
    </row>
    <row r="121" ht="15.0" customHeight="1">
      <c r="A121" s="47" t="str">
        <f t="shared" si="78"/>
        <v>3-2026</v>
      </c>
      <c r="B121" s="91">
        <v>46102.0</v>
      </c>
      <c r="C121" s="48"/>
      <c r="D121" s="96">
        <v>1234.38</v>
      </c>
      <c r="E121" s="97">
        <v>44.0</v>
      </c>
      <c r="F121" s="97">
        <v>32.0</v>
      </c>
      <c r="G121" s="51">
        <f t="shared" si="2"/>
        <v>1.375</v>
      </c>
      <c r="H121" s="49">
        <f t="shared" si="79"/>
        <v>38.574375</v>
      </c>
      <c r="I121" s="49">
        <f t="shared" si="80"/>
        <v>28.05409091</v>
      </c>
      <c r="J121" s="98">
        <v>835.0</v>
      </c>
      <c r="K121" s="53">
        <f t="shared" si="5"/>
        <v>0.05269461078</v>
      </c>
      <c r="L121" s="96">
        <v>312.98</v>
      </c>
      <c r="M121" s="96">
        <v>812.24</v>
      </c>
      <c r="N121" s="97">
        <v>27.0</v>
      </c>
      <c r="O121" s="98">
        <v>60762.0</v>
      </c>
      <c r="P121" s="53">
        <f t="shared" ref="P121:P122" si="83">L121/M121</f>
        <v>0.3853294593</v>
      </c>
      <c r="Q121" s="55">
        <f t="shared" si="7"/>
        <v>2.595181801</v>
      </c>
      <c r="R121" s="53">
        <f t="shared" si="8"/>
        <v>0.6580145498</v>
      </c>
      <c r="S121" s="19"/>
      <c r="T121" s="28"/>
      <c r="U121" s="9"/>
      <c r="V121" s="9"/>
      <c r="W121" s="9"/>
      <c r="X121" s="9"/>
      <c r="Y121" s="9"/>
      <c r="Z121" s="9"/>
    </row>
    <row r="122">
      <c r="A122" s="110" t="s">
        <v>56</v>
      </c>
      <c r="B122" s="102"/>
      <c r="C122" s="103"/>
      <c r="D122" s="104">
        <f t="shared" ref="D122:F122" si="81">SUM(D115:D121)</f>
        <v>7378.15</v>
      </c>
      <c r="E122" s="110">
        <f t="shared" si="81"/>
        <v>271</v>
      </c>
      <c r="F122" s="110">
        <f t="shared" si="81"/>
        <v>220</v>
      </c>
      <c r="G122" s="106">
        <f t="shared" si="2"/>
        <v>1.231818182</v>
      </c>
      <c r="H122" s="104">
        <f>average(H115:H121)</f>
        <v>33.58018678</v>
      </c>
      <c r="I122" s="107">
        <f>H122/G122</f>
        <v>27.26066823</v>
      </c>
      <c r="J122" s="108">
        <f>SUM(J115:J121)</f>
        <v>3636</v>
      </c>
      <c r="K122" s="109">
        <f t="shared" si="5"/>
        <v>0.07453245325</v>
      </c>
      <c r="L122" s="104">
        <f t="shared" ref="L122:N122" si="82">SUM(L115:L121)</f>
        <v>1735.14</v>
      </c>
      <c r="M122" s="104">
        <f t="shared" si="82"/>
        <v>5455.48</v>
      </c>
      <c r="N122" s="110">
        <f t="shared" si="82"/>
        <v>174</v>
      </c>
      <c r="O122" s="111">
        <f>sum(O115:O121)</f>
        <v>372705</v>
      </c>
      <c r="P122" s="109">
        <f t="shared" si="83"/>
        <v>0.3180545067</v>
      </c>
      <c r="Q122" s="112">
        <f t="shared" si="7"/>
        <v>3.144115172</v>
      </c>
      <c r="R122" s="113">
        <f t="shared" si="8"/>
        <v>0.7394102858</v>
      </c>
      <c r="S122" s="103" t="str">
        <f>iferror((D122-#REF!)/D122,)</f>
        <v/>
      </c>
      <c r="T122" s="114" t="str">
        <f>iferror((F122-#REF!)/F122,)</f>
        <v/>
      </c>
      <c r="U122" s="9"/>
      <c r="V122" s="9"/>
      <c r="W122" s="10"/>
      <c r="X122" s="10"/>
      <c r="Y122" s="10"/>
      <c r="Z122" s="10"/>
    </row>
    <row r="123">
      <c r="A123" s="9"/>
      <c r="B123" s="9"/>
      <c r="C123" s="9"/>
      <c r="D123" s="9"/>
      <c r="E123" s="9"/>
      <c r="F123" s="9"/>
      <c r="G123" s="9"/>
      <c r="H123" s="9"/>
      <c r="I123" s="9"/>
      <c r="J123" s="9"/>
      <c r="K123" s="9"/>
      <c r="L123" s="115"/>
      <c r="M123" s="115"/>
      <c r="N123" s="115"/>
      <c r="O123" s="115"/>
      <c r="P123" s="9"/>
      <c r="Q123" s="9"/>
      <c r="R123" s="9"/>
      <c r="S123" s="9"/>
      <c r="T123" s="9"/>
      <c r="U123" s="9"/>
      <c r="V123" s="9"/>
      <c r="W123" s="10"/>
      <c r="X123" s="10"/>
      <c r="Y123" s="10"/>
      <c r="Z123" s="10"/>
    </row>
    <row r="124">
      <c r="A124" s="9"/>
      <c r="B124" s="9"/>
      <c r="C124" s="9"/>
      <c r="D124" s="9"/>
      <c r="E124" s="9"/>
      <c r="F124" s="9"/>
      <c r="G124" s="9"/>
      <c r="H124" s="9"/>
      <c r="I124" s="9"/>
      <c r="J124" s="9"/>
      <c r="K124" s="9"/>
      <c r="L124" s="115"/>
      <c r="M124" s="115"/>
      <c r="N124" s="115"/>
      <c r="O124" s="115"/>
      <c r="P124" s="9"/>
      <c r="Q124" s="9"/>
      <c r="R124" s="9"/>
      <c r="S124" s="9"/>
      <c r="T124" s="9"/>
      <c r="U124" s="9"/>
      <c r="V124" s="9"/>
      <c r="W124" s="10"/>
      <c r="X124" s="10"/>
      <c r="Y124" s="10"/>
      <c r="Z124" s="10"/>
    </row>
    <row r="125">
      <c r="A125" s="9"/>
      <c r="B125" s="9"/>
      <c r="C125" s="9"/>
      <c r="D125" s="9"/>
      <c r="E125" s="9"/>
      <c r="F125" s="9"/>
      <c r="G125" s="9"/>
      <c r="H125" s="9"/>
      <c r="I125" s="9"/>
      <c r="J125" s="9"/>
      <c r="K125" s="9"/>
      <c r="L125" s="115"/>
      <c r="M125" s="115"/>
      <c r="N125" s="115"/>
      <c r="O125" s="115"/>
      <c r="P125" s="9"/>
      <c r="Q125" s="9"/>
      <c r="R125" s="9"/>
      <c r="S125" s="9"/>
      <c r="T125" s="9"/>
      <c r="U125" s="9"/>
      <c r="V125" s="9"/>
      <c r="W125" s="10"/>
      <c r="X125" s="10"/>
      <c r="Y125" s="10"/>
      <c r="Z125" s="10"/>
    </row>
    <row r="126">
      <c r="A126" s="9"/>
      <c r="B126" s="9"/>
      <c r="C126" s="9"/>
      <c r="D126" s="9"/>
      <c r="E126" s="9"/>
      <c r="F126" s="9"/>
      <c r="G126" s="9"/>
      <c r="H126" s="9"/>
      <c r="I126" s="9"/>
      <c r="J126" s="9"/>
      <c r="K126" s="9"/>
      <c r="L126" s="115"/>
      <c r="M126" s="115"/>
      <c r="N126" s="115"/>
      <c r="O126" s="115"/>
      <c r="P126" s="9"/>
      <c r="Q126" s="9"/>
      <c r="R126" s="9"/>
      <c r="S126" s="9"/>
      <c r="T126" s="9"/>
      <c r="U126" s="9"/>
      <c r="V126" s="9"/>
      <c r="W126" s="10"/>
      <c r="X126" s="10"/>
      <c r="Y126" s="10"/>
      <c r="Z126" s="10"/>
    </row>
    <row r="127">
      <c r="A127" s="9"/>
      <c r="B127" s="9"/>
      <c r="C127" s="9"/>
      <c r="D127" s="9"/>
      <c r="E127" s="9"/>
      <c r="F127" s="9"/>
      <c r="G127" s="9"/>
      <c r="H127" s="9"/>
      <c r="I127" s="9"/>
      <c r="J127" s="9"/>
      <c r="K127" s="9"/>
      <c r="L127" s="115"/>
      <c r="M127" s="115"/>
      <c r="N127" s="115"/>
      <c r="O127" s="115"/>
      <c r="P127" s="9"/>
      <c r="Q127" s="9"/>
      <c r="R127" s="9"/>
      <c r="S127" s="9"/>
      <c r="T127" s="9"/>
      <c r="U127" s="9"/>
      <c r="V127" s="9"/>
      <c r="W127" s="10"/>
      <c r="X127" s="10"/>
      <c r="Y127" s="10"/>
      <c r="Z127" s="10"/>
    </row>
    <row r="128">
      <c r="A128" s="9"/>
      <c r="B128" s="9"/>
      <c r="C128" s="9"/>
      <c r="D128" s="9"/>
      <c r="E128" s="9"/>
      <c r="F128" s="9"/>
      <c r="G128" s="9"/>
      <c r="H128" s="9"/>
      <c r="I128" s="9"/>
      <c r="J128" s="9"/>
      <c r="K128" s="9"/>
      <c r="L128" s="115"/>
      <c r="M128" s="115"/>
      <c r="N128" s="115"/>
      <c r="O128" s="115"/>
      <c r="P128" s="9"/>
      <c r="Q128" s="9"/>
      <c r="R128" s="9"/>
      <c r="S128" s="9"/>
      <c r="T128" s="9"/>
      <c r="U128" s="9"/>
      <c r="V128" s="9"/>
      <c r="W128" s="10"/>
      <c r="X128" s="10"/>
      <c r="Y128" s="10"/>
      <c r="Z128" s="10"/>
    </row>
    <row r="129">
      <c r="A129" s="9"/>
      <c r="B129" s="9"/>
      <c r="C129" s="9"/>
      <c r="D129" s="9"/>
      <c r="E129" s="9"/>
      <c r="F129" s="9"/>
      <c r="G129" s="9"/>
      <c r="H129" s="9"/>
      <c r="I129" s="9"/>
      <c r="J129" s="9"/>
      <c r="K129" s="9"/>
      <c r="L129" s="115"/>
      <c r="M129" s="115"/>
      <c r="N129" s="115"/>
      <c r="O129" s="115"/>
      <c r="P129" s="9"/>
      <c r="Q129" s="9"/>
      <c r="R129" s="9"/>
      <c r="S129" s="9"/>
      <c r="T129" s="9"/>
      <c r="U129" s="9"/>
      <c r="V129" s="9"/>
      <c r="W129" s="10"/>
      <c r="X129" s="10"/>
      <c r="Y129" s="10"/>
      <c r="Z129" s="10"/>
    </row>
    <row r="130">
      <c r="A130" s="9"/>
      <c r="B130" s="9"/>
      <c r="C130" s="9"/>
      <c r="D130" s="9"/>
      <c r="E130" s="9"/>
      <c r="F130" s="9"/>
      <c r="G130" s="9"/>
      <c r="H130" s="9"/>
      <c r="I130" s="9"/>
      <c r="J130" s="9"/>
      <c r="K130" s="9"/>
      <c r="L130" s="115"/>
      <c r="M130" s="115"/>
      <c r="N130" s="115"/>
      <c r="O130" s="115"/>
      <c r="P130" s="9"/>
      <c r="Q130" s="9"/>
      <c r="R130" s="9"/>
      <c r="S130" s="9"/>
      <c r="T130" s="9"/>
      <c r="U130" s="9"/>
      <c r="V130" s="9"/>
      <c r="W130" s="10"/>
      <c r="X130" s="10"/>
      <c r="Y130" s="10"/>
      <c r="Z130" s="10"/>
    </row>
    <row r="131">
      <c r="A131" s="9"/>
      <c r="B131" s="9"/>
      <c r="C131" s="9"/>
      <c r="D131" s="9"/>
      <c r="E131" s="9"/>
      <c r="F131" s="9"/>
      <c r="G131" s="9"/>
      <c r="H131" s="9"/>
      <c r="I131" s="9"/>
      <c r="J131" s="9"/>
      <c r="K131" s="9"/>
      <c r="L131" s="115"/>
      <c r="M131" s="115"/>
      <c r="N131" s="115"/>
      <c r="O131" s="115"/>
      <c r="P131" s="9"/>
      <c r="Q131" s="9"/>
      <c r="R131" s="9"/>
      <c r="S131" s="9"/>
      <c r="T131" s="9"/>
      <c r="U131" s="9"/>
      <c r="V131" s="9"/>
      <c r="W131" s="10"/>
      <c r="X131" s="10"/>
      <c r="Y131" s="10"/>
      <c r="Z131" s="10"/>
    </row>
    <row r="132">
      <c r="A132" s="9"/>
      <c r="B132" s="9"/>
      <c r="C132" s="9"/>
      <c r="D132" s="9"/>
      <c r="E132" s="9"/>
      <c r="F132" s="9"/>
      <c r="G132" s="9"/>
      <c r="H132" s="9"/>
      <c r="I132" s="9"/>
      <c r="J132" s="9"/>
      <c r="K132" s="9"/>
      <c r="L132" s="115"/>
      <c r="M132" s="115"/>
      <c r="N132" s="115"/>
      <c r="O132" s="115"/>
      <c r="P132" s="9"/>
      <c r="Q132" s="9"/>
      <c r="R132" s="9"/>
      <c r="S132" s="9"/>
      <c r="T132" s="9"/>
      <c r="U132" s="9"/>
      <c r="V132" s="9"/>
      <c r="W132" s="10"/>
      <c r="X132" s="10"/>
      <c r="Y132" s="10"/>
      <c r="Z132" s="10"/>
    </row>
    <row r="133">
      <c r="A133" s="9"/>
      <c r="B133" s="9"/>
      <c r="C133" s="9"/>
      <c r="D133" s="9"/>
      <c r="E133" s="9"/>
      <c r="F133" s="9"/>
      <c r="G133" s="9"/>
      <c r="H133" s="9"/>
      <c r="I133" s="9"/>
      <c r="J133" s="9"/>
      <c r="K133" s="9"/>
      <c r="L133" s="115"/>
      <c r="M133" s="115"/>
      <c r="N133" s="115"/>
      <c r="O133" s="115"/>
      <c r="P133" s="9"/>
      <c r="Q133" s="9"/>
      <c r="R133" s="9"/>
      <c r="S133" s="9"/>
      <c r="T133" s="9"/>
      <c r="U133" s="9"/>
      <c r="V133" s="9"/>
      <c r="W133" s="10"/>
      <c r="X133" s="10"/>
      <c r="Y133" s="10"/>
      <c r="Z133" s="10"/>
    </row>
    <row r="134">
      <c r="A134" s="9"/>
      <c r="B134" s="9"/>
      <c r="C134" s="9"/>
      <c r="D134" s="9"/>
      <c r="E134" s="9"/>
      <c r="F134" s="9"/>
      <c r="G134" s="9"/>
      <c r="H134" s="9"/>
      <c r="I134" s="9"/>
      <c r="J134" s="9"/>
      <c r="K134" s="9"/>
      <c r="L134" s="115"/>
      <c r="M134" s="115"/>
      <c r="N134" s="115"/>
      <c r="O134" s="115"/>
      <c r="P134" s="9"/>
      <c r="Q134" s="9"/>
      <c r="R134" s="9"/>
      <c r="S134" s="9"/>
      <c r="T134" s="9"/>
      <c r="U134" s="9"/>
      <c r="V134" s="9"/>
      <c r="W134" s="10"/>
      <c r="X134" s="10"/>
      <c r="Y134" s="10"/>
      <c r="Z134" s="10"/>
    </row>
    <row r="135">
      <c r="A135" s="9"/>
      <c r="B135" s="9"/>
      <c r="C135" s="9"/>
      <c r="D135" s="9"/>
      <c r="E135" s="9"/>
      <c r="F135" s="9"/>
      <c r="G135" s="9"/>
      <c r="H135" s="9"/>
      <c r="I135" s="9"/>
      <c r="J135" s="9"/>
      <c r="K135" s="9"/>
      <c r="L135" s="115"/>
      <c r="M135" s="115"/>
      <c r="N135" s="115"/>
      <c r="O135" s="115"/>
      <c r="P135" s="9"/>
      <c r="Q135" s="9"/>
      <c r="R135" s="9"/>
      <c r="S135" s="9"/>
      <c r="T135" s="9"/>
      <c r="U135" s="9"/>
      <c r="V135" s="9"/>
      <c r="W135" s="10"/>
      <c r="X135" s="10"/>
      <c r="Y135" s="10"/>
      <c r="Z135" s="10"/>
    </row>
    <row r="136">
      <c r="A136" s="9"/>
      <c r="B136" s="9"/>
      <c r="C136" s="9"/>
      <c r="D136" s="9"/>
      <c r="E136" s="9"/>
      <c r="F136" s="9"/>
      <c r="G136" s="9"/>
      <c r="H136" s="9"/>
      <c r="I136" s="9"/>
      <c r="J136" s="9"/>
      <c r="K136" s="9"/>
      <c r="L136" s="115"/>
      <c r="M136" s="115"/>
      <c r="N136" s="115"/>
      <c r="O136" s="115"/>
      <c r="P136" s="9"/>
      <c r="Q136" s="9"/>
      <c r="R136" s="9"/>
      <c r="S136" s="9"/>
      <c r="T136" s="9"/>
      <c r="U136" s="9"/>
      <c r="V136" s="9"/>
      <c r="W136" s="10"/>
      <c r="X136" s="10"/>
      <c r="Y136" s="10"/>
      <c r="Z136" s="10"/>
    </row>
    <row r="137">
      <c r="A137" s="9"/>
      <c r="B137" s="9"/>
      <c r="C137" s="9"/>
      <c r="D137" s="9"/>
      <c r="E137" s="9"/>
      <c r="F137" s="9"/>
      <c r="G137" s="9"/>
      <c r="H137" s="9"/>
      <c r="I137" s="9"/>
      <c r="J137" s="9"/>
      <c r="K137" s="9"/>
      <c r="L137" s="115"/>
      <c r="M137" s="115"/>
      <c r="N137" s="115"/>
      <c r="O137" s="115"/>
      <c r="P137" s="9"/>
      <c r="Q137" s="9"/>
      <c r="R137" s="9"/>
      <c r="S137" s="9"/>
      <c r="T137" s="9"/>
      <c r="U137" s="9"/>
      <c r="V137" s="9"/>
      <c r="W137" s="10"/>
      <c r="X137" s="10"/>
      <c r="Y137" s="10"/>
      <c r="Z137" s="10"/>
    </row>
    <row r="138">
      <c r="A138" s="9"/>
      <c r="B138" s="9"/>
      <c r="C138" s="9"/>
      <c r="D138" s="9"/>
      <c r="E138" s="9"/>
      <c r="F138" s="9"/>
      <c r="G138" s="9"/>
      <c r="H138" s="9"/>
      <c r="I138" s="9"/>
      <c r="J138" s="9"/>
      <c r="K138" s="9"/>
      <c r="L138" s="115"/>
      <c r="M138" s="115"/>
      <c r="N138" s="115"/>
      <c r="O138" s="115"/>
      <c r="P138" s="9"/>
      <c r="Q138" s="9"/>
      <c r="R138" s="9"/>
      <c r="S138" s="9"/>
      <c r="T138" s="9"/>
      <c r="U138" s="9"/>
      <c r="V138" s="9"/>
      <c r="W138" s="10"/>
      <c r="X138" s="10"/>
      <c r="Y138" s="10"/>
      <c r="Z138" s="10"/>
    </row>
    <row r="139">
      <c r="A139" s="9"/>
      <c r="B139" s="9"/>
      <c r="C139" s="9"/>
      <c r="D139" s="9"/>
      <c r="E139" s="9"/>
      <c r="F139" s="9"/>
      <c r="G139" s="9"/>
      <c r="H139" s="9"/>
      <c r="I139" s="9"/>
      <c r="J139" s="9"/>
      <c r="K139" s="9"/>
      <c r="L139" s="115"/>
      <c r="M139" s="115"/>
      <c r="N139" s="115"/>
      <c r="O139" s="115"/>
      <c r="P139" s="9"/>
      <c r="Q139" s="9"/>
      <c r="R139" s="9"/>
      <c r="S139" s="9"/>
      <c r="T139" s="9"/>
      <c r="U139" s="9"/>
      <c r="V139" s="9"/>
      <c r="W139" s="10"/>
      <c r="X139" s="10"/>
      <c r="Y139" s="10"/>
      <c r="Z139" s="10"/>
    </row>
    <row r="140">
      <c r="A140" s="9"/>
      <c r="B140" s="9"/>
      <c r="C140" s="9"/>
      <c r="D140" s="9"/>
      <c r="E140" s="9"/>
      <c r="F140" s="9"/>
      <c r="G140" s="9"/>
      <c r="H140" s="9"/>
      <c r="I140" s="9"/>
      <c r="J140" s="9"/>
      <c r="K140" s="9"/>
      <c r="L140" s="115"/>
      <c r="M140" s="115"/>
      <c r="N140" s="115"/>
      <c r="O140" s="115"/>
      <c r="P140" s="9"/>
      <c r="Q140" s="9"/>
      <c r="R140" s="9"/>
      <c r="S140" s="9"/>
      <c r="T140" s="9"/>
      <c r="U140" s="9"/>
      <c r="V140" s="9"/>
      <c r="W140" s="10"/>
      <c r="X140" s="10"/>
      <c r="Y140" s="10"/>
      <c r="Z140" s="10"/>
    </row>
    <row r="141">
      <c r="A141" s="9"/>
      <c r="B141" s="9"/>
      <c r="C141" s="9"/>
      <c r="D141" s="9"/>
      <c r="E141" s="9"/>
      <c r="F141" s="9"/>
      <c r="G141" s="9"/>
      <c r="H141" s="9"/>
      <c r="I141" s="9"/>
      <c r="J141" s="9"/>
      <c r="K141" s="9"/>
      <c r="L141" s="115"/>
      <c r="M141" s="115"/>
      <c r="N141" s="115"/>
      <c r="O141" s="115"/>
      <c r="P141" s="9"/>
      <c r="Q141" s="9"/>
      <c r="R141" s="9"/>
      <c r="S141" s="9"/>
      <c r="T141" s="9"/>
      <c r="U141" s="9"/>
      <c r="V141" s="9"/>
      <c r="W141" s="10"/>
      <c r="X141" s="10"/>
      <c r="Y141" s="10"/>
      <c r="Z141" s="10"/>
    </row>
    <row r="142">
      <c r="A142" s="9"/>
      <c r="B142" s="9"/>
      <c r="C142" s="9"/>
      <c r="D142" s="9"/>
      <c r="E142" s="9"/>
      <c r="F142" s="9"/>
      <c r="G142" s="9"/>
      <c r="H142" s="9"/>
      <c r="I142" s="9"/>
      <c r="J142" s="9"/>
      <c r="K142" s="9"/>
      <c r="L142" s="115"/>
      <c r="M142" s="115"/>
      <c r="N142" s="115"/>
      <c r="O142" s="115"/>
      <c r="P142" s="9"/>
      <c r="Q142" s="9"/>
      <c r="R142" s="9"/>
      <c r="S142" s="9"/>
      <c r="T142" s="9"/>
      <c r="U142" s="9"/>
      <c r="V142" s="9"/>
      <c r="W142" s="10"/>
      <c r="X142" s="10"/>
      <c r="Y142" s="10"/>
      <c r="Z142" s="10"/>
    </row>
    <row r="143">
      <c r="A143" s="9"/>
      <c r="B143" s="9"/>
      <c r="C143" s="9"/>
      <c r="D143" s="9"/>
      <c r="E143" s="9"/>
      <c r="F143" s="9"/>
      <c r="G143" s="9"/>
      <c r="H143" s="9"/>
      <c r="I143" s="9"/>
      <c r="J143" s="9"/>
      <c r="K143" s="9"/>
      <c r="L143" s="115"/>
      <c r="M143" s="115"/>
      <c r="N143" s="115"/>
      <c r="O143" s="115"/>
      <c r="P143" s="9"/>
      <c r="Q143" s="9"/>
      <c r="R143" s="9"/>
      <c r="S143" s="9"/>
      <c r="T143" s="9"/>
      <c r="U143" s="9"/>
      <c r="V143" s="9"/>
      <c r="W143" s="10"/>
      <c r="X143" s="10"/>
      <c r="Y143" s="10"/>
      <c r="Z143" s="10"/>
    </row>
    <row r="144">
      <c r="A144" s="9"/>
      <c r="B144" s="9"/>
      <c r="C144" s="9"/>
      <c r="D144" s="9"/>
      <c r="E144" s="9"/>
      <c r="F144" s="9"/>
      <c r="G144" s="9"/>
      <c r="H144" s="9"/>
      <c r="I144" s="9"/>
      <c r="J144" s="9"/>
      <c r="K144" s="9"/>
      <c r="L144" s="115"/>
      <c r="M144" s="115"/>
      <c r="N144" s="115"/>
      <c r="O144" s="115"/>
      <c r="P144" s="9"/>
      <c r="Q144" s="9"/>
      <c r="R144" s="9"/>
      <c r="S144" s="9"/>
      <c r="T144" s="9"/>
      <c r="U144" s="9"/>
      <c r="V144" s="9"/>
      <c r="W144" s="10"/>
      <c r="X144" s="10"/>
      <c r="Y144" s="10"/>
      <c r="Z144" s="10"/>
    </row>
    <row r="145">
      <c r="A145" s="9"/>
      <c r="B145" s="9"/>
      <c r="C145" s="9"/>
      <c r="D145" s="9"/>
      <c r="E145" s="9"/>
      <c r="F145" s="9"/>
      <c r="G145" s="9"/>
      <c r="H145" s="9"/>
      <c r="I145" s="9"/>
      <c r="J145" s="9"/>
      <c r="K145" s="9"/>
      <c r="L145" s="115"/>
      <c r="M145" s="115"/>
      <c r="N145" s="115"/>
      <c r="O145" s="115"/>
      <c r="P145" s="9"/>
      <c r="Q145" s="9"/>
      <c r="R145" s="9"/>
      <c r="S145" s="9"/>
      <c r="T145" s="9"/>
      <c r="U145" s="9"/>
      <c r="V145" s="9"/>
      <c r="W145" s="10"/>
      <c r="X145" s="10"/>
      <c r="Y145" s="10"/>
      <c r="Z145" s="10"/>
    </row>
    <row r="146">
      <c r="A146" s="9"/>
      <c r="B146" s="9"/>
      <c r="C146" s="9"/>
      <c r="D146" s="9"/>
      <c r="E146" s="9"/>
      <c r="F146" s="9"/>
      <c r="G146" s="9"/>
      <c r="H146" s="9"/>
      <c r="I146" s="9"/>
      <c r="J146" s="9"/>
      <c r="K146" s="9"/>
      <c r="L146" s="115"/>
      <c r="M146" s="115"/>
      <c r="N146" s="115"/>
      <c r="O146" s="115"/>
      <c r="P146" s="9"/>
      <c r="Q146" s="9"/>
      <c r="R146" s="9"/>
      <c r="S146" s="9"/>
      <c r="T146" s="9"/>
      <c r="U146" s="9"/>
      <c r="V146" s="9"/>
      <c r="W146" s="10"/>
      <c r="X146" s="10"/>
      <c r="Y146" s="10"/>
      <c r="Z146" s="10"/>
    </row>
    <row r="147">
      <c r="A147" s="9"/>
      <c r="B147" s="9"/>
      <c r="C147" s="9"/>
      <c r="D147" s="9"/>
      <c r="E147" s="9"/>
      <c r="F147" s="9"/>
      <c r="G147" s="9"/>
      <c r="H147" s="9"/>
      <c r="I147" s="9"/>
      <c r="J147" s="9"/>
      <c r="K147" s="9"/>
      <c r="L147" s="115"/>
      <c r="M147" s="115"/>
      <c r="N147" s="115"/>
      <c r="O147" s="115"/>
      <c r="P147" s="9"/>
      <c r="Q147" s="9"/>
      <c r="R147" s="9"/>
      <c r="S147" s="9"/>
      <c r="T147" s="9"/>
      <c r="U147" s="9"/>
      <c r="V147" s="9"/>
      <c r="W147" s="10"/>
      <c r="X147" s="10"/>
      <c r="Y147" s="10"/>
      <c r="Z147" s="10"/>
    </row>
    <row r="148">
      <c r="A148" s="9"/>
      <c r="B148" s="9"/>
      <c r="C148" s="9"/>
      <c r="D148" s="9"/>
      <c r="E148" s="9"/>
      <c r="F148" s="9"/>
      <c r="G148" s="9"/>
      <c r="H148" s="9"/>
      <c r="I148" s="9"/>
      <c r="J148" s="9"/>
      <c r="K148" s="9"/>
      <c r="L148" s="115"/>
      <c r="M148" s="115"/>
      <c r="N148" s="115"/>
      <c r="O148" s="115"/>
      <c r="P148" s="9"/>
      <c r="Q148" s="9"/>
      <c r="R148" s="9"/>
      <c r="S148" s="9"/>
      <c r="T148" s="9"/>
      <c r="U148" s="9"/>
      <c r="V148" s="9"/>
      <c r="W148" s="10"/>
      <c r="X148" s="10"/>
      <c r="Y148" s="10"/>
      <c r="Z148" s="10"/>
    </row>
    <row r="149">
      <c r="A149" s="9"/>
      <c r="B149" s="9"/>
      <c r="C149" s="9"/>
      <c r="D149" s="9"/>
      <c r="E149" s="9"/>
      <c r="F149" s="9"/>
      <c r="G149" s="9"/>
      <c r="H149" s="9"/>
      <c r="I149" s="9"/>
      <c r="J149" s="9"/>
      <c r="K149" s="9"/>
      <c r="L149" s="115"/>
      <c r="M149" s="115"/>
      <c r="N149" s="115"/>
      <c r="O149" s="115"/>
      <c r="P149" s="9"/>
      <c r="Q149" s="9"/>
      <c r="R149" s="9"/>
      <c r="S149" s="9"/>
      <c r="T149" s="9"/>
      <c r="U149" s="9"/>
      <c r="V149" s="9"/>
      <c r="W149" s="10"/>
      <c r="X149" s="10"/>
      <c r="Y149" s="10"/>
      <c r="Z149" s="10"/>
    </row>
    <row r="150">
      <c r="A150" s="9"/>
      <c r="B150" s="9"/>
      <c r="C150" s="9"/>
      <c r="D150" s="9"/>
      <c r="E150" s="9"/>
      <c r="F150" s="9"/>
      <c r="G150" s="9"/>
      <c r="H150" s="9"/>
      <c r="I150" s="9"/>
      <c r="J150" s="9"/>
      <c r="K150" s="9"/>
      <c r="L150" s="115"/>
      <c r="M150" s="115"/>
      <c r="N150" s="115"/>
      <c r="O150" s="115"/>
      <c r="P150" s="9"/>
      <c r="Q150" s="9"/>
      <c r="R150" s="9"/>
      <c r="S150" s="9"/>
      <c r="T150" s="9"/>
      <c r="U150" s="9"/>
      <c r="V150" s="9"/>
      <c r="W150" s="10"/>
      <c r="X150" s="10"/>
      <c r="Y150" s="10"/>
      <c r="Z150" s="10"/>
    </row>
    <row r="151">
      <c r="A151" s="9"/>
      <c r="B151" s="9"/>
      <c r="C151" s="9"/>
      <c r="D151" s="9"/>
      <c r="E151" s="9"/>
      <c r="F151" s="9"/>
      <c r="G151" s="9"/>
      <c r="H151" s="9"/>
      <c r="I151" s="9"/>
      <c r="J151" s="9"/>
      <c r="K151" s="9"/>
      <c r="L151" s="115"/>
      <c r="M151" s="115"/>
      <c r="N151" s="115"/>
      <c r="O151" s="115"/>
      <c r="P151" s="9"/>
      <c r="Q151" s="9"/>
      <c r="R151" s="9"/>
      <c r="S151" s="9"/>
      <c r="T151" s="9"/>
      <c r="U151" s="9"/>
      <c r="V151" s="9"/>
      <c r="W151" s="10"/>
      <c r="X151" s="10"/>
      <c r="Y151" s="10"/>
      <c r="Z151" s="10"/>
    </row>
    <row r="152">
      <c r="A152" s="9"/>
      <c r="B152" s="9"/>
      <c r="C152" s="9"/>
      <c r="D152" s="9"/>
      <c r="E152" s="9"/>
      <c r="F152" s="9"/>
      <c r="G152" s="9"/>
      <c r="H152" s="9"/>
      <c r="I152" s="9"/>
      <c r="J152" s="9"/>
      <c r="K152" s="9"/>
      <c r="L152" s="115"/>
      <c r="M152" s="115"/>
      <c r="N152" s="115"/>
      <c r="O152" s="115"/>
      <c r="P152" s="9"/>
      <c r="Q152" s="9"/>
      <c r="R152" s="9"/>
      <c r="S152" s="9"/>
      <c r="T152" s="9"/>
      <c r="U152" s="9"/>
      <c r="V152" s="9"/>
      <c r="W152" s="10"/>
      <c r="X152" s="10"/>
      <c r="Y152" s="10"/>
      <c r="Z152" s="10"/>
    </row>
    <row r="153">
      <c r="A153" s="9"/>
      <c r="B153" s="9"/>
      <c r="C153" s="9"/>
      <c r="D153" s="9"/>
      <c r="E153" s="9"/>
      <c r="F153" s="9"/>
      <c r="G153" s="9"/>
      <c r="H153" s="9"/>
      <c r="I153" s="9"/>
      <c r="J153" s="9"/>
      <c r="K153" s="9"/>
      <c r="L153" s="115"/>
      <c r="M153" s="115"/>
      <c r="N153" s="115"/>
      <c r="O153" s="115"/>
      <c r="P153" s="9"/>
      <c r="Q153" s="9"/>
      <c r="R153" s="9"/>
      <c r="S153" s="9"/>
      <c r="T153" s="9"/>
      <c r="U153" s="9"/>
      <c r="V153" s="9"/>
      <c r="W153" s="10"/>
      <c r="X153" s="10"/>
      <c r="Y153" s="10"/>
      <c r="Z153" s="10"/>
    </row>
    <row r="154">
      <c r="A154" s="9"/>
      <c r="B154" s="9"/>
      <c r="C154" s="9"/>
      <c r="D154" s="9"/>
      <c r="E154" s="9"/>
      <c r="F154" s="9"/>
      <c r="G154" s="9"/>
      <c r="H154" s="9"/>
      <c r="I154" s="9"/>
      <c r="J154" s="9"/>
      <c r="K154" s="9"/>
      <c r="L154" s="115"/>
      <c r="M154" s="115"/>
      <c r="N154" s="115"/>
      <c r="O154" s="115"/>
      <c r="P154" s="9"/>
      <c r="Q154" s="9"/>
      <c r="R154" s="9"/>
      <c r="S154" s="9"/>
      <c r="T154" s="9"/>
      <c r="U154" s="9"/>
      <c r="V154" s="9"/>
      <c r="W154" s="10"/>
      <c r="X154" s="10"/>
      <c r="Y154" s="10"/>
      <c r="Z154" s="10"/>
    </row>
    <row r="155">
      <c r="A155" s="9"/>
      <c r="B155" s="9"/>
      <c r="C155" s="9"/>
      <c r="D155" s="9"/>
      <c r="E155" s="9"/>
      <c r="F155" s="9"/>
      <c r="G155" s="9"/>
      <c r="H155" s="9"/>
      <c r="I155" s="9"/>
      <c r="J155" s="9"/>
      <c r="K155" s="9"/>
      <c r="L155" s="115"/>
      <c r="M155" s="115"/>
      <c r="N155" s="115"/>
      <c r="O155" s="115"/>
      <c r="P155" s="9"/>
      <c r="Q155" s="9"/>
      <c r="R155" s="9"/>
      <c r="S155" s="9"/>
      <c r="T155" s="9"/>
      <c r="U155" s="9"/>
      <c r="V155" s="9"/>
      <c r="W155" s="10"/>
      <c r="X155" s="10"/>
      <c r="Y155" s="10"/>
      <c r="Z155" s="10"/>
    </row>
    <row r="156">
      <c r="A156" s="9"/>
      <c r="B156" s="9"/>
      <c r="C156" s="9"/>
      <c r="D156" s="9"/>
      <c r="E156" s="9"/>
      <c r="F156" s="9"/>
      <c r="G156" s="9"/>
      <c r="H156" s="9"/>
      <c r="I156" s="9"/>
      <c r="J156" s="9"/>
      <c r="K156" s="9"/>
      <c r="L156" s="115"/>
      <c r="M156" s="115"/>
      <c r="N156" s="115"/>
      <c r="O156" s="115"/>
      <c r="P156" s="9"/>
      <c r="Q156" s="9"/>
      <c r="R156" s="9"/>
      <c r="S156" s="9"/>
      <c r="T156" s="9"/>
      <c r="U156" s="9"/>
      <c r="V156" s="9"/>
      <c r="W156" s="10"/>
      <c r="X156" s="10"/>
      <c r="Y156" s="10"/>
      <c r="Z156" s="10"/>
    </row>
    <row r="157">
      <c r="A157" s="9"/>
      <c r="B157" s="9"/>
      <c r="C157" s="9"/>
      <c r="D157" s="9"/>
      <c r="E157" s="9"/>
      <c r="F157" s="9"/>
      <c r="G157" s="9"/>
      <c r="H157" s="9"/>
      <c r="I157" s="9"/>
      <c r="J157" s="9"/>
      <c r="K157" s="9"/>
      <c r="L157" s="115"/>
      <c r="M157" s="115"/>
      <c r="N157" s="115"/>
      <c r="O157" s="115"/>
      <c r="P157" s="9"/>
      <c r="Q157" s="9"/>
      <c r="R157" s="9"/>
      <c r="S157" s="9"/>
      <c r="T157" s="9"/>
      <c r="U157" s="9"/>
      <c r="V157" s="9"/>
      <c r="W157" s="10"/>
      <c r="X157" s="10"/>
      <c r="Y157" s="10"/>
      <c r="Z157" s="10"/>
    </row>
    <row r="158">
      <c r="A158" s="9"/>
      <c r="B158" s="9"/>
      <c r="C158" s="9"/>
      <c r="D158" s="9"/>
      <c r="E158" s="9"/>
      <c r="F158" s="9"/>
      <c r="G158" s="9"/>
      <c r="H158" s="9"/>
      <c r="I158" s="9"/>
      <c r="J158" s="9"/>
      <c r="K158" s="9"/>
      <c r="L158" s="115"/>
      <c r="M158" s="115"/>
      <c r="N158" s="115"/>
      <c r="O158" s="115"/>
      <c r="P158" s="9"/>
      <c r="Q158" s="9"/>
      <c r="R158" s="9"/>
      <c r="S158" s="9"/>
      <c r="T158" s="9"/>
      <c r="U158" s="9"/>
      <c r="V158" s="9"/>
      <c r="W158" s="10"/>
      <c r="X158" s="10"/>
      <c r="Y158" s="10"/>
      <c r="Z158" s="10"/>
    </row>
    <row r="159">
      <c r="A159" s="9"/>
      <c r="B159" s="9"/>
      <c r="C159" s="9"/>
      <c r="D159" s="9"/>
      <c r="E159" s="9"/>
      <c r="F159" s="9"/>
      <c r="G159" s="9"/>
      <c r="H159" s="9"/>
      <c r="I159" s="9"/>
      <c r="J159" s="9"/>
      <c r="K159" s="9"/>
      <c r="L159" s="115"/>
      <c r="M159" s="115"/>
      <c r="N159" s="115"/>
      <c r="O159" s="115"/>
      <c r="P159" s="9"/>
      <c r="Q159" s="9"/>
      <c r="R159" s="9"/>
      <c r="S159" s="9"/>
      <c r="T159" s="9"/>
      <c r="U159" s="9"/>
      <c r="V159" s="9"/>
      <c r="W159" s="10"/>
      <c r="X159" s="10"/>
      <c r="Y159" s="10"/>
      <c r="Z159" s="10"/>
    </row>
    <row r="160">
      <c r="A160" s="9"/>
      <c r="B160" s="9"/>
      <c r="C160" s="9"/>
      <c r="D160" s="9"/>
      <c r="E160" s="9"/>
      <c r="F160" s="9"/>
      <c r="G160" s="9"/>
      <c r="H160" s="9"/>
      <c r="I160" s="9"/>
      <c r="J160" s="9"/>
      <c r="K160" s="9"/>
      <c r="L160" s="115"/>
      <c r="M160" s="115"/>
      <c r="N160" s="115"/>
      <c r="O160" s="115"/>
      <c r="P160" s="9"/>
      <c r="Q160" s="9"/>
      <c r="R160" s="9"/>
      <c r="S160" s="9"/>
      <c r="T160" s="9"/>
      <c r="U160" s="9"/>
      <c r="V160" s="9"/>
      <c r="W160" s="10"/>
      <c r="X160" s="10"/>
      <c r="Y160" s="10"/>
      <c r="Z160" s="10"/>
    </row>
    <row r="161">
      <c r="A161" s="9"/>
      <c r="B161" s="9"/>
      <c r="C161" s="9"/>
      <c r="D161" s="9"/>
      <c r="E161" s="9"/>
      <c r="F161" s="9"/>
      <c r="G161" s="9"/>
      <c r="H161" s="9"/>
      <c r="I161" s="9"/>
      <c r="J161" s="9"/>
      <c r="K161" s="9"/>
      <c r="L161" s="115"/>
      <c r="M161" s="115"/>
      <c r="N161" s="115"/>
      <c r="O161" s="115"/>
      <c r="P161" s="9"/>
      <c r="Q161" s="9"/>
      <c r="R161" s="9"/>
      <c r="S161" s="9"/>
      <c r="T161" s="9"/>
      <c r="U161" s="9"/>
      <c r="V161" s="9"/>
      <c r="W161" s="10"/>
      <c r="X161" s="10"/>
      <c r="Y161" s="10"/>
      <c r="Z161" s="10"/>
    </row>
    <row r="162">
      <c r="A162" s="9"/>
      <c r="B162" s="9"/>
      <c r="C162" s="9"/>
      <c r="D162" s="9"/>
      <c r="E162" s="9"/>
      <c r="F162" s="9"/>
      <c r="G162" s="9"/>
      <c r="H162" s="9"/>
      <c r="I162" s="9"/>
      <c r="J162" s="9"/>
      <c r="K162" s="9"/>
      <c r="L162" s="115"/>
      <c r="M162" s="115"/>
      <c r="N162" s="115"/>
      <c r="O162" s="115"/>
      <c r="P162" s="9"/>
      <c r="Q162" s="9"/>
      <c r="R162" s="9"/>
      <c r="S162" s="9"/>
      <c r="T162" s="9"/>
      <c r="U162" s="9"/>
      <c r="V162" s="9"/>
      <c r="W162" s="10"/>
      <c r="X162" s="10"/>
      <c r="Y162" s="10"/>
      <c r="Z162" s="10"/>
    </row>
    <row r="163">
      <c r="A163" s="9"/>
      <c r="B163" s="9"/>
      <c r="C163" s="9"/>
      <c r="D163" s="9"/>
      <c r="E163" s="9"/>
      <c r="F163" s="9"/>
      <c r="G163" s="9"/>
      <c r="H163" s="9"/>
      <c r="I163" s="9"/>
      <c r="J163" s="9"/>
      <c r="K163" s="9"/>
      <c r="L163" s="115"/>
      <c r="M163" s="115"/>
      <c r="N163" s="115"/>
      <c r="O163" s="115"/>
      <c r="P163" s="9"/>
      <c r="Q163" s="9"/>
      <c r="R163" s="9"/>
      <c r="S163" s="9"/>
      <c r="T163" s="9"/>
      <c r="U163" s="9"/>
      <c r="V163" s="9"/>
      <c r="W163" s="10"/>
      <c r="X163" s="10"/>
      <c r="Y163" s="10"/>
      <c r="Z163" s="10"/>
    </row>
    <row r="164">
      <c r="A164" s="9"/>
      <c r="B164" s="9"/>
      <c r="C164" s="9"/>
      <c r="D164" s="9"/>
      <c r="E164" s="9"/>
      <c r="F164" s="9"/>
      <c r="G164" s="9"/>
      <c r="H164" s="9"/>
      <c r="I164" s="9"/>
      <c r="J164" s="9"/>
      <c r="K164" s="9"/>
      <c r="L164" s="115"/>
      <c r="M164" s="115"/>
      <c r="N164" s="115"/>
      <c r="O164" s="115"/>
      <c r="P164" s="9"/>
      <c r="Q164" s="9"/>
      <c r="R164" s="9"/>
      <c r="S164" s="9"/>
      <c r="T164" s="9"/>
      <c r="U164" s="9"/>
      <c r="V164" s="9"/>
      <c r="W164" s="10"/>
      <c r="X164" s="10"/>
      <c r="Y164" s="10"/>
      <c r="Z164" s="10"/>
    </row>
    <row r="165">
      <c r="A165" s="9"/>
      <c r="B165" s="9"/>
      <c r="C165" s="9"/>
      <c r="D165" s="9"/>
      <c r="E165" s="9"/>
      <c r="F165" s="9"/>
      <c r="G165" s="9"/>
      <c r="H165" s="9"/>
      <c r="I165" s="9"/>
      <c r="J165" s="9"/>
      <c r="K165" s="9"/>
      <c r="L165" s="115"/>
      <c r="M165" s="115"/>
      <c r="N165" s="115"/>
      <c r="O165" s="115"/>
      <c r="P165" s="9"/>
      <c r="Q165" s="9"/>
      <c r="R165" s="9"/>
      <c r="S165" s="9"/>
      <c r="T165" s="9"/>
      <c r="U165" s="9"/>
      <c r="V165" s="9"/>
      <c r="W165" s="10"/>
      <c r="X165" s="10"/>
      <c r="Y165" s="10"/>
      <c r="Z165" s="10"/>
    </row>
    <row r="166">
      <c r="A166" s="9"/>
      <c r="B166" s="9"/>
      <c r="C166" s="9"/>
      <c r="D166" s="9"/>
      <c r="E166" s="9"/>
      <c r="F166" s="9"/>
      <c r="G166" s="9"/>
      <c r="H166" s="9"/>
      <c r="I166" s="9"/>
      <c r="J166" s="9"/>
      <c r="K166" s="9"/>
      <c r="L166" s="115"/>
      <c r="M166" s="115"/>
      <c r="N166" s="115"/>
      <c r="O166" s="115"/>
      <c r="P166" s="9"/>
      <c r="Q166" s="9"/>
      <c r="R166" s="9"/>
      <c r="S166" s="9"/>
      <c r="T166" s="9"/>
      <c r="U166" s="9"/>
      <c r="V166" s="9"/>
      <c r="W166" s="10"/>
      <c r="X166" s="10"/>
      <c r="Y166" s="10"/>
      <c r="Z166" s="10"/>
    </row>
    <row r="167">
      <c r="A167" s="9"/>
      <c r="B167" s="9"/>
      <c r="C167" s="9"/>
      <c r="D167" s="9"/>
      <c r="E167" s="9"/>
      <c r="F167" s="9"/>
      <c r="G167" s="9"/>
      <c r="H167" s="9"/>
      <c r="I167" s="9"/>
      <c r="J167" s="9"/>
      <c r="K167" s="9"/>
      <c r="L167" s="115"/>
      <c r="M167" s="115"/>
      <c r="N167" s="115"/>
      <c r="O167" s="115"/>
      <c r="P167" s="9"/>
      <c r="Q167" s="9"/>
      <c r="R167" s="9"/>
      <c r="S167" s="9"/>
      <c r="T167" s="9"/>
      <c r="U167" s="9"/>
      <c r="V167" s="9"/>
      <c r="W167" s="10"/>
      <c r="X167" s="10"/>
      <c r="Y167" s="10"/>
      <c r="Z167" s="10"/>
    </row>
    <row r="168">
      <c r="A168" s="9"/>
      <c r="B168" s="9"/>
      <c r="C168" s="9"/>
      <c r="D168" s="9"/>
      <c r="E168" s="9"/>
      <c r="F168" s="9"/>
      <c r="G168" s="9"/>
      <c r="H168" s="9"/>
      <c r="I168" s="9"/>
      <c r="J168" s="9"/>
      <c r="K168" s="9"/>
      <c r="L168" s="115"/>
      <c r="M168" s="115"/>
      <c r="N168" s="115"/>
      <c r="O168" s="115"/>
      <c r="P168" s="9"/>
      <c r="Q168" s="9"/>
      <c r="R168" s="9"/>
      <c r="S168" s="9"/>
      <c r="T168" s="9"/>
      <c r="U168" s="9"/>
      <c r="V168" s="9"/>
      <c r="W168" s="10"/>
      <c r="X168" s="10"/>
      <c r="Y168" s="10"/>
      <c r="Z168" s="10"/>
    </row>
    <row r="169">
      <c r="A169" s="9"/>
      <c r="B169" s="9"/>
      <c r="C169" s="9"/>
      <c r="D169" s="9"/>
      <c r="E169" s="9"/>
      <c r="F169" s="9"/>
      <c r="G169" s="9"/>
      <c r="H169" s="9"/>
      <c r="I169" s="9"/>
      <c r="J169" s="9"/>
      <c r="K169" s="9"/>
      <c r="L169" s="115"/>
      <c r="M169" s="115"/>
      <c r="N169" s="115"/>
      <c r="O169" s="115"/>
      <c r="P169" s="9"/>
      <c r="Q169" s="9"/>
      <c r="R169" s="9"/>
      <c r="S169" s="9"/>
      <c r="T169" s="9"/>
      <c r="U169" s="9"/>
      <c r="V169" s="9"/>
      <c r="W169" s="10"/>
      <c r="X169" s="10"/>
      <c r="Y169" s="10"/>
      <c r="Z169" s="10"/>
    </row>
    <row r="170">
      <c r="A170" s="9"/>
      <c r="B170" s="9"/>
      <c r="C170" s="9"/>
      <c r="D170" s="9"/>
      <c r="E170" s="9"/>
      <c r="F170" s="9"/>
      <c r="G170" s="9"/>
      <c r="H170" s="9"/>
      <c r="I170" s="9"/>
      <c r="J170" s="9"/>
      <c r="K170" s="9"/>
      <c r="L170" s="115"/>
      <c r="M170" s="115"/>
      <c r="N170" s="115"/>
      <c r="O170" s="115"/>
      <c r="P170" s="9"/>
      <c r="Q170" s="9"/>
      <c r="R170" s="9"/>
      <c r="S170" s="9"/>
      <c r="T170" s="9"/>
      <c r="U170" s="9"/>
      <c r="V170" s="9"/>
      <c r="W170" s="10"/>
      <c r="X170" s="10"/>
      <c r="Y170" s="10"/>
      <c r="Z170" s="10"/>
    </row>
    <row r="171">
      <c r="A171" s="9"/>
      <c r="B171" s="9"/>
      <c r="C171" s="9"/>
      <c r="D171" s="9"/>
      <c r="E171" s="9"/>
      <c r="F171" s="9"/>
      <c r="G171" s="9"/>
      <c r="H171" s="9"/>
      <c r="I171" s="9"/>
      <c r="J171" s="9"/>
      <c r="K171" s="9"/>
      <c r="L171" s="115"/>
      <c r="M171" s="115"/>
      <c r="N171" s="115"/>
      <c r="O171" s="115"/>
      <c r="P171" s="9"/>
      <c r="Q171" s="9"/>
      <c r="R171" s="9"/>
      <c r="S171" s="9"/>
      <c r="T171" s="9"/>
      <c r="U171" s="9"/>
      <c r="V171" s="9"/>
      <c r="W171" s="10"/>
      <c r="X171" s="10"/>
      <c r="Y171" s="10"/>
      <c r="Z171" s="10"/>
    </row>
    <row r="172">
      <c r="A172" s="9"/>
      <c r="B172" s="9"/>
      <c r="C172" s="9"/>
      <c r="D172" s="9"/>
      <c r="E172" s="9"/>
      <c r="F172" s="9"/>
      <c r="G172" s="9"/>
      <c r="H172" s="9"/>
      <c r="I172" s="9"/>
      <c r="J172" s="9"/>
      <c r="K172" s="9"/>
      <c r="L172" s="115"/>
      <c r="M172" s="115"/>
      <c r="N172" s="115"/>
      <c r="O172" s="115"/>
      <c r="P172" s="9"/>
      <c r="Q172" s="9"/>
      <c r="R172" s="9"/>
      <c r="S172" s="9"/>
      <c r="T172" s="9"/>
      <c r="U172" s="9"/>
      <c r="V172" s="9"/>
      <c r="W172" s="10"/>
      <c r="X172" s="10"/>
      <c r="Y172" s="10"/>
      <c r="Z172" s="10"/>
    </row>
    <row r="173">
      <c r="A173" s="9"/>
      <c r="B173" s="9"/>
      <c r="C173" s="9"/>
      <c r="D173" s="9"/>
      <c r="E173" s="9"/>
      <c r="F173" s="9"/>
      <c r="G173" s="9"/>
      <c r="H173" s="9"/>
      <c r="I173" s="9"/>
      <c r="J173" s="9"/>
      <c r="K173" s="9"/>
      <c r="L173" s="115"/>
      <c r="M173" s="115"/>
      <c r="N173" s="115"/>
      <c r="O173" s="115"/>
      <c r="P173" s="9"/>
      <c r="Q173" s="9"/>
      <c r="R173" s="9"/>
      <c r="S173" s="9"/>
      <c r="T173" s="9"/>
      <c r="U173" s="9"/>
      <c r="V173" s="9"/>
      <c r="W173" s="10"/>
      <c r="X173" s="10"/>
      <c r="Y173" s="10"/>
      <c r="Z173" s="10"/>
    </row>
    <row r="174">
      <c r="A174" s="9"/>
      <c r="B174" s="9"/>
      <c r="C174" s="9"/>
      <c r="D174" s="9"/>
      <c r="E174" s="9"/>
      <c r="F174" s="9"/>
      <c r="G174" s="9"/>
      <c r="H174" s="9"/>
      <c r="I174" s="9"/>
      <c r="J174" s="9"/>
      <c r="K174" s="9"/>
      <c r="L174" s="115"/>
      <c r="M174" s="115"/>
      <c r="N174" s="115"/>
      <c r="O174" s="115"/>
      <c r="P174" s="9"/>
      <c r="Q174" s="9"/>
      <c r="R174" s="9"/>
      <c r="S174" s="9"/>
      <c r="T174" s="9"/>
      <c r="U174" s="9"/>
      <c r="V174" s="9"/>
      <c r="W174" s="10"/>
      <c r="X174" s="10"/>
      <c r="Y174" s="10"/>
      <c r="Z174" s="10"/>
    </row>
    <row r="175">
      <c r="A175" s="9"/>
      <c r="B175" s="9"/>
      <c r="C175" s="9"/>
      <c r="D175" s="9"/>
      <c r="E175" s="9"/>
      <c r="F175" s="9"/>
      <c r="G175" s="9"/>
      <c r="H175" s="9"/>
      <c r="I175" s="9"/>
      <c r="J175" s="9"/>
      <c r="K175" s="9"/>
      <c r="L175" s="115"/>
      <c r="M175" s="115"/>
      <c r="N175" s="115"/>
      <c r="O175" s="115"/>
      <c r="P175" s="9"/>
      <c r="Q175" s="9"/>
      <c r="R175" s="9"/>
      <c r="S175" s="9"/>
      <c r="T175" s="9"/>
      <c r="U175" s="9"/>
      <c r="V175" s="9"/>
      <c r="W175" s="10"/>
      <c r="X175" s="10"/>
      <c r="Y175" s="10"/>
      <c r="Z175" s="10"/>
    </row>
    <row r="176">
      <c r="A176" s="9"/>
      <c r="B176" s="9"/>
      <c r="C176" s="9"/>
      <c r="D176" s="9"/>
      <c r="E176" s="9"/>
      <c r="F176" s="9"/>
      <c r="G176" s="9"/>
      <c r="H176" s="9"/>
      <c r="I176" s="9"/>
      <c r="J176" s="9"/>
      <c r="K176" s="9"/>
      <c r="L176" s="115"/>
      <c r="M176" s="115"/>
      <c r="N176" s="115"/>
      <c r="O176" s="115"/>
      <c r="P176" s="9"/>
      <c r="Q176" s="9"/>
      <c r="R176" s="9"/>
      <c r="S176" s="9"/>
      <c r="T176" s="9"/>
      <c r="U176" s="9"/>
      <c r="V176" s="9"/>
      <c r="W176" s="10"/>
      <c r="X176" s="10"/>
      <c r="Y176" s="10"/>
      <c r="Z176" s="10"/>
    </row>
    <row r="177">
      <c r="A177" s="9"/>
      <c r="B177" s="9"/>
      <c r="C177" s="9"/>
      <c r="D177" s="9"/>
      <c r="E177" s="9"/>
      <c r="F177" s="9"/>
      <c r="G177" s="9"/>
      <c r="H177" s="9"/>
      <c r="I177" s="9"/>
      <c r="J177" s="9"/>
      <c r="K177" s="9"/>
      <c r="L177" s="115"/>
      <c r="M177" s="115"/>
      <c r="N177" s="115"/>
      <c r="O177" s="115"/>
      <c r="P177" s="9"/>
      <c r="Q177" s="9"/>
      <c r="R177" s="9"/>
      <c r="S177" s="9"/>
      <c r="T177" s="9"/>
      <c r="U177" s="9"/>
      <c r="V177" s="9"/>
      <c r="W177" s="10"/>
      <c r="X177" s="10"/>
      <c r="Y177" s="10"/>
      <c r="Z177" s="10"/>
    </row>
    <row r="178">
      <c r="A178" s="9"/>
      <c r="B178" s="9"/>
      <c r="C178" s="9"/>
      <c r="D178" s="9"/>
      <c r="E178" s="9"/>
      <c r="F178" s="9"/>
      <c r="G178" s="9"/>
      <c r="H178" s="9"/>
      <c r="I178" s="9"/>
      <c r="J178" s="9"/>
      <c r="K178" s="9"/>
      <c r="L178" s="115"/>
      <c r="M178" s="115"/>
      <c r="N178" s="115"/>
      <c r="O178" s="115"/>
      <c r="P178" s="9"/>
      <c r="Q178" s="9"/>
      <c r="R178" s="9"/>
      <c r="S178" s="9"/>
      <c r="T178" s="9"/>
      <c r="U178" s="9"/>
      <c r="V178" s="9"/>
      <c r="W178" s="10"/>
      <c r="X178" s="10"/>
      <c r="Y178" s="10"/>
      <c r="Z178" s="10"/>
    </row>
    <row r="179">
      <c r="A179" s="9"/>
      <c r="B179" s="9"/>
      <c r="C179" s="9"/>
      <c r="D179" s="9"/>
      <c r="E179" s="9"/>
      <c r="F179" s="9"/>
      <c r="G179" s="9"/>
      <c r="H179" s="9"/>
      <c r="I179" s="9"/>
      <c r="J179" s="9"/>
      <c r="K179" s="9"/>
      <c r="L179" s="115"/>
      <c r="M179" s="115"/>
      <c r="N179" s="115"/>
      <c r="O179" s="115"/>
      <c r="P179" s="9"/>
      <c r="Q179" s="9"/>
      <c r="R179" s="9"/>
      <c r="S179" s="9"/>
      <c r="T179" s="9"/>
      <c r="U179" s="9"/>
      <c r="V179" s="9"/>
      <c r="W179" s="10"/>
      <c r="X179" s="10"/>
      <c r="Y179" s="10"/>
      <c r="Z179" s="10"/>
    </row>
    <row r="180">
      <c r="A180" s="9"/>
      <c r="B180" s="9"/>
      <c r="C180" s="9"/>
      <c r="D180" s="9"/>
      <c r="E180" s="9"/>
      <c r="F180" s="9"/>
      <c r="G180" s="9"/>
      <c r="H180" s="9"/>
      <c r="I180" s="9"/>
      <c r="J180" s="9"/>
      <c r="K180" s="9"/>
      <c r="L180" s="115"/>
      <c r="M180" s="115"/>
      <c r="N180" s="115"/>
      <c r="O180" s="115"/>
      <c r="P180" s="9"/>
      <c r="Q180" s="9"/>
      <c r="R180" s="9"/>
      <c r="S180" s="9"/>
      <c r="T180" s="9"/>
      <c r="U180" s="9"/>
      <c r="V180" s="9"/>
      <c r="W180" s="10"/>
      <c r="X180" s="10"/>
      <c r="Y180" s="10"/>
      <c r="Z180" s="10"/>
    </row>
    <row r="181">
      <c r="A181" s="9"/>
      <c r="B181" s="9"/>
      <c r="C181" s="9"/>
      <c r="D181" s="9"/>
      <c r="E181" s="9"/>
      <c r="F181" s="9"/>
      <c r="G181" s="9"/>
      <c r="H181" s="9"/>
      <c r="I181" s="9"/>
      <c r="J181" s="9"/>
      <c r="K181" s="9"/>
      <c r="L181" s="115"/>
      <c r="M181" s="115"/>
      <c r="N181" s="115"/>
      <c r="O181" s="115"/>
      <c r="P181" s="9"/>
      <c r="Q181" s="9"/>
      <c r="R181" s="9"/>
      <c r="S181" s="9"/>
      <c r="T181" s="9"/>
      <c r="U181" s="9"/>
      <c r="V181" s="9"/>
      <c r="W181" s="10"/>
      <c r="X181" s="10"/>
      <c r="Y181" s="10"/>
      <c r="Z181" s="10"/>
    </row>
    <row r="182">
      <c r="A182" s="9"/>
      <c r="B182" s="9"/>
      <c r="C182" s="9"/>
      <c r="D182" s="9"/>
      <c r="E182" s="9"/>
      <c r="F182" s="9"/>
      <c r="G182" s="9"/>
      <c r="H182" s="9"/>
      <c r="I182" s="9"/>
      <c r="J182" s="9"/>
      <c r="K182" s="9"/>
      <c r="L182" s="115"/>
      <c r="M182" s="115"/>
      <c r="N182" s="115"/>
      <c r="O182" s="115"/>
      <c r="P182" s="9"/>
      <c r="Q182" s="9"/>
      <c r="R182" s="9"/>
      <c r="S182" s="9"/>
      <c r="T182" s="9"/>
      <c r="U182" s="9"/>
      <c r="V182" s="9"/>
      <c r="W182" s="10"/>
      <c r="X182" s="10"/>
      <c r="Y182" s="10"/>
      <c r="Z182" s="10"/>
    </row>
    <row r="183">
      <c r="A183" s="9"/>
      <c r="B183" s="9"/>
      <c r="C183" s="9"/>
      <c r="D183" s="9"/>
      <c r="E183" s="9"/>
      <c r="F183" s="9"/>
      <c r="G183" s="9"/>
      <c r="H183" s="9"/>
      <c r="I183" s="9"/>
      <c r="J183" s="9"/>
      <c r="K183" s="9"/>
      <c r="L183" s="115"/>
      <c r="M183" s="115"/>
      <c r="N183" s="115"/>
      <c r="O183" s="115"/>
      <c r="P183" s="9"/>
      <c r="Q183" s="9"/>
      <c r="R183" s="9"/>
      <c r="S183" s="9"/>
      <c r="T183" s="9"/>
      <c r="U183" s="9"/>
      <c r="V183" s="9"/>
      <c r="W183" s="10"/>
      <c r="X183" s="10"/>
      <c r="Y183" s="10"/>
      <c r="Z183" s="10"/>
    </row>
    <row r="184">
      <c r="A184" s="9"/>
      <c r="B184" s="9"/>
      <c r="C184" s="9"/>
      <c r="D184" s="9"/>
      <c r="E184" s="9"/>
      <c r="F184" s="9"/>
      <c r="G184" s="9"/>
      <c r="H184" s="9"/>
      <c r="I184" s="9"/>
      <c r="J184" s="9"/>
      <c r="K184" s="9"/>
      <c r="L184" s="115"/>
      <c r="M184" s="115"/>
      <c r="N184" s="115"/>
      <c r="O184" s="115"/>
      <c r="P184" s="9"/>
      <c r="Q184" s="9"/>
      <c r="R184" s="9"/>
      <c r="S184" s="9"/>
      <c r="T184" s="9"/>
      <c r="U184" s="9"/>
      <c r="V184" s="9"/>
      <c r="W184" s="10"/>
      <c r="X184" s="10"/>
      <c r="Y184" s="10"/>
      <c r="Z184" s="10"/>
    </row>
    <row r="185">
      <c r="A185" s="9"/>
      <c r="B185" s="9"/>
      <c r="C185" s="9"/>
      <c r="D185" s="9"/>
      <c r="E185" s="9"/>
      <c r="F185" s="9"/>
      <c r="G185" s="9"/>
      <c r="H185" s="9"/>
      <c r="I185" s="9"/>
      <c r="J185" s="9"/>
      <c r="K185" s="9"/>
      <c r="L185" s="115"/>
      <c r="M185" s="115"/>
      <c r="N185" s="115"/>
      <c r="O185" s="115"/>
      <c r="P185" s="9"/>
      <c r="Q185" s="9"/>
      <c r="R185" s="9"/>
      <c r="S185" s="9"/>
      <c r="T185" s="9"/>
      <c r="U185" s="9"/>
      <c r="V185" s="9"/>
      <c r="W185" s="10"/>
      <c r="X185" s="10"/>
      <c r="Y185" s="10"/>
      <c r="Z185" s="10"/>
    </row>
    <row r="186">
      <c r="A186" s="9"/>
      <c r="B186" s="9"/>
      <c r="C186" s="9"/>
      <c r="D186" s="9"/>
      <c r="E186" s="9"/>
      <c r="F186" s="9"/>
      <c r="G186" s="9"/>
      <c r="H186" s="9"/>
      <c r="I186" s="9"/>
      <c r="J186" s="9"/>
      <c r="K186" s="9"/>
      <c r="L186" s="115"/>
      <c r="M186" s="115"/>
      <c r="N186" s="115"/>
      <c r="O186" s="115"/>
      <c r="P186" s="9"/>
      <c r="Q186" s="9"/>
      <c r="R186" s="9"/>
      <c r="S186" s="9"/>
      <c r="T186" s="9"/>
      <c r="U186" s="9"/>
      <c r="V186" s="9"/>
      <c r="W186" s="10"/>
      <c r="X186" s="10"/>
      <c r="Y186" s="10"/>
      <c r="Z186" s="10"/>
    </row>
    <row r="187">
      <c r="A187" s="9"/>
      <c r="B187" s="9"/>
      <c r="C187" s="9"/>
      <c r="D187" s="9"/>
      <c r="E187" s="9"/>
      <c r="F187" s="9"/>
      <c r="G187" s="9"/>
      <c r="H187" s="9"/>
      <c r="I187" s="9"/>
      <c r="J187" s="9"/>
      <c r="K187" s="9"/>
      <c r="L187" s="115"/>
      <c r="M187" s="115"/>
      <c r="N187" s="115"/>
      <c r="O187" s="115"/>
      <c r="P187" s="9"/>
      <c r="Q187" s="9"/>
      <c r="R187" s="9"/>
      <c r="S187" s="9"/>
      <c r="T187" s="9"/>
      <c r="U187" s="9"/>
      <c r="V187" s="9"/>
      <c r="W187" s="10"/>
      <c r="X187" s="10"/>
      <c r="Y187" s="10"/>
      <c r="Z187" s="10"/>
    </row>
    <row r="188">
      <c r="A188" s="9"/>
      <c r="B188" s="9"/>
      <c r="C188" s="9"/>
      <c r="D188" s="9"/>
      <c r="E188" s="9"/>
      <c r="F188" s="9"/>
      <c r="G188" s="9"/>
      <c r="H188" s="9"/>
      <c r="I188" s="9"/>
      <c r="J188" s="9"/>
      <c r="K188" s="9"/>
      <c r="L188" s="115"/>
      <c r="M188" s="115"/>
      <c r="N188" s="115"/>
      <c r="O188" s="115"/>
      <c r="P188" s="9"/>
      <c r="Q188" s="9"/>
      <c r="R188" s="9"/>
      <c r="S188" s="9"/>
      <c r="T188" s="9"/>
      <c r="U188" s="9"/>
      <c r="V188" s="9"/>
      <c r="W188" s="10"/>
      <c r="X188" s="10"/>
      <c r="Y188" s="10"/>
      <c r="Z188" s="10"/>
    </row>
    <row r="189">
      <c r="A189" s="9"/>
      <c r="B189" s="9"/>
      <c r="C189" s="9"/>
      <c r="D189" s="9"/>
      <c r="E189" s="9"/>
      <c r="F189" s="9"/>
      <c r="G189" s="9"/>
      <c r="H189" s="9"/>
      <c r="I189" s="9"/>
      <c r="J189" s="9"/>
      <c r="K189" s="9"/>
      <c r="L189" s="115"/>
      <c r="M189" s="115"/>
      <c r="N189" s="115"/>
      <c r="O189" s="115"/>
      <c r="P189" s="9"/>
      <c r="Q189" s="9"/>
      <c r="R189" s="9"/>
      <c r="S189" s="9"/>
      <c r="T189" s="9"/>
      <c r="U189" s="9"/>
      <c r="V189" s="9"/>
      <c r="W189" s="10"/>
      <c r="X189" s="10"/>
      <c r="Y189" s="10"/>
      <c r="Z189" s="10"/>
    </row>
    <row r="190">
      <c r="A190" s="9"/>
      <c r="B190" s="9"/>
      <c r="C190" s="9"/>
      <c r="D190" s="9"/>
      <c r="E190" s="9"/>
      <c r="F190" s="9"/>
      <c r="G190" s="9"/>
      <c r="H190" s="9"/>
      <c r="I190" s="9"/>
      <c r="J190" s="9"/>
      <c r="K190" s="9"/>
      <c r="L190" s="115"/>
      <c r="M190" s="115"/>
      <c r="N190" s="115"/>
      <c r="O190" s="115"/>
      <c r="P190" s="9"/>
      <c r="Q190" s="9"/>
      <c r="R190" s="9"/>
      <c r="S190" s="9"/>
      <c r="T190" s="9"/>
      <c r="U190" s="9"/>
      <c r="V190" s="9"/>
      <c r="W190" s="10"/>
      <c r="X190" s="10"/>
      <c r="Y190" s="10"/>
      <c r="Z190" s="10"/>
    </row>
    <row r="191">
      <c r="A191" s="9"/>
      <c r="B191" s="9"/>
      <c r="C191" s="9"/>
      <c r="D191" s="9"/>
      <c r="E191" s="9"/>
      <c r="F191" s="9"/>
      <c r="G191" s="9"/>
      <c r="H191" s="9"/>
      <c r="I191" s="9"/>
      <c r="J191" s="9"/>
      <c r="K191" s="9"/>
      <c r="L191" s="115"/>
      <c r="M191" s="115"/>
      <c r="N191" s="115"/>
      <c r="O191" s="115"/>
      <c r="P191" s="9"/>
      <c r="Q191" s="9"/>
      <c r="R191" s="9"/>
      <c r="S191" s="9"/>
      <c r="T191" s="9"/>
      <c r="U191" s="9"/>
      <c r="V191" s="9"/>
      <c r="W191" s="10"/>
      <c r="X191" s="10"/>
      <c r="Y191" s="10"/>
      <c r="Z191" s="10"/>
    </row>
    <row r="192">
      <c r="A192" s="9"/>
      <c r="B192" s="9"/>
      <c r="C192" s="9"/>
      <c r="D192" s="9"/>
      <c r="E192" s="9"/>
      <c r="F192" s="9"/>
      <c r="G192" s="9"/>
      <c r="H192" s="9"/>
      <c r="I192" s="9"/>
      <c r="J192" s="9"/>
      <c r="K192" s="9"/>
      <c r="L192" s="115"/>
      <c r="M192" s="115"/>
      <c r="N192" s="115"/>
      <c r="O192" s="115"/>
      <c r="P192" s="9"/>
      <c r="Q192" s="9"/>
      <c r="R192" s="9"/>
      <c r="S192" s="9"/>
      <c r="T192" s="9"/>
      <c r="U192" s="9"/>
      <c r="V192" s="9"/>
      <c r="W192" s="10"/>
      <c r="X192" s="10"/>
      <c r="Y192" s="10"/>
      <c r="Z192" s="10"/>
    </row>
    <row r="193">
      <c r="A193" s="9"/>
      <c r="B193" s="9"/>
      <c r="C193" s="9"/>
      <c r="D193" s="9"/>
      <c r="E193" s="9"/>
      <c r="F193" s="9"/>
      <c r="G193" s="9"/>
      <c r="H193" s="9"/>
      <c r="I193" s="9"/>
      <c r="J193" s="9"/>
      <c r="K193" s="9"/>
      <c r="L193" s="115"/>
      <c r="M193" s="115"/>
      <c r="N193" s="115"/>
      <c r="O193" s="115"/>
      <c r="P193" s="9"/>
      <c r="Q193" s="9"/>
      <c r="R193" s="9"/>
      <c r="S193" s="9"/>
      <c r="T193" s="9"/>
      <c r="U193" s="9"/>
      <c r="V193" s="9"/>
      <c r="W193" s="10"/>
      <c r="X193" s="10"/>
      <c r="Y193" s="10"/>
      <c r="Z193" s="10"/>
    </row>
    <row r="194">
      <c r="A194" s="9"/>
      <c r="B194" s="9"/>
      <c r="C194" s="9"/>
      <c r="D194" s="9"/>
      <c r="E194" s="9"/>
      <c r="F194" s="9"/>
      <c r="G194" s="9"/>
      <c r="H194" s="9"/>
      <c r="I194" s="9"/>
      <c r="J194" s="9"/>
      <c r="K194" s="9"/>
      <c r="L194" s="115"/>
      <c r="M194" s="115"/>
      <c r="N194" s="115"/>
      <c r="O194" s="115"/>
      <c r="P194" s="9"/>
      <c r="Q194" s="9"/>
      <c r="R194" s="9"/>
      <c r="S194" s="9"/>
      <c r="T194" s="9"/>
      <c r="U194" s="9"/>
      <c r="V194" s="9"/>
      <c r="W194" s="10"/>
      <c r="X194" s="10"/>
      <c r="Y194" s="10"/>
      <c r="Z194" s="10"/>
    </row>
    <row r="195">
      <c r="A195" s="9"/>
      <c r="B195" s="9"/>
      <c r="C195" s="9"/>
      <c r="D195" s="9"/>
      <c r="E195" s="9"/>
      <c r="F195" s="9"/>
      <c r="G195" s="9"/>
      <c r="H195" s="9"/>
      <c r="I195" s="9"/>
      <c r="J195" s="9"/>
      <c r="K195" s="9"/>
      <c r="L195" s="115"/>
      <c r="M195" s="115"/>
      <c r="N195" s="115"/>
      <c r="O195" s="115"/>
      <c r="P195" s="9"/>
      <c r="Q195" s="9"/>
      <c r="R195" s="9"/>
      <c r="S195" s="9"/>
      <c r="T195" s="9"/>
      <c r="U195" s="9"/>
      <c r="V195" s="9"/>
      <c r="W195" s="10"/>
      <c r="X195" s="10"/>
      <c r="Y195" s="10"/>
      <c r="Z195" s="10"/>
    </row>
    <row r="196">
      <c r="A196" s="9"/>
      <c r="B196" s="9"/>
      <c r="C196" s="9"/>
      <c r="D196" s="9"/>
      <c r="E196" s="9"/>
      <c r="F196" s="9"/>
      <c r="G196" s="9"/>
      <c r="H196" s="9"/>
      <c r="I196" s="9"/>
      <c r="J196" s="9"/>
      <c r="K196" s="9"/>
      <c r="L196" s="115"/>
      <c r="M196" s="115"/>
      <c r="N196" s="115"/>
      <c r="O196" s="115"/>
      <c r="P196" s="9"/>
      <c r="Q196" s="9"/>
      <c r="R196" s="9"/>
      <c r="S196" s="9"/>
      <c r="T196" s="9"/>
      <c r="U196" s="9"/>
      <c r="V196" s="9"/>
      <c r="W196" s="10"/>
      <c r="X196" s="10"/>
      <c r="Y196" s="10"/>
      <c r="Z196" s="10"/>
    </row>
    <row r="197">
      <c r="A197" s="9"/>
      <c r="B197" s="9"/>
      <c r="C197" s="9"/>
      <c r="D197" s="9"/>
      <c r="E197" s="9"/>
      <c r="F197" s="9"/>
      <c r="G197" s="9"/>
      <c r="H197" s="9"/>
      <c r="I197" s="9"/>
      <c r="J197" s="9"/>
      <c r="K197" s="9"/>
      <c r="L197" s="115"/>
      <c r="M197" s="115"/>
      <c r="N197" s="115"/>
      <c r="O197" s="115"/>
      <c r="P197" s="9"/>
      <c r="Q197" s="9"/>
      <c r="R197" s="9"/>
      <c r="S197" s="9"/>
      <c r="T197" s="9"/>
      <c r="U197" s="9"/>
      <c r="V197" s="9"/>
      <c r="W197" s="10"/>
      <c r="X197" s="10"/>
      <c r="Y197" s="10"/>
      <c r="Z197" s="10"/>
    </row>
    <row r="198">
      <c r="A198" s="9"/>
      <c r="B198" s="9"/>
      <c r="C198" s="9"/>
      <c r="D198" s="9"/>
      <c r="E198" s="9"/>
      <c r="F198" s="9"/>
      <c r="G198" s="9"/>
      <c r="H198" s="9"/>
      <c r="I198" s="9"/>
      <c r="J198" s="9"/>
      <c r="K198" s="9"/>
      <c r="L198" s="115"/>
      <c r="M198" s="115"/>
      <c r="N198" s="115"/>
      <c r="O198" s="115"/>
      <c r="P198" s="9"/>
      <c r="Q198" s="9"/>
      <c r="R198" s="9"/>
      <c r="S198" s="9"/>
      <c r="T198" s="9"/>
      <c r="U198" s="9"/>
      <c r="V198" s="9"/>
      <c r="W198" s="10"/>
      <c r="X198" s="10"/>
      <c r="Y198" s="10"/>
      <c r="Z198" s="10"/>
    </row>
    <row r="199">
      <c r="A199" s="9"/>
      <c r="B199" s="9"/>
      <c r="C199" s="9"/>
      <c r="D199" s="9"/>
      <c r="E199" s="9"/>
      <c r="F199" s="9"/>
      <c r="G199" s="9"/>
      <c r="H199" s="9"/>
      <c r="I199" s="9"/>
      <c r="J199" s="9"/>
      <c r="K199" s="9"/>
      <c r="L199" s="115"/>
      <c r="M199" s="115"/>
      <c r="N199" s="115"/>
      <c r="O199" s="115"/>
      <c r="P199" s="9"/>
      <c r="Q199" s="9"/>
      <c r="R199" s="9"/>
      <c r="S199" s="9"/>
      <c r="T199" s="9"/>
      <c r="U199" s="9"/>
      <c r="V199" s="9"/>
      <c r="W199" s="10"/>
      <c r="X199" s="10"/>
      <c r="Y199" s="10"/>
      <c r="Z199" s="10"/>
    </row>
    <row r="200">
      <c r="A200" s="9"/>
      <c r="B200" s="9"/>
      <c r="C200" s="9"/>
      <c r="D200" s="9"/>
      <c r="E200" s="9"/>
      <c r="F200" s="9"/>
      <c r="G200" s="9"/>
      <c r="H200" s="9"/>
      <c r="I200" s="9"/>
      <c r="J200" s="9"/>
      <c r="K200" s="9"/>
      <c r="L200" s="115"/>
      <c r="M200" s="115"/>
      <c r="N200" s="115"/>
      <c r="O200" s="115"/>
      <c r="P200" s="9"/>
      <c r="Q200" s="9"/>
      <c r="R200" s="9"/>
      <c r="S200" s="9"/>
      <c r="T200" s="9"/>
      <c r="U200" s="9"/>
      <c r="V200" s="9"/>
      <c r="W200" s="10"/>
      <c r="X200" s="10"/>
      <c r="Y200" s="10"/>
      <c r="Z200" s="10"/>
    </row>
    <row r="201">
      <c r="A201" s="9"/>
      <c r="B201" s="9"/>
      <c r="C201" s="9"/>
      <c r="D201" s="9"/>
      <c r="E201" s="9"/>
      <c r="F201" s="9"/>
      <c r="G201" s="9"/>
      <c r="H201" s="9"/>
      <c r="I201" s="9"/>
      <c r="J201" s="9"/>
      <c r="K201" s="9"/>
      <c r="L201" s="115"/>
      <c r="M201" s="115"/>
      <c r="N201" s="115"/>
      <c r="O201" s="115"/>
      <c r="P201" s="9"/>
      <c r="Q201" s="9"/>
      <c r="R201" s="9"/>
      <c r="S201" s="9"/>
      <c r="T201" s="9"/>
      <c r="U201" s="9"/>
      <c r="V201" s="9"/>
      <c r="W201" s="10"/>
      <c r="X201" s="10"/>
      <c r="Y201" s="10"/>
      <c r="Z201" s="10"/>
    </row>
    <row r="202">
      <c r="A202" s="9"/>
      <c r="B202" s="9"/>
      <c r="C202" s="9"/>
      <c r="D202" s="9"/>
      <c r="E202" s="9"/>
      <c r="F202" s="9"/>
      <c r="G202" s="9"/>
      <c r="H202" s="9"/>
      <c r="I202" s="9"/>
      <c r="J202" s="9"/>
      <c r="K202" s="9"/>
      <c r="L202" s="115"/>
      <c r="M202" s="115"/>
      <c r="N202" s="115"/>
      <c r="O202" s="115"/>
      <c r="P202" s="9"/>
      <c r="Q202" s="9"/>
      <c r="R202" s="9"/>
      <c r="S202" s="9"/>
      <c r="T202" s="9"/>
      <c r="U202" s="9"/>
      <c r="V202" s="9"/>
      <c r="W202" s="10"/>
      <c r="X202" s="10"/>
      <c r="Y202" s="10"/>
      <c r="Z202" s="10"/>
    </row>
    <row r="203">
      <c r="A203" s="9"/>
      <c r="B203" s="9"/>
      <c r="C203" s="9"/>
      <c r="D203" s="9"/>
      <c r="E203" s="9"/>
      <c r="F203" s="9"/>
      <c r="G203" s="9"/>
      <c r="H203" s="9"/>
      <c r="I203" s="9"/>
      <c r="J203" s="9"/>
      <c r="K203" s="9"/>
      <c r="L203" s="115"/>
      <c r="M203" s="115"/>
      <c r="N203" s="115"/>
      <c r="O203" s="115"/>
      <c r="P203" s="9"/>
      <c r="Q203" s="9"/>
      <c r="R203" s="9"/>
      <c r="S203" s="9"/>
      <c r="T203" s="9"/>
      <c r="U203" s="9"/>
      <c r="V203" s="9"/>
      <c r="W203" s="10"/>
      <c r="X203" s="10"/>
      <c r="Y203" s="10"/>
      <c r="Z203" s="10"/>
    </row>
    <row r="204">
      <c r="A204" s="9"/>
      <c r="B204" s="9"/>
      <c r="C204" s="9"/>
      <c r="D204" s="9"/>
      <c r="E204" s="9"/>
      <c r="F204" s="9"/>
      <c r="G204" s="9"/>
      <c r="H204" s="9"/>
      <c r="I204" s="9"/>
      <c r="J204" s="9"/>
      <c r="K204" s="9"/>
      <c r="L204" s="115"/>
      <c r="M204" s="115"/>
      <c r="N204" s="115"/>
      <c r="O204" s="115"/>
      <c r="P204" s="9"/>
      <c r="Q204" s="9"/>
      <c r="R204" s="9"/>
      <c r="S204" s="9"/>
      <c r="T204" s="9"/>
      <c r="U204" s="9"/>
      <c r="V204" s="9"/>
      <c r="W204" s="10"/>
      <c r="X204" s="10"/>
      <c r="Y204" s="10"/>
      <c r="Z204" s="10"/>
    </row>
    <row r="205">
      <c r="A205" s="9"/>
      <c r="B205" s="9"/>
      <c r="C205" s="9"/>
      <c r="D205" s="9"/>
      <c r="E205" s="9"/>
      <c r="F205" s="9"/>
      <c r="G205" s="9"/>
      <c r="H205" s="9"/>
      <c r="I205" s="9"/>
      <c r="J205" s="9"/>
      <c r="K205" s="9"/>
      <c r="L205" s="115"/>
      <c r="M205" s="115"/>
      <c r="N205" s="115"/>
      <c r="O205" s="115"/>
      <c r="P205" s="9"/>
      <c r="Q205" s="9"/>
      <c r="R205" s="9"/>
      <c r="S205" s="9"/>
      <c r="T205" s="9"/>
      <c r="U205" s="9"/>
      <c r="V205" s="9"/>
      <c r="W205" s="10"/>
      <c r="X205" s="10"/>
      <c r="Y205" s="10"/>
      <c r="Z205" s="10"/>
    </row>
    <row r="206">
      <c r="A206" s="9"/>
      <c r="B206" s="9"/>
      <c r="C206" s="9"/>
      <c r="D206" s="9"/>
      <c r="E206" s="9"/>
      <c r="F206" s="9"/>
      <c r="G206" s="9"/>
      <c r="H206" s="9"/>
      <c r="I206" s="9"/>
      <c r="J206" s="9"/>
      <c r="K206" s="9"/>
      <c r="L206" s="115"/>
      <c r="M206" s="115"/>
      <c r="N206" s="115"/>
      <c r="O206" s="115"/>
      <c r="P206" s="9"/>
      <c r="Q206" s="9"/>
      <c r="R206" s="9"/>
      <c r="S206" s="9"/>
      <c r="T206" s="9"/>
      <c r="U206" s="9"/>
      <c r="V206" s="9"/>
      <c r="W206" s="10"/>
      <c r="X206" s="10"/>
      <c r="Y206" s="10"/>
      <c r="Z206" s="10"/>
    </row>
    <row r="207">
      <c r="A207" s="9"/>
      <c r="B207" s="9"/>
      <c r="C207" s="9"/>
      <c r="D207" s="9"/>
      <c r="E207" s="9"/>
      <c r="F207" s="9"/>
      <c r="G207" s="9"/>
      <c r="H207" s="9"/>
      <c r="I207" s="9"/>
      <c r="J207" s="9"/>
      <c r="K207" s="9"/>
      <c r="L207" s="115"/>
      <c r="M207" s="115"/>
      <c r="N207" s="115"/>
      <c r="O207" s="115"/>
      <c r="P207" s="9"/>
      <c r="Q207" s="9"/>
      <c r="R207" s="9"/>
      <c r="S207" s="9"/>
      <c r="T207" s="9"/>
      <c r="U207" s="9"/>
      <c r="V207" s="9"/>
      <c r="W207" s="10"/>
      <c r="X207" s="10"/>
      <c r="Y207" s="10"/>
      <c r="Z207" s="10"/>
    </row>
    <row r="208">
      <c r="A208" s="9"/>
      <c r="B208" s="9"/>
      <c r="C208" s="9"/>
      <c r="D208" s="9"/>
      <c r="E208" s="9"/>
      <c r="F208" s="9"/>
      <c r="G208" s="9"/>
      <c r="H208" s="9"/>
      <c r="I208" s="9"/>
      <c r="J208" s="9"/>
      <c r="K208" s="9"/>
      <c r="L208" s="115"/>
      <c r="M208" s="115"/>
      <c r="N208" s="115"/>
      <c r="O208" s="115"/>
      <c r="P208" s="9"/>
      <c r="Q208" s="9"/>
      <c r="R208" s="9"/>
      <c r="S208" s="9"/>
      <c r="T208" s="9"/>
      <c r="U208" s="9"/>
      <c r="V208" s="9"/>
      <c r="W208" s="10"/>
      <c r="X208" s="10"/>
      <c r="Y208" s="10"/>
      <c r="Z208" s="10"/>
    </row>
    <row r="209">
      <c r="A209" s="9"/>
      <c r="B209" s="9"/>
      <c r="C209" s="9"/>
      <c r="D209" s="9"/>
      <c r="E209" s="9"/>
      <c r="F209" s="9"/>
      <c r="G209" s="9"/>
      <c r="H209" s="9"/>
      <c r="I209" s="9"/>
      <c r="J209" s="9"/>
      <c r="K209" s="9"/>
      <c r="L209" s="115"/>
      <c r="M209" s="115"/>
      <c r="N209" s="115"/>
      <c r="O209" s="115"/>
      <c r="P209" s="9"/>
      <c r="Q209" s="9"/>
      <c r="R209" s="9"/>
      <c r="S209" s="9"/>
      <c r="T209" s="9"/>
      <c r="U209" s="9"/>
      <c r="V209" s="9"/>
      <c r="W209" s="10"/>
      <c r="X209" s="10"/>
      <c r="Y209" s="10"/>
      <c r="Z209" s="10"/>
    </row>
    <row r="210">
      <c r="A210" s="9"/>
      <c r="B210" s="9"/>
      <c r="C210" s="9"/>
      <c r="D210" s="9"/>
      <c r="E210" s="9"/>
      <c r="F210" s="9"/>
      <c r="G210" s="9"/>
      <c r="H210" s="9"/>
      <c r="I210" s="9"/>
      <c r="J210" s="9"/>
      <c r="K210" s="9"/>
      <c r="L210" s="115"/>
      <c r="M210" s="115"/>
      <c r="N210" s="115"/>
      <c r="O210" s="115"/>
      <c r="P210" s="9"/>
      <c r="Q210" s="9"/>
      <c r="R210" s="9"/>
      <c r="S210" s="9"/>
      <c r="T210" s="9"/>
      <c r="U210" s="9"/>
      <c r="V210" s="9"/>
      <c r="W210" s="10"/>
      <c r="X210" s="10"/>
      <c r="Y210" s="10"/>
      <c r="Z210" s="10"/>
    </row>
    <row r="211">
      <c r="A211" s="9"/>
      <c r="B211" s="9"/>
      <c r="C211" s="9"/>
      <c r="D211" s="9"/>
      <c r="E211" s="9"/>
      <c r="F211" s="9"/>
      <c r="G211" s="9"/>
      <c r="H211" s="9"/>
      <c r="I211" s="9"/>
      <c r="J211" s="9"/>
      <c r="K211" s="9"/>
      <c r="L211" s="115"/>
      <c r="M211" s="115"/>
      <c r="N211" s="115"/>
      <c r="O211" s="115"/>
      <c r="P211" s="9"/>
      <c r="Q211" s="9"/>
      <c r="R211" s="9"/>
      <c r="S211" s="9"/>
      <c r="T211" s="9"/>
      <c r="U211" s="9"/>
      <c r="V211" s="9"/>
      <c r="W211" s="10"/>
      <c r="X211" s="10"/>
      <c r="Y211" s="10"/>
      <c r="Z211" s="10"/>
    </row>
    <row r="212">
      <c r="A212" s="9"/>
      <c r="B212" s="9"/>
      <c r="C212" s="9"/>
      <c r="D212" s="9"/>
      <c r="E212" s="9"/>
      <c r="F212" s="9"/>
      <c r="G212" s="9"/>
      <c r="H212" s="9"/>
      <c r="I212" s="9"/>
      <c r="J212" s="9"/>
      <c r="K212" s="9"/>
      <c r="L212" s="115"/>
      <c r="M212" s="115"/>
      <c r="N212" s="115"/>
      <c r="O212" s="115"/>
      <c r="P212" s="9"/>
      <c r="Q212" s="9"/>
      <c r="R212" s="9"/>
      <c r="S212" s="9"/>
      <c r="T212" s="9"/>
      <c r="U212" s="9"/>
      <c r="V212" s="9"/>
      <c r="W212" s="10"/>
      <c r="X212" s="10"/>
      <c r="Y212" s="10"/>
      <c r="Z212" s="10"/>
    </row>
    <row r="213">
      <c r="A213" s="9"/>
      <c r="B213" s="9"/>
      <c r="C213" s="9"/>
      <c r="D213" s="9"/>
      <c r="E213" s="9"/>
      <c r="F213" s="9"/>
      <c r="G213" s="9"/>
      <c r="H213" s="9"/>
      <c r="I213" s="9"/>
      <c r="J213" s="9"/>
      <c r="K213" s="9"/>
      <c r="L213" s="115"/>
      <c r="M213" s="115"/>
      <c r="N213" s="115"/>
      <c r="O213" s="115"/>
      <c r="P213" s="9"/>
      <c r="Q213" s="9"/>
      <c r="R213" s="9"/>
      <c r="S213" s="9"/>
      <c r="T213" s="9"/>
      <c r="U213" s="9"/>
      <c r="V213" s="9"/>
      <c r="W213" s="10"/>
      <c r="X213" s="10"/>
      <c r="Y213" s="10"/>
      <c r="Z213" s="10"/>
    </row>
    <row r="214">
      <c r="A214" s="9"/>
      <c r="B214" s="9"/>
      <c r="C214" s="9"/>
      <c r="D214" s="9"/>
      <c r="E214" s="9"/>
      <c r="F214" s="9"/>
      <c r="G214" s="9"/>
      <c r="H214" s="9"/>
      <c r="I214" s="9"/>
      <c r="J214" s="9"/>
      <c r="K214" s="9"/>
      <c r="L214" s="115"/>
      <c r="M214" s="115"/>
      <c r="N214" s="115"/>
      <c r="O214" s="115"/>
      <c r="P214" s="9"/>
      <c r="Q214" s="9"/>
      <c r="R214" s="9"/>
      <c r="S214" s="9"/>
      <c r="T214" s="9"/>
      <c r="U214" s="9"/>
      <c r="V214" s="9"/>
      <c r="W214" s="10"/>
      <c r="X214" s="10"/>
      <c r="Y214" s="10"/>
      <c r="Z214" s="10"/>
    </row>
    <row r="215">
      <c r="A215" s="9"/>
      <c r="B215" s="9"/>
      <c r="C215" s="9"/>
      <c r="D215" s="9"/>
      <c r="E215" s="9"/>
      <c r="F215" s="9"/>
      <c r="G215" s="9"/>
      <c r="H215" s="9"/>
      <c r="I215" s="9"/>
      <c r="J215" s="9"/>
      <c r="K215" s="9"/>
      <c r="L215" s="115"/>
      <c r="M215" s="115"/>
      <c r="N215" s="115"/>
      <c r="O215" s="115"/>
      <c r="P215" s="9"/>
      <c r="Q215" s="9"/>
      <c r="R215" s="9"/>
      <c r="S215" s="9"/>
      <c r="T215" s="9"/>
      <c r="U215" s="9"/>
      <c r="V215" s="9"/>
      <c r="W215" s="10"/>
      <c r="X215" s="10"/>
      <c r="Y215" s="10"/>
      <c r="Z215" s="10"/>
    </row>
    <row r="216">
      <c r="A216" s="9"/>
      <c r="B216" s="9"/>
      <c r="C216" s="9"/>
      <c r="D216" s="9"/>
      <c r="E216" s="9"/>
      <c r="F216" s="9"/>
      <c r="G216" s="9"/>
      <c r="H216" s="9"/>
      <c r="I216" s="9"/>
      <c r="J216" s="9"/>
      <c r="K216" s="9"/>
      <c r="L216" s="115"/>
      <c r="M216" s="115"/>
      <c r="N216" s="115"/>
      <c r="O216" s="115"/>
      <c r="P216" s="9"/>
      <c r="Q216" s="9"/>
      <c r="R216" s="9"/>
      <c r="S216" s="9"/>
      <c r="T216" s="9"/>
      <c r="U216" s="9"/>
      <c r="V216" s="9"/>
      <c r="W216" s="10"/>
      <c r="X216" s="10"/>
      <c r="Y216" s="10"/>
      <c r="Z216" s="10"/>
    </row>
    <row r="217">
      <c r="A217" s="9"/>
      <c r="B217" s="9"/>
      <c r="C217" s="9"/>
      <c r="D217" s="9"/>
      <c r="E217" s="9"/>
      <c r="F217" s="9"/>
      <c r="G217" s="9"/>
      <c r="H217" s="9"/>
      <c r="I217" s="9"/>
      <c r="J217" s="9"/>
      <c r="K217" s="9"/>
      <c r="L217" s="115"/>
      <c r="M217" s="115"/>
      <c r="N217" s="115"/>
      <c r="O217" s="115"/>
      <c r="P217" s="9"/>
      <c r="Q217" s="9"/>
      <c r="R217" s="9"/>
      <c r="S217" s="9"/>
      <c r="T217" s="9"/>
      <c r="U217" s="9"/>
      <c r="V217" s="9"/>
      <c r="W217" s="10"/>
      <c r="X217" s="10"/>
      <c r="Y217" s="10"/>
      <c r="Z217" s="10"/>
    </row>
    <row r="218">
      <c r="A218" s="9"/>
      <c r="B218" s="9"/>
      <c r="C218" s="9"/>
      <c r="D218" s="9"/>
      <c r="E218" s="9"/>
      <c r="F218" s="9"/>
      <c r="G218" s="9"/>
      <c r="H218" s="9"/>
      <c r="I218" s="9"/>
      <c r="J218" s="9"/>
      <c r="K218" s="9"/>
      <c r="L218" s="115"/>
      <c r="M218" s="115"/>
      <c r="N218" s="115"/>
      <c r="O218" s="115"/>
      <c r="P218" s="9"/>
      <c r="Q218" s="9"/>
      <c r="R218" s="9"/>
      <c r="S218" s="9"/>
      <c r="T218" s="9"/>
      <c r="U218" s="9"/>
      <c r="V218" s="9"/>
      <c r="W218" s="10"/>
      <c r="X218" s="10"/>
      <c r="Y218" s="10"/>
      <c r="Z218" s="10"/>
    </row>
    <row r="219">
      <c r="A219" s="9"/>
      <c r="B219" s="9"/>
      <c r="C219" s="9"/>
      <c r="D219" s="9"/>
      <c r="E219" s="9"/>
      <c r="F219" s="9"/>
      <c r="G219" s="9"/>
      <c r="H219" s="9"/>
      <c r="I219" s="9"/>
      <c r="J219" s="9"/>
      <c r="K219" s="9"/>
      <c r="L219" s="115"/>
      <c r="M219" s="115"/>
      <c r="N219" s="115"/>
      <c r="O219" s="115"/>
      <c r="P219" s="9"/>
      <c r="Q219" s="9"/>
      <c r="R219" s="9"/>
      <c r="S219" s="9"/>
      <c r="T219" s="9"/>
      <c r="U219" s="9"/>
      <c r="V219" s="9"/>
      <c r="W219" s="10"/>
      <c r="X219" s="10"/>
      <c r="Y219" s="10"/>
      <c r="Z219" s="10"/>
    </row>
    <row r="220">
      <c r="A220" s="9"/>
      <c r="B220" s="9"/>
      <c r="C220" s="9"/>
      <c r="D220" s="9"/>
      <c r="E220" s="9"/>
      <c r="F220" s="9"/>
      <c r="G220" s="9"/>
      <c r="H220" s="9"/>
      <c r="I220" s="9"/>
      <c r="J220" s="9"/>
      <c r="K220" s="9"/>
      <c r="L220" s="115"/>
      <c r="M220" s="115"/>
      <c r="N220" s="115"/>
      <c r="O220" s="115"/>
      <c r="P220" s="9"/>
      <c r="Q220" s="9"/>
      <c r="R220" s="9"/>
      <c r="S220" s="9"/>
      <c r="T220" s="9"/>
      <c r="U220" s="9"/>
      <c r="V220" s="9"/>
      <c r="W220" s="10"/>
      <c r="X220" s="10"/>
      <c r="Y220" s="10"/>
      <c r="Z220" s="10"/>
    </row>
    <row r="221">
      <c r="A221" s="9"/>
      <c r="B221" s="9"/>
      <c r="C221" s="9"/>
      <c r="D221" s="9"/>
      <c r="E221" s="9"/>
      <c r="F221" s="9"/>
      <c r="G221" s="9"/>
      <c r="H221" s="9"/>
      <c r="I221" s="9"/>
      <c r="J221" s="9"/>
      <c r="K221" s="9"/>
      <c r="L221" s="115"/>
      <c r="M221" s="115"/>
      <c r="N221" s="115"/>
      <c r="O221" s="115"/>
      <c r="P221" s="9"/>
      <c r="Q221" s="9"/>
      <c r="R221" s="9"/>
      <c r="S221" s="9"/>
      <c r="T221" s="9"/>
      <c r="U221" s="9"/>
      <c r="V221" s="9"/>
      <c r="W221" s="10"/>
      <c r="X221" s="10"/>
      <c r="Y221" s="10"/>
      <c r="Z221" s="10"/>
    </row>
    <row r="222">
      <c r="A222" s="9"/>
      <c r="B222" s="9"/>
      <c r="C222" s="9"/>
      <c r="D222" s="9"/>
      <c r="E222" s="9"/>
      <c r="F222" s="9"/>
      <c r="G222" s="9"/>
      <c r="H222" s="9"/>
      <c r="I222" s="9"/>
      <c r="J222" s="9"/>
      <c r="K222" s="9"/>
      <c r="L222" s="115"/>
      <c r="M222" s="115"/>
      <c r="N222" s="115"/>
      <c r="O222" s="115"/>
      <c r="P222" s="9"/>
      <c r="Q222" s="9"/>
      <c r="R222" s="9"/>
      <c r="S222" s="9"/>
      <c r="T222" s="9"/>
      <c r="U222" s="9"/>
      <c r="V222" s="9"/>
      <c r="W222" s="10"/>
      <c r="X222" s="10"/>
      <c r="Y222" s="10"/>
      <c r="Z222" s="10"/>
    </row>
    <row r="223">
      <c r="A223" s="9"/>
      <c r="B223" s="9"/>
      <c r="C223" s="9"/>
      <c r="D223" s="9"/>
      <c r="E223" s="9"/>
      <c r="F223" s="9"/>
      <c r="G223" s="9"/>
      <c r="H223" s="9"/>
      <c r="I223" s="9"/>
      <c r="J223" s="9"/>
      <c r="K223" s="9"/>
      <c r="L223" s="115"/>
      <c r="M223" s="115"/>
      <c r="N223" s="115"/>
      <c r="O223" s="115"/>
      <c r="P223" s="9"/>
      <c r="Q223" s="9"/>
      <c r="R223" s="9"/>
      <c r="S223" s="9"/>
      <c r="T223" s="9"/>
      <c r="U223" s="9"/>
      <c r="V223" s="9"/>
      <c r="W223" s="10"/>
      <c r="X223" s="10"/>
      <c r="Y223" s="10"/>
      <c r="Z223" s="10"/>
    </row>
    <row r="224">
      <c r="A224" s="9"/>
      <c r="B224" s="9"/>
      <c r="C224" s="9"/>
      <c r="D224" s="9"/>
      <c r="E224" s="9"/>
      <c r="F224" s="9"/>
      <c r="G224" s="9"/>
      <c r="H224" s="9"/>
      <c r="I224" s="9"/>
      <c r="J224" s="9"/>
      <c r="K224" s="9"/>
      <c r="L224" s="115"/>
      <c r="M224" s="115"/>
      <c r="N224" s="115"/>
      <c r="O224" s="115"/>
      <c r="P224" s="9"/>
      <c r="Q224" s="9"/>
      <c r="R224" s="9"/>
      <c r="S224" s="9"/>
      <c r="T224" s="9"/>
      <c r="U224" s="9"/>
      <c r="V224" s="9"/>
      <c r="W224" s="10"/>
      <c r="X224" s="10"/>
      <c r="Y224" s="10"/>
      <c r="Z224" s="10"/>
    </row>
    <row r="225">
      <c r="A225" s="9"/>
      <c r="B225" s="9"/>
      <c r="C225" s="9"/>
      <c r="D225" s="9"/>
      <c r="E225" s="9"/>
      <c r="F225" s="9"/>
      <c r="G225" s="9"/>
      <c r="H225" s="9"/>
      <c r="I225" s="9"/>
      <c r="J225" s="9"/>
      <c r="K225" s="9"/>
      <c r="L225" s="115"/>
      <c r="M225" s="115"/>
      <c r="N225" s="115"/>
      <c r="O225" s="115"/>
      <c r="P225" s="9"/>
      <c r="Q225" s="9"/>
      <c r="R225" s="9"/>
      <c r="S225" s="9"/>
      <c r="T225" s="9"/>
      <c r="U225" s="9"/>
      <c r="V225" s="9"/>
      <c r="W225" s="10"/>
      <c r="X225" s="10"/>
      <c r="Y225" s="10"/>
      <c r="Z225" s="10"/>
    </row>
    <row r="226">
      <c r="A226" s="9"/>
      <c r="B226" s="9"/>
      <c r="C226" s="9"/>
      <c r="D226" s="9"/>
      <c r="E226" s="9"/>
      <c r="F226" s="9"/>
      <c r="G226" s="9"/>
      <c r="H226" s="9"/>
      <c r="I226" s="9"/>
      <c r="J226" s="9"/>
      <c r="K226" s="9"/>
      <c r="L226" s="115"/>
      <c r="M226" s="115"/>
      <c r="N226" s="115"/>
      <c r="O226" s="115"/>
      <c r="P226" s="9"/>
      <c r="Q226" s="9"/>
      <c r="R226" s="9"/>
      <c r="S226" s="9"/>
      <c r="T226" s="9"/>
      <c r="U226" s="9"/>
      <c r="V226" s="9"/>
      <c r="W226" s="10"/>
      <c r="X226" s="10"/>
      <c r="Y226" s="10"/>
      <c r="Z226" s="10"/>
    </row>
    <row r="227">
      <c r="A227" s="9"/>
      <c r="B227" s="9"/>
      <c r="C227" s="9"/>
      <c r="D227" s="9"/>
      <c r="E227" s="9"/>
      <c r="F227" s="9"/>
      <c r="G227" s="9"/>
      <c r="H227" s="9"/>
      <c r="I227" s="9"/>
      <c r="J227" s="9"/>
      <c r="K227" s="9"/>
      <c r="L227" s="115"/>
      <c r="M227" s="115"/>
      <c r="N227" s="115"/>
      <c r="O227" s="115"/>
      <c r="P227" s="9"/>
      <c r="Q227" s="9"/>
      <c r="R227" s="9"/>
      <c r="S227" s="9"/>
      <c r="T227" s="9"/>
      <c r="U227" s="9"/>
      <c r="V227" s="9"/>
      <c r="W227" s="10"/>
      <c r="X227" s="10"/>
      <c r="Y227" s="10"/>
      <c r="Z227" s="10"/>
    </row>
    <row r="228">
      <c r="A228" s="9"/>
      <c r="B228" s="9"/>
      <c r="C228" s="9"/>
      <c r="D228" s="9"/>
      <c r="E228" s="9"/>
      <c r="F228" s="9"/>
      <c r="G228" s="9"/>
      <c r="H228" s="9"/>
      <c r="I228" s="9"/>
      <c r="J228" s="9"/>
      <c r="K228" s="9"/>
      <c r="L228" s="115"/>
      <c r="M228" s="115"/>
      <c r="N228" s="115"/>
      <c r="O228" s="115"/>
      <c r="P228" s="9"/>
      <c r="Q228" s="9"/>
      <c r="R228" s="9"/>
      <c r="S228" s="9"/>
      <c r="T228" s="9"/>
      <c r="U228" s="9"/>
      <c r="V228" s="9"/>
      <c r="W228" s="10"/>
      <c r="X228" s="10"/>
      <c r="Y228" s="10"/>
      <c r="Z228" s="10"/>
    </row>
    <row r="229">
      <c r="A229" s="9"/>
      <c r="B229" s="9"/>
      <c r="C229" s="9"/>
      <c r="D229" s="9"/>
      <c r="E229" s="9"/>
      <c r="F229" s="9"/>
      <c r="G229" s="9"/>
      <c r="H229" s="9"/>
      <c r="I229" s="9"/>
      <c r="J229" s="9"/>
      <c r="K229" s="9"/>
      <c r="L229" s="115"/>
      <c r="M229" s="115"/>
      <c r="N229" s="115"/>
      <c r="O229" s="115"/>
      <c r="P229" s="9"/>
      <c r="Q229" s="9"/>
      <c r="R229" s="9"/>
      <c r="S229" s="9"/>
      <c r="T229" s="9"/>
      <c r="U229" s="9"/>
      <c r="V229" s="9"/>
      <c r="W229" s="10"/>
      <c r="X229" s="10"/>
      <c r="Y229" s="10"/>
      <c r="Z229" s="10"/>
    </row>
    <row r="230">
      <c r="A230" s="9"/>
      <c r="B230" s="9"/>
      <c r="C230" s="9"/>
      <c r="D230" s="9"/>
      <c r="E230" s="9"/>
      <c r="F230" s="9"/>
      <c r="G230" s="9"/>
      <c r="H230" s="9"/>
      <c r="I230" s="9"/>
      <c r="J230" s="9"/>
      <c r="K230" s="9"/>
      <c r="L230" s="115"/>
      <c r="M230" s="115"/>
      <c r="N230" s="115"/>
      <c r="O230" s="115"/>
      <c r="P230" s="9"/>
      <c r="Q230" s="9"/>
      <c r="R230" s="9"/>
      <c r="S230" s="9"/>
      <c r="T230" s="9"/>
      <c r="U230" s="9"/>
      <c r="V230" s="9"/>
      <c r="W230" s="10"/>
      <c r="X230" s="10"/>
      <c r="Y230" s="10"/>
      <c r="Z230" s="10"/>
    </row>
    <row r="231">
      <c r="A231" s="9"/>
      <c r="B231" s="9"/>
      <c r="C231" s="9"/>
      <c r="D231" s="9"/>
      <c r="E231" s="9"/>
      <c r="F231" s="9"/>
      <c r="G231" s="9"/>
      <c r="H231" s="9"/>
      <c r="I231" s="9"/>
      <c r="J231" s="9"/>
      <c r="K231" s="9"/>
      <c r="L231" s="115"/>
      <c r="M231" s="115"/>
      <c r="N231" s="115"/>
      <c r="O231" s="115"/>
      <c r="P231" s="9"/>
      <c r="Q231" s="9"/>
      <c r="R231" s="9"/>
      <c r="S231" s="9"/>
      <c r="T231" s="9"/>
      <c r="U231" s="9"/>
      <c r="V231" s="9"/>
      <c r="W231" s="10"/>
      <c r="X231" s="10"/>
      <c r="Y231" s="10"/>
      <c r="Z231" s="10"/>
    </row>
    <row r="232">
      <c r="A232" s="9"/>
      <c r="B232" s="9"/>
      <c r="C232" s="9"/>
      <c r="D232" s="9"/>
      <c r="E232" s="9"/>
      <c r="F232" s="9"/>
      <c r="G232" s="9"/>
      <c r="H232" s="9"/>
      <c r="I232" s="9"/>
      <c r="J232" s="9"/>
      <c r="K232" s="9"/>
      <c r="L232" s="115"/>
      <c r="M232" s="115"/>
      <c r="N232" s="115"/>
      <c r="O232" s="115"/>
      <c r="P232" s="9"/>
      <c r="Q232" s="9"/>
      <c r="R232" s="9"/>
      <c r="S232" s="9"/>
      <c r="T232" s="9"/>
      <c r="U232" s="9"/>
      <c r="V232" s="9"/>
      <c r="W232" s="10"/>
      <c r="X232" s="10"/>
      <c r="Y232" s="10"/>
      <c r="Z232" s="10"/>
    </row>
    <row r="233">
      <c r="A233" s="9"/>
      <c r="B233" s="9"/>
      <c r="C233" s="9"/>
      <c r="D233" s="9"/>
      <c r="E233" s="9"/>
      <c r="F233" s="9"/>
      <c r="G233" s="9"/>
      <c r="H233" s="9"/>
      <c r="I233" s="9"/>
      <c r="J233" s="9"/>
      <c r="K233" s="9"/>
      <c r="L233" s="115"/>
      <c r="M233" s="115"/>
      <c r="N233" s="115"/>
      <c r="O233" s="115"/>
      <c r="P233" s="9"/>
      <c r="Q233" s="9"/>
      <c r="R233" s="9"/>
      <c r="S233" s="9"/>
      <c r="T233" s="9"/>
      <c r="U233" s="9"/>
      <c r="V233" s="9"/>
      <c r="W233" s="10"/>
      <c r="X233" s="10"/>
      <c r="Y233" s="10"/>
      <c r="Z233" s="10"/>
    </row>
    <row r="234">
      <c r="A234" s="9"/>
      <c r="B234" s="9"/>
      <c r="C234" s="9"/>
      <c r="D234" s="9"/>
      <c r="E234" s="9"/>
      <c r="F234" s="9"/>
      <c r="G234" s="9"/>
      <c r="H234" s="9"/>
      <c r="I234" s="9"/>
      <c r="J234" s="9"/>
      <c r="K234" s="9"/>
      <c r="L234" s="115"/>
      <c r="M234" s="115"/>
      <c r="N234" s="115"/>
      <c r="O234" s="115"/>
      <c r="P234" s="9"/>
      <c r="Q234" s="9"/>
      <c r="R234" s="9"/>
      <c r="S234" s="9"/>
      <c r="T234" s="9"/>
      <c r="U234" s="9"/>
      <c r="V234" s="9"/>
      <c r="W234" s="10"/>
      <c r="X234" s="10"/>
      <c r="Y234" s="10"/>
      <c r="Z234" s="10"/>
    </row>
    <row r="235">
      <c r="A235" s="9"/>
      <c r="B235" s="9"/>
      <c r="C235" s="9"/>
      <c r="D235" s="9"/>
      <c r="E235" s="9"/>
      <c r="F235" s="9"/>
      <c r="G235" s="9"/>
      <c r="H235" s="9"/>
      <c r="I235" s="9"/>
      <c r="J235" s="9"/>
      <c r="K235" s="9"/>
      <c r="L235" s="115"/>
      <c r="M235" s="115"/>
      <c r="N235" s="115"/>
      <c r="O235" s="115"/>
      <c r="P235" s="9"/>
      <c r="Q235" s="9"/>
      <c r="R235" s="9"/>
      <c r="S235" s="9"/>
      <c r="T235" s="9"/>
      <c r="U235" s="9"/>
      <c r="V235" s="9"/>
      <c r="W235" s="10"/>
      <c r="X235" s="10"/>
      <c r="Y235" s="10"/>
      <c r="Z235" s="10"/>
    </row>
    <row r="236">
      <c r="A236" s="9"/>
      <c r="B236" s="9"/>
      <c r="C236" s="9"/>
      <c r="D236" s="9"/>
      <c r="E236" s="9"/>
      <c r="F236" s="9"/>
      <c r="G236" s="9"/>
      <c r="H236" s="9"/>
      <c r="I236" s="9"/>
      <c r="J236" s="9"/>
      <c r="K236" s="9"/>
      <c r="L236" s="115"/>
      <c r="M236" s="115"/>
      <c r="N236" s="115"/>
      <c r="O236" s="115"/>
      <c r="P236" s="9"/>
      <c r="Q236" s="9"/>
      <c r="R236" s="9"/>
      <c r="S236" s="9"/>
      <c r="T236" s="9"/>
      <c r="U236" s="9"/>
      <c r="V236" s="9"/>
      <c r="W236" s="10"/>
      <c r="X236" s="10"/>
      <c r="Y236" s="10"/>
      <c r="Z236" s="10"/>
    </row>
    <row r="237">
      <c r="A237" s="9"/>
      <c r="B237" s="9"/>
      <c r="C237" s="9"/>
      <c r="D237" s="9"/>
      <c r="E237" s="9"/>
      <c r="F237" s="9"/>
      <c r="G237" s="9"/>
      <c r="H237" s="9"/>
      <c r="I237" s="9"/>
      <c r="J237" s="9"/>
      <c r="K237" s="9"/>
      <c r="L237" s="115"/>
      <c r="M237" s="115"/>
      <c r="N237" s="115"/>
      <c r="O237" s="115"/>
      <c r="P237" s="9"/>
      <c r="Q237" s="9"/>
      <c r="R237" s="9"/>
      <c r="S237" s="9"/>
      <c r="T237" s="9"/>
      <c r="U237" s="9"/>
      <c r="V237" s="9"/>
      <c r="W237" s="10"/>
      <c r="X237" s="10"/>
      <c r="Y237" s="10"/>
      <c r="Z237" s="10"/>
    </row>
    <row r="238">
      <c r="A238" s="9"/>
      <c r="B238" s="9"/>
      <c r="C238" s="9"/>
      <c r="D238" s="9"/>
      <c r="E238" s="9"/>
      <c r="F238" s="9"/>
      <c r="G238" s="9"/>
      <c r="H238" s="9"/>
      <c r="I238" s="9"/>
      <c r="J238" s="9"/>
      <c r="K238" s="9"/>
      <c r="L238" s="115"/>
      <c r="M238" s="115"/>
      <c r="N238" s="115"/>
      <c r="O238" s="115"/>
      <c r="P238" s="9"/>
      <c r="Q238" s="9"/>
      <c r="R238" s="9"/>
      <c r="S238" s="9"/>
      <c r="T238" s="9"/>
      <c r="U238" s="9"/>
      <c r="V238" s="9"/>
      <c r="W238" s="10"/>
      <c r="X238" s="10"/>
      <c r="Y238" s="10"/>
      <c r="Z238" s="10"/>
    </row>
    <row r="239">
      <c r="A239" s="9"/>
      <c r="B239" s="9"/>
      <c r="C239" s="9"/>
      <c r="D239" s="9"/>
      <c r="E239" s="9"/>
      <c r="F239" s="9"/>
      <c r="G239" s="9"/>
      <c r="H239" s="9"/>
      <c r="I239" s="9"/>
      <c r="J239" s="9"/>
      <c r="K239" s="9"/>
      <c r="L239" s="115"/>
      <c r="M239" s="115"/>
      <c r="N239" s="115"/>
      <c r="O239" s="115"/>
      <c r="P239" s="9"/>
      <c r="Q239" s="9"/>
      <c r="R239" s="9"/>
      <c r="S239" s="9"/>
      <c r="T239" s="9"/>
      <c r="U239" s="9"/>
      <c r="V239" s="9"/>
      <c r="W239" s="10"/>
      <c r="X239" s="10"/>
      <c r="Y239" s="10"/>
      <c r="Z239" s="10"/>
    </row>
    <row r="240">
      <c r="A240" s="9"/>
      <c r="B240" s="9"/>
      <c r="C240" s="9"/>
      <c r="D240" s="9"/>
      <c r="E240" s="9"/>
      <c r="F240" s="9"/>
      <c r="G240" s="9"/>
      <c r="H240" s="9"/>
      <c r="I240" s="9"/>
      <c r="J240" s="9"/>
      <c r="K240" s="9"/>
      <c r="L240" s="115"/>
      <c r="M240" s="115"/>
      <c r="N240" s="115"/>
      <c r="O240" s="115"/>
      <c r="P240" s="9"/>
      <c r="Q240" s="9"/>
      <c r="R240" s="9"/>
      <c r="S240" s="9"/>
      <c r="T240" s="9"/>
      <c r="U240" s="9"/>
      <c r="V240" s="9"/>
      <c r="W240" s="10"/>
      <c r="X240" s="10"/>
      <c r="Y240" s="10"/>
      <c r="Z240" s="10"/>
    </row>
    <row r="241">
      <c r="A241" s="9"/>
      <c r="B241" s="9"/>
      <c r="C241" s="9"/>
      <c r="D241" s="9"/>
      <c r="E241" s="9"/>
      <c r="F241" s="9"/>
      <c r="G241" s="9"/>
      <c r="H241" s="9"/>
      <c r="I241" s="9"/>
      <c r="J241" s="9"/>
      <c r="K241" s="9"/>
      <c r="L241" s="115"/>
      <c r="M241" s="115"/>
      <c r="N241" s="115"/>
      <c r="O241" s="115"/>
      <c r="P241" s="9"/>
      <c r="Q241" s="9"/>
      <c r="R241" s="9"/>
      <c r="S241" s="9"/>
      <c r="T241" s="9"/>
      <c r="U241" s="9"/>
      <c r="V241" s="9"/>
      <c r="W241" s="10"/>
      <c r="X241" s="10"/>
      <c r="Y241" s="10"/>
      <c r="Z241" s="10"/>
    </row>
    <row r="242">
      <c r="A242" s="9"/>
      <c r="B242" s="9"/>
      <c r="C242" s="9"/>
      <c r="D242" s="9"/>
      <c r="E242" s="9"/>
      <c r="F242" s="9"/>
      <c r="G242" s="9"/>
      <c r="H242" s="9"/>
      <c r="I242" s="9"/>
      <c r="J242" s="9"/>
      <c r="K242" s="9"/>
      <c r="L242" s="115"/>
      <c r="M242" s="115"/>
      <c r="N242" s="115"/>
      <c r="O242" s="115"/>
      <c r="P242" s="9"/>
      <c r="Q242" s="9"/>
      <c r="R242" s="9"/>
      <c r="S242" s="9"/>
      <c r="T242" s="9"/>
      <c r="U242" s="9"/>
      <c r="V242" s="9"/>
      <c r="W242" s="10"/>
      <c r="X242" s="10"/>
      <c r="Y242" s="10"/>
      <c r="Z242" s="10"/>
    </row>
    <row r="243">
      <c r="A243" s="9"/>
      <c r="B243" s="9"/>
      <c r="C243" s="9"/>
      <c r="D243" s="9"/>
      <c r="E243" s="9"/>
      <c r="F243" s="9"/>
      <c r="G243" s="9"/>
      <c r="H243" s="9"/>
      <c r="I243" s="9"/>
      <c r="J243" s="9"/>
      <c r="K243" s="9"/>
      <c r="L243" s="115"/>
      <c r="M243" s="115"/>
      <c r="N243" s="115"/>
      <c r="O243" s="115"/>
      <c r="P243" s="9"/>
      <c r="Q243" s="9"/>
      <c r="R243" s="9"/>
      <c r="S243" s="9"/>
      <c r="T243" s="9"/>
      <c r="U243" s="9"/>
      <c r="V243" s="9"/>
      <c r="W243" s="10"/>
      <c r="X243" s="10"/>
      <c r="Y243" s="10"/>
      <c r="Z243" s="10"/>
    </row>
    <row r="244">
      <c r="A244" s="9"/>
      <c r="B244" s="9"/>
      <c r="C244" s="9"/>
      <c r="D244" s="9"/>
      <c r="E244" s="9"/>
      <c r="F244" s="9"/>
      <c r="G244" s="9"/>
      <c r="H244" s="9"/>
      <c r="I244" s="9"/>
      <c r="J244" s="9"/>
      <c r="K244" s="9"/>
      <c r="L244" s="115"/>
      <c r="M244" s="115"/>
      <c r="N244" s="115"/>
      <c r="O244" s="115"/>
      <c r="P244" s="9"/>
      <c r="Q244" s="9"/>
      <c r="R244" s="9"/>
      <c r="S244" s="9"/>
      <c r="T244" s="9"/>
      <c r="U244" s="9"/>
      <c r="V244" s="9"/>
      <c r="W244" s="10"/>
      <c r="X244" s="10"/>
      <c r="Y244" s="10"/>
      <c r="Z244" s="10"/>
    </row>
    <row r="245">
      <c r="A245" s="9"/>
      <c r="B245" s="9"/>
      <c r="C245" s="9"/>
      <c r="D245" s="9"/>
      <c r="E245" s="9"/>
      <c r="F245" s="9"/>
      <c r="G245" s="9"/>
      <c r="H245" s="9"/>
      <c r="I245" s="9"/>
      <c r="J245" s="9"/>
      <c r="K245" s="9"/>
      <c r="L245" s="115"/>
      <c r="M245" s="115"/>
      <c r="N245" s="115"/>
      <c r="O245" s="115"/>
      <c r="P245" s="9"/>
      <c r="Q245" s="9"/>
      <c r="R245" s="9"/>
      <c r="S245" s="9"/>
      <c r="T245" s="9"/>
      <c r="U245" s="9"/>
      <c r="V245" s="9"/>
      <c r="W245" s="10"/>
      <c r="X245" s="10"/>
      <c r="Y245" s="10"/>
      <c r="Z245" s="10"/>
    </row>
    <row r="246">
      <c r="A246" s="9"/>
      <c r="B246" s="9"/>
      <c r="C246" s="9"/>
      <c r="D246" s="9"/>
      <c r="E246" s="9"/>
      <c r="F246" s="9"/>
      <c r="G246" s="9"/>
      <c r="H246" s="9"/>
      <c r="I246" s="9"/>
      <c r="J246" s="9"/>
      <c r="K246" s="9"/>
      <c r="L246" s="115"/>
      <c r="M246" s="115"/>
      <c r="N246" s="115"/>
      <c r="O246" s="115"/>
      <c r="P246" s="9"/>
      <c r="Q246" s="9"/>
      <c r="R246" s="9"/>
      <c r="S246" s="9"/>
      <c r="T246" s="9"/>
      <c r="U246" s="9"/>
      <c r="V246" s="9"/>
      <c r="W246" s="10"/>
      <c r="X246" s="10"/>
      <c r="Y246" s="10"/>
      <c r="Z246" s="10"/>
    </row>
    <row r="247">
      <c r="A247" s="9"/>
      <c r="B247" s="9"/>
      <c r="C247" s="9"/>
      <c r="D247" s="9"/>
      <c r="E247" s="9"/>
      <c r="F247" s="9"/>
      <c r="G247" s="9"/>
      <c r="H247" s="9"/>
      <c r="I247" s="9"/>
      <c r="J247" s="9"/>
      <c r="K247" s="9"/>
      <c r="L247" s="115"/>
      <c r="M247" s="115"/>
      <c r="N247" s="115"/>
      <c r="O247" s="115"/>
      <c r="P247" s="9"/>
      <c r="Q247" s="9"/>
      <c r="R247" s="9"/>
      <c r="S247" s="9"/>
      <c r="T247" s="9"/>
      <c r="U247" s="9"/>
      <c r="V247" s="9"/>
      <c r="W247" s="10"/>
      <c r="X247" s="10"/>
      <c r="Y247" s="10"/>
      <c r="Z247" s="10"/>
    </row>
    <row r="248">
      <c r="A248" s="9"/>
      <c r="B248" s="9"/>
      <c r="C248" s="9"/>
      <c r="D248" s="9"/>
      <c r="E248" s="9"/>
      <c r="F248" s="9"/>
      <c r="G248" s="9"/>
      <c r="H248" s="9"/>
      <c r="I248" s="9"/>
      <c r="J248" s="9"/>
      <c r="K248" s="9"/>
      <c r="L248" s="115"/>
      <c r="M248" s="115"/>
      <c r="N248" s="115"/>
      <c r="O248" s="115"/>
      <c r="P248" s="9"/>
      <c r="Q248" s="9"/>
      <c r="R248" s="9"/>
      <c r="S248" s="9"/>
      <c r="T248" s="9"/>
      <c r="U248" s="9"/>
      <c r="V248" s="9"/>
      <c r="W248" s="10"/>
      <c r="X248" s="10"/>
      <c r="Y248" s="10"/>
      <c r="Z248" s="10"/>
    </row>
    <row r="249">
      <c r="A249" s="9"/>
      <c r="B249" s="9"/>
      <c r="C249" s="9"/>
      <c r="D249" s="9"/>
      <c r="E249" s="9"/>
      <c r="F249" s="9"/>
      <c r="G249" s="9"/>
      <c r="H249" s="9"/>
      <c r="I249" s="9"/>
      <c r="J249" s="9"/>
      <c r="K249" s="9"/>
      <c r="L249" s="115"/>
      <c r="M249" s="115"/>
      <c r="N249" s="115"/>
      <c r="O249" s="115"/>
      <c r="P249" s="9"/>
      <c r="Q249" s="9"/>
      <c r="R249" s="9"/>
      <c r="S249" s="9"/>
      <c r="T249" s="9"/>
      <c r="U249" s="9"/>
      <c r="V249" s="9"/>
      <c r="W249" s="10"/>
      <c r="X249" s="10"/>
      <c r="Y249" s="10"/>
      <c r="Z249" s="10"/>
    </row>
    <row r="250">
      <c r="A250" s="9"/>
      <c r="B250" s="9"/>
      <c r="C250" s="9"/>
      <c r="D250" s="9"/>
      <c r="E250" s="9"/>
      <c r="F250" s="9"/>
      <c r="G250" s="9"/>
      <c r="H250" s="9"/>
      <c r="I250" s="9"/>
      <c r="J250" s="9"/>
      <c r="K250" s="9"/>
      <c r="L250" s="115"/>
      <c r="M250" s="115"/>
      <c r="N250" s="115"/>
      <c r="O250" s="115"/>
      <c r="P250" s="9"/>
      <c r="Q250" s="9"/>
      <c r="R250" s="9"/>
      <c r="S250" s="9"/>
      <c r="T250" s="9"/>
      <c r="U250" s="9"/>
      <c r="V250" s="9"/>
      <c r="W250" s="10"/>
      <c r="X250" s="10"/>
      <c r="Y250" s="10"/>
      <c r="Z250" s="10"/>
    </row>
    <row r="251">
      <c r="A251" s="9"/>
      <c r="B251" s="9"/>
      <c r="C251" s="9"/>
      <c r="D251" s="9"/>
      <c r="E251" s="9"/>
      <c r="F251" s="9"/>
      <c r="G251" s="9"/>
      <c r="H251" s="9"/>
      <c r="I251" s="9"/>
      <c r="J251" s="9"/>
      <c r="K251" s="9"/>
      <c r="L251" s="115"/>
      <c r="M251" s="115"/>
      <c r="N251" s="115"/>
      <c r="O251" s="115"/>
      <c r="P251" s="9"/>
      <c r="Q251" s="9"/>
      <c r="R251" s="9"/>
      <c r="S251" s="9"/>
      <c r="T251" s="9"/>
      <c r="U251" s="9"/>
      <c r="V251" s="9"/>
      <c r="W251" s="10"/>
      <c r="X251" s="10"/>
      <c r="Y251" s="10"/>
      <c r="Z251" s="10"/>
    </row>
    <row r="252">
      <c r="A252" s="9"/>
      <c r="B252" s="9"/>
      <c r="C252" s="9"/>
      <c r="D252" s="9"/>
      <c r="E252" s="9"/>
      <c r="F252" s="9"/>
      <c r="G252" s="9"/>
      <c r="H252" s="9"/>
      <c r="I252" s="9"/>
      <c r="J252" s="9"/>
      <c r="K252" s="9"/>
      <c r="L252" s="115"/>
      <c r="M252" s="115"/>
      <c r="N252" s="115"/>
      <c r="O252" s="115"/>
      <c r="P252" s="9"/>
      <c r="Q252" s="9"/>
      <c r="R252" s="9"/>
      <c r="S252" s="9"/>
      <c r="T252" s="9"/>
      <c r="U252" s="9"/>
      <c r="V252" s="9"/>
      <c r="W252" s="10"/>
      <c r="X252" s="10"/>
      <c r="Y252" s="10"/>
      <c r="Z252" s="10"/>
    </row>
    <row r="253">
      <c r="A253" s="9"/>
      <c r="B253" s="9"/>
      <c r="C253" s="9"/>
      <c r="D253" s="9"/>
      <c r="E253" s="9"/>
      <c r="F253" s="9"/>
      <c r="G253" s="9"/>
      <c r="H253" s="9"/>
      <c r="I253" s="9"/>
      <c r="J253" s="9"/>
      <c r="K253" s="9"/>
      <c r="L253" s="115"/>
      <c r="M253" s="115"/>
      <c r="N253" s="115"/>
      <c r="O253" s="115"/>
      <c r="P253" s="9"/>
      <c r="Q253" s="9"/>
      <c r="R253" s="9"/>
      <c r="S253" s="9"/>
      <c r="T253" s="9"/>
      <c r="U253" s="9"/>
      <c r="V253" s="9"/>
      <c r="W253" s="10"/>
      <c r="X253" s="10"/>
      <c r="Y253" s="10"/>
      <c r="Z253" s="10"/>
    </row>
    <row r="254">
      <c r="A254" s="9"/>
      <c r="B254" s="9"/>
      <c r="C254" s="9"/>
      <c r="D254" s="9"/>
      <c r="E254" s="9"/>
      <c r="F254" s="9"/>
      <c r="G254" s="9"/>
      <c r="H254" s="9"/>
      <c r="I254" s="9"/>
      <c r="J254" s="9"/>
      <c r="K254" s="9"/>
      <c r="L254" s="115"/>
      <c r="M254" s="115"/>
      <c r="N254" s="115"/>
      <c r="O254" s="115"/>
      <c r="P254" s="9"/>
      <c r="Q254" s="9"/>
      <c r="R254" s="9"/>
      <c r="S254" s="9"/>
      <c r="T254" s="9"/>
      <c r="U254" s="9"/>
      <c r="V254" s="9"/>
      <c r="W254" s="10"/>
      <c r="X254" s="10"/>
      <c r="Y254" s="10"/>
      <c r="Z254" s="10"/>
    </row>
    <row r="255">
      <c r="A255" s="9"/>
      <c r="B255" s="9"/>
      <c r="C255" s="9"/>
      <c r="D255" s="9"/>
      <c r="E255" s="9"/>
      <c r="F255" s="9"/>
      <c r="G255" s="9"/>
      <c r="H255" s="9"/>
      <c r="I255" s="9"/>
      <c r="J255" s="9"/>
      <c r="K255" s="9"/>
      <c r="L255" s="115"/>
      <c r="M255" s="115"/>
      <c r="N255" s="115"/>
      <c r="O255" s="115"/>
      <c r="P255" s="9"/>
      <c r="Q255" s="9"/>
      <c r="R255" s="9"/>
      <c r="S255" s="9"/>
      <c r="T255" s="9"/>
      <c r="U255" s="9"/>
      <c r="V255" s="9"/>
      <c r="W255" s="10"/>
      <c r="X255" s="10"/>
      <c r="Y255" s="10"/>
      <c r="Z255" s="10"/>
    </row>
    <row r="256">
      <c r="A256" s="9"/>
      <c r="B256" s="9"/>
      <c r="C256" s="9"/>
      <c r="D256" s="9"/>
      <c r="E256" s="9"/>
      <c r="F256" s="9"/>
      <c r="G256" s="9"/>
      <c r="H256" s="9"/>
      <c r="I256" s="9"/>
      <c r="J256" s="9"/>
      <c r="K256" s="9"/>
      <c r="L256" s="115"/>
      <c r="M256" s="115"/>
      <c r="N256" s="115"/>
      <c r="O256" s="115"/>
      <c r="P256" s="9"/>
      <c r="Q256" s="9"/>
      <c r="R256" s="9"/>
      <c r="S256" s="9"/>
      <c r="T256" s="9"/>
      <c r="U256" s="9"/>
      <c r="V256" s="9"/>
      <c r="W256" s="10"/>
      <c r="X256" s="10"/>
      <c r="Y256" s="10"/>
      <c r="Z256" s="10"/>
    </row>
    <row r="257">
      <c r="A257" s="9"/>
      <c r="B257" s="9"/>
      <c r="C257" s="9"/>
      <c r="D257" s="9"/>
      <c r="E257" s="9"/>
      <c r="F257" s="9"/>
      <c r="G257" s="9"/>
      <c r="H257" s="9"/>
      <c r="I257" s="9"/>
      <c r="J257" s="9"/>
      <c r="K257" s="9"/>
      <c r="L257" s="115"/>
      <c r="M257" s="115"/>
      <c r="N257" s="115"/>
      <c r="O257" s="115"/>
      <c r="P257" s="9"/>
      <c r="Q257" s="9"/>
      <c r="R257" s="9"/>
      <c r="S257" s="9"/>
      <c r="T257" s="9"/>
      <c r="U257" s="9"/>
      <c r="V257" s="9"/>
      <c r="W257" s="10"/>
      <c r="X257" s="10"/>
      <c r="Y257" s="10"/>
      <c r="Z257" s="10"/>
    </row>
    <row r="258">
      <c r="A258" s="9"/>
      <c r="B258" s="9"/>
      <c r="C258" s="9"/>
      <c r="D258" s="9"/>
      <c r="E258" s="9"/>
      <c r="F258" s="9"/>
      <c r="G258" s="9"/>
      <c r="H258" s="9"/>
      <c r="I258" s="9"/>
      <c r="J258" s="9"/>
      <c r="K258" s="9"/>
      <c r="L258" s="115"/>
      <c r="M258" s="115"/>
      <c r="N258" s="115"/>
      <c r="O258" s="115"/>
      <c r="P258" s="9"/>
      <c r="Q258" s="9"/>
      <c r="R258" s="9"/>
      <c r="S258" s="9"/>
      <c r="T258" s="9"/>
      <c r="U258" s="9"/>
      <c r="V258" s="9"/>
      <c r="W258" s="10"/>
      <c r="X258" s="10"/>
      <c r="Y258" s="10"/>
      <c r="Z258" s="10"/>
    </row>
    <row r="259">
      <c r="A259" s="9"/>
      <c r="B259" s="9"/>
      <c r="C259" s="9"/>
      <c r="D259" s="9"/>
      <c r="E259" s="9"/>
      <c r="F259" s="9"/>
      <c r="G259" s="9"/>
      <c r="H259" s="9"/>
      <c r="I259" s="9"/>
      <c r="J259" s="9"/>
      <c r="K259" s="9"/>
      <c r="L259" s="115"/>
      <c r="M259" s="115"/>
      <c r="N259" s="115"/>
      <c r="O259" s="115"/>
      <c r="P259" s="9"/>
      <c r="Q259" s="9"/>
      <c r="R259" s="9"/>
      <c r="S259" s="9"/>
      <c r="T259" s="9"/>
      <c r="U259" s="9"/>
      <c r="V259" s="9"/>
      <c r="W259" s="10"/>
      <c r="X259" s="10"/>
      <c r="Y259" s="10"/>
      <c r="Z259" s="10"/>
    </row>
    <row r="260">
      <c r="A260" s="9"/>
      <c r="B260" s="9"/>
      <c r="C260" s="9"/>
      <c r="D260" s="9"/>
      <c r="E260" s="9"/>
      <c r="F260" s="9"/>
      <c r="G260" s="9"/>
      <c r="H260" s="9"/>
      <c r="I260" s="9"/>
      <c r="J260" s="9"/>
      <c r="K260" s="9"/>
      <c r="L260" s="115"/>
      <c r="M260" s="115"/>
      <c r="N260" s="115"/>
      <c r="O260" s="115"/>
      <c r="P260" s="9"/>
      <c r="Q260" s="9"/>
      <c r="R260" s="9"/>
      <c r="S260" s="9"/>
      <c r="T260" s="9"/>
      <c r="U260" s="9"/>
      <c r="V260" s="9"/>
      <c r="W260" s="10"/>
      <c r="X260" s="10"/>
      <c r="Y260" s="10"/>
      <c r="Z260" s="10"/>
    </row>
    <row r="261">
      <c r="A261" s="9"/>
      <c r="B261" s="9"/>
      <c r="C261" s="9"/>
      <c r="D261" s="9"/>
      <c r="E261" s="9"/>
      <c r="F261" s="9"/>
      <c r="G261" s="9"/>
      <c r="H261" s="9"/>
      <c r="I261" s="9"/>
      <c r="J261" s="9"/>
      <c r="K261" s="9"/>
      <c r="L261" s="115"/>
      <c r="M261" s="115"/>
      <c r="N261" s="115"/>
      <c r="O261" s="115"/>
      <c r="P261" s="9"/>
      <c r="Q261" s="9"/>
      <c r="R261" s="9"/>
      <c r="S261" s="9"/>
      <c r="T261" s="9"/>
      <c r="U261" s="9"/>
      <c r="V261" s="9"/>
      <c r="W261" s="10"/>
      <c r="X261" s="10"/>
      <c r="Y261" s="10"/>
      <c r="Z261" s="10"/>
    </row>
    <row r="262">
      <c r="A262" s="9"/>
      <c r="B262" s="9"/>
      <c r="C262" s="9"/>
      <c r="D262" s="9"/>
      <c r="E262" s="9"/>
      <c r="F262" s="9"/>
      <c r="G262" s="9"/>
      <c r="H262" s="9"/>
      <c r="I262" s="9"/>
      <c r="J262" s="9"/>
      <c r="K262" s="9"/>
      <c r="L262" s="115"/>
      <c r="M262" s="115"/>
      <c r="N262" s="115"/>
      <c r="O262" s="115"/>
      <c r="P262" s="9"/>
      <c r="Q262" s="9"/>
      <c r="R262" s="9"/>
      <c r="S262" s="9"/>
      <c r="T262" s="9"/>
      <c r="U262" s="9"/>
      <c r="V262" s="9"/>
      <c r="W262" s="10"/>
      <c r="X262" s="10"/>
      <c r="Y262" s="10"/>
      <c r="Z262" s="10"/>
    </row>
    <row r="263">
      <c r="A263" s="9"/>
      <c r="B263" s="9"/>
      <c r="C263" s="9"/>
      <c r="D263" s="9"/>
      <c r="E263" s="9"/>
      <c r="F263" s="9"/>
      <c r="G263" s="9"/>
      <c r="H263" s="9"/>
      <c r="I263" s="9"/>
      <c r="J263" s="9"/>
      <c r="K263" s="9"/>
      <c r="L263" s="115"/>
      <c r="M263" s="115"/>
      <c r="N263" s="115"/>
      <c r="O263" s="115"/>
      <c r="P263" s="9"/>
      <c r="Q263" s="9"/>
      <c r="R263" s="9"/>
      <c r="S263" s="9"/>
      <c r="T263" s="9"/>
      <c r="U263" s="9"/>
      <c r="V263" s="9"/>
      <c r="W263" s="10"/>
      <c r="X263" s="10"/>
      <c r="Y263" s="10"/>
      <c r="Z263" s="10"/>
    </row>
    <row r="264">
      <c r="A264" s="9"/>
      <c r="B264" s="9"/>
      <c r="C264" s="9"/>
      <c r="D264" s="9"/>
      <c r="E264" s="9"/>
      <c r="F264" s="9"/>
      <c r="G264" s="9"/>
      <c r="H264" s="9"/>
      <c r="I264" s="9"/>
      <c r="J264" s="9"/>
      <c r="K264" s="9"/>
      <c r="L264" s="115"/>
      <c r="M264" s="115"/>
      <c r="N264" s="115"/>
      <c r="O264" s="115"/>
      <c r="P264" s="9"/>
      <c r="Q264" s="9"/>
      <c r="R264" s="9"/>
      <c r="S264" s="9"/>
      <c r="T264" s="9"/>
      <c r="U264" s="9"/>
      <c r="V264" s="9"/>
      <c r="W264" s="10"/>
      <c r="X264" s="10"/>
      <c r="Y264" s="10"/>
      <c r="Z264" s="10"/>
    </row>
    <row r="265">
      <c r="A265" s="9"/>
      <c r="B265" s="9"/>
      <c r="C265" s="9"/>
      <c r="D265" s="9"/>
      <c r="E265" s="9"/>
      <c r="F265" s="9"/>
      <c r="G265" s="9"/>
      <c r="H265" s="9"/>
      <c r="I265" s="9"/>
      <c r="J265" s="9"/>
      <c r="K265" s="9"/>
      <c r="L265" s="115"/>
      <c r="M265" s="115"/>
      <c r="N265" s="115"/>
      <c r="O265" s="115"/>
      <c r="P265" s="9"/>
      <c r="Q265" s="9"/>
      <c r="R265" s="9"/>
      <c r="S265" s="9"/>
      <c r="T265" s="9"/>
      <c r="U265" s="9"/>
      <c r="V265" s="9"/>
      <c r="W265" s="10"/>
      <c r="X265" s="10"/>
      <c r="Y265" s="10"/>
      <c r="Z265" s="10"/>
    </row>
    <row r="266">
      <c r="A266" s="9"/>
      <c r="B266" s="9"/>
      <c r="C266" s="9"/>
      <c r="D266" s="9"/>
      <c r="E266" s="9"/>
      <c r="F266" s="9"/>
      <c r="G266" s="9"/>
      <c r="H266" s="9"/>
      <c r="I266" s="9"/>
      <c r="J266" s="9"/>
      <c r="K266" s="9"/>
      <c r="L266" s="115"/>
      <c r="M266" s="115"/>
      <c r="N266" s="115"/>
      <c r="O266" s="115"/>
      <c r="P266" s="9"/>
      <c r="Q266" s="9"/>
      <c r="R266" s="9"/>
      <c r="S266" s="9"/>
      <c r="T266" s="9"/>
      <c r="U266" s="9"/>
      <c r="V266" s="9"/>
      <c r="W266" s="10"/>
      <c r="X266" s="10"/>
      <c r="Y266" s="10"/>
      <c r="Z266" s="10"/>
    </row>
    <row r="267">
      <c r="A267" s="9"/>
      <c r="B267" s="9"/>
      <c r="C267" s="9"/>
      <c r="D267" s="9"/>
      <c r="E267" s="9"/>
      <c r="F267" s="9"/>
      <c r="G267" s="9"/>
      <c r="H267" s="9"/>
      <c r="I267" s="9"/>
      <c r="J267" s="9"/>
      <c r="K267" s="9"/>
      <c r="L267" s="115"/>
      <c r="M267" s="115"/>
      <c r="N267" s="115"/>
      <c r="O267" s="115"/>
      <c r="P267" s="9"/>
      <c r="Q267" s="9"/>
      <c r="R267" s="9"/>
      <c r="S267" s="9"/>
      <c r="T267" s="9"/>
      <c r="U267" s="9"/>
      <c r="V267" s="9"/>
      <c r="W267" s="10"/>
      <c r="X267" s="10"/>
      <c r="Y267" s="10"/>
      <c r="Z267" s="10"/>
    </row>
    <row r="268">
      <c r="A268" s="9"/>
      <c r="B268" s="9"/>
      <c r="C268" s="9"/>
      <c r="D268" s="9"/>
      <c r="E268" s="9"/>
      <c r="F268" s="9"/>
      <c r="G268" s="9"/>
      <c r="H268" s="9"/>
      <c r="I268" s="9"/>
      <c r="J268" s="9"/>
      <c r="K268" s="9"/>
      <c r="L268" s="115"/>
      <c r="M268" s="115"/>
      <c r="N268" s="115"/>
      <c r="O268" s="115"/>
      <c r="P268" s="9"/>
      <c r="Q268" s="9"/>
      <c r="R268" s="9"/>
      <c r="S268" s="9"/>
      <c r="T268" s="9"/>
      <c r="U268" s="9"/>
      <c r="V268" s="9"/>
      <c r="W268" s="10"/>
      <c r="X268" s="10"/>
      <c r="Y268" s="10"/>
      <c r="Z268" s="10"/>
    </row>
    <row r="269">
      <c r="A269" s="9"/>
      <c r="B269" s="9"/>
      <c r="C269" s="9"/>
      <c r="D269" s="9"/>
      <c r="E269" s="9"/>
      <c r="F269" s="9"/>
      <c r="G269" s="9"/>
      <c r="H269" s="9"/>
      <c r="I269" s="9"/>
      <c r="J269" s="9"/>
      <c r="K269" s="9"/>
      <c r="L269" s="115"/>
      <c r="M269" s="115"/>
      <c r="N269" s="115"/>
      <c r="O269" s="115"/>
      <c r="P269" s="9"/>
      <c r="Q269" s="9"/>
      <c r="R269" s="9"/>
      <c r="S269" s="9"/>
      <c r="T269" s="9"/>
      <c r="U269" s="9"/>
      <c r="V269" s="9"/>
      <c r="W269" s="10"/>
      <c r="X269" s="10"/>
      <c r="Y269" s="10"/>
      <c r="Z269" s="10"/>
    </row>
    <row r="270">
      <c r="A270" s="9"/>
      <c r="B270" s="9"/>
      <c r="C270" s="9"/>
      <c r="D270" s="9"/>
      <c r="E270" s="9"/>
      <c r="F270" s="9"/>
      <c r="G270" s="9"/>
      <c r="H270" s="9"/>
      <c r="I270" s="9"/>
      <c r="J270" s="9"/>
      <c r="K270" s="9"/>
      <c r="L270" s="115"/>
      <c r="M270" s="115"/>
      <c r="N270" s="115"/>
      <c r="O270" s="115"/>
      <c r="P270" s="9"/>
      <c r="Q270" s="9"/>
      <c r="R270" s="9"/>
      <c r="S270" s="9"/>
      <c r="T270" s="9"/>
      <c r="U270" s="9"/>
      <c r="V270" s="9"/>
      <c r="W270" s="10"/>
      <c r="X270" s="10"/>
      <c r="Y270" s="10"/>
      <c r="Z270" s="10"/>
    </row>
    <row r="271">
      <c r="A271" s="9"/>
      <c r="B271" s="9"/>
      <c r="C271" s="9"/>
      <c r="D271" s="9"/>
      <c r="E271" s="9"/>
      <c r="F271" s="9"/>
      <c r="G271" s="9"/>
      <c r="H271" s="9"/>
      <c r="I271" s="9"/>
      <c r="J271" s="9"/>
      <c r="K271" s="9"/>
      <c r="L271" s="115"/>
      <c r="M271" s="115"/>
      <c r="N271" s="115"/>
      <c r="O271" s="115"/>
      <c r="P271" s="9"/>
      <c r="Q271" s="9"/>
      <c r="R271" s="9"/>
      <c r="S271" s="9"/>
      <c r="T271" s="9"/>
      <c r="U271" s="9"/>
      <c r="V271" s="9"/>
      <c r="W271" s="10"/>
      <c r="X271" s="10"/>
      <c r="Y271" s="10"/>
      <c r="Z271" s="10"/>
    </row>
    <row r="272">
      <c r="A272" s="9"/>
      <c r="B272" s="9"/>
      <c r="C272" s="9"/>
      <c r="D272" s="9"/>
      <c r="E272" s="9"/>
      <c r="F272" s="9"/>
      <c r="G272" s="9"/>
      <c r="H272" s="9"/>
      <c r="I272" s="9"/>
      <c r="J272" s="9"/>
      <c r="K272" s="9"/>
      <c r="L272" s="115"/>
      <c r="M272" s="115"/>
      <c r="N272" s="115"/>
      <c r="O272" s="115"/>
      <c r="P272" s="9"/>
      <c r="Q272" s="9"/>
      <c r="R272" s="9"/>
      <c r="S272" s="9"/>
      <c r="T272" s="9"/>
      <c r="U272" s="9"/>
      <c r="V272" s="9"/>
      <c r="W272" s="10"/>
      <c r="X272" s="10"/>
      <c r="Y272" s="10"/>
      <c r="Z272" s="10"/>
    </row>
    <row r="273">
      <c r="A273" s="9"/>
      <c r="B273" s="9"/>
      <c r="C273" s="9"/>
      <c r="D273" s="9"/>
      <c r="E273" s="9"/>
      <c r="F273" s="9"/>
      <c r="G273" s="9"/>
      <c r="H273" s="9"/>
      <c r="I273" s="9"/>
      <c r="J273" s="9"/>
      <c r="K273" s="9"/>
      <c r="L273" s="115"/>
      <c r="M273" s="115"/>
      <c r="N273" s="115"/>
      <c r="O273" s="115"/>
      <c r="P273" s="9"/>
      <c r="Q273" s="9"/>
      <c r="R273" s="9"/>
      <c r="S273" s="9"/>
      <c r="T273" s="9"/>
      <c r="U273" s="9"/>
      <c r="V273" s="9"/>
      <c r="W273" s="10"/>
      <c r="X273" s="10"/>
      <c r="Y273" s="10"/>
      <c r="Z273" s="10"/>
    </row>
    <row r="274">
      <c r="A274" s="9"/>
      <c r="B274" s="9"/>
      <c r="C274" s="9"/>
      <c r="D274" s="9"/>
      <c r="E274" s="9"/>
      <c r="F274" s="9"/>
      <c r="G274" s="9"/>
      <c r="H274" s="9"/>
      <c r="I274" s="9"/>
      <c r="J274" s="9"/>
      <c r="K274" s="9"/>
      <c r="L274" s="115"/>
      <c r="M274" s="115"/>
      <c r="N274" s="115"/>
      <c r="O274" s="115"/>
      <c r="P274" s="9"/>
      <c r="Q274" s="9"/>
      <c r="R274" s="9"/>
      <c r="S274" s="9"/>
      <c r="T274" s="9"/>
      <c r="U274" s="9"/>
      <c r="V274" s="9"/>
      <c r="W274" s="10"/>
      <c r="X274" s="10"/>
      <c r="Y274" s="10"/>
      <c r="Z274" s="10"/>
    </row>
    <row r="275">
      <c r="A275" s="9"/>
      <c r="B275" s="9"/>
      <c r="C275" s="9"/>
      <c r="D275" s="9"/>
      <c r="E275" s="9"/>
      <c r="F275" s="9"/>
      <c r="G275" s="9"/>
      <c r="H275" s="9"/>
      <c r="I275" s="9"/>
      <c r="J275" s="9"/>
      <c r="K275" s="9"/>
      <c r="L275" s="115"/>
      <c r="M275" s="115"/>
      <c r="N275" s="115"/>
      <c r="O275" s="115"/>
      <c r="P275" s="9"/>
      <c r="Q275" s="9"/>
      <c r="R275" s="9"/>
      <c r="S275" s="9"/>
      <c r="T275" s="9"/>
      <c r="U275" s="9"/>
      <c r="V275" s="9"/>
      <c r="W275" s="10"/>
      <c r="X275" s="10"/>
      <c r="Y275" s="10"/>
      <c r="Z275" s="10"/>
    </row>
    <row r="276">
      <c r="A276" s="9"/>
      <c r="B276" s="9"/>
      <c r="C276" s="9"/>
      <c r="D276" s="9"/>
      <c r="E276" s="9"/>
      <c r="F276" s="9"/>
      <c r="G276" s="9"/>
      <c r="H276" s="9"/>
      <c r="I276" s="9"/>
      <c r="J276" s="9"/>
      <c r="K276" s="9"/>
      <c r="L276" s="115"/>
      <c r="M276" s="115"/>
      <c r="N276" s="115"/>
      <c r="O276" s="115"/>
      <c r="P276" s="9"/>
      <c r="Q276" s="9"/>
      <c r="R276" s="9"/>
      <c r="S276" s="9"/>
      <c r="T276" s="9"/>
      <c r="U276" s="9"/>
      <c r="V276" s="9"/>
      <c r="W276" s="10"/>
      <c r="X276" s="10"/>
      <c r="Y276" s="10"/>
      <c r="Z276" s="10"/>
    </row>
    <row r="277">
      <c r="A277" s="9"/>
      <c r="B277" s="9"/>
      <c r="C277" s="9"/>
      <c r="D277" s="9"/>
      <c r="E277" s="9"/>
      <c r="F277" s="9"/>
      <c r="G277" s="9"/>
      <c r="H277" s="9"/>
      <c r="I277" s="9"/>
      <c r="J277" s="9"/>
      <c r="K277" s="9"/>
      <c r="L277" s="115"/>
      <c r="M277" s="115"/>
      <c r="N277" s="115"/>
      <c r="O277" s="115"/>
      <c r="P277" s="9"/>
      <c r="Q277" s="9"/>
      <c r="R277" s="9"/>
      <c r="S277" s="9"/>
      <c r="T277" s="9"/>
      <c r="U277" s="9"/>
      <c r="V277" s="9"/>
      <c r="W277" s="10"/>
      <c r="X277" s="10"/>
      <c r="Y277" s="10"/>
      <c r="Z277" s="10"/>
    </row>
    <row r="278">
      <c r="A278" s="9"/>
      <c r="B278" s="9"/>
      <c r="C278" s="9"/>
      <c r="D278" s="9"/>
      <c r="E278" s="9"/>
      <c r="F278" s="9"/>
      <c r="G278" s="9"/>
      <c r="H278" s="9"/>
      <c r="I278" s="9"/>
      <c r="J278" s="9"/>
      <c r="K278" s="9"/>
      <c r="L278" s="115"/>
      <c r="M278" s="115"/>
      <c r="N278" s="115"/>
      <c r="O278" s="115"/>
      <c r="P278" s="9"/>
      <c r="Q278" s="9"/>
      <c r="R278" s="9"/>
      <c r="S278" s="9"/>
      <c r="T278" s="9"/>
      <c r="U278" s="9"/>
      <c r="V278" s="9"/>
      <c r="W278" s="10"/>
      <c r="X278" s="10"/>
      <c r="Y278" s="10"/>
      <c r="Z278" s="10"/>
    </row>
    <row r="279">
      <c r="A279" s="9"/>
      <c r="B279" s="9"/>
      <c r="C279" s="9"/>
      <c r="D279" s="9"/>
      <c r="E279" s="9"/>
      <c r="F279" s="9"/>
      <c r="G279" s="9"/>
      <c r="H279" s="9"/>
      <c r="I279" s="9"/>
      <c r="J279" s="9"/>
      <c r="K279" s="9"/>
      <c r="L279" s="115"/>
      <c r="M279" s="115"/>
      <c r="N279" s="115"/>
      <c r="O279" s="115"/>
      <c r="P279" s="9"/>
      <c r="Q279" s="9"/>
      <c r="R279" s="9"/>
      <c r="S279" s="9"/>
      <c r="T279" s="9"/>
      <c r="U279" s="9"/>
      <c r="V279" s="9"/>
      <c r="W279" s="10"/>
      <c r="X279" s="10"/>
      <c r="Y279" s="10"/>
      <c r="Z279" s="10"/>
    </row>
    <row r="280">
      <c r="A280" s="9"/>
      <c r="B280" s="9"/>
      <c r="C280" s="9"/>
      <c r="D280" s="9"/>
      <c r="E280" s="9"/>
      <c r="F280" s="9"/>
      <c r="G280" s="9"/>
      <c r="H280" s="9"/>
      <c r="I280" s="9"/>
      <c r="J280" s="9"/>
      <c r="K280" s="9"/>
      <c r="L280" s="115"/>
      <c r="M280" s="115"/>
      <c r="N280" s="115"/>
      <c r="O280" s="115"/>
      <c r="P280" s="9"/>
      <c r="Q280" s="9"/>
      <c r="R280" s="9"/>
      <c r="S280" s="9"/>
      <c r="T280" s="9"/>
      <c r="U280" s="9"/>
      <c r="V280" s="9"/>
      <c r="W280" s="10"/>
      <c r="X280" s="10"/>
      <c r="Y280" s="10"/>
      <c r="Z280" s="10"/>
    </row>
    <row r="281">
      <c r="A281" s="9"/>
      <c r="B281" s="9"/>
      <c r="C281" s="9"/>
      <c r="D281" s="9"/>
      <c r="E281" s="9"/>
      <c r="F281" s="9"/>
      <c r="G281" s="9"/>
      <c r="H281" s="9"/>
      <c r="I281" s="9"/>
      <c r="J281" s="9"/>
      <c r="K281" s="9"/>
      <c r="L281" s="115"/>
      <c r="M281" s="115"/>
      <c r="N281" s="115"/>
      <c r="O281" s="115"/>
      <c r="P281" s="9"/>
      <c r="Q281" s="9"/>
      <c r="R281" s="9"/>
      <c r="S281" s="9"/>
      <c r="T281" s="9"/>
      <c r="U281" s="9"/>
      <c r="V281" s="9"/>
      <c r="W281" s="10"/>
      <c r="X281" s="10"/>
      <c r="Y281" s="10"/>
      <c r="Z281" s="10"/>
    </row>
    <row r="282">
      <c r="A282" s="9"/>
      <c r="B282" s="9"/>
      <c r="C282" s="9"/>
      <c r="D282" s="9"/>
      <c r="E282" s="9"/>
      <c r="F282" s="9"/>
      <c r="G282" s="9"/>
      <c r="H282" s="9"/>
      <c r="I282" s="9"/>
      <c r="J282" s="9"/>
      <c r="K282" s="9"/>
      <c r="L282" s="115"/>
      <c r="M282" s="115"/>
      <c r="N282" s="115"/>
      <c r="O282" s="115"/>
      <c r="P282" s="9"/>
      <c r="Q282" s="9"/>
      <c r="R282" s="9"/>
      <c r="S282" s="9"/>
      <c r="T282" s="9"/>
      <c r="U282" s="9"/>
      <c r="V282" s="9"/>
      <c r="W282" s="10"/>
      <c r="X282" s="10"/>
      <c r="Y282" s="10"/>
      <c r="Z282" s="10"/>
    </row>
    <row r="283">
      <c r="A283" s="9"/>
      <c r="B283" s="9"/>
      <c r="C283" s="9"/>
      <c r="D283" s="9"/>
      <c r="E283" s="9"/>
      <c r="F283" s="9"/>
      <c r="G283" s="9"/>
      <c r="H283" s="9"/>
      <c r="I283" s="9"/>
      <c r="J283" s="9"/>
      <c r="K283" s="9"/>
      <c r="L283" s="115"/>
      <c r="M283" s="115"/>
      <c r="N283" s="115"/>
      <c r="O283" s="115"/>
      <c r="P283" s="9"/>
      <c r="Q283" s="9"/>
      <c r="R283" s="9"/>
      <c r="S283" s="9"/>
      <c r="T283" s="9"/>
      <c r="U283" s="9"/>
      <c r="V283" s="9"/>
      <c r="W283" s="10"/>
      <c r="X283" s="10"/>
      <c r="Y283" s="10"/>
      <c r="Z283" s="10"/>
    </row>
    <row r="284">
      <c r="A284" s="9"/>
      <c r="B284" s="9"/>
      <c r="C284" s="9"/>
      <c r="D284" s="9"/>
      <c r="E284" s="9"/>
      <c r="F284" s="9"/>
      <c r="G284" s="9"/>
      <c r="H284" s="9"/>
      <c r="I284" s="9"/>
      <c r="J284" s="9"/>
      <c r="K284" s="9"/>
      <c r="L284" s="115"/>
      <c r="M284" s="115"/>
      <c r="N284" s="115"/>
      <c r="O284" s="115"/>
      <c r="P284" s="9"/>
      <c r="Q284" s="9"/>
      <c r="R284" s="9"/>
      <c r="S284" s="9"/>
      <c r="T284" s="9"/>
      <c r="U284" s="9"/>
      <c r="V284" s="9"/>
      <c r="W284" s="10"/>
      <c r="X284" s="10"/>
      <c r="Y284" s="10"/>
      <c r="Z284" s="10"/>
    </row>
    <row r="285">
      <c r="A285" s="9"/>
      <c r="B285" s="9"/>
      <c r="C285" s="9"/>
      <c r="D285" s="9"/>
      <c r="E285" s="9"/>
      <c r="F285" s="9"/>
      <c r="G285" s="9"/>
      <c r="H285" s="9"/>
      <c r="I285" s="9"/>
      <c r="J285" s="9"/>
      <c r="K285" s="9"/>
      <c r="L285" s="115"/>
      <c r="M285" s="115"/>
      <c r="N285" s="115"/>
      <c r="O285" s="115"/>
      <c r="P285" s="9"/>
      <c r="Q285" s="9"/>
      <c r="R285" s="9"/>
      <c r="S285" s="9"/>
      <c r="T285" s="9"/>
      <c r="U285" s="9"/>
      <c r="V285" s="9"/>
      <c r="W285" s="10"/>
      <c r="X285" s="10"/>
      <c r="Y285" s="10"/>
      <c r="Z285" s="10"/>
    </row>
    <row r="286">
      <c r="A286" s="9"/>
      <c r="B286" s="9"/>
      <c r="C286" s="9"/>
      <c r="D286" s="9"/>
      <c r="E286" s="9"/>
      <c r="F286" s="9"/>
      <c r="G286" s="9"/>
      <c r="H286" s="9"/>
      <c r="I286" s="9"/>
      <c r="J286" s="9"/>
      <c r="K286" s="9"/>
      <c r="L286" s="115"/>
      <c r="M286" s="115"/>
      <c r="N286" s="115"/>
      <c r="O286" s="115"/>
      <c r="P286" s="9"/>
      <c r="Q286" s="9"/>
      <c r="R286" s="9"/>
      <c r="S286" s="9"/>
      <c r="T286" s="9"/>
      <c r="U286" s="9"/>
      <c r="V286" s="9"/>
      <c r="W286" s="10"/>
      <c r="X286" s="10"/>
      <c r="Y286" s="10"/>
      <c r="Z286" s="10"/>
    </row>
    <row r="287">
      <c r="A287" s="9"/>
      <c r="B287" s="9"/>
      <c r="C287" s="9"/>
      <c r="D287" s="9"/>
      <c r="E287" s="9"/>
      <c r="F287" s="9"/>
      <c r="G287" s="9"/>
      <c r="H287" s="9"/>
      <c r="I287" s="9"/>
      <c r="J287" s="9"/>
      <c r="K287" s="9"/>
      <c r="L287" s="115"/>
      <c r="M287" s="115"/>
      <c r="N287" s="115"/>
      <c r="O287" s="115"/>
      <c r="P287" s="9"/>
      <c r="Q287" s="9"/>
      <c r="R287" s="9"/>
      <c r="S287" s="9"/>
      <c r="T287" s="9"/>
      <c r="U287" s="9"/>
      <c r="V287" s="9"/>
      <c r="W287" s="10"/>
      <c r="X287" s="10"/>
      <c r="Y287" s="10"/>
      <c r="Z287" s="10"/>
    </row>
    <row r="288">
      <c r="A288" s="9"/>
      <c r="B288" s="9"/>
      <c r="C288" s="9"/>
      <c r="D288" s="9"/>
      <c r="E288" s="9"/>
      <c r="F288" s="9"/>
      <c r="G288" s="9"/>
      <c r="H288" s="9"/>
      <c r="I288" s="9"/>
      <c r="J288" s="9"/>
      <c r="K288" s="9"/>
      <c r="L288" s="115"/>
      <c r="M288" s="115"/>
      <c r="N288" s="115"/>
      <c r="O288" s="115"/>
      <c r="P288" s="9"/>
      <c r="Q288" s="9"/>
      <c r="R288" s="9"/>
      <c r="S288" s="9"/>
      <c r="T288" s="9"/>
      <c r="U288" s="9"/>
      <c r="V288" s="9"/>
      <c r="W288" s="10"/>
      <c r="X288" s="10"/>
      <c r="Y288" s="10"/>
      <c r="Z288" s="10"/>
    </row>
    <row r="289">
      <c r="A289" s="9"/>
      <c r="B289" s="9"/>
      <c r="C289" s="9"/>
      <c r="D289" s="9"/>
      <c r="E289" s="9"/>
      <c r="F289" s="9"/>
      <c r="G289" s="9"/>
      <c r="H289" s="9"/>
      <c r="I289" s="9"/>
      <c r="J289" s="9"/>
      <c r="K289" s="9"/>
      <c r="L289" s="115"/>
      <c r="M289" s="115"/>
      <c r="N289" s="115"/>
      <c r="O289" s="115"/>
      <c r="P289" s="9"/>
      <c r="Q289" s="9"/>
      <c r="R289" s="9"/>
      <c r="S289" s="9"/>
      <c r="T289" s="9"/>
      <c r="U289" s="9"/>
      <c r="V289" s="9"/>
      <c r="W289" s="10"/>
      <c r="X289" s="10"/>
      <c r="Y289" s="10"/>
      <c r="Z289" s="10"/>
    </row>
    <row r="290">
      <c r="A290" s="9"/>
      <c r="B290" s="9"/>
      <c r="C290" s="9"/>
      <c r="D290" s="9"/>
      <c r="E290" s="9"/>
      <c r="F290" s="9"/>
      <c r="G290" s="9"/>
      <c r="H290" s="9"/>
      <c r="I290" s="9"/>
      <c r="J290" s="9"/>
      <c r="K290" s="9"/>
      <c r="L290" s="115"/>
      <c r="M290" s="115"/>
      <c r="N290" s="115"/>
      <c r="O290" s="115"/>
      <c r="P290" s="9"/>
      <c r="Q290" s="9"/>
      <c r="R290" s="9"/>
      <c r="S290" s="9"/>
      <c r="T290" s="9"/>
      <c r="U290" s="9"/>
      <c r="V290" s="9"/>
      <c r="W290" s="10"/>
      <c r="X290" s="10"/>
      <c r="Y290" s="10"/>
      <c r="Z290" s="10"/>
    </row>
    <row r="291">
      <c r="A291" s="9"/>
      <c r="B291" s="9"/>
      <c r="C291" s="9"/>
      <c r="D291" s="9"/>
      <c r="E291" s="9"/>
      <c r="F291" s="9"/>
      <c r="G291" s="9"/>
      <c r="H291" s="9"/>
      <c r="I291" s="9"/>
      <c r="J291" s="9"/>
      <c r="K291" s="9"/>
      <c r="L291" s="115"/>
      <c r="M291" s="115"/>
      <c r="N291" s="115"/>
      <c r="O291" s="115"/>
      <c r="P291" s="9"/>
      <c r="Q291" s="9"/>
      <c r="R291" s="9"/>
      <c r="S291" s="9"/>
      <c r="T291" s="9"/>
      <c r="U291" s="9"/>
      <c r="V291" s="9"/>
      <c r="W291" s="10"/>
      <c r="X291" s="10"/>
      <c r="Y291" s="10"/>
      <c r="Z291" s="10"/>
    </row>
    <row r="292">
      <c r="A292" s="9"/>
      <c r="B292" s="9"/>
      <c r="C292" s="9"/>
      <c r="D292" s="9"/>
      <c r="E292" s="9"/>
      <c r="F292" s="9"/>
      <c r="G292" s="9"/>
      <c r="H292" s="9"/>
      <c r="I292" s="9"/>
      <c r="J292" s="9"/>
      <c r="K292" s="9"/>
      <c r="L292" s="115"/>
      <c r="M292" s="115"/>
      <c r="N292" s="115"/>
      <c r="O292" s="115"/>
      <c r="P292" s="9"/>
      <c r="Q292" s="9"/>
      <c r="R292" s="9"/>
      <c r="S292" s="9"/>
      <c r="T292" s="9"/>
      <c r="U292" s="9"/>
      <c r="V292" s="9"/>
      <c r="W292" s="10"/>
      <c r="X292" s="10"/>
      <c r="Y292" s="10"/>
      <c r="Z292" s="10"/>
    </row>
    <row r="293">
      <c r="A293" s="9"/>
      <c r="B293" s="9"/>
      <c r="C293" s="9"/>
      <c r="D293" s="9"/>
      <c r="E293" s="9"/>
      <c r="F293" s="9"/>
      <c r="G293" s="9"/>
      <c r="H293" s="9"/>
      <c r="I293" s="9"/>
      <c r="J293" s="9"/>
      <c r="K293" s="9"/>
      <c r="L293" s="115"/>
      <c r="M293" s="115"/>
      <c r="N293" s="115"/>
      <c r="O293" s="115"/>
      <c r="P293" s="9"/>
      <c r="Q293" s="9"/>
      <c r="R293" s="9"/>
      <c r="S293" s="9"/>
      <c r="T293" s="9"/>
      <c r="U293" s="9"/>
      <c r="V293" s="9"/>
      <c r="W293" s="10"/>
      <c r="X293" s="10"/>
      <c r="Y293" s="10"/>
      <c r="Z293" s="10"/>
    </row>
    <row r="294">
      <c r="A294" s="9"/>
      <c r="B294" s="9"/>
      <c r="C294" s="9"/>
      <c r="D294" s="9"/>
      <c r="E294" s="9"/>
      <c r="F294" s="9"/>
      <c r="G294" s="9"/>
      <c r="H294" s="9"/>
      <c r="I294" s="9"/>
      <c r="J294" s="9"/>
      <c r="K294" s="9"/>
      <c r="L294" s="115"/>
      <c r="M294" s="115"/>
      <c r="N294" s="115"/>
      <c r="O294" s="115"/>
      <c r="P294" s="9"/>
      <c r="Q294" s="9"/>
      <c r="R294" s="9"/>
      <c r="S294" s="9"/>
      <c r="T294" s="9"/>
      <c r="U294" s="9"/>
      <c r="V294" s="9"/>
      <c r="W294" s="10"/>
      <c r="X294" s="10"/>
      <c r="Y294" s="10"/>
      <c r="Z294" s="10"/>
    </row>
    <row r="295">
      <c r="A295" s="9"/>
      <c r="B295" s="9"/>
      <c r="C295" s="9"/>
      <c r="D295" s="9"/>
      <c r="E295" s="9"/>
      <c r="F295" s="9"/>
      <c r="G295" s="9"/>
      <c r="H295" s="9"/>
      <c r="I295" s="9"/>
      <c r="J295" s="9"/>
      <c r="K295" s="9"/>
      <c r="L295" s="115"/>
      <c r="M295" s="115"/>
      <c r="N295" s="115"/>
      <c r="O295" s="115"/>
      <c r="P295" s="9"/>
      <c r="Q295" s="9"/>
      <c r="R295" s="9"/>
      <c r="S295" s="9"/>
      <c r="T295" s="9"/>
      <c r="U295" s="9"/>
      <c r="V295" s="9"/>
      <c r="W295" s="10"/>
      <c r="X295" s="10"/>
      <c r="Y295" s="10"/>
      <c r="Z295" s="10"/>
    </row>
    <row r="296">
      <c r="A296" s="9"/>
      <c r="B296" s="9"/>
      <c r="C296" s="9"/>
      <c r="D296" s="9"/>
      <c r="E296" s="9"/>
      <c r="F296" s="9"/>
      <c r="G296" s="9"/>
      <c r="H296" s="9"/>
      <c r="I296" s="9"/>
      <c r="J296" s="9"/>
      <c r="K296" s="9"/>
      <c r="L296" s="115"/>
      <c r="M296" s="115"/>
      <c r="N296" s="115"/>
      <c r="O296" s="115"/>
      <c r="P296" s="9"/>
      <c r="Q296" s="9"/>
      <c r="R296" s="9"/>
      <c r="S296" s="9"/>
      <c r="T296" s="9"/>
      <c r="U296" s="9"/>
      <c r="V296" s="9"/>
      <c r="W296" s="10"/>
      <c r="X296" s="10"/>
      <c r="Y296" s="10"/>
      <c r="Z296" s="10"/>
    </row>
    <row r="297">
      <c r="A297" s="9"/>
      <c r="B297" s="9"/>
      <c r="C297" s="9"/>
      <c r="D297" s="9"/>
      <c r="E297" s="9"/>
      <c r="F297" s="9"/>
      <c r="G297" s="9"/>
      <c r="H297" s="9"/>
      <c r="I297" s="9"/>
      <c r="J297" s="9"/>
      <c r="K297" s="9"/>
      <c r="L297" s="115"/>
      <c r="M297" s="115"/>
      <c r="N297" s="115"/>
      <c r="O297" s="115"/>
      <c r="P297" s="9"/>
      <c r="Q297" s="9"/>
      <c r="R297" s="9"/>
      <c r="S297" s="9"/>
      <c r="T297" s="9"/>
      <c r="U297" s="9"/>
      <c r="V297" s="9"/>
      <c r="W297" s="10"/>
      <c r="X297" s="10"/>
      <c r="Y297" s="10"/>
      <c r="Z297" s="10"/>
    </row>
    <row r="298">
      <c r="A298" s="9"/>
      <c r="B298" s="9"/>
      <c r="C298" s="9"/>
      <c r="D298" s="9"/>
      <c r="E298" s="9"/>
      <c r="F298" s="9"/>
      <c r="G298" s="9"/>
      <c r="H298" s="9"/>
      <c r="I298" s="9"/>
      <c r="J298" s="9"/>
      <c r="K298" s="9"/>
      <c r="L298" s="115"/>
      <c r="M298" s="115"/>
      <c r="N298" s="115"/>
      <c r="O298" s="115"/>
      <c r="P298" s="9"/>
      <c r="Q298" s="9"/>
      <c r="R298" s="9"/>
      <c r="S298" s="9"/>
      <c r="T298" s="9"/>
      <c r="U298" s="9"/>
      <c r="V298" s="9"/>
      <c r="W298" s="10"/>
      <c r="X298" s="10"/>
      <c r="Y298" s="10"/>
      <c r="Z298" s="10"/>
    </row>
    <row r="299">
      <c r="A299" s="9"/>
      <c r="B299" s="9"/>
      <c r="C299" s="9"/>
      <c r="D299" s="9"/>
      <c r="E299" s="9"/>
      <c r="F299" s="9"/>
      <c r="G299" s="9"/>
      <c r="H299" s="9"/>
      <c r="I299" s="9"/>
      <c r="J299" s="9"/>
      <c r="K299" s="9"/>
      <c r="L299" s="115"/>
      <c r="M299" s="115"/>
      <c r="N299" s="115"/>
      <c r="O299" s="115"/>
      <c r="P299" s="9"/>
      <c r="Q299" s="9"/>
      <c r="R299" s="9"/>
      <c r="S299" s="9"/>
      <c r="T299" s="9"/>
      <c r="U299" s="9"/>
      <c r="V299" s="9"/>
      <c r="W299" s="10"/>
      <c r="X299" s="10"/>
      <c r="Y299" s="10"/>
      <c r="Z299" s="10"/>
    </row>
    <row r="300">
      <c r="A300" s="9"/>
      <c r="B300" s="9"/>
      <c r="C300" s="9"/>
      <c r="D300" s="9"/>
      <c r="E300" s="9"/>
      <c r="F300" s="9"/>
      <c r="G300" s="9"/>
      <c r="H300" s="9"/>
      <c r="I300" s="9"/>
      <c r="J300" s="9"/>
      <c r="K300" s="9"/>
      <c r="L300" s="115"/>
      <c r="M300" s="115"/>
      <c r="N300" s="115"/>
      <c r="O300" s="115"/>
      <c r="P300" s="9"/>
      <c r="Q300" s="9"/>
      <c r="R300" s="9"/>
      <c r="S300" s="9"/>
      <c r="T300" s="9"/>
      <c r="U300" s="9"/>
      <c r="V300" s="9"/>
      <c r="W300" s="10"/>
      <c r="X300" s="10"/>
      <c r="Y300" s="10"/>
      <c r="Z300" s="10"/>
    </row>
    <row r="301">
      <c r="A301" s="9"/>
      <c r="B301" s="9"/>
      <c r="C301" s="9"/>
      <c r="D301" s="9"/>
      <c r="E301" s="9"/>
      <c r="F301" s="9"/>
      <c r="G301" s="9"/>
      <c r="H301" s="9"/>
      <c r="I301" s="9"/>
      <c r="J301" s="9"/>
      <c r="K301" s="9"/>
      <c r="L301" s="115"/>
      <c r="M301" s="115"/>
      <c r="N301" s="115"/>
      <c r="O301" s="115"/>
      <c r="P301" s="9"/>
      <c r="Q301" s="9"/>
      <c r="R301" s="9"/>
      <c r="S301" s="9"/>
      <c r="T301" s="9"/>
      <c r="U301" s="9"/>
      <c r="V301" s="9"/>
      <c r="W301" s="10"/>
      <c r="X301" s="10"/>
      <c r="Y301" s="10"/>
      <c r="Z301" s="10"/>
    </row>
    <row r="302">
      <c r="A302" s="9"/>
      <c r="B302" s="9"/>
      <c r="C302" s="9"/>
      <c r="D302" s="9"/>
      <c r="E302" s="9"/>
      <c r="F302" s="9"/>
      <c r="G302" s="9"/>
      <c r="H302" s="9"/>
      <c r="I302" s="9"/>
      <c r="J302" s="9"/>
      <c r="K302" s="9"/>
      <c r="L302" s="115"/>
      <c r="M302" s="115"/>
      <c r="N302" s="115"/>
      <c r="O302" s="115"/>
      <c r="P302" s="9"/>
      <c r="Q302" s="9"/>
      <c r="R302" s="9"/>
      <c r="S302" s="9"/>
      <c r="T302" s="9"/>
      <c r="U302" s="9"/>
      <c r="V302" s="9"/>
      <c r="W302" s="10"/>
      <c r="X302" s="10"/>
      <c r="Y302" s="10"/>
      <c r="Z302" s="10"/>
    </row>
    <row r="303">
      <c r="A303" s="9"/>
      <c r="B303" s="9"/>
      <c r="C303" s="9"/>
      <c r="D303" s="9"/>
      <c r="E303" s="9"/>
      <c r="F303" s="9"/>
      <c r="G303" s="9"/>
      <c r="H303" s="9"/>
      <c r="I303" s="9"/>
      <c r="J303" s="9"/>
      <c r="K303" s="9"/>
      <c r="L303" s="115"/>
      <c r="M303" s="115"/>
      <c r="N303" s="115"/>
      <c r="O303" s="115"/>
      <c r="P303" s="9"/>
      <c r="Q303" s="9"/>
      <c r="R303" s="9"/>
      <c r="S303" s="9"/>
      <c r="T303" s="9"/>
      <c r="U303" s="9"/>
      <c r="V303" s="9"/>
      <c r="W303" s="10"/>
      <c r="X303" s="10"/>
      <c r="Y303" s="10"/>
      <c r="Z303" s="10"/>
    </row>
    <row r="304">
      <c r="A304" s="9"/>
      <c r="B304" s="9"/>
      <c r="C304" s="9"/>
      <c r="D304" s="9"/>
      <c r="E304" s="9"/>
      <c r="F304" s="9"/>
      <c r="G304" s="9"/>
      <c r="H304" s="9"/>
      <c r="I304" s="9"/>
      <c r="J304" s="9"/>
      <c r="K304" s="9"/>
      <c r="L304" s="115"/>
      <c r="M304" s="115"/>
      <c r="N304" s="115"/>
      <c r="O304" s="115"/>
      <c r="P304" s="9"/>
      <c r="Q304" s="9"/>
      <c r="R304" s="9"/>
      <c r="S304" s="9"/>
      <c r="T304" s="9"/>
      <c r="U304" s="9"/>
      <c r="V304" s="9"/>
      <c r="W304" s="10"/>
      <c r="X304" s="10"/>
      <c r="Y304" s="10"/>
      <c r="Z304" s="10"/>
    </row>
    <row r="305">
      <c r="A305" s="9"/>
      <c r="B305" s="9"/>
      <c r="C305" s="9"/>
      <c r="D305" s="9"/>
      <c r="E305" s="9"/>
      <c r="F305" s="9"/>
      <c r="G305" s="9"/>
      <c r="H305" s="9"/>
      <c r="I305" s="9"/>
      <c r="J305" s="9"/>
      <c r="K305" s="9"/>
      <c r="L305" s="115"/>
      <c r="M305" s="115"/>
      <c r="N305" s="115"/>
      <c r="O305" s="115"/>
      <c r="P305" s="9"/>
      <c r="Q305" s="9"/>
      <c r="R305" s="9"/>
      <c r="S305" s="9"/>
      <c r="T305" s="9"/>
      <c r="U305" s="9"/>
      <c r="V305" s="9"/>
      <c r="W305" s="10"/>
      <c r="X305" s="10"/>
      <c r="Y305" s="10"/>
      <c r="Z305" s="10"/>
    </row>
    <row r="306">
      <c r="A306" s="9"/>
      <c r="B306" s="9"/>
      <c r="C306" s="9"/>
      <c r="D306" s="9"/>
      <c r="E306" s="9"/>
      <c r="F306" s="9"/>
      <c r="G306" s="9"/>
      <c r="H306" s="9"/>
      <c r="I306" s="9"/>
      <c r="J306" s="9"/>
      <c r="K306" s="9"/>
      <c r="L306" s="115"/>
      <c r="M306" s="115"/>
      <c r="N306" s="115"/>
      <c r="O306" s="115"/>
      <c r="P306" s="9"/>
      <c r="Q306" s="9"/>
      <c r="R306" s="9"/>
      <c r="S306" s="9"/>
      <c r="T306" s="9"/>
      <c r="U306" s="9"/>
      <c r="V306" s="9"/>
      <c r="W306" s="10"/>
      <c r="X306" s="10"/>
      <c r="Y306" s="10"/>
      <c r="Z306" s="10"/>
    </row>
    <row r="307">
      <c r="A307" s="9"/>
      <c r="B307" s="9"/>
      <c r="C307" s="9"/>
      <c r="D307" s="9"/>
      <c r="E307" s="9"/>
      <c r="F307" s="9"/>
      <c r="G307" s="9"/>
      <c r="H307" s="9"/>
      <c r="I307" s="9"/>
      <c r="J307" s="9"/>
      <c r="K307" s="9"/>
      <c r="L307" s="115"/>
      <c r="M307" s="115"/>
      <c r="N307" s="115"/>
      <c r="O307" s="115"/>
      <c r="P307" s="9"/>
      <c r="Q307" s="9"/>
      <c r="R307" s="9"/>
      <c r="S307" s="9"/>
      <c r="T307" s="9"/>
      <c r="U307" s="9"/>
      <c r="V307" s="9"/>
      <c r="W307" s="10"/>
      <c r="X307" s="10"/>
      <c r="Y307" s="10"/>
      <c r="Z307" s="10"/>
    </row>
    <row r="308">
      <c r="A308" s="9"/>
      <c r="B308" s="9"/>
      <c r="C308" s="9"/>
      <c r="D308" s="9"/>
      <c r="E308" s="9"/>
      <c r="F308" s="9"/>
      <c r="G308" s="9"/>
      <c r="H308" s="9"/>
      <c r="I308" s="9"/>
      <c r="J308" s="9"/>
      <c r="K308" s="9"/>
      <c r="L308" s="115"/>
      <c r="M308" s="115"/>
      <c r="N308" s="115"/>
      <c r="O308" s="115"/>
      <c r="P308" s="9"/>
      <c r="Q308" s="9"/>
      <c r="R308" s="9"/>
      <c r="S308" s="9"/>
      <c r="T308" s="9"/>
      <c r="U308" s="9"/>
      <c r="V308" s="9"/>
      <c r="W308" s="10"/>
      <c r="X308" s="10"/>
      <c r="Y308" s="10"/>
      <c r="Z308" s="10"/>
    </row>
    <row r="309">
      <c r="A309" s="9"/>
      <c r="B309" s="9"/>
      <c r="C309" s="9"/>
      <c r="D309" s="9"/>
      <c r="E309" s="9"/>
      <c r="F309" s="9"/>
      <c r="G309" s="9"/>
      <c r="H309" s="9"/>
      <c r="I309" s="9"/>
      <c r="J309" s="9"/>
      <c r="K309" s="9"/>
      <c r="L309" s="115"/>
      <c r="M309" s="115"/>
      <c r="N309" s="115"/>
      <c r="O309" s="115"/>
      <c r="P309" s="9"/>
      <c r="Q309" s="9"/>
      <c r="R309" s="9"/>
      <c r="S309" s="9"/>
      <c r="T309" s="9"/>
      <c r="U309" s="9"/>
      <c r="V309" s="9"/>
      <c r="W309" s="10"/>
      <c r="X309" s="10"/>
      <c r="Y309" s="10"/>
      <c r="Z309" s="10"/>
    </row>
    <row r="310">
      <c r="A310" s="9"/>
      <c r="B310" s="9"/>
      <c r="C310" s="9"/>
      <c r="D310" s="9"/>
      <c r="E310" s="9"/>
      <c r="F310" s="9"/>
      <c r="G310" s="9"/>
      <c r="H310" s="9"/>
      <c r="I310" s="9"/>
      <c r="J310" s="9"/>
      <c r="K310" s="9"/>
      <c r="L310" s="115"/>
      <c r="M310" s="115"/>
      <c r="N310" s="115"/>
      <c r="O310" s="115"/>
      <c r="P310" s="9"/>
      <c r="Q310" s="9"/>
      <c r="R310" s="9"/>
      <c r="S310" s="9"/>
      <c r="T310" s="9"/>
      <c r="U310" s="9"/>
      <c r="V310" s="9"/>
      <c r="W310" s="10"/>
      <c r="X310" s="10"/>
      <c r="Y310" s="10"/>
      <c r="Z310" s="10"/>
    </row>
    <row r="311">
      <c r="A311" s="9"/>
      <c r="B311" s="9"/>
      <c r="C311" s="9"/>
      <c r="D311" s="9"/>
      <c r="E311" s="9"/>
      <c r="F311" s="9"/>
      <c r="G311" s="9"/>
      <c r="H311" s="9"/>
      <c r="I311" s="9"/>
      <c r="J311" s="9"/>
      <c r="K311" s="9"/>
      <c r="L311" s="115"/>
      <c r="M311" s="115"/>
      <c r="N311" s="115"/>
      <c r="O311" s="115"/>
      <c r="P311" s="9"/>
      <c r="Q311" s="9"/>
      <c r="R311" s="9"/>
      <c r="S311" s="9"/>
      <c r="T311" s="9"/>
      <c r="U311" s="9"/>
      <c r="V311" s="9"/>
      <c r="W311" s="10"/>
      <c r="X311" s="10"/>
      <c r="Y311" s="10"/>
      <c r="Z311" s="10"/>
    </row>
    <row r="312">
      <c r="A312" s="9"/>
      <c r="B312" s="9"/>
      <c r="C312" s="9"/>
      <c r="D312" s="9"/>
      <c r="E312" s="9"/>
      <c r="F312" s="9"/>
      <c r="G312" s="9"/>
      <c r="H312" s="9"/>
      <c r="I312" s="9"/>
      <c r="J312" s="9"/>
      <c r="K312" s="9"/>
      <c r="L312" s="115"/>
      <c r="M312" s="115"/>
      <c r="N312" s="115"/>
      <c r="O312" s="115"/>
      <c r="P312" s="9"/>
      <c r="Q312" s="9"/>
      <c r="R312" s="9"/>
      <c r="S312" s="9"/>
      <c r="T312" s="9"/>
      <c r="U312" s="9"/>
      <c r="V312" s="9"/>
      <c r="W312" s="10"/>
      <c r="X312" s="10"/>
      <c r="Y312" s="10"/>
      <c r="Z312" s="10"/>
    </row>
    <row r="313">
      <c r="A313" s="9"/>
      <c r="B313" s="9"/>
      <c r="C313" s="9"/>
      <c r="D313" s="9"/>
      <c r="E313" s="9"/>
      <c r="F313" s="9"/>
      <c r="G313" s="9"/>
      <c r="H313" s="9"/>
      <c r="I313" s="9"/>
      <c r="J313" s="9"/>
      <c r="K313" s="9"/>
      <c r="L313" s="115"/>
      <c r="M313" s="115"/>
      <c r="N313" s="115"/>
      <c r="O313" s="115"/>
      <c r="P313" s="9"/>
      <c r="Q313" s="9"/>
      <c r="R313" s="9"/>
      <c r="S313" s="9"/>
      <c r="T313" s="9"/>
      <c r="U313" s="9"/>
      <c r="V313" s="9"/>
      <c r="W313" s="10"/>
      <c r="X313" s="10"/>
      <c r="Y313" s="10"/>
      <c r="Z313" s="10"/>
    </row>
    <row r="314">
      <c r="A314" s="9"/>
      <c r="B314" s="9"/>
      <c r="C314" s="9"/>
      <c r="D314" s="9"/>
      <c r="E314" s="9"/>
      <c r="F314" s="9"/>
      <c r="G314" s="9"/>
      <c r="H314" s="9"/>
      <c r="I314" s="9"/>
      <c r="J314" s="9"/>
      <c r="K314" s="9"/>
      <c r="L314" s="115"/>
      <c r="M314" s="115"/>
      <c r="N314" s="115"/>
      <c r="O314" s="115"/>
      <c r="P314" s="9"/>
      <c r="Q314" s="9"/>
      <c r="R314" s="9"/>
      <c r="S314" s="9"/>
      <c r="T314" s="9"/>
      <c r="U314" s="9"/>
      <c r="V314" s="9"/>
      <c r="W314" s="10"/>
      <c r="X314" s="10"/>
      <c r="Y314" s="10"/>
      <c r="Z314" s="10"/>
    </row>
    <row r="315">
      <c r="A315" s="9"/>
      <c r="B315" s="9"/>
      <c r="C315" s="9"/>
      <c r="D315" s="9"/>
      <c r="E315" s="9"/>
      <c r="F315" s="9"/>
      <c r="G315" s="9"/>
      <c r="H315" s="9"/>
      <c r="I315" s="9"/>
      <c r="J315" s="9"/>
      <c r="K315" s="9"/>
      <c r="L315" s="115"/>
      <c r="M315" s="115"/>
      <c r="N315" s="115"/>
      <c r="O315" s="115"/>
      <c r="P315" s="9"/>
      <c r="Q315" s="9"/>
      <c r="R315" s="9"/>
      <c r="S315" s="9"/>
      <c r="T315" s="9"/>
      <c r="U315" s="9"/>
      <c r="V315" s="9"/>
      <c r="W315" s="10"/>
      <c r="X315" s="10"/>
      <c r="Y315" s="10"/>
      <c r="Z315" s="10"/>
    </row>
    <row r="316">
      <c r="A316" s="9"/>
      <c r="B316" s="9"/>
      <c r="C316" s="9"/>
      <c r="D316" s="9"/>
      <c r="E316" s="9"/>
      <c r="F316" s="9"/>
      <c r="G316" s="9"/>
      <c r="H316" s="9"/>
      <c r="I316" s="9"/>
      <c r="J316" s="9"/>
      <c r="K316" s="9"/>
      <c r="L316" s="115"/>
      <c r="M316" s="115"/>
      <c r="N316" s="115"/>
      <c r="O316" s="115"/>
      <c r="P316" s="9"/>
      <c r="Q316" s="9"/>
      <c r="R316" s="9"/>
      <c r="S316" s="9"/>
      <c r="T316" s="9"/>
      <c r="U316" s="9"/>
      <c r="V316" s="9"/>
      <c r="W316" s="10"/>
      <c r="X316" s="10"/>
      <c r="Y316" s="10"/>
      <c r="Z316" s="10"/>
    </row>
    <row r="317">
      <c r="A317" s="9"/>
      <c r="B317" s="9"/>
      <c r="C317" s="9"/>
      <c r="D317" s="9"/>
      <c r="E317" s="9"/>
      <c r="F317" s="9"/>
      <c r="G317" s="9"/>
      <c r="H317" s="9"/>
      <c r="I317" s="9"/>
      <c r="J317" s="9"/>
      <c r="K317" s="9"/>
      <c r="L317" s="115"/>
      <c r="M317" s="115"/>
      <c r="N317" s="115"/>
      <c r="O317" s="115"/>
      <c r="P317" s="9"/>
      <c r="Q317" s="9"/>
      <c r="R317" s="9"/>
      <c r="S317" s="9"/>
      <c r="T317" s="9"/>
      <c r="U317" s="9"/>
      <c r="V317" s="9"/>
      <c r="W317" s="10"/>
      <c r="X317" s="10"/>
      <c r="Y317" s="10"/>
      <c r="Z317" s="10"/>
    </row>
    <row r="318">
      <c r="A318" s="9"/>
      <c r="B318" s="9"/>
      <c r="C318" s="9"/>
      <c r="D318" s="9"/>
      <c r="E318" s="9"/>
      <c r="F318" s="9"/>
      <c r="G318" s="9"/>
      <c r="H318" s="9"/>
      <c r="I318" s="9"/>
      <c r="J318" s="9"/>
      <c r="K318" s="9"/>
      <c r="L318" s="115"/>
      <c r="M318" s="115"/>
      <c r="N318" s="115"/>
      <c r="O318" s="115"/>
      <c r="P318" s="9"/>
      <c r="Q318" s="9"/>
      <c r="R318" s="9"/>
      <c r="S318" s="9"/>
      <c r="T318" s="9"/>
      <c r="U318" s="9"/>
      <c r="V318" s="9"/>
      <c r="W318" s="10"/>
      <c r="X318" s="10"/>
      <c r="Y318" s="10"/>
      <c r="Z318" s="10"/>
    </row>
    <row r="319">
      <c r="A319" s="9"/>
      <c r="B319" s="9"/>
      <c r="C319" s="9"/>
      <c r="D319" s="9"/>
      <c r="E319" s="9"/>
      <c r="F319" s="9"/>
      <c r="G319" s="9"/>
      <c r="H319" s="9"/>
      <c r="I319" s="9"/>
      <c r="J319" s="9"/>
      <c r="K319" s="9"/>
      <c r="L319" s="115"/>
      <c r="M319" s="115"/>
      <c r="N319" s="115"/>
      <c r="O319" s="115"/>
      <c r="P319" s="9"/>
      <c r="Q319" s="9"/>
      <c r="R319" s="9"/>
      <c r="S319" s="9"/>
      <c r="T319" s="9"/>
      <c r="U319" s="9"/>
      <c r="V319" s="9"/>
      <c r="W319" s="10"/>
      <c r="X319" s="10"/>
      <c r="Y319" s="10"/>
      <c r="Z319" s="10"/>
    </row>
    <row r="320">
      <c r="A320" s="9"/>
      <c r="B320" s="9"/>
      <c r="C320" s="9"/>
      <c r="D320" s="9"/>
      <c r="E320" s="9"/>
      <c r="F320" s="9"/>
      <c r="G320" s="9"/>
      <c r="H320" s="9"/>
      <c r="I320" s="9"/>
      <c r="J320" s="9"/>
      <c r="K320" s="9"/>
      <c r="L320" s="115"/>
      <c r="M320" s="115"/>
      <c r="N320" s="115"/>
      <c r="O320" s="115"/>
      <c r="P320" s="9"/>
      <c r="Q320" s="9"/>
      <c r="R320" s="9"/>
      <c r="S320" s="9"/>
      <c r="T320" s="9"/>
      <c r="U320" s="9"/>
      <c r="V320" s="9"/>
      <c r="W320" s="10"/>
      <c r="X320" s="10"/>
      <c r="Y320" s="10"/>
      <c r="Z320" s="10"/>
    </row>
    <row r="321">
      <c r="A321" s="9"/>
      <c r="B321" s="9"/>
      <c r="C321" s="9"/>
      <c r="D321" s="9"/>
      <c r="E321" s="9"/>
      <c r="F321" s="9"/>
      <c r="G321" s="9"/>
      <c r="H321" s="9"/>
      <c r="I321" s="9"/>
      <c r="J321" s="9"/>
      <c r="K321" s="9"/>
      <c r="L321" s="115"/>
      <c r="M321" s="115"/>
      <c r="N321" s="115"/>
      <c r="O321" s="115"/>
      <c r="P321" s="9"/>
      <c r="Q321" s="9"/>
      <c r="R321" s="9"/>
      <c r="S321" s="9"/>
      <c r="T321" s="9"/>
      <c r="U321" s="9"/>
      <c r="V321" s="9"/>
      <c r="W321" s="10"/>
      <c r="X321" s="10"/>
      <c r="Y321" s="10"/>
      <c r="Z321" s="10"/>
    </row>
    <row r="322">
      <c r="A322" s="9"/>
      <c r="B322" s="9"/>
      <c r="C322" s="9"/>
      <c r="D322" s="9"/>
      <c r="E322" s="9"/>
      <c r="F322" s="9"/>
      <c r="G322" s="9"/>
      <c r="H322" s="9"/>
      <c r="I322" s="9"/>
      <c r="J322" s="9"/>
      <c r="K322" s="9"/>
      <c r="L322" s="115"/>
      <c r="M322" s="115"/>
      <c r="N322" s="115"/>
      <c r="O322" s="115"/>
      <c r="P322" s="9"/>
      <c r="Q322" s="9"/>
      <c r="R322" s="9"/>
      <c r="S322" s="9"/>
      <c r="T322" s="9"/>
      <c r="U322" s="9"/>
      <c r="V322" s="9"/>
      <c r="W322" s="10"/>
      <c r="X322" s="10"/>
      <c r="Y322" s="10"/>
      <c r="Z322" s="10"/>
    </row>
    <row r="323">
      <c r="A323" s="9"/>
      <c r="B323" s="9"/>
      <c r="C323" s="9"/>
      <c r="D323" s="9"/>
      <c r="E323" s="9"/>
      <c r="F323" s="9"/>
      <c r="G323" s="9"/>
      <c r="H323" s="9"/>
      <c r="I323" s="9"/>
      <c r="J323" s="9"/>
      <c r="K323" s="9"/>
      <c r="L323" s="115"/>
      <c r="M323" s="115"/>
      <c r="N323" s="115"/>
      <c r="O323" s="115"/>
      <c r="P323" s="9"/>
      <c r="Q323" s="9"/>
      <c r="R323" s="9"/>
      <c r="S323" s="9"/>
      <c r="T323" s="9"/>
      <c r="U323" s="9"/>
      <c r="V323" s="9"/>
      <c r="W323" s="10"/>
      <c r="X323" s="10"/>
      <c r="Y323" s="10"/>
      <c r="Z323" s="10"/>
    </row>
    <row r="324">
      <c r="A324" s="9"/>
      <c r="B324" s="9"/>
      <c r="C324" s="9"/>
      <c r="D324" s="9"/>
      <c r="E324" s="9"/>
      <c r="F324" s="9"/>
      <c r="G324" s="9"/>
      <c r="H324" s="9"/>
      <c r="I324" s="9"/>
      <c r="J324" s="9"/>
      <c r="K324" s="9"/>
      <c r="L324" s="115"/>
      <c r="M324" s="115"/>
      <c r="N324" s="115"/>
      <c r="O324" s="115"/>
      <c r="P324" s="9"/>
      <c r="Q324" s="9"/>
      <c r="R324" s="9"/>
      <c r="S324" s="9"/>
      <c r="T324" s="9"/>
      <c r="U324" s="9"/>
      <c r="V324" s="9"/>
      <c r="W324" s="10"/>
      <c r="X324" s="10"/>
      <c r="Y324" s="10"/>
      <c r="Z324" s="10"/>
    </row>
    <row r="325">
      <c r="A325" s="9"/>
      <c r="B325" s="9"/>
      <c r="C325" s="9"/>
      <c r="D325" s="9"/>
      <c r="E325" s="9"/>
      <c r="F325" s="9"/>
      <c r="G325" s="9"/>
      <c r="H325" s="9"/>
      <c r="I325" s="9"/>
      <c r="J325" s="9"/>
      <c r="K325" s="9"/>
      <c r="L325" s="115"/>
      <c r="M325" s="115"/>
      <c r="N325" s="115"/>
      <c r="O325" s="115"/>
      <c r="P325" s="9"/>
      <c r="Q325" s="9"/>
      <c r="R325" s="9"/>
      <c r="S325" s="9"/>
      <c r="T325" s="9"/>
      <c r="U325" s="9"/>
      <c r="V325" s="9"/>
      <c r="W325" s="10"/>
      <c r="X325" s="10"/>
      <c r="Y325" s="10"/>
      <c r="Z325" s="10"/>
    </row>
    <row r="326">
      <c r="A326" s="9"/>
      <c r="B326" s="9"/>
      <c r="C326" s="9"/>
      <c r="D326" s="9"/>
      <c r="E326" s="9"/>
      <c r="F326" s="9"/>
      <c r="G326" s="9"/>
      <c r="H326" s="9"/>
      <c r="I326" s="9"/>
      <c r="J326" s="9"/>
      <c r="K326" s="9"/>
      <c r="L326" s="115"/>
      <c r="M326" s="115"/>
      <c r="N326" s="115"/>
      <c r="O326" s="115"/>
      <c r="P326" s="9"/>
      <c r="Q326" s="9"/>
      <c r="R326" s="9"/>
      <c r="S326" s="9"/>
      <c r="T326" s="9"/>
      <c r="U326" s="9"/>
      <c r="V326" s="9"/>
      <c r="W326" s="10"/>
      <c r="X326" s="10"/>
      <c r="Y326" s="10"/>
      <c r="Z326" s="10"/>
    </row>
    <row r="327">
      <c r="A327" s="9"/>
      <c r="B327" s="9"/>
      <c r="C327" s="9"/>
      <c r="D327" s="9"/>
      <c r="E327" s="9"/>
      <c r="F327" s="9"/>
      <c r="G327" s="9"/>
      <c r="H327" s="9"/>
      <c r="I327" s="9"/>
      <c r="J327" s="9"/>
      <c r="K327" s="9"/>
      <c r="L327" s="115"/>
      <c r="M327" s="115"/>
      <c r="N327" s="115"/>
      <c r="O327" s="115"/>
      <c r="P327" s="9"/>
      <c r="Q327" s="9"/>
      <c r="R327" s="9"/>
      <c r="S327" s="9"/>
      <c r="T327" s="9"/>
      <c r="U327" s="9"/>
      <c r="V327" s="9"/>
      <c r="W327" s="10"/>
      <c r="X327" s="10"/>
      <c r="Y327" s="10"/>
      <c r="Z327" s="10"/>
    </row>
    <row r="328">
      <c r="A328" s="9"/>
      <c r="B328" s="9"/>
      <c r="C328" s="9"/>
      <c r="D328" s="9"/>
      <c r="E328" s="9"/>
      <c r="F328" s="9"/>
      <c r="G328" s="9"/>
      <c r="H328" s="9"/>
      <c r="I328" s="9"/>
      <c r="J328" s="9"/>
      <c r="K328" s="9"/>
      <c r="L328" s="115"/>
      <c r="M328" s="115"/>
      <c r="N328" s="115"/>
      <c r="O328" s="115"/>
      <c r="P328" s="9"/>
      <c r="Q328" s="9"/>
      <c r="R328" s="9"/>
      <c r="S328" s="9"/>
      <c r="T328" s="9"/>
      <c r="U328" s="9"/>
      <c r="V328" s="9"/>
      <c r="W328" s="10"/>
      <c r="X328" s="10"/>
      <c r="Y328" s="10"/>
      <c r="Z328" s="10"/>
    </row>
    <row r="329">
      <c r="A329" s="9"/>
      <c r="B329" s="9"/>
      <c r="C329" s="9"/>
      <c r="D329" s="9"/>
      <c r="E329" s="9"/>
      <c r="F329" s="9"/>
      <c r="G329" s="9"/>
      <c r="H329" s="9"/>
      <c r="I329" s="9"/>
      <c r="J329" s="9"/>
      <c r="K329" s="9"/>
      <c r="L329" s="115"/>
      <c r="M329" s="115"/>
      <c r="N329" s="115"/>
      <c r="O329" s="115"/>
      <c r="P329" s="9"/>
      <c r="Q329" s="9"/>
      <c r="R329" s="9"/>
      <c r="S329" s="9"/>
      <c r="T329" s="9"/>
      <c r="U329" s="9"/>
      <c r="V329" s="9"/>
      <c r="W329" s="10"/>
      <c r="X329" s="10"/>
      <c r="Y329" s="10"/>
      <c r="Z329" s="10"/>
    </row>
    <row r="330">
      <c r="A330" s="9"/>
      <c r="B330" s="9"/>
      <c r="C330" s="9"/>
      <c r="D330" s="9"/>
      <c r="E330" s="9"/>
      <c r="F330" s="9"/>
      <c r="G330" s="9"/>
      <c r="H330" s="9"/>
      <c r="I330" s="9"/>
      <c r="J330" s="9"/>
      <c r="K330" s="9"/>
      <c r="L330" s="115"/>
      <c r="M330" s="115"/>
      <c r="N330" s="115"/>
      <c r="O330" s="115"/>
      <c r="P330" s="9"/>
      <c r="Q330" s="9"/>
      <c r="R330" s="9"/>
      <c r="S330" s="9"/>
      <c r="T330" s="9"/>
      <c r="U330" s="9"/>
      <c r="V330" s="9"/>
      <c r="W330" s="10"/>
      <c r="X330" s="10"/>
      <c r="Y330" s="10"/>
      <c r="Z330" s="10"/>
    </row>
    <row r="331">
      <c r="A331" s="9"/>
      <c r="B331" s="9"/>
      <c r="C331" s="9"/>
      <c r="D331" s="9"/>
      <c r="E331" s="9"/>
      <c r="F331" s="9"/>
      <c r="G331" s="9"/>
      <c r="H331" s="9"/>
      <c r="I331" s="9"/>
      <c r="J331" s="9"/>
      <c r="K331" s="9"/>
      <c r="L331" s="115"/>
      <c r="M331" s="115"/>
      <c r="N331" s="115"/>
      <c r="O331" s="115"/>
      <c r="P331" s="9"/>
      <c r="Q331" s="9"/>
      <c r="R331" s="9"/>
      <c r="S331" s="9"/>
      <c r="T331" s="9"/>
      <c r="U331" s="9"/>
      <c r="V331" s="9"/>
      <c r="W331" s="10"/>
      <c r="X331" s="10"/>
      <c r="Y331" s="10"/>
      <c r="Z331" s="10"/>
    </row>
    <row r="332">
      <c r="A332" s="9"/>
      <c r="B332" s="9"/>
      <c r="C332" s="9"/>
      <c r="D332" s="9"/>
      <c r="E332" s="9"/>
      <c r="F332" s="9"/>
      <c r="G332" s="9"/>
      <c r="H332" s="9"/>
      <c r="I332" s="9"/>
      <c r="J332" s="9"/>
      <c r="K332" s="9"/>
      <c r="L332" s="115"/>
      <c r="M332" s="115"/>
      <c r="N332" s="115"/>
      <c r="O332" s="115"/>
      <c r="P332" s="9"/>
      <c r="Q332" s="9"/>
      <c r="R332" s="9"/>
      <c r="S332" s="9"/>
      <c r="T332" s="9"/>
      <c r="U332" s="9"/>
      <c r="V332" s="9"/>
      <c r="W332" s="10"/>
      <c r="X332" s="10"/>
      <c r="Y332" s="10"/>
      <c r="Z332" s="10"/>
    </row>
    <row r="333">
      <c r="A333" s="9"/>
      <c r="B333" s="9"/>
      <c r="C333" s="9"/>
      <c r="D333" s="9"/>
      <c r="E333" s="9"/>
      <c r="F333" s="9"/>
      <c r="G333" s="9"/>
      <c r="H333" s="9"/>
      <c r="I333" s="9"/>
      <c r="J333" s="9"/>
      <c r="K333" s="9"/>
      <c r="L333" s="115"/>
      <c r="M333" s="115"/>
      <c r="N333" s="115"/>
      <c r="O333" s="115"/>
      <c r="P333" s="9"/>
      <c r="Q333" s="9"/>
      <c r="R333" s="9"/>
      <c r="S333" s="9"/>
      <c r="T333" s="9"/>
      <c r="U333" s="9"/>
      <c r="V333" s="9"/>
      <c r="W333" s="10"/>
      <c r="X333" s="10"/>
      <c r="Y333" s="10"/>
      <c r="Z333" s="10"/>
    </row>
    <row r="334">
      <c r="A334" s="9"/>
      <c r="B334" s="9"/>
      <c r="C334" s="9"/>
      <c r="D334" s="9"/>
      <c r="E334" s="9"/>
      <c r="F334" s="9"/>
      <c r="G334" s="9"/>
      <c r="H334" s="9"/>
      <c r="I334" s="9"/>
      <c r="J334" s="9"/>
      <c r="K334" s="9"/>
      <c r="L334" s="115"/>
      <c r="M334" s="115"/>
      <c r="N334" s="115"/>
      <c r="O334" s="115"/>
      <c r="P334" s="9"/>
      <c r="Q334" s="9"/>
      <c r="R334" s="9"/>
      <c r="S334" s="9"/>
      <c r="T334" s="9"/>
      <c r="U334" s="9"/>
      <c r="V334" s="9"/>
      <c r="W334" s="10"/>
      <c r="X334" s="10"/>
      <c r="Y334" s="10"/>
      <c r="Z334" s="10"/>
    </row>
    <row r="335">
      <c r="A335" s="9"/>
      <c r="B335" s="9"/>
      <c r="C335" s="9"/>
      <c r="D335" s="9"/>
      <c r="E335" s="9"/>
      <c r="F335" s="9"/>
      <c r="G335" s="9"/>
      <c r="H335" s="9"/>
      <c r="I335" s="9"/>
      <c r="J335" s="9"/>
      <c r="K335" s="9"/>
      <c r="L335" s="115"/>
      <c r="M335" s="115"/>
      <c r="N335" s="115"/>
      <c r="O335" s="115"/>
      <c r="P335" s="9"/>
      <c r="Q335" s="9"/>
      <c r="R335" s="9"/>
      <c r="S335" s="9"/>
      <c r="T335" s="9"/>
      <c r="U335" s="9"/>
      <c r="V335" s="9"/>
      <c r="W335" s="10"/>
      <c r="X335" s="10"/>
      <c r="Y335" s="10"/>
      <c r="Z335" s="10"/>
    </row>
    <row r="336">
      <c r="A336" s="9"/>
      <c r="B336" s="9"/>
      <c r="C336" s="9"/>
      <c r="D336" s="9"/>
      <c r="E336" s="9"/>
      <c r="F336" s="9"/>
      <c r="G336" s="9"/>
      <c r="H336" s="9"/>
      <c r="I336" s="9"/>
      <c r="J336" s="9"/>
      <c r="K336" s="9"/>
      <c r="L336" s="115"/>
      <c r="M336" s="115"/>
      <c r="N336" s="115"/>
      <c r="O336" s="115"/>
      <c r="P336" s="9"/>
      <c r="Q336" s="9"/>
      <c r="R336" s="9"/>
      <c r="S336" s="9"/>
      <c r="T336" s="9"/>
      <c r="U336" s="9"/>
      <c r="V336" s="9"/>
      <c r="W336" s="10"/>
      <c r="X336" s="10"/>
      <c r="Y336" s="10"/>
      <c r="Z336" s="10"/>
    </row>
    <row r="337">
      <c r="A337" s="9"/>
      <c r="B337" s="9"/>
      <c r="C337" s="9"/>
      <c r="D337" s="9"/>
      <c r="E337" s="9"/>
      <c r="F337" s="9"/>
      <c r="G337" s="9"/>
      <c r="H337" s="9"/>
      <c r="I337" s="9"/>
      <c r="J337" s="9"/>
      <c r="K337" s="9"/>
      <c r="L337" s="115"/>
      <c r="M337" s="115"/>
      <c r="N337" s="115"/>
      <c r="O337" s="115"/>
      <c r="P337" s="9"/>
      <c r="Q337" s="9"/>
      <c r="R337" s="9"/>
      <c r="S337" s="9"/>
      <c r="T337" s="9"/>
      <c r="U337" s="9"/>
      <c r="V337" s="9"/>
      <c r="W337" s="10"/>
      <c r="X337" s="10"/>
      <c r="Y337" s="10"/>
      <c r="Z337" s="10"/>
    </row>
    <row r="338">
      <c r="A338" s="9"/>
      <c r="B338" s="9"/>
      <c r="C338" s="9"/>
      <c r="D338" s="9"/>
      <c r="E338" s="9"/>
      <c r="F338" s="9"/>
      <c r="G338" s="9"/>
      <c r="H338" s="9"/>
      <c r="I338" s="9"/>
      <c r="J338" s="9"/>
      <c r="K338" s="9"/>
      <c r="L338" s="115"/>
      <c r="M338" s="115"/>
      <c r="N338" s="115"/>
      <c r="O338" s="115"/>
      <c r="P338" s="9"/>
      <c r="Q338" s="9"/>
      <c r="R338" s="9"/>
      <c r="S338" s="9"/>
      <c r="T338" s="9"/>
      <c r="U338" s="9"/>
      <c r="V338" s="9"/>
      <c r="W338" s="10"/>
      <c r="X338" s="10"/>
      <c r="Y338" s="10"/>
      <c r="Z338" s="10"/>
    </row>
    <row r="339">
      <c r="A339" s="9"/>
      <c r="B339" s="9"/>
      <c r="C339" s="9"/>
      <c r="D339" s="9"/>
      <c r="E339" s="9"/>
      <c r="F339" s="9"/>
      <c r="G339" s="9"/>
      <c r="H339" s="9"/>
      <c r="I339" s="9"/>
      <c r="J339" s="9"/>
      <c r="K339" s="9"/>
      <c r="L339" s="115"/>
      <c r="M339" s="115"/>
      <c r="N339" s="115"/>
      <c r="O339" s="115"/>
      <c r="P339" s="9"/>
      <c r="Q339" s="9"/>
      <c r="R339" s="9"/>
      <c r="S339" s="9"/>
      <c r="T339" s="9"/>
      <c r="U339" s="9"/>
      <c r="V339" s="9"/>
      <c r="W339" s="10"/>
      <c r="X339" s="10"/>
      <c r="Y339" s="10"/>
      <c r="Z339" s="10"/>
    </row>
    <row r="340">
      <c r="A340" s="9"/>
      <c r="B340" s="9"/>
      <c r="C340" s="9"/>
      <c r="D340" s="9"/>
      <c r="E340" s="9"/>
      <c r="F340" s="9"/>
      <c r="G340" s="9"/>
      <c r="H340" s="9"/>
      <c r="I340" s="9"/>
      <c r="J340" s="9"/>
      <c r="K340" s="9"/>
      <c r="L340" s="115"/>
      <c r="M340" s="115"/>
      <c r="N340" s="115"/>
      <c r="O340" s="115"/>
      <c r="P340" s="9"/>
      <c r="Q340" s="9"/>
      <c r="R340" s="9"/>
      <c r="S340" s="9"/>
      <c r="T340" s="9"/>
      <c r="U340" s="9"/>
      <c r="V340" s="9"/>
      <c r="W340" s="10"/>
      <c r="X340" s="10"/>
      <c r="Y340" s="10"/>
      <c r="Z340" s="10"/>
    </row>
    <row r="341">
      <c r="A341" s="9"/>
      <c r="B341" s="9"/>
      <c r="C341" s="9"/>
      <c r="D341" s="9"/>
      <c r="E341" s="9"/>
      <c r="F341" s="9"/>
      <c r="G341" s="9"/>
      <c r="H341" s="9"/>
      <c r="I341" s="9"/>
      <c r="J341" s="9"/>
      <c r="K341" s="9"/>
      <c r="L341" s="115"/>
      <c r="M341" s="115"/>
      <c r="N341" s="115"/>
      <c r="O341" s="115"/>
      <c r="P341" s="9"/>
      <c r="Q341" s="9"/>
      <c r="R341" s="9"/>
      <c r="S341" s="9"/>
      <c r="T341" s="9"/>
      <c r="U341" s="9"/>
      <c r="V341" s="9"/>
      <c r="W341" s="10"/>
      <c r="X341" s="10"/>
      <c r="Y341" s="10"/>
      <c r="Z341" s="10"/>
    </row>
    <row r="342">
      <c r="A342" s="9"/>
      <c r="B342" s="9"/>
      <c r="C342" s="9"/>
      <c r="D342" s="9"/>
      <c r="E342" s="9"/>
      <c r="F342" s="9"/>
      <c r="G342" s="9"/>
      <c r="H342" s="9"/>
      <c r="I342" s="9"/>
      <c r="J342" s="9"/>
      <c r="K342" s="9"/>
      <c r="L342" s="115"/>
      <c r="M342" s="115"/>
      <c r="N342" s="115"/>
      <c r="O342" s="115"/>
      <c r="P342" s="9"/>
      <c r="Q342" s="9"/>
      <c r="R342" s="9"/>
      <c r="S342" s="9"/>
      <c r="T342" s="9"/>
      <c r="U342" s="9"/>
      <c r="V342" s="9"/>
      <c r="W342" s="10"/>
      <c r="X342" s="10"/>
      <c r="Y342" s="10"/>
      <c r="Z342" s="10"/>
    </row>
    <row r="343">
      <c r="A343" s="9"/>
      <c r="B343" s="9"/>
      <c r="C343" s="9"/>
      <c r="D343" s="9"/>
      <c r="E343" s="9"/>
      <c r="F343" s="9"/>
      <c r="G343" s="9"/>
      <c r="H343" s="9"/>
      <c r="I343" s="9"/>
      <c r="J343" s="9"/>
      <c r="K343" s="9"/>
      <c r="L343" s="115"/>
      <c r="M343" s="115"/>
      <c r="N343" s="115"/>
      <c r="O343" s="115"/>
      <c r="P343" s="9"/>
      <c r="Q343" s="9"/>
      <c r="R343" s="9"/>
      <c r="S343" s="9"/>
      <c r="T343" s="9"/>
      <c r="U343" s="9"/>
      <c r="V343" s="9"/>
      <c r="W343" s="10"/>
      <c r="X343" s="10"/>
      <c r="Y343" s="10"/>
      <c r="Z343" s="10"/>
    </row>
    <row r="344">
      <c r="A344" s="9"/>
      <c r="B344" s="9"/>
      <c r="C344" s="9"/>
      <c r="D344" s="9"/>
      <c r="E344" s="9"/>
      <c r="F344" s="9"/>
      <c r="G344" s="9"/>
      <c r="H344" s="9"/>
      <c r="I344" s="9"/>
      <c r="J344" s="9"/>
      <c r="K344" s="9"/>
      <c r="L344" s="115"/>
      <c r="M344" s="115"/>
      <c r="N344" s="115"/>
      <c r="O344" s="115"/>
      <c r="P344" s="9"/>
      <c r="Q344" s="9"/>
      <c r="R344" s="9"/>
      <c r="S344" s="9"/>
      <c r="T344" s="9"/>
      <c r="U344" s="9"/>
      <c r="V344" s="9"/>
      <c r="W344" s="10"/>
      <c r="X344" s="10"/>
      <c r="Y344" s="10"/>
      <c r="Z344" s="10"/>
    </row>
    <row r="345">
      <c r="A345" s="9"/>
      <c r="B345" s="9"/>
      <c r="C345" s="9"/>
      <c r="D345" s="9"/>
      <c r="E345" s="9"/>
      <c r="F345" s="9"/>
      <c r="G345" s="9"/>
      <c r="H345" s="9"/>
      <c r="I345" s="9"/>
      <c r="J345" s="9"/>
      <c r="K345" s="9"/>
      <c r="L345" s="115"/>
      <c r="M345" s="115"/>
      <c r="N345" s="115"/>
      <c r="O345" s="115"/>
      <c r="P345" s="9"/>
      <c r="Q345" s="9"/>
      <c r="R345" s="9"/>
      <c r="S345" s="9"/>
      <c r="T345" s="9"/>
      <c r="U345" s="9"/>
      <c r="V345" s="9"/>
      <c r="W345" s="10"/>
      <c r="X345" s="10"/>
      <c r="Y345" s="10"/>
      <c r="Z345" s="10"/>
    </row>
    <row r="346">
      <c r="A346" s="9"/>
      <c r="B346" s="9"/>
      <c r="C346" s="9"/>
      <c r="D346" s="9"/>
      <c r="E346" s="9"/>
      <c r="F346" s="9"/>
      <c r="G346" s="9"/>
      <c r="H346" s="9"/>
      <c r="I346" s="9"/>
      <c r="J346" s="9"/>
      <c r="K346" s="9"/>
      <c r="L346" s="115"/>
      <c r="M346" s="115"/>
      <c r="N346" s="115"/>
      <c r="O346" s="115"/>
      <c r="P346" s="9"/>
      <c r="Q346" s="9"/>
      <c r="R346" s="9"/>
      <c r="S346" s="9"/>
      <c r="T346" s="9"/>
      <c r="U346" s="9"/>
      <c r="V346" s="9"/>
      <c r="W346" s="10"/>
      <c r="X346" s="10"/>
      <c r="Y346" s="10"/>
      <c r="Z346" s="10"/>
    </row>
    <row r="347">
      <c r="A347" s="9"/>
      <c r="B347" s="9"/>
      <c r="C347" s="9"/>
      <c r="D347" s="9"/>
      <c r="E347" s="9"/>
      <c r="F347" s="9"/>
      <c r="G347" s="9"/>
      <c r="H347" s="9"/>
      <c r="I347" s="9"/>
      <c r="J347" s="9"/>
      <c r="K347" s="9"/>
      <c r="L347" s="115"/>
      <c r="M347" s="115"/>
      <c r="N347" s="115"/>
      <c r="O347" s="115"/>
      <c r="P347" s="9"/>
      <c r="Q347" s="9"/>
      <c r="R347" s="9"/>
      <c r="S347" s="9"/>
      <c r="T347" s="9"/>
      <c r="U347" s="9"/>
      <c r="V347" s="9"/>
      <c r="W347" s="10"/>
      <c r="X347" s="10"/>
      <c r="Y347" s="10"/>
      <c r="Z347" s="10"/>
    </row>
    <row r="348">
      <c r="A348" s="9"/>
      <c r="B348" s="9"/>
      <c r="C348" s="9"/>
      <c r="D348" s="9"/>
      <c r="E348" s="9"/>
      <c r="F348" s="9"/>
      <c r="G348" s="9"/>
      <c r="H348" s="9"/>
      <c r="I348" s="9"/>
      <c r="J348" s="9"/>
      <c r="K348" s="9"/>
      <c r="L348" s="115"/>
      <c r="M348" s="115"/>
      <c r="N348" s="115"/>
      <c r="O348" s="115"/>
      <c r="P348" s="9"/>
      <c r="Q348" s="9"/>
      <c r="R348" s="9"/>
      <c r="S348" s="9"/>
      <c r="T348" s="9"/>
      <c r="U348" s="9"/>
      <c r="V348" s="9"/>
      <c r="W348" s="10"/>
      <c r="X348" s="10"/>
      <c r="Y348" s="10"/>
      <c r="Z348" s="10"/>
    </row>
    <row r="349">
      <c r="A349" s="9"/>
      <c r="B349" s="9"/>
      <c r="C349" s="9"/>
      <c r="D349" s="9"/>
      <c r="E349" s="9"/>
      <c r="F349" s="9"/>
      <c r="G349" s="9"/>
      <c r="H349" s="9"/>
      <c r="I349" s="9"/>
      <c r="J349" s="9"/>
      <c r="K349" s="9"/>
      <c r="L349" s="115"/>
      <c r="M349" s="115"/>
      <c r="N349" s="115"/>
      <c r="O349" s="115"/>
      <c r="P349" s="9"/>
      <c r="Q349" s="9"/>
      <c r="R349" s="9"/>
      <c r="S349" s="9"/>
      <c r="T349" s="9"/>
      <c r="U349" s="9"/>
      <c r="V349" s="9"/>
      <c r="W349" s="10"/>
      <c r="X349" s="10"/>
      <c r="Y349" s="10"/>
      <c r="Z349" s="10"/>
    </row>
    <row r="350">
      <c r="A350" s="9"/>
      <c r="B350" s="9"/>
      <c r="C350" s="9"/>
      <c r="D350" s="9"/>
      <c r="E350" s="9"/>
      <c r="F350" s="9"/>
      <c r="G350" s="9"/>
      <c r="H350" s="9"/>
      <c r="I350" s="9"/>
      <c r="J350" s="9"/>
      <c r="K350" s="9"/>
      <c r="L350" s="115"/>
      <c r="M350" s="115"/>
      <c r="N350" s="115"/>
      <c r="O350" s="115"/>
      <c r="P350" s="9"/>
      <c r="Q350" s="9"/>
      <c r="R350" s="9"/>
      <c r="S350" s="9"/>
      <c r="T350" s="9"/>
      <c r="U350" s="9"/>
      <c r="V350" s="9"/>
      <c r="W350" s="10"/>
      <c r="X350" s="10"/>
      <c r="Y350" s="10"/>
      <c r="Z350" s="10"/>
    </row>
    <row r="351">
      <c r="A351" s="9"/>
      <c r="B351" s="9"/>
      <c r="C351" s="9"/>
      <c r="D351" s="9"/>
      <c r="E351" s="9"/>
      <c r="F351" s="9"/>
      <c r="G351" s="9"/>
      <c r="H351" s="9"/>
      <c r="I351" s="9"/>
      <c r="J351" s="9"/>
      <c r="K351" s="9"/>
      <c r="L351" s="115"/>
      <c r="M351" s="115"/>
      <c r="N351" s="115"/>
      <c r="O351" s="115"/>
      <c r="P351" s="9"/>
      <c r="Q351" s="9"/>
      <c r="R351" s="9"/>
      <c r="S351" s="9"/>
      <c r="T351" s="9"/>
      <c r="U351" s="9"/>
      <c r="V351" s="9"/>
      <c r="W351" s="10"/>
      <c r="X351" s="10"/>
      <c r="Y351" s="10"/>
      <c r="Z351" s="10"/>
    </row>
    <row r="352">
      <c r="A352" s="9"/>
      <c r="B352" s="9"/>
      <c r="C352" s="9"/>
      <c r="D352" s="9"/>
      <c r="E352" s="9"/>
      <c r="F352" s="9"/>
      <c r="G352" s="9"/>
      <c r="H352" s="9"/>
      <c r="I352" s="9"/>
      <c r="J352" s="9"/>
      <c r="K352" s="9"/>
      <c r="L352" s="115"/>
      <c r="M352" s="115"/>
      <c r="N352" s="115"/>
      <c r="O352" s="115"/>
      <c r="P352" s="9"/>
      <c r="Q352" s="9"/>
      <c r="R352" s="9"/>
      <c r="S352" s="9"/>
      <c r="T352" s="9"/>
      <c r="U352" s="9"/>
      <c r="V352" s="9"/>
      <c r="W352" s="10"/>
      <c r="X352" s="10"/>
      <c r="Y352" s="10"/>
      <c r="Z352" s="10"/>
    </row>
    <row r="353">
      <c r="A353" s="9"/>
      <c r="B353" s="9"/>
      <c r="C353" s="9"/>
      <c r="D353" s="9"/>
      <c r="E353" s="9"/>
      <c r="F353" s="9"/>
      <c r="G353" s="9"/>
      <c r="H353" s="9"/>
      <c r="I353" s="9"/>
      <c r="J353" s="9"/>
      <c r="K353" s="9"/>
      <c r="L353" s="115"/>
      <c r="M353" s="115"/>
      <c r="N353" s="115"/>
      <c r="O353" s="115"/>
      <c r="P353" s="9"/>
      <c r="Q353" s="9"/>
      <c r="R353" s="9"/>
      <c r="S353" s="9"/>
      <c r="T353" s="9"/>
      <c r="U353" s="9"/>
      <c r="V353" s="9"/>
      <c r="W353" s="10"/>
      <c r="X353" s="10"/>
      <c r="Y353" s="10"/>
      <c r="Z353" s="10"/>
    </row>
    <row r="354">
      <c r="A354" s="9"/>
      <c r="B354" s="9"/>
      <c r="C354" s="9"/>
      <c r="D354" s="9"/>
      <c r="E354" s="9"/>
      <c r="F354" s="9"/>
      <c r="G354" s="9"/>
      <c r="H354" s="9"/>
      <c r="I354" s="9"/>
      <c r="J354" s="9"/>
      <c r="K354" s="9"/>
      <c r="L354" s="115"/>
      <c r="M354" s="115"/>
      <c r="N354" s="115"/>
      <c r="O354" s="115"/>
      <c r="P354" s="9"/>
      <c r="Q354" s="9"/>
      <c r="R354" s="9"/>
      <c r="S354" s="9"/>
      <c r="T354" s="9"/>
      <c r="U354" s="9"/>
      <c r="V354" s="9"/>
      <c r="W354" s="10"/>
      <c r="X354" s="10"/>
      <c r="Y354" s="10"/>
      <c r="Z354" s="10"/>
    </row>
    <row r="355">
      <c r="A355" s="9"/>
      <c r="B355" s="9"/>
      <c r="C355" s="9"/>
      <c r="D355" s="9"/>
      <c r="E355" s="9"/>
      <c r="F355" s="9"/>
      <c r="G355" s="9"/>
      <c r="H355" s="9"/>
      <c r="I355" s="9"/>
      <c r="J355" s="9"/>
      <c r="K355" s="9"/>
      <c r="L355" s="115"/>
      <c r="M355" s="115"/>
      <c r="N355" s="115"/>
      <c r="O355" s="115"/>
      <c r="P355" s="9"/>
      <c r="Q355" s="9"/>
      <c r="R355" s="9"/>
      <c r="S355" s="9"/>
      <c r="T355" s="9"/>
      <c r="U355" s="9"/>
      <c r="V355" s="9"/>
      <c r="W355" s="10"/>
      <c r="X355" s="10"/>
      <c r="Y355" s="10"/>
      <c r="Z355" s="10"/>
    </row>
    <row r="356">
      <c r="A356" s="9"/>
      <c r="B356" s="9"/>
      <c r="C356" s="9"/>
      <c r="D356" s="9"/>
      <c r="E356" s="9"/>
      <c r="F356" s="9"/>
      <c r="G356" s="9"/>
      <c r="H356" s="9"/>
      <c r="I356" s="9"/>
      <c r="J356" s="9"/>
      <c r="K356" s="9"/>
      <c r="L356" s="115"/>
      <c r="M356" s="115"/>
      <c r="N356" s="115"/>
      <c r="O356" s="115"/>
      <c r="P356" s="9"/>
      <c r="Q356" s="9"/>
      <c r="R356" s="9"/>
      <c r="S356" s="9"/>
      <c r="T356" s="9"/>
      <c r="U356" s="9"/>
      <c r="V356" s="9"/>
      <c r="W356" s="10"/>
      <c r="X356" s="10"/>
      <c r="Y356" s="10"/>
      <c r="Z356" s="10"/>
    </row>
    <row r="357">
      <c r="A357" s="9"/>
      <c r="B357" s="9"/>
      <c r="C357" s="9"/>
      <c r="D357" s="9"/>
      <c r="E357" s="9"/>
      <c r="F357" s="9"/>
      <c r="G357" s="9"/>
      <c r="H357" s="9"/>
      <c r="I357" s="9"/>
      <c r="J357" s="9"/>
      <c r="K357" s="9"/>
      <c r="L357" s="115"/>
      <c r="M357" s="115"/>
      <c r="N357" s="115"/>
      <c r="O357" s="115"/>
      <c r="P357" s="9"/>
      <c r="Q357" s="9"/>
      <c r="R357" s="9"/>
      <c r="S357" s="9"/>
      <c r="T357" s="9"/>
      <c r="U357" s="9"/>
      <c r="V357" s="9"/>
      <c r="W357" s="10"/>
      <c r="X357" s="10"/>
      <c r="Y357" s="10"/>
      <c r="Z357" s="10"/>
    </row>
    <row r="358">
      <c r="A358" s="9"/>
      <c r="B358" s="9"/>
      <c r="C358" s="9"/>
      <c r="D358" s="9"/>
      <c r="E358" s="9"/>
      <c r="F358" s="9"/>
      <c r="G358" s="9"/>
      <c r="H358" s="9"/>
      <c r="I358" s="9"/>
      <c r="J358" s="9"/>
      <c r="K358" s="9"/>
      <c r="L358" s="115"/>
      <c r="M358" s="115"/>
      <c r="N358" s="115"/>
      <c r="O358" s="115"/>
      <c r="P358" s="9"/>
      <c r="Q358" s="9"/>
      <c r="R358" s="9"/>
      <c r="S358" s="9"/>
      <c r="T358" s="9"/>
      <c r="U358" s="9"/>
      <c r="V358" s="9"/>
      <c r="W358" s="10"/>
      <c r="X358" s="10"/>
      <c r="Y358" s="10"/>
      <c r="Z358" s="10"/>
    </row>
    <row r="359">
      <c r="A359" s="9"/>
      <c r="B359" s="9"/>
      <c r="C359" s="9"/>
      <c r="D359" s="9"/>
      <c r="E359" s="9"/>
      <c r="F359" s="9"/>
      <c r="G359" s="9"/>
      <c r="H359" s="9"/>
      <c r="I359" s="9"/>
      <c r="J359" s="9"/>
      <c r="K359" s="9"/>
      <c r="L359" s="115"/>
      <c r="M359" s="115"/>
      <c r="N359" s="115"/>
      <c r="O359" s="115"/>
      <c r="P359" s="9"/>
      <c r="Q359" s="9"/>
      <c r="R359" s="9"/>
      <c r="S359" s="9"/>
      <c r="T359" s="9"/>
      <c r="U359" s="9"/>
      <c r="V359" s="9"/>
      <c r="W359" s="10"/>
      <c r="X359" s="10"/>
      <c r="Y359" s="10"/>
      <c r="Z359" s="10"/>
    </row>
    <row r="360">
      <c r="A360" s="9"/>
      <c r="B360" s="9"/>
      <c r="C360" s="9"/>
      <c r="D360" s="9"/>
      <c r="E360" s="9"/>
      <c r="F360" s="9"/>
      <c r="G360" s="9"/>
      <c r="H360" s="9"/>
      <c r="I360" s="9"/>
      <c r="J360" s="9"/>
      <c r="K360" s="9"/>
      <c r="L360" s="115"/>
      <c r="M360" s="115"/>
      <c r="N360" s="115"/>
      <c r="O360" s="115"/>
      <c r="P360" s="9"/>
      <c r="Q360" s="9"/>
      <c r="R360" s="9"/>
      <c r="S360" s="9"/>
      <c r="T360" s="9"/>
      <c r="U360" s="9"/>
      <c r="V360" s="9"/>
      <c r="W360" s="10"/>
      <c r="X360" s="10"/>
      <c r="Y360" s="10"/>
      <c r="Z360" s="10"/>
    </row>
    <row r="361">
      <c r="A361" s="9"/>
      <c r="B361" s="9"/>
      <c r="C361" s="9"/>
      <c r="D361" s="9"/>
      <c r="E361" s="9"/>
      <c r="F361" s="9"/>
      <c r="G361" s="9"/>
      <c r="H361" s="9"/>
      <c r="I361" s="9"/>
      <c r="J361" s="9"/>
      <c r="K361" s="9"/>
      <c r="L361" s="115"/>
      <c r="M361" s="115"/>
      <c r="N361" s="115"/>
      <c r="O361" s="115"/>
      <c r="P361" s="9"/>
      <c r="Q361" s="9"/>
      <c r="R361" s="9"/>
      <c r="S361" s="9"/>
      <c r="T361" s="9"/>
      <c r="U361" s="9"/>
      <c r="V361" s="9"/>
      <c r="W361" s="10"/>
      <c r="X361" s="10"/>
      <c r="Y361" s="10"/>
      <c r="Z361" s="10"/>
    </row>
    <row r="362">
      <c r="A362" s="9"/>
      <c r="B362" s="9"/>
      <c r="C362" s="9"/>
      <c r="D362" s="9"/>
      <c r="E362" s="9"/>
      <c r="F362" s="9"/>
      <c r="G362" s="9"/>
      <c r="H362" s="9"/>
      <c r="I362" s="9"/>
      <c r="J362" s="9"/>
      <c r="K362" s="9"/>
      <c r="L362" s="115"/>
      <c r="M362" s="115"/>
      <c r="N362" s="115"/>
      <c r="O362" s="115"/>
      <c r="P362" s="9"/>
      <c r="Q362" s="9"/>
      <c r="R362" s="9"/>
      <c r="S362" s="9"/>
      <c r="T362" s="9"/>
      <c r="U362" s="9"/>
      <c r="V362" s="9"/>
      <c r="W362" s="10"/>
      <c r="X362" s="10"/>
      <c r="Y362" s="10"/>
      <c r="Z362" s="10"/>
    </row>
    <row r="363">
      <c r="A363" s="9"/>
      <c r="B363" s="9"/>
      <c r="C363" s="9"/>
      <c r="D363" s="9"/>
      <c r="E363" s="9"/>
      <c r="F363" s="9"/>
      <c r="G363" s="9"/>
      <c r="H363" s="9"/>
      <c r="I363" s="9"/>
      <c r="J363" s="9"/>
      <c r="K363" s="9"/>
      <c r="L363" s="115"/>
      <c r="M363" s="115"/>
      <c r="N363" s="115"/>
      <c r="O363" s="115"/>
      <c r="P363" s="9"/>
      <c r="Q363" s="9"/>
      <c r="R363" s="9"/>
      <c r="S363" s="9"/>
      <c r="T363" s="9"/>
      <c r="U363" s="9"/>
      <c r="V363" s="9"/>
      <c r="W363" s="10"/>
      <c r="X363" s="10"/>
      <c r="Y363" s="10"/>
      <c r="Z363" s="10"/>
    </row>
    <row r="364">
      <c r="A364" s="9"/>
      <c r="B364" s="9"/>
      <c r="C364" s="9"/>
      <c r="D364" s="9"/>
      <c r="E364" s="9"/>
      <c r="F364" s="9"/>
      <c r="G364" s="9"/>
      <c r="H364" s="9"/>
      <c r="I364" s="9"/>
      <c r="J364" s="9"/>
      <c r="K364" s="9"/>
      <c r="L364" s="115"/>
      <c r="M364" s="115"/>
      <c r="N364" s="115"/>
      <c r="O364" s="115"/>
      <c r="P364" s="9"/>
      <c r="Q364" s="9"/>
      <c r="R364" s="9"/>
      <c r="S364" s="9"/>
      <c r="T364" s="9"/>
      <c r="U364" s="9"/>
      <c r="V364" s="9"/>
      <c r="W364" s="10"/>
      <c r="X364" s="10"/>
      <c r="Y364" s="10"/>
      <c r="Z364" s="10"/>
    </row>
    <row r="365">
      <c r="A365" s="9"/>
      <c r="B365" s="9"/>
      <c r="C365" s="9"/>
      <c r="D365" s="9"/>
      <c r="E365" s="9"/>
      <c r="F365" s="9"/>
      <c r="G365" s="9"/>
      <c r="H365" s="9"/>
      <c r="I365" s="9"/>
      <c r="J365" s="9"/>
      <c r="K365" s="9"/>
      <c r="L365" s="115"/>
      <c r="M365" s="115"/>
      <c r="N365" s="115"/>
      <c r="O365" s="115"/>
      <c r="P365" s="9"/>
      <c r="Q365" s="9"/>
      <c r="R365" s="9"/>
      <c r="S365" s="9"/>
      <c r="T365" s="9"/>
      <c r="U365" s="9"/>
      <c r="V365" s="9"/>
      <c r="W365" s="10"/>
      <c r="X365" s="10"/>
      <c r="Y365" s="10"/>
      <c r="Z365" s="10"/>
    </row>
    <row r="366">
      <c r="A366" s="9"/>
      <c r="B366" s="9"/>
      <c r="C366" s="9"/>
      <c r="D366" s="9"/>
      <c r="E366" s="9"/>
      <c r="F366" s="9"/>
      <c r="G366" s="9"/>
      <c r="H366" s="9"/>
      <c r="I366" s="9"/>
      <c r="J366" s="9"/>
      <c r="K366" s="9"/>
      <c r="L366" s="115"/>
      <c r="M366" s="115"/>
      <c r="N366" s="115"/>
      <c r="O366" s="115"/>
      <c r="P366" s="9"/>
      <c r="Q366" s="9"/>
      <c r="R366" s="9"/>
      <c r="S366" s="9"/>
      <c r="T366" s="9"/>
      <c r="U366" s="9"/>
      <c r="V366" s="9"/>
      <c r="W366" s="10"/>
      <c r="X366" s="10"/>
      <c r="Y366" s="10"/>
      <c r="Z366" s="10"/>
    </row>
    <row r="367">
      <c r="A367" s="9"/>
      <c r="B367" s="9"/>
      <c r="C367" s="9"/>
      <c r="D367" s="9"/>
      <c r="E367" s="9"/>
      <c r="F367" s="9"/>
      <c r="G367" s="9"/>
      <c r="H367" s="9"/>
      <c r="I367" s="9"/>
      <c r="J367" s="9"/>
      <c r="K367" s="9"/>
      <c r="L367" s="115"/>
      <c r="M367" s="115"/>
      <c r="N367" s="115"/>
      <c r="O367" s="115"/>
      <c r="P367" s="9"/>
      <c r="Q367" s="9"/>
      <c r="R367" s="9"/>
      <c r="S367" s="9"/>
      <c r="T367" s="9"/>
      <c r="U367" s="9"/>
      <c r="V367" s="9"/>
      <c r="W367" s="10"/>
      <c r="X367" s="10"/>
      <c r="Y367" s="10"/>
      <c r="Z367" s="10"/>
    </row>
    <row r="368">
      <c r="A368" s="9"/>
      <c r="B368" s="9"/>
      <c r="C368" s="9"/>
      <c r="D368" s="9"/>
      <c r="E368" s="9"/>
      <c r="F368" s="9"/>
      <c r="G368" s="9"/>
      <c r="H368" s="9"/>
      <c r="I368" s="9"/>
      <c r="J368" s="9"/>
      <c r="K368" s="9"/>
      <c r="L368" s="115"/>
      <c r="M368" s="115"/>
      <c r="N368" s="115"/>
      <c r="O368" s="115"/>
      <c r="P368" s="9"/>
      <c r="Q368" s="9"/>
      <c r="R368" s="9"/>
      <c r="S368" s="9"/>
      <c r="T368" s="9"/>
      <c r="U368" s="9"/>
      <c r="V368" s="9"/>
      <c r="W368" s="10"/>
      <c r="X368" s="10"/>
      <c r="Y368" s="10"/>
      <c r="Z368" s="10"/>
    </row>
    <row r="369">
      <c r="A369" s="9"/>
      <c r="B369" s="9"/>
      <c r="C369" s="9"/>
      <c r="D369" s="9"/>
      <c r="E369" s="9"/>
      <c r="F369" s="9"/>
      <c r="G369" s="9"/>
      <c r="H369" s="9"/>
      <c r="I369" s="9"/>
      <c r="J369" s="9"/>
      <c r="K369" s="9"/>
      <c r="L369" s="115"/>
      <c r="M369" s="115"/>
      <c r="N369" s="115"/>
      <c r="O369" s="115"/>
      <c r="P369" s="9"/>
      <c r="Q369" s="9"/>
      <c r="R369" s="9"/>
      <c r="S369" s="9"/>
      <c r="T369" s="9"/>
      <c r="U369" s="9"/>
      <c r="V369" s="9"/>
      <c r="W369" s="10"/>
      <c r="X369" s="10"/>
      <c r="Y369" s="10"/>
      <c r="Z369" s="10"/>
    </row>
    <row r="370">
      <c r="A370" s="9"/>
      <c r="B370" s="9"/>
      <c r="C370" s="9"/>
      <c r="D370" s="9"/>
      <c r="E370" s="9"/>
      <c r="F370" s="9"/>
      <c r="G370" s="9"/>
      <c r="H370" s="9"/>
      <c r="I370" s="9"/>
      <c r="J370" s="9"/>
      <c r="K370" s="9"/>
      <c r="L370" s="115"/>
      <c r="M370" s="115"/>
      <c r="N370" s="115"/>
      <c r="O370" s="115"/>
      <c r="P370" s="9"/>
      <c r="Q370" s="9"/>
      <c r="R370" s="9"/>
      <c r="S370" s="9"/>
      <c r="T370" s="9"/>
      <c r="U370" s="9"/>
      <c r="V370" s="9"/>
      <c r="W370" s="10"/>
      <c r="X370" s="10"/>
      <c r="Y370" s="10"/>
      <c r="Z370" s="10"/>
    </row>
    <row r="371">
      <c r="A371" s="9"/>
      <c r="B371" s="9"/>
      <c r="C371" s="9"/>
      <c r="D371" s="9"/>
      <c r="E371" s="9"/>
      <c r="F371" s="9"/>
      <c r="G371" s="9"/>
      <c r="H371" s="9"/>
      <c r="I371" s="9"/>
      <c r="J371" s="9"/>
      <c r="K371" s="9"/>
      <c r="L371" s="115"/>
      <c r="M371" s="115"/>
      <c r="N371" s="115"/>
      <c r="O371" s="115"/>
      <c r="P371" s="9"/>
      <c r="Q371" s="9"/>
      <c r="R371" s="9"/>
      <c r="S371" s="9"/>
      <c r="T371" s="9"/>
      <c r="U371" s="9"/>
      <c r="V371" s="9"/>
      <c r="W371" s="10"/>
      <c r="X371" s="10"/>
      <c r="Y371" s="10"/>
      <c r="Z371" s="10"/>
    </row>
    <row r="372">
      <c r="A372" s="9"/>
      <c r="B372" s="9"/>
      <c r="C372" s="9"/>
      <c r="D372" s="9"/>
      <c r="E372" s="9"/>
      <c r="F372" s="9"/>
      <c r="G372" s="9"/>
      <c r="H372" s="9"/>
      <c r="I372" s="9"/>
      <c r="J372" s="9"/>
      <c r="K372" s="9"/>
      <c r="L372" s="115"/>
      <c r="M372" s="115"/>
      <c r="N372" s="115"/>
      <c r="O372" s="115"/>
      <c r="P372" s="9"/>
      <c r="Q372" s="9"/>
      <c r="R372" s="9"/>
      <c r="S372" s="9"/>
      <c r="T372" s="9"/>
      <c r="U372" s="9"/>
      <c r="V372" s="9"/>
      <c r="W372" s="10"/>
      <c r="X372" s="10"/>
      <c r="Y372" s="10"/>
      <c r="Z372" s="10"/>
    </row>
    <row r="373">
      <c r="A373" s="9"/>
      <c r="B373" s="9"/>
      <c r="C373" s="9"/>
      <c r="D373" s="9"/>
      <c r="E373" s="9"/>
      <c r="F373" s="9"/>
      <c r="G373" s="9"/>
      <c r="H373" s="9"/>
      <c r="I373" s="9"/>
      <c r="J373" s="9"/>
      <c r="K373" s="9"/>
      <c r="L373" s="115"/>
      <c r="M373" s="115"/>
      <c r="N373" s="115"/>
      <c r="O373" s="115"/>
      <c r="P373" s="9"/>
      <c r="Q373" s="9"/>
      <c r="R373" s="9"/>
      <c r="S373" s="9"/>
      <c r="T373" s="9"/>
      <c r="U373" s="9"/>
      <c r="V373" s="9"/>
      <c r="W373" s="10"/>
      <c r="X373" s="10"/>
      <c r="Y373" s="10"/>
      <c r="Z373" s="10"/>
    </row>
    <row r="374">
      <c r="A374" s="9"/>
      <c r="B374" s="9"/>
      <c r="C374" s="9"/>
      <c r="D374" s="9"/>
      <c r="E374" s="9"/>
      <c r="F374" s="9"/>
      <c r="G374" s="9"/>
      <c r="H374" s="9"/>
      <c r="I374" s="9"/>
      <c r="J374" s="9"/>
      <c r="K374" s="9"/>
      <c r="L374" s="115"/>
      <c r="M374" s="115"/>
      <c r="N374" s="115"/>
      <c r="O374" s="115"/>
      <c r="P374" s="9"/>
      <c r="Q374" s="9"/>
      <c r="R374" s="9"/>
      <c r="S374" s="9"/>
      <c r="T374" s="9"/>
      <c r="U374" s="9"/>
      <c r="V374" s="9"/>
      <c r="W374" s="10"/>
      <c r="X374" s="10"/>
      <c r="Y374" s="10"/>
      <c r="Z374" s="10"/>
    </row>
    <row r="375">
      <c r="A375" s="9"/>
      <c r="B375" s="9"/>
      <c r="C375" s="9"/>
      <c r="D375" s="9"/>
      <c r="E375" s="9"/>
      <c r="F375" s="9"/>
      <c r="G375" s="9"/>
      <c r="H375" s="9"/>
      <c r="I375" s="9"/>
      <c r="J375" s="9"/>
      <c r="K375" s="9"/>
      <c r="L375" s="115"/>
      <c r="M375" s="115"/>
      <c r="N375" s="115"/>
      <c r="O375" s="115"/>
      <c r="P375" s="9"/>
      <c r="Q375" s="9"/>
      <c r="R375" s="9"/>
      <c r="S375" s="9"/>
      <c r="T375" s="9"/>
      <c r="U375" s="9"/>
      <c r="V375" s="9"/>
      <c r="W375" s="10"/>
      <c r="X375" s="10"/>
      <c r="Y375" s="10"/>
      <c r="Z375" s="10"/>
    </row>
    <row r="376">
      <c r="A376" s="9"/>
      <c r="B376" s="9"/>
      <c r="C376" s="9"/>
      <c r="D376" s="9"/>
      <c r="E376" s="9"/>
      <c r="F376" s="9"/>
      <c r="G376" s="9"/>
      <c r="H376" s="9"/>
      <c r="I376" s="9"/>
      <c r="J376" s="9"/>
      <c r="K376" s="9"/>
      <c r="L376" s="115"/>
      <c r="M376" s="115"/>
      <c r="N376" s="115"/>
      <c r="O376" s="115"/>
      <c r="P376" s="9"/>
      <c r="Q376" s="9"/>
      <c r="R376" s="9"/>
      <c r="S376" s="9"/>
      <c r="T376" s="9"/>
      <c r="U376" s="9"/>
      <c r="V376" s="9"/>
      <c r="W376" s="10"/>
      <c r="X376" s="10"/>
      <c r="Y376" s="10"/>
      <c r="Z376" s="10"/>
    </row>
    <row r="377">
      <c r="A377" s="9"/>
      <c r="B377" s="9"/>
      <c r="C377" s="9"/>
      <c r="D377" s="9"/>
      <c r="E377" s="9"/>
      <c r="F377" s="9"/>
      <c r="G377" s="9"/>
      <c r="H377" s="9"/>
      <c r="I377" s="9"/>
      <c r="J377" s="9"/>
      <c r="K377" s="9"/>
      <c r="L377" s="115"/>
      <c r="M377" s="115"/>
      <c r="N377" s="115"/>
      <c r="O377" s="115"/>
      <c r="P377" s="9"/>
      <c r="Q377" s="9"/>
      <c r="R377" s="9"/>
      <c r="S377" s="9"/>
      <c r="T377" s="9"/>
      <c r="U377" s="9"/>
      <c r="V377" s="9"/>
      <c r="W377" s="10"/>
      <c r="X377" s="10"/>
      <c r="Y377" s="10"/>
      <c r="Z377" s="10"/>
    </row>
    <row r="378">
      <c r="A378" s="9"/>
      <c r="B378" s="9"/>
      <c r="C378" s="9"/>
      <c r="D378" s="9"/>
      <c r="E378" s="9"/>
      <c r="F378" s="9"/>
      <c r="G378" s="9"/>
      <c r="H378" s="9"/>
      <c r="I378" s="9"/>
      <c r="J378" s="9"/>
      <c r="K378" s="9"/>
      <c r="L378" s="115"/>
      <c r="M378" s="115"/>
      <c r="N378" s="115"/>
      <c r="O378" s="115"/>
      <c r="P378" s="9"/>
      <c r="Q378" s="9"/>
      <c r="R378" s="9"/>
      <c r="S378" s="9"/>
      <c r="T378" s="9"/>
      <c r="U378" s="9"/>
      <c r="V378" s="9"/>
      <c r="W378" s="10"/>
      <c r="X378" s="10"/>
      <c r="Y378" s="10"/>
      <c r="Z378" s="10"/>
    </row>
    <row r="379">
      <c r="A379" s="9"/>
      <c r="B379" s="9"/>
      <c r="C379" s="9"/>
      <c r="D379" s="9"/>
      <c r="E379" s="9"/>
      <c r="F379" s="9"/>
      <c r="G379" s="9"/>
      <c r="H379" s="9"/>
      <c r="I379" s="9"/>
      <c r="J379" s="9"/>
      <c r="K379" s="9"/>
      <c r="L379" s="115"/>
      <c r="M379" s="115"/>
      <c r="N379" s="115"/>
      <c r="O379" s="115"/>
      <c r="P379" s="9"/>
      <c r="Q379" s="9"/>
      <c r="R379" s="9"/>
      <c r="S379" s="9"/>
      <c r="T379" s="9"/>
      <c r="U379" s="9"/>
      <c r="V379" s="9"/>
      <c r="W379" s="10"/>
      <c r="X379" s="10"/>
      <c r="Y379" s="10"/>
      <c r="Z379" s="10"/>
    </row>
    <row r="380">
      <c r="A380" s="9"/>
      <c r="B380" s="9"/>
      <c r="C380" s="9"/>
      <c r="D380" s="9"/>
      <c r="E380" s="9"/>
      <c r="F380" s="9"/>
      <c r="G380" s="9"/>
      <c r="H380" s="9"/>
      <c r="I380" s="9"/>
      <c r="J380" s="9"/>
      <c r="K380" s="9"/>
      <c r="L380" s="115"/>
      <c r="M380" s="115"/>
      <c r="N380" s="115"/>
      <c r="O380" s="115"/>
      <c r="P380" s="9"/>
      <c r="Q380" s="9"/>
      <c r="R380" s="9"/>
      <c r="S380" s="9"/>
      <c r="T380" s="9"/>
      <c r="U380" s="9"/>
      <c r="V380" s="9"/>
      <c r="W380" s="10"/>
      <c r="X380" s="10"/>
      <c r="Y380" s="10"/>
      <c r="Z380" s="10"/>
    </row>
    <row r="381">
      <c r="A381" s="9"/>
      <c r="B381" s="9"/>
      <c r="C381" s="9"/>
      <c r="D381" s="9"/>
      <c r="E381" s="9"/>
      <c r="F381" s="9"/>
      <c r="G381" s="9"/>
      <c r="H381" s="9"/>
      <c r="I381" s="9"/>
      <c r="J381" s="9"/>
      <c r="K381" s="9"/>
      <c r="L381" s="115"/>
      <c r="M381" s="115"/>
      <c r="N381" s="115"/>
      <c r="O381" s="115"/>
      <c r="P381" s="9"/>
      <c r="Q381" s="9"/>
      <c r="R381" s="9"/>
      <c r="S381" s="9"/>
      <c r="T381" s="9"/>
      <c r="U381" s="9"/>
      <c r="V381" s="9"/>
      <c r="W381" s="10"/>
      <c r="X381" s="10"/>
      <c r="Y381" s="10"/>
      <c r="Z381" s="10"/>
    </row>
    <row r="382">
      <c r="A382" s="9"/>
      <c r="B382" s="9"/>
      <c r="C382" s="9"/>
      <c r="D382" s="9"/>
      <c r="E382" s="9"/>
      <c r="F382" s="9"/>
      <c r="G382" s="9"/>
      <c r="H382" s="9"/>
      <c r="I382" s="9"/>
      <c r="J382" s="9"/>
      <c r="K382" s="9"/>
      <c r="L382" s="115"/>
      <c r="M382" s="115"/>
      <c r="N382" s="115"/>
      <c r="O382" s="115"/>
      <c r="P382" s="9"/>
      <c r="Q382" s="9"/>
      <c r="R382" s="9"/>
      <c r="S382" s="9"/>
      <c r="T382" s="9"/>
      <c r="U382" s="9"/>
      <c r="V382" s="9"/>
      <c r="W382" s="10"/>
      <c r="X382" s="10"/>
      <c r="Y382" s="10"/>
      <c r="Z382" s="10"/>
    </row>
    <row r="383">
      <c r="A383" s="9"/>
      <c r="B383" s="9"/>
      <c r="C383" s="9"/>
      <c r="D383" s="9"/>
      <c r="E383" s="9"/>
      <c r="F383" s="9"/>
      <c r="G383" s="9"/>
      <c r="H383" s="9"/>
      <c r="I383" s="9"/>
      <c r="J383" s="9"/>
      <c r="K383" s="9"/>
      <c r="L383" s="115"/>
      <c r="M383" s="115"/>
      <c r="N383" s="115"/>
      <c r="O383" s="115"/>
      <c r="P383" s="9"/>
      <c r="Q383" s="9"/>
      <c r="R383" s="9"/>
      <c r="S383" s="9"/>
      <c r="T383" s="9"/>
      <c r="U383" s="9"/>
      <c r="V383" s="9"/>
      <c r="W383" s="10"/>
      <c r="X383" s="10"/>
      <c r="Y383" s="10"/>
      <c r="Z383" s="10"/>
    </row>
    <row r="384">
      <c r="A384" s="9"/>
      <c r="B384" s="9"/>
      <c r="C384" s="9"/>
      <c r="D384" s="9"/>
      <c r="E384" s="9"/>
      <c r="F384" s="9"/>
      <c r="G384" s="9"/>
      <c r="H384" s="9"/>
      <c r="I384" s="9"/>
      <c r="J384" s="9"/>
      <c r="K384" s="9"/>
      <c r="L384" s="115"/>
      <c r="M384" s="115"/>
      <c r="N384" s="115"/>
      <c r="O384" s="115"/>
      <c r="P384" s="9"/>
      <c r="Q384" s="9"/>
      <c r="R384" s="9"/>
      <c r="S384" s="9"/>
      <c r="T384" s="9"/>
      <c r="U384" s="9"/>
      <c r="V384" s="9"/>
      <c r="W384" s="10"/>
      <c r="X384" s="10"/>
      <c r="Y384" s="10"/>
      <c r="Z384" s="10"/>
    </row>
    <row r="385">
      <c r="A385" s="9"/>
      <c r="B385" s="9"/>
      <c r="C385" s="9"/>
      <c r="D385" s="9"/>
      <c r="E385" s="9"/>
      <c r="F385" s="9"/>
      <c r="G385" s="9"/>
      <c r="H385" s="9"/>
      <c r="I385" s="9"/>
      <c r="J385" s="9"/>
      <c r="K385" s="9"/>
      <c r="L385" s="115"/>
      <c r="M385" s="115"/>
      <c r="N385" s="115"/>
      <c r="O385" s="115"/>
      <c r="P385" s="9"/>
      <c r="Q385" s="9"/>
      <c r="R385" s="9"/>
      <c r="S385" s="9"/>
      <c r="T385" s="9"/>
      <c r="U385" s="9"/>
      <c r="V385" s="9"/>
      <c r="W385" s="10"/>
      <c r="X385" s="10"/>
      <c r="Y385" s="10"/>
      <c r="Z385" s="10"/>
    </row>
    <row r="386">
      <c r="A386" s="9"/>
      <c r="B386" s="9"/>
      <c r="C386" s="9"/>
      <c r="D386" s="9"/>
      <c r="E386" s="9"/>
      <c r="F386" s="9"/>
      <c r="G386" s="9"/>
      <c r="H386" s="9"/>
      <c r="I386" s="9"/>
      <c r="J386" s="9"/>
      <c r="K386" s="9"/>
      <c r="L386" s="115"/>
      <c r="M386" s="115"/>
      <c r="N386" s="115"/>
      <c r="O386" s="115"/>
      <c r="P386" s="9"/>
      <c r="Q386" s="9"/>
      <c r="R386" s="9"/>
      <c r="S386" s="9"/>
      <c r="T386" s="9"/>
      <c r="U386" s="9"/>
      <c r="V386" s="9"/>
      <c r="W386" s="10"/>
      <c r="X386" s="10"/>
      <c r="Y386" s="10"/>
      <c r="Z386" s="10"/>
    </row>
    <row r="387">
      <c r="A387" s="9"/>
      <c r="B387" s="9"/>
      <c r="C387" s="9"/>
      <c r="D387" s="9"/>
      <c r="E387" s="9"/>
      <c r="F387" s="9"/>
      <c r="G387" s="9"/>
      <c r="H387" s="9"/>
      <c r="I387" s="9"/>
      <c r="J387" s="9"/>
      <c r="K387" s="9"/>
      <c r="L387" s="115"/>
      <c r="M387" s="115"/>
      <c r="N387" s="115"/>
      <c r="O387" s="115"/>
      <c r="P387" s="9"/>
      <c r="Q387" s="9"/>
      <c r="R387" s="9"/>
      <c r="S387" s="9"/>
      <c r="T387" s="9"/>
      <c r="U387" s="9"/>
      <c r="V387" s="9"/>
      <c r="W387" s="10"/>
      <c r="X387" s="10"/>
      <c r="Y387" s="10"/>
      <c r="Z387" s="10"/>
    </row>
    <row r="388">
      <c r="A388" s="9"/>
      <c r="B388" s="9"/>
      <c r="C388" s="9"/>
      <c r="D388" s="9"/>
      <c r="E388" s="9"/>
      <c r="F388" s="9"/>
      <c r="G388" s="9"/>
      <c r="H388" s="9"/>
      <c r="I388" s="9"/>
      <c r="J388" s="9"/>
      <c r="K388" s="9"/>
      <c r="L388" s="115"/>
      <c r="M388" s="115"/>
      <c r="N388" s="115"/>
      <c r="O388" s="115"/>
      <c r="P388" s="9"/>
      <c r="Q388" s="9"/>
      <c r="R388" s="9"/>
      <c r="S388" s="9"/>
      <c r="T388" s="9"/>
      <c r="U388" s="9"/>
      <c r="V388" s="9"/>
      <c r="W388" s="10"/>
      <c r="X388" s="10"/>
      <c r="Y388" s="10"/>
      <c r="Z388" s="10"/>
    </row>
    <row r="389">
      <c r="A389" s="9"/>
      <c r="B389" s="9"/>
      <c r="C389" s="9"/>
      <c r="D389" s="9"/>
      <c r="E389" s="9"/>
      <c r="F389" s="9"/>
      <c r="G389" s="9"/>
      <c r="H389" s="9"/>
      <c r="I389" s="9"/>
      <c r="J389" s="9"/>
      <c r="K389" s="9"/>
      <c r="L389" s="115"/>
      <c r="M389" s="115"/>
      <c r="N389" s="115"/>
      <c r="O389" s="115"/>
      <c r="P389" s="9"/>
      <c r="Q389" s="9"/>
      <c r="R389" s="9"/>
      <c r="S389" s="9"/>
      <c r="T389" s="9"/>
      <c r="U389" s="9"/>
      <c r="V389" s="9"/>
      <c r="W389" s="10"/>
      <c r="X389" s="10"/>
      <c r="Y389" s="10"/>
      <c r="Z389" s="10"/>
    </row>
    <row r="390">
      <c r="A390" s="9"/>
      <c r="B390" s="9"/>
      <c r="C390" s="9"/>
      <c r="D390" s="9"/>
      <c r="E390" s="9"/>
      <c r="F390" s="9"/>
      <c r="G390" s="9"/>
      <c r="H390" s="9"/>
      <c r="I390" s="9"/>
      <c r="J390" s="9"/>
      <c r="K390" s="9"/>
      <c r="L390" s="115"/>
      <c r="M390" s="115"/>
      <c r="N390" s="115"/>
      <c r="O390" s="115"/>
      <c r="P390" s="9"/>
      <c r="Q390" s="9"/>
      <c r="R390" s="9"/>
      <c r="S390" s="9"/>
      <c r="T390" s="9"/>
      <c r="U390" s="9"/>
      <c r="V390" s="9"/>
      <c r="W390" s="10"/>
      <c r="X390" s="10"/>
      <c r="Y390" s="10"/>
      <c r="Z390" s="10"/>
    </row>
    <row r="391">
      <c r="A391" s="9"/>
      <c r="B391" s="9"/>
      <c r="C391" s="9"/>
      <c r="D391" s="9"/>
      <c r="E391" s="9"/>
      <c r="F391" s="9"/>
      <c r="G391" s="9"/>
      <c r="H391" s="9"/>
      <c r="I391" s="9"/>
      <c r="J391" s="9"/>
      <c r="K391" s="9"/>
      <c r="L391" s="115"/>
      <c r="M391" s="115"/>
      <c r="N391" s="115"/>
      <c r="O391" s="115"/>
      <c r="P391" s="9"/>
      <c r="Q391" s="9"/>
      <c r="R391" s="9"/>
      <c r="S391" s="9"/>
      <c r="T391" s="9"/>
      <c r="U391" s="9"/>
      <c r="V391" s="9"/>
      <c r="W391" s="10"/>
      <c r="X391" s="10"/>
      <c r="Y391" s="10"/>
      <c r="Z391" s="10"/>
    </row>
    <row r="392">
      <c r="A392" s="9"/>
      <c r="B392" s="9"/>
      <c r="C392" s="9"/>
      <c r="D392" s="9"/>
      <c r="E392" s="9"/>
      <c r="F392" s="9"/>
      <c r="G392" s="9"/>
      <c r="H392" s="9"/>
      <c r="I392" s="9"/>
      <c r="J392" s="9"/>
      <c r="K392" s="9"/>
      <c r="L392" s="115"/>
      <c r="M392" s="115"/>
      <c r="N392" s="115"/>
      <c r="O392" s="115"/>
      <c r="P392" s="9"/>
      <c r="Q392" s="9"/>
      <c r="R392" s="9"/>
      <c r="S392" s="9"/>
      <c r="T392" s="9"/>
      <c r="U392" s="9"/>
      <c r="V392" s="9"/>
      <c r="W392" s="10"/>
      <c r="X392" s="10"/>
      <c r="Y392" s="10"/>
      <c r="Z392" s="10"/>
    </row>
    <row r="393">
      <c r="A393" s="9"/>
      <c r="B393" s="9"/>
      <c r="C393" s="9"/>
      <c r="D393" s="9"/>
      <c r="E393" s="9"/>
      <c r="F393" s="9"/>
      <c r="G393" s="9"/>
      <c r="H393" s="9"/>
      <c r="I393" s="9"/>
      <c r="J393" s="9"/>
      <c r="K393" s="9"/>
      <c r="L393" s="115"/>
      <c r="M393" s="115"/>
      <c r="N393" s="115"/>
      <c r="O393" s="115"/>
      <c r="P393" s="9"/>
      <c r="Q393" s="9"/>
      <c r="R393" s="9"/>
      <c r="S393" s="9"/>
      <c r="T393" s="9"/>
      <c r="U393" s="9"/>
      <c r="V393" s="9"/>
      <c r="W393" s="10"/>
      <c r="X393" s="10"/>
      <c r="Y393" s="10"/>
      <c r="Z393" s="10"/>
    </row>
    <row r="394">
      <c r="A394" s="9"/>
      <c r="B394" s="9"/>
      <c r="C394" s="9"/>
      <c r="D394" s="9"/>
      <c r="E394" s="9"/>
      <c r="F394" s="9"/>
      <c r="G394" s="9"/>
      <c r="H394" s="9"/>
      <c r="I394" s="9"/>
      <c r="J394" s="9"/>
      <c r="K394" s="9"/>
      <c r="L394" s="115"/>
      <c r="M394" s="115"/>
      <c r="N394" s="115"/>
      <c r="O394" s="115"/>
      <c r="P394" s="9"/>
      <c r="Q394" s="9"/>
      <c r="R394" s="9"/>
      <c r="S394" s="9"/>
      <c r="T394" s="9"/>
      <c r="U394" s="9"/>
      <c r="V394" s="9"/>
      <c r="W394" s="10"/>
      <c r="X394" s="10"/>
      <c r="Y394" s="10"/>
      <c r="Z394" s="10"/>
    </row>
    <row r="395">
      <c r="A395" s="9"/>
      <c r="B395" s="9"/>
      <c r="C395" s="9"/>
      <c r="D395" s="9"/>
      <c r="E395" s="9"/>
      <c r="F395" s="9"/>
      <c r="G395" s="9"/>
      <c r="H395" s="9"/>
      <c r="I395" s="9"/>
      <c r="J395" s="9"/>
      <c r="K395" s="9"/>
      <c r="L395" s="115"/>
      <c r="M395" s="115"/>
      <c r="N395" s="115"/>
      <c r="O395" s="115"/>
      <c r="P395" s="9"/>
      <c r="Q395" s="9"/>
      <c r="R395" s="9"/>
      <c r="S395" s="9"/>
      <c r="T395" s="9"/>
      <c r="U395" s="9"/>
      <c r="V395" s="9"/>
      <c r="W395" s="10"/>
      <c r="X395" s="10"/>
      <c r="Y395" s="10"/>
      <c r="Z395" s="10"/>
    </row>
    <row r="396">
      <c r="A396" s="9"/>
      <c r="B396" s="9"/>
      <c r="C396" s="9"/>
      <c r="D396" s="9"/>
      <c r="E396" s="9"/>
      <c r="F396" s="9"/>
      <c r="G396" s="9"/>
      <c r="H396" s="9"/>
      <c r="I396" s="9"/>
      <c r="J396" s="9"/>
      <c r="K396" s="9"/>
      <c r="L396" s="115"/>
      <c r="M396" s="115"/>
      <c r="N396" s="115"/>
      <c r="O396" s="115"/>
      <c r="P396" s="9"/>
      <c r="Q396" s="9"/>
      <c r="R396" s="9"/>
      <c r="S396" s="9"/>
      <c r="T396" s="9"/>
      <c r="U396" s="9"/>
      <c r="V396" s="9"/>
      <c r="W396" s="10"/>
      <c r="X396" s="10"/>
      <c r="Y396" s="10"/>
      <c r="Z396" s="10"/>
    </row>
    <row r="397">
      <c r="A397" s="9"/>
      <c r="B397" s="9"/>
      <c r="C397" s="9"/>
      <c r="D397" s="9"/>
      <c r="E397" s="9"/>
      <c r="F397" s="9"/>
      <c r="G397" s="9"/>
      <c r="H397" s="9"/>
      <c r="I397" s="9"/>
      <c r="J397" s="9"/>
      <c r="K397" s="9"/>
      <c r="L397" s="115"/>
      <c r="M397" s="115"/>
      <c r="N397" s="115"/>
      <c r="O397" s="115"/>
      <c r="P397" s="9"/>
      <c r="Q397" s="9"/>
      <c r="R397" s="9"/>
      <c r="S397" s="9"/>
      <c r="T397" s="9"/>
      <c r="U397" s="9"/>
      <c r="V397" s="9"/>
      <c r="W397" s="10"/>
      <c r="X397" s="10"/>
      <c r="Y397" s="10"/>
      <c r="Z397" s="10"/>
    </row>
    <row r="398">
      <c r="A398" s="9"/>
      <c r="B398" s="9"/>
      <c r="C398" s="9"/>
      <c r="D398" s="9"/>
      <c r="E398" s="9"/>
      <c r="F398" s="9"/>
      <c r="G398" s="9"/>
      <c r="H398" s="9"/>
      <c r="I398" s="9"/>
      <c r="J398" s="9"/>
      <c r="K398" s="9"/>
      <c r="L398" s="115"/>
      <c r="M398" s="115"/>
      <c r="N398" s="115"/>
      <c r="O398" s="115"/>
      <c r="P398" s="9"/>
      <c r="Q398" s="9"/>
      <c r="R398" s="9"/>
      <c r="S398" s="9"/>
      <c r="T398" s="9"/>
      <c r="U398" s="9"/>
      <c r="V398" s="9"/>
      <c r="W398" s="10"/>
      <c r="X398" s="10"/>
      <c r="Y398" s="10"/>
      <c r="Z398" s="10"/>
    </row>
    <row r="399">
      <c r="A399" s="9"/>
      <c r="B399" s="9"/>
      <c r="C399" s="9"/>
      <c r="D399" s="9"/>
      <c r="E399" s="9"/>
      <c r="F399" s="9"/>
      <c r="G399" s="9"/>
      <c r="H399" s="9"/>
      <c r="I399" s="9"/>
      <c r="J399" s="9"/>
      <c r="K399" s="9"/>
      <c r="L399" s="115"/>
      <c r="M399" s="115"/>
      <c r="N399" s="115"/>
      <c r="O399" s="115"/>
      <c r="P399" s="9"/>
      <c r="Q399" s="9"/>
      <c r="R399" s="9"/>
      <c r="S399" s="9"/>
      <c r="T399" s="9"/>
      <c r="U399" s="9"/>
      <c r="V399" s="9"/>
      <c r="W399" s="10"/>
      <c r="X399" s="10"/>
      <c r="Y399" s="10"/>
      <c r="Z399" s="10"/>
    </row>
    <row r="400">
      <c r="A400" s="9"/>
      <c r="B400" s="9"/>
      <c r="C400" s="9"/>
      <c r="D400" s="9"/>
      <c r="E400" s="9"/>
      <c r="F400" s="9"/>
      <c r="G400" s="9"/>
      <c r="H400" s="9"/>
      <c r="I400" s="9"/>
      <c r="J400" s="9"/>
      <c r="K400" s="9"/>
      <c r="L400" s="115"/>
      <c r="M400" s="115"/>
      <c r="N400" s="115"/>
      <c r="O400" s="115"/>
      <c r="P400" s="9"/>
      <c r="Q400" s="9"/>
      <c r="R400" s="9"/>
      <c r="S400" s="9"/>
      <c r="T400" s="9"/>
      <c r="U400" s="9"/>
      <c r="V400" s="9"/>
      <c r="W400" s="10"/>
      <c r="X400" s="10"/>
      <c r="Y400" s="10"/>
      <c r="Z400" s="10"/>
    </row>
    <row r="401">
      <c r="A401" s="9"/>
      <c r="B401" s="9"/>
      <c r="C401" s="9"/>
      <c r="D401" s="9"/>
      <c r="E401" s="9"/>
      <c r="F401" s="9"/>
      <c r="G401" s="9"/>
      <c r="H401" s="9"/>
      <c r="I401" s="9"/>
      <c r="J401" s="9"/>
      <c r="K401" s="9"/>
      <c r="L401" s="115"/>
      <c r="M401" s="115"/>
      <c r="N401" s="115"/>
      <c r="O401" s="115"/>
      <c r="P401" s="9"/>
      <c r="Q401" s="9"/>
      <c r="R401" s="9"/>
      <c r="S401" s="9"/>
      <c r="T401" s="9"/>
      <c r="U401" s="9"/>
      <c r="V401" s="9"/>
      <c r="W401" s="10"/>
      <c r="X401" s="10"/>
      <c r="Y401" s="10"/>
      <c r="Z401" s="10"/>
    </row>
    <row r="402">
      <c r="A402" s="9"/>
      <c r="B402" s="9"/>
      <c r="C402" s="9"/>
      <c r="D402" s="9"/>
      <c r="E402" s="9"/>
      <c r="F402" s="9"/>
      <c r="G402" s="9"/>
      <c r="H402" s="9"/>
      <c r="I402" s="9"/>
      <c r="J402" s="9"/>
      <c r="K402" s="9"/>
      <c r="L402" s="115"/>
      <c r="M402" s="115"/>
      <c r="N402" s="115"/>
      <c r="O402" s="115"/>
      <c r="P402" s="9"/>
      <c r="Q402" s="9"/>
      <c r="R402" s="9"/>
      <c r="S402" s="9"/>
      <c r="T402" s="9"/>
      <c r="U402" s="9"/>
      <c r="V402" s="9"/>
      <c r="W402" s="10"/>
      <c r="X402" s="10"/>
      <c r="Y402" s="10"/>
      <c r="Z402" s="10"/>
    </row>
    <row r="403">
      <c r="A403" s="9"/>
      <c r="B403" s="9"/>
      <c r="C403" s="9"/>
      <c r="D403" s="9"/>
      <c r="E403" s="9"/>
      <c r="F403" s="9"/>
      <c r="G403" s="9"/>
      <c r="H403" s="9"/>
      <c r="I403" s="9"/>
      <c r="J403" s="9"/>
      <c r="K403" s="9"/>
      <c r="L403" s="115"/>
      <c r="M403" s="115"/>
      <c r="N403" s="115"/>
      <c r="O403" s="115"/>
      <c r="P403" s="9"/>
      <c r="Q403" s="9"/>
      <c r="R403" s="9"/>
      <c r="S403" s="9"/>
      <c r="T403" s="9"/>
      <c r="U403" s="9"/>
      <c r="V403" s="9"/>
      <c r="W403" s="10"/>
      <c r="X403" s="10"/>
      <c r="Y403" s="10"/>
      <c r="Z403" s="10"/>
    </row>
    <row r="404">
      <c r="A404" s="9"/>
      <c r="B404" s="9"/>
      <c r="C404" s="9"/>
      <c r="D404" s="9"/>
      <c r="E404" s="9"/>
      <c r="F404" s="9"/>
      <c r="G404" s="9"/>
      <c r="H404" s="9"/>
      <c r="I404" s="9"/>
      <c r="J404" s="9"/>
      <c r="K404" s="9"/>
      <c r="L404" s="115"/>
      <c r="M404" s="115"/>
      <c r="N404" s="115"/>
      <c r="O404" s="115"/>
      <c r="P404" s="9"/>
      <c r="Q404" s="9"/>
      <c r="R404" s="9"/>
      <c r="S404" s="9"/>
      <c r="T404" s="9"/>
      <c r="U404" s="9"/>
      <c r="V404" s="9"/>
      <c r="W404" s="10"/>
      <c r="X404" s="10"/>
      <c r="Y404" s="10"/>
      <c r="Z404" s="10"/>
    </row>
    <row r="405">
      <c r="A405" s="9"/>
      <c r="B405" s="9"/>
      <c r="C405" s="9"/>
      <c r="D405" s="9"/>
      <c r="E405" s="9"/>
      <c r="F405" s="9"/>
      <c r="G405" s="9"/>
      <c r="H405" s="9"/>
      <c r="I405" s="9"/>
      <c r="J405" s="9"/>
      <c r="K405" s="9"/>
      <c r="L405" s="115"/>
      <c r="M405" s="115"/>
      <c r="N405" s="115"/>
      <c r="O405" s="115"/>
      <c r="P405" s="9"/>
      <c r="Q405" s="9"/>
      <c r="R405" s="9"/>
      <c r="S405" s="9"/>
      <c r="T405" s="9"/>
      <c r="U405" s="9"/>
      <c r="V405" s="9"/>
      <c r="W405" s="10"/>
      <c r="X405" s="10"/>
      <c r="Y405" s="10"/>
      <c r="Z405" s="10"/>
    </row>
    <row r="406">
      <c r="A406" s="9"/>
      <c r="B406" s="9"/>
      <c r="C406" s="9"/>
      <c r="D406" s="9"/>
      <c r="E406" s="9"/>
      <c r="F406" s="9"/>
      <c r="G406" s="9"/>
      <c r="H406" s="9"/>
      <c r="I406" s="9"/>
      <c r="J406" s="9"/>
      <c r="K406" s="9"/>
      <c r="L406" s="115"/>
      <c r="M406" s="115"/>
      <c r="N406" s="115"/>
      <c r="O406" s="115"/>
      <c r="P406" s="9"/>
      <c r="Q406" s="9"/>
      <c r="R406" s="9"/>
      <c r="S406" s="9"/>
      <c r="T406" s="9"/>
      <c r="U406" s="9"/>
      <c r="V406" s="9"/>
      <c r="W406" s="10"/>
      <c r="X406" s="10"/>
      <c r="Y406" s="10"/>
      <c r="Z406" s="10"/>
    </row>
    <row r="407">
      <c r="A407" s="9"/>
      <c r="B407" s="9"/>
      <c r="C407" s="9"/>
      <c r="D407" s="9"/>
      <c r="E407" s="9"/>
      <c r="F407" s="9"/>
      <c r="G407" s="9"/>
      <c r="H407" s="9"/>
      <c r="I407" s="9"/>
      <c r="J407" s="9"/>
      <c r="K407" s="9"/>
      <c r="L407" s="115"/>
      <c r="M407" s="115"/>
      <c r="N407" s="115"/>
      <c r="O407" s="115"/>
      <c r="P407" s="9"/>
      <c r="Q407" s="9"/>
      <c r="R407" s="9"/>
      <c r="S407" s="9"/>
      <c r="T407" s="9"/>
      <c r="U407" s="9"/>
      <c r="V407" s="9"/>
      <c r="W407" s="10"/>
      <c r="X407" s="10"/>
      <c r="Y407" s="10"/>
      <c r="Z407" s="10"/>
    </row>
    <row r="408">
      <c r="A408" s="9"/>
      <c r="B408" s="9"/>
      <c r="C408" s="9"/>
      <c r="D408" s="9"/>
      <c r="E408" s="9"/>
      <c r="F408" s="9"/>
      <c r="G408" s="9"/>
      <c r="H408" s="9"/>
      <c r="I408" s="9"/>
      <c r="J408" s="9"/>
      <c r="K408" s="9"/>
      <c r="L408" s="115"/>
      <c r="M408" s="115"/>
      <c r="N408" s="115"/>
      <c r="O408" s="115"/>
      <c r="P408" s="9"/>
      <c r="Q408" s="9"/>
      <c r="R408" s="9"/>
      <c r="S408" s="9"/>
      <c r="T408" s="9"/>
      <c r="U408" s="9"/>
      <c r="V408" s="9"/>
      <c r="W408" s="10"/>
      <c r="X408" s="10"/>
      <c r="Y408" s="10"/>
      <c r="Z408" s="10"/>
    </row>
    <row r="409">
      <c r="A409" s="9"/>
      <c r="B409" s="9"/>
      <c r="C409" s="9"/>
      <c r="D409" s="9"/>
      <c r="E409" s="9"/>
      <c r="F409" s="9"/>
      <c r="G409" s="9"/>
      <c r="H409" s="9"/>
      <c r="I409" s="9"/>
      <c r="J409" s="9"/>
      <c r="K409" s="9"/>
      <c r="L409" s="115"/>
      <c r="M409" s="115"/>
      <c r="N409" s="115"/>
      <c r="O409" s="115"/>
      <c r="P409" s="9"/>
      <c r="Q409" s="9"/>
      <c r="R409" s="9"/>
      <c r="S409" s="9"/>
      <c r="T409" s="9"/>
      <c r="U409" s="9"/>
      <c r="V409" s="9"/>
      <c r="W409" s="10"/>
      <c r="X409" s="10"/>
      <c r="Y409" s="10"/>
      <c r="Z409" s="10"/>
    </row>
    <row r="410">
      <c r="A410" s="9"/>
      <c r="B410" s="9"/>
      <c r="C410" s="9"/>
      <c r="D410" s="9"/>
      <c r="E410" s="9"/>
      <c r="F410" s="9"/>
      <c r="G410" s="9"/>
      <c r="H410" s="9"/>
      <c r="I410" s="9"/>
      <c r="J410" s="9"/>
      <c r="K410" s="9"/>
      <c r="L410" s="115"/>
      <c r="M410" s="115"/>
      <c r="N410" s="115"/>
      <c r="O410" s="115"/>
      <c r="P410" s="9"/>
      <c r="Q410" s="9"/>
      <c r="R410" s="9"/>
      <c r="S410" s="9"/>
      <c r="T410" s="9"/>
      <c r="U410" s="9"/>
      <c r="V410" s="9"/>
      <c r="W410" s="10"/>
      <c r="X410" s="10"/>
      <c r="Y410" s="10"/>
      <c r="Z410" s="10"/>
    </row>
    <row r="411">
      <c r="A411" s="9"/>
      <c r="B411" s="9"/>
      <c r="C411" s="9"/>
      <c r="D411" s="9"/>
      <c r="E411" s="9"/>
      <c r="F411" s="9"/>
      <c r="G411" s="9"/>
      <c r="H411" s="9"/>
      <c r="I411" s="9"/>
      <c r="J411" s="9"/>
      <c r="K411" s="9"/>
      <c r="L411" s="115"/>
      <c r="M411" s="115"/>
      <c r="N411" s="115"/>
      <c r="O411" s="115"/>
      <c r="P411" s="9"/>
      <c r="Q411" s="9"/>
      <c r="R411" s="9"/>
      <c r="S411" s="9"/>
      <c r="T411" s="9"/>
      <c r="U411" s="9"/>
      <c r="V411" s="9"/>
      <c r="W411" s="10"/>
      <c r="X411" s="10"/>
      <c r="Y411" s="10"/>
      <c r="Z411" s="10"/>
    </row>
    <row r="412">
      <c r="A412" s="9"/>
      <c r="B412" s="9"/>
      <c r="C412" s="9"/>
      <c r="D412" s="9"/>
      <c r="E412" s="9"/>
      <c r="F412" s="9"/>
      <c r="G412" s="9"/>
      <c r="H412" s="9"/>
      <c r="I412" s="9"/>
      <c r="J412" s="9"/>
      <c r="K412" s="9"/>
      <c r="L412" s="115"/>
      <c r="M412" s="115"/>
      <c r="N412" s="115"/>
      <c r="O412" s="115"/>
      <c r="P412" s="9"/>
      <c r="Q412" s="9"/>
      <c r="R412" s="9"/>
      <c r="S412" s="9"/>
      <c r="T412" s="9"/>
      <c r="U412" s="9"/>
      <c r="V412" s="9"/>
      <c r="W412" s="10"/>
      <c r="X412" s="10"/>
      <c r="Y412" s="10"/>
      <c r="Z412" s="10"/>
    </row>
    <row r="413">
      <c r="A413" s="9"/>
      <c r="B413" s="9"/>
      <c r="C413" s="9"/>
      <c r="D413" s="9"/>
      <c r="E413" s="9"/>
      <c r="F413" s="9"/>
      <c r="G413" s="9"/>
      <c r="H413" s="9"/>
      <c r="I413" s="9"/>
      <c r="J413" s="9"/>
      <c r="K413" s="9"/>
      <c r="L413" s="115"/>
      <c r="M413" s="115"/>
      <c r="N413" s="115"/>
      <c r="O413" s="115"/>
      <c r="P413" s="9"/>
      <c r="Q413" s="9"/>
      <c r="R413" s="9"/>
      <c r="S413" s="9"/>
      <c r="T413" s="9"/>
      <c r="U413" s="9"/>
      <c r="V413" s="9"/>
      <c r="W413" s="10"/>
      <c r="X413" s="10"/>
      <c r="Y413" s="10"/>
      <c r="Z413" s="10"/>
    </row>
    <row r="414">
      <c r="A414" s="9"/>
      <c r="B414" s="9"/>
      <c r="C414" s="9"/>
      <c r="D414" s="9"/>
      <c r="E414" s="9"/>
      <c r="F414" s="9"/>
      <c r="G414" s="9"/>
      <c r="H414" s="9"/>
      <c r="I414" s="9"/>
      <c r="J414" s="9"/>
      <c r="K414" s="9"/>
      <c r="L414" s="115"/>
      <c r="M414" s="115"/>
      <c r="N414" s="115"/>
      <c r="O414" s="115"/>
      <c r="P414" s="9"/>
      <c r="Q414" s="9"/>
      <c r="R414" s="9"/>
      <c r="S414" s="9"/>
      <c r="T414" s="9"/>
      <c r="U414" s="9"/>
      <c r="V414" s="9"/>
      <c r="W414" s="10"/>
      <c r="X414" s="10"/>
      <c r="Y414" s="10"/>
      <c r="Z414" s="10"/>
    </row>
    <row r="415">
      <c r="A415" s="9"/>
      <c r="B415" s="9"/>
      <c r="C415" s="9"/>
      <c r="D415" s="9"/>
      <c r="E415" s="9"/>
      <c r="F415" s="9"/>
      <c r="G415" s="9"/>
      <c r="H415" s="9"/>
      <c r="I415" s="9"/>
      <c r="J415" s="9"/>
      <c r="K415" s="9"/>
      <c r="L415" s="115"/>
      <c r="M415" s="115"/>
      <c r="N415" s="115"/>
      <c r="O415" s="115"/>
      <c r="P415" s="9"/>
      <c r="Q415" s="9"/>
      <c r="R415" s="9"/>
      <c r="S415" s="9"/>
      <c r="T415" s="9"/>
      <c r="U415" s="9"/>
      <c r="V415" s="9"/>
      <c r="W415" s="10"/>
      <c r="X415" s="10"/>
      <c r="Y415" s="10"/>
      <c r="Z415" s="10"/>
    </row>
    <row r="416">
      <c r="A416" s="9"/>
      <c r="B416" s="9"/>
      <c r="C416" s="9"/>
      <c r="D416" s="9"/>
      <c r="E416" s="9"/>
      <c r="F416" s="9"/>
      <c r="G416" s="9"/>
      <c r="H416" s="9"/>
      <c r="I416" s="9"/>
      <c r="J416" s="9"/>
      <c r="K416" s="9"/>
      <c r="L416" s="115"/>
      <c r="M416" s="115"/>
      <c r="N416" s="115"/>
      <c r="O416" s="115"/>
      <c r="P416" s="9"/>
      <c r="Q416" s="9"/>
      <c r="R416" s="9"/>
      <c r="S416" s="9"/>
      <c r="T416" s="9"/>
      <c r="U416" s="9"/>
      <c r="V416" s="9"/>
      <c r="W416" s="10"/>
      <c r="X416" s="10"/>
      <c r="Y416" s="10"/>
      <c r="Z416" s="10"/>
    </row>
    <row r="417">
      <c r="A417" s="9"/>
      <c r="B417" s="9"/>
      <c r="C417" s="9"/>
      <c r="D417" s="9"/>
      <c r="E417" s="9"/>
      <c r="F417" s="9"/>
      <c r="G417" s="9"/>
      <c r="H417" s="9"/>
      <c r="I417" s="9"/>
      <c r="J417" s="9"/>
      <c r="K417" s="9"/>
      <c r="L417" s="115"/>
      <c r="M417" s="115"/>
      <c r="N417" s="115"/>
      <c r="O417" s="115"/>
      <c r="P417" s="9"/>
      <c r="Q417" s="9"/>
      <c r="R417" s="9"/>
      <c r="S417" s="9"/>
      <c r="T417" s="9"/>
      <c r="U417" s="9"/>
      <c r="V417" s="9"/>
      <c r="W417" s="10"/>
      <c r="X417" s="10"/>
      <c r="Y417" s="10"/>
      <c r="Z417" s="10"/>
    </row>
    <row r="418">
      <c r="A418" s="9"/>
      <c r="B418" s="9"/>
      <c r="C418" s="9"/>
      <c r="D418" s="9"/>
      <c r="E418" s="9"/>
      <c r="F418" s="9"/>
      <c r="G418" s="9"/>
      <c r="H418" s="9"/>
      <c r="I418" s="9"/>
      <c r="J418" s="9"/>
      <c r="K418" s="9"/>
      <c r="L418" s="115"/>
      <c r="M418" s="115"/>
      <c r="N418" s="115"/>
      <c r="O418" s="115"/>
      <c r="P418" s="9"/>
      <c r="Q418" s="9"/>
      <c r="R418" s="9"/>
      <c r="S418" s="9"/>
      <c r="T418" s="9"/>
      <c r="U418" s="9"/>
      <c r="V418" s="9"/>
      <c r="W418" s="10"/>
      <c r="X418" s="10"/>
      <c r="Y418" s="10"/>
      <c r="Z418" s="10"/>
    </row>
    <row r="419">
      <c r="A419" s="9"/>
      <c r="B419" s="9"/>
      <c r="C419" s="9"/>
      <c r="D419" s="9"/>
      <c r="E419" s="9"/>
      <c r="F419" s="9"/>
      <c r="G419" s="9"/>
      <c r="H419" s="9"/>
      <c r="I419" s="9"/>
      <c r="J419" s="9"/>
      <c r="K419" s="9"/>
      <c r="L419" s="115"/>
      <c r="M419" s="115"/>
      <c r="N419" s="115"/>
      <c r="O419" s="115"/>
      <c r="P419" s="9"/>
      <c r="Q419" s="9"/>
      <c r="R419" s="9"/>
      <c r="S419" s="9"/>
      <c r="T419" s="9"/>
      <c r="U419" s="9"/>
      <c r="V419" s="9"/>
      <c r="W419" s="10"/>
      <c r="X419" s="10"/>
      <c r="Y419" s="10"/>
      <c r="Z419" s="10"/>
    </row>
    <row r="420">
      <c r="A420" s="9"/>
      <c r="B420" s="9"/>
      <c r="C420" s="9"/>
      <c r="D420" s="9"/>
      <c r="E420" s="9"/>
      <c r="F420" s="9"/>
      <c r="G420" s="9"/>
      <c r="H420" s="9"/>
      <c r="I420" s="9"/>
      <c r="J420" s="9"/>
      <c r="K420" s="9"/>
      <c r="L420" s="115"/>
      <c r="M420" s="115"/>
      <c r="N420" s="115"/>
      <c r="O420" s="115"/>
      <c r="P420" s="9"/>
      <c r="Q420" s="9"/>
      <c r="R420" s="9"/>
      <c r="S420" s="9"/>
      <c r="T420" s="9"/>
      <c r="U420" s="9"/>
      <c r="V420" s="9"/>
      <c r="W420" s="10"/>
      <c r="X420" s="10"/>
      <c r="Y420" s="10"/>
      <c r="Z420" s="10"/>
    </row>
    <row r="421">
      <c r="A421" s="9"/>
      <c r="B421" s="9"/>
      <c r="C421" s="9"/>
      <c r="D421" s="9"/>
      <c r="E421" s="9"/>
      <c r="F421" s="9"/>
      <c r="G421" s="9"/>
      <c r="H421" s="9"/>
      <c r="I421" s="9"/>
      <c r="J421" s="9"/>
      <c r="K421" s="9"/>
      <c r="L421" s="115"/>
      <c r="M421" s="115"/>
      <c r="N421" s="115"/>
      <c r="O421" s="115"/>
      <c r="P421" s="9"/>
      <c r="Q421" s="9"/>
      <c r="R421" s="9"/>
      <c r="S421" s="9"/>
      <c r="T421" s="9"/>
      <c r="U421" s="9"/>
      <c r="V421" s="9"/>
      <c r="W421" s="10"/>
      <c r="X421" s="10"/>
      <c r="Y421" s="10"/>
      <c r="Z421" s="10"/>
    </row>
    <row r="422">
      <c r="A422" s="9"/>
      <c r="B422" s="9"/>
      <c r="C422" s="9"/>
      <c r="D422" s="9"/>
      <c r="E422" s="9"/>
      <c r="F422" s="9"/>
      <c r="G422" s="9"/>
      <c r="H422" s="9"/>
      <c r="I422" s="9"/>
      <c r="J422" s="9"/>
      <c r="K422" s="9"/>
      <c r="L422" s="115"/>
      <c r="M422" s="115"/>
      <c r="N422" s="115"/>
      <c r="O422" s="115"/>
      <c r="P422" s="9"/>
      <c r="Q422" s="9"/>
      <c r="R422" s="9"/>
      <c r="S422" s="9"/>
      <c r="T422" s="9"/>
      <c r="U422" s="9"/>
      <c r="V422" s="9"/>
      <c r="W422" s="10"/>
      <c r="X422" s="10"/>
      <c r="Y422" s="10"/>
      <c r="Z422" s="10"/>
    </row>
    <row r="423">
      <c r="A423" s="9"/>
      <c r="B423" s="9"/>
      <c r="C423" s="9"/>
      <c r="D423" s="9"/>
      <c r="E423" s="9"/>
      <c r="F423" s="9"/>
      <c r="G423" s="9"/>
      <c r="H423" s="9"/>
      <c r="I423" s="9"/>
      <c r="J423" s="9"/>
      <c r="K423" s="9"/>
      <c r="L423" s="115"/>
      <c r="M423" s="115"/>
      <c r="N423" s="115"/>
      <c r="O423" s="115"/>
      <c r="P423" s="9"/>
      <c r="Q423" s="9"/>
      <c r="R423" s="9"/>
      <c r="S423" s="9"/>
      <c r="T423" s="9"/>
      <c r="U423" s="9"/>
      <c r="V423" s="9"/>
      <c r="W423" s="10"/>
      <c r="X423" s="10"/>
      <c r="Y423" s="10"/>
      <c r="Z423" s="10"/>
    </row>
    <row r="424">
      <c r="A424" s="9"/>
      <c r="B424" s="9"/>
      <c r="C424" s="9"/>
      <c r="D424" s="9"/>
      <c r="E424" s="9"/>
      <c r="F424" s="9"/>
      <c r="G424" s="9"/>
      <c r="H424" s="9"/>
      <c r="I424" s="9"/>
      <c r="J424" s="9"/>
      <c r="K424" s="9"/>
      <c r="L424" s="115"/>
      <c r="M424" s="115"/>
      <c r="N424" s="115"/>
      <c r="O424" s="115"/>
      <c r="P424" s="9"/>
      <c r="Q424" s="9"/>
      <c r="R424" s="9"/>
      <c r="S424" s="9"/>
      <c r="T424" s="9"/>
      <c r="U424" s="9"/>
      <c r="V424" s="9"/>
      <c r="W424" s="10"/>
      <c r="X424" s="10"/>
      <c r="Y424" s="10"/>
      <c r="Z424" s="10"/>
    </row>
    <row r="425">
      <c r="A425" s="9"/>
      <c r="B425" s="9"/>
      <c r="C425" s="9"/>
      <c r="D425" s="9"/>
      <c r="E425" s="9"/>
      <c r="F425" s="9"/>
      <c r="G425" s="9"/>
      <c r="H425" s="9"/>
      <c r="I425" s="9"/>
      <c r="J425" s="9"/>
      <c r="K425" s="9"/>
      <c r="L425" s="115"/>
      <c r="M425" s="115"/>
      <c r="N425" s="115"/>
      <c r="O425" s="115"/>
      <c r="P425" s="9"/>
      <c r="Q425" s="9"/>
      <c r="R425" s="9"/>
      <c r="S425" s="9"/>
      <c r="T425" s="9"/>
      <c r="U425" s="9"/>
      <c r="V425" s="9"/>
      <c r="W425" s="10"/>
      <c r="X425" s="10"/>
      <c r="Y425" s="10"/>
      <c r="Z425" s="10"/>
    </row>
    <row r="426">
      <c r="A426" s="9"/>
      <c r="B426" s="9"/>
      <c r="C426" s="9"/>
      <c r="D426" s="9"/>
      <c r="E426" s="9"/>
      <c r="F426" s="9"/>
      <c r="G426" s="9"/>
      <c r="H426" s="9"/>
      <c r="I426" s="9"/>
      <c r="J426" s="9"/>
      <c r="K426" s="9"/>
      <c r="L426" s="115"/>
      <c r="M426" s="115"/>
      <c r="N426" s="115"/>
      <c r="O426" s="115"/>
      <c r="P426" s="9"/>
      <c r="Q426" s="9"/>
      <c r="R426" s="9"/>
      <c r="S426" s="9"/>
      <c r="T426" s="9"/>
      <c r="U426" s="9"/>
      <c r="V426" s="9"/>
      <c r="W426" s="10"/>
      <c r="X426" s="10"/>
      <c r="Y426" s="10"/>
      <c r="Z426" s="10"/>
    </row>
    <row r="427">
      <c r="A427" s="9"/>
      <c r="B427" s="9"/>
      <c r="C427" s="9"/>
      <c r="D427" s="9"/>
      <c r="E427" s="9"/>
      <c r="F427" s="9"/>
      <c r="G427" s="9"/>
      <c r="H427" s="9"/>
      <c r="I427" s="9"/>
      <c r="J427" s="9"/>
      <c r="K427" s="9"/>
      <c r="L427" s="115"/>
      <c r="M427" s="115"/>
      <c r="N427" s="115"/>
      <c r="O427" s="115"/>
      <c r="P427" s="9"/>
      <c r="Q427" s="9"/>
      <c r="R427" s="9"/>
      <c r="S427" s="9"/>
      <c r="T427" s="9"/>
      <c r="U427" s="9"/>
      <c r="V427" s="9"/>
      <c r="W427" s="10"/>
      <c r="X427" s="10"/>
      <c r="Y427" s="10"/>
      <c r="Z427" s="10"/>
    </row>
    <row r="428">
      <c r="A428" s="9"/>
      <c r="B428" s="9"/>
      <c r="C428" s="9"/>
      <c r="D428" s="9"/>
      <c r="E428" s="9"/>
      <c r="F428" s="9"/>
      <c r="G428" s="9"/>
      <c r="H428" s="9"/>
      <c r="I428" s="9"/>
      <c r="J428" s="9"/>
      <c r="K428" s="9"/>
      <c r="L428" s="115"/>
      <c r="M428" s="115"/>
      <c r="N428" s="115"/>
      <c r="O428" s="115"/>
      <c r="P428" s="9"/>
      <c r="Q428" s="9"/>
      <c r="R428" s="9"/>
      <c r="S428" s="9"/>
      <c r="T428" s="9"/>
      <c r="U428" s="9"/>
      <c r="V428" s="9"/>
      <c r="W428" s="10"/>
      <c r="X428" s="10"/>
      <c r="Y428" s="10"/>
      <c r="Z428" s="10"/>
    </row>
    <row r="429">
      <c r="A429" s="9"/>
      <c r="B429" s="9"/>
      <c r="C429" s="9"/>
      <c r="D429" s="9"/>
      <c r="E429" s="9"/>
      <c r="F429" s="9"/>
      <c r="G429" s="9"/>
      <c r="H429" s="9"/>
      <c r="I429" s="9"/>
      <c r="J429" s="9"/>
      <c r="K429" s="9"/>
      <c r="L429" s="115"/>
      <c r="M429" s="115"/>
      <c r="N429" s="115"/>
      <c r="O429" s="115"/>
      <c r="P429" s="9"/>
      <c r="Q429" s="9"/>
      <c r="R429" s="9"/>
      <c r="S429" s="9"/>
      <c r="T429" s="9"/>
      <c r="U429" s="9"/>
      <c r="V429" s="9"/>
      <c r="W429" s="10"/>
      <c r="X429" s="10"/>
      <c r="Y429" s="10"/>
      <c r="Z429" s="10"/>
    </row>
    <row r="430">
      <c r="A430" s="9"/>
      <c r="B430" s="9"/>
      <c r="C430" s="9"/>
      <c r="D430" s="9"/>
      <c r="E430" s="9"/>
      <c r="F430" s="9"/>
      <c r="G430" s="9"/>
      <c r="H430" s="9"/>
      <c r="I430" s="9"/>
      <c r="J430" s="9"/>
      <c r="K430" s="9"/>
      <c r="L430" s="115"/>
      <c r="M430" s="115"/>
      <c r="N430" s="115"/>
      <c r="O430" s="115"/>
      <c r="P430" s="9"/>
      <c r="Q430" s="9"/>
      <c r="R430" s="9"/>
      <c r="S430" s="9"/>
      <c r="T430" s="9"/>
      <c r="U430" s="9"/>
      <c r="V430" s="9"/>
      <c r="W430" s="10"/>
      <c r="X430" s="10"/>
      <c r="Y430" s="10"/>
      <c r="Z430" s="10"/>
    </row>
    <row r="431">
      <c r="A431" s="9"/>
      <c r="B431" s="9"/>
      <c r="C431" s="9"/>
      <c r="D431" s="9"/>
      <c r="E431" s="9"/>
      <c r="F431" s="9"/>
      <c r="G431" s="9"/>
      <c r="H431" s="9"/>
      <c r="I431" s="9"/>
      <c r="J431" s="9"/>
      <c r="K431" s="9"/>
      <c r="L431" s="115"/>
      <c r="M431" s="115"/>
      <c r="N431" s="115"/>
      <c r="O431" s="115"/>
      <c r="P431" s="9"/>
      <c r="Q431" s="9"/>
      <c r="R431" s="9"/>
      <c r="S431" s="9"/>
      <c r="T431" s="9"/>
      <c r="U431" s="9"/>
      <c r="V431" s="9"/>
      <c r="W431" s="10"/>
      <c r="X431" s="10"/>
      <c r="Y431" s="10"/>
      <c r="Z431" s="10"/>
    </row>
    <row r="432">
      <c r="A432" s="9"/>
      <c r="B432" s="9"/>
      <c r="C432" s="9"/>
      <c r="D432" s="9"/>
      <c r="E432" s="9"/>
      <c r="F432" s="9"/>
      <c r="G432" s="9"/>
      <c r="H432" s="9"/>
      <c r="I432" s="9"/>
      <c r="J432" s="9"/>
      <c r="K432" s="9"/>
      <c r="L432" s="115"/>
      <c r="M432" s="115"/>
      <c r="N432" s="115"/>
      <c r="O432" s="115"/>
      <c r="P432" s="9"/>
      <c r="Q432" s="9"/>
      <c r="R432" s="9"/>
      <c r="S432" s="9"/>
      <c r="T432" s="9"/>
      <c r="U432" s="9"/>
      <c r="V432" s="9"/>
      <c r="W432" s="10"/>
      <c r="X432" s="10"/>
      <c r="Y432" s="10"/>
      <c r="Z432" s="10"/>
    </row>
    <row r="433">
      <c r="A433" s="9"/>
      <c r="B433" s="9"/>
      <c r="C433" s="9"/>
      <c r="D433" s="9"/>
      <c r="E433" s="9"/>
      <c r="F433" s="9"/>
      <c r="G433" s="9"/>
      <c r="H433" s="9"/>
      <c r="I433" s="9"/>
      <c r="J433" s="9"/>
      <c r="K433" s="9"/>
      <c r="L433" s="115"/>
      <c r="M433" s="115"/>
      <c r="N433" s="115"/>
      <c r="O433" s="115"/>
      <c r="P433" s="9"/>
      <c r="Q433" s="9"/>
      <c r="R433" s="9"/>
      <c r="S433" s="9"/>
      <c r="T433" s="9"/>
      <c r="U433" s="9"/>
      <c r="V433" s="9"/>
      <c r="W433" s="10"/>
      <c r="X433" s="10"/>
      <c r="Y433" s="10"/>
      <c r="Z433" s="10"/>
    </row>
    <row r="434">
      <c r="A434" s="9"/>
      <c r="B434" s="9"/>
      <c r="C434" s="9"/>
      <c r="D434" s="9"/>
      <c r="E434" s="9"/>
      <c r="F434" s="9"/>
      <c r="G434" s="9"/>
      <c r="H434" s="9"/>
      <c r="I434" s="9"/>
      <c r="J434" s="9"/>
      <c r="K434" s="9"/>
      <c r="L434" s="115"/>
      <c r="M434" s="115"/>
      <c r="N434" s="115"/>
      <c r="O434" s="115"/>
      <c r="P434" s="9"/>
      <c r="Q434" s="9"/>
      <c r="R434" s="9"/>
      <c r="S434" s="9"/>
      <c r="T434" s="9"/>
      <c r="U434" s="9"/>
      <c r="V434" s="9"/>
      <c r="W434" s="10"/>
      <c r="X434" s="10"/>
      <c r="Y434" s="10"/>
      <c r="Z434" s="10"/>
    </row>
    <row r="435">
      <c r="A435" s="9"/>
      <c r="B435" s="9"/>
      <c r="C435" s="9"/>
      <c r="D435" s="9"/>
      <c r="E435" s="9"/>
      <c r="F435" s="9"/>
      <c r="G435" s="9"/>
      <c r="H435" s="9"/>
      <c r="I435" s="9"/>
      <c r="J435" s="9"/>
      <c r="K435" s="9"/>
      <c r="L435" s="115"/>
      <c r="M435" s="115"/>
      <c r="N435" s="115"/>
      <c r="O435" s="115"/>
      <c r="P435" s="9"/>
      <c r="Q435" s="9"/>
      <c r="R435" s="9"/>
      <c r="S435" s="9"/>
      <c r="T435" s="9"/>
      <c r="U435" s="9"/>
      <c r="V435" s="9"/>
      <c r="W435" s="10"/>
      <c r="X435" s="10"/>
      <c r="Y435" s="10"/>
      <c r="Z435" s="10"/>
    </row>
    <row r="436">
      <c r="A436" s="9"/>
      <c r="B436" s="9"/>
      <c r="C436" s="9"/>
      <c r="D436" s="9"/>
      <c r="E436" s="9"/>
      <c r="F436" s="9"/>
      <c r="G436" s="9"/>
      <c r="H436" s="9"/>
      <c r="I436" s="9"/>
      <c r="J436" s="9"/>
      <c r="K436" s="9"/>
      <c r="L436" s="115"/>
      <c r="M436" s="115"/>
      <c r="N436" s="115"/>
      <c r="O436" s="115"/>
      <c r="P436" s="9"/>
      <c r="Q436" s="9"/>
      <c r="R436" s="9"/>
      <c r="S436" s="9"/>
      <c r="T436" s="9"/>
      <c r="U436" s="9"/>
      <c r="V436" s="9"/>
      <c r="W436" s="10"/>
      <c r="X436" s="10"/>
      <c r="Y436" s="10"/>
      <c r="Z436" s="10"/>
    </row>
    <row r="437">
      <c r="A437" s="9"/>
      <c r="B437" s="9"/>
      <c r="C437" s="9"/>
      <c r="D437" s="9"/>
      <c r="E437" s="9"/>
      <c r="F437" s="9"/>
      <c r="G437" s="9"/>
      <c r="H437" s="9"/>
      <c r="I437" s="9"/>
      <c r="J437" s="9"/>
      <c r="K437" s="9"/>
      <c r="L437" s="115"/>
      <c r="M437" s="115"/>
      <c r="N437" s="115"/>
      <c r="O437" s="115"/>
      <c r="P437" s="9"/>
      <c r="Q437" s="9"/>
      <c r="R437" s="9"/>
      <c r="S437" s="9"/>
      <c r="T437" s="9"/>
      <c r="U437" s="9"/>
      <c r="V437" s="9"/>
      <c r="W437" s="10"/>
      <c r="X437" s="10"/>
      <c r="Y437" s="10"/>
      <c r="Z437" s="10"/>
    </row>
    <row r="438">
      <c r="A438" s="9"/>
      <c r="B438" s="9"/>
      <c r="C438" s="9"/>
      <c r="D438" s="9"/>
      <c r="E438" s="9"/>
      <c r="F438" s="9"/>
      <c r="G438" s="9"/>
      <c r="H438" s="9"/>
      <c r="I438" s="9"/>
      <c r="J438" s="9"/>
      <c r="K438" s="9"/>
      <c r="L438" s="115"/>
      <c r="M438" s="115"/>
      <c r="N438" s="115"/>
      <c r="O438" s="115"/>
      <c r="P438" s="9"/>
      <c r="Q438" s="9"/>
      <c r="R438" s="9"/>
      <c r="S438" s="9"/>
      <c r="T438" s="9"/>
      <c r="U438" s="9"/>
      <c r="V438" s="9"/>
      <c r="W438" s="10"/>
      <c r="X438" s="10"/>
      <c r="Y438" s="10"/>
      <c r="Z438" s="10"/>
    </row>
    <row r="439">
      <c r="A439" s="9"/>
      <c r="B439" s="9"/>
      <c r="C439" s="9"/>
      <c r="D439" s="9"/>
      <c r="E439" s="9"/>
      <c r="F439" s="9"/>
      <c r="G439" s="9"/>
      <c r="H439" s="9"/>
      <c r="I439" s="9"/>
      <c r="J439" s="9"/>
      <c r="K439" s="9"/>
      <c r="L439" s="115"/>
      <c r="M439" s="115"/>
      <c r="N439" s="115"/>
      <c r="O439" s="115"/>
      <c r="P439" s="9"/>
      <c r="Q439" s="9"/>
      <c r="R439" s="9"/>
      <c r="S439" s="9"/>
      <c r="T439" s="9"/>
      <c r="U439" s="9"/>
      <c r="V439" s="9"/>
      <c r="W439" s="10"/>
      <c r="X439" s="10"/>
      <c r="Y439" s="10"/>
      <c r="Z439" s="10"/>
    </row>
    <row r="440">
      <c r="A440" s="9"/>
      <c r="B440" s="9"/>
      <c r="C440" s="9"/>
      <c r="D440" s="9"/>
      <c r="E440" s="9"/>
      <c r="F440" s="9"/>
      <c r="G440" s="9"/>
      <c r="H440" s="9"/>
      <c r="I440" s="9"/>
      <c r="J440" s="9"/>
      <c r="K440" s="9"/>
      <c r="L440" s="115"/>
      <c r="M440" s="115"/>
      <c r="N440" s="115"/>
      <c r="O440" s="115"/>
      <c r="P440" s="9"/>
      <c r="Q440" s="9"/>
      <c r="R440" s="9"/>
      <c r="S440" s="9"/>
      <c r="T440" s="9"/>
      <c r="U440" s="9"/>
      <c r="V440" s="9"/>
      <c r="W440" s="10"/>
      <c r="X440" s="10"/>
      <c r="Y440" s="10"/>
      <c r="Z440" s="10"/>
    </row>
    <row r="441">
      <c r="A441" s="9"/>
      <c r="B441" s="9"/>
      <c r="C441" s="9"/>
      <c r="D441" s="9"/>
      <c r="E441" s="9"/>
      <c r="F441" s="9"/>
      <c r="G441" s="9"/>
      <c r="H441" s="9"/>
      <c r="I441" s="9"/>
      <c r="J441" s="9"/>
      <c r="K441" s="9"/>
      <c r="L441" s="115"/>
      <c r="M441" s="115"/>
      <c r="N441" s="115"/>
      <c r="O441" s="115"/>
      <c r="P441" s="9"/>
      <c r="Q441" s="9"/>
      <c r="R441" s="9"/>
      <c r="S441" s="9"/>
      <c r="T441" s="9"/>
      <c r="U441" s="9"/>
      <c r="V441" s="9"/>
      <c r="W441" s="10"/>
      <c r="X441" s="10"/>
      <c r="Y441" s="10"/>
      <c r="Z441" s="10"/>
    </row>
    <row r="442">
      <c r="A442" s="9"/>
      <c r="B442" s="9"/>
      <c r="C442" s="9"/>
      <c r="D442" s="9"/>
      <c r="E442" s="9"/>
      <c r="F442" s="9"/>
      <c r="G442" s="9"/>
      <c r="H442" s="9"/>
      <c r="I442" s="9"/>
      <c r="J442" s="9"/>
      <c r="K442" s="9"/>
      <c r="L442" s="115"/>
      <c r="M442" s="115"/>
      <c r="N442" s="115"/>
      <c r="O442" s="115"/>
      <c r="P442" s="9"/>
      <c r="Q442" s="9"/>
      <c r="R442" s="9"/>
      <c r="S442" s="9"/>
      <c r="T442" s="9"/>
      <c r="U442" s="9"/>
      <c r="V442" s="9"/>
      <c r="W442" s="10"/>
      <c r="X442" s="10"/>
      <c r="Y442" s="10"/>
      <c r="Z442" s="10"/>
    </row>
    <row r="443">
      <c r="A443" s="9"/>
      <c r="B443" s="9"/>
      <c r="C443" s="9"/>
      <c r="D443" s="9"/>
      <c r="E443" s="9"/>
      <c r="F443" s="9"/>
      <c r="G443" s="9"/>
      <c r="H443" s="9"/>
      <c r="I443" s="9"/>
      <c r="J443" s="9"/>
      <c r="K443" s="9"/>
      <c r="L443" s="115"/>
      <c r="M443" s="115"/>
      <c r="N443" s="115"/>
      <c r="O443" s="115"/>
      <c r="P443" s="9"/>
      <c r="Q443" s="9"/>
      <c r="R443" s="9"/>
      <c r="S443" s="9"/>
      <c r="T443" s="9"/>
      <c r="U443" s="9"/>
      <c r="V443" s="9"/>
      <c r="W443" s="10"/>
      <c r="X443" s="10"/>
      <c r="Y443" s="10"/>
      <c r="Z443" s="10"/>
    </row>
    <row r="444">
      <c r="A444" s="9"/>
      <c r="B444" s="9"/>
      <c r="C444" s="9"/>
      <c r="D444" s="9"/>
      <c r="E444" s="9"/>
      <c r="F444" s="9"/>
      <c r="G444" s="9"/>
      <c r="H444" s="9"/>
      <c r="I444" s="9"/>
      <c r="J444" s="9"/>
      <c r="K444" s="9"/>
      <c r="L444" s="115"/>
      <c r="M444" s="115"/>
      <c r="N444" s="115"/>
      <c r="O444" s="115"/>
      <c r="P444" s="9"/>
      <c r="Q444" s="9"/>
      <c r="R444" s="9"/>
      <c r="S444" s="9"/>
      <c r="T444" s="9"/>
      <c r="U444" s="9"/>
      <c r="V444" s="9"/>
      <c r="W444" s="10"/>
      <c r="X444" s="10"/>
      <c r="Y444" s="10"/>
      <c r="Z444" s="10"/>
    </row>
    <row r="445">
      <c r="A445" s="9"/>
      <c r="B445" s="9"/>
      <c r="C445" s="9"/>
      <c r="D445" s="9"/>
      <c r="E445" s="9"/>
      <c r="F445" s="9"/>
      <c r="G445" s="9"/>
      <c r="H445" s="9"/>
      <c r="I445" s="9"/>
      <c r="J445" s="9"/>
      <c r="K445" s="9"/>
      <c r="L445" s="115"/>
      <c r="M445" s="115"/>
      <c r="N445" s="115"/>
      <c r="O445" s="115"/>
      <c r="P445" s="9"/>
      <c r="Q445" s="9"/>
      <c r="R445" s="9"/>
      <c r="S445" s="9"/>
      <c r="T445" s="9"/>
      <c r="U445" s="9"/>
      <c r="V445" s="9"/>
      <c r="W445" s="10"/>
      <c r="X445" s="10"/>
      <c r="Y445" s="10"/>
      <c r="Z445" s="10"/>
    </row>
    <row r="446">
      <c r="A446" s="9"/>
      <c r="B446" s="9"/>
      <c r="C446" s="9"/>
      <c r="D446" s="9"/>
      <c r="E446" s="9"/>
      <c r="F446" s="9"/>
      <c r="G446" s="9"/>
      <c r="H446" s="9"/>
      <c r="I446" s="9"/>
      <c r="J446" s="9"/>
      <c r="K446" s="9"/>
      <c r="L446" s="115"/>
      <c r="M446" s="115"/>
      <c r="N446" s="115"/>
      <c r="O446" s="115"/>
      <c r="P446" s="9"/>
      <c r="Q446" s="9"/>
      <c r="R446" s="9"/>
      <c r="S446" s="9"/>
      <c r="T446" s="9"/>
      <c r="U446" s="9"/>
      <c r="V446" s="9"/>
      <c r="W446" s="10"/>
      <c r="X446" s="10"/>
      <c r="Y446" s="10"/>
      <c r="Z446" s="10"/>
    </row>
    <row r="447">
      <c r="A447" s="9"/>
      <c r="B447" s="9"/>
      <c r="C447" s="9"/>
      <c r="D447" s="9"/>
      <c r="E447" s="9"/>
      <c r="F447" s="9"/>
      <c r="G447" s="9"/>
      <c r="H447" s="9"/>
      <c r="I447" s="9"/>
      <c r="J447" s="9"/>
      <c r="K447" s="9"/>
      <c r="L447" s="115"/>
      <c r="M447" s="115"/>
      <c r="N447" s="115"/>
      <c r="O447" s="115"/>
      <c r="P447" s="9"/>
      <c r="Q447" s="9"/>
      <c r="R447" s="9"/>
      <c r="S447" s="9"/>
      <c r="T447" s="9"/>
      <c r="U447" s="9"/>
      <c r="V447" s="9"/>
      <c r="W447" s="10"/>
      <c r="X447" s="10"/>
      <c r="Y447" s="10"/>
      <c r="Z447" s="10"/>
    </row>
    <row r="448">
      <c r="A448" s="9"/>
      <c r="B448" s="9"/>
      <c r="C448" s="9"/>
      <c r="D448" s="9"/>
      <c r="E448" s="9"/>
      <c r="F448" s="9"/>
      <c r="G448" s="9"/>
      <c r="H448" s="9"/>
      <c r="I448" s="9"/>
      <c r="J448" s="9"/>
      <c r="K448" s="9"/>
      <c r="L448" s="115"/>
      <c r="M448" s="115"/>
      <c r="N448" s="115"/>
      <c r="O448" s="115"/>
      <c r="P448" s="9"/>
      <c r="Q448" s="9"/>
      <c r="R448" s="9"/>
      <c r="S448" s="9"/>
      <c r="T448" s="9"/>
      <c r="U448" s="9"/>
      <c r="V448" s="9"/>
      <c r="W448" s="10"/>
      <c r="X448" s="10"/>
      <c r="Y448" s="10"/>
      <c r="Z448" s="10"/>
    </row>
    <row r="449">
      <c r="A449" s="9"/>
      <c r="B449" s="9"/>
      <c r="C449" s="9"/>
      <c r="D449" s="9"/>
      <c r="E449" s="9"/>
      <c r="F449" s="9"/>
      <c r="G449" s="9"/>
      <c r="H449" s="9"/>
      <c r="I449" s="9"/>
      <c r="J449" s="9"/>
      <c r="K449" s="9"/>
      <c r="L449" s="115"/>
      <c r="M449" s="115"/>
      <c r="N449" s="115"/>
      <c r="O449" s="115"/>
      <c r="P449" s="9"/>
      <c r="Q449" s="9"/>
      <c r="R449" s="9"/>
      <c r="S449" s="9"/>
      <c r="T449" s="9"/>
      <c r="U449" s="9"/>
      <c r="V449" s="9"/>
      <c r="W449" s="10"/>
      <c r="X449" s="10"/>
      <c r="Y449" s="10"/>
      <c r="Z449" s="10"/>
    </row>
    <row r="450">
      <c r="A450" s="9"/>
      <c r="B450" s="9"/>
      <c r="C450" s="9"/>
      <c r="D450" s="9"/>
      <c r="E450" s="9"/>
      <c r="F450" s="9"/>
      <c r="G450" s="9"/>
      <c r="H450" s="9"/>
      <c r="I450" s="9"/>
      <c r="J450" s="9"/>
      <c r="K450" s="9"/>
      <c r="L450" s="115"/>
      <c r="M450" s="115"/>
      <c r="N450" s="115"/>
      <c r="O450" s="115"/>
      <c r="P450" s="9"/>
      <c r="Q450" s="9"/>
      <c r="R450" s="9"/>
      <c r="S450" s="9"/>
      <c r="T450" s="9"/>
      <c r="U450" s="9"/>
      <c r="V450" s="9"/>
      <c r="W450" s="10"/>
      <c r="X450" s="10"/>
      <c r="Y450" s="10"/>
      <c r="Z450" s="10"/>
    </row>
    <row r="451">
      <c r="A451" s="9"/>
      <c r="B451" s="9"/>
      <c r="C451" s="9"/>
      <c r="D451" s="9"/>
      <c r="E451" s="9"/>
      <c r="F451" s="9"/>
      <c r="G451" s="9"/>
      <c r="H451" s="9"/>
      <c r="I451" s="9"/>
      <c r="J451" s="9"/>
      <c r="K451" s="9"/>
      <c r="L451" s="115"/>
      <c r="M451" s="115"/>
      <c r="N451" s="115"/>
      <c r="O451" s="115"/>
      <c r="P451" s="9"/>
      <c r="Q451" s="9"/>
      <c r="R451" s="9"/>
      <c r="S451" s="9"/>
      <c r="T451" s="9"/>
      <c r="U451" s="9"/>
      <c r="V451" s="9"/>
      <c r="W451" s="10"/>
      <c r="X451" s="10"/>
      <c r="Y451" s="10"/>
      <c r="Z451" s="10"/>
    </row>
    <row r="452">
      <c r="A452" s="9"/>
      <c r="B452" s="9"/>
      <c r="C452" s="9"/>
      <c r="D452" s="9"/>
      <c r="E452" s="9"/>
      <c r="F452" s="9"/>
      <c r="G452" s="9"/>
      <c r="H452" s="9"/>
      <c r="I452" s="9"/>
      <c r="J452" s="9"/>
      <c r="K452" s="9"/>
      <c r="L452" s="115"/>
      <c r="M452" s="115"/>
      <c r="N452" s="115"/>
      <c r="O452" s="115"/>
      <c r="P452" s="9"/>
      <c r="Q452" s="9"/>
      <c r="R452" s="9"/>
      <c r="S452" s="9"/>
      <c r="T452" s="9"/>
      <c r="U452" s="9"/>
      <c r="V452" s="9"/>
      <c r="W452" s="10"/>
      <c r="X452" s="10"/>
      <c r="Y452" s="10"/>
      <c r="Z452" s="10"/>
    </row>
    <row r="453">
      <c r="A453" s="9"/>
      <c r="B453" s="9"/>
      <c r="C453" s="9"/>
      <c r="D453" s="9"/>
      <c r="E453" s="9"/>
      <c r="F453" s="9"/>
      <c r="G453" s="9"/>
      <c r="H453" s="9"/>
      <c r="I453" s="9"/>
      <c r="J453" s="9"/>
      <c r="K453" s="9"/>
      <c r="L453" s="115"/>
      <c r="M453" s="115"/>
      <c r="N453" s="115"/>
      <c r="O453" s="115"/>
      <c r="P453" s="9"/>
      <c r="Q453" s="9"/>
      <c r="R453" s="9"/>
      <c r="S453" s="9"/>
      <c r="T453" s="9"/>
      <c r="U453" s="9"/>
      <c r="V453" s="9"/>
      <c r="W453" s="10"/>
      <c r="X453" s="10"/>
      <c r="Y453" s="10"/>
      <c r="Z453" s="10"/>
    </row>
    <row r="454">
      <c r="A454" s="9"/>
      <c r="B454" s="9"/>
      <c r="C454" s="9"/>
      <c r="D454" s="9"/>
      <c r="E454" s="9"/>
      <c r="F454" s="9"/>
      <c r="G454" s="9"/>
      <c r="H454" s="9"/>
      <c r="I454" s="9"/>
      <c r="J454" s="9"/>
      <c r="K454" s="9"/>
      <c r="L454" s="115"/>
      <c r="M454" s="115"/>
      <c r="N454" s="115"/>
      <c r="O454" s="115"/>
      <c r="P454" s="9"/>
      <c r="Q454" s="9"/>
      <c r="R454" s="9"/>
      <c r="S454" s="9"/>
      <c r="T454" s="9"/>
      <c r="U454" s="9"/>
      <c r="V454" s="9"/>
      <c r="W454" s="10"/>
      <c r="X454" s="10"/>
      <c r="Y454" s="10"/>
      <c r="Z454" s="10"/>
    </row>
    <row r="455">
      <c r="A455" s="9"/>
      <c r="B455" s="9"/>
      <c r="C455" s="9"/>
      <c r="D455" s="9"/>
      <c r="E455" s="9"/>
      <c r="F455" s="9"/>
      <c r="G455" s="9"/>
      <c r="H455" s="9"/>
      <c r="I455" s="9"/>
      <c r="J455" s="9"/>
      <c r="K455" s="9"/>
      <c r="L455" s="115"/>
      <c r="M455" s="115"/>
      <c r="N455" s="115"/>
      <c r="O455" s="115"/>
      <c r="P455" s="9"/>
      <c r="Q455" s="9"/>
      <c r="R455" s="9"/>
      <c r="S455" s="9"/>
      <c r="T455" s="9"/>
      <c r="U455" s="9"/>
      <c r="V455" s="9"/>
      <c r="W455" s="10"/>
      <c r="X455" s="10"/>
      <c r="Y455" s="10"/>
      <c r="Z455" s="10"/>
    </row>
    <row r="456">
      <c r="A456" s="9"/>
      <c r="B456" s="9"/>
      <c r="C456" s="9"/>
      <c r="D456" s="9"/>
      <c r="E456" s="9"/>
      <c r="F456" s="9"/>
      <c r="G456" s="9"/>
      <c r="H456" s="9"/>
      <c r="I456" s="9"/>
      <c r="J456" s="9"/>
      <c r="K456" s="9"/>
      <c r="L456" s="115"/>
      <c r="M456" s="115"/>
      <c r="N456" s="115"/>
      <c r="O456" s="115"/>
      <c r="P456" s="9"/>
      <c r="Q456" s="9"/>
      <c r="R456" s="9"/>
      <c r="S456" s="9"/>
      <c r="T456" s="9"/>
      <c r="U456" s="9"/>
      <c r="V456" s="9"/>
      <c r="W456" s="10"/>
      <c r="X456" s="10"/>
      <c r="Y456" s="10"/>
      <c r="Z456" s="10"/>
    </row>
    <row r="457">
      <c r="A457" s="9"/>
      <c r="B457" s="9"/>
      <c r="C457" s="9"/>
      <c r="D457" s="9"/>
      <c r="E457" s="9"/>
      <c r="F457" s="9"/>
      <c r="G457" s="9"/>
      <c r="H457" s="9"/>
      <c r="I457" s="9"/>
      <c r="J457" s="9"/>
      <c r="K457" s="9"/>
      <c r="L457" s="115"/>
      <c r="M457" s="115"/>
      <c r="N457" s="115"/>
      <c r="O457" s="115"/>
      <c r="P457" s="9"/>
      <c r="Q457" s="9"/>
      <c r="R457" s="9"/>
      <c r="S457" s="9"/>
      <c r="T457" s="9"/>
      <c r="U457" s="9"/>
      <c r="V457" s="9"/>
      <c r="W457" s="10"/>
      <c r="X457" s="10"/>
      <c r="Y457" s="10"/>
      <c r="Z457" s="10"/>
    </row>
    <row r="458">
      <c r="A458" s="9"/>
      <c r="B458" s="9"/>
      <c r="C458" s="9"/>
      <c r="D458" s="9"/>
      <c r="E458" s="9"/>
      <c r="F458" s="9"/>
      <c r="G458" s="9"/>
      <c r="H458" s="9"/>
      <c r="I458" s="9"/>
      <c r="J458" s="9"/>
      <c r="K458" s="9"/>
      <c r="L458" s="115"/>
      <c r="M458" s="115"/>
      <c r="N458" s="115"/>
      <c r="O458" s="115"/>
      <c r="P458" s="9"/>
      <c r="Q458" s="9"/>
      <c r="R458" s="9"/>
      <c r="S458" s="9"/>
      <c r="T458" s="9"/>
      <c r="U458" s="9"/>
      <c r="V458" s="9"/>
      <c r="W458" s="10"/>
      <c r="X458" s="10"/>
      <c r="Y458" s="10"/>
      <c r="Z458" s="10"/>
    </row>
    <row r="459">
      <c r="A459" s="9"/>
      <c r="B459" s="9"/>
      <c r="C459" s="9"/>
      <c r="D459" s="9"/>
      <c r="E459" s="9"/>
      <c r="F459" s="9"/>
      <c r="G459" s="9"/>
      <c r="H459" s="9"/>
      <c r="I459" s="9"/>
      <c r="J459" s="9"/>
      <c r="K459" s="9"/>
      <c r="L459" s="115"/>
      <c r="M459" s="115"/>
      <c r="N459" s="115"/>
      <c r="O459" s="115"/>
      <c r="P459" s="9"/>
      <c r="Q459" s="9"/>
      <c r="R459" s="9"/>
      <c r="S459" s="9"/>
      <c r="T459" s="9"/>
      <c r="U459" s="9"/>
      <c r="V459" s="9"/>
      <c r="W459" s="10"/>
      <c r="X459" s="10"/>
      <c r="Y459" s="10"/>
      <c r="Z459" s="10"/>
    </row>
    <row r="460">
      <c r="A460" s="9"/>
      <c r="B460" s="9"/>
      <c r="C460" s="9"/>
      <c r="D460" s="9"/>
      <c r="E460" s="9"/>
      <c r="F460" s="9"/>
      <c r="G460" s="9"/>
      <c r="H460" s="9"/>
      <c r="I460" s="9"/>
      <c r="J460" s="9"/>
      <c r="K460" s="9"/>
      <c r="L460" s="115"/>
      <c r="M460" s="115"/>
      <c r="N460" s="115"/>
      <c r="O460" s="115"/>
      <c r="P460" s="9"/>
      <c r="Q460" s="9"/>
      <c r="R460" s="9"/>
      <c r="S460" s="9"/>
      <c r="T460" s="9"/>
      <c r="U460" s="9"/>
      <c r="V460" s="9"/>
      <c r="W460" s="10"/>
      <c r="X460" s="10"/>
      <c r="Y460" s="10"/>
      <c r="Z460" s="10"/>
    </row>
    <row r="461">
      <c r="A461" s="9"/>
      <c r="B461" s="9"/>
      <c r="C461" s="9"/>
      <c r="D461" s="9"/>
      <c r="E461" s="9"/>
      <c r="F461" s="9"/>
      <c r="G461" s="9"/>
      <c r="H461" s="9"/>
      <c r="I461" s="9"/>
      <c r="J461" s="9"/>
      <c r="K461" s="9"/>
      <c r="L461" s="115"/>
      <c r="M461" s="115"/>
      <c r="N461" s="115"/>
      <c r="O461" s="115"/>
      <c r="P461" s="9"/>
      <c r="Q461" s="9"/>
      <c r="R461" s="9"/>
      <c r="S461" s="9"/>
      <c r="T461" s="9"/>
      <c r="U461" s="9"/>
      <c r="V461" s="9"/>
      <c r="W461" s="10"/>
      <c r="X461" s="10"/>
      <c r="Y461" s="10"/>
      <c r="Z461" s="10"/>
    </row>
    <row r="462">
      <c r="A462" s="9"/>
      <c r="B462" s="9"/>
      <c r="C462" s="9"/>
      <c r="D462" s="9"/>
      <c r="E462" s="9"/>
      <c r="F462" s="9"/>
      <c r="G462" s="9"/>
      <c r="H462" s="9"/>
      <c r="I462" s="9"/>
      <c r="J462" s="9"/>
      <c r="K462" s="9"/>
      <c r="L462" s="115"/>
      <c r="M462" s="115"/>
      <c r="N462" s="115"/>
      <c r="O462" s="115"/>
      <c r="P462" s="9"/>
      <c r="Q462" s="9"/>
      <c r="R462" s="9"/>
      <c r="S462" s="9"/>
      <c r="T462" s="9"/>
      <c r="U462" s="9"/>
      <c r="V462" s="9"/>
      <c r="W462" s="10"/>
      <c r="X462" s="10"/>
      <c r="Y462" s="10"/>
      <c r="Z462" s="10"/>
    </row>
    <row r="463">
      <c r="A463" s="9"/>
      <c r="B463" s="9"/>
      <c r="C463" s="9"/>
      <c r="D463" s="9"/>
      <c r="E463" s="9"/>
      <c r="F463" s="9"/>
      <c r="G463" s="9"/>
      <c r="H463" s="9"/>
      <c r="I463" s="9"/>
      <c r="J463" s="9"/>
      <c r="K463" s="9"/>
      <c r="L463" s="115"/>
      <c r="M463" s="115"/>
      <c r="N463" s="115"/>
      <c r="O463" s="115"/>
      <c r="P463" s="9"/>
      <c r="Q463" s="9"/>
      <c r="R463" s="9"/>
      <c r="S463" s="9"/>
      <c r="T463" s="9"/>
      <c r="U463" s="9"/>
      <c r="V463" s="9"/>
      <c r="W463" s="10"/>
      <c r="X463" s="10"/>
      <c r="Y463" s="10"/>
      <c r="Z463" s="10"/>
    </row>
    <row r="464">
      <c r="A464" s="9"/>
      <c r="B464" s="9"/>
      <c r="C464" s="9"/>
      <c r="D464" s="9"/>
      <c r="E464" s="9"/>
      <c r="F464" s="9"/>
      <c r="G464" s="9"/>
      <c r="H464" s="9"/>
      <c r="I464" s="9"/>
      <c r="J464" s="9"/>
      <c r="K464" s="9"/>
      <c r="L464" s="115"/>
      <c r="M464" s="115"/>
      <c r="N464" s="115"/>
      <c r="O464" s="115"/>
      <c r="P464" s="9"/>
      <c r="Q464" s="9"/>
      <c r="R464" s="9"/>
      <c r="S464" s="9"/>
      <c r="T464" s="9"/>
      <c r="U464" s="9"/>
      <c r="V464" s="9"/>
      <c r="W464" s="10"/>
      <c r="X464" s="10"/>
      <c r="Y464" s="10"/>
      <c r="Z464" s="10"/>
    </row>
    <row r="465">
      <c r="A465" s="9"/>
      <c r="B465" s="9"/>
      <c r="C465" s="9"/>
      <c r="D465" s="9"/>
      <c r="E465" s="9"/>
      <c r="F465" s="9"/>
      <c r="G465" s="9"/>
      <c r="H465" s="9"/>
      <c r="I465" s="9"/>
      <c r="J465" s="9"/>
      <c r="K465" s="9"/>
      <c r="L465" s="115"/>
      <c r="M465" s="115"/>
      <c r="N465" s="115"/>
      <c r="O465" s="115"/>
      <c r="P465" s="9"/>
      <c r="Q465" s="9"/>
      <c r="R465" s="9"/>
      <c r="S465" s="9"/>
      <c r="T465" s="9"/>
      <c r="U465" s="9"/>
      <c r="V465" s="9"/>
      <c r="W465" s="10"/>
      <c r="X465" s="10"/>
      <c r="Y465" s="10"/>
      <c r="Z465" s="10"/>
    </row>
    <row r="466">
      <c r="A466" s="9"/>
      <c r="B466" s="9"/>
      <c r="C466" s="9"/>
      <c r="D466" s="9"/>
      <c r="E466" s="9"/>
      <c r="F466" s="9"/>
      <c r="G466" s="9"/>
      <c r="H466" s="9"/>
      <c r="I466" s="9"/>
      <c r="J466" s="9"/>
      <c r="K466" s="9"/>
      <c r="L466" s="115"/>
      <c r="M466" s="115"/>
      <c r="N466" s="115"/>
      <c r="O466" s="115"/>
      <c r="P466" s="9"/>
      <c r="Q466" s="9"/>
      <c r="R466" s="9"/>
      <c r="S466" s="9"/>
      <c r="T466" s="9"/>
      <c r="U466" s="9"/>
      <c r="V466" s="9"/>
      <c r="W466" s="10"/>
      <c r="X466" s="10"/>
      <c r="Y466" s="10"/>
      <c r="Z466" s="10"/>
    </row>
    <row r="467">
      <c r="A467" s="9"/>
      <c r="B467" s="9"/>
      <c r="C467" s="9"/>
      <c r="D467" s="9"/>
      <c r="E467" s="9"/>
      <c r="F467" s="9"/>
      <c r="G467" s="9"/>
      <c r="H467" s="9"/>
      <c r="I467" s="9"/>
      <c r="J467" s="9"/>
      <c r="K467" s="9"/>
      <c r="L467" s="115"/>
      <c r="M467" s="115"/>
      <c r="N467" s="115"/>
      <c r="O467" s="115"/>
      <c r="P467" s="9"/>
      <c r="Q467" s="9"/>
      <c r="R467" s="9"/>
      <c r="S467" s="9"/>
      <c r="T467" s="9"/>
      <c r="U467" s="9"/>
      <c r="V467" s="9"/>
      <c r="W467" s="10"/>
      <c r="X467" s="10"/>
      <c r="Y467" s="10"/>
      <c r="Z467" s="10"/>
    </row>
    <row r="468">
      <c r="A468" s="9"/>
      <c r="B468" s="9"/>
      <c r="C468" s="9"/>
      <c r="D468" s="9"/>
      <c r="E468" s="9"/>
      <c r="F468" s="9"/>
      <c r="G468" s="9"/>
      <c r="H468" s="9"/>
      <c r="I468" s="9"/>
      <c r="J468" s="9"/>
      <c r="K468" s="9"/>
      <c r="L468" s="115"/>
      <c r="M468" s="115"/>
      <c r="N468" s="115"/>
      <c r="O468" s="115"/>
      <c r="P468" s="9"/>
      <c r="Q468" s="9"/>
      <c r="R468" s="9"/>
      <c r="S468" s="9"/>
      <c r="T468" s="9"/>
      <c r="U468" s="9"/>
      <c r="V468" s="9"/>
      <c r="W468" s="10"/>
      <c r="X468" s="10"/>
      <c r="Y468" s="10"/>
      <c r="Z468" s="10"/>
    </row>
    <row r="469">
      <c r="A469" s="9"/>
      <c r="B469" s="9"/>
      <c r="C469" s="9"/>
      <c r="D469" s="9"/>
      <c r="E469" s="9"/>
      <c r="F469" s="9"/>
      <c r="G469" s="9"/>
      <c r="H469" s="9"/>
      <c r="I469" s="9"/>
      <c r="J469" s="9"/>
      <c r="K469" s="9"/>
      <c r="L469" s="115"/>
      <c r="M469" s="115"/>
      <c r="N469" s="115"/>
      <c r="O469" s="115"/>
      <c r="P469" s="9"/>
      <c r="Q469" s="9"/>
      <c r="R469" s="9"/>
      <c r="S469" s="9"/>
      <c r="T469" s="9"/>
      <c r="U469" s="9"/>
      <c r="V469" s="9"/>
      <c r="W469" s="10"/>
      <c r="X469" s="10"/>
      <c r="Y469" s="10"/>
      <c r="Z469" s="10"/>
    </row>
    <row r="470">
      <c r="A470" s="9"/>
      <c r="B470" s="9"/>
      <c r="C470" s="9"/>
      <c r="D470" s="9"/>
      <c r="E470" s="9"/>
      <c r="F470" s="9"/>
      <c r="G470" s="9"/>
      <c r="H470" s="9"/>
      <c r="I470" s="9"/>
      <c r="J470" s="9"/>
      <c r="K470" s="9"/>
      <c r="L470" s="115"/>
      <c r="M470" s="115"/>
      <c r="N470" s="115"/>
      <c r="O470" s="115"/>
      <c r="P470" s="9"/>
      <c r="Q470" s="9"/>
      <c r="R470" s="9"/>
      <c r="S470" s="9"/>
      <c r="T470" s="9"/>
      <c r="U470" s="9"/>
      <c r="V470" s="9"/>
      <c r="W470" s="10"/>
      <c r="X470" s="10"/>
      <c r="Y470" s="10"/>
      <c r="Z470" s="10"/>
    </row>
    <row r="471">
      <c r="A471" s="9"/>
      <c r="B471" s="9"/>
      <c r="C471" s="9"/>
      <c r="D471" s="9"/>
      <c r="E471" s="9"/>
      <c r="F471" s="9"/>
      <c r="G471" s="9"/>
      <c r="H471" s="9"/>
      <c r="I471" s="9"/>
      <c r="J471" s="9"/>
      <c r="K471" s="9"/>
      <c r="L471" s="115"/>
      <c r="M471" s="115"/>
      <c r="N471" s="115"/>
      <c r="O471" s="115"/>
      <c r="P471" s="9"/>
      <c r="Q471" s="9"/>
      <c r="R471" s="9"/>
      <c r="S471" s="9"/>
      <c r="T471" s="9"/>
      <c r="U471" s="9"/>
      <c r="V471" s="9"/>
      <c r="W471" s="10"/>
      <c r="X471" s="10"/>
      <c r="Y471" s="10"/>
      <c r="Z471" s="10"/>
    </row>
    <row r="472">
      <c r="A472" s="9"/>
      <c r="B472" s="9"/>
      <c r="C472" s="9"/>
      <c r="D472" s="9"/>
      <c r="E472" s="9"/>
      <c r="F472" s="9"/>
      <c r="G472" s="9"/>
      <c r="H472" s="9"/>
      <c r="I472" s="9"/>
      <c r="J472" s="9"/>
      <c r="K472" s="9"/>
      <c r="L472" s="115"/>
      <c r="M472" s="115"/>
      <c r="N472" s="115"/>
      <c r="O472" s="115"/>
      <c r="P472" s="9"/>
      <c r="Q472" s="9"/>
      <c r="R472" s="9"/>
      <c r="S472" s="9"/>
      <c r="T472" s="9"/>
      <c r="U472" s="9"/>
      <c r="V472" s="9"/>
      <c r="W472" s="10"/>
      <c r="X472" s="10"/>
      <c r="Y472" s="10"/>
      <c r="Z472" s="10"/>
    </row>
    <row r="473">
      <c r="A473" s="9"/>
      <c r="B473" s="9"/>
      <c r="C473" s="9"/>
      <c r="D473" s="9"/>
      <c r="E473" s="9"/>
      <c r="F473" s="9"/>
      <c r="G473" s="9"/>
      <c r="H473" s="9"/>
      <c r="I473" s="9"/>
      <c r="J473" s="9"/>
      <c r="K473" s="9"/>
      <c r="L473" s="115"/>
      <c r="M473" s="115"/>
      <c r="N473" s="115"/>
      <c r="O473" s="115"/>
      <c r="P473" s="9"/>
      <c r="Q473" s="9"/>
      <c r="R473" s="9"/>
      <c r="S473" s="9"/>
      <c r="T473" s="9"/>
      <c r="U473" s="9"/>
      <c r="V473" s="9"/>
      <c r="W473" s="10"/>
      <c r="X473" s="10"/>
      <c r="Y473" s="10"/>
      <c r="Z473" s="10"/>
    </row>
    <row r="474">
      <c r="A474" s="9"/>
      <c r="B474" s="9"/>
      <c r="C474" s="9"/>
      <c r="D474" s="9"/>
      <c r="E474" s="9"/>
      <c r="F474" s="9"/>
      <c r="G474" s="9"/>
      <c r="H474" s="9"/>
      <c r="I474" s="9"/>
      <c r="J474" s="9"/>
      <c r="K474" s="9"/>
      <c r="L474" s="115"/>
      <c r="M474" s="115"/>
      <c r="N474" s="115"/>
      <c r="O474" s="115"/>
      <c r="P474" s="9"/>
      <c r="Q474" s="9"/>
      <c r="R474" s="9"/>
      <c r="S474" s="9"/>
      <c r="T474" s="9"/>
      <c r="U474" s="9"/>
      <c r="V474" s="9"/>
      <c r="W474" s="10"/>
      <c r="X474" s="10"/>
      <c r="Y474" s="10"/>
      <c r="Z474" s="10"/>
    </row>
    <row r="475">
      <c r="A475" s="9"/>
      <c r="B475" s="9"/>
      <c r="C475" s="9"/>
      <c r="D475" s="9"/>
      <c r="E475" s="9"/>
      <c r="F475" s="9"/>
      <c r="G475" s="9"/>
      <c r="H475" s="9"/>
      <c r="I475" s="9"/>
      <c r="J475" s="9"/>
      <c r="K475" s="9"/>
      <c r="L475" s="115"/>
      <c r="M475" s="115"/>
      <c r="N475" s="115"/>
      <c r="O475" s="115"/>
      <c r="P475" s="9"/>
      <c r="Q475" s="9"/>
      <c r="R475" s="9"/>
      <c r="S475" s="9"/>
      <c r="T475" s="9"/>
      <c r="U475" s="9"/>
      <c r="V475" s="9"/>
      <c r="W475" s="10"/>
      <c r="X475" s="10"/>
      <c r="Y475" s="10"/>
      <c r="Z475" s="10"/>
    </row>
    <row r="476">
      <c r="A476" s="9"/>
      <c r="B476" s="9"/>
      <c r="C476" s="9"/>
      <c r="D476" s="9"/>
      <c r="E476" s="9"/>
      <c r="F476" s="9"/>
      <c r="G476" s="9"/>
      <c r="H476" s="9"/>
      <c r="I476" s="9"/>
      <c r="J476" s="9"/>
      <c r="K476" s="9"/>
      <c r="L476" s="115"/>
      <c r="M476" s="115"/>
      <c r="N476" s="115"/>
      <c r="O476" s="115"/>
      <c r="P476" s="9"/>
      <c r="Q476" s="9"/>
      <c r="R476" s="9"/>
      <c r="S476" s="9"/>
      <c r="T476" s="9"/>
      <c r="U476" s="9"/>
      <c r="V476" s="9"/>
      <c r="W476" s="10"/>
      <c r="X476" s="10"/>
      <c r="Y476" s="10"/>
      <c r="Z476" s="10"/>
    </row>
    <row r="477">
      <c r="A477" s="9"/>
      <c r="B477" s="9"/>
      <c r="C477" s="9"/>
      <c r="D477" s="9"/>
      <c r="E477" s="9"/>
      <c r="F477" s="9"/>
      <c r="G477" s="9"/>
      <c r="H477" s="9"/>
      <c r="I477" s="9"/>
      <c r="J477" s="9"/>
      <c r="K477" s="9"/>
      <c r="L477" s="115"/>
      <c r="M477" s="115"/>
      <c r="N477" s="115"/>
      <c r="O477" s="115"/>
      <c r="P477" s="9"/>
      <c r="Q477" s="9"/>
      <c r="R477" s="9"/>
      <c r="S477" s="9"/>
      <c r="T477" s="9"/>
      <c r="U477" s="9"/>
      <c r="V477" s="9"/>
      <c r="W477" s="10"/>
      <c r="X477" s="10"/>
      <c r="Y477" s="10"/>
      <c r="Z477" s="10"/>
    </row>
    <row r="478">
      <c r="A478" s="9"/>
      <c r="B478" s="9"/>
      <c r="C478" s="9"/>
      <c r="D478" s="9"/>
      <c r="E478" s="9"/>
      <c r="F478" s="9"/>
      <c r="G478" s="9"/>
      <c r="H478" s="9"/>
      <c r="I478" s="9"/>
      <c r="J478" s="9"/>
      <c r="K478" s="9"/>
      <c r="L478" s="115"/>
      <c r="M478" s="115"/>
      <c r="N478" s="115"/>
      <c r="O478" s="115"/>
      <c r="P478" s="9"/>
      <c r="Q478" s="9"/>
      <c r="R478" s="9"/>
      <c r="S478" s="9"/>
      <c r="T478" s="9"/>
      <c r="U478" s="9"/>
      <c r="V478" s="9"/>
      <c r="W478" s="10"/>
      <c r="X478" s="10"/>
      <c r="Y478" s="10"/>
      <c r="Z478" s="10"/>
    </row>
    <row r="479">
      <c r="A479" s="9"/>
      <c r="B479" s="9"/>
      <c r="C479" s="9"/>
      <c r="D479" s="9"/>
      <c r="E479" s="9"/>
      <c r="F479" s="9"/>
      <c r="G479" s="9"/>
      <c r="H479" s="9"/>
      <c r="I479" s="9"/>
      <c r="J479" s="9"/>
      <c r="K479" s="9"/>
      <c r="L479" s="115"/>
      <c r="M479" s="115"/>
      <c r="N479" s="115"/>
      <c r="O479" s="115"/>
      <c r="P479" s="9"/>
      <c r="Q479" s="9"/>
      <c r="R479" s="9"/>
      <c r="S479" s="9"/>
      <c r="T479" s="9"/>
      <c r="U479" s="9"/>
      <c r="V479" s="9"/>
      <c r="W479" s="10"/>
      <c r="X479" s="10"/>
      <c r="Y479" s="10"/>
      <c r="Z479" s="10"/>
    </row>
    <row r="480">
      <c r="A480" s="9"/>
      <c r="B480" s="9"/>
      <c r="C480" s="9"/>
      <c r="D480" s="9"/>
      <c r="E480" s="9"/>
      <c r="F480" s="9"/>
      <c r="G480" s="9"/>
      <c r="H480" s="9"/>
      <c r="I480" s="9"/>
      <c r="J480" s="9"/>
      <c r="K480" s="9"/>
      <c r="L480" s="115"/>
      <c r="M480" s="115"/>
      <c r="N480" s="115"/>
      <c r="O480" s="115"/>
      <c r="P480" s="9"/>
      <c r="Q480" s="9"/>
      <c r="R480" s="9"/>
      <c r="S480" s="9"/>
      <c r="T480" s="9"/>
      <c r="U480" s="9"/>
      <c r="V480" s="9"/>
      <c r="W480" s="10"/>
      <c r="X480" s="10"/>
      <c r="Y480" s="10"/>
      <c r="Z480" s="10"/>
    </row>
    <row r="481">
      <c r="A481" s="9"/>
      <c r="B481" s="9"/>
      <c r="C481" s="9"/>
      <c r="D481" s="9"/>
      <c r="E481" s="9"/>
      <c r="F481" s="9"/>
      <c r="G481" s="9"/>
      <c r="H481" s="9"/>
      <c r="I481" s="9"/>
      <c r="J481" s="9"/>
      <c r="K481" s="9"/>
      <c r="L481" s="115"/>
      <c r="M481" s="115"/>
      <c r="N481" s="115"/>
      <c r="O481" s="115"/>
      <c r="P481" s="9"/>
      <c r="Q481" s="9"/>
      <c r="R481" s="9"/>
      <c r="S481" s="9"/>
      <c r="T481" s="9"/>
      <c r="U481" s="9"/>
      <c r="V481" s="9"/>
      <c r="W481" s="10"/>
      <c r="X481" s="10"/>
      <c r="Y481" s="10"/>
      <c r="Z481" s="10"/>
    </row>
    <row r="482">
      <c r="A482" s="9"/>
      <c r="B482" s="9"/>
      <c r="C482" s="9"/>
      <c r="D482" s="9"/>
      <c r="E482" s="9"/>
      <c r="F482" s="9"/>
      <c r="G482" s="9"/>
      <c r="H482" s="9"/>
      <c r="I482" s="9"/>
      <c r="J482" s="9"/>
      <c r="K482" s="9"/>
      <c r="L482" s="115"/>
      <c r="M482" s="115"/>
      <c r="N482" s="115"/>
      <c r="O482" s="115"/>
      <c r="P482" s="9"/>
      <c r="Q482" s="9"/>
      <c r="R482" s="9"/>
      <c r="S482" s="9"/>
      <c r="T482" s="9"/>
      <c r="U482" s="9"/>
      <c r="V482" s="9"/>
      <c r="W482" s="10"/>
      <c r="X482" s="10"/>
      <c r="Y482" s="10"/>
      <c r="Z482" s="10"/>
    </row>
    <row r="483">
      <c r="A483" s="9"/>
      <c r="B483" s="9"/>
      <c r="C483" s="9"/>
      <c r="D483" s="9"/>
      <c r="E483" s="9"/>
      <c r="F483" s="9"/>
      <c r="G483" s="9"/>
      <c r="H483" s="9"/>
      <c r="I483" s="9"/>
      <c r="J483" s="9"/>
      <c r="K483" s="9"/>
      <c r="L483" s="115"/>
      <c r="M483" s="115"/>
      <c r="N483" s="115"/>
      <c r="O483" s="115"/>
      <c r="P483" s="9"/>
      <c r="Q483" s="9"/>
      <c r="R483" s="9"/>
      <c r="S483" s="9"/>
      <c r="T483" s="9"/>
      <c r="U483" s="9"/>
      <c r="V483" s="9"/>
      <c r="W483" s="10"/>
      <c r="X483" s="10"/>
      <c r="Y483" s="10"/>
      <c r="Z483" s="10"/>
    </row>
    <row r="484">
      <c r="A484" s="9"/>
      <c r="B484" s="9"/>
      <c r="C484" s="9"/>
      <c r="D484" s="9"/>
      <c r="E484" s="9"/>
      <c r="F484" s="9"/>
      <c r="G484" s="9"/>
      <c r="H484" s="9"/>
      <c r="I484" s="9"/>
      <c r="J484" s="9"/>
      <c r="K484" s="9"/>
      <c r="L484" s="115"/>
      <c r="M484" s="115"/>
      <c r="N484" s="115"/>
      <c r="O484" s="115"/>
      <c r="P484" s="9"/>
      <c r="Q484" s="9"/>
      <c r="R484" s="9"/>
      <c r="S484" s="9"/>
      <c r="T484" s="9"/>
      <c r="U484" s="9"/>
      <c r="V484" s="9"/>
      <c r="W484" s="10"/>
      <c r="X484" s="10"/>
      <c r="Y484" s="10"/>
      <c r="Z484" s="10"/>
    </row>
    <row r="485">
      <c r="A485" s="9"/>
      <c r="B485" s="9"/>
      <c r="C485" s="9"/>
      <c r="D485" s="9"/>
      <c r="E485" s="9"/>
      <c r="F485" s="9"/>
      <c r="G485" s="9"/>
      <c r="H485" s="9"/>
      <c r="I485" s="9"/>
      <c r="J485" s="9"/>
      <c r="K485" s="9"/>
      <c r="L485" s="115"/>
      <c r="M485" s="115"/>
      <c r="N485" s="115"/>
      <c r="O485" s="115"/>
      <c r="P485" s="9"/>
      <c r="Q485" s="9"/>
      <c r="R485" s="9"/>
      <c r="S485" s="9"/>
      <c r="T485" s="9"/>
      <c r="U485" s="9"/>
      <c r="V485" s="9"/>
      <c r="W485" s="10"/>
      <c r="X485" s="10"/>
      <c r="Y485" s="10"/>
      <c r="Z485" s="10"/>
    </row>
    <row r="486">
      <c r="A486" s="9"/>
      <c r="B486" s="9"/>
      <c r="C486" s="9"/>
      <c r="D486" s="9"/>
      <c r="E486" s="9"/>
      <c r="F486" s="9"/>
      <c r="G486" s="9"/>
      <c r="H486" s="9"/>
      <c r="I486" s="9"/>
      <c r="J486" s="9"/>
      <c r="K486" s="9"/>
      <c r="L486" s="115"/>
      <c r="M486" s="115"/>
      <c r="N486" s="115"/>
      <c r="O486" s="115"/>
      <c r="P486" s="9"/>
      <c r="Q486" s="9"/>
      <c r="R486" s="9"/>
      <c r="S486" s="9"/>
      <c r="T486" s="9"/>
      <c r="U486" s="9"/>
      <c r="V486" s="9"/>
      <c r="W486" s="10"/>
      <c r="X486" s="10"/>
      <c r="Y486" s="10"/>
      <c r="Z486" s="10"/>
    </row>
    <row r="487">
      <c r="A487" s="9"/>
      <c r="B487" s="9"/>
      <c r="C487" s="9"/>
      <c r="D487" s="9"/>
      <c r="E487" s="9"/>
      <c r="F487" s="9"/>
      <c r="G487" s="9"/>
      <c r="H487" s="9"/>
      <c r="I487" s="9"/>
      <c r="J487" s="9"/>
      <c r="K487" s="9"/>
      <c r="L487" s="115"/>
      <c r="M487" s="115"/>
      <c r="N487" s="115"/>
      <c r="O487" s="115"/>
      <c r="P487" s="9"/>
      <c r="Q487" s="9"/>
      <c r="R487" s="9"/>
      <c r="S487" s="9"/>
      <c r="T487" s="9"/>
      <c r="U487" s="9"/>
      <c r="V487" s="9"/>
      <c r="W487" s="10"/>
      <c r="X487" s="10"/>
      <c r="Y487" s="10"/>
      <c r="Z487" s="10"/>
    </row>
    <row r="488">
      <c r="A488" s="9"/>
      <c r="B488" s="9"/>
      <c r="C488" s="9"/>
      <c r="D488" s="9"/>
      <c r="E488" s="9"/>
      <c r="F488" s="9"/>
      <c r="G488" s="9"/>
      <c r="H488" s="9"/>
      <c r="I488" s="9"/>
      <c r="J488" s="9"/>
      <c r="K488" s="9"/>
      <c r="L488" s="115"/>
      <c r="M488" s="115"/>
      <c r="N488" s="115"/>
      <c r="O488" s="115"/>
      <c r="P488" s="9"/>
      <c r="Q488" s="9"/>
      <c r="R488" s="9"/>
      <c r="S488" s="9"/>
      <c r="T488" s="9"/>
      <c r="U488" s="9"/>
      <c r="V488" s="9"/>
      <c r="W488" s="10"/>
      <c r="X488" s="10"/>
      <c r="Y488" s="10"/>
      <c r="Z488" s="10"/>
    </row>
    <row r="489">
      <c r="A489" s="9"/>
      <c r="B489" s="9"/>
      <c r="C489" s="9"/>
      <c r="D489" s="9"/>
      <c r="E489" s="9"/>
      <c r="F489" s="9"/>
      <c r="G489" s="9"/>
      <c r="H489" s="9"/>
      <c r="I489" s="9"/>
      <c r="J489" s="9"/>
      <c r="K489" s="9"/>
      <c r="L489" s="115"/>
      <c r="M489" s="115"/>
      <c r="N489" s="115"/>
      <c r="O489" s="115"/>
      <c r="P489" s="9"/>
      <c r="Q489" s="9"/>
      <c r="R489" s="9"/>
      <c r="S489" s="9"/>
      <c r="T489" s="9"/>
      <c r="U489" s="9"/>
      <c r="V489" s="9"/>
      <c r="W489" s="10"/>
      <c r="X489" s="10"/>
      <c r="Y489" s="10"/>
      <c r="Z489" s="10"/>
    </row>
    <row r="490">
      <c r="A490" s="9"/>
      <c r="B490" s="9"/>
      <c r="C490" s="9"/>
      <c r="D490" s="9"/>
      <c r="E490" s="9"/>
      <c r="F490" s="9"/>
      <c r="G490" s="9"/>
      <c r="H490" s="9"/>
      <c r="I490" s="9"/>
      <c r="J490" s="9"/>
      <c r="K490" s="9"/>
      <c r="L490" s="115"/>
      <c r="M490" s="115"/>
      <c r="N490" s="115"/>
      <c r="O490" s="115"/>
      <c r="P490" s="9"/>
      <c r="Q490" s="9"/>
      <c r="R490" s="9"/>
      <c r="S490" s="9"/>
      <c r="T490" s="9"/>
      <c r="U490" s="9"/>
      <c r="V490" s="9"/>
      <c r="W490" s="10"/>
      <c r="X490" s="10"/>
      <c r="Y490" s="10"/>
      <c r="Z490" s="10"/>
    </row>
    <row r="491">
      <c r="A491" s="9"/>
      <c r="B491" s="9"/>
      <c r="C491" s="9"/>
      <c r="D491" s="9"/>
      <c r="E491" s="9"/>
      <c r="F491" s="9"/>
      <c r="G491" s="9"/>
      <c r="H491" s="9"/>
      <c r="I491" s="9"/>
      <c r="J491" s="9"/>
      <c r="K491" s="9"/>
      <c r="L491" s="115"/>
      <c r="M491" s="115"/>
      <c r="N491" s="115"/>
      <c r="O491" s="115"/>
      <c r="P491" s="9"/>
      <c r="Q491" s="9"/>
      <c r="R491" s="9"/>
      <c r="S491" s="9"/>
      <c r="T491" s="9"/>
      <c r="U491" s="9"/>
      <c r="V491" s="9"/>
      <c r="W491" s="10"/>
      <c r="X491" s="10"/>
      <c r="Y491" s="10"/>
      <c r="Z491" s="10"/>
    </row>
    <row r="492">
      <c r="A492" s="9"/>
      <c r="B492" s="9"/>
      <c r="C492" s="9"/>
      <c r="D492" s="9"/>
      <c r="E492" s="9"/>
      <c r="F492" s="9"/>
      <c r="G492" s="9"/>
      <c r="H492" s="9"/>
      <c r="I492" s="9"/>
      <c r="J492" s="9"/>
      <c r="K492" s="9"/>
      <c r="L492" s="115"/>
      <c r="M492" s="115"/>
      <c r="N492" s="115"/>
      <c r="O492" s="115"/>
      <c r="P492" s="9"/>
      <c r="Q492" s="9"/>
      <c r="R492" s="9"/>
      <c r="S492" s="9"/>
      <c r="T492" s="9"/>
      <c r="U492" s="9"/>
      <c r="V492" s="9"/>
      <c r="W492" s="10"/>
      <c r="X492" s="10"/>
      <c r="Y492" s="10"/>
      <c r="Z492" s="10"/>
    </row>
    <row r="493">
      <c r="A493" s="9"/>
      <c r="B493" s="9"/>
      <c r="C493" s="9"/>
      <c r="D493" s="9"/>
      <c r="E493" s="9"/>
      <c r="F493" s="9"/>
      <c r="G493" s="9"/>
      <c r="H493" s="9"/>
      <c r="I493" s="9"/>
      <c r="J493" s="9"/>
      <c r="K493" s="9"/>
      <c r="L493" s="115"/>
      <c r="M493" s="115"/>
      <c r="N493" s="115"/>
      <c r="O493" s="115"/>
      <c r="P493" s="9"/>
      <c r="Q493" s="9"/>
      <c r="R493" s="9"/>
      <c r="S493" s="9"/>
      <c r="T493" s="9"/>
      <c r="U493" s="9"/>
      <c r="V493" s="9"/>
      <c r="W493" s="10"/>
      <c r="X493" s="10"/>
      <c r="Y493" s="10"/>
      <c r="Z493" s="10"/>
    </row>
    <row r="494">
      <c r="A494" s="9"/>
      <c r="B494" s="9"/>
      <c r="C494" s="9"/>
      <c r="D494" s="9"/>
      <c r="E494" s="9"/>
      <c r="F494" s="9"/>
      <c r="G494" s="9"/>
      <c r="H494" s="9"/>
      <c r="I494" s="9"/>
      <c r="J494" s="9"/>
      <c r="K494" s="9"/>
      <c r="L494" s="115"/>
      <c r="M494" s="115"/>
      <c r="N494" s="115"/>
      <c r="O494" s="115"/>
      <c r="P494" s="9"/>
      <c r="Q494" s="9"/>
      <c r="R494" s="9"/>
      <c r="S494" s="9"/>
      <c r="T494" s="9"/>
      <c r="U494" s="9"/>
      <c r="V494" s="9"/>
      <c r="W494" s="10"/>
      <c r="X494" s="10"/>
      <c r="Y494" s="10"/>
      <c r="Z494" s="10"/>
    </row>
    <row r="495">
      <c r="A495" s="9"/>
      <c r="B495" s="9"/>
      <c r="C495" s="9"/>
      <c r="D495" s="9"/>
      <c r="E495" s="9"/>
      <c r="F495" s="9"/>
      <c r="G495" s="9"/>
      <c r="H495" s="9"/>
      <c r="I495" s="9"/>
      <c r="J495" s="9"/>
      <c r="K495" s="9"/>
      <c r="L495" s="115"/>
      <c r="M495" s="115"/>
      <c r="N495" s="115"/>
      <c r="O495" s="115"/>
      <c r="P495" s="9"/>
      <c r="Q495" s="9"/>
      <c r="R495" s="9"/>
      <c r="S495" s="9"/>
      <c r="T495" s="9"/>
      <c r="U495" s="9"/>
      <c r="V495" s="9"/>
      <c r="W495" s="10"/>
      <c r="X495" s="10"/>
      <c r="Y495" s="10"/>
      <c r="Z495" s="10"/>
    </row>
    <row r="496">
      <c r="A496" s="9"/>
      <c r="B496" s="9"/>
      <c r="C496" s="9"/>
      <c r="D496" s="9"/>
      <c r="E496" s="9"/>
      <c r="F496" s="9"/>
      <c r="G496" s="9"/>
      <c r="H496" s="9"/>
      <c r="I496" s="9"/>
      <c r="J496" s="9"/>
      <c r="K496" s="9"/>
      <c r="L496" s="115"/>
      <c r="M496" s="115"/>
      <c r="N496" s="115"/>
      <c r="O496" s="115"/>
      <c r="P496" s="9"/>
      <c r="Q496" s="9"/>
      <c r="R496" s="9"/>
      <c r="S496" s="9"/>
      <c r="T496" s="9"/>
      <c r="U496" s="9"/>
      <c r="V496" s="9"/>
      <c r="W496" s="10"/>
      <c r="X496" s="10"/>
      <c r="Y496" s="10"/>
      <c r="Z496" s="10"/>
    </row>
    <row r="497">
      <c r="A497" s="9"/>
      <c r="B497" s="9"/>
      <c r="C497" s="9"/>
      <c r="D497" s="9"/>
      <c r="E497" s="9"/>
      <c r="F497" s="9"/>
      <c r="G497" s="9"/>
      <c r="H497" s="9"/>
      <c r="I497" s="9"/>
      <c r="J497" s="9"/>
      <c r="K497" s="9"/>
      <c r="L497" s="115"/>
      <c r="M497" s="115"/>
      <c r="N497" s="115"/>
      <c r="O497" s="115"/>
      <c r="P497" s="9"/>
      <c r="Q497" s="9"/>
      <c r="R497" s="9"/>
      <c r="S497" s="9"/>
      <c r="T497" s="9"/>
      <c r="U497" s="9"/>
      <c r="V497" s="9"/>
      <c r="W497" s="10"/>
      <c r="X497" s="10"/>
      <c r="Y497" s="10"/>
      <c r="Z497" s="10"/>
    </row>
    <row r="498">
      <c r="A498" s="9"/>
      <c r="B498" s="9"/>
      <c r="C498" s="9"/>
      <c r="D498" s="9"/>
      <c r="E498" s="9"/>
      <c r="F498" s="9"/>
      <c r="G498" s="9"/>
      <c r="H498" s="9"/>
      <c r="I498" s="9"/>
      <c r="J498" s="9"/>
      <c r="K498" s="9"/>
      <c r="L498" s="115"/>
      <c r="M498" s="115"/>
      <c r="N498" s="115"/>
      <c r="O498" s="115"/>
      <c r="P498" s="9"/>
      <c r="Q498" s="9"/>
      <c r="R498" s="9"/>
      <c r="S498" s="9"/>
      <c r="T498" s="9"/>
      <c r="U498" s="9"/>
      <c r="V498" s="9"/>
      <c r="W498" s="10"/>
      <c r="X498" s="10"/>
      <c r="Y498" s="10"/>
      <c r="Z498" s="10"/>
    </row>
    <row r="499">
      <c r="A499" s="9"/>
      <c r="B499" s="9"/>
      <c r="C499" s="9"/>
      <c r="D499" s="9"/>
      <c r="E499" s="9"/>
      <c r="F499" s="9"/>
      <c r="G499" s="9"/>
      <c r="H499" s="9"/>
      <c r="I499" s="9"/>
      <c r="J499" s="9"/>
      <c r="K499" s="9"/>
      <c r="L499" s="115"/>
      <c r="M499" s="115"/>
      <c r="N499" s="115"/>
      <c r="O499" s="115"/>
      <c r="P499" s="9"/>
      <c r="Q499" s="9"/>
      <c r="R499" s="9"/>
      <c r="S499" s="9"/>
      <c r="T499" s="9"/>
      <c r="U499" s="9"/>
      <c r="V499" s="9"/>
      <c r="W499" s="10"/>
      <c r="X499" s="10"/>
      <c r="Y499" s="10"/>
      <c r="Z499" s="10"/>
    </row>
    <row r="500">
      <c r="A500" s="9"/>
      <c r="B500" s="9"/>
      <c r="C500" s="9"/>
      <c r="D500" s="9"/>
      <c r="E500" s="9"/>
      <c r="F500" s="9"/>
      <c r="G500" s="9"/>
      <c r="H500" s="9"/>
      <c r="I500" s="9"/>
      <c r="J500" s="9"/>
      <c r="K500" s="9"/>
      <c r="L500" s="115"/>
      <c r="M500" s="115"/>
      <c r="N500" s="115"/>
      <c r="O500" s="115"/>
      <c r="P500" s="9"/>
      <c r="Q500" s="9"/>
      <c r="R500" s="9"/>
      <c r="S500" s="9"/>
      <c r="T500" s="9"/>
      <c r="U500" s="9"/>
      <c r="V500" s="9"/>
      <c r="W500" s="10"/>
      <c r="X500" s="10"/>
      <c r="Y500" s="10"/>
      <c r="Z500" s="10"/>
    </row>
    <row r="501">
      <c r="A501" s="9"/>
      <c r="B501" s="9"/>
      <c r="C501" s="9"/>
      <c r="D501" s="9"/>
      <c r="E501" s="9"/>
      <c r="F501" s="9"/>
      <c r="G501" s="9"/>
      <c r="H501" s="9"/>
      <c r="I501" s="9"/>
      <c r="J501" s="9"/>
      <c r="K501" s="9"/>
      <c r="L501" s="115"/>
      <c r="M501" s="115"/>
      <c r="N501" s="115"/>
      <c r="O501" s="115"/>
      <c r="P501" s="9"/>
      <c r="Q501" s="9"/>
      <c r="R501" s="9"/>
      <c r="S501" s="9"/>
      <c r="T501" s="9"/>
      <c r="U501" s="9"/>
      <c r="V501" s="9"/>
      <c r="W501" s="10"/>
      <c r="X501" s="10"/>
      <c r="Y501" s="10"/>
      <c r="Z501" s="10"/>
    </row>
    <row r="502">
      <c r="A502" s="9"/>
      <c r="B502" s="9"/>
      <c r="C502" s="9"/>
      <c r="D502" s="9"/>
      <c r="E502" s="9"/>
      <c r="F502" s="9"/>
      <c r="G502" s="9"/>
      <c r="H502" s="9"/>
      <c r="I502" s="9"/>
      <c r="J502" s="9"/>
      <c r="K502" s="9"/>
      <c r="L502" s="115"/>
      <c r="M502" s="115"/>
      <c r="N502" s="115"/>
      <c r="O502" s="115"/>
      <c r="P502" s="9"/>
      <c r="Q502" s="9"/>
      <c r="R502" s="9"/>
      <c r="S502" s="9"/>
      <c r="T502" s="9"/>
      <c r="U502" s="9"/>
      <c r="V502" s="9"/>
      <c r="W502" s="10"/>
      <c r="X502" s="10"/>
      <c r="Y502" s="10"/>
      <c r="Z502" s="10"/>
    </row>
    <row r="503">
      <c r="A503" s="9"/>
      <c r="B503" s="9"/>
      <c r="C503" s="9"/>
      <c r="D503" s="9"/>
      <c r="E503" s="9"/>
      <c r="F503" s="9"/>
      <c r="G503" s="9"/>
      <c r="H503" s="9"/>
      <c r="I503" s="9"/>
      <c r="J503" s="9"/>
      <c r="K503" s="9"/>
      <c r="L503" s="115"/>
      <c r="M503" s="115"/>
      <c r="N503" s="115"/>
      <c r="O503" s="115"/>
      <c r="P503" s="9"/>
      <c r="Q503" s="9"/>
      <c r="R503" s="9"/>
      <c r="S503" s="9"/>
      <c r="T503" s="9"/>
      <c r="U503" s="9"/>
      <c r="V503" s="9"/>
      <c r="W503" s="10"/>
      <c r="X503" s="10"/>
      <c r="Y503" s="10"/>
      <c r="Z503" s="10"/>
    </row>
    <row r="504">
      <c r="A504" s="9"/>
      <c r="B504" s="9"/>
      <c r="C504" s="9"/>
      <c r="D504" s="9"/>
      <c r="E504" s="9"/>
      <c r="F504" s="9"/>
      <c r="G504" s="9"/>
      <c r="H504" s="9"/>
      <c r="I504" s="9"/>
      <c r="J504" s="9"/>
      <c r="K504" s="9"/>
      <c r="L504" s="115"/>
      <c r="M504" s="115"/>
      <c r="N504" s="115"/>
      <c r="O504" s="115"/>
      <c r="P504" s="9"/>
      <c r="Q504" s="9"/>
      <c r="R504" s="9"/>
      <c r="S504" s="9"/>
      <c r="T504" s="9"/>
      <c r="U504" s="9"/>
      <c r="V504" s="9"/>
      <c r="W504" s="10"/>
      <c r="X504" s="10"/>
      <c r="Y504" s="10"/>
      <c r="Z504" s="10"/>
    </row>
    <row r="505">
      <c r="A505" s="9"/>
      <c r="B505" s="9"/>
      <c r="C505" s="9"/>
      <c r="D505" s="9"/>
      <c r="E505" s="9"/>
      <c r="F505" s="9"/>
      <c r="G505" s="9"/>
      <c r="H505" s="9"/>
      <c r="I505" s="9"/>
      <c r="J505" s="9"/>
      <c r="K505" s="9"/>
      <c r="L505" s="115"/>
      <c r="M505" s="115"/>
      <c r="N505" s="115"/>
      <c r="O505" s="115"/>
      <c r="P505" s="9"/>
      <c r="Q505" s="9"/>
      <c r="R505" s="9"/>
      <c r="S505" s="9"/>
      <c r="T505" s="9"/>
      <c r="U505" s="9"/>
      <c r="V505" s="9"/>
      <c r="W505" s="10"/>
      <c r="X505" s="10"/>
      <c r="Y505" s="10"/>
      <c r="Z505" s="10"/>
    </row>
    <row r="506">
      <c r="A506" s="9"/>
      <c r="B506" s="9"/>
      <c r="C506" s="9"/>
      <c r="D506" s="9"/>
      <c r="E506" s="9"/>
      <c r="F506" s="9"/>
      <c r="G506" s="9"/>
      <c r="H506" s="9"/>
      <c r="I506" s="9"/>
      <c r="J506" s="9"/>
      <c r="K506" s="9"/>
      <c r="L506" s="115"/>
      <c r="M506" s="115"/>
      <c r="N506" s="115"/>
      <c r="O506" s="115"/>
      <c r="P506" s="9"/>
      <c r="Q506" s="9"/>
      <c r="R506" s="9"/>
      <c r="S506" s="9"/>
      <c r="T506" s="9"/>
      <c r="U506" s="9"/>
      <c r="V506" s="9"/>
      <c r="W506" s="10"/>
      <c r="X506" s="10"/>
      <c r="Y506" s="10"/>
      <c r="Z506" s="10"/>
    </row>
    <row r="507">
      <c r="A507" s="9"/>
      <c r="B507" s="9"/>
      <c r="C507" s="9"/>
      <c r="D507" s="9"/>
      <c r="E507" s="9"/>
      <c r="F507" s="9"/>
      <c r="G507" s="9"/>
      <c r="H507" s="9"/>
      <c r="I507" s="9"/>
      <c r="J507" s="9"/>
      <c r="K507" s="9"/>
      <c r="L507" s="115"/>
      <c r="M507" s="115"/>
      <c r="N507" s="115"/>
      <c r="O507" s="115"/>
      <c r="P507" s="9"/>
      <c r="Q507" s="9"/>
      <c r="R507" s="9"/>
      <c r="S507" s="9"/>
      <c r="T507" s="9"/>
      <c r="U507" s="9"/>
      <c r="V507" s="9"/>
      <c r="W507" s="10"/>
      <c r="X507" s="10"/>
      <c r="Y507" s="10"/>
      <c r="Z507" s="10"/>
    </row>
    <row r="508">
      <c r="A508" s="9"/>
      <c r="B508" s="9"/>
      <c r="C508" s="9"/>
      <c r="D508" s="9"/>
      <c r="E508" s="9"/>
      <c r="F508" s="9"/>
      <c r="G508" s="9"/>
      <c r="H508" s="9"/>
      <c r="I508" s="9"/>
      <c r="J508" s="9"/>
      <c r="K508" s="9"/>
      <c r="L508" s="115"/>
      <c r="M508" s="115"/>
      <c r="N508" s="115"/>
      <c r="O508" s="115"/>
      <c r="P508" s="9"/>
      <c r="Q508" s="9"/>
      <c r="R508" s="9"/>
      <c r="S508" s="9"/>
      <c r="T508" s="9"/>
      <c r="U508" s="9"/>
      <c r="V508" s="9"/>
      <c r="W508" s="10"/>
      <c r="X508" s="10"/>
      <c r="Y508" s="10"/>
      <c r="Z508" s="10"/>
    </row>
    <row r="509">
      <c r="A509" s="9"/>
      <c r="B509" s="9"/>
      <c r="C509" s="9"/>
      <c r="D509" s="9"/>
      <c r="E509" s="9"/>
      <c r="F509" s="9"/>
      <c r="G509" s="9"/>
      <c r="H509" s="9"/>
      <c r="I509" s="9"/>
      <c r="J509" s="9"/>
      <c r="K509" s="9"/>
      <c r="L509" s="115"/>
      <c r="M509" s="115"/>
      <c r="N509" s="115"/>
      <c r="O509" s="115"/>
      <c r="P509" s="9"/>
      <c r="Q509" s="9"/>
      <c r="R509" s="9"/>
      <c r="S509" s="9"/>
      <c r="T509" s="9"/>
      <c r="U509" s="9"/>
      <c r="V509" s="9"/>
      <c r="W509" s="10"/>
      <c r="X509" s="10"/>
      <c r="Y509" s="10"/>
      <c r="Z509" s="10"/>
    </row>
    <row r="510">
      <c r="A510" s="9"/>
      <c r="B510" s="9"/>
      <c r="C510" s="9"/>
      <c r="D510" s="9"/>
      <c r="E510" s="9"/>
      <c r="F510" s="9"/>
      <c r="G510" s="9"/>
      <c r="H510" s="9"/>
      <c r="I510" s="9"/>
      <c r="J510" s="9"/>
      <c r="K510" s="9"/>
      <c r="L510" s="115"/>
      <c r="M510" s="115"/>
      <c r="N510" s="115"/>
      <c r="O510" s="115"/>
      <c r="P510" s="9"/>
      <c r="Q510" s="9"/>
      <c r="R510" s="9"/>
      <c r="S510" s="9"/>
      <c r="T510" s="9"/>
      <c r="U510" s="9"/>
      <c r="V510" s="9"/>
      <c r="W510" s="10"/>
      <c r="X510" s="10"/>
      <c r="Y510" s="10"/>
      <c r="Z510" s="10"/>
    </row>
    <row r="511">
      <c r="A511" s="9"/>
      <c r="B511" s="9"/>
      <c r="C511" s="9"/>
      <c r="D511" s="9"/>
      <c r="E511" s="9"/>
      <c r="F511" s="9"/>
      <c r="G511" s="9"/>
      <c r="H511" s="9"/>
      <c r="I511" s="9"/>
      <c r="J511" s="9"/>
      <c r="K511" s="9"/>
      <c r="L511" s="115"/>
      <c r="M511" s="115"/>
      <c r="N511" s="115"/>
      <c r="O511" s="115"/>
      <c r="P511" s="9"/>
      <c r="Q511" s="9"/>
      <c r="R511" s="9"/>
      <c r="S511" s="9"/>
      <c r="T511" s="9"/>
      <c r="U511" s="9"/>
      <c r="V511" s="9"/>
      <c r="W511" s="10"/>
      <c r="X511" s="10"/>
      <c r="Y511" s="10"/>
      <c r="Z511" s="10"/>
    </row>
    <row r="512">
      <c r="A512" s="9"/>
      <c r="B512" s="9"/>
      <c r="C512" s="9"/>
      <c r="D512" s="9"/>
      <c r="E512" s="9"/>
      <c r="F512" s="9"/>
      <c r="G512" s="9"/>
      <c r="H512" s="9"/>
      <c r="I512" s="9"/>
      <c r="J512" s="9"/>
      <c r="K512" s="9"/>
      <c r="L512" s="115"/>
      <c r="M512" s="115"/>
      <c r="N512" s="115"/>
      <c r="O512" s="115"/>
      <c r="P512" s="9"/>
      <c r="Q512" s="9"/>
      <c r="R512" s="9"/>
      <c r="S512" s="9"/>
      <c r="T512" s="9"/>
      <c r="U512" s="9"/>
      <c r="V512" s="9"/>
      <c r="W512" s="10"/>
      <c r="X512" s="10"/>
      <c r="Y512" s="10"/>
      <c r="Z512" s="10"/>
    </row>
    <row r="513">
      <c r="A513" s="9"/>
      <c r="B513" s="9"/>
      <c r="C513" s="9"/>
      <c r="D513" s="9"/>
      <c r="E513" s="9"/>
      <c r="F513" s="9"/>
      <c r="G513" s="9"/>
      <c r="H513" s="9"/>
      <c r="I513" s="9"/>
      <c r="J513" s="9"/>
      <c r="K513" s="9"/>
      <c r="L513" s="115"/>
      <c r="M513" s="115"/>
      <c r="N513" s="115"/>
      <c r="O513" s="115"/>
      <c r="P513" s="9"/>
      <c r="Q513" s="9"/>
      <c r="R513" s="9"/>
      <c r="S513" s="9"/>
      <c r="T513" s="9"/>
      <c r="U513" s="9"/>
      <c r="V513" s="9"/>
      <c r="W513" s="10"/>
      <c r="X513" s="10"/>
      <c r="Y513" s="10"/>
      <c r="Z513" s="10"/>
    </row>
    <row r="514">
      <c r="A514" s="9"/>
      <c r="B514" s="9"/>
      <c r="C514" s="9"/>
      <c r="D514" s="9"/>
      <c r="E514" s="9"/>
      <c r="F514" s="9"/>
      <c r="G514" s="9"/>
      <c r="H514" s="9"/>
      <c r="I514" s="9"/>
      <c r="J514" s="9"/>
      <c r="K514" s="9"/>
      <c r="L514" s="115"/>
      <c r="M514" s="115"/>
      <c r="N514" s="115"/>
      <c r="O514" s="115"/>
      <c r="P514" s="9"/>
      <c r="Q514" s="9"/>
      <c r="R514" s="9"/>
      <c r="S514" s="9"/>
      <c r="T514" s="9"/>
      <c r="U514" s="9"/>
      <c r="V514" s="9"/>
      <c r="W514" s="10"/>
      <c r="X514" s="10"/>
      <c r="Y514" s="10"/>
      <c r="Z514" s="10"/>
    </row>
    <row r="515">
      <c r="A515" s="9"/>
      <c r="B515" s="9"/>
      <c r="C515" s="9"/>
      <c r="D515" s="9"/>
      <c r="E515" s="9"/>
      <c r="F515" s="9"/>
      <c r="G515" s="9"/>
      <c r="H515" s="9"/>
      <c r="I515" s="9"/>
      <c r="J515" s="9"/>
      <c r="K515" s="9"/>
      <c r="L515" s="115"/>
      <c r="M515" s="115"/>
      <c r="N515" s="115"/>
      <c r="O515" s="115"/>
      <c r="P515" s="9"/>
      <c r="Q515" s="9"/>
      <c r="R515" s="9"/>
      <c r="S515" s="9"/>
      <c r="T515" s="9"/>
      <c r="U515" s="9"/>
      <c r="V515" s="9"/>
      <c r="W515" s="10"/>
      <c r="X515" s="10"/>
      <c r="Y515" s="10"/>
      <c r="Z515" s="10"/>
    </row>
    <row r="516">
      <c r="A516" s="9"/>
      <c r="B516" s="9"/>
      <c r="C516" s="9"/>
      <c r="D516" s="9"/>
      <c r="E516" s="9"/>
      <c r="F516" s="9"/>
      <c r="G516" s="9"/>
      <c r="H516" s="9"/>
      <c r="I516" s="9"/>
      <c r="J516" s="9"/>
      <c r="K516" s="9"/>
      <c r="L516" s="115"/>
      <c r="M516" s="115"/>
      <c r="N516" s="115"/>
      <c r="O516" s="115"/>
      <c r="P516" s="9"/>
      <c r="Q516" s="9"/>
      <c r="R516" s="9"/>
      <c r="S516" s="9"/>
      <c r="T516" s="9"/>
      <c r="U516" s="9"/>
      <c r="V516" s="9"/>
      <c r="W516" s="10"/>
      <c r="X516" s="10"/>
      <c r="Y516" s="10"/>
      <c r="Z516" s="10"/>
    </row>
    <row r="517">
      <c r="A517" s="9"/>
      <c r="B517" s="9"/>
      <c r="C517" s="9"/>
      <c r="D517" s="9"/>
      <c r="E517" s="9"/>
      <c r="F517" s="9"/>
      <c r="G517" s="9"/>
      <c r="H517" s="9"/>
      <c r="I517" s="9"/>
      <c r="J517" s="9"/>
      <c r="K517" s="9"/>
      <c r="L517" s="115"/>
      <c r="M517" s="115"/>
      <c r="N517" s="115"/>
      <c r="O517" s="115"/>
      <c r="P517" s="9"/>
      <c r="Q517" s="9"/>
      <c r="R517" s="9"/>
      <c r="S517" s="9"/>
      <c r="T517" s="9"/>
      <c r="U517" s="9"/>
      <c r="V517" s="9"/>
      <c r="W517" s="10"/>
      <c r="X517" s="10"/>
      <c r="Y517" s="10"/>
      <c r="Z517" s="10"/>
    </row>
    <row r="518">
      <c r="A518" s="9"/>
      <c r="B518" s="9"/>
      <c r="C518" s="9"/>
      <c r="D518" s="9"/>
      <c r="E518" s="9"/>
      <c r="F518" s="9"/>
      <c r="G518" s="9"/>
      <c r="H518" s="9"/>
      <c r="I518" s="9"/>
      <c r="J518" s="9"/>
      <c r="K518" s="9"/>
      <c r="L518" s="115"/>
      <c r="M518" s="115"/>
      <c r="N518" s="115"/>
      <c r="O518" s="115"/>
      <c r="P518" s="9"/>
      <c r="Q518" s="9"/>
      <c r="R518" s="9"/>
      <c r="S518" s="9"/>
      <c r="T518" s="9"/>
      <c r="U518" s="9"/>
      <c r="V518" s="9"/>
      <c r="W518" s="10"/>
      <c r="X518" s="10"/>
      <c r="Y518" s="10"/>
      <c r="Z518" s="10"/>
    </row>
    <row r="519">
      <c r="A519" s="9"/>
      <c r="B519" s="9"/>
      <c r="C519" s="9"/>
      <c r="D519" s="9"/>
      <c r="E519" s="9"/>
      <c r="F519" s="9"/>
      <c r="G519" s="9"/>
      <c r="H519" s="9"/>
      <c r="I519" s="9"/>
      <c r="J519" s="9"/>
      <c r="K519" s="9"/>
      <c r="L519" s="115"/>
      <c r="M519" s="115"/>
      <c r="N519" s="115"/>
      <c r="O519" s="115"/>
      <c r="P519" s="9"/>
      <c r="Q519" s="9"/>
      <c r="R519" s="9"/>
      <c r="S519" s="9"/>
      <c r="T519" s="9"/>
      <c r="U519" s="9"/>
      <c r="V519" s="9"/>
      <c r="W519" s="10"/>
      <c r="X519" s="10"/>
      <c r="Y519" s="10"/>
      <c r="Z519" s="10"/>
    </row>
    <row r="520">
      <c r="A520" s="9"/>
      <c r="B520" s="9"/>
      <c r="C520" s="9"/>
      <c r="D520" s="9"/>
      <c r="E520" s="9"/>
      <c r="F520" s="9"/>
      <c r="G520" s="9"/>
      <c r="H520" s="9"/>
      <c r="I520" s="9"/>
      <c r="J520" s="9"/>
      <c r="K520" s="9"/>
      <c r="L520" s="115"/>
      <c r="M520" s="115"/>
      <c r="N520" s="115"/>
      <c r="O520" s="115"/>
      <c r="P520" s="9"/>
      <c r="Q520" s="9"/>
      <c r="R520" s="9"/>
      <c r="S520" s="9"/>
      <c r="T520" s="9"/>
      <c r="U520" s="9"/>
      <c r="V520" s="9"/>
      <c r="W520" s="10"/>
      <c r="X520" s="10"/>
      <c r="Y520" s="10"/>
      <c r="Z520" s="10"/>
    </row>
    <row r="521">
      <c r="A521" s="9"/>
      <c r="B521" s="9"/>
      <c r="C521" s="9"/>
      <c r="D521" s="9"/>
      <c r="E521" s="9"/>
      <c r="F521" s="9"/>
      <c r="G521" s="9"/>
      <c r="H521" s="9"/>
      <c r="I521" s="9"/>
      <c r="J521" s="9"/>
      <c r="K521" s="9"/>
      <c r="L521" s="115"/>
      <c r="M521" s="115"/>
      <c r="N521" s="115"/>
      <c r="O521" s="115"/>
      <c r="P521" s="9"/>
      <c r="Q521" s="9"/>
      <c r="R521" s="9"/>
      <c r="S521" s="9"/>
      <c r="T521" s="9"/>
      <c r="U521" s="9"/>
      <c r="V521" s="9"/>
      <c r="W521" s="10"/>
      <c r="X521" s="10"/>
      <c r="Y521" s="10"/>
      <c r="Z521" s="10"/>
    </row>
    <row r="522">
      <c r="A522" s="9"/>
      <c r="B522" s="9"/>
      <c r="C522" s="9"/>
      <c r="D522" s="9"/>
      <c r="E522" s="9"/>
      <c r="F522" s="9"/>
      <c r="G522" s="9"/>
      <c r="H522" s="9"/>
      <c r="I522" s="9"/>
      <c r="J522" s="9"/>
      <c r="K522" s="9"/>
      <c r="L522" s="115"/>
      <c r="M522" s="115"/>
      <c r="N522" s="115"/>
      <c r="O522" s="115"/>
      <c r="P522" s="9"/>
      <c r="Q522" s="9"/>
      <c r="R522" s="9"/>
      <c r="S522" s="9"/>
      <c r="T522" s="9"/>
      <c r="U522" s="9"/>
      <c r="V522" s="9"/>
      <c r="W522" s="10"/>
      <c r="X522" s="10"/>
      <c r="Y522" s="10"/>
      <c r="Z522" s="10"/>
    </row>
    <row r="523">
      <c r="A523" s="9"/>
      <c r="B523" s="9"/>
      <c r="C523" s="9"/>
      <c r="D523" s="9"/>
      <c r="E523" s="9"/>
      <c r="F523" s="9"/>
      <c r="G523" s="9"/>
      <c r="H523" s="9"/>
      <c r="I523" s="9"/>
      <c r="J523" s="9"/>
      <c r="K523" s="9"/>
      <c r="L523" s="115"/>
      <c r="M523" s="115"/>
      <c r="N523" s="115"/>
      <c r="O523" s="115"/>
      <c r="P523" s="9"/>
      <c r="Q523" s="9"/>
      <c r="R523" s="9"/>
      <c r="S523" s="9"/>
      <c r="T523" s="9"/>
      <c r="U523" s="9"/>
      <c r="V523" s="9"/>
      <c r="W523" s="10"/>
      <c r="X523" s="10"/>
      <c r="Y523" s="10"/>
      <c r="Z523" s="10"/>
    </row>
    <row r="524">
      <c r="A524" s="9"/>
      <c r="B524" s="9"/>
      <c r="C524" s="9"/>
      <c r="D524" s="9"/>
      <c r="E524" s="9"/>
      <c r="F524" s="9"/>
      <c r="G524" s="9"/>
      <c r="H524" s="9"/>
      <c r="I524" s="9"/>
      <c r="J524" s="9"/>
      <c r="K524" s="9"/>
      <c r="L524" s="115"/>
      <c r="M524" s="115"/>
      <c r="N524" s="115"/>
      <c r="O524" s="115"/>
      <c r="P524" s="9"/>
      <c r="Q524" s="9"/>
      <c r="R524" s="9"/>
      <c r="S524" s="9"/>
      <c r="T524" s="9"/>
      <c r="U524" s="9"/>
      <c r="V524" s="9"/>
      <c r="W524" s="10"/>
      <c r="X524" s="10"/>
      <c r="Y524" s="10"/>
      <c r="Z524" s="10"/>
    </row>
    <row r="525">
      <c r="A525" s="9"/>
      <c r="B525" s="9"/>
      <c r="C525" s="9"/>
      <c r="D525" s="9"/>
      <c r="E525" s="9"/>
      <c r="F525" s="9"/>
      <c r="G525" s="9"/>
      <c r="H525" s="9"/>
      <c r="I525" s="9"/>
      <c r="J525" s="9"/>
      <c r="K525" s="9"/>
      <c r="L525" s="115"/>
      <c r="M525" s="115"/>
      <c r="N525" s="115"/>
      <c r="O525" s="115"/>
      <c r="P525" s="9"/>
      <c r="Q525" s="9"/>
      <c r="R525" s="9"/>
      <c r="S525" s="9"/>
      <c r="T525" s="9"/>
      <c r="U525" s="9"/>
      <c r="V525" s="9"/>
      <c r="W525" s="10"/>
      <c r="X525" s="10"/>
      <c r="Y525" s="10"/>
      <c r="Z525" s="10"/>
    </row>
    <row r="526">
      <c r="A526" s="9"/>
      <c r="B526" s="9"/>
      <c r="C526" s="9"/>
      <c r="D526" s="9"/>
      <c r="E526" s="9"/>
      <c r="F526" s="9"/>
      <c r="G526" s="9"/>
      <c r="H526" s="9"/>
      <c r="I526" s="9"/>
      <c r="J526" s="9"/>
      <c r="K526" s="9"/>
      <c r="L526" s="115"/>
      <c r="M526" s="115"/>
      <c r="N526" s="115"/>
      <c r="O526" s="115"/>
      <c r="P526" s="9"/>
      <c r="Q526" s="9"/>
      <c r="R526" s="9"/>
      <c r="S526" s="9"/>
      <c r="T526" s="9"/>
      <c r="U526" s="9"/>
      <c r="V526" s="9"/>
      <c r="W526" s="10"/>
      <c r="X526" s="10"/>
      <c r="Y526" s="10"/>
      <c r="Z526" s="10"/>
    </row>
    <row r="527">
      <c r="A527" s="9"/>
      <c r="B527" s="9"/>
      <c r="C527" s="9"/>
      <c r="D527" s="9"/>
      <c r="E527" s="9"/>
      <c r="F527" s="9"/>
      <c r="G527" s="9"/>
      <c r="H527" s="9"/>
      <c r="I527" s="9"/>
      <c r="J527" s="9"/>
      <c r="K527" s="9"/>
      <c r="L527" s="115"/>
      <c r="M527" s="115"/>
      <c r="N527" s="115"/>
      <c r="O527" s="115"/>
      <c r="P527" s="9"/>
      <c r="Q527" s="9"/>
      <c r="R527" s="9"/>
      <c r="S527" s="9"/>
      <c r="T527" s="9"/>
      <c r="U527" s="9"/>
      <c r="V527" s="9"/>
      <c r="W527" s="10"/>
      <c r="X527" s="10"/>
      <c r="Y527" s="10"/>
      <c r="Z527" s="10"/>
    </row>
    <row r="528">
      <c r="A528" s="9"/>
      <c r="B528" s="9"/>
      <c r="C528" s="9"/>
      <c r="D528" s="9"/>
      <c r="E528" s="9"/>
      <c r="F528" s="9"/>
      <c r="G528" s="9"/>
      <c r="H528" s="9"/>
      <c r="I528" s="9"/>
      <c r="J528" s="9"/>
      <c r="K528" s="9"/>
      <c r="L528" s="115"/>
      <c r="M528" s="115"/>
      <c r="N528" s="115"/>
      <c r="O528" s="115"/>
      <c r="P528" s="9"/>
      <c r="Q528" s="9"/>
      <c r="R528" s="9"/>
      <c r="S528" s="9"/>
      <c r="T528" s="9"/>
      <c r="U528" s="9"/>
      <c r="V528" s="9"/>
      <c r="W528" s="10"/>
      <c r="X528" s="10"/>
      <c r="Y528" s="10"/>
      <c r="Z528" s="10"/>
    </row>
    <row r="529">
      <c r="A529" s="9"/>
      <c r="B529" s="9"/>
      <c r="C529" s="9"/>
      <c r="D529" s="9"/>
      <c r="E529" s="9"/>
      <c r="F529" s="9"/>
      <c r="G529" s="9"/>
      <c r="H529" s="9"/>
      <c r="I529" s="9"/>
      <c r="J529" s="9"/>
      <c r="K529" s="9"/>
      <c r="L529" s="115"/>
      <c r="M529" s="115"/>
      <c r="N529" s="115"/>
      <c r="O529" s="115"/>
      <c r="P529" s="9"/>
      <c r="Q529" s="9"/>
      <c r="R529" s="9"/>
      <c r="S529" s="9"/>
      <c r="T529" s="9"/>
      <c r="U529" s="9"/>
      <c r="V529" s="9"/>
      <c r="W529" s="10"/>
      <c r="X529" s="10"/>
      <c r="Y529" s="10"/>
      <c r="Z529" s="10"/>
    </row>
    <row r="530">
      <c r="A530" s="9"/>
      <c r="B530" s="9"/>
      <c r="C530" s="9"/>
      <c r="D530" s="9"/>
      <c r="E530" s="9"/>
      <c r="F530" s="9"/>
      <c r="G530" s="9"/>
      <c r="H530" s="9"/>
      <c r="I530" s="9"/>
      <c r="J530" s="9"/>
      <c r="K530" s="9"/>
      <c r="L530" s="115"/>
      <c r="M530" s="115"/>
      <c r="N530" s="115"/>
      <c r="O530" s="115"/>
      <c r="P530" s="9"/>
      <c r="Q530" s="9"/>
      <c r="R530" s="9"/>
      <c r="S530" s="9"/>
      <c r="T530" s="9"/>
      <c r="U530" s="9"/>
      <c r="V530" s="9"/>
      <c r="W530" s="10"/>
      <c r="X530" s="10"/>
      <c r="Y530" s="10"/>
      <c r="Z530" s="10"/>
    </row>
    <row r="531">
      <c r="A531" s="9"/>
      <c r="B531" s="9"/>
      <c r="C531" s="9"/>
      <c r="D531" s="9"/>
      <c r="E531" s="9"/>
      <c r="F531" s="9"/>
      <c r="G531" s="9"/>
      <c r="H531" s="9"/>
      <c r="I531" s="9"/>
      <c r="J531" s="9"/>
      <c r="K531" s="9"/>
      <c r="L531" s="115"/>
      <c r="M531" s="115"/>
      <c r="N531" s="115"/>
      <c r="O531" s="115"/>
      <c r="P531" s="9"/>
      <c r="Q531" s="9"/>
      <c r="R531" s="9"/>
      <c r="S531" s="9"/>
      <c r="T531" s="9"/>
      <c r="U531" s="9"/>
      <c r="V531" s="9"/>
      <c r="W531" s="10"/>
      <c r="X531" s="10"/>
      <c r="Y531" s="10"/>
      <c r="Z531" s="10"/>
    </row>
    <row r="532">
      <c r="A532" s="9"/>
      <c r="B532" s="9"/>
      <c r="C532" s="9"/>
      <c r="D532" s="9"/>
      <c r="E532" s="9"/>
      <c r="F532" s="9"/>
      <c r="G532" s="9"/>
      <c r="H532" s="9"/>
      <c r="I532" s="9"/>
      <c r="J532" s="9"/>
      <c r="K532" s="9"/>
      <c r="L532" s="115"/>
      <c r="M532" s="115"/>
      <c r="N532" s="115"/>
      <c r="O532" s="115"/>
      <c r="P532" s="9"/>
      <c r="Q532" s="9"/>
      <c r="R532" s="9"/>
      <c r="S532" s="9"/>
      <c r="T532" s="9"/>
      <c r="U532" s="9"/>
      <c r="V532" s="9"/>
      <c r="W532" s="10"/>
      <c r="X532" s="10"/>
      <c r="Y532" s="10"/>
      <c r="Z532" s="10"/>
    </row>
    <row r="533">
      <c r="A533" s="9"/>
      <c r="B533" s="9"/>
      <c r="C533" s="9"/>
      <c r="D533" s="9"/>
      <c r="E533" s="9"/>
      <c r="F533" s="9"/>
      <c r="G533" s="9"/>
      <c r="H533" s="9"/>
      <c r="I533" s="9"/>
      <c r="J533" s="9"/>
      <c r="K533" s="9"/>
      <c r="L533" s="115"/>
      <c r="M533" s="115"/>
      <c r="N533" s="115"/>
      <c r="O533" s="115"/>
      <c r="P533" s="9"/>
      <c r="Q533" s="9"/>
      <c r="R533" s="9"/>
      <c r="S533" s="9"/>
      <c r="T533" s="9"/>
      <c r="U533" s="9"/>
      <c r="V533" s="9"/>
      <c r="W533" s="10"/>
      <c r="X533" s="10"/>
      <c r="Y533" s="10"/>
      <c r="Z533" s="10"/>
    </row>
    <row r="534">
      <c r="A534" s="9"/>
      <c r="B534" s="9"/>
      <c r="C534" s="9"/>
      <c r="D534" s="9"/>
      <c r="E534" s="9"/>
      <c r="F534" s="9"/>
      <c r="G534" s="9"/>
      <c r="H534" s="9"/>
      <c r="I534" s="9"/>
      <c r="J534" s="9"/>
      <c r="K534" s="9"/>
      <c r="L534" s="115"/>
      <c r="M534" s="115"/>
      <c r="N534" s="115"/>
      <c r="O534" s="115"/>
      <c r="P534" s="9"/>
      <c r="Q534" s="9"/>
      <c r="R534" s="9"/>
      <c r="S534" s="9"/>
      <c r="T534" s="9"/>
      <c r="U534" s="9"/>
      <c r="V534" s="9"/>
      <c r="W534" s="10"/>
      <c r="X534" s="10"/>
      <c r="Y534" s="10"/>
      <c r="Z534" s="10"/>
    </row>
    <row r="535">
      <c r="A535" s="9"/>
      <c r="B535" s="9"/>
      <c r="C535" s="9"/>
      <c r="D535" s="9"/>
      <c r="E535" s="9"/>
      <c r="F535" s="9"/>
      <c r="G535" s="9"/>
      <c r="H535" s="9"/>
      <c r="I535" s="9"/>
      <c r="J535" s="9"/>
      <c r="K535" s="9"/>
      <c r="L535" s="115"/>
      <c r="M535" s="115"/>
      <c r="N535" s="115"/>
      <c r="O535" s="115"/>
      <c r="P535" s="9"/>
      <c r="Q535" s="9"/>
      <c r="R535" s="9"/>
      <c r="S535" s="9"/>
      <c r="T535" s="9"/>
      <c r="U535" s="9"/>
      <c r="V535" s="9"/>
      <c r="W535" s="10"/>
      <c r="X535" s="10"/>
      <c r="Y535" s="10"/>
      <c r="Z535" s="10"/>
    </row>
    <row r="536">
      <c r="A536" s="9"/>
      <c r="B536" s="9"/>
      <c r="C536" s="9"/>
      <c r="D536" s="9"/>
      <c r="E536" s="9"/>
      <c r="F536" s="9"/>
      <c r="G536" s="9"/>
      <c r="H536" s="9"/>
      <c r="I536" s="9"/>
      <c r="J536" s="9"/>
      <c r="K536" s="9"/>
      <c r="L536" s="115"/>
      <c r="M536" s="115"/>
      <c r="N536" s="115"/>
      <c r="O536" s="115"/>
      <c r="P536" s="9"/>
      <c r="Q536" s="9"/>
      <c r="R536" s="9"/>
      <c r="S536" s="9"/>
      <c r="T536" s="9"/>
      <c r="U536" s="9"/>
      <c r="V536" s="9"/>
      <c r="W536" s="10"/>
      <c r="X536" s="10"/>
      <c r="Y536" s="10"/>
      <c r="Z536" s="10"/>
    </row>
    <row r="537">
      <c r="A537" s="9"/>
      <c r="B537" s="9"/>
      <c r="C537" s="9"/>
      <c r="D537" s="9"/>
      <c r="E537" s="9"/>
      <c r="F537" s="9"/>
      <c r="G537" s="9"/>
      <c r="H537" s="9"/>
      <c r="I537" s="9"/>
      <c r="J537" s="9"/>
      <c r="K537" s="9"/>
      <c r="L537" s="115"/>
      <c r="M537" s="115"/>
      <c r="N537" s="115"/>
      <c r="O537" s="115"/>
      <c r="P537" s="9"/>
      <c r="Q537" s="9"/>
      <c r="R537" s="9"/>
      <c r="S537" s="9"/>
      <c r="T537" s="9"/>
      <c r="U537" s="9"/>
      <c r="V537" s="9"/>
      <c r="W537" s="10"/>
      <c r="X537" s="10"/>
      <c r="Y537" s="10"/>
      <c r="Z537" s="10"/>
    </row>
    <row r="538">
      <c r="A538" s="9"/>
      <c r="B538" s="9"/>
      <c r="C538" s="9"/>
      <c r="D538" s="9"/>
      <c r="E538" s="9"/>
      <c r="F538" s="9"/>
      <c r="G538" s="9"/>
      <c r="H538" s="9"/>
      <c r="I538" s="9"/>
      <c r="J538" s="9"/>
      <c r="K538" s="9"/>
      <c r="L538" s="115"/>
      <c r="M538" s="115"/>
      <c r="N538" s="115"/>
      <c r="O538" s="115"/>
      <c r="P538" s="9"/>
      <c r="Q538" s="9"/>
      <c r="R538" s="9"/>
      <c r="S538" s="9"/>
      <c r="T538" s="9"/>
      <c r="U538" s="9"/>
      <c r="V538" s="9"/>
      <c r="W538" s="10"/>
      <c r="X538" s="10"/>
      <c r="Y538" s="10"/>
      <c r="Z538" s="10"/>
    </row>
    <row r="539">
      <c r="A539" s="9"/>
      <c r="B539" s="9"/>
      <c r="C539" s="9"/>
      <c r="D539" s="9"/>
      <c r="E539" s="9"/>
      <c r="F539" s="9"/>
      <c r="G539" s="9"/>
      <c r="H539" s="9"/>
      <c r="I539" s="9"/>
      <c r="J539" s="9"/>
      <c r="K539" s="9"/>
      <c r="L539" s="115"/>
      <c r="M539" s="115"/>
      <c r="N539" s="115"/>
      <c r="O539" s="115"/>
      <c r="P539" s="9"/>
      <c r="Q539" s="9"/>
      <c r="R539" s="9"/>
      <c r="S539" s="9"/>
      <c r="T539" s="9"/>
      <c r="U539" s="9"/>
      <c r="V539" s="9"/>
      <c r="W539" s="10"/>
      <c r="X539" s="10"/>
      <c r="Y539" s="10"/>
      <c r="Z539" s="10"/>
    </row>
    <row r="540">
      <c r="A540" s="9"/>
      <c r="B540" s="9"/>
      <c r="C540" s="9"/>
      <c r="D540" s="9"/>
      <c r="E540" s="9"/>
      <c r="F540" s="9"/>
      <c r="G540" s="9"/>
      <c r="H540" s="9"/>
      <c r="I540" s="9"/>
      <c r="J540" s="9"/>
      <c r="K540" s="9"/>
      <c r="L540" s="115"/>
      <c r="M540" s="115"/>
      <c r="N540" s="115"/>
      <c r="O540" s="115"/>
      <c r="P540" s="9"/>
      <c r="Q540" s="9"/>
      <c r="R540" s="9"/>
      <c r="S540" s="9"/>
      <c r="T540" s="9"/>
      <c r="U540" s="9"/>
      <c r="V540" s="9"/>
      <c r="W540" s="10"/>
      <c r="X540" s="10"/>
      <c r="Y540" s="10"/>
      <c r="Z540" s="10"/>
    </row>
    <row r="541">
      <c r="A541" s="9"/>
      <c r="B541" s="9"/>
      <c r="C541" s="9"/>
      <c r="D541" s="9"/>
      <c r="E541" s="9"/>
      <c r="F541" s="9"/>
      <c r="G541" s="9"/>
      <c r="H541" s="9"/>
      <c r="I541" s="9"/>
      <c r="J541" s="9"/>
      <c r="K541" s="9"/>
      <c r="L541" s="115"/>
      <c r="M541" s="115"/>
      <c r="N541" s="115"/>
      <c r="O541" s="115"/>
      <c r="P541" s="9"/>
      <c r="Q541" s="9"/>
      <c r="R541" s="9"/>
      <c r="S541" s="9"/>
      <c r="T541" s="9"/>
      <c r="U541" s="9"/>
      <c r="V541" s="9"/>
      <c r="W541" s="10"/>
      <c r="X541" s="10"/>
      <c r="Y541" s="10"/>
      <c r="Z541" s="10"/>
    </row>
    <row r="542">
      <c r="A542" s="9"/>
      <c r="B542" s="9"/>
      <c r="C542" s="9"/>
      <c r="D542" s="9"/>
      <c r="E542" s="9"/>
      <c r="F542" s="9"/>
      <c r="G542" s="9"/>
      <c r="H542" s="9"/>
      <c r="I542" s="9"/>
      <c r="J542" s="9"/>
      <c r="K542" s="9"/>
      <c r="L542" s="115"/>
      <c r="M542" s="115"/>
      <c r="N542" s="115"/>
      <c r="O542" s="115"/>
      <c r="P542" s="9"/>
      <c r="Q542" s="9"/>
      <c r="R542" s="9"/>
      <c r="S542" s="9"/>
      <c r="T542" s="9"/>
      <c r="U542" s="9"/>
      <c r="V542" s="9"/>
      <c r="W542" s="10"/>
      <c r="X542" s="10"/>
      <c r="Y542" s="10"/>
      <c r="Z542" s="10"/>
    </row>
    <row r="543">
      <c r="A543" s="9"/>
      <c r="B543" s="9"/>
      <c r="C543" s="9"/>
      <c r="D543" s="9"/>
      <c r="E543" s="9"/>
      <c r="F543" s="9"/>
      <c r="G543" s="9"/>
      <c r="H543" s="9"/>
      <c r="I543" s="9"/>
      <c r="J543" s="9"/>
      <c r="K543" s="9"/>
      <c r="L543" s="115"/>
      <c r="M543" s="115"/>
      <c r="N543" s="115"/>
      <c r="O543" s="115"/>
      <c r="P543" s="9"/>
      <c r="Q543" s="9"/>
      <c r="R543" s="9"/>
      <c r="S543" s="9"/>
      <c r="T543" s="9"/>
      <c r="U543" s="9"/>
      <c r="V543" s="9"/>
      <c r="W543" s="10"/>
      <c r="X543" s="10"/>
      <c r="Y543" s="10"/>
      <c r="Z543" s="10"/>
    </row>
    <row r="544">
      <c r="A544" s="9"/>
      <c r="B544" s="9"/>
      <c r="C544" s="9"/>
      <c r="D544" s="9"/>
      <c r="E544" s="9"/>
      <c r="F544" s="9"/>
      <c r="G544" s="9"/>
      <c r="H544" s="9"/>
      <c r="I544" s="9"/>
      <c r="J544" s="9"/>
      <c r="K544" s="9"/>
      <c r="L544" s="115"/>
      <c r="M544" s="115"/>
      <c r="N544" s="115"/>
      <c r="O544" s="115"/>
      <c r="P544" s="9"/>
      <c r="Q544" s="9"/>
      <c r="R544" s="9"/>
      <c r="S544" s="9"/>
      <c r="T544" s="9"/>
      <c r="U544" s="9"/>
      <c r="V544" s="9"/>
      <c r="W544" s="10"/>
      <c r="X544" s="10"/>
      <c r="Y544" s="10"/>
      <c r="Z544" s="10"/>
    </row>
    <row r="545">
      <c r="A545" s="9"/>
      <c r="B545" s="9"/>
      <c r="C545" s="9"/>
      <c r="D545" s="9"/>
      <c r="E545" s="9"/>
      <c r="F545" s="9"/>
      <c r="G545" s="9"/>
      <c r="H545" s="9"/>
      <c r="I545" s="9"/>
      <c r="J545" s="9"/>
      <c r="K545" s="9"/>
      <c r="L545" s="115"/>
      <c r="M545" s="115"/>
      <c r="N545" s="115"/>
      <c r="O545" s="115"/>
      <c r="P545" s="9"/>
      <c r="Q545" s="9"/>
      <c r="R545" s="9"/>
      <c r="S545" s="9"/>
      <c r="T545" s="9"/>
      <c r="U545" s="9"/>
      <c r="V545" s="9"/>
      <c r="W545" s="10"/>
      <c r="X545" s="10"/>
      <c r="Y545" s="10"/>
      <c r="Z545" s="10"/>
    </row>
    <row r="546">
      <c r="A546" s="9"/>
      <c r="B546" s="9"/>
      <c r="C546" s="9"/>
      <c r="D546" s="9"/>
      <c r="E546" s="9"/>
      <c r="F546" s="9"/>
      <c r="G546" s="9"/>
      <c r="H546" s="9"/>
      <c r="I546" s="9"/>
      <c r="J546" s="9"/>
      <c r="K546" s="9"/>
      <c r="L546" s="115"/>
      <c r="M546" s="115"/>
      <c r="N546" s="115"/>
      <c r="O546" s="115"/>
      <c r="P546" s="9"/>
      <c r="Q546" s="9"/>
      <c r="R546" s="9"/>
      <c r="S546" s="9"/>
      <c r="T546" s="9"/>
      <c r="U546" s="9"/>
      <c r="V546" s="9"/>
      <c r="W546" s="10"/>
      <c r="X546" s="10"/>
      <c r="Y546" s="10"/>
      <c r="Z546" s="10"/>
    </row>
    <row r="547">
      <c r="A547" s="9"/>
      <c r="B547" s="9"/>
      <c r="C547" s="9"/>
      <c r="D547" s="9"/>
      <c r="E547" s="9"/>
      <c r="F547" s="9"/>
      <c r="G547" s="9"/>
      <c r="H547" s="9"/>
      <c r="I547" s="9"/>
      <c r="J547" s="9"/>
      <c r="K547" s="9"/>
      <c r="L547" s="115"/>
      <c r="M547" s="115"/>
      <c r="N547" s="115"/>
      <c r="O547" s="115"/>
      <c r="P547" s="9"/>
      <c r="Q547" s="9"/>
      <c r="R547" s="9"/>
      <c r="S547" s="9"/>
      <c r="T547" s="9"/>
      <c r="U547" s="9"/>
      <c r="V547" s="9"/>
      <c r="W547" s="10"/>
      <c r="X547" s="10"/>
      <c r="Y547" s="10"/>
      <c r="Z547" s="10"/>
    </row>
    <row r="548">
      <c r="A548" s="9"/>
      <c r="B548" s="9"/>
      <c r="C548" s="9"/>
      <c r="D548" s="9"/>
      <c r="E548" s="9"/>
      <c r="F548" s="9"/>
      <c r="G548" s="9"/>
      <c r="H548" s="9"/>
      <c r="I548" s="9"/>
      <c r="J548" s="9"/>
      <c r="K548" s="9"/>
      <c r="L548" s="115"/>
      <c r="M548" s="115"/>
      <c r="N548" s="115"/>
      <c r="O548" s="115"/>
      <c r="P548" s="9"/>
      <c r="Q548" s="9"/>
      <c r="R548" s="9"/>
      <c r="S548" s="9"/>
      <c r="T548" s="9"/>
      <c r="U548" s="9"/>
      <c r="V548" s="9"/>
      <c r="W548" s="10"/>
      <c r="X548" s="10"/>
      <c r="Y548" s="10"/>
      <c r="Z548" s="10"/>
    </row>
    <row r="549">
      <c r="A549" s="9"/>
      <c r="B549" s="9"/>
      <c r="C549" s="9"/>
      <c r="D549" s="9"/>
      <c r="E549" s="9"/>
      <c r="F549" s="9"/>
      <c r="G549" s="9"/>
      <c r="H549" s="9"/>
      <c r="I549" s="9"/>
      <c r="J549" s="9"/>
      <c r="K549" s="9"/>
      <c r="L549" s="115"/>
      <c r="M549" s="115"/>
      <c r="N549" s="115"/>
      <c r="O549" s="115"/>
      <c r="P549" s="9"/>
      <c r="Q549" s="9"/>
      <c r="R549" s="9"/>
      <c r="S549" s="9"/>
      <c r="T549" s="9"/>
      <c r="U549" s="9"/>
      <c r="V549" s="9"/>
      <c r="W549" s="10"/>
      <c r="X549" s="10"/>
      <c r="Y549" s="10"/>
      <c r="Z549" s="10"/>
    </row>
    <row r="550">
      <c r="A550" s="9"/>
      <c r="B550" s="9"/>
      <c r="C550" s="9"/>
      <c r="D550" s="9"/>
      <c r="E550" s="9"/>
      <c r="F550" s="9"/>
      <c r="G550" s="9"/>
      <c r="H550" s="9"/>
      <c r="I550" s="9"/>
      <c r="J550" s="9"/>
      <c r="K550" s="9"/>
      <c r="L550" s="115"/>
      <c r="M550" s="115"/>
      <c r="N550" s="115"/>
      <c r="O550" s="115"/>
      <c r="P550" s="9"/>
      <c r="Q550" s="9"/>
      <c r="R550" s="9"/>
      <c r="S550" s="9"/>
      <c r="T550" s="9"/>
      <c r="U550" s="9"/>
      <c r="V550" s="9"/>
      <c r="W550" s="10"/>
      <c r="X550" s="10"/>
      <c r="Y550" s="10"/>
      <c r="Z550" s="10"/>
    </row>
    <row r="551">
      <c r="A551" s="9"/>
      <c r="B551" s="9"/>
      <c r="C551" s="9"/>
      <c r="D551" s="9"/>
      <c r="E551" s="9"/>
      <c r="F551" s="9"/>
      <c r="G551" s="9"/>
      <c r="H551" s="9"/>
      <c r="I551" s="9"/>
      <c r="J551" s="9"/>
      <c r="K551" s="9"/>
      <c r="L551" s="115"/>
      <c r="M551" s="115"/>
      <c r="N551" s="115"/>
      <c r="O551" s="115"/>
      <c r="P551" s="9"/>
      <c r="Q551" s="9"/>
      <c r="R551" s="9"/>
      <c r="S551" s="9"/>
      <c r="T551" s="9"/>
      <c r="U551" s="9"/>
      <c r="V551" s="9"/>
      <c r="W551" s="10"/>
      <c r="X551" s="10"/>
      <c r="Y551" s="10"/>
      <c r="Z551" s="10"/>
    </row>
    <row r="552">
      <c r="A552" s="9"/>
      <c r="B552" s="9"/>
      <c r="C552" s="9"/>
      <c r="D552" s="9"/>
      <c r="E552" s="9"/>
      <c r="F552" s="9"/>
      <c r="G552" s="9"/>
      <c r="H552" s="9"/>
      <c r="I552" s="9"/>
      <c r="J552" s="9"/>
      <c r="K552" s="9"/>
      <c r="L552" s="115"/>
      <c r="M552" s="115"/>
      <c r="N552" s="115"/>
      <c r="O552" s="115"/>
      <c r="P552" s="9"/>
      <c r="Q552" s="9"/>
      <c r="R552" s="9"/>
      <c r="S552" s="9"/>
      <c r="T552" s="9"/>
      <c r="U552" s="9"/>
      <c r="V552" s="9"/>
      <c r="W552" s="10"/>
      <c r="X552" s="10"/>
      <c r="Y552" s="10"/>
      <c r="Z552" s="10"/>
    </row>
    <row r="553">
      <c r="A553" s="9"/>
      <c r="B553" s="9"/>
      <c r="C553" s="9"/>
      <c r="D553" s="9"/>
      <c r="E553" s="9"/>
      <c r="F553" s="9"/>
      <c r="G553" s="9"/>
      <c r="H553" s="9"/>
      <c r="I553" s="9"/>
      <c r="J553" s="9"/>
      <c r="K553" s="9"/>
      <c r="L553" s="115"/>
      <c r="M553" s="115"/>
      <c r="N553" s="115"/>
      <c r="O553" s="115"/>
      <c r="P553" s="9"/>
      <c r="Q553" s="9"/>
      <c r="R553" s="9"/>
      <c r="S553" s="9"/>
      <c r="T553" s="9"/>
      <c r="U553" s="9"/>
      <c r="V553" s="9"/>
      <c r="W553" s="10"/>
      <c r="X553" s="10"/>
      <c r="Y553" s="10"/>
      <c r="Z553" s="10"/>
    </row>
    <row r="554">
      <c r="A554" s="9"/>
      <c r="B554" s="9"/>
      <c r="C554" s="9"/>
      <c r="D554" s="9"/>
      <c r="E554" s="9"/>
      <c r="F554" s="9"/>
      <c r="G554" s="9"/>
      <c r="H554" s="9"/>
      <c r="I554" s="9"/>
      <c r="J554" s="9"/>
      <c r="K554" s="9"/>
      <c r="L554" s="115"/>
      <c r="M554" s="115"/>
      <c r="N554" s="115"/>
      <c r="O554" s="115"/>
      <c r="P554" s="9"/>
      <c r="Q554" s="9"/>
      <c r="R554" s="9"/>
      <c r="S554" s="9"/>
      <c r="T554" s="9"/>
      <c r="U554" s="9"/>
      <c r="V554" s="9"/>
      <c r="W554" s="10"/>
      <c r="X554" s="10"/>
      <c r="Y554" s="10"/>
      <c r="Z554" s="10"/>
    </row>
    <row r="555">
      <c r="A555" s="9"/>
      <c r="B555" s="9"/>
      <c r="C555" s="9"/>
      <c r="D555" s="9"/>
      <c r="E555" s="9"/>
      <c r="F555" s="9"/>
      <c r="G555" s="9"/>
      <c r="H555" s="9"/>
      <c r="I555" s="9"/>
      <c r="J555" s="9"/>
      <c r="K555" s="9"/>
      <c r="L555" s="115"/>
      <c r="M555" s="115"/>
      <c r="N555" s="115"/>
      <c r="O555" s="115"/>
      <c r="P555" s="9"/>
      <c r="Q555" s="9"/>
      <c r="R555" s="9"/>
      <c r="S555" s="9"/>
      <c r="T555" s="9"/>
      <c r="U555" s="9"/>
      <c r="V555" s="9"/>
      <c r="W555" s="10"/>
      <c r="X555" s="10"/>
      <c r="Y555" s="10"/>
      <c r="Z555" s="10"/>
    </row>
    <row r="556">
      <c r="A556" s="9"/>
      <c r="B556" s="9"/>
      <c r="C556" s="9"/>
      <c r="D556" s="9"/>
      <c r="E556" s="9"/>
      <c r="F556" s="9"/>
      <c r="G556" s="9"/>
      <c r="H556" s="9"/>
      <c r="I556" s="9"/>
      <c r="J556" s="9"/>
      <c r="K556" s="9"/>
      <c r="L556" s="115"/>
      <c r="M556" s="115"/>
      <c r="N556" s="115"/>
      <c r="O556" s="115"/>
      <c r="P556" s="9"/>
      <c r="Q556" s="9"/>
      <c r="R556" s="9"/>
      <c r="S556" s="9"/>
      <c r="T556" s="9"/>
      <c r="U556" s="9"/>
      <c r="V556" s="9"/>
      <c r="W556" s="10"/>
      <c r="X556" s="10"/>
      <c r="Y556" s="10"/>
      <c r="Z556" s="10"/>
    </row>
    <row r="557">
      <c r="A557" s="9"/>
      <c r="B557" s="9"/>
      <c r="C557" s="9"/>
      <c r="D557" s="9"/>
      <c r="E557" s="9"/>
      <c r="F557" s="9"/>
      <c r="G557" s="9"/>
      <c r="H557" s="9"/>
      <c r="I557" s="9"/>
      <c r="J557" s="9"/>
      <c r="K557" s="9"/>
      <c r="L557" s="115"/>
      <c r="M557" s="115"/>
      <c r="N557" s="115"/>
      <c r="O557" s="115"/>
      <c r="P557" s="9"/>
      <c r="Q557" s="9"/>
      <c r="R557" s="9"/>
      <c r="S557" s="9"/>
      <c r="T557" s="9"/>
      <c r="U557" s="9"/>
      <c r="V557" s="9"/>
      <c r="W557" s="10"/>
      <c r="X557" s="10"/>
      <c r="Y557" s="10"/>
      <c r="Z557" s="10"/>
    </row>
    <row r="558">
      <c r="A558" s="9"/>
      <c r="B558" s="9"/>
      <c r="C558" s="9"/>
      <c r="D558" s="9"/>
      <c r="E558" s="9"/>
      <c r="F558" s="9"/>
      <c r="G558" s="9"/>
      <c r="H558" s="9"/>
      <c r="I558" s="9"/>
      <c r="J558" s="9"/>
      <c r="K558" s="9"/>
      <c r="L558" s="115"/>
      <c r="M558" s="115"/>
      <c r="N558" s="115"/>
      <c r="O558" s="115"/>
      <c r="P558" s="9"/>
      <c r="Q558" s="9"/>
      <c r="R558" s="9"/>
      <c r="S558" s="9"/>
      <c r="T558" s="9"/>
      <c r="U558" s="9"/>
      <c r="V558" s="9"/>
      <c r="W558" s="10"/>
      <c r="X558" s="10"/>
      <c r="Y558" s="10"/>
      <c r="Z558" s="10"/>
    </row>
    <row r="559">
      <c r="A559" s="9"/>
      <c r="B559" s="9"/>
      <c r="C559" s="9"/>
      <c r="D559" s="9"/>
      <c r="E559" s="9"/>
      <c r="F559" s="9"/>
      <c r="G559" s="9"/>
      <c r="H559" s="9"/>
      <c r="I559" s="9"/>
      <c r="J559" s="9"/>
      <c r="K559" s="9"/>
      <c r="L559" s="115"/>
      <c r="M559" s="115"/>
      <c r="N559" s="115"/>
      <c r="O559" s="115"/>
      <c r="P559" s="9"/>
      <c r="Q559" s="9"/>
      <c r="R559" s="9"/>
      <c r="S559" s="9"/>
      <c r="T559" s="9"/>
      <c r="U559" s="9"/>
      <c r="V559" s="9"/>
      <c r="W559" s="10"/>
      <c r="X559" s="10"/>
      <c r="Y559" s="10"/>
      <c r="Z559" s="10"/>
    </row>
    <row r="560">
      <c r="A560" s="9"/>
      <c r="B560" s="9"/>
      <c r="C560" s="9"/>
      <c r="D560" s="9"/>
      <c r="E560" s="9"/>
      <c r="F560" s="9"/>
      <c r="G560" s="9"/>
      <c r="H560" s="9"/>
      <c r="I560" s="9"/>
      <c r="J560" s="9"/>
      <c r="K560" s="9"/>
      <c r="L560" s="115"/>
      <c r="M560" s="115"/>
      <c r="N560" s="115"/>
      <c r="O560" s="115"/>
      <c r="P560" s="9"/>
      <c r="Q560" s="9"/>
      <c r="R560" s="9"/>
      <c r="S560" s="9"/>
      <c r="T560" s="9"/>
      <c r="U560" s="9"/>
      <c r="V560" s="9"/>
      <c r="W560" s="10"/>
      <c r="X560" s="10"/>
      <c r="Y560" s="10"/>
      <c r="Z560" s="10"/>
    </row>
    <row r="561">
      <c r="A561" s="9"/>
      <c r="B561" s="9"/>
      <c r="C561" s="9"/>
      <c r="D561" s="9"/>
      <c r="E561" s="9"/>
      <c r="F561" s="9"/>
      <c r="G561" s="9"/>
      <c r="H561" s="9"/>
      <c r="I561" s="9"/>
      <c r="J561" s="9"/>
      <c r="K561" s="9"/>
      <c r="L561" s="115"/>
      <c r="M561" s="115"/>
      <c r="N561" s="115"/>
      <c r="O561" s="115"/>
      <c r="P561" s="9"/>
      <c r="Q561" s="9"/>
      <c r="R561" s="9"/>
      <c r="S561" s="9"/>
      <c r="T561" s="9"/>
      <c r="U561" s="9"/>
      <c r="V561" s="9"/>
      <c r="W561" s="10"/>
      <c r="X561" s="10"/>
      <c r="Y561" s="10"/>
      <c r="Z561" s="10"/>
    </row>
    <row r="562">
      <c r="A562" s="9"/>
      <c r="B562" s="9"/>
      <c r="C562" s="9"/>
      <c r="D562" s="9"/>
      <c r="E562" s="9"/>
      <c r="F562" s="9"/>
      <c r="G562" s="9"/>
      <c r="H562" s="9"/>
      <c r="I562" s="9"/>
      <c r="J562" s="9"/>
      <c r="K562" s="9"/>
      <c r="L562" s="115"/>
      <c r="M562" s="115"/>
      <c r="N562" s="115"/>
      <c r="O562" s="115"/>
      <c r="P562" s="9"/>
      <c r="Q562" s="9"/>
      <c r="R562" s="9"/>
      <c r="S562" s="9"/>
      <c r="T562" s="9"/>
      <c r="U562" s="9"/>
      <c r="V562" s="9"/>
      <c r="W562" s="10"/>
      <c r="X562" s="10"/>
      <c r="Y562" s="10"/>
      <c r="Z562" s="10"/>
    </row>
    <row r="563">
      <c r="A563" s="9"/>
      <c r="B563" s="9"/>
      <c r="C563" s="9"/>
      <c r="D563" s="9"/>
      <c r="E563" s="9"/>
      <c r="F563" s="9"/>
      <c r="G563" s="9"/>
      <c r="H563" s="9"/>
      <c r="I563" s="9"/>
      <c r="J563" s="9"/>
      <c r="K563" s="9"/>
      <c r="L563" s="115"/>
      <c r="M563" s="115"/>
      <c r="N563" s="115"/>
      <c r="O563" s="115"/>
      <c r="P563" s="9"/>
      <c r="Q563" s="9"/>
      <c r="R563" s="9"/>
      <c r="S563" s="9"/>
      <c r="T563" s="9"/>
      <c r="U563" s="9"/>
      <c r="V563" s="9"/>
      <c r="W563" s="10"/>
      <c r="X563" s="10"/>
      <c r="Y563" s="10"/>
      <c r="Z563" s="10"/>
    </row>
    <row r="564">
      <c r="A564" s="9"/>
      <c r="B564" s="9"/>
      <c r="C564" s="9"/>
      <c r="D564" s="9"/>
      <c r="E564" s="9"/>
      <c r="F564" s="9"/>
      <c r="G564" s="9"/>
      <c r="H564" s="9"/>
      <c r="I564" s="9"/>
      <c r="J564" s="9"/>
      <c r="K564" s="9"/>
      <c r="L564" s="115"/>
      <c r="M564" s="115"/>
      <c r="N564" s="115"/>
      <c r="O564" s="115"/>
      <c r="P564" s="9"/>
      <c r="Q564" s="9"/>
      <c r="R564" s="9"/>
      <c r="S564" s="9"/>
      <c r="T564" s="9"/>
      <c r="U564" s="9"/>
      <c r="V564" s="9"/>
      <c r="W564" s="10"/>
      <c r="X564" s="10"/>
      <c r="Y564" s="10"/>
      <c r="Z564" s="10"/>
    </row>
    <row r="565">
      <c r="A565" s="9"/>
      <c r="B565" s="9"/>
      <c r="C565" s="9"/>
      <c r="D565" s="9"/>
      <c r="E565" s="9"/>
      <c r="F565" s="9"/>
      <c r="G565" s="9"/>
      <c r="H565" s="9"/>
      <c r="I565" s="9"/>
      <c r="J565" s="9"/>
      <c r="K565" s="9"/>
      <c r="L565" s="115"/>
      <c r="M565" s="115"/>
      <c r="N565" s="115"/>
      <c r="O565" s="115"/>
      <c r="P565" s="9"/>
      <c r="Q565" s="9"/>
      <c r="R565" s="9"/>
      <c r="S565" s="9"/>
      <c r="T565" s="9"/>
      <c r="U565" s="9"/>
      <c r="V565" s="9"/>
      <c r="W565" s="10"/>
      <c r="X565" s="10"/>
      <c r="Y565" s="10"/>
      <c r="Z565" s="10"/>
    </row>
    <row r="566">
      <c r="A566" s="9"/>
      <c r="B566" s="9"/>
      <c r="C566" s="9"/>
      <c r="D566" s="9"/>
      <c r="E566" s="9"/>
      <c r="F566" s="9"/>
      <c r="G566" s="9"/>
      <c r="H566" s="9"/>
      <c r="I566" s="9"/>
      <c r="J566" s="9"/>
      <c r="K566" s="9"/>
      <c r="L566" s="115"/>
      <c r="M566" s="115"/>
      <c r="N566" s="115"/>
      <c r="O566" s="115"/>
      <c r="P566" s="9"/>
      <c r="Q566" s="9"/>
      <c r="R566" s="9"/>
      <c r="S566" s="9"/>
      <c r="T566" s="9"/>
      <c r="U566" s="9"/>
      <c r="V566" s="9"/>
      <c r="W566" s="10"/>
      <c r="X566" s="10"/>
      <c r="Y566" s="10"/>
      <c r="Z566" s="10"/>
    </row>
    <row r="567">
      <c r="A567" s="9"/>
      <c r="B567" s="9"/>
      <c r="C567" s="9"/>
      <c r="D567" s="9"/>
      <c r="E567" s="9"/>
      <c r="F567" s="9"/>
      <c r="G567" s="9"/>
      <c r="H567" s="9"/>
      <c r="I567" s="9"/>
      <c r="J567" s="9"/>
      <c r="K567" s="9"/>
      <c r="L567" s="115"/>
      <c r="M567" s="115"/>
      <c r="N567" s="115"/>
      <c r="O567" s="115"/>
      <c r="P567" s="9"/>
      <c r="Q567" s="9"/>
      <c r="R567" s="9"/>
      <c r="S567" s="9"/>
      <c r="T567" s="9"/>
      <c r="U567" s="9"/>
      <c r="V567" s="9"/>
      <c r="W567" s="10"/>
      <c r="X567" s="10"/>
      <c r="Y567" s="10"/>
      <c r="Z567" s="10"/>
    </row>
    <row r="568">
      <c r="A568" s="9"/>
      <c r="B568" s="9"/>
      <c r="C568" s="9"/>
      <c r="D568" s="9"/>
      <c r="E568" s="9"/>
      <c r="F568" s="9"/>
      <c r="G568" s="9"/>
      <c r="H568" s="9"/>
      <c r="I568" s="9"/>
      <c r="J568" s="9"/>
      <c r="K568" s="9"/>
      <c r="L568" s="115"/>
      <c r="M568" s="115"/>
      <c r="N568" s="115"/>
      <c r="O568" s="115"/>
      <c r="P568" s="9"/>
      <c r="Q568" s="9"/>
      <c r="R568" s="9"/>
      <c r="S568" s="9"/>
      <c r="T568" s="9"/>
      <c r="U568" s="9"/>
      <c r="V568" s="9"/>
      <c r="W568" s="10"/>
      <c r="X568" s="10"/>
      <c r="Y568" s="10"/>
      <c r="Z568" s="10"/>
    </row>
    <row r="569">
      <c r="A569" s="9"/>
      <c r="B569" s="9"/>
      <c r="C569" s="9"/>
      <c r="D569" s="9"/>
      <c r="E569" s="9"/>
      <c r="F569" s="9"/>
      <c r="G569" s="9"/>
      <c r="H569" s="9"/>
      <c r="I569" s="9"/>
      <c r="J569" s="9"/>
      <c r="K569" s="9"/>
      <c r="L569" s="115"/>
      <c r="M569" s="115"/>
      <c r="N569" s="115"/>
      <c r="O569" s="115"/>
      <c r="P569" s="9"/>
      <c r="Q569" s="9"/>
      <c r="R569" s="9"/>
      <c r="S569" s="9"/>
      <c r="T569" s="9"/>
      <c r="U569" s="9"/>
      <c r="V569" s="9"/>
      <c r="W569" s="10"/>
      <c r="X569" s="10"/>
      <c r="Y569" s="10"/>
      <c r="Z569" s="10"/>
    </row>
    <row r="570">
      <c r="A570" s="9"/>
      <c r="B570" s="9"/>
      <c r="C570" s="9"/>
      <c r="D570" s="9"/>
      <c r="E570" s="9"/>
      <c r="F570" s="9"/>
      <c r="G570" s="9"/>
      <c r="H570" s="9"/>
      <c r="I570" s="9"/>
      <c r="J570" s="9"/>
      <c r="K570" s="9"/>
      <c r="L570" s="115"/>
      <c r="M570" s="115"/>
      <c r="N570" s="115"/>
      <c r="O570" s="115"/>
      <c r="P570" s="9"/>
      <c r="Q570" s="9"/>
      <c r="R570" s="9"/>
      <c r="S570" s="9"/>
      <c r="T570" s="9"/>
      <c r="U570" s="9"/>
      <c r="V570" s="9"/>
      <c r="W570" s="10"/>
      <c r="X570" s="10"/>
      <c r="Y570" s="10"/>
      <c r="Z570" s="10"/>
    </row>
    <row r="571">
      <c r="A571" s="9"/>
      <c r="B571" s="9"/>
      <c r="C571" s="9"/>
      <c r="D571" s="9"/>
      <c r="E571" s="9"/>
      <c r="F571" s="9"/>
      <c r="G571" s="9"/>
      <c r="H571" s="9"/>
      <c r="I571" s="9"/>
      <c r="J571" s="9"/>
      <c r="K571" s="9"/>
      <c r="L571" s="115"/>
      <c r="M571" s="115"/>
      <c r="N571" s="115"/>
      <c r="O571" s="115"/>
      <c r="P571" s="9"/>
      <c r="Q571" s="9"/>
      <c r="R571" s="9"/>
      <c r="S571" s="9"/>
      <c r="T571" s="9"/>
      <c r="U571" s="9"/>
      <c r="V571" s="9"/>
      <c r="W571" s="10"/>
      <c r="X571" s="10"/>
      <c r="Y571" s="10"/>
      <c r="Z571" s="10"/>
    </row>
    <row r="572">
      <c r="A572" s="9"/>
      <c r="B572" s="9"/>
      <c r="C572" s="9"/>
      <c r="D572" s="9"/>
      <c r="E572" s="9"/>
      <c r="F572" s="9"/>
      <c r="G572" s="9"/>
      <c r="H572" s="9"/>
      <c r="I572" s="9"/>
      <c r="J572" s="9"/>
      <c r="K572" s="9"/>
      <c r="L572" s="115"/>
      <c r="M572" s="115"/>
      <c r="N572" s="115"/>
      <c r="O572" s="115"/>
      <c r="P572" s="9"/>
      <c r="Q572" s="9"/>
      <c r="R572" s="9"/>
      <c r="S572" s="9"/>
      <c r="T572" s="9"/>
      <c r="U572" s="9"/>
      <c r="V572" s="9"/>
      <c r="W572" s="10"/>
      <c r="X572" s="10"/>
      <c r="Y572" s="10"/>
      <c r="Z572" s="10"/>
    </row>
    <row r="573">
      <c r="A573" s="9"/>
      <c r="B573" s="9"/>
      <c r="C573" s="9"/>
      <c r="D573" s="9"/>
      <c r="E573" s="9"/>
      <c r="F573" s="9"/>
      <c r="G573" s="9"/>
      <c r="H573" s="9"/>
      <c r="I573" s="9"/>
      <c r="J573" s="9"/>
      <c r="K573" s="9"/>
      <c r="L573" s="115"/>
      <c r="M573" s="115"/>
      <c r="N573" s="115"/>
      <c r="O573" s="115"/>
      <c r="P573" s="9"/>
      <c r="Q573" s="9"/>
      <c r="R573" s="9"/>
      <c r="S573" s="9"/>
      <c r="T573" s="9"/>
      <c r="U573" s="9"/>
      <c r="V573" s="9"/>
      <c r="W573" s="10"/>
      <c r="X573" s="10"/>
      <c r="Y573" s="10"/>
      <c r="Z573" s="10"/>
    </row>
    <row r="574">
      <c r="A574" s="9"/>
      <c r="B574" s="9"/>
      <c r="C574" s="9"/>
      <c r="D574" s="9"/>
      <c r="E574" s="9"/>
      <c r="F574" s="9"/>
      <c r="G574" s="9"/>
      <c r="H574" s="9"/>
      <c r="I574" s="9"/>
      <c r="J574" s="9"/>
      <c r="K574" s="9"/>
      <c r="L574" s="115"/>
      <c r="M574" s="115"/>
      <c r="N574" s="115"/>
      <c r="O574" s="115"/>
      <c r="P574" s="9"/>
      <c r="Q574" s="9"/>
      <c r="R574" s="9"/>
      <c r="S574" s="9"/>
      <c r="T574" s="9"/>
      <c r="U574" s="9"/>
      <c r="V574" s="9"/>
      <c r="W574" s="10"/>
      <c r="X574" s="10"/>
      <c r="Y574" s="10"/>
      <c r="Z574" s="10"/>
    </row>
    <row r="575">
      <c r="A575" s="9"/>
      <c r="B575" s="9"/>
      <c r="C575" s="9"/>
      <c r="D575" s="9"/>
      <c r="E575" s="9"/>
      <c r="F575" s="9"/>
      <c r="G575" s="9"/>
      <c r="H575" s="9"/>
      <c r="I575" s="9"/>
      <c r="J575" s="9"/>
      <c r="K575" s="9"/>
      <c r="L575" s="115"/>
      <c r="M575" s="115"/>
      <c r="N575" s="115"/>
      <c r="O575" s="115"/>
      <c r="P575" s="9"/>
      <c r="Q575" s="9"/>
      <c r="R575" s="9"/>
      <c r="S575" s="9"/>
      <c r="T575" s="9"/>
      <c r="U575" s="9"/>
      <c r="V575" s="9"/>
      <c r="W575" s="10"/>
      <c r="X575" s="10"/>
      <c r="Y575" s="10"/>
      <c r="Z575" s="10"/>
    </row>
    <row r="576">
      <c r="A576" s="9"/>
      <c r="B576" s="9"/>
      <c r="C576" s="9"/>
      <c r="D576" s="9"/>
      <c r="E576" s="9"/>
      <c r="F576" s="9"/>
      <c r="G576" s="9"/>
      <c r="H576" s="9"/>
      <c r="I576" s="9"/>
      <c r="J576" s="9"/>
      <c r="K576" s="9"/>
      <c r="L576" s="115"/>
      <c r="M576" s="115"/>
      <c r="N576" s="115"/>
      <c r="O576" s="115"/>
      <c r="P576" s="9"/>
      <c r="Q576" s="9"/>
      <c r="R576" s="9"/>
      <c r="S576" s="9"/>
      <c r="T576" s="9"/>
      <c r="U576" s="9"/>
      <c r="V576" s="9"/>
      <c r="W576" s="10"/>
      <c r="X576" s="10"/>
      <c r="Y576" s="10"/>
      <c r="Z576" s="10"/>
    </row>
    <row r="577">
      <c r="A577" s="9"/>
      <c r="B577" s="9"/>
      <c r="C577" s="9"/>
      <c r="D577" s="9"/>
      <c r="E577" s="9"/>
      <c r="F577" s="9"/>
      <c r="G577" s="9"/>
      <c r="H577" s="9"/>
      <c r="I577" s="9"/>
      <c r="J577" s="9"/>
      <c r="K577" s="9"/>
      <c r="L577" s="115"/>
      <c r="M577" s="115"/>
      <c r="N577" s="115"/>
      <c r="O577" s="115"/>
      <c r="P577" s="9"/>
      <c r="Q577" s="9"/>
      <c r="R577" s="9"/>
      <c r="S577" s="9"/>
      <c r="T577" s="9"/>
      <c r="U577" s="9"/>
      <c r="V577" s="9"/>
      <c r="W577" s="10"/>
      <c r="X577" s="10"/>
      <c r="Y577" s="10"/>
      <c r="Z577" s="10"/>
    </row>
    <row r="578">
      <c r="A578" s="9"/>
      <c r="B578" s="9"/>
      <c r="C578" s="9"/>
      <c r="D578" s="9"/>
      <c r="E578" s="9"/>
      <c r="F578" s="9"/>
      <c r="G578" s="9"/>
      <c r="H578" s="9"/>
      <c r="I578" s="9"/>
      <c r="J578" s="9"/>
      <c r="K578" s="9"/>
      <c r="L578" s="115"/>
      <c r="M578" s="115"/>
      <c r="N578" s="115"/>
      <c r="O578" s="115"/>
      <c r="P578" s="9"/>
      <c r="Q578" s="9"/>
      <c r="R578" s="9"/>
      <c r="S578" s="9"/>
      <c r="T578" s="9"/>
      <c r="U578" s="9"/>
      <c r="V578" s="9"/>
      <c r="W578" s="10"/>
      <c r="X578" s="10"/>
      <c r="Y578" s="10"/>
      <c r="Z578" s="10"/>
    </row>
    <row r="579">
      <c r="A579" s="9"/>
      <c r="B579" s="9"/>
      <c r="C579" s="9"/>
      <c r="D579" s="9"/>
      <c r="E579" s="9"/>
      <c r="F579" s="9"/>
      <c r="G579" s="9"/>
      <c r="H579" s="9"/>
      <c r="I579" s="9"/>
      <c r="J579" s="9"/>
      <c r="K579" s="9"/>
      <c r="L579" s="115"/>
      <c r="M579" s="115"/>
      <c r="N579" s="115"/>
      <c r="O579" s="115"/>
      <c r="P579" s="9"/>
      <c r="Q579" s="9"/>
      <c r="R579" s="9"/>
      <c r="S579" s="9"/>
      <c r="T579" s="9"/>
      <c r="U579" s="9"/>
      <c r="V579" s="9"/>
      <c r="W579" s="10"/>
      <c r="X579" s="10"/>
      <c r="Y579" s="10"/>
      <c r="Z579" s="10"/>
    </row>
    <row r="580">
      <c r="A580" s="9"/>
      <c r="B580" s="9"/>
      <c r="C580" s="9"/>
      <c r="D580" s="9"/>
      <c r="E580" s="9"/>
      <c r="F580" s="9"/>
      <c r="G580" s="9"/>
      <c r="H580" s="9"/>
      <c r="I580" s="9"/>
      <c r="J580" s="9"/>
      <c r="K580" s="9"/>
      <c r="L580" s="115"/>
      <c r="M580" s="115"/>
      <c r="N580" s="115"/>
      <c r="O580" s="115"/>
      <c r="P580" s="9"/>
      <c r="Q580" s="9"/>
      <c r="R580" s="9"/>
      <c r="S580" s="9"/>
      <c r="T580" s="9"/>
      <c r="U580" s="9"/>
      <c r="V580" s="9"/>
      <c r="W580" s="10"/>
      <c r="X580" s="10"/>
      <c r="Y580" s="10"/>
      <c r="Z580" s="10"/>
    </row>
    <row r="581">
      <c r="A581" s="9"/>
      <c r="B581" s="9"/>
      <c r="C581" s="9"/>
      <c r="D581" s="9"/>
      <c r="E581" s="9"/>
      <c r="F581" s="9"/>
      <c r="G581" s="9"/>
      <c r="H581" s="9"/>
      <c r="I581" s="9"/>
      <c r="J581" s="9"/>
      <c r="K581" s="9"/>
      <c r="L581" s="115"/>
      <c r="M581" s="115"/>
      <c r="N581" s="115"/>
      <c r="O581" s="115"/>
      <c r="P581" s="9"/>
      <c r="Q581" s="9"/>
      <c r="R581" s="9"/>
      <c r="S581" s="9"/>
      <c r="T581" s="9"/>
      <c r="U581" s="9"/>
      <c r="V581" s="9"/>
      <c r="W581" s="10"/>
      <c r="X581" s="10"/>
      <c r="Y581" s="10"/>
      <c r="Z581" s="10"/>
    </row>
    <row r="582">
      <c r="A582" s="9"/>
      <c r="B582" s="9"/>
      <c r="C582" s="9"/>
      <c r="D582" s="9"/>
      <c r="E582" s="9"/>
      <c r="F582" s="9"/>
      <c r="G582" s="9"/>
      <c r="H582" s="9"/>
      <c r="I582" s="9"/>
      <c r="J582" s="9"/>
      <c r="K582" s="9"/>
      <c r="L582" s="115"/>
      <c r="M582" s="115"/>
      <c r="N582" s="115"/>
      <c r="O582" s="115"/>
      <c r="P582" s="9"/>
      <c r="Q582" s="9"/>
      <c r="R582" s="9"/>
      <c r="S582" s="9"/>
      <c r="T582" s="9"/>
      <c r="U582" s="9"/>
      <c r="V582" s="9"/>
      <c r="W582" s="10"/>
      <c r="X582" s="10"/>
      <c r="Y582" s="10"/>
      <c r="Z582" s="10"/>
    </row>
    <row r="583">
      <c r="A583" s="9"/>
      <c r="B583" s="9"/>
      <c r="C583" s="9"/>
      <c r="D583" s="9"/>
      <c r="E583" s="9"/>
      <c r="F583" s="9"/>
      <c r="G583" s="9"/>
      <c r="H583" s="9"/>
      <c r="I583" s="9"/>
      <c r="J583" s="9"/>
      <c r="K583" s="9"/>
      <c r="L583" s="115"/>
      <c r="M583" s="115"/>
      <c r="N583" s="115"/>
      <c r="O583" s="115"/>
      <c r="P583" s="9"/>
      <c r="Q583" s="9"/>
      <c r="R583" s="9"/>
      <c r="S583" s="9"/>
      <c r="T583" s="9"/>
      <c r="U583" s="9"/>
      <c r="V583" s="9"/>
      <c r="W583" s="10"/>
      <c r="X583" s="10"/>
      <c r="Y583" s="10"/>
      <c r="Z583" s="10"/>
    </row>
    <row r="584">
      <c r="A584" s="9"/>
      <c r="B584" s="9"/>
      <c r="C584" s="9"/>
      <c r="D584" s="9"/>
      <c r="E584" s="9"/>
      <c r="F584" s="9"/>
      <c r="G584" s="9"/>
      <c r="H584" s="9"/>
      <c r="I584" s="9"/>
      <c r="J584" s="9"/>
      <c r="K584" s="9"/>
      <c r="L584" s="115"/>
      <c r="M584" s="115"/>
      <c r="N584" s="115"/>
      <c r="O584" s="115"/>
      <c r="P584" s="9"/>
      <c r="Q584" s="9"/>
      <c r="R584" s="9"/>
      <c r="S584" s="9"/>
      <c r="T584" s="9"/>
      <c r="U584" s="9"/>
      <c r="V584" s="9"/>
      <c r="W584" s="10"/>
      <c r="X584" s="10"/>
      <c r="Y584" s="10"/>
      <c r="Z584" s="10"/>
    </row>
    <row r="585">
      <c r="A585" s="9"/>
      <c r="B585" s="9"/>
      <c r="C585" s="9"/>
      <c r="D585" s="9"/>
      <c r="E585" s="9"/>
      <c r="F585" s="9"/>
      <c r="G585" s="9"/>
      <c r="H585" s="9"/>
      <c r="I585" s="9"/>
      <c r="J585" s="9"/>
      <c r="K585" s="9"/>
      <c r="L585" s="115"/>
      <c r="M585" s="115"/>
      <c r="N585" s="115"/>
      <c r="O585" s="115"/>
      <c r="P585" s="9"/>
      <c r="Q585" s="9"/>
      <c r="R585" s="9"/>
      <c r="S585" s="9"/>
      <c r="T585" s="9"/>
      <c r="U585" s="9"/>
      <c r="V585" s="9"/>
      <c r="W585" s="10"/>
      <c r="X585" s="10"/>
      <c r="Y585" s="10"/>
      <c r="Z585" s="10"/>
    </row>
    <row r="586">
      <c r="A586" s="9"/>
      <c r="B586" s="9"/>
      <c r="C586" s="9"/>
      <c r="D586" s="9"/>
      <c r="E586" s="9"/>
      <c r="F586" s="9"/>
      <c r="G586" s="9"/>
      <c r="H586" s="9"/>
      <c r="I586" s="9"/>
      <c r="J586" s="9"/>
      <c r="K586" s="9"/>
      <c r="L586" s="115"/>
      <c r="M586" s="115"/>
      <c r="N586" s="115"/>
      <c r="O586" s="115"/>
      <c r="P586" s="9"/>
      <c r="Q586" s="9"/>
      <c r="R586" s="9"/>
      <c r="S586" s="9"/>
      <c r="T586" s="9"/>
      <c r="U586" s="9"/>
      <c r="V586" s="9"/>
      <c r="W586" s="10"/>
      <c r="X586" s="10"/>
      <c r="Y586" s="10"/>
      <c r="Z586" s="10"/>
    </row>
    <row r="587">
      <c r="A587" s="9"/>
      <c r="B587" s="9"/>
      <c r="C587" s="9"/>
      <c r="D587" s="9"/>
      <c r="E587" s="9"/>
      <c r="F587" s="9"/>
      <c r="G587" s="9"/>
      <c r="H587" s="9"/>
      <c r="I587" s="9"/>
      <c r="J587" s="9"/>
      <c r="K587" s="9"/>
      <c r="L587" s="115"/>
      <c r="M587" s="115"/>
      <c r="N587" s="115"/>
      <c r="O587" s="115"/>
      <c r="P587" s="9"/>
      <c r="Q587" s="9"/>
      <c r="R587" s="9"/>
      <c r="S587" s="9"/>
      <c r="T587" s="9"/>
      <c r="U587" s="9"/>
      <c r="V587" s="9"/>
      <c r="W587" s="10"/>
      <c r="X587" s="10"/>
      <c r="Y587" s="10"/>
      <c r="Z587" s="10"/>
    </row>
    <row r="588">
      <c r="A588" s="9"/>
      <c r="B588" s="9"/>
      <c r="C588" s="9"/>
      <c r="D588" s="9"/>
      <c r="E588" s="9"/>
      <c r="F588" s="9"/>
      <c r="G588" s="9"/>
      <c r="H588" s="9"/>
      <c r="I588" s="9"/>
      <c r="J588" s="9"/>
      <c r="K588" s="9"/>
      <c r="L588" s="115"/>
      <c r="M588" s="115"/>
      <c r="N588" s="115"/>
      <c r="O588" s="115"/>
      <c r="P588" s="9"/>
      <c r="Q588" s="9"/>
      <c r="R588" s="9"/>
      <c r="S588" s="9"/>
      <c r="T588" s="9"/>
      <c r="U588" s="9"/>
      <c r="V588" s="9"/>
      <c r="W588" s="10"/>
      <c r="X588" s="10"/>
      <c r="Y588" s="10"/>
      <c r="Z588" s="10"/>
    </row>
    <row r="589">
      <c r="A589" s="9"/>
      <c r="B589" s="9"/>
      <c r="C589" s="9"/>
      <c r="D589" s="9"/>
      <c r="E589" s="9"/>
      <c r="F589" s="9"/>
      <c r="G589" s="9"/>
      <c r="H589" s="9"/>
      <c r="I589" s="9"/>
      <c r="J589" s="9"/>
      <c r="K589" s="9"/>
      <c r="L589" s="115"/>
      <c r="M589" s="115"/>
      <c r="N589" s="115"/>
      <c r="O589" s="115"/>
      <c r="P589" s="9"/>
      <c r="Q589" s="9"/>
      <c r="R589" s="9"/>
      <c r="S589" s="9"/>
      <c r="T589" s="9"/>
      <c r="U589" s="9"/>
      <c r="V589" s="9"/>
      <c r="W589" s="10"/>
      <c r="X589" s="10"/>
      <c r="Y589" s="10"/>
      <c r="Z589" s="10"/>
    </row>
    <row r="590">
      <c r="A590" s="9"/>
      <c r="B590" s="9"/>
      <c r="C590" s="9"/>
      <c r="D590" s="9"/>
      <c r="E590" s="9"/>
      <c r="F590" s="9"/>
      <c r="G590" s="9"/>
      <c r="H590" s="9"/>
      <c r="I590" s="9"/>
      <c r="J590" s="9"/>
      <c r="K590" s="9"/>
      <c r="L590" s="115"/>
      <c r="M590" s="115"/>
      <c r="N590" s="115"/>
      <c r="O590" s="115"/>
      <c r="P590" s="9"/>
      <c r="Q590" s="9"/>
      <c r="R590" s="9"/>
      <c r="S590" s="9"/>
      <c r="T590" s="9"/>
      <c r="U590" s="9"/>
      <c r="V590" s="9"/>
      <c r="W590" s="10"/>
      <c r="X590" s="10"/>
      <c r="Y590" s="10"/>
      <c r="Z590" s="10"/>
    </row>
    <row r="591">
      <c r="A591" s="9"/>
      <c r="B591" s="9"/>
      <c r="C591" s="9"/>
      <c r="D591" s="9"/>
      <c r="E591" s="9"/>
      <c r="F591" s="9"/>
      <c r="G591" s="9"/>
      <c r="H591" s="9"/>
      <c r="I591" s="9"/>
      <c r="J591" s="9"/>
      <c r="K591" s="9"/>
      <c r="L591" s="115"/>
      <c r="M591" s="115"/>
      <c r="N591" s="115"/>
      <c r="O591" s="115"/>
      <c r="P591" s="9"/>
      <c r="Q591" s="9"/>
      <c r="R591" s="9"/>
      <c r="S591" s="9"/>
      <c r="T591" s="9"/>
      <c r="U591" s="9"/>
      <c r="V591" s="9"/>
      <c r="W591" s="10"/>
      <c r="X591" s="10"/>
      <c r="Y591" s="10"/>
      <c r="Z591" s="10"/>
    </row>
    <row r="592">
      <c r="A592" s="9"/>
      <c r="B592" s="9"/>
      <c r="C592" s="9"/>
      <c r="D592" s="9"/>
      <c r="E592" s="9"/>
      <c r="F592" s="9"/>
      <c r="G592" s="9"/>
      <c r="H592" s="9"/>
      <c r="I592" s="9"/>
      <c r="J592" s="9"/>
      <c r="K592" s="9"/>
      <c r="L592" s="115"/>
      <c r="M592" s="115"/>
      <c r="N592" s="115"/>
      <c r="O592" s="115"/>
      <c r="P592" s="9"/>
      <c r="Q592" s="9"/>
      <c r="R592" s="9"/>
      <c r="S592" s="9"/>
      <c r="T592" s="9"/>
      <c r="U592" s="9"/>
      <c r="V592" s="9"/>
      <c r="W592" s="10"/>
      <c r="X592" s="10"/>
      <c r="Y592" s="10"/>
      <c r="Z592" s="10"/>
    </row>
    <row r="593">
      <c r="A593" s="9"/>
      <c r="B593" s="9"/>
      <c r="C593" s="9"/>
      <c r="D593" s="9"/>
      <c r="E593" s="9"/>
      <c r="F593" s="9"/>
      <c r="G593" s="9"/>
      <c r="H593" s="9"/>
      <c r="I593" s="9"/>
      <c r="J593" s="9"/>
      <c r="K593" s="9"/>
      <c r="L593" s="115"/>
      <c r="M593" s="115"/>
      <c r="N593" s="115"/>
      <c r="O593" s="115"/>
      <c r="P593" s="9"/>
      <c r="Q593" s="9"/>
      <c r="R593" s="9"/>
      <c r="S593" s="9"/>
      <c r="T593" s="9"/>
      <c r="U593" s="9"/>
      <c r="V593" s="9"/>
      <c r="W593" s="10"/>
      <c r="X593" s="10"/>
      <c r="Y593" s="10"/>
      <c r="Z593" s="10"/>
    </row>
    <row r="594">
      <c r="A594" s="9"/>
      <c r="B594" s="9"/>
      <c r="C594" s="9"/>
      <c r="D594" s="9"/>
      <c r="E594" s="9"/>
      <c r="F594" s="9"/>
      <c r="G594" s="9"/>
      <c r="H594" s="9"/>
      <c r="I594" s="9"/>
      <c r="J594" s="9"/>
      <c r="K594" s="9"/>
      <c r="L594" s="115"/>
      <c r="M594" s="115"/>
      <c r="N594" s="115"/>
      <c r="O594" s="115"/>
      <c r="P594" s="9"/>
      <c r="Q594" s="9"/>
      <c r="R594" s="9"/>
      <c r="S594" s="9"/>
      <c r="T594" s="9"/>
      <c r="U594" s="9"/>
      <c r="V594" s="9"/>
      <c r="W594" s="10"/>
      <c r="X594" s="10"/>
      <c r="Y594" s="10"/>
      <c r="Z594" s="10"/>
    </row>
    <row r="595">
      <c r="A595" s="9"/>
      <c r="B595" s="9"/>
      <c r="C595" s="9"/>
      <c r="D595" s="9"/>
      <c r="E595" s="9"/>
      <c r="F595" s="9"/>
      <c r="G595" s="9"/>
      <c r="H595" s="9"/>
      <c r="I595" s="9"/>
      <c r="J595" s="9"/>
      <c r="K595" s="9"/>
      <c r="L595" s="115"/>
      <c r="M595" s="115"/>
      <c r="N595" s="115"/>
      <c r="O595" s="115"/>
      <c r="P595" s="9"/>
      <c r="Q595" s="9"/>
      <c r="R595" s="9"/>
      <c r="S595" s="9"/>
      <c r="T595" s="9"/>
      <c r="U595" s="9"/>
      <c r="V595" s="9"/>
      <c r="W595" s="10"/>
      <c r="X595" s="10"/>
      <c r="Y595" s="10"/>
      <c r="Z595" s="10"/>
    </row>
    <row r="596">
      <c r="A596" s="9"/>
      <c r="B596" s="9"/>
      <c r="C596" s="9"/>
      <c r="D596" s="9"/>
      <c r="E596" s="9"/>
      <c r="F596" s="9"/>
      <c r="G596" s="9"/>
      <c r="H596" s="9"/>
      <c r="I596" s="9"/>
      <c r="J596" s="9"/>
      <c r="K596" s="9"/>
      <c r="L596" s="115"/>
      <c r="M596" s="115"/>
      <c r="N596" s="115"/>
      <c r="O596" s="115"/>
      <c r="P596" s="9"/>
      <c r="Q596" s="9"/>
      <c r="R596" s="9"/>
      <c r="S596" s="9"/>
      <c r="T596" s="9"/>
      <c r="U596" s="9"/>
      <c r="V596" s="9"/>
      <c r="W596" s="10"/>
      <c r="X596" s="10"/>
      <c r="Y596" s="10"/>
      <c r="Z596" s="10"/>
    </row>
    <row r="597">
      <c r="A597" s="9"/>
      <c r="B597" s="9"/>
      <c r="C597" s="9"/>
      <c r="D597" s="9"/>
      <c r="E597" s="9"/>
      <c r="F597" s="9"/>
      <c r="G597" s="9"/>
      <c r="H597" s="9"/>
      <c r="I597" s="9"/>
      <c r="J597" s="9"/>
      <c r="K597" s="9"/>
      <c r="L597" s="115"/>
      <c r="M597" s="115"/>
      <c r="N597" s="115"/>
      <c r="O597" s="115"/>
      <c r="P597" s="9"/>
      <c r="Q597" s="9"/>
      <c r="R597" s="9"/>
      <c r="S597" s="9"/>
      <c r="T597" s="9"/>
      <c r="U597" s="9"/>
      <c r="V597" s="9"/>
      <c r="W597" s="10"/>
      <c r="X597" s="10"/>
      <c r="Y597" s="10"/>
      <c r="Z597" s="10"/>
    </row>
    <row r="598">
      <c r="A598" s="9"/>
      <c r="B598" s="9"/>
      <c r="C598" s="9"/>
      <c r="D598" s="9"/>
      <c r="E598" s="9"/>
      <c r="F598" s="9"/>
      <c r="G598" s="9"/>
      <c r="H598" s="9"/>
      <c r="I598" s="9"/>
      <c r="J598" s="9"/>
      <c r="K598" s="9"/>
      <c r="L598" s="115"/>
      <c r="M598" s="115"/>
      <c r="N598" s="115"/>
      <c r="O598" s="115"/>
      <c r="P598" s="9"/>
      <c r="Q598" s="9"/>
      <c r="R598" s="9"/>
      <c r="S598" s="9"/>
      <c r="T598" s="9"/>
      <c r="U598" s="9"/>
      <c r="V598" s="9"/>
      <c r="W598" s="10"/>
      <c r="X598" s="10"/>
      <c r="Y598" s="10"/>
      <c r="Z598" s="10"/>
    </row>
    <row r="599">
      <c r="A599" s="9"/>
      <c r="B599" s="9"/>
      <c r="C599" s="9"/>
      <c r="D599" s="9"/>
      <c r="E599" s="9"/>
      <c r="F599" s="9"/>
      <c r="G599" s="9"/>
      <c r="H599" s="9"/>
      <c r="I599" s="9"/>
      <c r="J599" s="9"/>
      <c r="K599" s="9"/>
      <c r="L599" s="115"/>
      <c r="M599" s="115"/>
      <c r="N599" s="115"/>
      <c r="O599" s="115"/>
      <c r="P599" s="9"/>
      <c r="Q599" s="9"/>
      <c r="R599" s="9"/>
      <c r="S599" s="9"/>
      <c r="T599" s="9"/>
      <c r="U599" s="9"/>
      <c r="V599" s="9"/>
      <c r="W599" s="10"/>
      <c r="X599" s="10"/>
      <c r="Y599" s="10"/>
      <c r="Z599" s="10"/>
    </row>
    <row r="600">
      <c r="A600" s="9"/>
      <c r="B600" s="9"/>
      <c r="C600" s="9"/>
      <c r="D600" s="9"/>
      <c r="E600" s="9"/>
      <c r="F600" s="9"/>
      <c r="G600" s="9"/>
      <c r="H600" s="9"/>
      <c r="I600" s="9"/>
      <c r="J600" s="9"/>
      <c r="K600" s="9"/>
      <c r="L600" s="115"/>
      <c r="M600" s="115"/>
      <c r="N600" s="115"/>
      <c r="O600" s="115"/>
      <c r="P600" s="9"/>
      <c r="Q600" s="9"/>
      <c r="R600" s="9"/>
      <c r="S600" s="9"/>
      <c r="T600" s="9"/>
      <c r="U600" s="9"/>
      <c r="V600" s="9"/>
      <c r="W600" s="10"/>
      <c r="X600" s="10"/>
      <c r="Y600" s="10"/>
      <c r="Z600" s="10"/>
    </row>
    <row r="601">
      <c r="A601" s="9"/>
      <c r="B601" s="9"/>
      <c r="C601" s="9"/>
      <c r="D601" s="9"/>
      <c r="E601" s="9"/>
      <c r="F601" s="9"/>
      <c r="G601" s="9"/>
      <c r="H601" s="9"/>
      <c r="I601" s="9"/>
      <c r="J601" s="9"/>
      <c r="K601" s="9"/>
      <c r="L601" s="115"/>
      <c r="M601" s="115"/>
      <c r="N601" s="115"/>
      <c r="O601" s="115"/>
      <c r="P601" s="9"/>
      <c r="Q601" s="9"/>
      <c r="R601" s="9"/>
      <c r="S601" s="9"/>
      <c r="T601" s="9"/>
      <c r="U601" s="9"/>
      <c r="V601" s="9"/>
      <c r="W601" s="10"/>
      <c r="X601" s="10"/>
      <c r="Y601" s="10"/>
      <c r="Z601" s="10"/>
    </row>
    <row r="602">
      <c r="A602" s="9"/>
      <c r="B602" s="9"/>
      <c r="C602" s="9"/>
      <c r="D602" s="9"/>
      <c r="E602" s="9"/>
      <c r="F602" s="9"/>
      <c r="G602" s="9"/>
      <c r="H602" s="9"/>
      <c r="I602" s="9"/>
      <c r="J602" s="9"/>
      <c r="K602" s="9"/>
      <c r="L602" s="115"/>
      <c r="M602" s="115"/>
      <c r="N602" s="115"/>
      <c r="O602" s="115"/>
      <c r="P602" s="9"/>
      <c r="Q602" s="9"/>
      <c r="R602" s="9"/>
      <c r="S602" s="9"/>
      <c r="T602" s="9"/>
      <c r="U602" s="9"/>
      <c r="V602" s="9"/>
      <c r="W602" s="10"/>
      <c r="X602" s="10"/>
      <c r="Y602" s="10"/>
      <c r="Z602" s="10"/>
    </row>
    <row r="603">
      <c r="A603" s="9"/>
      <c r="B603" s="9"/>
      <c r="C603" s="9"/>
      <c r="D603" s="9"/>
      <c r="E603" s="9"/>
      <c r="F603" s="9"/>
      <c r="G603" s="9"/>
      <c r="H603" s="9"/>
      <c r="I603" s="9"/>
      <c r="J603" s="9"/>
      <c r="K603" s="9"/>
      <c r="L603" s="115"/>
      <c r="M603" s="115"/>
      <c r="N603" s="115"/>
      <c r="O603" s="115"/>
      <c r="P603" s="9"/>
      <c r="Q603" s="9"/>
      <c r="R603" s="9"/>
      <c r="S603" s="9"/>
      <c r="T603" s="9"/>
      <c r="U603" s="9"/>
      <c r="V603" s="9"/>
      <c r="W603" s="10"/>
      <c r="X603" s="10"/>
      <c r="Y603" s="10"/>
      <c r="Z603" s="10"/>
    </row>
    <row r="604">
      <c r="A604" s="9"/>
      <c r="B604" s="9"/>
      <c r="C604" s="9"/>
      <c r="D604" s="9"/>
      <c r="E604" s="9"/>
      <c r="F604" s="9"/>
      <c r="G604" s="9"/>
      <c r="H604" s="9"/>
      <c r="I604" s="9"/>
      <c r="J604" s="9"/>
      <c r="K604" s="9"/>
      <c r="L604" s="115"/>
      <c r="M604" s="115"/>
      <c r="N604" s="115"/>
      <c r="O604" s="115"/>
      <c r="P604" s="9"/>
      <c r="Q604" s="9"/>
      <c r="R604" s="9"/>
      <c r="S604" s="9"/>
      <c r="T604" s="9"/>
      <c r="U604" s="9"/>
      <c r="V604" s="9"/>
      <c r="W604" s="10"/>
      <c r="X604" s="10"/>
      <c r="Y604" s="10"/>
      <c r="Z604" s="10"/>
    </row>
    <row r="605">
      <c r="A605" s="9"/>
      <c r="B605" s="9"/>
      <c r="C605" s="9"/>
      <c r="D605" s="9"/>
      <c r="E605" s="9"/>
      <c r="F605" s="9"/>
      <c r="G605" s="9"/>
      <c r="H605" s="9"/>
      <c r="I605" s="9"/>
      <c r="J605" s="9"/>
      <c r="K605" s="9"/>
      <c r="L605" s="115"/>
      <c r="M605" s="115"/>
      <c r="N605" s="115"/>
      <c r="O605" s="115"/>
      <c r="P605" s="9"/>
      <c r="Q605" s="9"/>
      <c r="R605" s="9"/>
      <c r="S605" s="9"/>
      <c r="T605" s="9"/>
      <c r="U605" s="9"/>
      <c r="V605" s="9"/>
      <c r="W605" s="10"/>
      <c r="X605" s="10"/>
      <c r="Y605" s="10"/>
      <c r="Z605" s="10"/>
    </row>
    <row r="606">
      <c r="A606" s="9"/>
      <c r="B606" s="9"/>
      <c r="C606" s="9"/>
      <c r="D606" s="9"/>
      <c r="E606" s="9"/>
      <c r="F606" s="9"/>
      <c r="G606" s="9"/>
      <c r="H606" s="9"/>
      <c r="I606" s="9"/>
      <c r="J606" s="9"/>
      <c r="K606" s="9"/>
      <c r="L606" s="115"/>
      <c r="M606" s="115"/>
      <c r="N606" s="115"/>
      <c r="O606" s="115"/>
      <c r="P606" s="9"/>
      <c r="Q606" s="9"/>
      <c r="R606" s="9"/>
      <c r="S606" s="9"/>
      <c r="T606" s="9"/>
      <c r="U606" s="9"/>
      <c r="V606" s="9"/>
      <c r="W606" s="10"/>
      <c r="X606" s="10"/>
      <c r="Y606" s="10"/>
      <c r="Z606" s="10"/>
    </row>
    <row r="607">
      <c r="A607" s="9"/>
      <c r="B607" s="9"/>
      <c r="C607" s="9"/>
      <c r="D607" s="9"/>
      <c r="E607" s="9"/>
      <c r="F607" s="9"/>
      <c r="G607" s="9"/>
      <c r="H607" s="9"/>
      <c r="I607" s="9"/>
      <c r="J607" s="9"/>
      <c r="K607" s="9"/>
      <c r="L607" s="115"/>
      <c r="M607" s="115"/>
      <c r="N607" s="115"/>
      <c r="O607" s="115"/>
      <c r="P607" s="9"/>
      <c r="Q607" s="9"/>
      <c r="R607" s="9"/>
      <c r="S607" s="9"/>
      <c r="T607" s="9"/>
      <c r="U607" s="9"/>
      <c r="V607" s="9"/>
      <c r="W607" s="10"/>
      <c r="X607" s="10"/>
      <c r="Y607" s="10"/>
      <c r="Z607" s="10"/>
    </row>
    <row r="608">
      <c r="A608" s="9"/>
      <c r="B608" s="9"/>
      <c r="C608" s="9"/>
      <c r="D608" s="9"/>
      <c r="E608" s="9"/>
      <c r="F608" s="9"/>
      <c r="G608" s="9"/>
      <c r="H608" s="9"/>
      <c r="I608" s="9"/>
      <c r="J608" s="9"/>
      <c r="K608" s="9"/>
      <c r="L608" s="115"/>
      <c r="M608" s="115"/>
      <c r="N608" s="115"/>
      <c r="O608" s="115"/>
      <c r="P608" s="9"/>
      <c r="Q608" s="9"/>
      <c r="R608" s="9"/>
      <c r="S608" s="9"/>
      <c r="T608" s="9"/>
      <c r="U608" s="9"/>
      <c r="V608" s="9"/>
      <c r="W608" s="10"/>
      <c r="X608" s="10"/>
      <c r="Y608" s="10"/>
      <c r="Z608" s="10"/>
    </row>
    <row r="609">
      <c r="A609" s="9"/>
      <c r="B609" s="9"/>
      <c r="C609" s="9"/>
      <c r="D609" s="9"/>
      <c r="E609" s="9"/>
      <c r="F609" s="9"/>
      <c r="G609" s="9"/>
      <c r="H609" s="9"/>
      <c r="I609" s="9"/>
      <c r="J609" s="9"/>
      <c r="K609" s="9"/>
      <c r="L609" s="115"/>
      <c r="M609" s="115"/>
      <c r="N609" s="115"/>
      <c r="O609" s="115"/>
      <c r="P609" s="9"/>
      <c r="Q609" s="9"/>
      <c r="R609" s="9"/>
      <c r="S609" s="9"/>
      <c r="T609" s="9"/>
      <c r="U609" s="9"/>
      <c r="V609" s="9"/>
      <c r="W609" s="10"/>
      <c r="X609" s="10"/>
      <c r="Y609" s="10"/>
      <c r="Z609" s="10"/>
    </row>
    <row r="610">
      <c r="A610" s="9"/>
      <c r="B610" s="9"/>
      <c r="C610" s="9"/>
      <c r="D610" s="9"/>
      <c r="E610" s="9"/>
      <c r="F610" s="9"/>
      <c r="G610" s="9"/>
      <c r="H610" s="9"/>
      <c r="I610" s="9"/>
      <c r="J610" s="9"/>
      <c r="K610" s="9"/>
      <c r="L610" s="115"/>
      <c r="M610" s="115"/>
      <c r="N610" s="115"/>
      <c r="O610" s="115"/>
      <c r="P610" s="9"/>
      <c r="Q610" s="9"/>
      <c r="R610" s="9"/>
      <c r="S610" s="9"/>
      <c r="T610" s="9"/>
      <c r="U610" s="9"/>
      <c r="V610" s="9"/>
      <c r="W610" s="10"/>
      <c r="X610" s="10"/>
      <c r="Y610" s="10"/>
      <c r="Z610" s="10"/>
    </row>
    <row r="611">
      <c r="A611" s="9"/>
      <c r="B611" s="9"/>
      <c r="C611" s="9"/>
      <c r="D611" s="9"/>
      <c r="E611" s="9"/>
      <c r="F611" s="9"/>
      <c r="G611" s="9"/>
      <c r="H611" s="9"/>
      <c r="I611" s="9"/>
      <c r="J611" s="9"/>
      <c r="K611" s="9"/>
      <c r="L611" s="115"/>
      <c r="M611" s="115"/>
      <c r="N611" s="115"/>
      <c r="O611" s="115"/>
      <c r="P611" s="9"/>
      <c r="Q611" s="9"/>
      <c r="R611" s="9"/>
      <c r="S611" s="9"/>
      <c r="T611" s="9"/>
      <c r="U611" s="9"/>
      <c r="V611" s="9"/>
      <c r="W611" s="10"/>
      <c r="X611" s="10"/>
      <c r="Y611" s="10"/>
      <c r="Z611" s="10"/>
    </row>
    <row r="612">
      <c r="A612" s="9"/>
      <c r="B612" s="9"/>
      <c r="C612" s="9"/>
      <c r="D612" s="9"/>
      <c r="E612" s="9"/>
      <c r="F612" s="9"/>
      <c r="G612" s="9"/>
      <c r="H612" s="9"/>
      <c r="I612" s="9"/>
      <c r="J612" s="9"/>
      <c r="K612" s="9"/>
      <c r="L612" s="115"/>
      <c r="M612" s="115"/>
      <c r="N612" s="115"/>
      <c r="O612" s="115"/>
      <c r="P612" s="9"/>
      <c r="Q612" s="9"/>
      <c r="R612" s="9"/>
      <c r="S612" s="9"/>
      <c r="T612" s="9"/>
      <c r="U612" s="9"/>
      <c r="V612" s="9"/>
      <c r="W612" s="10"/>
      <c r="X612" s="10"/>
      <c r="Y612" s="10"/>
      <c r="Z612" s="10"/>
    </row>
    <row r="613">
      <c r="A613" s="9"/>
      <c r="B613" s="9"/>
      <c r="C613" s="9"/>
      <c r="D613" s="9"/>
      <c r="E613" s="9"/>
      <c r="F613" s="9"/>
      <c r="G613" s="9"/>
      <c r="H613" s="9"/>
      <c r="I613" s="9"/>
      <c r="J613" s="9"/>
      <c r="K613" s="9"/>
      <c r="L613" s="115"/>
      <c r="M613" s="115"/>
      <c r="N613" s="115"/>
      <c r="O613" s="115"/>
      <c r="P613" s="9"/>
      <c r="Q613" s="9"/>
      <c r="R613" s="9"/>
      <c r="S613" s="9"/>
      <c r="T613" s="9"/>
      <c r="U613" s="9"/>
      <c r="V613" s="9"/>
      <c r="W613" s="10"/>
      <c r="X613" s="10"/>
      <c r="Y613" s="10"/>
      <c r="Z613" s="10"/>
    </row>
    <row r="614">
      <c r="A614" s="9"/>
      <c r="B614" s="9"/>
      <c r="C614" s="9"/>
      <c r="D614" s="9"/>
      <c r="E614" s="9"/>
      <c r="F614" s="9"/>
      <c r="G614" s="9"/>
      <c r="H614" s="9"/>
      <c r="I614" s="9"/>
      <c r="J614" s="9"/>
      <c r="K614" s="9"/>
      <c r="L614" s="115"/>
      <c r="M614" s="115"/>
      <c r="N614" s="115"/>
      <c r="O614" s="115"/>
      <c r="P614" s="9"/>
      <c r="Q614" s="9"/>
      <c r="R614" s="9"/>
      <c r="S614" s="9"/>
      <c r="T614" s="9"/>
      <c r="U614" s="9"/>
      <c r="V614" s="9"/>
      <c r="W614" s="10"/>
      <c r="X614" s="10"/>
      <c r="Y614" s="10"/>
      <c r="Z614" s="10"/>
    </row>
    <row r="615">
      <c r="A615" s="9"/>
      <c r="B615" s="9"/>
      <c r="C615" s="9"/>
      <c r="D615" s="9"/>
      <c r="E615" s="9"/>
      <c r="F615" s="9"/>
      <c r="G615" s="9"/>
      <c r="H615" s="9"/>
      <c r="I615" s="9"/>
      <c r="J615" s="9"/>
      <c r="K615" s="9"/>
      <c r="L615" s="115"/>
      <c r="M615" s="115"/>
      <c r="N615" s="115"/>
      <c r="O615" s="115"/>
      <c r="P615" s="9"/>
      <c r="Q615" s="9"/>
      <c r="R615" s="9"/>
      <c r="S615" s="9"/>
      <c r="T615" s="9"/>
      <c r="U615" s="9"/>
      <c r="V615" s="9"/>
      <c r="W615" s="10"/>
      <c r="X615" s="10"/>
      <c r="Y615" s="10"/>
      <c r="Z615" s="10"/>
    </row>
    <row r="616">
      <c r="A616" s="9"/>
      <c r="B616" s="9"/>
      <c r="C616" s="9"/>
      <c r="D616" s="9"/>
      <c r="E616" s="9"/>
      <c r="F616" s="9"/>
      <c r="G616" s="9"/>
      <c r="H616" s="9"/>
      <c r="I616" s="9"/>
      <c r="J616" s="9"/>
      <c r="K616" s="9"/>
      <c r="L616" s="115"/>
      <c r="M616" s="115"/>
      <c r="N616" s="115"/>
      <c r="O616" s="115"/>
      <c r="P616" s="9"/>
      <c r="Q616" s="9"/>
      <c r="R616" s="9"/>
      <c r="S616" s="9"/>
      <c r="T616" s="9"/>
      <c r="U616" s="9"/>
      <c r="V616" s="9"/>
      <c r="W616" s="10"/>
      <c r="X616" s="10"/>
      <c r="Y616" s="10"/>
      <c r="Z616" s="10"/>
    </row>
    <row r="617">
      <c r="A617" s="9"/>
      <c r="B617" s="9"/>
      <c r="C617" s="9"/>
      <c r="D617" s="9"/>
      <c r="E617" s="9"/>
      <c r="F617" s="9"/>
      <c r="G617" s="9"/>
      <c r="H617" s="9"/>
      <c r="I617" s="9"/>
      <c r="J617" s="9"/>
      <c r="K617" s="9"/>
      <c r="L617" s="115"/>
      <c r="M617" s="115"/>
      <c r="N617" s="115"/>
      <c r="O617" s="115"/>
      <c r="P617" s="9"/>
      <c r="Q617" s="9"/>
      <c r="R617" s="9"/>
      <c r="S617" s="9"/>
      <c r="T617" s="9"/>
      <c r="U617" s="9"/>
      <c r="V617" s="9"/>
      <c r="W617" s="10"/>
      <c r="X617" s="10"/>
      <c r="Y617" s="10"/>
      <c r="Z617" s="10"/>
    </row>
    <row r="618">
      <c r="A618" s="9"/>
      <c r="B618" s="9"/>
      <c r="C618" s="9"/>
      <c r="D618" s="9"/>
      <c r="E618" s="9"/>
      <c r="F618" s="9"/>
      <c r="G618" s="9"/>
      <c r="H618" s="9"/>
      <c r="I618" s="9"/>
      <c r="J618" s="9"/>
      <c r="K618" s="9"/>
      <c r="L618" s="115"/>
      <c r="M618" s="115"/>
      <c r="N618" s="115"/>
      <c r="O618" s="115"/>
      <c r="P618" s="9"/>
      <c r="Q618" s="9"/>
      <c r="R618" s="9"/>
      <c r="S618" s="9"/>
      <c r="T618" s="9"/>
      <c r="U618" s="9"/>
      <c r="V618" s="9"/>
      <c r="W618" s="10"/>
      <c r="X618" s="10"/>
      <c r="Y618" s="10"/>
      <c r="Z618" s="10"/>
    </row>
    <row r="619">
      <c r="A619" s="9"/>
      <c r="B619" s="9"/>
      <c r="C619" s="9"/>
      <c r="D619" s="9"/>
      <c r="E619" s="9"/>
      <c r="F619" s="9"/>
      <c r="G619" s="9"/>
      <c r="H619" s="9"/>
      <c r="I619" s="9"/>
      <c r="J619" s="9"/>
      <c r="K619" s="9"/>
      <c r="L619" s="115"/>
      <c r="M619" s="115"/>
      <c r="N619" s="115"/>
      <c r="O619" s="115"/>
      <c r="P619" s="9"/>
      <c r="Q619" s="9"/>
      <c r="R619" s="9"/>
      <c r="S619" s="9"/>
      <c r="T619" s="9"/>
      <c r="U619" s="9"/>
      <c r="V619" s="9"/>
      <c r="W619" s="10"/>
      <c r="X619" s="10"/>
      <c r="Y619" s="10"/>
      <c r="Z619" s="10"/>
    </row>
    <row r="620">
      <c r="A620" s="9"/>
      <c r="B620" s="9"/>
      <c r="C620" s="9"/>
      <c r="D620" s="9"/>
      <c r="E620" s="9"/>
      <c r="F620" s="9"/>
      <c r="G620" s="9"/>
      <c r="H620" s="9"/>
      <c r="I620" s="9"/>
      <c r="J620" s="9"/>
      <c r="K620" s="9"/>
      <c r="L620" s="115"/>
      <c r="M620" s="115"/>
      <c r="N620" s="115"/>
      <c r="O620" s="115"/>
      <c r="P620" s="9"/>
      <c r="Q620" s="9"/>
      <c r="R620" s="9"/>
      <c r="S620" s="9"/>
      <c r="T620" s="9"/>
      <c r="U620" s="9"/>
      <c r="V620" s="9"/>
      <c r="W620" s="10"/>
      <c r="X620" s="10"/>
      <c r="Y620" s="10"/>
      <c r="Z620" s="10"/>
    </row>
    <row r="621">
      <c r="A621" s="9"/>
      <c r="B621" s="9"/>
      <c r="C621" s="9"/>
      <c r="D621" s="9"/>
      <c r="E621" s="9"/>
      <c r="F621" s="9"/>
      <c r="G621" s="9"/>
      <c r="H621" s="9"/>
      <c r="I621" s="9"/>
      <c r="J621" s="9"/>
      <c r="K621" s="9"/>
      <c r="L621" s="115"/>
      <c r="M621" s="115"/>
      <c r="N621" s="115"/>
      <c r="O621" s="115"/>
      <c r="P621" s="9"/>
      <c r="Q621" s="9"/>
      <c r="R621" s="9"/>
      <c r="S621" s="9"/>
      <c r="T621" s="9"/>
      <c r="U621" s="9"/>
      <c r="V621" s="9"/>
      <c r="W621" s="10"/>
      <c r="X621" s="10"/>
      <c r="Y621" s="10"/>
      <c r="Z621" s="10"/>
    </row>
    <row r="622">
      <c r="A622" s="9"/>
      <c r="B622" s="9"/>
      <c r="C622" s="9"/>
      <c r="D622" s="9"/>
      <c r="E622" s="9"/>
      <c r="F622" s="9"/>
      <c r="G622" s="9"/>
      <c r="H622" s="9"/>
      <c r="I622" s="9"/>
      <c r="J622" s="9"/>
      <c r="K622" s="9"/>
      <c r="L622" s="115"/>
      <c r="M622" s="115"/>
      <c r="N622" s="115"/>
      <c r="O622" s="115"/>
      <c r="P622" s="9"/>
      <c r="Q622" s="9"/>
      <c r="R622" s="9"/>
      <c r="S622" s="9"/>
      <c r="T622" s="9"/>
      <c r="U622" s="9"/>
      <c r="V622" s="9"/>
      <c r="W622" s="10"/>
      <c r="X622" s="10"/>
      <c r="Y622" s="10"/>
      <c r="Z622" s="10"/>
    </row>
    <row r="623">
      <c r="A623" s="9"/>
      <c r="B623" s="9"/>
      <c r="C623" s="9"/>
      <c r="D623" s="9"/>
      <c r="E623" s="9"/>
      <c r="F623" s="9"/>
      <c r="G623" s="9"/>
      <c r="H623" s="9"/>
      <c r="I623" s="9"/>
      <c r="J623" s="9"/>
      <c r="K623" s="9"/>
      <c r="L623" s="115"/>
      <c r="M623" s="115"/>
      <c r="N623" s="115"/>
      <c r="O623" s="115"/>
      <c r="P623" s="9"/>
      <c r="Q623" s="9"/>
      <c r="R623" s="9"/>
      <c r="S623" s="9"/>
      <c r="T623" s="9"/>
      <c r="U623" s="9"/>
      <c r="V623" s="9"/>
      <c r="W623" s="10"/>
      <c r="X623" s="10"/>
      <c r="Y623" s="10"/>
      <c r="Z623" s="10"/>
    </row>
    <row r="624">
      <c r="A624" s="9"/>
      <c r="B624" s="9"/>
      <c r="C624" s="9"/>
      <c r="D624" s="9"/>
      <c r="E624" s="9"/>
      <c r="F624" s="9"/>
      <c r="G624" s="9"/>
      <c r="H624" s="9"/>
      <c r="I624" s="9"/>
      <c r="J624" s="9"/>
      <c r="K624" s="9"/>
      <c r="L624" s="115"/>
      <c r="M624" s="115"/>
      <c r="N624" s="115"/>
      <c r="O624" s="115"/>
      <c r="P624" s="9"/>
      <c r="Q624" s="9"/>
      <c r="R624" s="9"/>
      <c r="S624" s="9"/>
      <c r="T624" s="9"/>
      <c r="U624" s="9"/>
      <c r="V624" s="9"/>
      <c r="W624" s="10"/>
      <c r="X624" s="10"/>
      <c r="Y624" s="10"/>
      <c r="Z624" s="10"/>
    </row>
    <row r="625">
      <c r="A625" s="9"/>
      <c r="B625" s="9"/>
      <c r="C625" s="9"/>
      <c r="D625" s="9"/>
      <c r="E625" s="9"/>
      <c r="F625" s="9"/>
      <c r="G625" s="9"/>
      <c r="H625" s="9"/>
      <c r="I625" s="9"/>
      <c r="J625" s="9"/>
      <c r="K625" s="9"/>
      <c r="L625" s="115"/>
      <c r="M625" s="115"/>
      <c r="N625" s="115"/>
      <c r="O625" s="115"/>
      <c r="P625" s="9"/>
      <c r="Q625" s="9"/>
      <c r="R625" s="9"/>
      <c r="S625" s="9"/>
      <c r="T625" s="9"/>
      <c r="U625" s="9"/>
      <c r="V625" s="9"/>
      <c r="W625" s="10"/>
      <c r="X625" s="10"/>
      <c r="Y625" s="10"/>
      <c r="Z625" s="10"/>
    </row>
    <row r="626">
      <c r="A626" s="9"/>
      <c r="B626" s="9"/>
      <c r="C626" s="9"/>
      <c r="D626" s="9"/>
      <c r="E626" s="9"/>
      <c r="F626" s="9"/>
      <c r="G626" s="9"/>
      <c r="H626" s="9"/>
      <c r="I626" s="9"/>
      <c r="J626" s="9"/>
      <c r="K626" s="9"/>
      <c r="L626" s="115"/>
      <c r="M626" s="115"/>
      <c r="N626" s="115"/>
      <c r="O626" s="115"/>
      <c r="P626" s="9"/>
      <c r="Q626" s="9"/>
      <c r="R626" s="9"/>
      <c r="S626" s="9"/>
      <c r="T626" s="9"/>
      <c r="U626" s="9"/>
      <c r="V626" s="9"/>
      <c r="W626" s="10"/>
      <c r="X626" s="10"/>
      <c r="Y626" s="10"/>
      <c r="Z626" s="10"/>
    </row>
    <row r="627">
      <c r="A627" s="9"/>
      <c r="B627" s="9"/>
      <c r="C627" s="9"/>
      <c r="D627" s="9"/>
      <c r="E627" s="9"/>
      <c r="F627" s="9"/>
      <c r="G627" s="9"/>
      <c r="H627" s="9"/>
      <c r="I627" s="9"/>
      <c r="J627" s="9"/>
      <c r="K627" s="9"/>
      <c r="L627" s="115"/>
      <c r="M627" s="115"/>
      <c r="N627" s="115"/>
      <c r="O627" s="115"/>
      <c r="P627" s="9"/>
      <c r="Q627" s="9"/>
      <c r="R627" s="9"/>
      <c r="S627" s="9"/>
      <c r="T627" s="9"/>
      <c r="U627" s="9"/>
      <c r="V627" s="9"/>
      <c r="W627" s="10"/>
      <c r="X627" s="10"/>
      <c r="Y627" s="10"/>
      <c r="Z627" s="10"/>
    </row>
    <row r="628">
      <c r="A628" s="9"/>
      <c r="B628" s="9"/>
      <c r="C628" s="9"/>
      <c r="D628" s="9"/>
      <c r="E628" s="9"/>
      <c r="F628" s="9"/>
      <c r="G628" s="9"/>
      <c r="H628" s="9"/>
      <c r="I628" s="9"/>
      <c r="J628" s="9"/>
      <c r="K628" s="9"/>
      <c r="L628" s="115"/>
      <c r="M628" s="115"/>
      <c r="N628" s="115"/>
      <c r="O628" s="115"/>
      <c r="P628" s="9"/>
      <c r="Q628" s="9"/>
      <c r="R628" s="9"/>
      <c r="S628" s="9"/>
      <c r="T628" s="9"/>
      <c r="U628" s="9"/>
      <c r="V628" s="9"/>
      <c r="W628" s="10"/>
      <c r="X628" s="10"/>
      <c r="Y628" s="10"/>
      <c r="Z628" s="10"/>
    </row>
    <row r="629">
      <c r="A629" s="9"/>
      <c r="B629" s="9"/>
      <c r="C629" s="9"/>
      <c r="D629" s="9"/>
      <c r="E629" s="9"/>
      <c r="F629" s="9"/>
      <c r="G629" s="9"/>
      <c r="H629" s="9"/>
      <c r="I629" s="9"/>
      <c r="J629" s="9"/>
      <c r="K629" s="9"/>
      <c r="L629" s="115"/>
      <c r="M629" s="115"/>
      <c r="N629" s="115"/>
      <c r="O629" s="115"/>
      <c r="P629" s="9"/>
      <c r="Q629" s="9"/>
      <c r="R629" s="9"/>
      <c r="S629" s="9"/>
      <c r="T629" s="9"/>
      <c r="U629" s="9"/>
      <c r="V629" s="9"/>
      <c r="W629" s="10"/>
      <c r="X629" s="10"/>
      <c r="Y629" s="10"/>
      <c r="Z629" s="10"/>
    </row>
    <row r="630">
      <c r="A630" s="9"/>
      <c r="B630" s="9"/>
      <c r="C630" s="9"/>
      <c r="D630" s="9"/>
      <c r="E630" s="9"/>
      <c r="F630" s="9"/>
      <c r="G630" s="9"/>
      <c r="H630" s="9"/>
      <c r="I630" s="9"/>
      <c r="J630" s="9"/>
      <c r="K630" s="9"/>
      <c r="L630" s="115"/>
      <c r="M630" s="115"/>
      <c r="N630" s="115"/>
      <c r="O630" s="115"/>
      <c r="P630" s="9"/>
      <c r="Q630" s="9"/>
      <c r="R630" s="9"/>
      <c r="S630" s="9"/>
      <c r="T630" s="9"/>
      <c r="U630" s="9"/>
      <c r="V630" s="9"/>
      <c r="W630" s="10"/>
      <c r="X630" s="10"/>
      <c r="Y630" s="10"/>
      <c r="Z630" s="10"/>
    </row>
    <row r="631">
      <c r="A631" s="9"/>
      <c r="B631" s="9"/>
      <c r="C631" s="9"/>
      <c r="D631" s="9"/>
      <c r="E631" s="9"/>
      <c r="F631" s="9"/>
      <c r="G631" s="9"/>
      <c r="H631" s="9"/>
      <c r="I631" s="9"/>
      <c r="J631" s="9"/>
      <c r="K631" s="9"/>
      <c r="L631" s="115"/>
      <c r="M631" s="115"/>
      <c r="N631" s="115"/>
      <c r="O631" s="115"/>
      <c r="P631" s="9"/>
      <c r="Q631" s="9"/>
      <c r="R631" s="9"/>
      <c r="S631" s="9"/>
      <c r="T631" s="9"/>
      <c r="U631" s="9"/>
      <c r="V631" s="9"/>
      <c r="W631" s="10"/>
      <c r="X631" s="10"/>
      <c r="Y631" s="10"/>
      <c r="Z631" s="10"/>
    </row>
    <row r="632">
      <c r="A632" s="9"/>
      <c r="B632" s="9"/>
      <c r="C632" s="9"/>
      <c r="D632" s="9"/>
      <c r="E632" s="9"/>
      <c r="F632" s="9"/>
      <c r="G632" s="9"/>
      <c r="H632" s="9"/>
      <c r="I632" s="9"/>
      <c r="J632" s="9"/>
      <c r="K632" s="9"/>
      <c r="L632" s="115"/>
      <c r="M632" s="115"/>
      <c r="N632" s="115"/>
      <c r="O632" s="115"/>
      <c r="P632" s="9"/>
      <c r="Q632" s="9"/>
      <c r="R632" s="9"/>
      <c r="S632" s="9"/>
      <c r="T632" s="9"/>
      <c r="U632" s="9"/>
      <c r="V632" s="9"/>
      <c r="W632" s="10"/>
      <c r="X632" s="10"/>
      <c r="Y632" s="10"/>
      <c r="Z632" s="10"/>
    </row>
    <row r="633">
      <c r="A633" s="9"/>
      <c r="B633" s="9"/>
      <c r="C633" s="9"/>
      <c r="D633" s="9"/>
      <c r="E633" s="9"/>
      <c r="F633" s="9"/>
      <c r="G633" s="9"/>
      <c r="H633" s="9"/>
      <c r="I633" s="9"/>
      <c r="J633" s="9"/>
      <c r="K633" s="9"/>
      <c r="L633" s="115"/>
      <c r="M633" s="115"/>
      <c r="N633" s="115"/>
      <c r="O633" s="115"/>
      <c r="P633" s="9"/>
      <c r="Q633" s="9"/>
      <c r="R633" s="9"/>
      <c r="S633" s="9"/>
      <c r="T633" s="9"/>
      <c r="U633" s="9"/>
      <c r="V633" s="9"/>
      <c r="W633" s="10"/>
      <c r="X633" s="10"/>
      <c r="Y633" s="10"/>
      <c r="Z633" s="10"/>
    </row>
    <row r="634">
      <c r="A634" s="9"/>
      <c r="B634" s="9"/>
      <c r="C634" s="9"/>
      <c r="D634" s="9"/>
      <c r="E634" s="9"/>
      <c r="F634" s="9"/>
      <c r="G634" s="9"/>
      <c r="H634" s="9"/>
      <c r="I634" s="9"/>
      <c r="J634" s="9"/>
      <c r="K634" s="9"/>
      <c r="L634" s="115"/>
      <c r="M634" s="115"/>
      <c r="N634" s="115"/>
      <c r="O634" s="115"/>
      <c r="P634" s="9"/>
      <c r="Q634" s="9"/>
      <c r="R634" s="9"/>
      <c r="S634" s="9"/>
      <c r="T634" s="9"/>
      <c r="U634" s="9"/>
      <c r="V634" s="9"/>
      <c r="W634" s="10"/>
      <c r="X634" s="10"/>
      <c r="Y634" s="10"/>
      <c r="Z634" s="10"/>
    </row>
    <row r="635">
      <c r="A635" s="9"/>
      <c r="B635" s="9"/>
      <c r="C635" s="9"/>
      <c r="D635" s="9"/>
      <c r="E635" s="9"/>
      <c r="F635" s="9"/>
      <c r="G635" s="9"/>
      <c r="H635" s="9"/>
      <c r="I635" s="9"/>
      <c r="J635" s="9"/>
      <c r="K635" s="9"/>
      <c r="L635" s="115"/>
      <c r="M635" s="115"/>
      <c r="N635" s="115"/>
      <c r="O635" s="115"/>
      <c r="P635" s="9"/>
      <c r="Q635" s="9"/>
      <c r="R635" s="9"/>
      <c r="S635" s="9"/>
      <c r="T635" s="9"/>
      <c r="U635" s="9"/>
      <c r="V635" s="9"/>
      <c r="W635" s="10"/>
      <c r="X635" s="10"/>
      <c r="Y635" s="10"/>
      <c r="Z635" s="10"/>
    </row>
    <row r="636">
      <c r="A636" s="9"/>
      <c r="B636" s="9"/>
      <c r="C636" s="9"/>
      <c r="D636" s="9"/>
      <c r="E636" s="9"/>
      <c r="F636" s="9"/>
      <c r="G636" s="9"/>
      <c r="H636" s="9"/>
      <c r="I636" s="9"/>
      <c r="J636" s="9"/>
      <c r="K636" s="9"/>
      <c r="L636" s="115"/>
      <c r="M636" s="115"/>
      <c r="N636" s="115"/>
      <c r="O636" s="115"/>
      <c r="P636" s="9"/>
      <c r="Q636" s="9"/>
      <c r="R636" s="9"/>
      <c r="S636" s="9"/>
      <c r="T636" s="9"/>
      <c r="U636" s="9"/>
      <c r="V636" s="9"/>
      <c r="W636" s="10"/>
      <c r="X636" s="10"/>
      <c r="Y636" s="10"/>
      <c r="Z636" s="10"/>
    </row>
    <row r="637">
      <c r="A637" s="9"/>
      <c r="B637" s="9"/>
      <c r="C637" s="9"/>
      <c r="D637" s="9"/>
      <c r="E637" s="9"/>
      <c r="F637" s="9"/>
      <c r="G637" s="9"/>
      <c r="H637" s="9"/>
      <c r="I637" s="9"/>
      <c r="J637" s="9"/>
      <c r="K637" s="9"/>
      <c r="L637" s="115"/>
      <c r="M637" s="115"/>
      <c r="N637" s="115"/>
      <c r="O637" s="115"/>
      <c r="P637" s="9"/>
      <c r="Q637" s="9"/>
      <c r="R637" s="9"/>
      <c r="S637" s="9"/>
      <c r="T637" s="9"/>
      <c r="U637" s="9"/>
      <c r="V637" s="9"/>
      <c r="W637" s="10"/>
      <c r="X637" s="10"/>
      <c r="Y637" s="10"/>
      <c r="Z637" s="10"/>
    </row>
    <row r="638">
      <c r="A638" s="9"/>
      <c r="B638" s="9"/>
      <c r="C638" s="9"/>
      <c r="D638" s="9"/>
      <c r="E638" s="9"/>
      <c r="F638" s="9"/>
      <c r="G638" s="9"/>
      <c r="H638" s="9"/>
      <c r="I638" s="9"/>
      <c r="J638" s="9"/>
      <c r="K638" s="9"/>
      <c r="L638" s="115"/>
      <c r="M638" s="115"/>
      <c r="N638" s="115"/>
      <c r="O638" s="115"/>
      <c r="P638" s="9"/>
      <c r="Q638" s="9"/>
      <c r="R638" s="9"/>
      <c r="S638" s="9"/>
      <c r="T638" s="9"/>
      <c r="U638" s="9"/>
      <c r="V638" s="9"/>
      <c r="W638" s="10"/>
      <c r="X638" s="10"/>
      <c r="Y638" s="10"/>
      <c r="Z638" s="10"/>
    </row>
    <row r="639">
      <c r="A639" s="9"/>
      <c r="B639" s="9"/>
      <c r="C639" s="9"/>
      <c r="D639" s="9"/>
      <c r="E639" s="9"/>
      <c r="F639" s="9"/>
      <c r="G639" s="9"/>
      <c r="H639" s="9"/>
      <c r="I639" s="9"/>
      <c r="J639" s="9"/>
      <c r="K639" s="9"/>
      <c r="L639" s="115"/>
      <c r="M639" s="115"/>
      <c r="N639" s="115"/>
      <c r="O639" s="115"/>
      <c r="P639" s="9"/>
      <c r="Q639" s="9"/>
      <c r="R639" s="9"/>
      <c r="S639" s="9"/>
      <c r="T639" s="9"/>
      <c r="U639" s="9"/>
      <c r="V639" s="9"/>
      <c r="W639" s="10"/>
      <c r="X639" s="10"/>
      <c r="Y639" s="10"/>
      <c r="Z639" s="10"/>
    </row>
    <row r="640">
      <c r="A640" s="9"/>
      <c r="B640" s="9"/>
      <c r="C640" s="9"/>
      <c r="D640" s="9"/>
      <c r="E640" s="9"/>
      <c r="F640" s="9"/>
      <c r="G640" s="9"/>
      <c r="H640" s="9"/>
      <c r="I640" s="9"/>
      <c r="J640" s="9"/>
      <c r="K640" s="9"/>
      <c r="L640" s="115"/>
      <c r="M640" s="115"/>
      <c r="N640" s="115"/>
      <c r="O640" s="115"/>
      <c r="P640" s="9"/>
      <c r="Q640" s="9"/>
      <c r="R640" s="9"/>
      <c r="S640" s="9"/>
      <c r="T640" s="9"/>
      <c r="U640" s="9"/>
      <c r="V640" s="9"/>
      <c r="W640" s="10"/>
      <c r="X640" s="10"/>
      <c r="Y640" s="10"/>
      <c r="Z640" s="10"/>
    </row>
    <row r="641">
      <c r="A641" s="9"/>
      <c r="B641" s="9"/>
      <c r="C641" s="9"/>
      <c r="D641" s="9"/>
      <c r="E641" s="9"/>
      <c r="F641" s="9"/>
      <c r="G641" s="9"/>
      <c r="H641" s="9"/>
      <c r="I641" s="9"/>
      <c r="J641" s="9"/>
      <c r="K641" s="9"/>
      <c r="L641" s="115"/>
      <c r="M641" s="115"/>
      <c r="N641" s="115"/>
      <c r="O641" s="115"/>
      <c r="P641" s="9"/>
      <c r="Q641" s="9"/>
      <c r="R641" s="9"/>
      <c r="S641" s="9"/>
      <c r="T641" s="9"/>
      <c r="U641" s="9"/>
      <c r="V641" s="9"/>
      <c r="W641" s="10"/>
      <c r="X641" s="10"/>
      <c r="Y641" s="10"/>
      <c r="Z641" s="10"/>
    </row>
    <row r="642">
      <c r="A642" s="9"/>
      <c r="B642" s="9"/>
      <c r="C642" s="9"/>
      <c r="D642" s="9"/>
      <c r="E642" s="9"/>
      <c r="F642" s="9"/>
      <c r="G642" s="9"/>
      <c r="H642" s="9"/>
      <c r="I642" s="9"/>
      <c r="J642" s="9"/>
      <c r="K642" s="9"/>
      <c r="L642" s="115"/>
      <c r="M642" s="115"/>
      <c r="N642" s="115"/>
      <c r="O642" s="115"/>
      <c r="P642" s="9"/>
      <c r="Q642" s="9"/>
      <c r="R642" s="9"/>
      <c r="S642" s="9"/>
      <c r="T642" s="9"/>
      <c r="U642" s="9"/>
      <c r="V642" s="9"/>
      <c r="W642" s="10"/>
      <c r="X642" s="10"/>
      <c r="Y642" s="10"/>
      <c r="Z642" s="10"/>
    </row>
    <row r="643">
      <c r="A643" s="9"/>
      <c r="B643" s="9"/>
      <c r="C643" s="9"/>
      <c r="D643" s="9"/>
      <c r="E643" s="9"/>
      <c r="F643" s="9"/>
      <c r="G643" s="9"/>
      <c r="H643" s="9"/>
      <c r="I643" s="9"/>
      <c r="J643" s="9"/>
      <c r="K643" s="9"/>
      <c r="L643" s="115"/>
      <c r="M643" s="115"/>
      <c r="N643" s="115"/>
      <c r="O643" s="115"/>
      <c r="P643" s="9"/>
      <c r="Q643" s="9"/>
      <c r="R643" s="9"/>
      <c r="S643" s="9"/>
      <c r="T643" s="9"/>
      <c r="U643" s="9"/>
      <c r="V643" s="9"/>
      <c r="W643" s="10"/>
      <c r="X643" s="10"/>
      <c r="Y643" s="10"/>
      <c r="Z643" s="10"/>
    </row>
    <row r="644">
      <c r="A644" s="9"/>
      <c r="B644" s="9"/>
      <c r="C644" s="9"/>
      <c r="D644" s="9"/>
      <c r="E644" s="9"/>
      <c r="F644" s="9"/>
      <c r="G644" s="9"/>
      <c r="H644" s="9"/>
      <c r="I644" s="9"/>
      <c r="J644" s="9"/>
      <c r="K644" s="9"/>
      <c r="L644" s="115"/>
      <c r="M644" s="115"/>
      <c r="N644" s="115"/>
      <c r="O644" s="115"/>
      <c r="P644" s="9"/>
      <c r="Q644" s="9"/>
      <c r="R644" s="9"/>
      <c r="S644" s="9"/>
      <c r="T644" s="9"/>
      <c r="U644" s="9"/>
      <c r="V644" s="9"/>
      <c r="W644" s="10"/>
      <c r="X644" s="10"/>
      <c r="Y644" s="10"/>
      <c r="Z644" s="10"/>
    </row>
    <row r="645">
      <c r="A645" s="9"/>
      <c r="B645" s="9"/>
      <c r="C645" s="9"/>
      <c r="D645" s="9"/>
      <c r="E645" s="9"/>
      <c r="F645" s="9"/>
      <c r="G645" s="9"/>
      <c r="H645" s="9"/>
      <c r="I645" s="9"/>
      <c r="J645" s="9"/>
      <c r="K645" s="9"/>
      <c r="L645" s="115"/>
      <c r="M645" s="115"/>
      <c r="N645" s="115"/>
      <c r="O645" s="115"/>
      <c r="P645" s="9"/>
      <c r="Q645" s="9"/>
      <c r="R645" s="9"/>
      <c r="S645" s="9"/>
      <c r="T645" s="9"/>
      <c r="U645" s="9"/>
      <c r="V645" s="9"/>
      <c r="W645" s="10"/>
      <c r="X645" s="10"/>
      <c r="Y645" s="10"/>
      <c r="Z645" s="10"/>
    </row>
    <row r="646">
      <c r="A646" s="9"/>
      <c r="B646" s="9"/>
      <c r="C646" s="9"/>
      <c r="D646" s="9"/>
      <c r="E646" s="9"/>
      <c r="F646" s="9"/>
      <c r="G646" s="9"/>
      <c r="H646" s="9"/>
      <c r="I646" s="9"/>
      <c r="J646" s="9"/>
      <c r="K646" s="9"/>
      <c r="L646" s="115"/>
      <c r="M646" s="115"/>
      <c r="N646" s="115"/>
      <c r="O646" s="115"/>
      <c r="P646" s="9"/>
      <c r="Q646" s="9"/>
      <c r="R646" s="9"/>
      <c r="S646" s="9"/>
      <c r="T646" s="9"/>
      <c r="U646" s="9"/>
      <c r="V646" s="9"/>
      <c r="W646" s="10"/>
      <c r="X646" s="10"/>
      <c r="Y646" s="10"/>
      <c r="Z646" s="10"/>
    </row>
    <row r="647">
      <c r="A647" s="9"/>
      <c r="B647" s="9"/>
      <c r="C647" s="9"/>
      <c r="D647" s="9"/>
      <c r="E647" s="9"/>
      <c r="F647" s="9"/>
      <c r="G647" s="9"/>
      <c r="H647" s="9"/>
      <c r="I647" s="9"/>
      <c r="J647" s="9"/>
      <c r="K647" s="9"/>
      <c r="L647" s="115"/>
      <c r="M647" s="115"/>
      <c r="N647" s="115"/>
      <c r="O647" s="115"/>
      <c r="P647" s="9"/>
      <c r="Q647" s="9"/>
      <c r="R647" s="9"/>
      <c r="S647" s="9"/>
      <c r="T647" s="9"/>
      <c r="U647" s="9"/>
      <c r="V647" s="9"/>
      <c r="W647" s="10"/>
      <c r="X647" s="10"/>
      <c r="Y647" s="10"/>
      <c r="Z647" s="10"/>
    </row>
    <row r="648">
      <c r="A648" s="9"/>
      <c r="B648" s="9"/>
      <c r="C648" s="9"/>
      <c r="D648" s="9"/>
      <c r="E648" s="9"/>
      <c r="F648" s="9"/>
      <c r="G648" s="9"/>
      <c r="H648" s="9"/>
      <c r="I648" s="9"/>
      <c r="J648" s="9"/>
      <c r="K648" s="9"/>
      <c r="L648" s="115"/>
      <c r="M648" s="115"/>
      <c r="N648" s="115"/>
      <c r="O648" s="115"/>
      <c r="P648" s="9"/>
      <c r="Q648" s="9"/>
      <c r="R648" s="9"/>
      <c r="S648" s="9"/>
      <c r="T648" s="9"/>
      <c r="U648" s="9"/>
      <c r="V648" s="9"/>
      <c r="W648" s="10"/>
      <c r="X648" s="10"/>
      <c r="Y648" s="10"/>
      <c r="Z648" s="10"/>
    </row>
    <row r="649">
      <c r="A649" s="9"/>
      <c r="B649" s="9"/>
      <c r="C649" s="9"/>
      <c r="D649" s="9"/>
      <c r="E649" s="9"/>
      <c r="F649" s="9"/>
      <c r="G649" s="9"/>
      <c r="H649" s="9"/>
      <c r="I649" s="9"/>
      <c r="J649" s="9"/>
      <c r="K649" s="9"/>
      <c r="L649" s="115"/>
      <c r="M649" s="115"/>
      <c r="N649" s="115"/>
      <c r="O649" s="115"/>
      <c r="P649" s="9"/>
      <c r="Q649" s="9"/>
      <c r="R649" s="9"/>
      <c r="S649" s="9"/>
      <c r="T649" s="9"/>
      <c r="U649" s="9"/>
      <c r="V649" s="9"/>
      <c r="W649" s="10"/>
      <c r="X649" s="10"/>
      <c r="Y649" s="10"/>
      <c r="Z649" s="10"/>
    </row>
    <row r="650">
      <c r="A650" s="9"/>
      <c r="B650" s="9"/>
      <c r="C650" s="9"/>
      <c r="D650" s="9"/>
      <c r="E650" s="9"/>
      <c r="F650" s="9"/>
      <c r="G650" s="9"/>
      <c r="H650" s="9"/>
      <c r="I650" s="9"/>
      <c r="J650" s="9"/>
      <c r="K650" s="9"/>
      <c r="L650" s="115"/>
      <c r="M650" s="115"/>
      <c r="N650" s="115"/>
      <c r="O650" s="115"/>
      <c r="P650" s="9"/>
      <c r="Q650" s="9"/>
      <c r="R650" s="9"/>
      <c r="S650" s="9"/>
      <c r="T650" s="9"/>
      <c r="U650" s="9"/>
      <c r="V650" s="9"/>
      <c r="W650" s="10"/>
      <c r="X650" s="10"/>
      <c r="Y650" s="10"/>
      <c r="Z650" s="10"/>
    </row>
    <row r="651">
      <c r="A651" s="9"/>
      <c r="B651" s="9"/>
      <c r="C651" s="9"/>
      <c r="D651" s="9"/>
      <c r="E651" s="9"/>
      <c r="F651" s="9"/>
      <c r="G651" s="9"/>
      <c r="H651" s="9"/>
      <c r="I651" s="9"/>
      <c r="J651" s="9"/>
      <c r="K651" s="9"/>
      <c r="L651" s="115"/>
      <c r="M651" s="115"/>
      <c r="N651" s="115"/>
      <c r="O651" s="115"/>
      <c r="P651" s="9"/>
      <c r="Q651" s="9"/>
      <c r="R651" s="9"/>
      <c r="S651" s="9"/>
      <c r="T651" s="9"/>
      <c r="U651" s="9"/>
      <c r="V651" s="9"/>
      <c r="W651" s="10"/>
      <c r="X651" s="10"/>
      <c r="Y651" s="10"/>
      <c r="Z651" s="10"/>
    </row>
    <row r="652">
      <c r="A652" s="9"/>
      <c r="B652" s="9"/>
      <c r="C652" s="9"/>
      <c r="D652" s="9"/>
      <c r="E652" s="9"/>
      <c r="F652" s="9"/>
      <c r="G652" s="9"/>
      <c r="H652" s="9"/>
      <c r="I652" s="9"/>
      <c r="J652" s="9"/>
      <c r="K652" s="9"/>
      <c r="L652" s="115"/>
      <c r="M652" s="115"/>
      <c r="N652" s="115"/>
      <c r="O652" s="115"/>
      <c r="P652" s="9"/>
      <c r="Q652" s="9"/>
      <c r="R652" s="9"/>
      <c r="S652" s="9"/>
      <c r="T652" s="9"/>
      <c r="U652" s="9"/>
      <c r="V652" s="9"/>
      <c r="W652" s="10"/>
      <c r="X652" s="10"/>
      <c r="Y652" s="10"/>
      <c r="Z652" s="10"/>
    </row>
    <row r="653">
      <c r="A653" s="9"/>
      <c r="B653" s="9"/>
      <c r="C653" s="9"/>
      <c r="D653" s="9"/>
      <c r="E653" s="9"/>
      <c r="F653" s="9"/>
      <c r="G653" s="9"/>
      <c r="H653" s="9"/>
      <c r="I653" s="9"/>
      <c r="J653" s="9"/>
      <c r="K653" s="9"/>
      <c r="L653" s="115"/>
      <c r="M653" s="115"/>
      <c r="N653" s="115"/>
      <c r="O653" s="115"/>
      <c r="P653" s="9"/>
      <c r="Q653" s="9"/>
      <c r="R653" s="9"/>
      <c r="S653" s="9"/>
      <c r="T653" s="9"/>
      <c r="U653" s="9"/>
      <c r="V653" s="9"/>
      <c r="W653" s="10"/>
      <c r="X653" s="10"/>
      <c r="Y653" s="10"/>
      <c r="Z653" s="10"/>
    </row>
    <row r="654">
      <c r="A654" s="9"/>
      <c r="B654" s="9"/>
      <c r="C654" s="9"/>
      <c r="D654" s="9"/>
      <c r="E654" s="9"/>
      <c r="F654" s="9"/>
      <c r="G654" s="9"/>
      <c r="H654" s="9"/>
      <c r="I654" s="9"/>
      <c r="J654" s="9"/>
      <c r="K654" s="9"/>
      <c r="L654" s="115"/>
      <c r="M654" s="115"/>
      <c r="N654" s="115"/>
      <c r="O654" s="115"/>
      <c r="P654" s="9"/>
      <c r="Q654" s="9"/>
      <c r="R654" s="9"/>
      <c r="S654" s="9"/>
      <c r="T654" s="9"/>
      <c r="U654" s="9"/>
      <c r="V654" s="9"/>
      <c r="W654" s="10"/>
      <c r="X654" s="10"/>
      <c r="Y654" s="10"/>
      <c r="Z654" s="10"/>
    </row>
    <row r="655">
      <c r="A655" s="9"/>
      <c r="B655" s="9"/>
      <c r="C655" s="9"/>
      <c r="D655" s="9"/>
      <c r="E655" s="9"/>
      <c r="F655" s="9"/>
      <c r="G655" s="9"/>
      <c r="H655" s="9"/>
      <c r="I655" s="9"/>
      <c r="J655" s="9"/>
      <c r="K655" s="9"/>
      <c r="L655" s="115"/>
      <c r="M655" s="115"/>
      <c r="N655" s="115"/>
      <c r="O655" s="115"/>
      <c r="P655" s="9"/>
      <c r="Q655" s="9"/>
      <c r="R655" s="9"/>
      <c r="S655" s="9"/>
      <c r="T655" s="9"/>
      <c r="U655" s="9"/>
      <c r="V655" s="9"/>
      <c r="W655" s="10"/>
      <c r="X655" s="10"/>
      <c r="Y655" s="10"/>
      <c r="Z655" s="10"/>
    </row>
    <row r="656">
      <c r="A656" s="9"/>
      <c r="B656" s="9"/>
      <c r="C656" s="9"/>
      <c r="D656" s="9"/>
      <c r="E656" s="9"/>
      <c r="F656" s="9"/>
      <c r="G656" s="9"/>
      <c r="H656" s="9"/>
      <c r="I656" s="9"/>
      <c r="J656" s="9"/>
      <c r="K656" s="9"/>
      <c r="L656" s="115"/>
      <c r="M656" s="115"/>
      <c r="N656" s="115"/>
      <c r="O656" s="115"/>
      <c r="P656" s="9"/>
      <c r="Q656" s="9"/>
      <c r="R656" s="9"/>
      <c r="S656" s="9"/>
      <c r="T656" s="9"/>
      <c r="U656" s="9"/>
      <c r="V656" s="9"/>
      <c r="W656" s="10"/>
      <c r="X656" s="10"/>
      <c r="Y656" s="10"/>
      <c r="Z656" s="10"/>
    </row>
    <row r="657">
      <c r="A657" s="9"/>
      <c r="B657" s="9"/>
      <c r="C657" s="9"/>
      <c r="D657" s="9"/>
      <c r="E657" s="9"/>
      <c r="F657" s="9"/>
      <c r="G657" s="9"/>
      <c r="H657" s="9"/>
      <c r="I657" s="9"/>
      <c r="J657" s="9"/>
      <c r="K657" s="9"/>
      <c r="L657" s="115"/>
      <c r="M657" s="115"/>
      <c r="N657" s="115"/>
      <c r="O657" s="115"/>
      <c r="P657" s="9"/>
      <c r="Q657" s="9"/>
      <c r="R657" s="9"/>
      <c r="S657" s="9"/>
      <c r="T657" s="9"/>
      <c r="U657" s="9"/>
      <c r="V657" s="9"/>
      <c r="W657" s="10"/>
      <c r="X657" s="10"/>
      <c r="Y657" s="10"/>
      <c r="Z657" s="10"/>
    </row>
    <row r="658">
      <c r="A658" s="9"/>
      <c r="B658" s="9"/>
      <c r="C658" s="9"/>
      <c r="D658" s="9"/>
      <c r="E658" s="9"/>
      <c r="F658" s="9"/>
      <c r="G658" s="9"/>
      <c r="H658" s="9"/>
      <c r="I658" s="9"/>
      <c r="J658" s="9"/>
      <c r="K658" s="9"/>
      <c r="L658" s="115"/>
      <c r="M658" s="115"/>
      <c r="N658" s="115"/>
      <c r="O658" s="115"/>
      <c r="P658" s="9"/>
      <c r="Q658" s="9"/>
      <c r="R658" s="9"/>
      <c r="S658" s="9"/>
      <c r="T658" s="9"/>
      <c r="U658" s="9"/>
      <c r="V658" s="9"/>
      <c r="W658" s="10"/>
      <c r="X658" s="10"/>
      <c r="Y658" s="10"/>
      <c r="Z658" s="10"/>
    </row>
    <row r="659">
      <c r="A659" s="9"/>
      <c r="B659" s="9"/>
      <c r="C659" s="9"/>
      <c r="D659" s="9"/>
      <c r="E659" s="9"/>
      <c r="F659" s="9"/>
      <c r="G659" s="9"/>
      <c r="H659" s="9"/>
      <c r="I659" s="9"/>
      <c r="J659" s="9"/>
      <c r="K659" s="9"/>
      <c r="L659" s="115"/>
      <c r="M659" s="115"/>
      <c r="N659" s="115"/>
      <c r="O659" s="115"/>
      <c r="P659" s="9"/>
      <c r="Q659" s="9"/>
      <c r="R659" s="9"/>
      <c r="S659" s="9"/>
      <c r="T659" s="9"/>
      <c r="U659" s="9"/>
      <c r="V659" s="9"/>
      <c r="W659" s="10"/>
      <c r="X659" s="10"/>
      <c r="Y659" s="10"/>
      <c r="Z659" s="10"/>
    </row>
    <row r="660">
      <c r="A660" s="9"/>
      <c r="B660" s="9"/>
      <c r="C660" s="9"/>
      <c r="D660" s="9"/>
      <c r="E660" s="9"/>
      <c r="F660" s="9"/>
      <c r="G660" s="9"/>
      <c r="H660" s="9"/>
      <c r="I660" s="9"/>
      <c r="J660" s="9"/>
      <c r="K660" s="9"/>
      <c r="L660" s="115"/>
      <c r="M660" s="115"/>
      <c r="N660" s="115"/>
      <c r="O660" s="115"/>
      <c r="P660" s="9"/>
      <c r="Q660" s="9"/>
      <c r="R660" s="9"/>
      <c r="S660" s="9"/>
      <c r="T660" s="9"/>
      <c r="U660" s="9"/>
      <c r="V660" s="9"/>
      <c r="W660" s="10"/>
      <c r="X660" s="10"/>
      <c r="Y660" s="10"/>
      <c r="Z660" s="10"/>
    </row>
    <row r="661">
      <c r="A661" s="9"/>
      <c r="B661" s="9"/>
      <c r="C661" s="9"/>
      <c r="D661" s="9"/>
      <c r="E661" s="9"/>
      <c r="F661" s="9"/>
      <c r="G661" s="9"/>
      <c r="H661" s="9"/>
      <c r="I661" s="9"/>
      <c r="J661" s="9"/>
      <c r="K661" s="9"/>
      <c r="L661" s="115"/>
      <c r="M661" s="115"/>
      <c r="N661" s="115"/>
      <c r="O661" s="115"/>
      <c r="P661" s="9"/>
      <c r="Q661" s="9"/>
      <c r="R661" s="9"/>
      <c r="S661" s="9"/>
      <c r="T661" s="9"/>
      <c r="U661" s="9"/>
      <c r="V661" s="9"/>
      <c r="W661" s="10"/>
      <c r="X661" s="10"/>
      <c r="Y661" s="10"/>
      <c r="Z661" s="10"/>
    </row>
    <row r="662">
      <c r="A662" s="9"/>
      <c r="B662" s="9"/>
      <c r="C662" s="9"/>
      <c r="D662" s="9"/>
      <c r="E662" s="9"/>
      <c r="F662" s="9"/>
      <c r="G662" s="9"/>
      <c r="H662" s="9"/>
      <c r="I662" s="9"/>
      <c r="J662" s="9"/>
      <c r="K662" s="9"/>
      <c r="L662" s="115"/>
      <c r="M662" s="115"/>
      <c r="N662" s="115"/>
      <c r="O662" s="115"/>
      <c r="P662" s="9"/>
      <c r="Q662" s="9"/>
      <c r="R662" s="9"/>
      <c r="S662" s="9"/>
      <c r="T662" s="9"/>
      <c r="U662" s="9"/>
      <c r="V662" s="9"/>
      <c r="W662" s="10"/>
      <c r="X662" s="10"/>
      <c r="Y662" s="10"/>
      <c r="Z662" s="10"/>
    </row>
    <row r="663">
      <c r="A663" s="9"/>
      <c r="B663" s="9"/>
      <c r="C663" s="9"/>
      <c r="D663" s="9"/>
      <c r="E663" s="9"/>
      <c r="F663" s="9"/>
      <c r="G663" s="9"/>
      <c r="H663" s="9"/>
      <c r="I663" s="9"/>
      <c r="J663" s="9"/>
      <c r="K663" s="9"/>
      <c r="L663" s="115"/>
      <c r="M663" s="115"/>
      <c r="N663" s="115"/>
      <c r="O663" s="115"/>
      <c r="P663" s="9"/>
      <c r="Q663" s="9"/>
      <c r="R663" s="9"/>
      <c r="S663" s="9"/>
      <c r="T663" s="9"/>
      <c r="U663" s="9"/>
      <c r="V663" s="9"/>
      <c r="W663" s="10"/>
      <c r="X663" s="10"/>
      <c r="Y663" s="10"/>
      <c r="Z663" s="10"/>
    </row>
    <row r="664">
      <c r="A664" s="9"/>
      <c r="B664" s="9"/>
      <c r="C664" s="9"/>
      <c r="D664" s="9"/>
      <c r="E664" s="9"/>
      <c r="F664" s="9"/>
      <c r="G664" s="9"/>
      <c r="H664" s="9"/>
      <c r="I664" s="9"/>
      <c r="J664" s="9"/>
      <c r="K664" s="9"/>
      <c r="L664" s="115"/>
      <c r="M664" s="115"/>
      <c r="N664" s="115"/>
      <c r="O664" s="115"/>
      <c r="P664" s="9"/>
      <c r="Q664" s="9"/>
      <c r="R664" s="9"/>
      <c r="S664" s="9"/>
      <c r="T664" s="9"/>
      <c r="U664" s="9"/>
      <c r="V664" s="9"/>
      <c r="W664" s="10"/>
      <c r="X664" s="10"/>
      <c r="Y664" s="10"/>
      <c r="Z664" s="10"/>
    </row>
    <row r="665">
      <c r="A665" s="9"/>
      <c r="B665" s="9"/>
      <c r="C665" s="9"/>
      <c r="D665" s="9"/>
      <c r="E665" s="9"/>
      <c r="F665" s="9"/>
      <c r="G665" s="9"/>
      <c r="H665" s="9"/>
      <c r="I665" s="9"/>
      <c r="J665" s="9"/>
      <c r="K665" s="9"/>
      <c r="L665" s="115"/>
      <c r="M665" s="115"/>
      <c r="N665" s="115"/>
      <c r="O665" s="115"/>
      <c r="P665" s="9"/>
      <c r="Q665" s="9"/>
      <c r="R665" s="9"/>
      <c r="S665" s="9"/>
      <c r="T665" s="9"/>
      <c r="U665" s="9"/>
      <c r="V665" s="9"/>
      <c r="W665" s="10"/>
      <c r="X665" s="10"/>
      <c r="Y665" s="10"/>
      <c r="Z665" s="10"/>
    </row>
    <row r="666">
      <c r="A666" s="9"/>
      <c r="B666" s="9"/>
      <c r="C666" s="9"/>
      <c r="D666" s="9"/>
      <c r="E666" s="9"/>
      <c r="F666" s="9"/>
      <c r="G666" s="9"/>
      <c r="H666" s="9"/>
      <c r="I666" s="9"/>
      <c r="J666" s="9"/>
      <c r="K666" s="9"/>
      <c r="L666" s="115"/>
      <c r="M666" s="115"/>
      <c r="N666" s="115"/>
      <c r="O666" s="115"/>
      <c r="P666" s="9"/>
      <c r="Q666" s="9"/>
      <c r="R666" s="9"/>
      <c r="S666" s="9"/>
      <c r="T666" s="9"/>
      <c r="U666" s="9"/>
      <c r="V666" s="9"/>
      <c r="W666" s="10"/>
      <c r="X666" s="10"/>
      <c r="Y666" s="10"/>
      <c r="Z666" s="10"/>
    </row>
    <row r="667">
      <c r="A667" s="9"/>
      <c r="B667" s="9"/>
      <c r="C667" s="9"/>
      <c r="D667" s="9"/>
      <c r="E667" s="9"/>
      <c r="F667" s="9"/>
      <c r="G667" s="9"/>
      <c r="H667" s="9"/>
      <c r="I667" s="9"/>
      <c r="J667" s="9"/>
      <c r="K667" s="9"/>
      <c r="L667" s="115"/>
      <c r="M667" s="115"/>
      <c r="N667" s="115"/>
      <c r="O667" s="115"/>
      <c r="P667" s="9"/>
      <c r="Q667" s="9"/>
      <c r="R667" s="9"/>
      <c r="S667" s="9"/>
      <c r="T667" s="9"/>
      <c r="U667" s="9"/>
      <c r="V667" s="9"/>
      <c r="W667" s="10"/>
      <c r="X667" s="10"/>
      <c r="Y667" s="10"/>
      <c r="Z667" s="10"/>
    </row>
    <row r="668">
      <c r="A668" s="9"/>
      <c r="B668" s="9"/>
      <c r="C668" s="9"/>
      <c r="D668" s="9"/>
      <c r="E668" s="9"/>
      <c r="F668" s="9"/>
      <c r="G668" s="9"/>
      <c r="H668" s="9"/>
      <c r="I668" s="9"/>
      <c r="J668" s="9"/>
      <c r="K668" s="9"/>
      <c r="L668" s="115"/>
      <c r="M668" s="115"/>
      <c r="N668" s="115"/>
      <c r="O668" s="115"/>
      <c r="P668" s="9"/>
      <c r="Q668" s="9"/>
      <c r="R668" s="9"/>
      <c r="S668" s="9"/>
      <c r="T668" s="9"/>
      <c r="U668" s="9"/>
      <c r="V668" s="9"/>
      <c r="W668" s="10"/>
      <c r="X668" s="10"/>
      <c r="Y668" s="10"/>
      <c r="Z668" s="10"/>
    </row>
    <row r="669">
      <c r="A669" s="9"/>
      <c r="B669" s="9"/>
      <c r="C669" s="9"/>
      <c r="D669" s="9"/>
      <c r="E669" s="9"/>
      <c r="F669" s="9"/>
      <c r="G669" s="9"/>
      <c r="H669" s="9"/>
      <c r="I669" s="9"/>
      <c r="J669" s="9"/>
      <c r="K669" s="9"/>
      <c r="L669" s="115"/>
      <c r="M669" s="115"/>
      <c r="N669" s="115"/>
      <c r="O669" s="115"/>
      <c r="P669" s="9"/>
      <c r="Q669" s="9"/>
      <c r="R669" s="9"/>
      <c r="S669" s="9"/>
      <c r="T669" s="9"/>
      <c r="U669" s="9"/>
      <c r="V669" s="9"/>
      <c r="W669" s="10"/>
      <c r="X669" s="10"/>
      <c r="Y669" s="10"/>
      <c r="Z669" s="10"/>
    </row>
    <row r="670">
      <c r="A670" s="9"/>
      <c r="B670" s="9"/>
      <c r="C670" s="9"/>
      <c r="D670" s="9"/>
      <c r="E670" s="9"/>
      <c r="F670" s="9"/>
      <c r="G670" s="9"/>
      <c r="H670" s="9"/>
      <c r="I670" s="9"/>
      <c r="J670" s="9"/>
      <c r="K670" s="9"/>
      <c r="L670" s="115"/>
      <c r="M670" s="115"/>
      <c r="N670" s="115"/>
      <c r="O670" s="115"/>
      <c r="P670" s="9"/>
      <c r="Q670" s="9"/>
      <c r="R670" s="9"/>
      <c r="S670" s="9"/>
      <c r="T670" s="9"/>
      <c r="U670" s="9"/>
      <c r="V670" s="9"/>
      <c r="W670" s="10"/>
      <c r="X670" s="10"/>
      <c r="Y670" s="10"/>
      <c r="Z670" s="10"/>
    </row>
    <row r="671">
      <c r="A671" s="9"/>
      <c r="B671" s="9"/>
      <c r="C671" s="9"/>
      <c r="D671" s="9"/>
      <c r="E671" s="9"/>
      <c r="F671" s="9"/>
      <c r="G671" s="9"/>
      <c r="H671" s="9"/>
      <c r="I671" s="9"/>
      <c r="J671" s="9"/>
      <c r="K671" s="9"/>
      <c r="L671" s="115"/>
      <c r="M671" s="115"/>
      <c r="N671" s="115"/>
      <c r="O671" s="115"/>
      <c r="P671" s="9"/>
      <c r="Q671" s="9"/>
      <c r="R671" s="9"/>
      <c r="S671" s="9"/>
      <c r="T671" s="9"/>
      <c r="U671" s="9"/>
      <c r="V671" s="9"/>
      <c r="W671" s="10"/>
      <c r="X671" s="10"/>
      <c r="Y671" s="10"/>
      <c r="Z671" s="10"/>
    </row>
    <row r="672">
      <c r="A672" s="9"/>
      <c r="B672" s="9"/>
      <c r="C672" s="9"/>
      <c r="D672" s="9"/>
      <c r="E672" s="9"/>
      <c r="F672" s="9"/>
      <c r="G672" s="9"/>
      <c r="H672" s="9"/>
      <c r="I672" s="9"/>
      <c r="J672" s="9"/>
      <c r="K672" s="9"/>
      <c r="L672" s="115"/>
      <c r="M672" s="115"/>
      <c r="N672" s="115"/>
      <c r="O672" s="115"/>
      <c r="P672" s="9"/>
      <c r="Q672" s="9"/>
      <c r="R672" s="9"/>
      <c r="S672" s="9"/>
      <c r="T672" s="9"/>
      <c r="U672" s="9"/>
      <c r="V672" s="9"/>
      <c r="W672" s="10"/>
      <c r="X672" s="10"/>
      <c r="Y672" s="10"/>
      <c r="Z672" s="10"/>
    </row>
    <row r="673">
      <c r="A673" s="9"/>
      <c r="B673" s="9"/>
      <c r="C673" s="9"/>
      <c r="D673" s="9"/>
      <c r="E673" s="9"/>
      <c r="F673" s="9"/>
      <c r="G673" s="9"/>
      <c r="H673" s="9"/>
      <c r="I673" s="9"/>
      <c r="J673" s="9"/>
      <c r="K673" s="9"/>
      <c r="L673" s="115"/>
      <c r="M673" s="115"/>
      <c r="N673" s="115"/>
      <c r="O673" s="115"/>
      <c r="P673" s="9"/>
      <c r="Q673" s="9"/>
      <c r="R673" s="9"/>
      <c r="S673" s="9"/>
      <c r="T673" s="9"/>
      <c r="U673" s="9"/>
      <c r="V673" s="9"/>
      <c r="W673" s="10"/>
      <c r="X673" s="10"/>
      <c r="Y673" s="10"/>
      <c r="Z673" s="10"/>
    </row>
    <row r="674">
      <c r="A674" s="9"/>
      <c r="B674" s="9"/>
      <c r="C674" s="9"/>
      <c r="D674" s="9"/>
      <c r="E674" s="9"/>
      <c r="F674" s="9"/>
      <c r="G674" s="9"/>
      <c r="H674" s="9"/>
      <c r="I674" s="9"/>
      <c r="J674" s="9"/>
      <c r="K674" s="9"/>
      <c r="L674" s="115"/>
      <c r="M674" s="115"/>
      <c r="N674" s="115"/>
      <c r="O674" s="115"/>
      <c r="P674" s="9"/>
      <c r="Q674" s="9"/>
      <c r="R674" s="9"/>
      <c r="S674" s="9"/>
      <c r="T674" s="9"/>
      <c r="U674" s="9"/>
      <c r="V674" s="9"/>
      <c r="W674" s="10"/>
      <c r="X674" s="10"/>
      <c r="Y674" s="10"/>
      <c r="Z674" s="10"/>
    </row>
    <row r="675">
      <c r="A675" s="9"/>
      <c r="B675" s="9"/>
      <c r="C675" s="9"/>
      <c r="D675" s="9"/>
      <c r="E675" s="9"/>
      <c r="F675" s="9"/>
      <c r="G675" s="9"/>
      <c r="H675" s="9"/>
      <c r="I675" s="9"/>
      <c r="J675" s="9"/>
      <c r="K675" s="9"/>
      <c r="L675" s="115"/>
      <c r="M675" s="115"/>
      <c r="N675" s="115"/>
      <c r="O675" s="115"/>
      <c r="P675" s="9"/>
      <c r="Q675" s="9"/>
      <c r="R675" s="9"/>
      <c r="S675" s="9"/>
      <c r="T675" s="9"/>
      <c r="U675" s="9"/>
      <c r="V675" s="9"/>
      <c r="W675" s="10"/>
      <c r="X675" s="10"/>
      <c r="Y675" s="10"/>
      <c r="Z675" s="10"/>
    </row>
    <row r="676">
      <c r="A676" s="9"/>
      <c r="B676" s="9"/>
      <c r="C676" s="9"/>
      <c r="D676" s="9"/>
      <c r="E676" s="9"/>
      <c r="F676" s="9"/>
      <c r="G676" s="9"/>
      <c r="H676" s="9"/>
      <c r="I676" s="9"/>
      <c r="J676" s="9"/>
      <c r="K676" s="9"/>
      <c r="L676" s="115"/>
      <c r="M676" s="115"/>
      <c r="N676" s="115"/>
      <c r="O676" s="115"/>
      <c r="P676" s="9"/>
      <c r="Q676" s="9"/>
      <c r="R676" s="9"/>
      <c r="S676" s="9"/>
      <c r="T676" s="9"/>
      <c r="U676" s="9"/>
      <c r="V676" s="9"/>
      <c r="W676" s="10"/>
      <c r="X676" s="10"/>
      <c r="Y676" s="10"/>
      <c r="Z676" s="10"/>
    </row>
    <row r="677">
      <c r="A677" s="9"/>
      <c r="B677" s="9"/>
      <c r="C677" s="9"/>
      <c r="D677" s="9"/>
      <c r="E677" s="9"/>
      <c r="F677" s="9"/>
      <c r="G677" s="9"/>
      <c r="H677" s="9"/>
      <c r="I677" s="9"/>
      <c r="J677" s="9"/>
      <c r="K677" s="9"/>
      <c r="L677" s="115"/>
      <c r="M677" s="115"/>
      <c r="N677" s="115"/>
      <c r="O677" s="115"/>
      <c r="P677" s="9"/>
      <c r="Q677" s="9"/>
      <c r="R677" s="9"/>
      <c r="S677" s="9"/>
      <c r="T677" s="9"/>
      <c r="U677" s="9"/>
      <c r="V677" s="9"/>
      <c r="W677" s="10"/>
      <c r="X677" s="10"/>
      <c r="Y677" s="10"/>
      <c r="Z677" s="10"/>
    </row>
    <row r="678">
      <c r="A678" s="9"/>
      <c r="B678" s="9"/>
      <c r="C678" s="9"/>
      <c r="D678" s="9"/>
      <c r="E678" s="9"/>
      <c r="F678" s="9"/>
      <c r="G678" s="9"/>
      <c r="H678" s="9"/>
      <c r="I678" s="9"/>
      <c r="J678" s="9"/>
      <c r="K678" s="9"/>
      <c r="L678" s="115"/>
      <c r="M678" s="115"/>
      <c r="N678" s="115"/>
      <c r="O678" s="115"/>
      <c r="P678" s="9"/>
      <c r="Q678" s="9"/>
      <c r="R678" s="9"/>
      <c r="S678" s="9"/>
      <c r="T678" s="9"/>
      <c r="U678" s="9"/>
      <c r="V678" s="9"/>
      <c r="W678" s="10"/>
      <c r="X678" s="10"/>
      <c r="Y678" s="10"/>
      <c r="Z678" s="10"/>
    </row>
    <row r="679">
      <c r="A679" s="9"/>
      <c r="B679" s="9"/>
      <c r="C679" s="9"/>
      <c r="D679" s="9"/>
      <c r="E679" s="9"/>
      <c r="F679" s="9"/>
      <c r="G679" s="9"/>
      <c r="H679" s="9"/>
      <c r="I679" s="9"/>
      <c r="J679" s="9"/>
      <c r="K679" s="9"/>
      <c r="L679" s="115"/>
      <c r="M679" s="115"/>
      <c r="N679" s="115"/>
      <c r="O679" s="115"/>
      <c r="P679" s="9"/>
      <c r="Q679" s="9"/>
      <c r="R679" s="9"/>
      <c r="S679" s="9"/>
      <c r="T679" s="9"/>
      <c r="U679" s="9"/>
      <c r="V679" s="9"/>
      <c r="W679" s="10"/>
      <c r="X679" s="10"/>
      <c r="Y679" s="10"/>
      <c r="Z679" s="10"/>
    </row>
    <row r="680">
      <c r="A680" s="9"/>
      <c r="B680" s="9"/>
      <c r="C680" s="9"/>
      <c r="D680" s="9"/>
      <c r="E680" s="9"/>
      <c r="F680" s="9"/>
      <c r="G680" s="9"/>
      <c r="H680" s="9"/>
      <c r="I680" s="9"/>
      <c r="J680" s="9"/>
      <c r="K680" s="9"/>
      <c r="L680" s="115"/>
      <c r="M680" s="115"/>
      <c r="N680" s="115"/>
      <c r="O680" s="115"/>
      <c r="P680" s="9"/>
      <c r="Q680" s="9"/>
      <c r="R680" s="9"/>
      <c r="S680" s="9"/>
      <c r="T680" s="9"/>
      <c r="U680" s="9"/>
      <c r="V680" s="9"/>
      <c r="W680" s="10"/>
      <c r="X680" s="10"/>
      <c r="Y680" s="10"/>
      <c r="Z680" s="10"/>
    </row>
    <row r="681">
      <c r="A681" s="9"/>
      <c r="B681" s="9"/>
      <c r="C681" s="9"/>
      <c r="D681" s="9"/>
      <c r="E681" s="9"/>
      <c r="F681" s="9"/>
      <c r="G681" s="9"/>
      <c r="H681" s="9"/>
      <c r="I681" s="9"/>
      <c r="J681" s="9"/>
      <c r="K681" s="9"/>
      <c r="L681" s="115"/>
      <c r="M681" s="115"/>
      <c r="N681" s="115"/>
      <c r="O681" s="115"/>
      <c r="P681" s="9"/>
      <c r="Q681" s="9"/>
      <c r="R681" s="9"/>
      <c r="S681" s="9"/>
      <c r="T681" s="9"/>
      <c r="U681" s="9"/>
      <c r="V681" s="9"/>
      <c r="W681" s="10"/>
      <c r="X681" s="10"/>
      <c r="Y681" s="10"/>
      <c r="Z681" s="10"/>
    </row>
    <row r="682">
      <c r="A682" s="9"/>
      <c r="B682" s="9"/>
      <c r="C682" s="9"/>
      <c r="D682" s="9"/>
      <c r="E682" s="9"/>
      <c r="F682" s="9"/>
      <c r="G682" s="9"/>
      <c r="H682" s="9"/>
      <c r="I682" s="9"/>
      <c r="J682" s="9"/>
      <c r="K682" s="9"/>
      <c r="L682" s="115"/>
      <c r="M682" s="115"/>
      <c r="N682" s="115"/>
      <c r="O682" s="115"/>
      <c r="P682" s="9"/>
      <c r="Q682" s="9"/>
      <c r="R682" s="9"/>
      <c r="S682" s="9"/>
      <c r="T682" s="9"/>
      <c r="U682" s="9"/>
      <c r="V682" s="9"/>
      <c r="W682" s="10"/>
      <c r="X682" s="10"/>
      <c r="Y682" s="10"/>
      <c r="Z682" s="10"/>
    </row>
    <row r="683">
      <c r="A683" s="9"/>
      <c r="B683" s="9"/>
      <c r="C683" s="9"/>
      <c r="D683" s="9"/>
      <c r="E683" s="9"/>
      <c r="F683" s="9"/>
      <c r="G683" s="9"/>
      <c r="H683" s="9"/>
      <c r="I683" s="9"/>
      <c r="J683" s="9"/>
      <c r="K683" s="9"/>
      <c r="L683" s="115"/>
      <c r="M683" s="115"/>
      <c r="N683" s="115"/>
      <c r="O683" s="115"/>
      <c r="P683" s="9"/>
      <c r="Q683" s="9"/>
      <c r="R683" s="9"/>
      <c r="S683" s="9"/>
      <c r="T683" s="9"/>
      <c r="U683" s="9"/>
      <c r="V683" s="9"/>
      <c r="W683" s="10"/>
      <c r="X683" s="10"/>
      <c r="Y683" s="10"/>
      <c r="Z683" s="10"/>
    </row>
    <row r="684">
      <c r="A684" s="9"/>
      <c r="B684" s="9"/>
      <c r="C684" s="9"/>
      <c r="D684" s="9"/>
      <c r="E684" s="9"/>
      <c r="F684" s="9"/>
      <c r="G684" s="9"/>
      <c r="H684" s="9"/>
      <c r="I684" s="9"/>
      <c r="J684" s="9"/>
      <c r="K684" s="9"/>
      <c r="L684" s="115"/>
      <c r="M684" s="115"/>
      <c r="N684" s="115"/>
      <c r="O684" s="115"/>
      <c r="P684" s="9"/>
      <c r="Q684" s="9"/>
      <c r="R684" s="9"/>
      <c r="S684" s="9"/>
      <c r="T684" s="9"/>
      <c r="U684" s="9"/>
      <c r="V684" s="9"/>
      <c r="W684" s="10"/>
      <c r="X684" s="10"/>
      <c r="Y684" s="10"/>
      <c r="Z684" s="10"/>
    </row>
    <row r="685">
      <c r="A685" s="9"/>
      <c r="B685" s="9"/>
      <c r="C685" s="9"/>
      <c r="D685" s="9"/>
      <c r="E685" s="9"/>
      <c r="F685" s="9"/>
      <c r="G685" s="9"/>
      <c r="H685" s="9"/>
      <c r="I685" s="9"/>
      <c r="J685" s="9"/>
      <c r="K685" s="9"/>
      <c r="L685" s="115"/>
      <c r="M685" s="115"/>
      <c r="N685" s="115"/>
      <c r="O685" s="115"/>
      <c r="P685" s="9"/>
      <c r="Q685" s="9"/>
      <c r="R685" s="9"/>
      <c r="S685" s="9"/>
      <c r="T685" s="9"/>
      <c r="U685" s="9"/>
      <c r="V685" s="9"/>
      <c r="W685" s="10"/>
      <c r="X685" s="10"/>
      <c r="Y685" s="10"/>
      <c r="Z685" s="10"/>
    </row>
    <row r="686">
      <c r="A686" s="9"/>
      <c r="B686" s="9"/>
      <c r="C686" s="9"/>
      <c r="D686" s="9"/>
      <c r="E686" s="9"/>
      <c r="F686" s="9"/>
      <c r="G686" s="9"/>
      <c r="H686" s="9"/>
      <c r="I686" s="9"/>
      <c r="J686" s="9"/>
      <c r="K686" s="9"/>
      <c r="L686" s="115"/>
      <c r="M686" s="115"/>
      <c r="N686" s="115"/>
      <c r="O686" s="115"/>
      <c r="P686" s="9"/>
      <c r="Q686" s="9"/>
      <c r="R686" s="9"/>
      <c r="S686" s="9"/>
      <c r="T686" s="9"/>
      <c r="U686" s="9"/>
      <c r="V686" s="9"/>
      <c r="W686" s="10"/>
      <c r="X686" s="10"/>
      <c r="Y686" s="10"/>
      <c r="Z686" s="10"/>
    </row>
    <row r="687">
      <c r="A687" s="9"/>
      <c r="B687" s="9"/>
      <c r="C687" s="9"/>
      <c r="D687" s="9"/>
      <c r="E687" s="9"/>
      <c r="F687" s="9"/>
      <c r="G687" s="9"/>
      <c r="H687" s="9"/>
      <c r="I687" s="9"/>
      <c r="J687" s="9"/>
      <c r="K687" s="9"/>
      <c r="L687" s="115"/>
      <c r="M687" s="115"/>
      <c r="N687" s="115"/>
      <c r="O687" s="115"/>
      <c r="P687" s="9"/>
      <c r="Q687" s="9"/>
      <c r="R687" s="9"/>
      <c r="S687" s="9"/>
      <c r="T687" s="9"/>
      <c r="U687" s="9"/>
      <c r="V687" s="9"/>
      <c r="W687" s="10"/>
      <c r="X687" s="10"/>
      <c r="Y687" s="10"/>
      <c r="Z687" s="10"/>
    </row>
    <row r="688">
      <c r="A688" s="9"/>
      <c r="B688" s="9"/>
      <c r="C688" s="9"/>
      <c r="D688" s="9"/>
      <c r="E688" s="9"/>
      <c r="F688" s="9"/>
      <c r="G688" s="9"/>
      <c r="H688" s="9"/>
      <c r="I688" s="9"/>
      <c r="J688" s="9"/>
      <c r="K688" s="9"/>
      <c r="L688" s="115"/>
      <c r="M688" s="115"/>
      <c r="N688" s="115"/>
      <c r="O688" s="115"/>
      <c r="P688" s="9"/>
      <c r="Q688" s="9"/>
      <c r="R688" s="9"/>
      <c r="S688" s="9"/>
      <c r="T688" s="9"/>
      <c r="U688" s="9"/>
      <c r="V688" s="9"/>
      <c r="W688" s="10"/>
      <c r="X688" s="10"/>
      <c r="Y688" s="10"/>
      <c r="Z688" s="10"/>
    </row>
    <row r="689">
      <c r="A689" s="9"/>
      <c r="B689" s="9"/>
      <c r="C689" s="9"/>
      <c r="D689" s="9"/>
      <c r="E689" s="9"/>
      <c r="F689" s="9"/>
      <c r="G689" s="9"/>
      <c r="H689" s="9"/>
      <c r="I689" s="9"/>
      <c r="J689" s="9"/>
      <c r="K689" s="9"/>
      <c r="L689" s="115"/>
      <c r="M689" s="115"/>
      <c r="N689" s="115"/>
      <c r="O689" s="115"/>
      <c r="P689" s="9"/>
      <c r="Q689" s="9"/>
      <c r="R689" s="9"/>
      <c r="S689" s="9"/>
      <c r="T689" s="9"/>
      <c r="U689" s="9"/>
      <c r="V689" s="9"/>
      <c r="W689" s="10"/>
      <c r="X689" s="10"/>
      <c r="Y689" s="10"/>
      <c r="Z689" s="10"/>
    </row>
    <row r="690">
      <c r="A690" s="9"/>
      <c r="B690" s="9"/>
      <c r="C690" s="9"/>
      <c r="D690" s="9"/>
      <c r="E690" s="9"/>
      <c r="F690" s="9"/>
      <c r="G690" s="9"/>
      <c r="H690" s="9"/>
      <c r="I690" s="9"/>
      <c r="J690" s="9"/>
      <c r="K690" s="9"/>
      <c r="L690" s="115"/>
      <c r="M690" s="115"/>
      <c r="N690" s="115"/>
      <c r="O690" s="115"/>
      <c r="P690" s="9"/>
      <c r="Q690" s="9"/>
      <c r="R690" s="9"/>
      <c r="S690" s="9"/>
      <c r="T690" s="9"/>
      <c r="U690" s="9"/>
      <c r="V690" s="9"/>
      <c r="W690" s="10"/>
      <c r="X690" s="10"/>
      <c r="Y690" s="10"/>
      <c r="Z690" s="10"/>
    </row>
    <row r="691">
      <c r="A691" s="9"/>
      <c r="B691" s="9"/>
      <c r="C691" s="9"/>
      <c r="D691" s="9"/>
      <c r="E691" s="9"/>
      <c r="F691" s="9"/>
      <c r="G691" s="9"/>
      <c r="H691" s="9"/>
      <c r="I691" s="9"/>
      <c r="J691" s="9"/>
      <c r="K691" s="9"/>
      <c r="L691" s="115"/>
      <c r="M691" s="115"/>
      <c r="N691" s="115"/>
      <c r="O691" s="115"/>
      <c r="P691" s="9"/>
      <c r="Q691" s="9"/>
      <c r="R691" s="9"/>
      <c r="S691" s="9"/>
      <c r="T691" s="9"/>
      <c r="U691" s="9"/>
      <c r="V691" s="9"/>
      <c r="W691" s="10"/>
      <c r="X691" s="10"/>
      <c r="Y691" s="10"/>
      <c r="Z691" s="10"/>
    </row>
    <row r="692">
      <c r="A692" s="9"/>
      <c r="B692" s="9"/>
      <c r="C692" s="9"/>
      <c r="D692" s="9"/>
      <c r="E692" s="9"/>
      <c r="F692" s="9"/>
      <c r="G692" s="9"/>
      <c r="H692" s="9"/>
      <c r="I692" s="9"/>
      <c r="J692" s="9"/>
      <c r="K692" s="9"/>
      <c r="L692" s="115"/>
      <c r="M692" s="115"/>
      <c r="N692" s="115"/>
      <c r="O692" s="115"/>
      <c r="P692" s="9"/>
      <c r="Q692" s="9"/>
      <c r="R692" s="9"/>
      <c r="S692" s="9"/>
      <c r="T692" s="9"/>
      <c r="U692" s="9"/>
      <c r="V692" s="9"/>
      <c r="W692" s="10"/>
      <c r="X692" s="10"/>
      <c r="Y692" s="10"/>
      <c r="Z692" s="10"/>
    </row>
    <row r="693">
      <c r="A693" s="9"/>
      <c r="B693" s="9"/>
      <c r="C693" s="9"/>
      <c r="D693" s="9"/>
      <c r="E693" s="9"/>
      <c r="F693" s="9"/>
      <c r="G693" s="9"/>
      <c r="H693" s="9"/>
      <c r="I693" s="9"/>
      <c r="J693" s="9"/>
      <c r="K693" s="9"/>
      <c r="L693" s="115"/>
      <c r="M693" s="115"/>
      <c r="N693" s="115"/>
      <c r="O693" s="115"/>
      <c r="P693" s="9"/>
      <c r="Q693" s="9"/>
      <c r="R693" s="9"/>
      <c r="S693" s="9"/>
      <c r="T693" s="9"/>
      <c r="U693" s="9"/>
      <c r="V693" s="9"/>
      <c r="W693" s="10"/>
      <c r="X693" s="10"/>
      <c r="Y693" s="10"/>
      <c r="Z693" s="10"/>
    </row>
    <row r="694">
      <c r="A694" s="9"/>
      <c r="B694" s="9"/>
      <c r="C694" s="9"/>
      <c r="D694" s="9"/>
      <c r="E694" s="9"/>
      <c r="F694" s="9"/>
      <c r="G694" s="9"/>
      <c r="H694" s="9"/>
      <c r="I694" s="9"/>
      <c r="J694" s="9"/>
      <c r="K694" s="9"/>
      <c r="L694" s="115"/>
      <c r="M694" s="115"/>
      <c r="N694" s="115"/>
      <c r="O694" s="115"/>
      <c r="P694" s="9"/>
      <c r="Q694" s="9"/>
      <c r="R694" s="9"/>
      <c r="S694" s="9"/>
      <c r="T694" s="9"/>
      <c r="U694" s="9"/>
      <c r="V694" s="9"/>
      <c r="W694" s="10"/>
      <c r="X694" s="10"/>
      <c r="Y694" s="10"/>
      <c r="Z694" s="10"/>
    </row>
    <row r="695">
      <c r="A695" s="9"/>
      <c r="B695" s="9"/>
      <c r="C695" s="9"/>
      <c r="D695" s="9"/>
      <c r="E695" s="9"/>
      <c r="F695" s="9"/>
      <c r="G695" s="9"/>
      <c r="H695" s="9"/>
      <c r="I695" s="9"/>
      <c r="J695" s="9"/>
      <c r="K695" s="9"/>
      <c r="L695" s="115"/>
      <c r="M695" s="115"/>
      <c r="N695" s="115"/>
      <c r="O695" s="115"/>
      <c r="P695" s="9"/>
      <c r="Q695" s="9"/>
      <c r="R695" s="9"/>
      <c r="S695" s="9"/>
      <c r="T695" s="9"/>
      <c r="U695" s="9"/>
      <c r="V695" s="9"/>
      <c r="W695" s="10"/>
      <c r="X695" s="10"/>
      <c r="Y695" s="10"/>
      <c r="Z695" s="10"/>
    </row>
    <row r="696">
      <c r="A696" s="9"/>
      <c r="B696" s="9"/>
      <c r="C696" s="9"/>
      <c r="D696" s="9"/>
      <c r="E696" s="9"/>
      <c r="F696" s="9"/>
      <c r="G696" s="9"/>
      <c r="H696" s="9"/>
      <c r="I696" s="9"/>
      <c r="J696" s="9"/>
      <c r="K696" s="9"/>
      <c r="L696" s="115"/>
      <c r="M696" s="115"/>
      <c r="N696" s="115"/>
      <c r="O696" s="115"/>
      <c r="P696" s="9"/>
      <c r="Q696" s="9"/>
      <c r="R696" s="9"/>
      <c r="S696" s="9"/>
      <c r="T696" s="9"/>
      <c r="U696" s="9"/>
      <c r="V696" s="9"/>
      <c r="W696" s="10"/>
      <c r="X696" s="10"/>
      <c r="Y696" s="10"/>
      <c r="Z696" s="10"/>
    </row>
    <row r="697">
      <c r="A697" s="9"/>
      <c r="B697" s="9"/>
      <c r="C697" s="9"/>
      <c r="D697" s="9"/>
      <c r="E697" s="9"/>
      <c r="F697" s="9"/>
      <c r="G697" s="9"/>
      <c r="H697" s="9"/>
      <c r="I697" s="9"/>
      <c r="J697" s="9"/>
      <c r="K697" s="9"/>
      <c r="L697" s="115"/>
      <c r="M697" s="115"/>
      <c r="N697" s="115"/>
      <c r="O697" s="115"/>
      <c r="P697" s="9"/>
      <c r="Q697" s="9"/>
      <c r="R697" s="9"/>
      <c r="S697" s="9"/>
      <c r="T697" s="9"/>
      <c r="U697" s="9"/>
      <c r="V697" s="9"/>
      <c r="W697" s="10"/>
      <c r="X697" s="10"/>
      <c r="Y697" s="10"/>
      <c r="Z697" s="10"/>
    </row>
    <row r="698">
      <c r="A698" s="9"/>
      <c r="B698" s="9"/>
      <c r="C698" s="9"/>
      <c r="D698" s="9"/>
      <c r="E698" s="9"/>
      <c r="F698" s="9"/>
      <c r="G698" s="9"/>
      <c r="H698" s="9"/>
      <c r="I698" s="9"/>
      <c r="J698" s="9"/>
      <c r="K698" s="9"/>
      <c r="L698" s="115"/>
      <c r="M698" s="115"/>
      <c r="N698" s="115"/>
      <c r="O698" s="115"/>
      <c r="P698" s="9"/>
      <c r="Q698" s="9"/>
      <c r="R698" s="9"/>
      <c r="S698" s="9"/>
      <c r="T698" s="9"/>
      <c r="U698" s="9"/>
      <c r="V698" s="9"/>
      <c r="W698" s="10"/>
      <c r="X698" s="10"/>
      <c r="Y698" s="10"/>
      <c r="Z698" s="10"/>
    </row>
    <row r="699">
      <c r="A699" s="9"/>
      <c r="B699" s="9"/>
      <c r="C699" s="9"/>
      <c r="D699" s="9"/>
      <c r="E699" s="9"/>
      <c r="F699" s="9"/>
      <c r="G699" s="9"/>
      <c r="H699" s="9"/>
      <c r="I699" s="9"/>
      <c r="J699" s="9"/>
      <c r="K699" s="9"/>
      <c r="L699" s="115"/>
      <c r="M699" s="115"/>
      <c r="N699" s="115"/>
      <c r="O699" s="115"/>
      <c r="P699" s="9"/>
      <c r="Q699" s="9"/>
      <c r="R699" s="9"/>
      <c r="S699" s="9"/>
      <c r="T699" s="9"/>
      <c r="U699" s="9"/>
      <c r="V699" s="9"/>
      <c r="W699" s="10"/>
      <c r="X699" s="10"/>
      <c r="Y699" s="10"/>
      <c r="Z699" s="10"/>
    </row>
    <row r="700">
      <c r="A700" s="9"/>
      <c r="B700" s="9"/>
      <c r="C700" s="9"/>
      <c r="D700" s="9"/>
      <c r="E700" s="9"/>
      <c r="F700" s="9"/>
      <c r="G700" s="9"/>
      <c r="H700" s="9"/>
      <c r="I700" s="9"/>
      <c r="J700" s="9"/>
      <c r="K700" s="9"/>
      <c r="L700" s="115"/>
      <c r="M700" s="115"/>
      <c r="N700" s="115"/>
      <c r="O700" s="115"/>
      <c r="P700" s="9"/>
      <c r="Q700" s="9"/>
      <c r="R700" s="9"/>
      <c r="S700" s="9"/>
      <c r="T700" s="9"/>
      <c r="U700" s="9"/>
      <c r="V700" s="9"/>
      <c r="W700" s="10"/>
      <c r="X700" s="10"/>
      <c r="Y700" s="10"/>
      <c r="Z700" s="10"/>
    </row>
    <row r="701">
      <c r="A701" s="9"/>
      <c r="B701" s="9"/>
      <c r="C701" s="9"/>
      <c r="D701" s="9"/>
      <c r="E701" s="9"/>
      <c r="F701" s="9"/>
      <c r="G701" s="9"/>
      <c r="H701" s="9"/>
      <c r="I701" s="9"/>
      <c r="J701" s="9"/>
      <c r="K701" s="9"/>
      <c r="L701" s="115"/>
      <c r="M701" s="115"/>
      <c r="N701" s="115"/>
      <c r="O701" s="115"/>
      <c r="P701" s="9"/>
      <c r="Q701" s="9"/>
      <c r="R701" s="9"/>
      <c r="S701" s="9"/>
      <c r="T701" s="9"/>
      <c r="U701" s="9"/>
      <c r="V701" s="9"/>
      <c r="W701" s="10"/>
      <c r="X701" s="10"/>
      <c r="Y701" s="10"/>
      <c r="Z701" s="10"/>
    </row>
    <row r="702">
      <c r="A702" s="9"/>
      <c r="B702" s="9"/>
      <c r="C702" s="9"/>
      <c r="D702" s="9"/>
      <c r="E702" s="9"/>
      <c r="F702" s="9"/>
      <c r="G702" s="9"/>
      <c r="H702" s="9"/>
      <c r="I702" s="9"/>
      <c r="J702" s="9"/>
      <c r="K702" s="9"/>
      <c r="L702" s="115"/>
      <c r="M702" s="115"/>
      <c r="N702" s="115"/>
      <c r="O702" s="115"/>
      <c r="P702" s="9"/>
      <c r="Q702" s="9"/>
      <c r="R702" s="9"/>
      <c r="S702" s="9"/>
      <c r="T702" s="9"/>
      <c r="U702" s="9"/>
      <c r="V702" s="9"/>
      <c r="W702" s="10"/>
      <c r="X702" s="10"/>
      <c r="Y702" s="10"/>
      <c r="Z702" s="10"/>
    </row>
    <row r="703">
      <c r="A703" s="9"/>
      <c r="B703" s="9"/>
      <c r="C703" s="9"/>
      <c r="D703" s="9"/>
      <c r="E703" s="9"/>
      <c r="F703" s="9"/>
      <c r="G703" s="9"/>
      <c r="H703" s="9"/>
      <c r="I703" s="9"/>
      <c r="J703" s="9"/>
      <c r="K703" s="9"/>
      <c r="L703" s="115"/>
      <c r="M703" s="115"/>
      <c r="N703" s="115"/>
      <c r="O703" s="115"/>
      <c r="P703" s="9"/>
      <c r="Q703" s="9"/>
      <c r="R703" s="9"/>
      <c r="S703" s="9"/>
      <c r="T703" s="9"/>
      <c r="U703" s="9"/>
      <c r="V703" s="9"/>
      <c r="W703" s="10"/>
      <c r="X703" s="10"/>
      <c r="Y703" s="10"/>
      <c r="Z703" s="10"/>
    </row>
    <row r="704">
      <c r="A704" s="9"/>
      <c r="B704" s="9"/>
      <c r="C704" s="9"/>
      <c r="D704" s="9"/>
      <c r="E704" s="9"/>
      <c r="F704" s="9"/>
      <c r="G704" s="9"/>
      <c r="H704" s="9"/>
      <c r="I704" s="9"/>
      <c r="J704" s="9"/>
      <c r="K704" s="9"/>
      <c r="L704" s="115"/>
      <c r="M704" s="115"/>
      <c r="N704" s="115"/>
      <c r="O704" s="115"/>
      <c r="P704" s="9"/>
      <c r="Q704" s="9"/>
      <c r="R704" s="9"/>
      <c r="S704" s="9"/>
      <c r="T704" s="9"/>
      <c r="U704" s="9"/>
      <c r="V704" s="9"/>
      <c r="W704" s="10"/>
      <c r="X704" s="10"/>
      <c r="Y704" s="10"/>
      <c r="Z704" s="10"/>
    </row>
    <row r="705">
      <c r="A705" s="9"/>
      <c r="B705" s="9"/>
      <c r="C705" s="9"/>
      <c r="D705" s="9"/>
      <c r="E705" s="9"/>
      <c r="F705" s="9"/>
      <c r="G705" s="9"/>
      <c r="H705" s="9"/>
      <c r="I705" s="9"/>
      <c r="J705" s="9"/>
      <c r="K705" s="9"/>
      <c r="L705" s="115"/>
      <c r="M705" s="115"/>
      <c r="N705" s="115"/>
      <c r="O705" s="115"/>
      <c r="P705" s="9"/>
      <c r="Q705" s="9"/>
      <c r="R705" s="9"/>
      <c r="S705" s="9"/>
      <c r="T705" s="9"/>
      <c r="U705" s="9"/>
      <c r="V705" s="9"/>
      <c r="W705" s="10"/>
      <c r="X705" s="10"/>
      <c r="Y705" s="10"/>
      <c r="Z705" s="10"/>
    </row>
    <row r="706">
      <c r="A706" s="9"/>
      <c r="B706" s="9"/>
      <c r="C706" s="9"/>
      <c r="D706" s="9"/>
      <c r="E706" s="9"/>
      <c r="F706" s="9"/>
      <c r="G706" s="9"/>
      <c r="H706" s="9"/>
      <c r="I706" s="9"/>
      <c r="J706" s="9"/>
      <c r="K706" s="9"/>
      <c r="L706" s="115"/>
      <c r="M706" s="115"/>
      <c r="N706" s="115"/>
      <c r="O706" s="115"/>
      <c r="P706" s="9"/>
      <c r="Q706" s="9"/>
      <c r="R706" s="9"/>
      <c r="S706" s="9"/>
      <c r="T706" s="9"/>
      <c r="U706" s="9"/>
      <c r="V706" s="9"/>
      <c r="W706" s="10"/>
      <c r="X706" s="10"/>
      <c r="Y706" s="10"/>
      <c r="Z706" s="10"/>
    </row>
    <row r="707">
      <c r="A707" s="9"/>
      <c r="B707" s="9"/>
      <c r="C707" s="9"/>
      <c r="D707" s="9"/>
      <c r="E707" s="9"/>
      <c r="F707" s="9"/>
      <c r="G707" s="9"/>
      <c r="H707" s="9"/>
      <c r="I707" s="9"/>
      <c r="J707" s="9"/>
      <c r="K707" s="9"/>
      <c r="L707" s="115"/>
      <c r="M707" s="115"/>
      <c r="N707" s="115"/>
      <c r="O707" s="115"/>
      <c r="P707" s="9"/>
      <c r="Q707" s="9"/>
      <c r="R707" s="9"/>
      <c r="S707" s="9"/>
      <c r="T707" s="9"/>
      <c r="U707" s="9"/>
      <c r="V707" s="9"/>
      <c r="W707" s="10"/>
      <c r="X707" s="10"/>
      <c r="Y707" s="10"/>
      <c r="Z707" s="10"/>
    </row>
    <row r="708">
      <c r="A708" s="9"/>
      <c r="B708" s="9"/>
      <c r="C708" s="9"/>
      <c r="D708" s="9"/>
      <c r="E708" s="9"/>
      <c r="F708" s="9"/>
      <c r="G708" s="9"/>
      <c r="H708" s="9"/>
      <c r="I708" s="9"/>
      <c r="J708" s="9"/>
      <c r="K708" s="9"/>
      <c r="L708" s="115"/>
      <c r="M708" s="115"/>
      <c r="N708" s="115"/>
      <c r="O708" s="115"/>
      <c r="P708" s="9"/>
      <c r="Q708" s="9"/>
      <c r="R708" s="9"/>
      <c r="S708" s="9"/>
      <c r="T708" s="9"/>
      <c r="U708" s="9"/>
      <c r="V708" s="9"/>
      <c r="W708" s="10"/>
      <c r="X708" s="10"/>
      <c r="Y708" s="10"/>
      <c r="Z708" s="10"/>
    </row>
    <row r="709">
      <c r="A709" s="9"/>
      <c r="B709" s="9"/>
      <c r="C709" s="9"/>
      <c r="D709" s="9"/>
      <c r="E709" s="9"/>
      <c r="F709" s="9"/>
      <c r="G709" s="9"/>
      <c r="H709" s="9"/>
      <c r="I709" s="9"/>
      <c r="J709" s="9"/>
      <c r="K709" s="9"/>
      <c r="L709" s="115"/>
      <c r="M709" s="115"/>
      <c r="N709" s="115"/>
      <c r="O709" s="115"/>
      <c r="P709" s="9"/>
      <c r="Q709" s="9"/>
      <c r="R709" s="9"/>
      <c r="S709" s="9"/>
      <c r="T709" s="9"/>
      <c r="U709" s="9"/>
      <c r="V709" s="9"/>
      <c r="W709" s="10"/>
      <c r="X709" s="10"/>
      <c r="Y709" s="10"/>
      <c r="Z709" s="10"/>
    </row>
    <row r="710">
      <c r="A710" s="9"/>
      <c r="B710" s="9"/>
      <c r="C710" s="9"/>
      <c r="D710" s="9"/>
      <c r="E710" s="9"/>
      <c r="F710" s="9"/>
      <c r="G710" s="9"/>
      <c r="H710" s="9"/>
      <c r="I710" s="9"/>
      <c r="J710" s="9"/>
      <c r="K710" s="9"/>
      <c r="L710" s="115"/>
      <c r="M710" s="115"/>
      <c r="N710" s="115"/>
      <c r="O710" s="115"/>
      <c r="P710" s="9"/>
      <c r="Q710" s="9"/>
      <c r="R710" s="9"/>
      <c r="S710" s="9"/>
      <c r="T710" s="9"/>
      <c r="U710" s="9"/>
      <c r="V710" s="9"/>
      <c r="W710" s="10"/>
      <c r="X710" s="10"/>
      <c r="Y710" s="10"/>
      <c r="Z710" s="10"/>
    </row>
    <row r="711">
      <c r="A711" s="9"/>
      <c r="B711" s="9"/>
      <c r="C711" s="9"/>
      <c r="D711" s="9"/>
      <c r="E711" s="9"/>
      <c r="F711" s="9"/>
      <c r="G711" s="9"/>
      <c r="H711" s="9"/>
      <c r="I711" s="9"/>
      <c r="J711" s="9"/>
      <c r="K711" s="9"/>
      <c r="L711" s="115"/>
      <c r="M711" s="115"/>
      <c r="N711" s="115"/>
      <c r="O711" s="115"/>
      <c r="P711" s="9"/>
      <c r="Q711" s="9"/>
      <c r="R711" s="9"/>
      <c r="S711" s="9"/>
      <c r="T711" s="9"/>
      <c r="U711" s="9"/>
      <c r="V711" s="9"/>
      <c r="W711" s="10"/>
      <c r="X711" s="10"/>
      <c r="Y711" s="10"/>
      <c r="Z711" s="10"/>
    </row>
    <row r="712">
      <c r="A712" s="9"/>
      <c r="B712" s="9"/>
      <c r="C712" s="9"/>
      <c r="D712" s="9"/>
      <c r="E712" s="9"/>
      <c r="F712" s="9"/>
      <c r="G712" s="9"/>
      <c r="H712" s="9"/>
      <c r="I712" s="9"/>
      <c r="J712" s="9"/>
      <c r="K712" s="9"/>
      <c r="L712" s="115"/>
      <c r="M712" s="115"/>
      <c r="N712" s="115"/>
      <c r="O712" s="115"/>
      <c r="P712" s="9"/>
      <c r="Q712" s="9"/>
      <c r="R712" s="9"/>
      <c r="S712" s="9"/>
      <c r="T712" s="9"/>
      <c r="U712" s="9"/>
      <c r="V712" s="9"/>
      <c r="W712" s="10"/>
      <c r="X712" s="10"/>
      <c r="Y712" s="10"/>
      <c r="Z712" s="10"/>
    </row>
    <row r="713">
      <c r="A713" s="9"/>
      <c r="B713" s="9"/>
      <c r="C713" s="9"/>
      <c r="D713" s="9"/>
      <c r="E713" s="9"/>
      <c r="F713" s="9"/>
      <c r="G713" s="9"/>
      <c r="H713" s="9"/>
      <c r="I713" s="9"/>
      <c r="J713" s="9"/>
      <c r="K713" s="9"/>
      <c r="L713" s="115"/>
      <c r="M713" s="115"/>
      <c r="N713" s="115"/>
      <c r="O713" s="115"/>
      <c r="P713" s="9"/>
      <c r="Q713" s="9"/>
      <c r="R713" s="9"/>
      <c r="S713" s="9"/>
      <c r="T713" s="9"/>
      <c r="U713" s="9"/>
      <c r="V713" s="9"/>
      <c r="W713" s="10"/>
      <c r="X713" s="10"/>
      <c r="Y713" s="10"/>
      <c r="Z713" s="10"/>
    </row>
    <row r="714">
      <c r="A714" s="9"/>
      <c r="B714" s="9"/>
      <c r="C714" s="9"/>
      <c r="D714" s="9"/>
      <c r="E714" s="9"/>
      <c r="F714" s="9"/>
      <c r="G714" s="9"/>
      <c r="H714" s="9"/>
      <c r="I714" s="9"/>
      <c r="J714" s="9"/>
      <c r="K714" s="9"/>
      <c r="L714" s="115"/>
      <c r="M714" s="115"/>
      <c r="N714" s="115"/>
      <c r="O714" s="115"/>
      <c r="P714" s="9"/>
      <c r="Q714" s="9"/>
      <c r="R714" s="9"/>
      <c r="S714" s="9"/>
      <c r="T714" s="9"/>
      <c r="U714" s="9"/>
      <c r="V714" s="9"/>
      <c r="W714" s="10"/>
      <c r="X714" s="10"/>
      <c r="Y714" s="10"/>
      <c r="Z714" s="10"/>
    </row>
    <row r="715">
      <c r="A715" s="9"/>
      <c r="B715" s="9"/>
      <c r="C715" s="9"/>
      <c r="D715" s="9"/>
      <c r="E715" s="9"/>
      <c r="F715" s="9"/>
      <c r="G715" s="9"/>
      <c r="H715" s="9"/>
      <c r="I715" s="9"/>
      <c r="J715" s="9"/>
      <c r="K715" s="9"/>
      <c r="L715" s="115"/>
      <c r="M715" s="115"/>
      <c r="N715" s="115"/>
      <c r="O715" s="115"/>
      <c r="P715" s="9"/>
      <c r="Q715" s="9"/>
      <c r="R715" s="9"/>
      <c r="S715" s="9"/>
      <c r="T715" s="9"/>
      <c r="U715" s="9"/>
      <c r="V715" s="9"/>
      <c r="W715" s="10"/>
      <c r="X715" s="10"/>
      <c r="Y715" s="10"/>
      <c r="Z715" s="10"/>
    </row>
    <row r="716">
      <c r="A716" s="9"/>
      <c r="B716" s="9"/>
      <c r="C716" s="9"/>
      <c r="D716" s="9"/>
      <c r="E716" s="9"/>
      <c r="F716" s="9"/>
      <c r="G716" s="9"/>
      <c r="H716" s="9"/>
      <c r="I716" s="9"/>
      <c r="J716" s="9"/>
      <c r="K716" s="9"/>
      <c r="L716" s="115"/>
      <c r="M716" s="115"/>
      <c r="N716" s="115"/>
      <c r="O716" s="115"/>
      <c r="P716" s="9"/>
      <c r="Q716" s="9"/>
      <c r="R716" s="9"/>
      <c r="S716" s="9"/>
      <c r="T716" s="9"/>
      <c r="U716" s="9"/>
      <c r="V716" s="9"/>
      <c r="W716" s="10"/>
      <c r="X716" s="10"/>
      <c r="Y716" s="10"/>
      <c r="Z716" s="10"/>
    </row>
    <row r="717">
      <c r="A717" s="9"/>
      <c r="B717" s="9"/>
      <c r="C717" s="9"/>
      <c r="D717" s="9"/>
      <c r="E717" s="9"/>
      <c r="F717" s="9"/>
      <c r="G717" s="9"/>
      <c r="H717" s="9"/>
      <c r="I717" s="9"/>
      <c r="J717" s="9"/>
      <c r="K717" s="9"/>
      <c r="L717" s="115"/>
      <c r="M717" s="115"/>
      <c r="N717" s="115"/>
      <c r="O717" s="115"/>
      <c r="P717" s="9"/>
      <c r="Q717" s="9"/>
      <c r="R717" s="9"/>
      <c r="S717" s="9"/>
      <c r="T717" s="9"/>
      <c r="U717" s="9"/>
      <c r="V717" s="9"/>
      <c r="W717" s="10"/>
      <c r="X717" s="10"/>
      <c r="Y717" s="10"/>
      <c r="Z717" s="10"/>
    </row>
    <row r="718">
      <c r="A718" s="9"/>
      <c r="B718" s="9"/>
      <c r="C718" s="9"/>
      <c r="D718" s="9"/>
      <c r="E718" s="9"/>
      <c r="F718" s="9"/>
      <c r="G718" s="9"/>
      <c r="H718" s="9"/>
      <c r="I718" s="9"/>
      <c r="J718" s="9"/>
      <c r="K718" s="9"/>
      <c r="L718" s="115"/>
      <c r="M718" s="115"/>
      <c r="N718" s="115"/>
      <c r="O718" s="115"/>
      <c r="P718" s="9"/>
      <c r="Q718" s="9"/>
      <c r="R718" s="9"/>
      <c r="S718" s="9"/>
      <c r="T718" s="9"/>
      <c r="U718" s="9"/>
      <c r="V718" s="9"/>
      <c r="W718" s="10"/>
      <c r="X718" s="10"/>
      <c r="Y718" s="10"/>
      <c r="Z718" s="10"/>
    </row>
    <row r="719">
      <c r="A719" s="9"/>
      <c r="B719" s="9"/>
      <c r="C719" s="9"/>
      <c r="D719" s="9"/>
      <c r="E719" s="9"/>
      <c r="F719" s="9"/>
      <c r="G719" s="9"/>
      <c r="H719" s="9"/>
      <c r="I719" s="9"/>
      <c r="J719" s="9"/>
      <c r="K719" s="9"/>
      <c r="L719" s="115"/>
      <c r="M719" s="115"/>
      <c r="N719" s="115"/>
      <c r="O719" s="115"/>
      <c r="P719" s="9"/>
      <c r="Q719" s="9"/>
      <c r="R719" s="9"/>
      <c r="S719" s="9"/>
      <c r="T719" s="9"/>
      <c r="U719" s="9"/>
      <c r="V719" s="9"/>
      <c r="W719" s="10"/>
      <c r="X719" s="10"/>
      <c r="Y719" s="10"/>
      <c r="Z719" s="10"/>
    </row>
    <row r="720">
      <c r="A720" s="9"/>
      <c r="B720" s="9"/>
      <c r="C720" s="9"/>
      <c r="D720" s="9"/>
      <c r="E720" s="9"/>
      <c r="F720" s="9"/>
      <c r="G720" s="9"/>
      <c r="H720" s="9"/>
      <c r="I720" s="9"/>
      <c r="J720" s="9"/>
      <c r="K720" s="9"/>
      <c r="L720" s="115"/>
      <c r="M720" s="115"/>
      <c r="N720" s="115"/>
      <c r="O720" s="115"/>
      <c r="P720" s="9"/>
      <c r="Q720" s="9"/>
      <c r="R720" s="9"/>
      <c r="S720" s="9"/>
      <c r="T720" s="9"/>
      <c r="U720" s="9"/>
      <c r="V720" s="9"/>
      <c r="W720" s="10"/>
      <c r="X720" s="10"/>
      <c r="Y720" s="10"/>
      <c r="Z720" s="10"/>
    </row>
    <row r="721">
      <c r="A721" s="9"/>
      <c r="B721" s="9"/>
      <c r="C721" s="9"/>
      <c r="D721" s="9"/>
      <c r="E721" s="9"/>
      <c r="F721" s="9"/>
      <c r="G721" s="9"/>
      <c r="H721" s="9"/>
      <c r="I721" s="9"/>
      <c r="J721" s="9"/>
      <c r="K721" s="9"/>
      <c r="L721" s="115"/>
      <c r="M721" s="115"/>
      <c r="N721" s="115"/>
      <c r="O721" s="115"/>
      <c r="P721" s="9"/>
      <c r="Q721" s="9"/>
      <c r="R721" s="9"/>
      <c r="S721" s="9"/>
      <c r="T721" s="9"/>
      <c r="U721" s="9"/>
      <c r="V721" s="9"/>
      <c r="W721" s="10"/>
      <c r="X721" s="10"/>
      <c r="Y721" s="10"/>
      <c r="Z721" s="10"/>
    </row>
    <row r="722">
      <c r="A722" s="9"/>
      <c r="B722" s="9"/>
      <c r="C722" s="9"/>
      <c r="D722" s="9"/>
      <c r="E722" s="9"/>
      <c r="F722" s="9"/>
      <c r="G722" s="9"/>
      <c r="H722" s="9"/>
      <c r="I722" s="9"/>
      <c r="J722" s="9"/>
      <c r="K722" s="9"/>
      <c r="L722" s="115"/>
      <c r="M722" s="115"/>
      <c r="N722" s="115"/>
      <c r="O722" s="115"/>
      <c r="P722" s="9"/>
      <c r="Q722" s="9"/>
      <c r="R722" s="9"/>
      <c r="S722" s="9"/>
      <c r="T722" s="9"/>
      <c r="U722" s="9"/>
      <c r="V722" s="9"/>
      <c r="W722" s="10"/>
      <c r="X722" s="10"/>
      <c r="Y722" s="10"/>
      <c r="Z722" s="10"/>
    </row>
    <row r="723">
      <c r="A723" s="9"/>
      <c r="B723" s="9"/>
      <c r="C723" s="9"/>
      <c r="D723" s="9"/>
      <c r="E723" s="9"/>
      <c r="F723" s="9"/>
      <c r="G723" s="9"/>
      <c r="H723" s="9"/>
      <c r="I723" s="9"/>
      <c r="J723" s="9"/>
      <c r="K723" s="9"/>
      <c r="L723" s="115"/>
      <c r="M723" s="115"/>
      <c r="N723" s="115"/>
      <c r="O723" s="115"/>
      <c r="P723" s="9"/>
      <c r="Q723" s="9"/>
      <c r="R723" s="9"/>
      <c r="S723" s="9"/>
      <c r="T723" s="9"/>
      <c r="U723" s="9"/>
      <c r="V723" s="9"/>
      <c r="W723" s="10"/>
      <c r="X723" s="10"/>
      <c r="Y723" s="10"/>
      <c r="Z723" s="10"/>
    </row>
    <row r="724">
      <c r="A724" s="9"/>
      <c r="B724" s="9"/>
      <c r="C724" s="9"/>
      <c r="D724" s="9"/>
      <c r="E724" s="9"/>
      <c r="F724" s="9"/>
      <c r="G724" s="9"/>
      <c r="H724" s="9"/>
      <c r="I724" s="9"/>
      <c r="J724" s="9"/>
      <c r="K724" s="9"/>
      <c r="L724" s="115"/>
      <c r="M724" s="115"/>
      <c r="N724" s="115"/>
      <c r="O724" s="115"/>
      <c r="P724" s="9"/>
      <c r="Q724" s="9"/>
      <c r="R724" s="9"/>
      <c r="S724" s="9"/>
      <c r="T724" s="9"/>
      <c r="U724" s="9"/>
      <c r="V724" s="9"/>
      <c r="W724" s="10"/>
      <c r="X724" s="10"/>
      <c r="Y724" s="10"/>
      <c r="Z724" s="10"/>
    </row>
    <row r="725">
      <c r="A725" s="9"/>
      <c r="B725" s="9"/>
      <c r="C725" s="9"/>
      <c r="D725" s="9"/>
      <c r="E725" s="9"/>
      <c r="F725" s="9"/>
      <c r="G725" s="9"/>
      <c r="H725" s="9"/>
      <c r="I725" s="9"/>
      <c r="J725" s="9"/>
      <c r="K725" s="9"/>
      <c r="L725" s="115"/>
      <c r="M725" s="115"/>
      <c r="N725" s="115"/>
      <c r="O725" s="115"/>
      <c r="P725" s="9"/>
      <c r="Q725" s="9"/>
      <c r="R725" s="9"/>
      <c r="S725" s="9"/>
      <c r="T725" s="9"/>
      <c r="U725" s="9"/>
      <c r="V725" s="9"/>
      <c r="W725" s="10"/>
      <c r="X725" s="10"/>
      <c r="Y725" s="10"/>
      <c r="Z725" s="10"/>
    </row>
    <row r="726">
      <c r="A726" s="9"/>
      <c r="B726" s="9"/>
      <c r="C726" s="9"/>
      <c r="D726" s="9"/>
      <c r="E726" s="9"/>
      <c r="F726" s="9"/>
      <c r="G726" s="9"/>
      <c r="H726" s="9"/>
      <c r="I726" s="9"/>
      <c r="J726" s="9"/>
      <c r="K726" s="9"/>
      <c r="L726" s="115"/>
      <c r="M726" s="115"/>
      <c r="N726" s="115"/>
      <c r="O726" s="115"/>
      <c r="P726" s="9"/>
      <c r="Q726" s="9"/>
      <c r="R726" s="9"/>
      <c r="S726" s="9"/>
      <c r="T726" s="9"/>
      <c r="U726" s="9"/>
      <c r="V726" s="9"/>
      <c r="W726" s="10"/>
      <c r="X726" s="10"/>
      <c r="Y726" s="10"/>
      <c r="Z726" s="10"/>
    </row>
    <row r="727">
      <c r="A727" s="9"/>
      <c r="B727" s="9"/>
      <c r="C727" s="9"/>
      <c r="D727" s="9"/>
      <c r="E727" s="9"/>
      <c r="F727" s="9"/>
      <c r="G727" s="9"/>
      <c r="H727" s="9"/>
      <c r="I727" s="9"/>
      <c r="J727" s="9"/>
      <c r="K727" s="9"/>
      <c r="L727" s="115"/>
      <c r="M727" s="115"/>
      <c r="N727" s="115"/>
      <c r="O727" s="115"/>
      <c r="P727" s="9"/>
      <c r="Q727" s="9"/>
      <c r="R727" s="9"/>
      <c r="S727" s="9"/>
      <c r="T727" s="9"/>
      <c r="U727" s="9"/>
      <c r="V727" s="9"/>
      <c r="W727" s="10"/>
      <c r="X727" s="10"/>
      <c r="Y727" s="10"/>
      <c r="Z727" s="10"/>
    </row>
    <row r="728">
      <c r="A728" s="9"/>
      <c r="B728" s="9"/>
      <c r="C728" s="9"/>
      <c r="D728" s="9"/>
      <c r="E728" s="9"/>
      <c r="F728" s="9"/>
      <c r="G728" s="9"/>
      <c r="H728" s="9"/>
      <c r="I728" s="9"/>
      <c r="J728" s="9"/>
      <c r="K728" s="9"/>
      <c r="L728" s="115"/>
      <c r="M728" s="115"/>
      <c r="N728" s="115"/>
      <c r="O728" s="115"/>
      <c r="P728" s="9"/>
      <c r="Q728" s="9"/>
      <c r="R728" s="9"/>
      <c r="S728" s="9"/>
      <c r="T728" s="9"/>
      <c r="U728" s="9"/>
      <c r="V728" s="9"/>
      <c r="W728" s="10"/>
      <c r="X728" s="10"/>
      <c r="Y728" s="10"/>
      <c r="Z728" s="10"/>
    </row>
    <row r="729">
      <c r="A729" s="9"/>
      <c r="B729" s="9"/>
      <c r="C729" s="9"/>
      <c r="D729" s="9"/>
      <c r="E729" s="9"/>
      <c r="F729" s="9"/>
      <c r="G729" s="9"/>
      <c r="H729" s="9"/>
      <c r="I729" s="9"/>
      <c r="J729" s="9"/>
      <c r="K729" s="9"/>
      <c r="L729" s="115"/>
      <c r="M729" s="115"/>
      <c r="N729" s="115"/>
      <c r="O729" s="115"/>
      <c r="P729" s="9"/>
      <c r="Q729" s="9"/>
      <c r="R729" s="9"/>
      <c r="S729" s="9"/>
      <c r="T729" s="9"/>
      <c r="U729" s="9"/>
      <c r="V729" s="9"/>
      <c r="W729" s="10"/>
      <c r="X729" s="10"/>
      <c r="Y729" s="10"/>
      <c r="Z729" s="10"/>
    </row>
    <row r="730">
      <c r="A730" s="9"/>
      <c r="B730" s="9"/>
      <c r="C730" s="9"/>
      <c r="D730" s="9"/>
      <c r="E730" s="9"/>
      <c r="F730" s="9"/>
      <c r="G730" s="9"/>
      <c r="H730" s="9"/>
      <c r="I730" s="9"/>
      <c r="J730" s="9"/>
      <c r="K730" s="9"/>
      <c r="L730" s="115"/>
      <c r="M730" s="115"/>
      <c r="N730" s="115"/>
      <c r="O730" s="115"/>
      <c r="P730" s="9"/>
      <c r="Q730" s="9"/>
      <c r="R730" s="9"/>
      <c r="S730" s="9"/>
      <c r="T730" s="9"/>
      <c r="U730" s="9"/>
      <c r="V730" s="9"/>
      <c r="W730" s="10"/>
      <c r="X730" s="10"/>
      <c r="Y730" s="10"/>
      <c r="Z730" s="10"/>
    </row>
    <row r="731">
      <c r="A731" s="9"/>
      <c r="B731" s="9"/>
      <c r="C731" s="9"/>
      <c r="D731" s="9"/>
      <c r="E731" s="9"/>
      <c r="F731" s="9"/>
      <c r="G731" s="9"/>
      <c r="H731" s="9"/>
      <c r="I731" s="9"/>
      <c r="J731" s="9"/>
      <c r="K731" s="9"/>
      <c r="L731" s="115"/>
      <c r="M731" s="115"/>
      <c r="N731" s="115"/>
      <c r="O731" s="115"/>
      <c r="P731" s="9"/>
      <c r="Q731" s="9"/>
      <c r="R731" s="9"/>
      <c r="S731" s="9"/>
      <c r="T731" s="9"/>
      <c r="U731" s="9"/>
      <c r="V731" s="9"/>
      <c r="W731" s="10"/>
      <c r="X731" s="10"/>
      <c r="Y731" s="10"/>
      <c r="Z731" s="10"/>
    </row>
    <row r="732">
      <c r="A732" s="9"/>
      <c r="B732" s="9"/>
      <c r="C732" s="9"/>
      <c r="D732" s="9"/>
      <c r="E732" s="9"/>
      <c r="F732" s="9"/>
      <c r="G732" s="9"/>
      <c r="H732" s="9"/>
      <c r="I732" s="9"/>
      <c r="J732" s="9"/>
      <c r="K732" s="9"/>
      <c r="L732" s="115"/>
      <c r="M732" s="115"/>
      <c r="N732" s="115"/>
      <c r="O732" s="115"/>
      <c r="P732" s="9"/>
      <c r="Q732" s="9"/>
      <c r="R732" s="9"/>
      <c r="S732" s="9"/>
      <c r="T732" s="9"/>
      <c r="U732" s="9"/>
      <c r="V732" s="9"/>
      <c r="W732" s="10"/>
      <c r="X732" s="10"/>
      <c r="Y732" s="10"/>
      <c r="Z732" s="10"/>
    </row>
    <row r="733">
      <c r="A733" s="9"/>
      <c r="B733" s="9"/>
      <c r="C733" s="9"/>
      <c r="D733" s="9"/>
      <c r="E733" s="9"/>
      <c r="F733" s="9"/>
      <c r="G733" s="9"/>
      <c r="H733" s="9"/>
      <c r="I733" s="9"/>
      <c r="J733" s="9"/>
      <c r="K733" s="9"/>
      <c r="L733" s="115"/>
      <c r="M733" s="115"/>
      <c r="N733" s="115"/>
      <c r="O733" s="115"/>
      <c r="P733" s="9"/>
      <c r="Q733" s="9"/>
      <c r="R733" s="9"/>
      <c r="S733" s="9"/>
      <c r="T733" s="9"/>
      <c r="U733" s="9"/>
      <c r="V733" s="9"/>
      <c r="W733" s="10"/>
      <c r="X733" s="10"/>
      <c r="Y733" s="10"/>
      <c r="Z733" s="10"/>
    </row>
    <row r="734">
      <c r="A734" s="9"/>
      <c r="B734" s="9"/>
      <c r="C734" s="9"/>
      <c r="D734" s="9"/>
      <c r="E734" s="9"/>
      <c r="F734" s="9"/>
      <c r="G734" s="9"/>
      <c r="H734" s="9"/>
      <c r="I734" s="9"/>
      <c r="J734" s="9"/>
      <c r="K734" s="9"/>
      <c r="L734" s="115"/>
      <c r="M734" s="115"/>
      <c r="N734" s="115"/>
      <c r="O734" s="115"/>
      <c r="P734" s="9"/>
      <c r="Q734" s="9"/>
      <c r="R734" s="9"/>
      <c r="S734" s="9"/>
      <c r="T734" s="9"/>
      <c r="U734" s="9"/>
      <c r="V734" s="9"/>
      <c r="W734" s="10"/>
      <c r="X734" s="10"/>
      <c r="Y734" s="10"/>
      <c r="Z734" s="10"/>
    </row>
    <row r="735">
      <c r="A735" s="9"/>
      <c r="B735" s="9"/>
      <c r="C735" s="9"/>
      <c r="D735" s="9"/>
      <c r="E735" s="9"/>
      <c r="F735" s="9"/>
      <c r="G735" s="9"/>
      <c r="H735" s="9"/>
      <c r="I735" s="9"/>
      <c r="J735" s="9"/>
      <c r="K735" s="9"/>
      <c r="L735" s="115"/>
      <c r="M735" s="115"/>
      <c r="N735" s="115"/>
      <c r="O735" s="115"/>
      <c r="P735" s="9"/>
      <c r="Q735" s="9"/>
      <c r="R735" s="9"/>
      <c r="S735" s="9"/>
      <c r="T735" s="9"/>
      <c r="U735" s="9"/>
      <c r="V735" s="9"/>
      <c r="W735" s="10"/>
      <c r="X735" s="10"/>
      <c r="Y735" s="10"/>
      <c r="Z735" s="10"/>
    </row>
    <row r="736">
      <c r="A736" s="9"/>
      <c r="B736" s="9"/>
      <c r="C736" s="9"/>
      <c r="D736" s="9"/>
      <c r="E736" s="9"/>
      <c r="F736" s="9"/>
      <c r="G736" s="9"/>
      <c r="H736" s="9"/>
      <c r="I736" s="9"/>
      <c r="J736" s="9"/>
      <c r="K736" s="9"/>
      <c r="L736" s="115"/>
      <c r="M736" s="115"/>
      <c r="N736" s="115"/>
      <c r="O736" s="115"/>
      <c r="P736" s="9"/>
      <c r="Q736" s="9"/>
      <c r="R736" s="9"/>
      <c r="S736" s="9"/>
      <c r="T736" s="9"/>
      <c r="U736" s="9"/>
      <c r="V736" s="9"/>
      <c r="W736" s="10"/>
      <c r="X736" s="10"/>
      <c r="Y736" s="10"/>
      <c r="Z736" s="10"/>
    </row>
    <row r="737">
      <c r="A737" s="9"/>
      <c r="B737" s="9"/>
      <c r="C737" s="9"/>
      <c r="D737" s="9"/>
      <c r="E737" s="9"/>
      <c r="F737" s="9"/>
      <c r="G737" s="9"/>
      <c r="H737" s="9"/>
      <c r="I737" s="9"/>
      <c r="J737" s="9"/>
      <c r="K737" s="9"/>
      <c r="L737" s="115"/>
      <c r="M737" s="115"/>
      <c r="N737" s="115"/>
      <c r="O737" s="115"/>
      <c r="P737" s="9"/>
      <c r="Q737" s="9"/>
      <c r="R737" s="9"/>
      <c r="S737" s="9"/>
      <c r="T737" s="9"/>
      <c r="U737" s="9"/>
      <c r="V737" s="9"/>
      <c r="W737" s="10"/>
      <c r="X737" s="10"/>
      <c r="Y737" s="10"/>
      <c r="Z737" s="10"/>
    </row>
    <row r="738">
      <c r="A738" s="9"/>
      <c r="B738" s="9"/>
      <c r="C738" s="9"/>
      <c r="D738" s="9"/>
      <c r="E738" s="9"/>
      <c r="F738" s="9"/>
      <c r="G738" s="9"/>
      <c r="H738" s="9"/>
      <c r="I738" s="9"/>
      <c r="J738" s="9"/>
      <c r="K738" s="9"/>
      <c r="L738" s="115"/>
      <c r="M738" s="115"/>
      <c r="N738" s="115"/>
      <c r="O738" s="115"/>
      <c r="P738" s="9"/>
      <c r="Q738" s="9"/>
      <c r="R738" s="9"/>
      <c r="S738" s="9"/>
      <c r="T738" s="9"/>
      <c r="U738" s="9"/>
      <c r="V738" s="9"/>
      <c r="W738" s="10"/>
      <c r="X738" s="10"/>
      <c r="Y738" s="10"/>
      <c r="Z738" s="10"/>
    </row>
    <row r="739">
      <c r="A739" s="9"/>
      <c r="B739" s="9"/>
      <c r="C739" s="9"/>
      <c r="D739" s="9"/>
      <c r="E739" s="9"/>
      <c r="F739" s="9"/>
      <c r="G739" s="9"/>
      <c r="H739" s="9"/>
      <c r="I739" s="9"/>
      <c r="J739" s="9"/>
      <c r="K739" s="9"/>
      <c r="L739" s="115"/>
      <c r="M739" s="115"/>
      <c r="N739" s="115"/>
      <c r="O739" s="115"/>
      <c r="P739" s="9"/>
      <c r="Q739" s="9"/>
      <c r="R739" s="9"/>
      <c r="S739" s="9"/>
      <c r="T739" s="9"/>
      <c r="U739" s="9"/>
      <c r="V739" s="9"/>
      <c r="W739" s="10"/>
      <c r="X739" s="10"/>
      <c r="Y739" s="10"/>
      <c r="Z739" s="10"/>
    </row>
    <row r="740">
      <c r="A740" s="9"/>
      <c r="B740" s="9"/>
      <c r="C740" s="9"/>
      <c r="D740" s="9"/>
      <c r="E740" s="9"/>
      <c r="F740" s="9"/>
      <c r="G740" s="9"/>
      <c r="H740" s="9"/>
      <c r="I740" s="9"/>
      <c r="J740" s="9"/>
      <c r="K740" s="9"/>
      <c r="L740" s="115"/>
      <c r="M740" s="115"/>
      <c r="N740" s="115"/>
      <c r="O740" s="115"/>
      <c r="P740" s="9"/>
      <c r="Q740" s="9"/>
      <c r="R740" s="9"/>
      <c r="S740" s="9"/>
      <c r="T740" s="9"/>
      <c r="U740" s="9"/>
      <c r="V740" s="9"/>
      <c r="W740" s="10"/>
      <c r="X740" s="10"/>
      <c r="Y740" s="10"/>
      <c r="Z740" s="10"/>
    </row>
    <row r="741">
      <c r="A741" s="9"/>
      <c r="B741" s="9"/>
      <c r="C741" s="9"/>
      <c r="D741" s="9"/>
      <c r="E741" s="9"/>
      <c r="F741" s="9"/>
      <c r="G741" s="9"/>
      <c r="H741" s="9"/>
      <c r="I741" s="9"/>
      <c r="J741" s="9"/>
      <c r="K741" s="9"/>
      <c r="L741" s="115"/>
      <c r="M741" s="115"/>
      <c r="N741" s="115"/>
      <c r="O741" s="115"/>
      <c r="P741" s="9"/>
      <c r="Q741" s="9"/>
      <c r="R741" s="9"/>
      <c r="S741" s="9"/>
      <c r="T741" s="9"/>
      <c r="U741" s="9"/>
      <c r="V741" s="9"/>
      <c r="W741" s="10"/>
      <c r="X741" s="10"/>
      <c r="Y741" s="10"/>
      <c r="Z741" s="10"/>
    </row>
    <row r="742">
      <c r="A742" s="9"/>
      <c r="B742" s="9"/>
      <c r="C742" s="9"/>
      <c r="D742" s="9"/>
      <c r="E742" s="9"/>
      <c r="F742" s="9"/>
      <c r="G742" s="9"/>
      <c r="H742" s="9"/>
      <c r="I742" s="9"/>
      <c r="J742" s="9"/>
      <c r="K742" s="9"/>
      <c r="L742" s="115"/>
      <c r="M742" s="115"/>
      <c r="N742" s="115"/>
      <c r="O742" s="115"/>
      <c r="P742" s="9"/>
      <c r="Q742" s="9"/>
      <c r="R742" s="9"/>
      <c r="S742" s="9"/>
      <c r="T742" s="9"/>
      <c r="U742" s="9"/>
      <c r="V742" s="9"/>
      <c r="W742" s="10"/>
      <c r="X742" s="10"/>
      <c r="Y742" s="10"/>
      <c r="Z742" s="10"/>
    </row>
    <row r="743">
      <c r="A743" s="9"/>
      <c r="B743" s="9"/>
      <c r="C743" s="9"/>
      <c r="D743" s="9"/>
      <c r="E743" s="9"/>
      <c r="F743" s="9"/>
      <c r="G743" s="9"/>
      <c r="H743" s="9"/>
      <c r="I743" s="9"/>
      <c r="J743" s="9"/>
      <c r="K743" s="9"/>
      <c r="L743" s="115"/>
      <c r="M743" s="115"/>
      <c r="N743" s="115"/>
      <c r="O743" s="115"/>
      <c r="P743" s="9"/>
      <c r="Q743" s="9"/>
      <c r="R743" s="9"/>
      <c r="S743" s="9"/>
      <c r="T743" s="9"/>
      <c r="U743" s="9"/>
      <c r="V743" s="9"/>
      <c r="W743" s="10"/>
      <c r="X743" s="10"/>
      <c r="Y743" s="10"/>
      <c r="Z743" s="10"/>
    </row>
    <row r="744">
      <c r="A744" s="9"/>
      <c r="B744" s="9"/>
      <c r="C744" s="9"/>
      <c r="D744" s="9"/>
      <c r="E744" s="9"/>
      <c r="F744" s="9"/>
      <c r="G744" s="9"/>
      <c r="H744" s="9"/>
      <c r="I744" s="9"/>
      <c r="J744" s="9"/>
      <c r="K744" s="9"/>
      <c r="L744" s="115"/>
      <c r="M744" s="115"/>
      <c r="N744" s="115"/>
      <c r="O744" s="115"/>
      <c r="P744" s="9"/>
      <c r="Q744" s="9"/>
      <c r="R744" s="9"/>
      <c r="S744" s="9"/>
      <c r="T744" s="9"/>
      <c r="U744" s="9"/>
      <c r="V744" s="9"/>
      <c r="W744" s="10"/>
      <c r="X744" s="10"/>
      <c r="Y744" s="10"/>
      <c r="Z744" s="10"/>
    </row>
    <row r="745">
      <c r="A745" s="9"/>
      <c r="B745" s="9"/>
      <c r="C745" s="9"/>
      <c r="D745" s="9"/>
      <c r="E745" s="9"/>
      <c r="F745" s="9"/>
      <c r="G745" s="9"/>
      <c r="H745" s="9"/>
      <c r="I745" s="9"/>
      <c r="J745" s="9"/>
      <c r="K745" s="9"/>
      <c r="L745" s="115"/>
      <c r="M745" s="115"/>
      <c r="N745" s="115"/>
      <c r="O745" s="115"/>
      <c r="P745" s="9"/>
      <c r="Q745" s="9"/>
      <c r="R745" s="9"/>
      <c r="S745" s="9"/>
      <c r="T745" s="9"/>
      <c r="U745" s="9"/>
      <c r="V745" s="9"/>
      <c r="W745" s="10"/>
      <c r="X745" s="10"/>
      <c r="Y745" s="10"/>
      <c r="Z745" s="10"/>
    </row>
    <row r="746">
      <c r="A746" s="9"/>
      <c r="B746" s="9"/>
      <c r="C746" s="9"/>
      <c r="D746" s="9"/>
      <c r="E746" s="9"/>
      <c r="F746" s="9"/>
      <c r="G746" s="9"/>
      <c r="H746" s="9"/>
      <c r="I746" s="9"/>
      <c r="J746" s="9"/>
      <c r="K746" s="9"/>
      <c r="L746" s="115"/>
      <c r="M746" s="115"/>
      <c r="N746" s="115"/>
      <c r="O746" s="115"/>
      <c r="P746" s="9"/>
      <c r="Q746" s="9"/>
      <c r="R746" s="9"/>
      <c r="S746" s="9"/>
      <c r="T746" s="9"/>
      <c r="U746" s="9"/>
      <c r="V746" s="9"/>
      <c r="W746" s="10"/>
      <c r="X746" s="10"/>
      <c r="Y746" s="10"/>
      <c r="Z746" s="10"/>
    </row>
    <row r="747">
      <c r="A747" s="9"/>
      <c r="B747" s="9"/>
      <c r="C747" s="9"/>
      <c r="D747" s="9"/>
      <c r="E747" s="9"/>
      <c r="F747" s="9"/>
      <c r="G747" s="9"/>
      <c r="H747" s="9"/>
      <c r="I747" s="9"/>
      <c r="J747" s="9"/>
      <c r="K747" s="9"/>
      <c r="L747" s="115"/>
      <c r="M747" s="115"/>
      <c r="N747" s="115"/>
      <c r="O747" s="115"/>
      <c r="P747" s="9"/>
      <c r="Q747" s="9"/>
      <c r="R747" s="9"/>
      <c r="S747" s="9"/>
      <c r="T747" s="9"/>
      <c r="U747" s="9"/>
      <c r="V747" s="9"/>
      <c r="W747" s="10"/>
      <c r="X747" s="10"/>
      <c r="Y747" s="10"/>
      <c r="Z747" s="10"/>
    </row>
    <row r="748">
      <c r="A748" s="9"/>
      <c r="B748" s="9"/>
      <c r="C748" s="9"/>
      <c r="D748" s="9"/>
      <c r="E748" s="9"/>
      <c r="F748" s="9"/>
      <c r="G748" s="9"/>
      <c r="H748" s="9"/>
      <c r="I748" s="9"/>
      <c r="J748" s="9"/>
      <c r="K748" s="9"/>
      <c r="L748" s="115"/>
      <c r="M748" s="115"/>
      <c r="N748" s="115"/>
      <c r="O748" s="115"/>
      <c r="P748" s="9"/>
      <c r="Q748" s="9"/>
      <c r="R748" s="9"/>
      <c r="S748" s="9"/>
      <c r="T748" s="9"/>
      <c r="U748" s="9"/>
      <c r="V748" s="9"/>
      <c r="W748" s="10"/>
      <c r="X748" s="10"/>
      <c r="Y748" s="10"/>
      <c r="Z748" s="10"/>
    </row>
    <row r="749">
      <c r="A749" s="9"/>
      <c r="B749" s="9"/>
      <c r="C749" s="9"/>
      <c r="D749" s="9"/>
      <c r="E749" s="9"/>
      <c r="F749" s="9"/>
      <c r="G749" s="9"/>
      <c r="H749" s="9"/>
      <c r="I749" s="9"/>
      <c r="J749" s="9"/>
      <c r="K749" s="9"/>
      <c r="L749" s="115"/>
      <c r="M749" s="115"/>
      <c r="N749" s="115"/>
      <c r="O749" s="115"/>
      <c r="P749" s="9"/>
      <c r="Q749" s="9"/>
      <c r="R749" s="9"/>
      <c r="S749" s="9"/>
      <c r="T749" s="9"/>
      <c r="U749" s="9"/>
      <c r="V749" s="9"/>
      <c r="W749" s="10"/>
      <c r="X749" s="10"/>
      <c r="Y749" s="10"/>
      <c r="Z749" s="10"/>
    </row>
    <row r="750">
      <c r="A750" s="9"/>
      <c r="B750" s="9"/>
      <c r="C750" s="9"/>
      <c r="D750" s="9"/>
      <c r="E750" s="9"/>
      <c r="F750" s="9"/>
      <c r="G750" s="9"/>
      <c r="H750" s="9"/>
      <c r="I750" s="9"/>
      <c r="J750" s="9"/>
      <c r="K750" s="9"/>
      <c r="L750" s="115"/>
      <c r="M750" s="115"/>
      <c r="N750" s="115"/>
      <c r="O750" s="115"/>
      <c r="P750" s="9"/>
      <c r="Q750" s="9"/>
      <c r="R750" s="9"/>
      <c r="S750" s="9"/>
      <c r="T750" s="9"/>
      <c r="U750" s="9"/>
      <c r="V750" s="9"/>
      <c r="W750" s="10"/>
      <c r="X750" s="10"/>
      <c r="Y750" s="10"/>
      <c r="Z750" s="10"/>
    </row>
    <row r="751">
      <c r="A751" s="9"/>
      <c r="B751" s="9"/>
      <c r="C751" s="9"/>
      <c r="D751" s="9"/>
      <c r="E751" s="9"/>
      <c r="F751" s="9"/>
      <c r="G751" s="9"/>
      <c r="H751" s="9"/>
      <c r="I751" s="9"/>
      <c r="J751" s="9"/>
      <c r="K751" s="9"/>
      <c r="L751" s="115"/>
      <c r="M751" s="115"/>
      <c r="N751" s="115"/>
      <c r="O751" s="115"/>
      <c r="P751" s="9"/>
      <c r="Q751" s="9"/>
      <c r="R751" s="9"/>
      <c r="S751" s="9"/>
      <c r="T751" s="9"/>
      <c r="U751" s="9"/>
      <c r="V751" s="9"/>
      <c r="W751" s="10"/>
      <c r="X751" s="10"/>
      <c r="Y751" s="10"/>
      <c r="Z751" s="10"/>
    </row>
    <row r="752">
      <c r="A752" s="9"/>
      <c r="B752" s="9"/>
      <c r="C752" s="9"/>
      <c r="D752" s="9"/>
      <c r="E752" s="9"/>
      <c r="F752" s="9"/>
      <c r="G752" s="9"/>
      <c r="H752" s="9"/>
      <c r="I752" s="9"/>
      <c r="J752" s="9"/>
      <c r="K752" s="9"/>
      <c r="L752" s="115"/>
      <c r="M752" s="115"/>
      <c r="N752" s="115"/>
      <c r="O752" s="115"/>
      <c r="P752" s="9"/>
      <c r="Q752" s="9"/>
      <c r="R752" s="9"/>
      <c r="S752" s="9"/>
      <c r="T752" s="9"/>
      <c r="U752" s="9"/>
      <c r="V752" s="9"/>
      <c r="W752" s="10"/>
      <c r="X752" s="10"/>
      <c r="Y752" s="10"/>
      <c r="Z752" s="10"/>
    </row>
    <row r="753">
      <c r="A753" s="9"/>
      <c r="B753" s="9"/>
      <c r="C753" s="9"/>
      <c r="D753" s="9"/>
      <c r="E753" s="9"/>
      <c r="F753" s="9"/>
      <c r="G753" s="9"/>
      <c r="H753" s="9"/>
      <c r="I753" s="9"/>
      <c r="J753" s="9"/>
      <c r="K753" s="9"/>
      <c r="L753" s="115"/>
      <c r="M753" s="115"/>
      <c r="N753" s="115"/>
      <c r="O753" s="115"/>
      <c r="P753" s="9"/>
      <c r="Q753" s="9"/>
      <c r="R753" s="9"/>
      <c r="S753" s="9"/>
      <c r="T753" s="9"/>
      <c r="U753" s="9"/>
      <c r="V753" s="9"/>
      <c r="W753" s="10"/>
      <c r="X753" s="10"/>
      <c r="Y753" s="10"/>
      <c r="Z753" s="10"/>
    </row>
    <row r="754">
      <c r="A754" s="9"/>
      <c r="B754" s="9"/>
      <c r="C754" s="9"/>
      <c r="D754" s="9"/>
      <c r="E754" s="9"/>
      <c r="F754" s="9"/>
      <c r="G754" s="9"/>
      <c r="H754" s="9"/>
      <c r="I754" s="9"/>
      <c r="J754" s="9"/>
      <c r="K754" s="9"/>
      <c r="L754" s="115"/>
      <c r="M754" s="115"/>
      <c r="N754" s="115"/>
      <c r="O754" s="115"/>
      <c r="P754" s="9"/>
      <c r="Q754" s="9"/>
      <c r="R754" s="9"/>
      <c r="S754" s="9"/>
      <c r="T754" s="9"/>
      <c r="U754" s="9"/>
      <c r="V754" s="9"/>
      <c r="W754" s="10"/>
      <c r="X754" s="10"/>
      <c r="Y754" s="10"/>
      <c r="Z754" s="10"/>
    </row>
    <row r="755">
      <c r="A755" s="9"/>
      <c r="B755" s="9"/>
      <c r="C755" s="9"/>
      <c r="D755" s="9"/>
      <c r="E755" s="9"/>
      <c r="F755" s="9"/>
      <c r="G755" s="9"/>
      <c r="H755" s="9"/>
      <c r="I755" s="9"/>
      <c r="J755" s="9"/>
      <c r="K755" s="9"/>
      <c r="L755" s="115"/>
      <c r="M755" s="115"/>
      <c r="N755" s="115"/>
      <c r="O755" s="115"/>
      <c r="P755" s="9"/>
      <c r="Q755" s="9"/>
      <c r="R755" s="9"/>
      <c r="S755" s="9"/>
      <c r="T755" s="9"/>
      <c r="U755" s="9"/>
      <c r="V755" s="9"/>
      <c r="W755" s="10"/>
      <c r="X755" s="10"/>
      <c r="Y755" s="10"/>
      <c r="Z755" s="10"/>
    </row>
    <row r="756">
      <c r="A756" s="9"/>
      <c r="B756" s="9"/>
      <c r="C756" s="9"/>
      <c r="D756" s="9"/>
      <c r="E756" s="9"/>
      <c r="F756" s="9"/>
      <c r="G756" s="9"/>
      <c r="H756" s="9"/>
      <c r="I756" s="9"/>
      <c r="J756" s="9"/>
      <c r="K756" s="9"/>
      <c r="L756" s="115"/>
      <c r="M756" s="115"/>
      <c r="N756" s="115"/>
      <c r="O756" s="115"/>
      <c r="P756" s="9"/>
      <c r="Q756" s="9"/>
      <c r="R756" s="9"/>
      <c r="S756" s="9"/>
      <c r="T756" s="9"/>
      <c r="U756" s="9"/>
      <c r="V756" s="9"/>
      <c r="W756" s="10"/>
      <c r="X756" s="10"/>
      <c r="Y756" s="10"/>
      <c r="Z756" s="10"/>
    </row>
    <row r="757">
      <c r="A757" s="9"/>
      <c r="B757" s="9"/>
      <c r="C757" s="9"/>
      <c r="D757" s="9"/>
      <c r="E757" s="9"/>
      <c r="F757" s="9"/>
      <c r="G757" s="9"/>
      <c r="H757" s="9"/>
      <c r="I757" s="9"/>
      <c r="J757" s="9"/>
      <c r="K757" s="9"/>
      <c r="L757" s="115"/>
      <c r="M757" s="115"/>
      <c r="N757" s="115"/>
      <c r="O757" s="115"/>
      <c r="P757" s="9"/>
      <c r="Q757" s="9"/>
      <c r="R757" s="9"/>
      <c r="S757" s="9"/>
      <c r="T757" s="9"/>
      <c r="U757" s="9"/>
      <c r="V757" s="9"/>
      <c r="W757" s="10"/>
      <c r="X757" s="10"/>
      <c r="Y757" s="10"/>
      <c r="Z757" s="10"/>
    </row>
    <row r="758">
      <c r="A758" s="9"/>
      <c r="B758" s="9"/>
      <c r="C758" s="9"/>
      <c r="D758" s="9"/>
      <c r="E758" s="9"/>
      <c r="F758" s="9"/>
      <c r="G758" s="9"/>
      <c r="H758" s="9"/>
      <c r="I758" s="9"/>
      <c r="J758" s="9"/>
      <c r="K758" s="9"/>
      <c r="L758" s="115"/>
      <c r="M758" s="115"/>
      <c r="N758" s="115"/>
      <c r="O758" s="115"/>
      <c r="P758" s="9"/>
      <c r="Q758" s="9"/>
      <c r="R758" s="9"/>
      <c r="S758" s="9"/>
      <c r="T758" s="9"/>
      <c r="U758" s="9"/>
      <c r="V758" s="9"/>
      <c r="W758" s="10"/>
      <c r="X758" s="10"/>
      <c r="Y758" s="10"/>
      <c r="Z758" s="10"/>
    </row>
    <row r="759">
      <c r="A759" s="9"/>
      <c r="B759" s="9"/>
      <c r="C759" s="9"/>
      <c r="D759" s="9"/>
      <c r="E759" s="9"/>
      <c r="F759" s="9"/>
      <c r="G759" s="9"/>
      <c r="H759" s="9"/>
      <c r="I759" s="9"/>
      <c r="J759" s="9"/>
      <c r="K759" s="9"/>
      <c r="L759" s="115"/>
      <c r="M759" s="115"/>
      <c r="N759" s="115"/>
      <c r="O759" s="115"/>
      <c r="P759" s="9"/>
      <c r="Q759" s="9"/>
      <c r="R759" s="9"/>
      <c r="S759" s="9"/>
      <c r="T759" s="9"/>
      <c r="U759" s="9"/>
      <c r="V759" s="9"/>
      <c r="W759" s="10"/>
      <c r="X759" s="10"/>
      <c r="Y759" s="10"/>
      <c r="Z759" s="10"/>
    </row>
    <row r="760">
      <c r="A760" s="9"/>
      <c r="B760" s="9"/>
      <c r="C760" s="9"/>
      <c r="D760" s="9"/>
      <c r="E760" s="9"/>
      <c r="F760" s="9"/>
      <c r="G760" s="9"/>
      <c r="H760" s="9"/>
      <c r="I760" s="9"/>
      <c r="J760" s="9"/>
      <c r="K760" s="9"/>
      <c r="L760" s="115"/>
      <c r="M760" s="115"/>
      <c r="N760" s="115"/>
      <c r="O760" s="115"/>
      <c r="P760" s="9"/>
      <c r="Q760" s="9"/>
      <c r="R760" s="9"/>
      <c r="S760" s="9"/>
      <c r="T760" s="9"/>
      <c r="U760" s="9"/>
      <c r="V760" s="9"/>
      <c r="W760" s="10"/>
      <c r="X760" s="10"/>
      <c r="Y760" s="10"/>
      <c r="Z760" s="10"/>
    </row>
    <row r="761">
      <c r="A761" s="9"/>
      <c r="B761" s="9"/>
      <c r="C761" s="9"/>
      <c r="D761" s="9"/>
      <c r="E761" s="9"/>
      <c r="F761" s="9"/>
      <c r="G761" s="9"/>
      <c r="H761" s="9"/>
      <c r="I761" s="9"/>
      <c r="J761" s="9"/>
      <c r="K761" s="9"/>
      <c r="L761" s="115"/>
      <c r="M761" s="115"/>
      <c r="N761" s="115"/>
      <c r="O761" s="115"/>
      <c r="P761" s="9"/>
      <c r="Q761" s="9"/>
      <c r="R761" s="9"/>
      <c r="S761" s="9"/>
      <c r="T761" s="9"/>
      <c r="U761" s="9"/>
      <c r="V761" s="9"/>
      <c r="W761" s="10"/>
      <c r="X761" s="10"/>
      <c r="Y761" s="10"/>
      <c r="Z761" s="10"/>
    </row>
    <row r="762">
      <c r="A762" s="9"/>
      <c r="B762" s="9"/>
      <c r="C762" s="9"/>
      <c r="D762" s="9"/>
      <c r="E762" s="9"/>
      <c r="F762" s="9"/>
      <c r="G762" s="9"/>
      <c r="H762" s="9"/>
      <c r="I762" s="9"/>
      <c r="J762" s="9"/>
      <c r="K762" s="9"/>
      <c r="L762" s="115"/>
      <c r="M762" s="115"/>
      <c r="N762" s="115"/>
      <c r="O762" s="115"/>
      <c r="P762" s="9"/>
      <c r="Q762" s="9"/>
      <c r="R762" s="9"/>
      <c r="S762" s="9"/>
      <c r="T762" s="9"/>
      <c r="U762" s="9"/>
      <c r="V762" s="9"/>
      <c r="W762" s="10"/>
      <c r="X762" s="10"/>
      <c r="Y762" s="10"/>
      <c r="Z762" s="10"/>
    </row>
    <row r="763">
      <c r="A763" s="9"/>
      <c r="B763" s="9"/>
      <c r="C763" s="9"/>
      <c r="D763" s="9"/>
      <c r="E763" s="9"/>
      <c r="F763" s="9"/>
      <c r="G763" s="9"/>
      <c r="H763" s="9"/>
      <c r="I763" s="9"/>
      <c r="J763" s="9"/>
      <c r="K763" s="9"/>
      <c r="L763" s="115"/>
      <c r="M763" s="115"/>
      <c r="N763" s="115"/>
      <c r="O763" s="115"/>
      <c r="P763" s="9"/>
      <c r="Q763" s="9"/>
      <c r="R763" s="9"/>
      <c r="S763" s="9"/>
      <c r="T763" s="9"/>
      <c r="U763" s="9"/>
      <c r="V763" s="9"/>
      <c r="W763" s="10"/>
      <c r="X763" s="10"/>
      <c r="Y763" s="10"/>
      <c r="Z763" s="10"/>
    </row>
    <row r="764">
      <c r="A764" s="9"/>
      <c r="B764" s="9"/>
      <c r="C764" s="9"/>
      <c r="D764" s="9"/>
      <c r="E764" s="9"/>
      <c r="F764" s="9"/>
      <c r="G764" s="9"/>
      <c r="H764" s="9"/>
      <c r="I764" s="9"/>
      <c r="J764" s="9"/>
      <c r="K764" s="9"/>
      <c r="L764" s="115"/>
      <c r="M764" s="115"/>
      <c r="N764" s="115"/>
      <c r="O764" s="115"/>
      <c r="P764" s="9"/>
      <c r="Q764" s="9"/>
      <c r="R764" s="9"/>
      <c r="S764" s="9"/>
      <c r="T764" s="9"/>
      <c r="U764" s="9"/>
      <c r="V764" s="9"/>
      <c r="W764" s="10"/>
      <c r="X764" s="10"/>
      <c r="Y764" s="10"/>
      <c r="Z764" s="10"/>
    </row>
    <row r="765">
      <c r="A765" s="9"/>
      <c r="B765" s="9"/>
      <c r="C765" s="9"/>
      <c r="D765" s="9"/>
      <c r="E765" s="9"/>
      <c r="F765" s="9"/>
      <c r="G765" s="9"/>
      <c r="H765" s="9"/>
      <c r="I765" s="9"/>
      <c r="J765" s="9"/>
      <c r="K765" s="9"/>
      <c r="L765" s="115"/>
      <c r="M765" s="115"/>
      <c r="N765" s="115"/>
      <c r="O765" s="115"/>
      <c r="P765" s="9"/>
      <c r="Q765" s="9"/>
      <c r="R765" s="9"/>
      <c r="S765" s="9"/>
      <c r="T765" s="9"/>
      <c r="U765" s="9"/>
      <c r="V765" s="9"/>
      <c r="W765" s="10"/>
      <c r="X765" s="10"/>
      <c r="Y765" s="10"/>
      <c r="Z765" s="10"/>
    </row>
    <row r="766">
      <c r="A766" s="9"/>
      <c r="B766" s="9"/>
      <c r="C766" s="9"/>
      <c r="D766" s="9"/>
      <c r="E766" s="9"/>
      <c r="F766" s="9"/>
      <c r="G766" s="9"/>
      <c r="H766" s="9"/>
      <c r="I766" s="9"/>
      <c r="J766" s="9"/>
      <c r="K766" s="9"/>
      <c r="L766" s="115"/>
      <c r="M766" s="115"/>
      <c r="N766" s="115"/>
      <c r="O766" s="115"/>
      <c r="P766" s="9"/>
      <c r="Q766" s="9"/>
      <c r="R766" s="9"/>
      <c r="S766" s="9"/>
      <c r="T766" s="9"/>
      <c r="U766" s="9"/>
      <c r="V766" s="9"/>
      <c r="W766" s="10"/>
      <c r="X766" s="10"/>
      <c r="Y766" s="10"/>
      <c r="Z766" s="10"/>
    </row>
    <row r="767">
      <c r="A767" s="9"/>
      <c r="B767" s="9"/>
      <c r="C767" s="9"/>
      <c r="D767" s="9"/>
      <c r="E767" s="9"/>
      <c r="F767" s="9"/>
      <c r="G767" s="9"/>
      <c r="H767" s="9"/>
      <c r="I767" s="9"/>
      <c r="J767" s="9"/>
      <c r="K767" s="9"/>
      <c r="L767" s="115"/>
      <c r="M767" s="115"/>
      <c r="N767" s="115"/>
      <c r="O767" s="115"/>
      <c r="P767" s="9"/>
      <c r="Q767" s="9"/>
      <c r="R767" s="9"/>
      <c r="S767" s="9"/>
      <c r="T767" s="9"/>
      <c r="U767" s="9"/>
      <c r="V767" s="9"/>
      <c r="W767" s="10"/>
      <c r="X767" s="10"/>
      <c r="Y767" s="10"/>
      <c r="Z767" s="10"/>
    </row>
    <row r="768">
      <c r="A768" s="9"/>
      <c r="B768" s="9"/>
      <c r="C768" s="9"/>
      <c r="D768" s="9"/>
      <c r="E768" s="9"/>
      <c r="F768" s="9"/>
      <c r="G768" s="9"/>
      <c r="H768" s="9"/>
      <c r="I768" s="9"/>
      <c r="J768" s="9"/>
      <c r="K768" s="9"/>
      <c r="L768" s="115"/>
      <c r="M768" s="115"/>
      <c r="N768" s="115"/>
      <c r="O768" s="115"/>
      <c r="P768" s="9"/>
      <c r="Q768" s="9"/>
      <c r="R768" s="9"/>
      <c r="S768" s="9"/>
      <c r="T768" s="9"/>
      <c r="U768" s="9"/>
      <c r="V768" s="9"/>
      <c r="W768" s="10"/>
      <c r="X768" s="10"/>
      <c r="Y768" s="10"/>
      <c r="Z768" s="10"/>
    </row>
    <row r="769">
      <c r="A769" s="9"/>
      <c r="B769" s="9"/>
      <c r="C769" s="9"/>
      <c r="D769" s="9"/>
      <c r="E769" s="9"/>
      <c r="F769" s="9"/>
      <c r="G769" s="9"/>
      <c r="H769" s="9"/>
      <c r="I769" s="9"/>
      <c r="J769" s="9"/>
      <c r="K769" s="9"/>
      <c r="L769" s="115"/>
      <c r="M769" s="115"/>
      <c r="N769" s="115"/>
      <c r="O769" s="115"/>
      <c r="P769" s="9"/>
      <c r="Q769" s="9"/>
      <c r="R769" s="9"/>
      <c r="S769" s="9"/>
      <c r="T769" s="9"/>
      <c r="U769" s="9"/>
      <c r="V769" s="9"/>
      <c r="W769" s="10"/>
      <c r="X769" s="10"/>
      <c r="Y769" s="10"/>
      <c r="Z769" s="10"/>
    </row>
    <row r="770">
      <c r="A770" s="9"/>
      <c r="B770" s="9"/>
      <c r="C770" s="9"/>
      <c r="D770" s="9"/>
      <c r="E770" s="9"/>
      <c r="F770" s="9"/>
      <c r="G770" s="9"/>
      <c r="H770" s="9"/>
      <c r="I770" s="9"/>
      <c r="J770" s="9"/>
      <c r="K770" s="9"/>
      <c r="L770" s="115"/>
      <c r="M770" s="115"/>
      <c r="N770" s="115"/>
      <c r="O770" s="115"/>
      <c r="P770" s="9"/>
      <c r="Q770" s="9"/>
      <c r="R770" s="9"/>
      <c r="S770" s="9"/>
      <c r="T770" s="9"/>
      <c r="U770" s="9"/>
      <c r="V770" s="9"/>
      <c r="W770" s="10"/>
      <c r="X770" s="10"/>
      <c r="Y770" s="10"/>
      <c r="Z770" s="10"/>
    </row>
    <row r="771">
      <c r="A771" s="9"/>
      <c r="B771" s="9"/>
      <c r="C771" s="9"/>
      <c r="D771" s="9"/>
      <c r="E771" s="9"/>
      <c r="F771" s="9"/>
      <c r="G771" s="9"/>
      <c r="H771" s="9"/>
      <c r="I771" s="9"/>
      <c r="J771" s="9"/>
      <c r="K771" s="9"/>
      <c r="L771" s="115"/>
      <c r="M771" s="115"/>
      <c r="N771" s="115"/>
      <c r="O771" s="115"/>
      <c r="P771" s="9"/>
      <c r="Q771" s="9"/>
      <c r="R771" s="9"/>
      <c r="S771" s="9"/>
      <c r="T771" s="9"/>
      <c r="U771" s="9"/>
      <c r="V771" s="9"/>
      <c r="W771" s="10"/>
      <c r="X771" s="10"/>
      <c r="Y771" s="10"/>
      <c r="Z771" s="10"/>
    </row>
    <row r="772">
      <c r="A772" s="9"/>
      <c r="B772" s="9"/>
      <c r="C772" s="9"/>
      <c r="D772" s="9"/>
      <c r="E772" s="9"/>
      <c r="F772" s="9"/>
      <c r="G772" s="9"/>
      <c r="H772" s="9"/>
      <c r="I772" s="9"/>
      <c r="J772" s="9"/>
      <c r="K772" s="9"/>
      <c r="L772" s="115"/>
      <c r="M772" s="115"/>
      <c r="N772" s="115"/>
      <c r="O772" s="115"/>
      <c r="P772" s="9"/>
      <c r="Q772" s="9"/>
      <c r="R772" s="9"/>
      <c r="S772" s="9"/>
      <c r="T772" s="9"/>
      <c r="U772" s="9"/>
      <c r="V772" s="9"/>
      <c r="W772" s="10"/>
      <c r="X772" s="10"/>
      <c r="Y772" s="10"/>
      <c r="Z772" s="10"/>
    </row>
    <row r="773">
      <c r="A773" s="9"/>
      <c r="B773" s="9"/>
      <c r="C773" s="9"/>
      <c r="D773" s="9"/>
      <c r="E773" s="9"/>
      <c r="F773" s="9"/>
      <c r="G773" s="9"/>
      <c r="H773" s="9"/>
      <c r="I773" s="9"/>
      <c r="J773" s="9"/>
      <c r="K773" s="9"/>
      <c r="L773" s="115"/>
      <c r="M773" s="115"/>
      <c r="N773" s="115"/>
      <c r="O773" s="115"/>
      <c r="P773" s="9"/>
      <c r="Q773" s="9"/>
      <c r="R773" s="9"/>
      <c r="S773" s="9"/>
      <c r="T773" s="9"/>
      <c r="U773" s="9"/>
      <c r="V773" s="9"/>
      <c r="W773" s="10"/>
      <c r="X773" s="10"/>
      <c r="Y773" s="10"/>
      <c r="Z773" s="10"/>
    </row>
    <row r="774">
      <c r="A774" s="9"/>
      <c r="B774" s="9"/>
      <c r="C774" s="9"/>
      <c r="D774" s="9"/>
      <c r="E774" s="9"/>
      <c r="F774" s="9"/>
      <c r="G774" s="9"/>
      <c r="H774" s="9"/>
      <c r="I774" s="9"/>
      <c r="J774" s="9"/>
      <c r="K774" s="9"/>
      <c r="L774" s="115"/>
      <c r="M774" s="115"/>
      <c r="N774" s="115"/>
      <c r="O774" s="115"/>
      <c r="P774" s="9"/>
      <c r="Q774" s="9"/>
      <c r="R774" s="9"/>
      <c r="S774" s="9"/>
      <c r="T774" s="9"/>
      <c r="U774" s="9"/>
      <c r="V774" s="9"/>
      <c r="W774" s="10"/>
      <c r="X774" s="10"/>
      <c r="Y774" s="10"/>
      <c r="Z774" s="10"/>
    </row>
    <row r="775">
      <c r="A775" s="9"/>
      <c r="B775" s="9"/>
      <c r="C775" s="9"/>
      <c r="D775" s="9"/>
      <c r="E775" s="9"/>
      <c r="F775" s="9"/>
      <c r="G775" s="9"/>
      <c r="H775" s="9"/>
      <c r="I775" s="9"/>
      <c r="J775" s="9"/>
      <c r="K775" s="9"/>
      <c r="L775" s="115"/>
      <c r="M775" s="115"/>
      <c r="N775" s="115"/>
      <c r="O775" s="115"/>
      <c r="P775" s="9"/>
      <c r="Q775" s="9"/>
      <c r="R775" s="9"/>
      <c r="S775" s="9"/>
      <c r="T775" s="9"/>
      <c r="U775" s="9"/>
      <c r="V775" s="9"/>
      <c r="W775" s="10"/>
      <c r="X775" s="10"/>
      <c r="Y775" s="10"/>
      <c r="Z775" s="10"/>
    </row>
    <row r="776">
      <c r="A776" s="9"/>
      <c r="B776" s="9"/>
      <c r="C776" s="9"/>
      <c r="D776" s="9"/>
      <c r="E776" s="9"/>
      <c r="F776" s="9"/>
      <c r="G776" s="9"/>
      <c r="H776" s="9"/>
      <c r="I776" s="9"/>
      <c r="J776" s="9"/>
      <c r="K776" s="9"/>
      <c r="L776" s="115"/>
      <c r="M776" s="115"/>
      <c r="N776" s="115"/>
      <c r="O776" s="115"/>
      <c r="P776" s="9"/>
      <c r="Q776" s="9"/>
      <c r="R776" s="9"/>
      <c r="S776" s="9"/>
      <c r="T776" s="9"/>
      <c r="U776" s="9"/>
      <c r="V776" s="9"/>
      <c r="W776" s="10"/>
      <c r="X776" s="10"/>
      <c r="Y776" s="10"/>
      <c r="Z776" s="10"/>
    </row>
    <row r="777">
      <c r="A777" s="9"/>
      <c r="B777" s="9"/>
      <c r="C777" s="9"/>
      <c r="D777" s="9"/>
      <c r="E777" s="9"/>
      <c r="F777" s="9"/>
      <c r="G777" s="9"/>
      <c r="H777" s="9"/>
      <c r="I777" s="9"/>
      <c r="J777" s="9"/>
      <c r="K777" s="9"/>
      <c r="L777" s="115"/>
      <c r="M777" s="115"/>
      <c r="N777" s="115"/>
      <c r="O777" s="115"/>
      <c r="P777" s="9"/>
      <c r="Q777" s="9"/>
      <c r="R777" s="9"/>
      <c r="S777" s="9"/>
      <c r="T777" s="9"/>
      <c r="U777" s="9"/>
      <c r="V777" s="9"/>
      <c r="W777" s="10"/>
      <c r="X777" s="10"/>
      <c r="Y777" s="10"/>
      <c r="Z777" s="10"/>
    </row>
    <row r="778">
      <c r="A778" s="9"/>
      <c r="B778" s="9"/>
      <c r="C778" s="9"/>
      <c r="D778" s="9"/>
      <c r="E778" s="9"/>
      <c r="F778" s="9"/>
      <c r="G778" s="9"/>
      <c r="H778" s="9"/>
      <c r="I778" s="9"/>
      <c r="J778" s="9"/>
      <c r="K778" s="9"/>
      <c r="L778" s="115"/>
      <c r="M778" s="115"/>
      <c r="N778" s="115"/>
      <c r="O778" s="115"/>
      <c r="P778" s="9"/>
      <c r="Q778" s="9"/>
      <c r="R778" s="9"/>
      <c r="S778" s="9"/>
      <c r="T778" s="9"/>
      <c r="U778" s="9"/>
      <c r="V778" s="9"/>
      <c r="W778" s="10"/>
      <c r="X778" s="10"/>
      <c r="Y778" s="10"/>
      <c r="Z778" s="10"/>
    </row>
    <row r="779">
      <c r="A779" s="9"/>
      <c r="B779" s="9"/>
      <c r="C779" s="9"/>
      <c r="D779" s="9"/>
      <c r="E779" s="9"/>
      <c r="F779" s="9"/>
      <c r="G779" s="9"/>
      <c r="H779" s="9"/>
      <c r="I779" s="9"/>
      <c r="J779" s="9"/>
      <c r="K779" s="9"/>
      <c r="L779" s="115"/>
      <c r="M779" s="115"/>
      <c r="N779" s="115"/>
      <c r="O779" s="115"/>
      <c r="P779" s="9"/>
      <c r="Q779" s="9"/>
      <c r="R779" s="9"/>
      <c r="S779" s="9"/>
      <c r="T779" s="9"/>
      <c r="U779" s="9"/>
      <c r="V779" s="9"/>
      <c r="W779" s="10"/>
      <c r="X779" s="10"/>
      <c r="Y779" s="10"/>
      <c r="Z779" s="10"/>
    </row>
    <row r="780">
      <c r="A780" s="9"/>
      <c r="B780" s="9"/>
      <c r="C780" s="9"/>
      <c r="D780" s="9"/>
      <c r="E780" s="9"/>
      <c r="F780" s="9"/>
      <c r="G780" s="9"/>
      <c r="H780" s="9"/>
      <c r="I780" s="9"/>
      <c r="J780" s="9"/>
      <c r="K780" s="9"/>
      <c r="L780" s="115"/>
      <c r="M780" s="115"/>
      <c r="N780" s="115"/>
      <c r="O780" s="115"/>
      <c r="P780" s="9"/>
      <c r="Q780" s="9"/>
      <c r="R780" s="9"/>
      <c r="S780" s="9"/>
      <c r="T780" s="9"/>
      <c r="U780" s="9"/>
      <c r="V780" s="9"/>
      <c r="W780" s="10"/>
      <c r="X780" s="10"/>
      <c r="Y780" s="10"/>
      <c r="Z780" s="10"/>
    </row>
    <row r="781">
      <c r="A781" s="9"/>
      <c r="B781" s="9"/>
      <c r="C781" s="9"/>
      <c r="D781" s="9"/>
      <c r="E781" s="9"/>
      <c r="F781" s="9"/>
      <c r="G781" s="9"/>
      <c r="H781" s="9"/>
      <c r="I781" s="9"/>
      <c r="J781" s="9"/>
      <c r="K781" s="9"/>
      <c r="L781" s="115"/>
      <c r="M781" s="115"/>
      <c r="N781" s="115"/>
      <c r="O781" s="115"/>
      <c r="P781" s="9"/>
      <c r="Q781" s="9"/>
      <c r="R781" s="9"/>
      <c r="S781" s="9"/>
      <c r="T781" s="9"/>
      <c r="U781" s="9"/>
      <c r="V781" s="9"/>
      <c r="W781" s="10"/>
      <c r="X781" s="10"/>
      <c r="Y781" s="10"/>
      <c r="Z781" s="10"/>
    </row>
    <row r="782">
      <c r="A782" s="9"/>
      <c r="B782" s="9"/>
      <c r="C782" s="9"/>
      <c r="D782" s="9"/>
      <c r="E782" s="9"/>
      <c r="F782" s="9"/>
      <c r="G782" s="9"/>
      <c r="H782" s="9"/>
      <c r="I782" s="9"/>
      <c r="J782" s="9"/>
      <c r="K782" s="9"/>
      <c r="L782" s="115"/>
      <c r="M782" s="115"/>
      <c r="N782" s="115"/>
      <c r="O782" s="115"/>
      <c r="P782" s="9"/>
      <c r="Q782" s="9"/>
      <c r="R782" s="9"/>
      <c r="S782" s="9"/>
      <c r="T782" s="9"/>
      <c r="U782" s="9"/>
      <c r="V782" s="9"/>
      <c r="W782" s="10"/>
      <c r="X782" s="10"/>
      <c r="Y782" s="10"/>
      <c r="Z782" s="10"/>
    </row>
    <row r="783">
      <c r="A783" s="9"/>
      <c r="B783" s="9"/>
      <c r="C783" s="9"/>
      <c r="D783" s="9"/>
      <c r="E783" s="9"/>
      <c r="F783" s="9"/>
      <c r="G783" s="9"/>
      <c r="H783" s="9"/>
      <c r="I783" s="9"/>
      <c r="J783" s="9"/>
      <c r="K783" s="9"/>
      <c r="L783" s="115"/>
      <c r="M783" s="115"/>
      <c r="N783" s="115"/>
      <c r="O783" s="115"/>
      <c r="P783" s="9"/>
      <c r="Q783" s="9"/>
      <c r="R783" s="9"/>
      <c r="S783" s="9"/>
      <c r="T783" s="9"/>
      <c r="U783" s="9"/>
      <c r="V783" s="9"/>
      <c r="W783" s="10"/>
      <c r="X783" s="10"/>
      <c r="Y783" s="10"/>
      <c r="Z783" s="10"/>
    </row>
    <row r="784">
      <c r="A784" s="9"/>
      <c r="B784" s="9"/>
      <c r="C784" s="9"/>
      <c r="D784" s="9"/>
      <c r="E784" s="9"/>
      <c r="F784" s="9"/>
      <c r="G784" s="9"/>
      <c r="H784" s="9"/>
      <c r="I784" s="9"/>
      <c r="J784" s="9"/>
      <c r="K784" s="9"/>
      <c r="L784" s="115"/>
      <c r="M784" s="115"/>
      <c r="N784" s="115"/>
      <c r="O784" s="115"/>
      <c r="P784" s="9"/>
      <c r="Q784" s="9"/>
      <c r="R784" s="9"/>
      <c r="S784" s="9"/>
      <c r="T784" s="9"/>
      <c r="U784" s="9"/>
      <c r="V784" s="9"/>
      <c r="W784" s="10"/>
      <c r="X784" s="10"/>
      <c r="Y784" s="10"/>
      <c r="Z784" s="10"/>
    </row>
    <row r="785">
      <c r="A785" s="9"/>
      <c r="B785" s="9"/>
      <c r="C785" s="9"/>
      <c r="D785" s="9"/>
      <c r="E785" s="9"/>
      <c r="F785" s="9"/>
      <c r="G785" s="9"/>
      <c r="H785" s="9"/>
      <c r="I785" s="9"/>
      <c r="J785" s="9"/>
      <c r="K785" s="9"/>
      <c r="L785" s="115"/>
      <c r="M785" s="115"/>
      <c r="N785" s="115"/>
      <c r="O785" s="115"/>
      <c r="P785" s="9"/>
      <c r="Q785" s="9"/>
      <c r="R785" s="9"/>
      <c r="S785" s="9"/>
      <c r="T785" s="9"/>
      <c r="U785" s="9"/>
      <c r="V785" s="9"/>
      <c r="W785" s="10"/>
      <c r="X785" s="10"/>
      <c r="Y785" s="10"/>
      <c r="Z785" s="10"/>
    </row>
    <row r="786">
      <c r="A786" s="9"/>
      <c r="B786" s="9"/>
      <c r="C786" s="9"/>
      <c r="D786" s="9"/>
      <c r="E786" s="9"/>
      <c r="F786" s="9"/>
      <c r="G786" s="9"/>
      <c r="H786" s="9"/>
      <c r="I786" s="9"/>
      <c r="J786" s="9"/>
      <c r="K786" s="9"/>
      <c r="L786" s="115"/>
      <c r="M786" s="115"/>
      <c r="N786" s="115"/>
      <c r="O786" s="115"/>
      <c r="P786" s="9"/>
      <c r="Q786" s="9"/>
      <c r="R786" s="9"/>
      <c r="S786" s="9"/>
      <c r="T786" s="9"/>
      <c r="U786" s="9"/>
      <c r="V786" s="9"/>
      <c r="W786" s="10"/>
      <c r="X786" s="10"/>
      <c r="Y786" s="10"/>
      <c r="Z786" s="10"/>
    </row>
    <row r="787">
      <c r="A787" s="9"/>
      <c r="B787" s="9"/>
      <c r="C787" s="9"/>
      <c r="D787" s="9"/>
      <c r="E787" s="9"/>
      <c r="F787" s="9"/>
      <c r="G787" s="9"/>
      <c r="H787" s="9"/>
      <c r="I787" s="9"/>
      <c r="J787" s="9"/>
      <c r="K787" s="9"/>
      <c r="L787" s="115"/>
      <c r="M787" s="115"/>
      <c r="N787" s="115"/>
      <c r="O787" s="115"/>
      <c r="P787" s="9"/>
      <c r="Q787" s="9"/>
      <c r="R787" s="9"/>
      <c r="S787" s="9"/>
      <c r="T787" s="9"/>
      <c r="U787" s="9"/>
      <c r="V787" s="9"/>
      <c r="W787" s="10"/>
      <c r="X787" s="10"/>
      <c r="Y787" s="10"/>
      <c r="Z787" s="10"/>
    </row>
    <row r="788">
      <c r="A788" s="9"/>
      <c r="B788" s="9"/>
      <c r="C788" s="9"/>
      <c r="D788" s="9"/>
      <c r="E788" s="9"/>
      <c r="F788" s="9"/>
      <c r="G788" s="9"/>
      <c r="H788" s="9"/>
      <c r="I788" s="9"/>
      <c r="J788" s="9"/>
      <c r="K788" s="9"/>
      <c r="L788" s="115"/>
      <c r="M788" s="115"/>
      <c r="N788" s="115"/>
      <c r="O788" s="115"/>
      <c r="P788" s="9"/>
      <c r="Q788" s="9"/>
      <c r="R788" s="9"/>
      <c r="S788" s="9"/>
      <c r="T788" s="9"/>
      <c r="U788" s="9"/>
      <c r="V788" s="9"/>
      <c r="W788" s="10"/>
      <c r="X788" s="10"/>
      <c r="Y788" s="10"/>
      <c r="Z788" s="10"/>
    </row>
    <row r="789">
      <c r="A789" s="9"/>
      <c r="B789" s="9"/>
      <c r="C789" s="9"/>
      <c r="D789" s="9"/>
      <c r="E789" s="9"/>
      <c r="F789" s="9"/>
      <c r="G789" s="9"/>
      <c r="H789" s="9"/>
      <c r="I789" s="9"/>
      <c r="J789" s="9"/>
      <c r="K789" s="9"/>
      <c r="L789" s="115"/>
      <c r="M789" s="115"/>
      <c r="N789" s="115"/>
      <c r="O789" s="115"/>
      <c r="P789" s="9"/>
      <c r="Q789" s="9"/>
      <c r="R789" s="9"/>
      <c r="S789" s="9"/>
      <c r="T789" s="9"/>
      <c r="U789" s="9"/>
      <c r="V789" s="9"/>
      <c r="W789" s="10"/>
      <c r="X789" s="10"/>
      <c r="Y789" s="10"/>
      <c r="Z789" s="10"/>
    </row>
    <row r="790">
      <c r="A790" s="9"/>
      <c r="B790" s="9"/>
      <c r="C790" s="9"/>
      <c r="D790" s="9"/>
      <c r="E790" s="9"/>
      <c r="F790" s="9"/>
      <c r="G790" s="9"/>
      <c r="H790" s="9"/>
      <c r="I790" s="9"/>
      <c r="J790" s="9"/>
      <c r="K790" s="9"/>
      <c r="L790" s="115"/>
      <c r="M790" s="115"/>
      <c r="N790" s="115"/>
      <c r="O790" s="115"/>
      <c r="P790" s="9"/>
      <c r="Q790" s="9"/>
      <c r="R790" s="9"/>
      <c r="S790" s="9"/>
      <c r="T790" s="9"/>
      <c r="U790" s="9"/>
      <c r="V790" s="9"/>
      <c r="W790" s="10"/>
      <c r="X790" s="10"/>
      <c r="Y790" s="10"/>
      <c r="Z790" s="10"/>
    </row>
    <row r="791">
      <c r="A791" s="9"/>
      <c r="B791" s="9"/>
      <c r="C791" s="9"/>
      <c r="D791" s="9"/>
      <c r="E791" s="9"/>
      <c r="F791" s="9"/>
      <c r="G791" s="9"/>
      <c r="H791" s="9"/>
      <c r="I791" s="9"/>
      <c r="J791" s="9"/>
      <c r="K791" s="9"/>
      <c r="L791" s="115"/>
      <c r="M791" s="115"/>
      <c r="N791" s="115"/>
      <c r="O791" s="115"/>
      <c r="P791" s="9"/>
      <c r="Q791" s="9"/>
      <c r="R791" s="9"/>
      <c r="S791" s="9"/>
      <c r="T791" s="9"/>
      <c r="U791" s="9"/>
      <c r="V791" s="9"/>
      <c r="W791" s="10"/>
      <c r="X791" s="10"/>
      <c r="Y791" s="10"/>
      <c r="Z791" s="10"/>
    </row>
    <row r="792">
      <c r="A792" s="9"/>
      <c r="B792" s="9"/>
      <c r="C792" s="9"/>
      <c r="D792" s="9"/>
      <c r="E792" s="9"/>
      <c r="F792" s="9"/>
      <c r="G792" s="9"/>
      <c r="H792" s="9"/>
      <c r="I792" s="9"/>
      <c r="J792" s="9"/>
      <c r="K792" s="9"/>
      <c r="L792" s="115"/>
      <c r="M792" s="115"/>
      <c r="N792" s="115"/>
      <c r="O792" s="115"/>
      <c r="P792" s="9"/>
      <c r="Q792" s="9"/>
      <c r="R792" s="9"/>
      <c r="S792" s="9"/>
      <c r="T792" s="9"/>
      <c r="U792" s="9"/>
      <c r="V792" s="9"/>
      <c r="W792" s="10"/>
      <c r="X792" s="10"/>
      <c r="Y792" s="10"/>
      <c r="Z792" s="10"/>
    </row>
    <row r="793">
      <c r="A793" s="9"/>
      <c r="B793" s="9"/>
      <c r="C793" s="9"/>
      <c r="D793" s="9"/>
      <c r="E793" s="9"/>
      <c r="F793" s="9"/>
      <c r="G793" s="9"/>
      <c r="H793" s="9"/>
      <c r="I793" s="9"/>
      <c r="J793" s="9"/>
      <c r="K793" s="9"/>
      <c r="L793" s="115"/>
      <c r="M793" s="115"/>
      <c r="N793" s="115"/>
      <c r="O793" s="115"/>
      <c r="P793" s="9"/>
      <c r="Q793" s="9"/>
      <c r="R793" s="9"/>
      <c r="S793" s="9"/>
      <c r="T793" s="9"/>
      <c r="U793" s="9"/>
      <c r="V793" s="9"/>
      <c r="W793" s="10"/>
      <c r="X793" s="10"/>
      <c r="Y793" s="10"/>
      <c r="Z793" s="10"/>
    </row>
    <row r="794">
      <c r="A794" s="9"/>
      <c r="B794" s="9"/>
      <c r="C794" s="9"/>
      <c r="D794" s="9"/>
      <c r="E794" s="9"/>
      <c r="F794" s="9"/>
      <c r="G794" s="9"/>
      <c r="H794" s="9"/>
      <c r="I794" s="9"/>
      <c r="J794" s="9"/>
      <c r="K794" s="9"/>
      <c r="L794" s="115"/>
      <c r="M794" s="115"/>
      <c r="N794" s="115"/>
      <c r="O794" s="115"/>
      <c r="P794" s="9"/>
      <c r="Q794" s="9"/>
      <c r="R794" s="9"/>
      <c r="S794" s="9"/>
      <c r="T794" s="9"/>
      <c r="U794" s="9"/>
      <c r="V794" s="9"/>
      <c r="W794" s="10"/>
      <c r="X794" s="10"/>
      <c r="Y794" s="10"/>
      <c r="Z794" s="10"/>
    </row>
    <row r="795">
      <c r="A795" s="9"/>
      <c r="B795" s="9"/>
      <c r="C795" s="9"/>
      <c r="D795" s="9"/>
      <c r="E795" s="9"/>
      <c r="F795" s="9"/>
      <c r="G795" s="9"/>
      <c r="H795" s="9"/>
      <c r="I795" s="9"/>
      <c r="J795" s="9"/>
      <c r="K795" s="9"/>
      <c r="L795" s="115"/>
      <c r="M795" s="115"/>
      <c r="N795" s="115"/>
      <c r="O795" s="115"/>
      <c r="P795" s="9"/>
      <c r="Q795" s="9"/>
      <c r="R795" s="9"/>
      <c r="S795" s="9"/>
      <c r="T795" s="9"/>
      <c r="U795" s="9"/>
      <c r="V795" s="9"/>
      <c r="W795" s="10"/>
      <c r="X795" s="10"/>
      <c r="Y795" s="10"/>
      <c r="Z795" s="10"/>
    </row>
    <row r="796">
      <c r="A796" s="9"/>
      <c r="B796" s="9"/>
      <c r="C796" s="9"/>
      <c r="D796" s="9"/>
      <c r="E796" s="9"/>
      <c r="F796" s="9"/>
      <c r="G796" s="9"/>
      <c r="H796" s="9"/>
      <c r="I796" s="9"/>
      <c r="J796" s="9"/>
      <c r="K796" s="9"/>
      <c r="L796" s="115"/>
      <c r="M796" s="115"/>
      <c r="N796" s="115"/>
      <c r="O796" s="115"/>
      <c r="P796" s="9"/>
      <c r="Q796" s="9"/>
      <c r="R796" s="9"/>
      <c r="S796" s="9"/>
      <c r="T796" s="9"/>
      <c r="U796" s="9"/>
      <c r="V796" s="9"/>
      <c r="W796" s="10"/>
      <c r="X796" s="10"/>
      <c r="Y796" s="10"/>
      <c r="Z796" s="10"/>
    </row>
    <row r="797">
      <c r="A797" s="9"/>
      <c r="B797" s="9"/>
      <c r="C797" s="9"/>
      <c r="D797" s="9"/>
      <c r="E797" s="9"/>
      <c r="F797" s="9"/>
      <c r="G797" s="9"/>
      <c r="H797" s="9"/>
      <c r="I797" s="9"/>
      <c r="J797" s="9"/>
      <c r="K797" s="9"/>
      <c r="L797" s="115"/>
      <c r="M797" s="115"/>
      <c r="N797" s="115"/>
      <c r="O797" s="115"/>
      <c r="P797" s="9"/>
      <c r="Q797" s="9"/>
      <c r="R797" s="9"/>
      <c r="S797" s="9"/>
      <c r="T797" s="9"/>
      <c r="U797" s="9"/>
      <c r="V797" s="9"/>
      <c r="W797" s="10"/>
      <c r="X797" s="10"/>
      <c r="Y797" s="10"/>
      <c r="Z797" s="10"/>
    </row>
    <row r="798">
      <c r="A798" s="9"/>
      <c r="B798" s="9"/>
      <c r="C798" s="9"/>
      <c r="D798" s="9"/>
      <c r="E798" s="9"/>
      <c r="F798" s="9"/>
      <c r="G798" s="9"/>
      <c r="H798" s="9"/>
      <c r="I798" s="9"/>
      <c r="J798" s="9"/>
      <c r="K798" s="9"/>
      <c r="L798" s="115"/>
      <c r="M798" s="115"/>
      <c r="N798" s="115"/>
      <c r="O798" s="115"/>
      <c r="P798" s="9"/>
      <c r="Q798" s="9"/>
      <c r="R798" s="9"/>
      <c r="S798" s="9"/>
      <c r="T798" s="9"/>
      <c r="U798" s="9"/>
      <c r="V798" s="9"/>
      <c r="W798" s="10"/>
      <c r="X798" s="10"/>
      <c r="Y798" s="10"/>
      <c r="Z798" s="10"/>
    </row>
    <row r="799">
      <c r="A799" s="9"/>
      <c r="B799" s="9"/>
      <c r="C799" s="9"/>
      <c r="D799" s="9"/>
      <c r="E799" s="9"/>
      <c r="F799" s="9"/>
      <c r="G799" s="9"/>
      <c r="H799" s="9"/>
      <c r="I799" s="9"/>
      <c r="J799" s="9"/>
      <c r="K799" s="9"/>
      <c r="L799" s="115"/>
      <c r="M799" s="115"/>
      <c r="N799" s="115"/>
      <c r="O799" s="115"/>
      <c r="P799" s="9"/>
      <c r="Q799" s="9"/>
      <c r="R799" s="9"/>
      <c r="S799" s="9"/>
      <c r="T799" s="9"/>
      <c r="U799" s="9"/>
      <c r="V799" s="9"/>
      <c r="W799" s="10"/>
      <c r="X799" s="10"/>
      <c r="Y799" s="10"/>
      <c r="Z799" s="10"/>
    </row>
    <row r="800">
      <c r="A800" s="9"/>
      <c r="B800" s="9"/>
      <c r="C800" s="9"/>
      <c r="D800" s="9"/>
      <c r="E800" s="9"/>
      <c r="F800" s="9"/>
      <c r="G800" s="9"/>
      <c r="H800" s="9"/>
      <c r="I800" s="9"/>
      <c r="J800" s="9"/>
      <c r="K800" s="9"/>
      <c r="L800" s="115"/>
      <c r="M800" s="115"/>
      <c r="N800" s="115"/>
      <c r="O800" s="115"/>
      <c r="P800" s="9"/>
      <c r="Q800" s="9"/>
      <c r="R800" s="9"/>
      <c r="S800" s="9"/>
      <c r="T800" s="9"/>
      <c r="U800" s="9"/>
      <c r="V800" s="9"/>
      <c r="W800" s="10"/>
      <c r="X800" s="10"/>
      <c r="Y800" s="10"/>
      <c r="Z800" s="10"/>
    </row>
    <row r="801">
      <c r="A801" s="9"/>
      <c r="B801" s="9"/>
      <c r="C801" s="9"/>
      <c r="D801" s="9"/>
      <c r="E801" s="9"/>
      <c r="F801" s="9"/>
      <c r="G801" s="9"/>
      <c r="H801" s="9"/>
      <c r="I801" s="9"/>
      <c r="J801" s="9"/>
      <c r="K801" s="9"/>
      <c r="L801" s="115"/>
      <c r="M801" s="115"/>
      <c r="N801" s="115"/>
      <c r="O801" s="115"/>
      <c r="P801" s="9"/>
      <c r="Q801" s="9"/>
      <c r="R801" s="9"/>
      <c r="S801" s="9"/>
      <c r="T801" s="9"/>
      <c r="U801" s="9"/>
      <c r="V801" s="9"/>
      <c r="W801" s="10"/>
      <c r="X801" s="10"/>
      <c r="Y801" s="10"/>
      <c r="Z801" s="10"/>
    </row>
    <row r="802">
      <c r="A802" s="9"/>
      <c r="B802" s="9"/>
      <c r="C802" s="9"/>
      <c r="D802" s="9"/>
      <c r="E802" s="9"/>
      <c r="F802" s="9"/>
      <c r="G802" s="9"/>
      <c r="H802" s="9"/>
      <c r="I802" s="9"/>
      <c r="J802" s="9"/>
      <c r="K802" s="9"/>
      <c r="L802" s="115"/>
      <c r="M802" s="115"/>
      <c r="N802" s="115"/>
      <c r="O802" s="115"/>
      <c r="P802" s="9"/>
      <c r="Q802" s="9"/>
      <c r="R802" s="9"/>
      <c r="S802" s="9"/>
      <c r="T802" s="9"/>
      <c r="U802" s="9"/>
      <c r="V802" s="9"/>
      <c r="W802" s="10"/>
      <c r="X802" s="10"/>
      <c r="Y802" s="10"/>
      <c r="Z802" s="10"/>
    </row>
    <row r="803">
      <c r="A803" s="9"/>
      <c r="B803" s="9"/>
      <c r="C803" s="9"/>
      <c r="D803" s="9"/>
      <c r="E803" s="9"/>
      <c r="F803" s="9"/>
      <c r="G803" s="9"/>
      <c r="H803" s="9"/>
      <c r="I803" s="9"/>
      <c r="J803" s="9"/>
      <c r="K803" s="9"/>
      <c r="L803" s="115"/>
      <c r="M803" s="115"/>
      <c r="N803" s="115"/>
      <c r="O803" s="115"/>
      <c r="P803" s="9"/>
      <c r="Q803" s="9"/>
      <c r="R803" s="9"/>
      <c r="S803" s="9"/>
      <c r="T803" s="9"/>
      <c r="U803" s="9"/>
      <c r="V803" s="9"/>
      <c r="W803" s="10"/>
      <c r="X803" s="10"/>
      <c r="Y803" s="10"/>
      <c r="Z803" s="10"/>
    </row>
    <row r="804">
      <c r="A804" s="9"/>
      <c r="B804" s="9"/>
      <c r="C804" s="9"/>
      <c r="D804" s="9"/>
      <c r="E804" s="9"/>
      <c r="F804" s="9"/>
      <c r="G804" s="9"/>
      <c r="H804" s="9"/>
      <c r="I804" s="9"/>
      <c r="J804" s="9"/>
      <c r="K804" s="9"/>
      <c r="L804" s="115"/>
      <c r="M804" s="115"/>
      <c r="N804" s="115"/>
      <c r="O804" s="115"/>
      <c r="P804" s="9"/>
      <c r="Q804" s="9"/>
      <c r="R804" s="9"/>
      <c r="S804" s="9"/>
      <c r="T804" s="9"/>
      <c r="U804" s="9"/>
      <c r="V804" s="9"/>
      <c r="W804" s="10"/>
      <c r="X804" s="10"/>
      <c r="Y804" s="10"/>
      <c r="Z804" s="10"/>
    </row>
    <row r="805">
      <c r="A805" s="9"/>
      <c r="B805" s="9"/>
      <c r="C805" s="9"/>
      <c r="D805" s="9"/>
      <c r="E805" s="9"/>
      <c r="F805" s="9"/>
      <c r="G805" s="9"/>
      <c r="H805" s="9"/>
      <c r="I805" s="9"/>
      <c r="J805" s="9"/>
      <c r="K805" s="9"/>
      <c r="L805" s="115"/>
      <c r="M805" s="115"/>
      <c r="N805" s="115"/>
      <c r="O805" s="115"/>
      <c r="P805" s="9"/>
      <c r="Q805" s="9"/>
      <c r="R805" s="9"/>
      <c r="S805" s="9"/>
      <c r="T805" s="9"/>
      <c r="U805" s="9"/>
      <c r="V805" s="9"/>
      <c r="W805" s="10"/>
      <c r="X805" s="10"/>
      <c r="Y805" s="10"/>
      <c r="Z805" s="10"/>
    </row>
    <row r="806">
      <c r="A806" s="9"/>
      <c r="B806" s="9"/>
      <c r="C806" s="9"/>
      <c r="D806" s="9"/>
      <c r="E806" s="9"/>
      <c r="F806" s="9"/>
      <c r="G806" s="9"/>
      <c r="H806" s="9"/>
      <c r="I806" s="9"/>
      <c r="J806" s="9"/>
      <c r="K806" s="9"/>
      <c r="L806" s="115"/>
      <c r="M806" s="115"/>
      <c r="N806" s="115"/>
      <c r="O806" s="115"/>
      <c r="P806" s="9"/>
      <c r="Q806" s="9"/>
      <c r="R806" s="9"/>
      <c r="S806" s="9"/>
      <c r="T806" s="9"/>
      <c r="U806" s="9"/>
      <c r="V806" s="9"/>
      <c r="W806" s="10"/>
      <c r="X806" s="10"/>
      <c r="Y806" s="10"/>
      <c r="Z806" s="10"/>
    </row>
    <row r="807">
      <c r="A807" s="9"/>
      <c r="B807" s="9"/>
      <c r="C807" s="9"/>
      <c r="D807" s="9"/>
      <c r="E807" s="9"/>
      <c r="F807" s="9"/>
      <c r="G807" s="9"/>
      <c r="H807" s="9"/>
      <c r="I807" s="9"/>
      <c r="J807" s="9"/>
      <c r="K807" s="9"/>
      <c r="L807" s="115"/>
      <c r="M807" s="115"/>
      <c r="N807" s="115"/>
      <c r="O807" s="115"/>
      <c r="P807" s="9"/>
      <c r="Q807" s="9"/>
      <c r="R807" s="9"/>
      <c r="S807" s="9"/>
      <c r="T807" s="9"/>
      <c r="U807" s="9"/>
      <c r="V807" s="9"/>
      <c r="W807" s="10"/>
      <c r="X807" s="10"/>
      <c r="Y807" s="10"/>
      <c r="Z807" s="10"/>
    </row>
    <row r="808">
      <c r="A808" s="9"/>
      <c r="B808" s="9"/>
      <c r="C808" s="9"/>
      <c r="D808" s="9"/>
      <c r="E808" s="9"/>
      <c r="F808" s="9"/>
      <c r="G808" s="9"/>
      <c r="H808" s="9"/>
      <c r="I808" s="9"/>
      <c r="J808" s="9"/>
      <c r="K808" s="9"/>
      <c r="L808" s="115"/>
      <c r="M808" s="115"/>
      <c r="N808" s="115"/>
      <c r="O808" s="115"/>
      <c r="P808" s="9"/>
      <c r="Q808" s="9"/>
      <c r="R808" s="9"/>
      <c r="S808" s="9"/>
      <c r="T808" s="9"/>
      <c r="U808" s="9"/>
      <c r="V808" s="9"/>
      <c r="W808" s="10"/>
      <c r="X808" s="10"/>
      <c r="Y808" s="10"/>
      <c r="Z808" s="10"/>
    </row>
    <row r="809">
      <c r="A809" s="9"/>
      <c r="B809" s="9"/>
      <c r="C809" s="9"/>
      <c r="D809" s="9"/>
      <c r="E809" s="9"/>
      <c r="F809" s="9"/>
      <c r="G809" s="9"/>
      <c r="H809" s="9"/>
      <c r="I809" s="9"/>
      <c r="J809" s="9"/>
      <c r="K809" s="9"/>
      <c r="L809" s="115"/>
      <c r="M809" s="115"/>
      <c r="N809" s="115"/>
      <c r="O809" s="115"/>
      <c r="P809" s="9"/>
      <c r="Q809" s="9"/>
      <c r="R809" s="9"/>
      <c r="S809" s="9"/>
      <c r="T809" s="9"/>
      <c r="U809" s="9"/>
      <c r="V809" s="9"/>
      <c r="W809" s="10"/>
      <c r="X809" s="10"/>
      <c r="Y809" s="10"/>
      <c r="Z809" s="10"/>
    </row>
    <row r="810">
      <c r="A810" s="9"/>
      <c r="B810" s="9"/>
      <c r="C810" s="9"/>
      <c r="D810" s="9"/>
      <c r="E810" s="9"/>
      <c r="F810" s="9"/>
      <c r="G810" s="9"/>
      <c r="H810" s="9"/>
      <c r="I810" s="9"/>
      <c r="J810" s="9"/>
      <c r="K810" s="9"/>
      <c r="L810" s="115"/>
      <c r="M810" s="115"/>
      <c r="N810" s="115"/>
      <c r="O810" s="115"/>
      <c r="P810" s="9"/>
      <c r="Q810" s="9"/>
      <c r="R810" s="9"/>
      <c r="S810" s="9"/>
      <c r="T810" s="9"/>
      <c r="U810" s="9"/>
      <c r="V810" s="9"/>
      <c r="W810" s="10"/>
      <c r="X810" s="10"/>
      <c r="Y810" s="10"/>
      <c r="Z810" s="10"/>
    </row>
    <row r="811">
      <c r="A811" s="9"/>
      <c r="B811" s="9"/>
      <c r="C811" s="9"/>
      <c r="D811" s="9"/>
      <c r="E811" s="9"/>
      <c r="F811" s="9"/>
      <c r="G811" s="9"/>
      <c r="H811" s="9"/>
      <c r="I811" s="9"/>
      <c r="J811" s="9"/>
      <c r="K811" s="9"/>
      <c r="L811" s="115"/>
      <c r="M811" s="115"/>
      <c r="N811" s="115"/>
      <c r="O811" s="115"/>
      <c r="P811" s="9"/>
      <c r="Q811" s="9"/>
      <c r="R811" s="9"/>
      <c r="S811" s="9"/>
      <c r="T811" s="9"/>
      <c r="U811" s="9"/>
      <c r="V811" s="9"/>
      <c r="W811" s="10"/>
      <c r="X811" s="10"/>
      <c r="Y811" s="10"/>
      <c r="Z811" s="10"/>
    </row>
    <row r="812">
      <c r="A812" s="9"/>
      <c r="B812" s="9"/>
      <c r="C812" s="9"/>
      <c r="D812" s="9"/>
      <c r="E812" s="9"/>
      <c r="F812" s="9"/>
      <c r="G812" s="9"/>
      <c r="H812" s="9"/>
      <c r="I812" s="9"/>
      <c r="J812" s="9"/>
      <c r="K812" s="9"/>
      <c r="L812" s="115"/>
      <c r="M812" s="115"/>
      <c r="N812" s="115"/>
      <c r="O812" s="115"/>
      <c r="P812" s="9"/>
      <c r="Q812" s="9"/>
      <c r="R812" s="9"/>
      <c r="S812" s="9"/>
      <c r="T812" s="9"/>
      <c r="U812" s="9"/>
      <c r="V812" s="9"/>
      <c r="W812" s="10"/>
      <c r="X812" s="10"/>
      <c r="Y812" s="10"/>
      <c r="Z812" s="10"/>
    </row>
    <row r="813">
      <c r="A813" s="9"/>
      <c r="B813" s="9"/>
      <c r="C813" s="9"/>
      <c r="D813" s="9"/>
      <c r="E813" s="9"/>
      <c r="F813" s="9"/>
      <c r="G813" s="9"/>
      <c r="H813" s="9"/>
      <c r="I813" s="9"/>
      <c r="J813" s="9"/>
      <c r="K813" s="9"/>
      <c r="L813" s="115"/>
      <c r="M813" s="115"/>
      <c r="N813" s="115"/>
      <c r="O813" s="115"/>
      <c r="P813" s="9"/>
      <c r="Q813" s="9"/>
      <c r="R813" s="9"/>
      <c r="S813" s="9"/>
      <c r="T813" s="9"/>
      <c r="U813" s="9"/>
      <c r="V813" s="9"/>
      <c r="W813" s="10"/>
      <c r="X813" s="10"/>
      <c r="Y813" s="10"/>
      <c r="Z813" s="10"/>
    </row>
    <row r="814">
      <c r="A814" s="9"/>
      <c r="B814" s="9"/>
      <c r="C814" s="9"/>
      <c r="D814" s="9"/>
      <c r="E814" s="9"/>
      <c r="F814" s="9"/>
      <c r="G814" s="9"/>
      <c r="H814" s="9"/>
      <c r="I814" s="9"/>
      <c r="J814" s="9"/>
      <c r="K814" s="9"/>
      <c r="L814" s="115"/>
      <c r="M814" s="115"/>
      <c r="N814" s="115"/>
      <c r="O814" s="115"/>
      <c r="P814" s="9"/>
      <c r="Q814" s="9"/>
      <c r="R814" s="9"/>
      <c r="S814" s="9"/>
      <c r="T814" s="9"/>
      <c r="U814" s="9"/>
      <c r="V814" s="9"/>
      <c r="W814" s="10"/>
      <c r="X814" s="10"/>
      <c r="Y814" s="10"/>
      <c r="Z814" s="10"/>
    </row>
    <row r="815">
      <c r="A815" s="9"/>
      <c r="B815" s="9"/>
      <c r="C815" s="9"/>
      <c r="D815" s="9"/>
      <c r="E815" s="9"/>
      <c r="F815" s="9"/>
      <c r="G815" s="9"/>
      <c r="H815" s="9"/>
      <c r="I815" s="9"/>
      <c r="J815" s="9"/>
      <c r="K815" s="9"/>
      <c r="L815" s="115"/>
      <c r="M815" s="115"/>
      <c r="N815" s="115"/>
      <c r="O815" s="115"/>
      <c r="P815" s="9"/>
      <c r="Q815" s="9"/>
      <c r="R815" s="9"/>
      <c r="S815" s="9"/>
      <c r="T815" s="9"/>
      <c r="U815" s="9"/>
      <c r="V815" s="9"/>
      <c r="W815" s="10"/>
      <c r="X815" s="10"/>
      <c r="Y815" s="10"/>
      <c r="Z815" s="10"/>
    </row>
    <row r="816">
      <c r="A816" s="9"/>
      <c r="B816" s="9"/>
      <c r="C816" s="9"/>
      <c r="D816" s="9"/>
      <c r="E816" s="9"/>
      <c r="F816" s="9"/>
      <c r="G816" s="9"/>
      <c r="H816" s="9"/>
      <c r="I816" s="9"/>
      <c r="J816" s="9"/>
      <c r="K816" s="9"/>
      <c r="L816" s="115"/>
      <c r="M816" s="115"/>
      <c r="N816" s="115"/>
      <c r="O816" s="115"/>
      <c r="P816" s="9"/>
      <c r="Q816" s="9"/>
      <c r="R816" s="9"/>
      <c r="S816" s="9"/>
      <c r="T816" s="9"/>
      <c r="U816" s="9"/>
      <c r="V816" s="9"/>
      <c r="W816" s="10"/>
      <c r="X816" s="10"/>
      <c r="Y816" s="10"/>
      <c r="Z816" s="10"/>
    </row>
    <row r="817">
      <c r="A817" s="9"/>
      <c r="B817" s="9"/>
      <c r="C817" s="9"/>
      <c r="D817" s="9"/>
      <c r="E817" s="9"/>
      <c r="F817" s="9"/>
      <c r="G817" s="9"/>
      <c r="H817" s="9"/>
      <c r="I817" s="9"/>
      <c r="J817" s="9"/>
      <c r="K817" s="9"/>
      <c r="L817" s="115"/>
      <c r="M817" s="115"/>
      <c r="N817" s="115"/>
      <c r="O817" s="115"/>
      <c r="P817" s="9"/>
      <c r="Q817" s="9"/>
      <c r="R817" s="9"/>
      <c r="S817" s="9"/>
      <c r="T817" s="9"/>
      <c r="U817" s="9"/>
      <c r="V817" s="9"/>
      <c r="W817" s="10"/>
      <c r="X817" s="10"/>
      <c r="Y817" s="10"/>
      <c r="Z817" s="10"/>
    </row>
    <row r="818">
      <c r="A818" s="9"/>
      <c r="B818" s="9"/>
      <c r="C818" s="9"/>
      <c r="D818" s="9"/>
      <c r="E818" s="9"/>
      <c r="F818" s="9"/>
      <c r="G818" s="9"/>
      <c r="H818" s="9"/>
      <c r="I818" s="9"/>
      <c r="J818" s="9"/>
      <c r="K818" s="9"/>
      <c r="L818" s="115"/>
      <c r="M818" s="115"/>
      <c r="N818" s="115"/>
      <c r="O818" s="115"/>
      <c r="P818" s="9"/>
      <c r="Q818" s="9"/>
      <c r="R818" s="9"/>
      <c r="S818" s="9"/>
      <c r="T818" s="9"/>
      <c r="U818" s="9"/>
      <c r="V818" s="9"/>
      <c r="W818" s="10"/>
      <c r="X818" s="10"/>
      <c r="Y818" s="10"/>
      <c r="Z818" s="10"/>
    </row>
    <row r="819">
      <c r="A819" s="9"/>
      <c r="B819" s="9"/>
      <c r="C819" s="9"/>
      <c r="D819" s="9"/>
      <c r="E819" s="9"/>
      <c r="F819" s="9"/>
      <c r="G819" s="9"/>
      <c r="H819" s="9"/>
      <c r="I819" s="9"/>
      <c r="J819" s="9"/>
      <c r="K819" s="9"/>
      <c r="L819" s="115"/>
      <c r="M819" s="115"/>
      <c r="N819" s="115"/>
      <c r="O819" s="115"/>
      <c r="P819" s="9"/>
      <c r="Q819" s="9"/>
      <c r="R819" s="9"/>
      <c r="S819" s="9"/>
      <c r="T819" s="9"/>
      <c r="U819" s="9"/>
      <c r="V819" s="9"/>
      <c r="W819" s="10"/>
      <c r="X819" s="10"/>
      <c r="Y819" s="10"/>
      <c r="Z819" s="10"/>
    </row>
    <row r="820">
      <c r="A820" s="9"/>
      <c r="B820" s="9"/>
      <c r="C820" s="9"/>
      <c r="D820" s="9"/>
      <c r="E820" s="9"/>
      <c r="F820" s="9"/>
      <c r="G820" s="9"/>
      <c r="H820" s="9"/>
      <c r="I820" s="9"/>
      <c r="J820" s="9"/>
      <c r="K820" s="9"/>
      <c r="L820" s="115"/>
      <c r="M820" s="115"/>
      <c r="N820" s="115"/>
      <c r="O820" s="115"/>
      <c r="P820" s="9"/>
      <c r="Q820" s="9"/>
      <c r="R820" s="9"/>
      <c r="S820" s="9"/>
      <c r="T820" s="9"/>
      <c r="U820" s="9"/>
      <c r="V820" s="9"/>
      <c r="W820" s="10"/>
      <c r="X820" s="10"/>
      <c r="Y820" s="10"/>
      <c r="Z820" s="10"/>
    </row>
    <row r="821">
      <c r="A821" s="9"/>
      <c r="B821" s="9"/>
      <c r="C821" s="9"/>
      <c r="D821" s="9"/>
      <c r="E821" s="9"/>
      <c r="F821" s="9"/>
      <c r="G821" s="9"/>
      <c r="H821" s="9"/>
      <c r="I821" s="9"/>
      <c r="J821" s="9"/>
      <c r="K821" s="9"/>
      <c r="L821" s="115"/>
      <c r="M821" s="115"/>
      <c r="N821" s="115"/>
      <c r="O821" s="115"/>
      <c r="P821" s="9"/>
      <c r="Q821" s="9"/>
      <c r="R821" s="9"/>
      <c r="S821" s="9"/>
      <c r="T821" s="9"/>
      <c r="U821" s="9"/>
      <c r="V821" s="9"/>
      <c r="W821" s="10"/>
      <c r="X821" s="10"/>
      <c r="Y821" s="10"/>
      <c r="Z821" s="10"/>
    </row>
    <row r="822">
      <c r="A822" s="9"/>
      <c r="B822" s="9"/>
      <c r="C822" s="9"/>
      <c r="D822" s="9"/>
      <c r="E822" s="9"/>
      <c r="F822" s="9"/>
      <c r="G822" s="9"/>
      <c r="H822" s="9"/>
      <c r="I822" s="9"/>
      <c r="J822" s="9"/>
      <c r="K822" s="9"/>
      <c r="L822" s="115"/>
      <c r="M822" s="115"/>
      <c r="N822" s="115"/>
      <c r="O822" s="115"/>
      <c r="P822" s="9"/>
      <c r="Q822" s="9"/>
      <c r="R822" s="9"/>
      <c r="S822" s="9"/>
      <c r="T822" s="9"/>
      <c r="U822" s="9"/>
      <c r="V822" s="9"/>
      <c r="W822" s="10"/>
      <c r="X822" s="10"/>
      <c r="Y822" s="10"/>
      <c r="Z822" s="10"/>
    </row>
    <row r="823">
      <c r="A823" s="9"/>
      <c r="B823" s="9"/>
      <c r="C823" s="9"/>
      <c r="D823" s="9"/>
      <c r="E823" s="9"/>
      <c r="F823" s="9"/>
      <c r="G823" s="9"/>
      <c r="H823" s="9"/>
      <c r="I823" s="9"/>
      <c r="J823" s="9"/>
      <c r="K823" s="9"/>
      <c r="L823" s="115"/>
      <c r="M823" s="115"/>
      <c r="N823" s="115"/>
      <c r="O823" s="115"/>
      <c r="P823" s="9"/>
      <c r="Q823" s="9"/>
      <c r="R823" s="9"/>
      <c r="S823" s="9"/>
      <c r="T823" s="9"/>
      <c r="U823" s="9"/>
      <c r="V823" s="9"/>
      <c r="W823" s="10"/>
      <c r="X823" s="10"/>
      <c r="Y823" s="10"/>
      <c r="Z823" s="10"/>
    </row>
    <row r="824">
      <c r="A824" s="9"/>
      <c r="B824" s="9"/>
      <c r="C824" s="9"/>
      <c r="D824" s="9"/>
      <c r="E824" s="9"/>
      <c r="F824" s="9"/>
      <c r="G824" s="9"/>
      <c r="H824" s="9"/>
      <c r="I824" s="9"/>
      <c r="J824" s="9"/>
      <c r="K824" s="9"/>
      <c r="L824" s="115"/>
      <c r="M824" s="115"/>
      <c r="N824" s="115"/>
      <c r="O824" s="115"/>
      <c r="P824" s="9"/>
      <c r="Q824" s="9"/>
      <c r="R824" s="9"/>
      <c r="S824" s="9"/>
      <c r="T824" s="9"/>
      <c r="U824" s="9"/>
      <c r="V824" s="9"/>
      <c r="W824" s="10"/>
      <c r="X824" s="10"/>
      <c r="Y824" s="10"/>
      <c r="Z824" s="10"/>
    </row>
    <row r="825">
      <c r="A825" s="9"/>
      <c r="B825" s="9"/>
      <c r="C825" s="9"/>
      <c r="D825" s="9"/>
      <c r="E825" s="9"/>
      <c r="F825" s="9"/>
      <c r="G825" s="9"/>
      <c r="H825" s="9"/>
      <c r="I825" s="9"/>
      <c r="J825" s="9"/>
      <c r="K825" s="9"/>
      <c r="L825" s="115"/>
      <c r="M825" s="115"/>
      <c r="N825" s="115"/>
      <c r="O825" s="115"/>
      <c r="P825" s="9"/>
      <c r="Q825" s="9"/>
      <c r="R825" s="9"/>
      <c r="S825" s="9"/>
      <c r="T825" s="9"/>
      <c r="U825" s="9"/>
      <c r="V825" s="9"/>
      <c r="W825" s="10"/>
      <c r="X825" s="10"/>
      <c r="Y825" s="10"/>
      <c r="Z825" s="10"/>
    </row>
    <row r="826">
      <c r="A826" s="9"/>
      <c r="B826" s="9"/>
      <c r="C826" s="9"/>
      <c r="D826" s="9"/>
      <c r="E826" s="9"/>
      <c r="F826" s="9"/>
      <c r="G826" s="9"/>
      <c r="H826" s="9"/>
      <c r="I826" s="9"/>
      <c r="J826" s="9"/>
      <c r="K826" s="9"/>
      <c r="L826" s="115"/>
      <c r="M826" s="115"/>
      <c r="N826" s="115"/>
      <c r="O826" s="115"/>
      <c r="P826" s="9"/>
      <c r="Q826" s="9"/>
      <c r="R826" s="9"/>
      <c r="S826" s="9"/>
      <c r="T826" s="9"/>
      <c r="U826" s="9"/>
      <c r="V826" s="9"/>
      <c r="W826" s="10"/>
      <c r="X826" s="10"/>
      <c r="Y826" s="10"/>
      <c r="Z826" s="10"/>
    </row>
    <row r="827">
      <c r="A827" s="9"/>
      <c r="B827" s="9"/>
      <c r="C827" s="9"/>
      <c r="D827" s="9"/>
      <c r="E827" s="9"/>
      <c r="F827" s="9"/>
      <c r="G827" s="9"/>
      <c r="H827" s="9"/>
      <c r="I827" s="9"/>
      <c r="J827" s="9"/>
      <c r="K827" s="9"/>
      <c r="L827" s="115"/>
      <c r="M827" s="115"/>
      <c r="N827" s="115"/>
      <c r="O827" s="115"/>
      <c r="P827" s="9"/>
      <c r="Q827" s="9"/>
      <c r="R827" s="9"/>
      <c r="S827" s="9"/>
      <c r="T827" s="9"/>
      <c r="U827" s="9"/>
      <c r="V827" s="9"/>
      <c r="W827" s="10"/>
      <c r="X827" s="10"/>
      <c r="Y827" s="10"/>
      <c r="Z827" s="10"/>
    </row>
    <row r="828">
      <c r="A828" s="9"/>
      <c r="B828" s="9"/>
      <c r="C828" s="9"/>
      <c r="D828" s="9"/>
      <c r="E828" s="9"/>
      <c r="F828" s="9"/>
      <c r="G828" s="9"/>
      <c r="H828" s="9"/>
      <c r="I828" s="9"/>
      <c r="J828" s="9"/>
      <c r="K828" s="9"/>
      <c r="L828" s="115"/>
      <c r="M828" s="115"/>
      <c r="N828" s="115"/>
      <c r="O828" s="115"/>
      <c r="P828" s="9"/>
      <c r="Q828" s="9"/>
      <c r="R828" s="9"/>
      <c r="S828" s="9"/>
      <c r="T828" s="9"/>
      <c r="U828" s="9"/>
      <c r="V828" s="9"/>
      <c r="W828" s="10"/>
      <c r="X828" s="10"/>
      <c r="Y828" s="10"/>
      <c r="Z828" s="10"/>
    </row>
    <row r="829">
      <c r="A829" s="9"/>
      <c r="B829" s="9"/>
      <c r="C829" s="9"/>
      <c r="D829" s="9"/>
      <c r="E829" s="9"/>
      <c r="F829" s="9"/>
      <c r="G829" s="9"/>
      <c r="H829" s="9"/>
      <c r="I829" s="9"/>
      <c r="J829" s="9"/>
      <c r="K829" s="9"/>
      <c r="L829" s="115"/>
      <c r="M829" s="115"/>
      <c r="N829" s="115"/>
      <c r="O829" s="115"/>
      <c r="P829" s="9"/>
      <c r="Q829" s="9"/>
      <c r="R829" s="9"/>
      <c r="S829" s="9"/>
      <c r="T829" s="9"/>
      <c r="U829" s="9"/>
      <c r="V829" s="9"/>
      <c r="W829" s="10"/>
      <c r="X829" s="10"/>
      <c r="Y829" s="10"/>
      <c r="Z829" s="10"/>
    </row>
    <row r="830">
      <c r="A830" s="9"/>
      <c r="B830" s="9"/>
      <c r="C830" s="9"/>
      <c r="D830" s="9"/>
      <c r="E830" s="9"/>
      <c r="F830" s="9"/>
      <c r="G830" s="9"/>
      <c r="H830" s="9"/>
      <c r="I830" s="9"/>
      <c r="J830" s="9"/>
      <c r="K830" s="9"/>
      <c r="L830" s="115"/>
      <c r="M830" s="115"/>
      <c r="N830" s="115"/>
      <c r="O830" s="115"/>
      <c r="P830" s="9"/>
      <c r="Q830" s="9"/>
      <c r="R830" s="9"/>
      <c r="S830" s="9"/>
      <c r="T830" s="9"/>
      <c r="U830" s="9"/>
      <c r="V830" s="9"/>
      <c r="W830" s="10"/>
      <c r="X830" s="10"/>
      <c r="Y830" s="10"/>
      <c r="Z830" s="10"/>
    </row>
    <row r="831">
      <c r="A831" s="9"/>
      <c r="B831" s="9"/>
      <c r="C831" s="9"/>
      <c r="D831" s="9"/>
      <c r="E831" s="9"/>
      <c r="F831" s="9"/>
      <c r="G831" s="9"/>
      <c r="H831" s="9"/>
      <c r="I831" s="9"/>
      <c r="J831" s="9"/>
      <c r="K831" s="9"/>
      <c r="L831" s="115"/>
      <c r="M831" s="115"/>
      <c r="N831" s="115"/>
      <c r="O831" s="115"/>
      <c r="P831" s="9"/>
      <c r="Q831" s="9"/>
      <c r="R831" s="9"/>
      <c r="S831" s="9"/>
      <c r="T831" s="9"/>
      <c r="U831" s="9"/>
      <c r="V831" s="9"/>
      <c r="W831" s="10"/>
      <c r="X831" s="10"/>
      <c r="Y831" s="10"/>
      <c r="Z831" s="10"/>
    </row>
    <row r="832">
      <c r="A832" s="9"/>
      <c r="B832" s="9"/>
      <c r="C832" s="9"/>
      <c r="D832" s="9"/>
      <c r="E832" s="9"/>
      <c r="F832" s="9"/>
      <c r="G832" s="9"/>
      <c r="H832" s="9"/>
      <c r="I832" s="9"/>
      <c r="J832" s="9"/>
      <c r="K832" s="9"/>
      <c r="L832" s="115"/>
      <c r="M832" s="115"/>
      <c r="N832" s="115"/>
      <c r="O832" s="115"/>
      <c r="P832" s="9"/>
      <c r="Q832" s="9"/>
      <c r="R832" s="9"/>
      <c r="S832" s="9"/>
      <c r="T832" s="9"/>
      <c r="U832" s="9"/>
      <c r="V832" s="9"/>
      <c r="W832" s="10"/>
      <c r="X832" s="10"/>
      <c r="Y832" s="10"/>
      <c r="Z832" s="10"/>
    </row>
    <row r="833">
      <c r="A833" s="9"/>
      <c r="B833" s="9"/>
      <c r="C833" s="9"/>
      <c r="D833" s="9"/>
      <c r="E833" s="9"/>
      <c r="F833" s="9"/>
      <c r="G833" s="9"/>
      <c r="H833" s="9"/>
      <c r="I833" s="9"/>
      <c r="J833" s="9"/>
      <c r="K833" s="9"/>
      <c r="L833" s="115"/>
      <c r="M833" s="115"/>
      <c r="N833" s="115"/>
      <c r="O833" s="115"/>
      <c r="P833" s="9"/>
      <c r="Q833" s="9"/>
      <c r="R833" s="9"/>
      <c r="S833" s="9"/>
      <c r="T833" s="9"/>
      <c r="U833" s="9"/>
      <c r="V833" s="9"/>
      <c r="W833" s="10"/>
      <c r="X833" s="10"/>
      <c r="Y833" s="10"/>
      <c r="Z833" s="10"/>
    </row>
    <row r="834">
      <c r="A834" s="9"/>
      <c r="B834" s="9"/>
      <c r="C834" s="9"/>
      <c r="D834" s="9"/>
      <c r="E834" s="9"/>
      <c r="F834" s="9"/>
      <c r="G834" s="9"/>
      <c r="H834" s="9"/>
      <c r="I834" s="9"/>
      <c r="J834" s="9"/>
      <c r="K834" s="9"/>
      <c r="L834" s="115"/>
      <c r="M834" s="115"/>
      <c r="N834" s="115"/>
      <c r="O834" s="115"/>
      <c r="P834" s="9"/>
      <c r="Q834" s="9"/>
      <c r="R834" s="9"/>
      <c r="S834" s="9"/>
      <c r="T834" s="9"/>
      <c r="U834" s="9"/>
      <c r="V834" s="9"/>
      <c r="W834" s="10"/>
      <c r="X834" s="10"/>
      <c r="Y834" s="10"/>
      <c r="Z834" s="10"/>
    </row>
    <row r="835">
      <c r="A835" s="9"/>
      <c r="B835" s="9"/>
      <c r="C835" s="9"/>
      <c r="D835" s="9"/>
      <c r="E835" s="9"/>
      <c r="F835" s="9"/>
      <c r="G835" s="9"/>
      <c r="H835" s="9"/>
      <c r="I835" s="9"/>
      <c r="J835" s="9"/>
      <c r="K835" s="9"/>
      <c r="L835" s="115"/>
      <c r="M835" s="115"/>
      <c r="N835" s="115"/>
      <c r="O835" s="115"/>
      <c r="P835" s="9"/>
      <c r="Q835" s="9"/>
      <c r="R835" s="9"/>
      <c r="S835" s="9"/>
      <c r="T835" s="9"/>
      <c r="U835" s="9"/>
      <c r="V835" s="9"/>
      <c r="W835" s="10"/>
      <c r="X835" s="10"/>
      <c r="Y835" s="10"/>
      <c r="Z835" s="10"/>
    </row>
    <row r="836">
      <c r="A836" s="9"/>
      <c r="B836" s="9"/>
      <c r="C836" s="9"/>
      <c r="D836" s="9"/>
      <c r="E836" s="9"/>
      <c r="F836" s="9"/>
      <c r="G836" s="9"/>
      <c r="H836" s="9"/>
      <c r="I836" s="9"/>
      <c r="J836" s="9"/>
      <c r="K836" s="9"/>
      <c r="L836" s="115"/>
      <c r="M836" s="115"/>
      <c r="N836" s="115"/>
      <c r="O836" s="115"/>
      <c r="P836" s="9"/>
      <c r="Q836" s="9"/>
      <c r="R836" s="9"/>
      <c r="S836" s="9"/>
      <c r="T836" s="9"/>
      <c r="U836" s="9"/>
      <c r="V836" s="9"/>
      <c r="W836" s="10"/>
      <c r="X836" s="10"/>
      <c r="Y836" s="10"/>
      <c r="Z836" s="10"/>
    </row>
    <row r="837">
      <c r="A837" s="9"/>
      <c r="B837" s="9"/>
      <c r="C837" s="9"/>
      <c r="D837" s="9"/>
      <c r="E837" s="9"/>
      <c r="F837" s="9"/>
      <c r="G837" s="9"/>
      <c r="H837" s="9"/>
      <c r="I837" s="9"/>
      <c r="J837" s="9"/>
      <c r="K837" s="9"/>
      <c r="L837" s="115"/>
      <c r="M837" s="115"/>
      <c r="N837" s="115"/>
      <c r="O837" s="115"/>
      <c r="P837" s="9"/>
      <c r="Q837" s="9"/>
      <c r="R837" s="9"/>
      <c r="S837" s="9"/>
      <c r="T837" s="9"/>
      <c r="U837" s="9"/>
      <c r="V837" s="9"/>
      <c r="W837" s="10"/>
      <c r="X837" s="10"/>
      <c r="Y837" s="10"/>
      <c r="Z837" s="10"/>
    </row>
    <row r="838">
      <c r="A838" s="9"/>
      <c r="B838" s="9"/>
      <c r="C838" s="9"/>
      <c r="D838" s="9"/>
      <c r="E838" s="9"/>
      <c r="F838" s="9"/>
      <c r="G838" s="9"/>
      <c r="H838" s="9"/>
      <c r="I838" s="9"/>
      <c r="J838" s="9"/>
      <c r="K838" s="9"/>
      <c r="L838" s="115"/>
      <c r="M838" s="115"/>
      <c r="N838" s="115"/>
      <c r="O838" s="115"/>
      <c r="P838" s="9"/>
      <c r="Q838" s="9"/>
      <c r="R838" s="9"/>
      <c r="S838" s="9"/>
      <c r="T838" s="9"/>
      <c r="U838" s="9"/>
      <c r="V838" s="9"/>
      <c r="W838" s="10"/>
      <c r="X838" s="10"/>
      <c r="Y838" s="10"/>
      <c r="Z838" s="10"/>
    </row>
    <row r="839">
      <c r="A839" s="9"/>
      <c r="B839" s="9"/>
      <c r="C839" s="9"/>
      <c r="D839" s="9"/>
      <c r="E839" s="9"/>
      <c r="F839" s="9"/>
      <c r="G839" s="9"/>
      <c r="H839" s="9"/>
      <c r="I839" s="9"/>
      <c r="J839" s="9"/>
      <c r="K839" s="9"/>
      <c r="L839" s="115"/>
      <c r="M839" s="115"/>
      <c r="N839" s="115"/>
      <c r="O839" s="115"/>
      <c r="P839" s="9"/>
      <c r="Q839" s="9"/>
      <c r="R839" s="9"/>
      <c r="S839" s="9"/>
      <c r="T839" s="9"/>
      <c r="U839" s="9"/>
      <c r="V839" s="9"/>
      <c r="W839" s="10"/>
      <c r="X839" s="10"/>
      <c r="Y839" s="10"/>
      <c r="Z839" s="10"/>
    </row>
    <row r="840">
      <c r="A840" s="9"/>
      <c r="B840" s="9"/>
      <c r="C840" s="9"/>
      <c r="D840" s="9"/>
      <c r="E840" s="9"/>
      <c r="F840" s="9"/>
      <c r="G840" s="9"/>
      <c r="H840" s="9"/>
      <c r="I840" s="9"/>
      <c r="J840" s="9"/>
      <c r="K840" s="9"/>
      <c r="L840" s="115"/>
      <c r="M840" s="115"/>
      <c r="N840" s="115"/>
      <c r="O840" s="115"/>
      <c r="P840" s="9"/>
      <c r="Q840" s="9"/>
      <c r="R840" s="9"/>
      <c r="S840" s="9"/>
      <c r="T840" s="9"/>
      <c r="U840" s="9"/>
      <c r="V840" s="9"/>
      <c r="W840" s="10"/>
      <c r="X840" s="10"/>
      <c r="Y840" s="10"/>
      <c r="Z840" s="10"/>
    </row>
    <row r="841">
      <c r="A841" s="9"/>
      <c r="B841" s="9"/>
      <c r="C841" s="9"/>
      <c r="D841" s="9"/>
      <c r="E841" s="9"/>
      <c r="F841" s="9"/>
      <c r="G841" s="9"/>
      <c r="H841" s="9"/>
      <c r="I841" s="9"/>
      <c r="J841" s="9"/>
      <c r="K841" s="9"/>
      <c r="L841" s="115"/>
      <c r="M841" s="115"/>
      <c r="N841" s="115"/>
      <c r="O841" s="115"/>
      <c r="P841" s="9"/>
      <c r="Q841" s="9"/>
      <c r="R841" s="9"/>
      <c r="S841" s="9"/>
      <c r="T841" s="9"/>
      <c r="U841" s="9"/>
      <c r="V841" s="9"/>
      <c r="W841" s="10"/>
      <c r="X841" s="10"/>
      <c r="Y841" s="10"/>
      <c r="Z841" s="10"/>
    </row>
    <row r="842">
      <c r="A842" s="9"/>
      <c r="B842" s="9"/>
      <c r="C842" s="9"/>
      <c r="D842" s="9"/>
      <c r="E842" s="9"/>
      <c r="F842" s="9"/>
      <c r="G842" s="9"/>
      <c r="H842" s="9"/>
      <c r="I842" s="9"/>
      <c r="J842" s="9"/>
      <c r="K842" s="9"/>
      <c r="L842" s="115"/>
      <c r="M842" s="115"/>
      <c r="N842" s="115"/>
      <c r="O842" s="115"/>
      <c r="P842" s="9"/>
      <c r="Q842" s="9"/>
      <c r="R842" s="9"/>
      <c r="S842" s="9"/>
      <c r="T842" s="9"/>
      <c r="U842" s="9"/>
      <c r="V842" s="9"/>
      <c r="W842" s="10"/>
      <c r="X842" s="10"/>
      <c r="Y842" s="10"/>
      <c r="Z842" s="10"/>
    </row>
    <row r="843">
      <c r="A843" s="9"/>
      <c r="B843" s="9"/>
      <c r="C843" s="9"/>
      <c r="D843" s="9"/>
      <c r="E843" s="9"/>
      <c r="F843" s="9"/>
      <c r="G843" s="9"/>
      <c r="H843" s="9"/>
      <c r="I843" s="9"/>
      <c r="J843" s="9"/>
      <c r="K843" s="9"/>
      <c r="L843" s="115"/>
      <c r="M843" s="115"/>
      <c r="N843" s="115"/>
      <c r="O843" s="115"/>
      <c r="P843" s="9"/>
      <c r="Q843" s="9"/>
      <c r="R843" s="9"/>
      <c r="S843" s="9"/>
      <c r="T843" s="9"/>
      <c r="U843" s="9"/>
      <c r="V843" s="9"/>
      <c r="W843" s="10"/>
      <c r="X843" s="10"/>
      <c r="Y843" s="10"/>
      <c r="Z843" s="10"/>
    </row>
    <row r="844">
      <c r="A844" s="9"/>
      <c r="B844" s="9"/>
      <c r="C844" s="9"/>
      <c r="D844" s="9"/>
      <c r="E844" s="9"/>
      <c r="F844" s="9"/>
      <c r="G844" s="9"/>
      <c r="H844" s="9"/>
      <c r="I844" s="9"/>
      <c r="J844" s="9"/>
      <c r="K844" s="9"/>
      <c r="L844" s="115"/>
      <c r="M844" s="115"/>
      <c r="N844" s="115"/>
      <c r="O844" s="115"/>
      <c r="P844" s="9"/>
      <c r="Q844" s="9"/>
      <c r="R844" s="9"/>
      <c r="S844" s="9"/>
      <c r="T844" s="9"/>
      <c r="U844" s="9"/>
      <c r="V844" s="9"/>
      <c r="W844" s="10"/>
      <c r="X844" s="10"/>
      <c r="Y844" s="10"/>
      <c r="Z844" s="10"/>
    </row>
    <row r="845">
      <c r="A845" s="9"/>
      <c r="B845" s="9"/>
      <c r="C845" s="9"/>
      <c r="D845" s="9"/>
      <c r="E845" s="9"/>
      <c r="F845" s="9"/>
      <c r="G845" s="9"/>
      <c r="H845" s="9"/>
      <c r="I845" s="9"/>
      <c r="J845" s="9"/>
      <c r="K845" s="9"/>
      <c r="L845" s="115"/>
      <c r="M845" s="115"/>
      <c r="N845" s="115"/>
      <c r="O845" s="115"/>
      <c r="P845" s="9"/>
      <c r="Q845" s="9"/>
      <c r="R845" s="9"/>
      <c r="S845" s="9"/>
      <c r="T845" s="9"/>
      <c r="U845" s="9"/>
      <c r="V845" s="9"/>
      <c r="W845" s="10"/>
      <c r="X845" s="10"/>
      <c r="Y845" s="10"/>
      <c r="Z845" s="10"/>
    </row>
    <row r="846">
      <c r="A846" s="9"/>
      <c r="B846" s="9"/>
      <c r="C846" s="9"/>
      <c r="D846" s="9"/>
      <c r="E846" s="9"/>
      <c r="F846" s="9"/>
      <c r="G846" s="9"/>
      <c r="H846" s="9"/>
      <c r="I846" s="9"/>
      <c r="J846" s="9"/>
      <c r="K846" s="9"/>
      <c r="L846" s="115"/>
      <c r="M846" s="115"/>
      <c r="N846" s="115"/>
      <c r="O846" s="115"/>
      <c r="P846" s="9"/>
      <c r="Q846" s="9"/>
      <c r="R846" s="9"/>
      <c r="S846" s="9"/>
      <c r="T846" s="9"/>
      <c r="U846" s="9"/>
      <c r="V846" s="9"/>
      <c r="W846" s="10"/>
      <c r="X846" s="10"/>
      <c r="Y846" s="10"/>
      <c r="Z846" s="10"/>
    </row>
    <row r="847">
      <c r="A847" s="9"/>
      <c r="B847" s="9"/>
      <c r="C847" s="9"/>
      <c r="D847" s="9"/>
      <c r="E847" s="9"/>
      <c r="F847" s="9"/>
      <c r="G847" s="9"/>
      <c r="H847" s="9"/>
      <c r="I847" s="9"/>
      <c r="J847" s="9"/>
      <c r="K847" s="9"/>
      <c r="L847" s="115"/>
      <c r="M847" s="115"/>
      <c r="N847" s="115"/>
      <c r="O847" s="115"/>
      <c r="P847" s="9"/>
      <c r="Q847" s="9"/>
      <c r="R847" s="9"/>
      <c r="S847" s="9"/>
      <c r="T847" s="9"/>
      <c r="U847" s="9"/>
      <c r="V847" s="9"/>
      <c r="W847" s="10"/>
      <c r="X847" s="10"/>
      <c r="Y847" s="10"/>
      <c r="Z847" s="10"/>
    </row>
    <row r="848">
      <c r="A848" s="9"/>
      <c r="B848" s="9"/>
      <c r="C848" s="9"/>
      <c r="D848" s="9"/>
      <c r="E848" s="9"/>
      <c r="F848" s="9"/>
      <c r="G848" s="9"/>
      <c r="H848" s="9"/>
      <c r="I848" s="9"/>
      <c r="J848" s="9"/>
      <c r="K848" s="9"/>
      <c r="L848" s="115"/>
      <c r="M848" s="115"/>
      <c r="N848" s="115"/>
      <c r="O848" s="115"/>
      <c r="P848" s="9"/>
      <c r="Q848" s="9"/>
      <c r="R848" s="9"/>
      <c r="S848" s="9"/>
      <c r="T848" s="9"/>
      <c r="U848" s="9"/>
      <c r="V848" s="9"/>
      <c r="W848" s="10"/>
      <c r="X848" s="10"/>
      <c r="Y848" s="10"/>
      <c r="Z848" s="10"/>
    </row>
    <row r="849">
      <c r="A849" s="9"/>
      <c r="B849" s="9"/>
      <c r="C849" s="9"/>
      <c r="D849" s="9"/>
      <c r="E849" s="9"/>
      <c r="F849" s="9"/>
      <c r="G849" s="9"/>
      <c r="H849" s="9"/>
      <c r="I849" s="9"/>
      <c r="J849" s="9"/>
      <c r="K849" s="9"/>
      <c r="L849" s="115"/>
      <c r="M849" s="115"/>
      <c r="N849" s="115"/>
      <c r="O849" s="115"/>
      <c r="P849" s="9"/>
      <c r="Q849" s="9"/>
      <c r="R849" s="9"/>
      <c r="S849" s="9"/>
      <c r="T849" s="9"/>
      <c r="U849" s="9"/>
      <c r="V849" s="9"/>
      <c r="W849" s="10"/>
      <c r="X849" s="10"/>
      <c r="Y849" s="10"/>
      <c r="Z849" s="10"/>
    </row>
    <row r="850">
      <c r="A850" s="9"/>
      <c r="B850" s="9"/>
      <c r="C850" s="9"/>
      <c r="D850" s="9"/>
      <c r="E850" s="9"/>
      <c r="F850" s="9"/>
      <c r="G850" s="9"/>
      <c r="H850" s="9"/>
      <c r="I850" s="9"/>
      <c r="J850" s="9"/>
      <c r="K850" s="9"/>
      <c r="L850" s="115"/>
      <c r="M850" s="115"/>
      <c r="N850" s="115"/>
      <c r="O850" s="115"/>
      <c r="P850" s="9"/>
      <c r="Q850" s="9"/>
      <c r="R850" s="9"/>
      <c r="S850" s="9"/>
      <c r="T850" s="9"/>
      <c r="U850" s="9"/>
      <c r="V850" s="9"/>
      <c r="W850" s="10"/>
      <c r="X850" s="10"/>
      <c r="Y850" s="10"/>
      <c r="Z850" s="10"/>
    </row>
    <row r="851">
      <c r="A851" s="9"/>
      <c r="B851" s="9"/>
      <c r="C851" s="9"/>
      <c r="D851" s="9"/>
      <c r="E851" s="9"/>
      <c r="F851" s="9"/>
      <c r="G851" s="9"/>
      <c r="H851" s="9"/>
      <c r="I851" s="9"/>
      <c r="J851" s="9"/>
      <c r="K851" s="9"/>
      <c r="L851" s="115"/>
      <c r="M851" s="115"/>
      <c r="N851" s="115"/>
      <c r="O851" s="115"/>
      <c r="P851" s="9"/>
      <c r="Q851" s="9"/>
      <c r="R851" s="9"/>
      <c r="S851" s="9"/>
      <c r="T851" s="9"/>
      <c r="U851" s="9"/>
      <c r="V851" s="9"/>
      <c r="W851" s="10"/>
      <c r="X851" s="10"/>
      <c r="Y851" s="10"/>
      <c r="Z851" s="10"/>
    </row>
    <row r="852">
      <c r="A852" s="9"/>
      <c r="B852" s="9"/>
      <c r="C852" s="9"/>
      <c r="D852" s="9"/>
      <c r="E852" s="9"/>
      <c r="F852" s="9"/>
      <c r="G852" s="9"/>
      <c r="H852" s="9"/>
      <c r="I852" s="9"/>
      <c r="J852" s="9"/>
      <c r="K852" s="9"/>
      <c r="L852" s="115"/>
      <c r="M852" s="115"/>
      <c r="N852" s="115"/>
      <c r="O852" s="115"/>
      <c r="P852" s="9"/>
      <c r="Q852" s="9"/>
      <c r="R852" s="9"/>
      <c r="S852" s="9"/>
      <c r="T852" s="9"/>
      <c r="U852" s="9"/>
      <c r="V852" s="9"/>
      <c r="W852" s="10"/>
      <c r="X852" s="10"/>
      <c r="Y852" s="10"/>
      <c r="Z852" s="10"/>
    </row>
    <row r="853">
      <c r="A853" s="9"/>
      <c r="B853" s="9"/>
      <c r="C853" s="9"/>
      <c r="D853" s="9"/>
      <c r="E853" s="9"/>
      <c r="F853" s="9"/>
      <c r="G853" s="9"/>
      <c r="H853" s="9"/>
      <c r="I853" s="9"/>
      <c r="J853" s="9"/>
      <c r="K853" s="9"/>
      <c r="L853" s="115"/>
      <c r="M853" s="115"/>
      <c r="N853" s="115"/>
      <c r="O853" s="115"/>
      <c r="P853" s="9"/>
      <c r="Q853" s="9"/>
      <c r="R853" s="9"/>
      <c r="S853" s="9"/>
      <c r="T853" s="9"/>
      <c r="U853" s="9"/>
      <c r="V853" s="9"/>
      <c r="W853" s="10"/>
      <c r="X853" s="10"/>
      <c r="Y853" s="10"/>
      <c r="Z853" s="10"/>
    </row>
    <row r="854">
      <c r="A854" s="9"/>
      <c r="B854" s="9"/>
      <c r="C854" s="9"/>
      <c r="D854" s="9"/>
      <c r="E854" s="9"/>
      <c r="F854" s="9"/>
      <c r="G854" s="9"/>
      <c r="H854" s="9"/>
      <c r="I854" s="9"/>
      <c r="J854" s="9"/>
      <c r="K854" s="9"/>
      <c r="L854" s="115"/>
      <c r="M854" s="115"/>
      <c r="N854" s="115"/>
      <c r="O854" s="115"/>
      <c r="P854" s="9"/>
      <c r="Q854" s="9"/>
      <c r="R854" s="9"/>
      <c r="S854" s="9"/>
      <c r="T854" s="9"/>
      <c r="U854" s="9"/>
      <c r="V854" s="9"/>
      <c r="W854" s="10"/>
      <c r="X854" s="10"/>
      <c r="Y854" s="10"/>
      <c r="Z854" s="10"/>
    </row>
    <row r="855">
      <c r="A855" s="9"/>
      <c r="B855" s="9"/>
      <c r="C855" s="9"/>
      <c r="D855" s="9"/>
      <c r="E855" s="9"/>
      <c r="F855" s="9"/>
      <c r="G855" s="9"/>
      <c r="H855" s="9"/>
      <c r="I855" s="9"/>
      <c r="J855" s="9"/>
      <c r="K855" s="9"/>
      <c r="L855" s="115"/>
      <c r="M855" s="115"/>
      <c r="N855" s="115"/>
      <c r="O855" s="115"/>
      <c r="P855" s="9"/>
      <c r="Q855" s="9"/>
      <c r="R855" s="9"/>
      <c r="S855" s="9"/>
      <c r="T855" s="9"/>
      <c r="U855" s="9"/>
      <c r="V855" s="9"/>
      <c r="W855" s="10"/>
      <c r="X855" s="10"/>
      <c r="Y855" s="10"/>
      <c r="Z855" s="10"/>
    </row>
    <row r="856">
      <c r="A856" s="9"/>
      <c r="B856" s="9"/>
      <c r="C856" s="9"/>
      <c r="D856" s="9"/>
      <c r="E856" s="9"/>
      <c r="F856" s="9"/>
      <c r="G856" s="9"/>
      <c r="H856" s="9"/>
      <c r="I856" s="9"/>
      <c r="J856" s="9"/>
      <c r="K856" s="9"/>
      <c r="L856" s="115"/>
      <c r="M856" s="115"/>
      <c r="N856" s="115"/>
      <c r="O856" s="115"/>
      <c r="P856" s="9"/>
      <c r="Q856" s="9"/>
      <c r="R856" s="9"/>
      <c r="S856" s="9"/>
      <c r="T856" s="9"/>
      <c r="U856" s="9"/>
      <c r="V856" s="9"/>
      <c r="W856" s="10"/>
      <c r="X856" s="10"/>
      <c r="Y856" s="10"/>
      <c r="Z856" s="10"/>
    </row>
    <row r="857">
      <c r="A857" s="9"/>
      <c r="B857" s="9"/>
      <c r="C857" s="9"/>
      <c r="D857" s="9"/>
      <c r="E857" s="9"/>
      <c r="F857" s="9"/>
      <c r="G857" s="9"/>
      <c r="H857" s="9"/>
      <c r="I857" s="9"/>
      <c r="J857" s="9"/>
      <c r="K857" s="9"/>
      <c r="L857" s="115"/>
      <c r="M857" s="115"/>
      <c r="N857" s="115"/>
      <c r="O857" s="115"/>
      <c r="P857" s="9"/>
      <c r="Q857" s="9"/>
      <c r="R857" s="9"/>
      <c r="S857" s="9"/>
      <c r="T857" s="9"/>
      <c r="U857" s="9"/>
      <c r="V857" s="9"/>
      <c r="W857" s="10"/>
      <c r="X857" s="10"/>
      <c r="Y857" s="10"/>
      <c r="Z857" s="10"/>
    </row>
    <row r="858">
      <c r="A858" s="9"/>
      <c r="B858" s="9"/>
      <c r="C858" s="9"/>
      <c r="D858" s="9"/>
      <c r="E858" s="9"/>
      <c r="F858" s="9"/>
      <c r="G858" s="9"/>
      <c r="H858" s="9"/>
      <c r="I858" s="9"/>
      <c r="J858" s="9"/>
      <c r="K858" s="9"/>
      <c r="L858" s="115"/>
      <c r="M858" s="115"/>
      <c r="N858" s="115"/>
      <c r="O858" s="115"/>
      <c r="P858" s="9"/>
      <c r="Q858" s="9"/>
      <c r="R858" s="9"/>
      <c r="S858" s="9"/>
      <c r="T858" s="9"/>
      <c r="U858" s="9"/>
      <c r="V858" s="9"/>
      <c r="W858" s="10"/>
      <c r="X858" s="10"/>
      <c r="Y858" s="10"/>
      <c r="Z858" s="10"/>
    </row>
    <row r="859">
      <c r="A859" s="9"/>
      <c r="B859" s="9"/>
      <c r="C859" s="9"/>
      <c r="D859" s="9"/>
      <c r="E859" s="9"/>
      <c r="F859" s="9"/>
      <c r="G859" s="9"/>
      <c r="H859" s="9"/>
      <c r="I859" s="9"/>
      <c r="J859" s="9"/>
      <c r="K859" s="9"/>
      <c r="L859" s="115"/>
      <c r="M859" s="115"/>
      <c r="N859" s="115"/>
      <c r="O859" s="115"/>
      <c r="P859" s="9"/>
      <c r="Q859" s="9"/>
      <c r="R859" s="9"/>
      <c r="S859" s="9"/>
      <c r="T859" s="9"/>
      <c r="U859" s="9"/>
      <c r="V859" s="9"/>
      <c r="W859" s="10"/>
      <c r="X859" s="10"/>
      <c r="Y859" s="10"/>
      <c r="Z859" s="10"/>
    </row>
    <row r="860">
      <c r="A860" s="9"/>
      <c r="B860" s="9"/>
      <c r="C860" s="9"/>
      <c r="D860" s="9"/>
      <c r="E860" s="9"/>
      <c r="F860" s="9"/>
      <c r="G860" s="9"/>
      <c r="H860" s="9"/>
      <c r="I860" s="9"/>
      <c r="J860" s="9"/>
      <c r="K860" s="9"/>
      <c r="L860" s="115"/>
      <c r="M860" s="115"/>
      <c r="N860" s="115"/>
      <c r="O860" s="115"/>
      <c r="P860" s="9"/>
      <c r="Q860" s="9"/>
      <c r="R860" s="9"/>
      <c r="S860" s="9"/>
      <c r="T860" s="9"/>
      <c r="U860" s="9"/>
      <c r="V860" s="9"/>
      <c r="W860" s="10"/>
      <c r="X860" s="10"/>
      <c r="Y860" s="10"/>
      <c r="Z860" s="10"/>
    </row>
    <row r="861">
      <c r="A861" s="9"/>
      <c r="B861" s="9"/>
      <c r="C861" s="9"/>
      <c r="D861" s="9"/>
      <c r="E861" s="9"/>
      <c r="F861" s="9"/>
      <c r="G861" s="9"/>
      <c r="H861" s="9"/>
      <c r="I861" s="9"/>
      <c r="J861" s="9"/>
      <c r="K861" s="9"/>
      <c r="L861" s="115"/>
      <c r="M861" s="115"/>
      <c r="N861" s="115"/>
      <c r="O861" s="115"/>
      <c r="P861" s="9"/>
      <c r="Q861" s="9"/>
      <c r="R861" s="9"/>
      <c r="S861" s="9"/>
      <c r="T861" s="9"/>
      <c r="U861" s="9"/>
      <c r="V861" s="9"/>
      <c r="W861" s="10"/>
      <c r="X861" s="10"/>
      <c r="Y861" s="10"/>
      <c r="Z861" s="10"/>
    </row>
    <row r="862">
      <c r="A862" s="9"/>
      <c r="B862" s="9"/>
      <c r="C862" s="9"/>
      <c r="D862" s="9"/>
      <c r="E862" s="9"/>
      <c r="F862" s="9"/>
      <c r="G862" s="9"/>
      <c r="H862" s="9"/>
      <c r="I862" s="9"/>
      <c r="J862" s="9"/>
      <c r="K862" s="9"/>
      <c r="L862" s="115"/>
      <c r="M862" s="115"/>
      <c r="N862" s="115"/>
      <c r="O862" s="115"/>
      <c r="P862" s="9"/>
      <c r="Q862" s="9"/>
      <c r="R862" s="9"/>
      <c r="S862" s="9"/>
      <c r="T862" s="9"/>
      <c r="U862" s="9"/>
      <c r="V862" s="9"/>
      <c r="W862" s="10"/>
      <c r="X862" s="10"/>
      <c r="Y862" s="10"/>
      <c r="Z862" s="10"/>
    </row>
    <row r="863">
      <c r="A863" s="9"/>
      <c r="B863" s="9"/>
      <c r="C863" s="9"/>
      <c r="D863" s="9"/>
      <c r="E863" s="9"/>
      <c r="F863" s="9"/>
      <c r="G863" s="9"/>
      <c r="H863" s="9"/>
      <c r="I863" s="9"/>
      <c r="J863" s="9"/>
      <c r="K863" s="9"/>
      <c r="L863" s="115"/>
      <c r="M863" s="115"/>
      <c r="N863" s="115"/>
      <c r="O863" s="115"/>
      <c r="P863" s="9"/>
      <c r="Q863" s="9"/>
      <c r="R863" s="9"/>
      <c r="S863" s="9"/>
      <c r="T863" s="9"/>
      <c r="U863" s="9"/>
      <c r="V863" s="9"/>
      <c r="W863" s="10"/>
      <c r="X863" s="10"/>
      <c r="Y863" s="10"/>
      <c r="Z863" s="10"/>
    </row>
    <row r="864">
      <c r="A864" s="9"/>
      <c r="B864" s="9"/>
      <c r="C864" s="9"/>
      <c r="D864" s="9"/>
      <c r="E864" s="9"/>
      <c r="F864" s="9"/>
      <c r="G864" s="9"/>
      <c r="H864" s="9"/>
      <c r="I864" s="9"/>
      <c r="J864" s="9"/>
      <c r="K864" s="9"/>
      <c r="L864" s="115"/>
      <c r="M864" s="115"/>
      <c r="N864" s="115"/>
      <c r="O864" s="115"/>
      <c r="P864" s="9"/>
      <c r="Q864" s="9"/>
      <c r="R864" s="9"/>
      <c r="S864" s="9"/>
      <c r="T864" s="9"/>
      <c r="U864" s="9"/>
      <c r="V864" s="9"/>
      <c r="W864" s="10"/>
      <c r="X864" s="10"/>
      <c r="Y864" s="10"/>
      <c r="Z864" s="10"/>
    </row>
    <row r="865">
      <c r="A865" s="9"/>
      <c r="B865" s="9"/>
      <c r="C865" s="9"/>
      <c r="D865" s="9"/>
      <c r="E865" s="9"/>
      <c r="F865" s="9"/>
      <c r="G865" s="9"/>
      <c r="H865" s="9"/>
      <c r="I865" s="9"/>
      <c r="J865" s="9"/>
      <c r="K865" s="9"/>
      <c r="L865" s="115"/>
      <c r="M865" s="115"/>
      <c r="N865" s="115"/>
      <c r="O865" s="115"/>
      <c r="P865" s="9"/>
      <c r="Q865" s="9"/>
      <c r="R865" s="9"/>
      <c r="S865" s="9"/>
      <c r="T865" s="9"/>
      <c r="U865" s="9"/>
      <c r="V865" s="9"/>
      <c r="W865" s="10"/>
      <c r="X865" s="10"/>
      <c r="Y865" s="10"/>
      <c r="Z865" s="10"/>
    </row>
    <row r="866">
      <c r="A866" s="9"/>
      <c r="B866" s="9"/>
      <c r="C866" s="9"/>
      <c r="D866" s="9"/>
      <c r="E866" s="9"/>
      <c r="F866" s="9"/>
      <c r="G866" s="9"/>
      <c r="H866" s="9"/>
      <c r="I866" s="9"/>
      <c r="J866" s="9"/>
      <c r="K866" s="9"/>
      <c r="L866" s="115"/>
      <c r="M866" s="115"/>
      <c r="N866" s="115"/>
      <c r="O866" s="115"/>
      <c r="P866" s="9"/>
      <c r="Q866" s="9"/>
      <c r="R866" s="9"/>
      <c r="S866" s="9"/>
      <c r="T866" s="9"/>
      <c r="U866" s="9"/>
      <c r="V866" s="9"/>
      <c r="W866" s="10"/>
      <c r="X866" s="10"/>
      <c r="Y866" s="10"/>
      <c r="Z866" s="10"/>
    </row>
    <row r="867">
      <c r="A867" s="9"/>
      <c r="B867" s="9"/>
      <c r="C867" s="9"/>
      <c r="D867" s="9"/>
      <c r="E867" s="9"/>
      <c r="F867" s="9"/>
      <c r="G867" s="9"/>
      <c r="H867" s="9"/>
      <c r="I867" s="9"/>
      <c r="J867" s="9"/>
      <c r="K867" s="9"/>
      <c r="L867" s="115"/>
      <c r="M867" s="115"/>
      <c r="N867" s="115"/>
      <c r="O867" s="115"/>
      <c r="P867" s="9"/>
      <c r="Q867" s="9"/>
      <c r="R867" s="9"/>
      <c r="S867" s="9"/>
      <c r="T867" s="9"/>
      <c r="U867" s="9"/>
      <c r="V867" s="9"/>
      <c r="W867" s="10"/>
      <c r="X867" s="10"/>
      <c r="Y867" s="10"/>
      <c r="Z867" s="10"/>
    </row>
    <row r="868">
      <c r="A868" s="9"/>
      <c r="B868" s="9"/>
      <c r="C868" s="9"/>
      <c r="D868" s="9"/>
      <c r="E868" s="9"/>
      <c r="F868" s="9"/>
      <c r="G868" s="9"/>
      <c r="H868" s="9"/>
      <c r="I868" s="9"/>
      <c r="J868" s="9"/>
      <c r="K868" s="9"/>
      <c r="L868" s="115"/>
      <c r="M868" s="115"/>
      <c r="N868" s="115"/>
      <c r="O868" s="115"/>
      <c r="P868" s="9"/>
      <c r="Q868" s="9"/>
      <c r="R868" s="9"/>
      <c r="S868" s="9"/>
      <c r="T868" s="9"/>
      <c r="U868" s="9"/>
      <c r="V868" s="9"/>
      <c r="W868" s="10"/>
      <c r="X868" s="10"/>
      <c r="Y868" s="10"/>
      <c r="Z868" s="10"/>
    </row>
    <row r="869">
      <c r="A869" s="9"/>
      <c r="B869" s="9"/>
      <c r="C869" s="9"/>
      <c r="D869" s="9"/>
      <c r="E869" s="9"/>
      <c r="F869" s="9"/>
      <c r="G869" s="9"/>
      <c r="H869" s="9"/>
      <c r="I869" s="9"/>
      <c r="J869" s="9"/>
      <c r="K869" s="9"/>
      <c r="L869" s="115"/>
      <c r="M869" s="115"/>
      <c r="N869" s="115"/>
      <c r="O869" s="115"/>
      <c r="P869" s="9"/>
      <c r="Q869" s="9"/>
      <c r="R869" s="9"/>
      <c r="S869" s="9"/>
      <c r="T869" s="9"/>
      <c r="U869" s="9"/>
      <c r="V869" s="9"/>
      <c r="W869" s="10"/>
      <c r="X869" s="10"/>
      <c r="Y869" s="10"/>
      <c r="Z869" s="10"/>
    </row>
    <row r="870">
      <c r="A870" s="9"/>
      <c r="B870" s="9"/>
      <c r="C870" s="9"/>
      <c r="D870" s="9"/>
      <c r="E870" s="9"/>
      <c r="F870" s="9"/>
      <c r="G870" s="9"/>
      <c r="H870" s="9"/>
      <c r="I870" s="9"/>
      <c r="J870" s="9"/>
      <c r="K870" s="9"/>
      <c r="L870" s="115"/>
      <c r="M870" s="115"/>
      <c r="N870" s="115"/>
      <c r="O870" s="115"/>
      <c r="P870" s="9"/>
      <c r="Q870" s="9"/>
      <c r="R870" s="9"/>
      <c r="S870" s="9"/>
      <c r="T870" s="9"/>
      <c r="U870" s="9"/>
      <c r="V870" s="9"/>
      <c r="W870" s="10"/>
      <c r="X870" s="10"/>
      <c r="Y870" s="10"/>
      <c r="Z870" s="10"/>
    </row>
    <row r="871">
      <c r="A871" s="9"/>
      <c r="B871" s="9"/>
      <c r="C871" s="9"/>
      <c r="D871" s="9"/>
      <c r="E871" s="9"/>
      <c r="F871" s="9"/>
      <c r="G871" s="9"/>
      <c r="H871" s="9"/>
      <c r="I871" s="9"/>
      <c r="J871" s="9"/>
      <c r="K871" s="9"/>
      <c r="L871" s="115"/>
      <c r="M871" s="115"/>
      <c r="N871" s="115"/>
      <c r="O871" s="115"/>
      <c r="P871" s="9"/>
      <c r="Q871" s="9"/>
      <c r="R871" s="9"/>
      <c r="S871" s="9"/>
      <c r="T871" s="9"/>
      <c r="U871" s="9"/>
      <c r="V871" s="9"/>
      <c r="W871" s="10"/>
      <c r="X871" s="10"/>
      <c r="Y871" s="10"/>
      <c r="Z871" s="10"/>
    </row>
    <row r="872">
      <c r="A872" s="9"/>
      <c r="B872" s="9"/>
      <c r="C872" s="9"/>
      <c r="D872" s="9"/>
      <c r="E872" s="9"/>
      <c r="F872" s="9"/>
      <c r="G872" s="9"/>
      <c r="H872" s="9"/>
      <c r="I872" s="9"/>
      <c r="J872" s="9"/>
      <c r="K872" s="9"/>
      <c r="L872" s="115"/>
      <c r="M872" s="115"/>
      <c r="N872" s="115"/>
      <c r="O872" s="115"/>
      <c r="P872" s="9"/>
      <c r="Q872" s="9"/>
      <c r="R872" s="9"/>
      <c r="S872" s="9"/>
      <c r="T872" s="9"/>
      <c r="U872" s="9"/>
      <c r="V872" s="9"/>
      <c r="W872" s="10"/>
      <c r="X872" s="10"/>
      <c r="Y872" s="10"/>
      <c r="Z872" s="10"/>
    </row>
    <row r="873">
      <c r="A873" s="9"/>
      <c r="B873" s="9"/>
      <c r="C873" s="9"/>
      <c r="D873" s="9"/>
      <c r="E873" s="9"/>
      <c r="F873" s="9"/>
      <c r="G873" s="9"/>
      <c r="H873" s="9"/>
      <c r="I873" s="9"/>
      <c r="J873" s="9"/>
      <c r="K873" s="9"/>
      <c r="L873" s="115"/>
      <c r="M873" s="115"/>
      <c r="N873" s="115"/>
      <c r="O873" s="115"/>
      <c r="P873" s="9"/>
      <c r="Q873" s="9"/>
      <c r="R873" s="9"/>
      <c r="S873" s="9"/>
      <c r="T873" s="9"/>
      <c r="U873" s="9"/>
      <c r="V873" s="9"/>
      <c r="W873" s="10"/>
      <c r="X873" s="10"/>
      <c r="Y873" s="10"/>
      <c r="Z873" s="10"/>
    </row>
    <row r="874">
      <c r="A874" s="9"/>
      <c r="B874" s="9"/>
      <c r="C874" s="9"/>
      <c r="D874" s="9"/>
      <c r="E874" s="9"/>
      <c r="F874" s="9"/>
      <c r="G874" s="9"/>
      <c r="H874" s="9"/>
      <c r="I874" s="9"/>
      <c r="J874" s="9"/>
      <c r="K874" s="9"/>
      <c r="L874" s="115"/>
      <c r="M874" s="115"/>
      <c r="N874" s="115"/>
      <c r="O874" s="115"/>
      <c r="P874" s="9"/>
      <c r="Q874" s="9"/>
      <c r="R874" s="9"/>
      <c r="S874" s="9"/>
      <c r="T874" s="9"/>
      <c r="U874" s="9"/>
      <c r="V874" s="9"/>
      <c r="W874" s="10"/>
      <c r="X874" s="10"/>
      <c r="Y874" s="10"/>
      <c r="Z874" s="10"/>
    </row>
    <row r="875">
      <c r="A875" s="9"/>
      <c r="B875" s="9"/>
      <c r="C875" s="9"/>
      <c r="D875" s="9"/>
      <c r="E875" s="9"/>
      <c r="F875" s="9"/>
      <c r="G875" s="9"/>
      <c r="H875" s="9"/>
      <c r="I875" s="9"/>
      <c r="J875" s="9"/>
      <c r="K875" s="9"/>
      <c r="L875" s="115"/>
      <c r="M875" s="115"/>
      <c r="N875" s="115"/>
      <c r="O875" s="115"/>
      <c r="P875" s="9"/>
      <c r="Q875" s="9"/>
      <c r="R875" s="9"/>
      <c r="S875" s="9"/>
      <c r="T875" s="9"/>
      <c r="U875" s="9"/>
      <c r="V875" s="9"/>
      <c r="W875" s="10"/>
      <c r="X875" s="10"/>
      <c r="Y875" s="10"/>
      <c r="Z875" s="10"/>
    </row>
    <row r="876">
      <c r="A876" s="9"/>
      <c r="B876" s="9"/>
      <c r="C876" s="9"/>
      <c r="D876" s="9"/>
      <c r="E876" s="9"/>
      <c r="F876" s="9"/>
      <c r="G876" s="9"/>
      <c r="H876" s="9"/>
      <c r="I876" s="9"/>
      <c r="J876" s="9"/>
      <c r="K876" s="9"/>
      <c r="L876" s="115"/>
      <c r="M876" s="115"/>
      <c r="N876" s="115"/>
      <c r="O876" s="115"/>
      <c r="P876" s="9"/>
      <c r="Q876" s="9"/>
      <c r="R876" s="9"/>
      <c r="S876" s="9"/>
      <c r="T876" s="9"/>
      <c r="U876" s="9"/>
      <c r="V876" s="9"/>
      <c r="W876" s="10"/>
      <c r="X876" s="10"/>
      <c r="Y876" s="10"/>
      <c r="Z876" s="10"/>
    </row>
    <row r="877">
      <c r="A877" s="9"/>
      <c r="B877" s="9"/>
      <c r="C877" s="9"/>
      <c r="D877" s="9"/>
      <c r="E877" s="9"/>
      <c r="F877" s="9"/>
      <c r="G877" s="9"/>
      <c r="H877" s="9"/>
      <c r="I877" s="9"/>
      <c r="J877" s="9"/>
      <c r="K877" s="9"/>
      <c r="L877" s="115"/>
      <c r="M877" s="115"/>
      <c r="N877" s="115"/>
      <c r="O877" s="115"/>
      <c r="P877" s="9"/>
      <c r="Q877" s="9"/>
      <c r="R877" s="9"/>
      <c r="S877" s="9"/>
      <c r="T877" s="9"/>
      <c r="U877" s="9"/>
      <c r="V877" s="9"/>
      <c r="W877" s="10"/>
      <c r="X877" s="10"/>
      <c r="Y877" s="10"/>
      <c r="Z877" s="10"/>
    </row>
    <row r="878">
      <c r="A878" s="9"/>
      <c r="B878" s="9"/>
      <c r="C878" s="9"/>
      <c r="D878" s="9"/>
      <c r="E878" s="9"/>
      <c r="F878" s="9"/>
      <c r="G878" s="9"/>
      <c r="H878" s="9"/>
      <c r="I878" s="9"/>
      <c r="J878" s="9"/>
      <c r="K878" s="9"/>
      <c r="L878" s="115"/>
      <c r="M878" s="115"/>
      <c r="N878" s="115"/>
      <c r="O878" s="115"/>
      <c r="P878" s="9"/>
      <c r="Q878" s="9"/>
      <c r="R878" s="9"/>
      <c r="S878" s="9"/>
      <c r="T878" s="9"/>
      <c r="U878" s="9"/>
      <c r="V878" s="9"/>
      <c r="W878" s="10"/>
      <c r="X878" s="10"/>
      <c r="Y878" s="10"/>
      <c r="Z878" s="10"/>
    </row>
    <row r="879">
      <c r="A879" s="9"/>
      <c r="B879" s="9"/>
      <c r="C879" s="9"/>
      <c r="D879" s="9"/>
      <c r="E879" s="9"/>
      <c r="F879" s="9"/>
      <c r="G879" s="9"/>
      <c r="H879" s="9"/>
      <c r="I879" s="9"/>
      <c r="J879" s="9"/>
      <c r="K879" s="9"/>
      <c r="L879" s="115"/>
      <c r="M879" s="115"/>
      <c r="N879" s="115"/>
      <c r="O879" s="115"/>
      <c r="P879" s="9"/>
      <c r="Q879" s="9"/>
      <c r="R879" s="9"/>
      <c r="S879" s="9"/>
      <c r="T879" s="9"/>
      <c r="U879" s="9"/>
      <c r="V879" s="9"/>
      <c r="W879" s="10"/>
      <c r="X879" s="10"/>
      <c r="Y879" s="10"/>
      <c r="Z879" s="10"/>
    </row>
    <row r="880">
      <c r="A880" s="9"/>
      <c r="B880" s="9"/>
      <c r="C880" s="9"/>
      <c r="D880" s="9"/>
      <c r="E880" s="9"/>
      <c r="F880" s="9"/>
      <c r="G880" s="9"/>
      <c r="H880" s="9"/>
      <c r="I880" s="9"/>
      <c r="J880" s="9"/>
      <c r="K880" s="9"/>
      <c r="L880" s="115"/>
      <c r="M880" s="115"/>
      <c r="N880" s="115"/>
      <c r="O880" s="115"/>
      <c r="P880" s="9"/>
      <c r="Q880" s="9"/>
      <c r="R880" s="9"/>
      <c r="S880" s="9"/>
      <c r="T880" s="9"/>
      <c r="U880" s="9"/>
      <c r="V880" s="9"/>
      <c r="W880" s="10"/>
      <c r="X880" s="10"/>
      <c r="Y880" s="10"/>
      <c r="Z880" s="10"/>
    </row>
    <row r="881">
      <c r="A881" s="9"/>
      <c r="B881" s="9"/>
      <c r="C881" s="9"/>
      <c r="D881" s="9"/>
      <c r="E881" s="9"/>
      <c r="F881" s="9"/>
      <c r="G881" s="9"/>
      <c r="H881" s="9"/>
      <c r="I881" s="9"/>
      <c r="J881" s="9"/>
      <c r="K881" s="9"/>
      <c r="L881" s="115"/>
      <c r="M881" s="115"/>
      <c r="N881" s="115"/>
      <c r="O881" s="115"/>
      <c r="P881" s="9"/>
      <c r="Q881" s="9"/>
      <c r="R881" s="9"/>
      <c r="S881" s="9"/>
      <c r="T881" s="9"/>
      <c r="U881" s="9"/>
      <c r="V881" s="9"/>
      <c r="W881" s="10"/>
      <c r="X881" s="10"/>
      <c r="Y881" s="10"/>
      <c r="Z881" s="10"/>
    </row>
    <row r="882">
      <c r="A882" s="9"/>
      <c r="B882" s="9"/>
      <c r="C882" s="9"/>
      <c r="D882" s="9"/>
      <c r="E882" s="9"/>
      <c r="F882" s="9"/>
      <c r="G882" s="9"/>
      <c r="H882" s="9"/>
      <c r="I882" s="9"/>
      <c r="J882" s="9"/>
      <c r="K882" s="9"/>
      <c r="L882" s="115"/>
      <c r="M882" s="115"/>
      <c r="N882" s="115"/>
      <c r="O882" s="115"/>
      <c r="P882" s="9"/>
      <c r="Q882" s="9"/>
      <c r="R882" s="9"/>
      <c r="S882" s="9"/>
      <c r="T882" s="9"/>
      <c r="U882" s="9"/>
      <c r="V882" s="9"/>
      <c r="W882" s="10"/>
      <c r="X882" s="10"/>
      <c r="Y882" s="10"/>
      <c r="Z882" s="10"/>
    </row>
    <row r="883">
      <c r="A883" s="9"/>
      <c r="B883" s="9"/>
      <c r="C883" s="9"/>
      <c r="D883" s="9"/>
      <c r="E883" s="9"/>
      <c r="F883" s="9"/>
      <c r="G883" s="9"/>
      <c r="H883" s="9"/>
      <c r="I883" s="9"/>
      <c r="J883" s="9"/>
      <c r="K883" s="9"/>
      <c r="L883" s="115"/>
      <c r="M883" s="115"/>
      <c r="N883" s="115"/>
      <c r="O883" s="115"/>
      <c r="P883" s="9"/>
      <c r="Q883" s="9"/>
      <c r="R883" s="9"/>
      <c r="S883" s="9"/>
      <c r="T883" s="9"/>
      <c r="U883" s="9"/>
      <c r="V883" s="9"/>
      <c r="W883" s="10"/>
      <c r="X883" s="10"/>
      <c r="Y883" s="10"/>
      <c r="Z883" s="10"/>
    </row>
    <row r="884">
      <c r="A884" s="9"/>
      <c r="B884" s="9"/>
      <c r="C884" s="9"/>
      <c r="D884" s="9"/>
      <c r="E884" s="9"/>
      <c r="F884" s="9"/>
      <c r="G884" s="9"/>
      <c r="H884" s="9"/>
      <c r="I884" s="9"/>
      <c r="J884" s="9"/>
      <c r="K884" s="9"/>
      <c r="L884" s="115"/>
      <c r="M884" s="115"/>
      <c r="N884" s="115"/>
      <c r="O884" s="115"/>
      <c r="P884" s="9"/>
      <c r="Q884" s="9"/>
      <c r="R884" s="9"/>
      <c r="S884" s="9"/>
      <c r="T884" s="9"/>
      <c r="U884" s="9"/>
      <c r="V884" s="9"/>
      <c r="W884" s="10"/>
      <c r="X884" s="10"/>
      <c r="Y884" s="10"/>
      <c r="Z884" s="10"/>
    </row>
    <row r="885">
      <c r="A885" s="9"/>
      <c r="B885" s="9"/>
      <c r="C885" s="9"/>
      <c r="D885" s="9"/>
      <c r="E885" s="9"/>
      <c r="F885" s="9"/>
      <c r="G885" s="9"/>
      <c r="H885" s="9"/>
      <c r="I885" s="9"/>
      <c r="J885" s="9"/>
      <c r="K885" s="9"/>
      <c r="L885" s="115"/>
      <c r="M885" s="115"/>
      <c r="N885" s="115"/>
      <c r="O885" s="115"/>
      <c r="P885" s="9"/>
      <c r="Q885" s="9"/>
      <c r="R885" s="9"/>
      <c r="S885" s="9"/>
      <c r="T885" s="9"/>
      <c r="U885" s="9"/>
      <c r="V885" s="9"/>
      <c r="W885" s="10"/>
      <c r="X885" s="10"/>
      <c r="Y885" s="10"/>
      <c r="Z885" s="10"/>
    </row>
    <row r="886">
      <c r="A886" s="9"/>
      <c r="B886" s="9"/>
      <c r="C886" s="9"/>
      <c r="D886" s="9"/>
      <c r="E886" s="9"/>
      <c r="F886" s="9"/>
      <c r="G886" s="9"/>
      <c r="H886" s="9"/>
      <c r="I886" s="9"/>
      <c r="J886" s="9"/>
      <c r="K886" s="9"/>
      <c r="L886" s="115"/>
      <c r="M886" s="115"/>
      <c r="N886" s="115"/>
      <c r="O886" s="115"/>
      <c r="P886" s="9"/>
      <c r="Q886" s="9"/>
      <c r="R886" s="9"/>
      <c r="S886" s="9"/>
      <c r="T886" s="9"/>
      <c r="U886" s="9"/>
      <c r="V886" s="9"/>
      <c r="W886" s="10"/>
      <c r="X886" s="10"/>
      <c r="Y886" s="10"/>
      <c r="Z886" s="10"/>
    </row>
    <row r="887">
      <c r="A887" s="9"/>
      <c r="B887" s="9"/>
      <c r="C887" s="9"/>
      <c r="D887" s="9"/>
      <c r="E887" s="9"/>
      <c r="F887" s="9"/>
      <c r="G887" s="9"/>
      <c r="H887" s="9"/>
      <c r="I887" s="9"/>
      <c r="J887" s="9"/>
      <c r="K887" s="9"/>
      <c r="L887" s="115"/>
      <c r="M887" s="115"/>
      <c r="N887" s="115"/>
      <c r="O887" s="115"/>
      <c r="P887" s="9"/>
      <c r="Q887" s="9"/>
      <c r="R887" s="9"/>
      <c r="S887" s="9"/>
      <c r="T887" s="9"/>
      <c r="U887" s="9"/>
      <c r="V887" s="9"/>
      <c r="W887" s="10"/>
      <c r="X887" s="10"/>
      <c r="Y887" s="10"/>
      <c r="Z887" s="10"/>
    </row>
    <row r="888">
      <c r="A888" s="9"/>
      <c r="B888" s="9"/>
      <c r="C888" s="9"/>
      <c r="D888" s="9"/>
      <c r="E888" s="9"/>
      <c r="F888" s="9"/>
      <c r="G888" s="9"/>
      <c r="H888" s="9"/>
      <c r="I888" s="9"/>
      <c r="J888" s="9"/>
      <c r="K888" s="9"/>
      <c r="L888" s="115"/>
      <c r="M888" s="115"/>
      <c r="N888" s="115"/>
      <c r="O888" s="115"/>
      <c r="P888" s="9"/>
      <c r="Q888" s="9"/>
      <c r="R888" s="9"/>
      <c r="S888" s="9"/>
      <c r="T888" s="9"/>
      <c r="U888" s="9"/>
      <c r="V888" s="9"/>
      <c r="W888" s="10"/>
      <c r="X888" s="10"/>
      <c r="Y888" s="10"/>
      <c r="Z888" s="10"/>
    </row>
    <row r="889">
      <c r="A889" s="9"/>
      <c r="B889" s="9"/>
      <c r="C889" s="9"/>
      <c r="D889" s="9"/>
      <c r="E889" s="9"/>
      <c r="F889" s="9"/>
      <c r="G889" s="9"/>
      <c r="H889" s="9"/>
      <c r="I889" s="9"/>
      <c r="J889" s="9"/>
      <c r="K889" s="9"/>
      <c r="L889" s="115"/>
      <c r="M889" s="115"/>
      <c r="N889" s="115"/>
      <c r="O889" s="115"/>
      <c r="P889" s="9"/>
      <c r="Q889" s="9"/>
      <c r="R889" s="9"/>
      <c r="S889" s="9"/>
      <c r="T889" s="9"/>
      <c r="U889" s="9"/>
      <c r="V889" s="9"/>
      <c r="W889" s="10"/>
      <c r="X889" s="10"/>
      <c r="Y889" s="10"/>
      <c r="Z889" s="10"/>
    </row>
    <row r="890">
      <c r="A890" s="9"/>
      <c r="B890" s="9"/>
      <c r="C890" s="9"/>
      <c r="D890" s="9"/>
      <c r="E890" s="9"/>
      <c r="F890" s="9"/>
      <c r="G890" s="9"/>
      <c r="H890" s="9"/>
      <c r="I890" s="9"/>
      <c r="J890" s="9"/>
      <c r="K890" s="9"/>
      <c r="L890" s="115"/>
      <c r="M890" s="115"/>
      <c r="N890" s="115"/>
      <c r="O890" s="115"/>
      <c r="P890" s="9"/>
      <c r="Q890" s="9"/>
      <c r="R890" s="9"/>
      <c r="S890" s="9"/>
      <c r="T890" s="9"/>
      <c r="U890" s="9"/>
      <c r="V890" s="9"/>
      <c r="W890" s="10"/>
      <c r="X890" s="10"/>
      <c r="Y890" s="10"/>
      <c r="Z890" s="10"/>
    </row>
    <row r="891">
      <c r="A891" s="9"/>
      <c r="B891" s="9"/>
      <c r="C891" s="9"/>
      <c r="D891" s="9"/>
      <c r="E891" s="9"/>
      <c r="F891" s="9"/>
      <c r="G891" s="9"/>
      <c r="H891" s="9"/>
      <c r="I891" s="9"/>
      <c r="J891" s="9"/>
      <c r="K891" s="9"/>
      <c r="L891" s="115"/>
      <c r="M891" s="115"/>
      <c r="N891" s="115"/>
      <c r="O891" s="115"/>
      <c r="P891" s="9"/>
      <c r="Q891" s="9"/>
      <c r="R891" s="9"/>
      <c r="S891" s="9"/>
      <c r="T891" s="9"/>
      <c r="U891" s="9"/>
      <c r="V891" s="9"/>
      <c r="W891" s="10"/>
      <c r="X891" s="10"/>
      <c r="Y891" s="10"/>
      <c r="Z891" s="10"/>
    </row>
    <row r="892">
      <c r="A892" s="9"/>
      <c r="B892" s="9"/>
      <c r="C892" s="9"/>
      <c r="D892" s="9"/>
      <c r="E892" s="9"/>
      <c r="F892" s="9"/>
      <c r="G892" s="9"/>
      <c r="H892" s="9"/>
      <c r="I892" s="9"/>
      <c r="J892" s="9"/>
      <c r="K892" s="9"/>
      <c r="L892" s="115"/>
      <c r="M892" s="115"/>
      <c r="N892" s="115"/>
      <c r="O892" s="115"/>
      <c r="P892" s="9"/>
      <c r="Q892" s="9"/>
      <c r="R892" s="9"/>
      <c r="S892" s="9"/>
      <c r="T892" s="9"/>
      <c r="U892" s="9"/>
      <c r="V892" s="9"/>
      <c r="W892" s="10"/>
      <c r="X892" s="10"/>
      <c r="Y892" s="10"/>
      <c r="Z892" s="10"/>
    </row>
    <row r="893">
      <c r="A893" s="9"/>
      <c r="B893" s="9"/>
      <c r="C893" s="9"/>
      <c r="D893" s="9"/>
      <c r="E893" s="9"/>
      <c r="F893" s="9"/>
      <c r="G893" s="9"/>
      <c r="H893" s="9"/>
      <c r="I893" s="9"/>
      <c r="J893" s="9"/>
      <c r="K893" s="9"/>
      <c r="L893" s="115"/>
      <c r="M893" s="115"/>
      <c r="N893" s="115"/>
      <c r="O893" s="115"/>
      <c r="P893" s="9"/>
      <c r="Q893" s="9"/>
      <c r="R893" s="9"/>
      <c r="S893" s="9"/>
      <c r="T893" s="9"/>
      <c r="U893" s="9"/>
      <c r="V893" s="9"/>
      <c r="W893" s="10"/>
      <c r="X893" s="10"/>
      <c r="Y893" s="10"/>
      <c r="Z893" s="10"/>
    </row>
    <row r="894">
      <c r="A894" s="9"/>
      <c r="B894" s="9"/>
      <c r="C894" s="9"/>
      <c r="D894" s="9"/>
      <c r="E894" s="9"/>
      <c r="F894" s="9"/>
      <c r="G894" s="9"/>
      <c r="H894" s="9"/>
      <c r="I894" s="9"/>
      <c r="J894" s="9"/>
      <c r="K894" s="9"/>
      <c r="L894" s="115"/>
      <c r="M894" s="115"/>
      <c r="N894" s="115"/>
      <c r="O894" s="115"/>
      <c r="P894" s="9"/>
      <c r="Q894" s="9"/>
      <c r="R894" s="9"/>
      <c r="S894" s="9"/>
      <c r="T894" s="9"/>
      <c r="U894" s="9"/>
      <c r="V894" s="9"/>
      <c r="W894" s="10"/>
      <c r="X894" s="10"/>
      <c r="Y894" s="10"/>
      <c r="Z894" s="10"/>
    </row>
    <row r="895">
      <c r="A895" s="9"/>
      <c r="B895" s="9"/>
      <c r="C895" s="9"/>
      <c r="D895" s="9"/>
      <c r="E895" s="9"/>
      <c r="F895" s="9"/>
      <c r="G895" s="9"/>
      <c r="H895" s="9"/>
      <c r="I895" s="9"/>
      <c r="J895" s="9"/>
      <c r="K895" s="9"/>
      <c r="L895" s="115"/>
      <c r="M895" s="115"/>
      <c r="N895" s="115"/>
      <c r="O895" s="115"/>
      <c r="P895" s="9"/>
      <c r="Q895" s="9"/>
      <c r="R895" s="9"/>
      <c r="S895" s="9"/>
      <c r="T895" s="9"/>
      <c r="U895" s="9"/>
      <c r="V895" s="9"/>
      <c r="W895" s="10"/>
      <c r="X895" s="10"/>
      <c r="Y895" s="10"/>
      <c r="Z895" s="10"/>
    </row>
    <row r="896">
      <c r="A896" s="9"/>
      <c r="B896" s="9"/>
      <c r="C896" s="9"/>
      <c r="D896" s="9"/>
      <c r="E896" s="9"/>
      <c r="F896" s="9"/>
      <c r="G896" s="9"/>
      <c r="H896" s="9"/>
      <c r="I896" s="9"/>
      <c r="J896" s="9"/>
      <c r="K896" s="9"/>
      <c r="L896" s="115"/>
      <c r="M896" s="115"/>
      <c r="N896" s="115"/>
      <c r="O896" s="115"/>
      <c r="P896" s="9"/>
      <c r="Q896" s="9"/>
      <c r="R896" s="9"/>
      <c r="S896" s="9"/>
      <c r="T896" s="9"/>
      <c r="U896" s="9"/>
      <c r="V896" s="9"/>
      <c r="W896" s="10"/>
      <c r="X896" s="10"/>
      <c r="Y896" s="10"/>
      <c r="Z896" s="10"/>
    </row>
    <row r="897">
      <c r="A897" s="9"/>
      <c r="B897" s="9"/>
      <c r="C897" s="9"/>
      <c r="D897" s="9"/>
      <c r="E897" s="9"/>
      <c r="F897" s="9"/>
      <c r="G897" s="9"/>
      <c r="H897" s="9"/>
      <c r="I897" s="9"/>
      <c r="J897" s="9"/>
      <c r="K897" s="9"/>
      <c r="L897" s="115"/>
      <c r="M897" s="115"/>
      <c r="N897" s="115"/>
      <c r="O897" s="115"/>
      <c r="P897" s="9"/>
      <c r="Q897" s="9"/>
      <c r="R897" s="9"/>
      <c r="S897" s="9"/>
      <c r="T897" s="9"/>
      <c r="U897" s="9"/>
      <c r="V897" s="9"/>
      <c r="W897" s="10"/>
      <c r="X897" s="10"/>
      <c r="Y897" s="10"/>
      <c r="Z897" s="10"/>
    </row>
    <row r="898">
      <c r="A898" s="9"/>
      <c r="B898" s="9"/>
      <c r="C898" s="9"/>
      <c r="D898" s="9"/>
      <c r="E898" s="9"/>
      <c r="F898" s="9"/>
      <c r="G898" s="9"/>
      <c r="H898" s="9"/>
      <c r="I898" s="9"/>
      <c r="J898" s="9"/>
      <c r="K898" s="9"/>
      <c r="L898" s="115"/>
      <c r="M898" s="115"/>
      <c r="N898" s="115"/>
      <c r="O898" s="115"/>
      <c r="P898" s="9"/>
      <c r="Q898" s="9"/>
      <c r="R898" s="9"/>
      <c r="S898" s="9"/>
      <c r="T898" s="9"/>
      <c r="U898" s="9"/>
      <c r="V898" s="9"/>
      <c r="W898" s="10"/>
      <c r="X898" s="10"/>
      <c r="Y898" s="10"/>
      <c r="Z898" s="10"/>
    </row>
    <row r="899">
      <c r="A899" s="9"/>
      <c r="B899" s="9"/>
      <c r="C899" s="9"/>
      <c r="D899" s="9"/>
      <c r="E899" s="9"/>
      <c r="F899" s="9"/>
      <c r="G899" s="9"/>
      <c r="H899" s="9"/>
      <c r="I899" s="9"/>
      <c r="J899" s="9"/>
      <c r="K899" s="9"/>
      <c r="L899" s="115"/>
      <c r="M899" s="115"/>
      <c r="N899" s="115"/>
      <c r="O899" s="115"/>
      <c r="P899" s="9"/>
      <c r="Q899" s="9"/>
      <c r="R899" s="9"/>
      <c r="S899" s="9"/>
      <c r="T899" s="9"/>
      <c r="U899" s="9"/>
      <c r="V899" s="9"/>
      <c r="W899" s="10"/>
      <c r="X899" s="10"/>
      <c r="Y899" s="10"/>
      <c r="Z899" s="10"/>
    </row>
    <row r="900">
      <c r="A900" s="9"/>
      <c r="B900" s="9"/>
      <c r="C900" s="9"/>
      <c r="D900" s="9"/>
      <c r="E900" s="9"/>
      <c r="F900" s="9"/>
      <c r="G900" s="9"/>
      <c r="H900" s="9"/>
      <c r="I900" s="9"/>
      <c r="J900" s="9"/>
      <c r="K900" s="9"/>
      <c r="L900" s="115"/>
      <c r="M900" s="115"/>
      <c r="N900" s="115"/>
      <c r="O900" s="115"/>
      <c r="P900" s="9"/>
      <c r="Q900" s="9"/>
      <c r="R900" s="9"/>
      <c r="S900" s="9"/>
      <c r="T900" s="9"/>
      <c r="U900" s="9"/>
      <c r="V900" s="9"/>
      <c r="W900" s="10"/>
      <c r="X900" s="10"/>
      <c r="Y900" s="10"/>
      <c r="Z900" s="10"/>
    </row>
    <row r="901">
      <c r="A901" s="9"/>
      <c r="B901" s="9"/>
      <c r="C901" s="9"/>
      <c r="D901" s="9"/>
      <c r="E901" s="9"/>
      <c r="F901" s="9"/>
      <c r="G901" s="9"/>
      <c r="H901" s="9"/>
      <c r="I901" s="9"/>
      <c r="J901" s="9"/>
      <c r="K901" s="9"/>
      <c r="L901" s="115"/>
      <c r="M901" s="115"/>
      <c r="N901" s="115"/>
      <c r="O901" s="115"/>
      <c r="P901" s="9"/>
      <c r="Q901" s="9"/>
      <c r="R901" s="9"/>
      <c r="S901" s="9"/>
      <c r="T901" s="9"/>
      <c r="U901" s="9"/>
      <c r="V901" s="9"/>
      <c r="W901" s="10"/>
      <c r="X901" s="10"/>
      <c r="Y901" s="10"/>
      <c r="Z901" s="10"/>
    </row>
    <row r="902">
      <c r="A902" s="9"/>
      <c r="B902" s="9"/>
      <c r="C902" s="9"/>
      <c r="D902" s="9"/>
      <c r="E902" s="9"/>
      <c r="F902" s="9"/>
      <c r="G902" s="9"/>
      <c r="H902" s="9"/>
      <c r="I902" s="9"/>
      <c r="J902" s="9"/>
      <c r="K902" s="9"/>
      <c r="L902" s="115"/>
      <c r="M902" s="115"/>
      <c r="N902" s="115"/>
      <c r="O902" s="115"/>
      <c r="P902" s="9"/>
      <c r="Q902" s="9"/>
      <c r="R902" s="9"/>
      <c r="S902" s="9"/>
      <c r="T902" s="9"/>
      <c r="U902" s="9"/>
      <c r="V902" s="9"/>
      <c r="W902" s="10"/>
      <c r="X902" s="10"/>
      <c r="Y902" s="10"/>
      <c r="Z902" s="10"/>
    </row>
    <row r="903">
      <c r="A903" s="9"/>
      <c r="B903" s="9"/>
      <c r="C903" s="9"/>
      <c r="D903" s="9"/>
      <c r="E903" s="9"/>
      <c r="F903" s="9"/>
      <c r="G903" s="9"/>
      <c r="H903" s="9"/>
      <c r="I903" s="9"/>
      <c r="J903" s="9"/>
      <c r="K903" s="9"/>
      <c r="L903" s="115"/>
      <c r="M903" s="115"/>
      <c r="N903" s="115"/>
      <c r="O903" s="115"/>
      <c r="P903" s="9"/>
      <c r="Q903" s="9"/>
      <c r="R903" s="9"/>
      <c r="S903" s="9"/>
      <c r="T903" s="9"/>
      <c r="U903" s="9"/>
      <c r="V903" s="9"/>
      <c r="W903" s="10"/>
      <c r="X903" s="10"/>
      <c r="Y903" s="10"/>
      <c r="Z903" s="10"/>
    </row>
    <row r="904">
      <c r="A904" s="9"/>
      <c r="B904" s="9"/>
      <c r="C904" s="9"/>
      <c r="D904" s="9"/>
      <c r="E904" s="9"/>
      <c r="F904" s="9"/>
      <c r="G904" s="9"/>
      <c r="H904" s="9"/>
      <c r="I904" s="9"/>
      <c r="J904" s="9"/>
      <c r="K904" s="9"/>
      <c r="L904" s="115"/>
      <c r="M904" s="115"/>
      <c r="N904" s="115"/>
      <c r="O904" s="115"/>
      <c r="P904" s="9"/>
      <c r="Q904" s="9"/>
      <c r="R904" s="9"/>
      <c r="S904" s="9"/>
      <c r="T904" s="9"/>
      <c r="U904" s="9"/>
      <c r="V904" s="9"/>
      <c r="W904" s="10"/>
      <c r="X904" s="10"/>
      <c r="Y904" s="10"/>
      <c r="Z904" s="10"/>
    </row>
    <row r="905">
      <c r="A905" s="9"/>
      <c r="B905" s="9"/>
      <c r="C905" s="9"/>
      <c r="D905" s="9"/>
      <c r="E905" s="9"/>
      <c r="F905" s="9"/>
      <c r="G905" s="9"/>
      <c r="H905" s="9"/>
      <c r="I905" s="9"/>
      <c r="J905" s="9"/>
      <c r="K905" s="9"/>
      <c r="L905" s="115"/>
      <c r="M905" s="115"/>
      <c r="N905" s="115"/>
      <c r="O905" s="115"/>
      <c r="P905" s="9"/>
      <c r="Q905" s="9"/>
      <c r="R905" s="9"/>
      <c r="S905" s="9"/>
      <c r="T905" s="9"/>
      <c r="U905" s="9"/>
      <c r="V905" s="9"/>
      <c r="W905" s="10"/>
      <c r="X905" s="10"/>
      <c r="Y905" s="10"/>
      <c r="Z905" s="10"/>
    </row>
    <row r="906">
      <c r="A906" s="9"/>
      <c r="B906" s="9"/>
      <c r="C906" s="9"/>
      <c r="D906" s="9"/>
      <c r="E906" s="9"/>
      <c r="F906" s="9"/>
      <c r="G906" s="9"/>
      <c r="H906" s="9"/>
      <c r="I906" s="9"/>
      <c r="J906" s="9"/>
      <c r="K906" s="9"/>
      <c r="L906" s="115"/>
      <c r="M906" s="115"/>
      <c r="N906" s="115"/>
      <c r="O906" s="115"/>
      <c r="P906" s="9"/>
      <c r="Q906" s="9"/>
      <c r="R906" s="9"/>
      <c r="S906" s="9"/>
      <c r="T906" s="9"/>
      <c r="U906" s="9"/>
      <c r="V906" s="9"/>
      <c r="W906" s="10"/>
      <c r="X906" s="10"/>
      <c r="Y906" s="10"/>
      <c r="Z906" s="10"/>
    </row>
    <row r="907">
      <c r="A907" s="9"/>
      <c r="B907" s="9"/>
      <c r="C907" s="9"/>
      <c r="D907" s="9"/>
      <c r="E907" s="9"/>
      <c r="F907" s="9"/>
      <c r="G907" s="9"/>
      <c r="H907" s="9"/>
      <c r="I907" s="9"/>
      <c r="J907" s="9"/>
      <c r="K907" s="9"/>
      <c r="L907" s="115"/>
      <c r="M907" s="115"/>
      <c r="N907" s="115"/>
      <c r="O907" s="115"/>
      <c r="P907" s="9"/>
      <c r="Q907" s="9"/>
      <c r="R907" s="9"/>
      <c r="S907" s="9"/>
      <c r="T907" s="9"/>
      <c r="U907" s="9"/>
      <c r="V907" s="9"/>
      <c r="W907" s="10"/>
      <c r="X907" s="10"/>
      <c r="Y907" s="10"/>
      <c r="Z907" s="10"/>
    </row>
    <row r="908">
      <c r="A908" s="9"/>
      <c r="B908" s="9"/>
      <c r="C908" s="9"/>
      <c r="D908" s="9"/>
      <c r="E908" s="9"/>
      <c r="F908" s="9"/>
      <c r="G908" s="9"/>
      <c r="H908" s="9"/>
      <c r="I908" s="9"/>
      <c r="J908" s="9"/>
      <c r="K908" s="9"/>
      <c r="L908" s="115"/>
      <c r="M908" s="115"/>
      <c r="N908" s="115"/>
      <c r="O908" s="115"/>
      <c r="P908" s="9"/>
      <c r="Q908" s="9"/>
      <c r="R908" s="9"/>
      <c r="S908" s="9"/>
      <c r="T908" s="9"/>
      <c r="U908" s="9"/>
      <c r="V908" s="9"/>
      <c r="W908" s="10"/>
      <c r="X908" s="10"/>
      <c r="Y908" s="10"/>
      <c r="Z908" s="10"/>
    </row>
    <row r="909">
      <c r="A909" s="9"/>
      <c r="B909" s="9"/>
      <c r="C909" s="9"/>
      <c r="D909" s="9"/>
      <c r="E909" s="9"/>
      <c r="F909" s="9"/>
      <c r="G909" s="9"/>
      <c r="H909" s="9"/>
      <c r="I909" s="9"/>
      <c r="J909" s="9"/>
      <c r="K909" s="9"/>
      <c r="L909" s="115"/>
      <c r="M909" s="115"/>
      <c r="N909" s="115"/>
      <c r="O909" s="115"/>
      <c r="P909" s="9"/>
      <c r="Q909" s="9"/>
      <c r="R909" s="9"/>
      <c r="S909" s="9"/>
      <c r="T909" s="9"/>
      <c r="U909" s="9"/>
      <c r="V909" s="9"/>
      <c r="W909" s="10"/>
      <c r="X909" s="10"/>
      <c r="Y909" s="10"/>
      <c r="Z909" s="10"/>
    </row>
    <row r="910">
      <c r="A910" s="9"/>
      <c r="B910" s="9"/>
      <c r="C910" s="9"/>
      <c r="D910" s="9"/>
      <c r="E910" s="9"/>
      <c r="F910" s="9"/>
      <c r="G910" s="9"/>
      <c r="H910" s="9"/>
      <c r="I910" s="9"/>
      <c r="J910" s="9"/>
      <c r="K910" s="9"/>
      <c r="L910" s="115"/>
      <c r="M910" s="115"/>
      <c r="N910" s="115"/>
      <c r="O910" s="115"/>
      <c r="P910" s="9"/>
      <c r="Q910" s="9"/>
      <c r="R910" s="9"/>
      <c r="S910" s="9"/>
      <c r="T910" s="9"/>
      <c r="U910" s="9"/>
      <c r="V910" s="9"/>
      <c r="W910" s="10"/>
      <c r="X910" s="10"/>
      <c r="Y910" s="10"/>
      <c r="Z910" s="10"/>
    </row>
    <row r="911">
      <c r="A911" s="9"/>
      <c r="B911" s="9"/>
      <c r="C911" s="9"/>
      <c r="D911" s="9"/>
      <c r="E911" s="9"/>
      <c r="F911" s="9"/>
      <c r="G911" s="9"/>
      <c r="H911" s="9"/>
      <c r="I911" s="9"/>
      <c r="J911" s="9"/>
      <c r="K911" s="9"/>
      <c r="L911" s="115"/>
      <c r="M911" s="115"/>
      <c r="N911" s="115"/>
      <c r="O911" s="115"/>
      <c r="P911" s="9"/>
      <c r="Q911" s="9"/>
      <c r="R911" s="9"/>
      <c r="S911" s="9"/>
      <c r="T911" s="9"/>
      <c r="U911" s="9"/>
      <c r="V911" s="9"/>
      <c r="W911" s="10"/>
      <c r="X911" s="10"/>
      <c r="Y911" s="10"/>
      <c r="Z911" s="10"/>
    </row>
    <row r="912">
      <c r="A912" s="9"/>
      <c r="B912" s="9"/>
      <c r="C912" s="9"/>
      <c r="D912" s="9"/>
      <c r="E912" s="9"/>
      <c r="F912" s="9"/>
      <c r="G912" s="9"/>
      <c r="H912" s="9"/>
      <c r="I912" s="9"/>
      <c r="J912" s="9"/>
      <c r="K912" s="9"/>
      <c r="L912" s="115"/>
      <c r="M912" s="115"/>
      <c r="N912" s="115"/>
      <c r="O912" s="115"/>
      <c r="P912" s="9"/>
      <c r="Q912" s="9"/>
      <c r="R912" s="9"/>
      <c r="S912" s="9"/>
      <c r="T912" s="9"/>
      <c r="U912" s="9"/>
      <c r="V912" s="9"/>
      <c r="W912" s="10"/>
      <c r="X912" s="10"/>
      <c r="Y912" s="10"/>
      <c r="Z912" s="10"/>
    </row>
    <row r="913">
      <c r="A913" s="9"/>
      <c r="B913" s="9"/>
      <c r="C913" s="9"/>
      <c r="D913" s="9"/>
      <c r="E913" s="9"/>
      <c r="F913" s="9"/>
      <c r="G913" s="9"/>
      <c r="H913" s="9"/>
      <c r="I913" s="9"/>
      <c r="J913" s="9"/>
      <c r="K913" s="9"/>
      <c r="L913" s="115"/>
      <c r="M913" s="115"/>
      <c r="N913" s="115"/>
      <c r="O913" s="115"/>
      <c r="P913" s="9"/>
      <c r="Q913" s="9"/>
      <c r="R913" s="9"/>
      <c r="S913" s="9"/>
      <c r="T913" s="9"/>
      <c r="U913" s="9"/>
      <c r="V913" s="9"/>
      <c r="W913" s="10"/>
      <c r="X913" s="10"/>
      <c r="Y913" s="10"/>
      <c r="Z913" s="10"/>
    </row>
    <row r="914">
      <c r="A914" s="9"/>
      <c r="B914" s="9"/>
      <c r="C914" s="9"/>
      <c r="D914" s="9"/>
      <c r="E914" s="9"/>
      <c r="F914" s="9"/>
      <c r="G914" s="9"/>
      <c r="H914" s="9"/>
      <c r="I914" s="9"/>
      <c r="J914" s="9"/>
      <c r="K914" s="9"/>
      <c r="L914" s="115"/>
      <c r="M914" s="115"/>
      <c r="N914" s="115"/>
      <c r="O914" s="115"/>
      <c r="P914" s="9"/>
      <c r="Q914" s="9"/>
      <c r="R914" s="9"/>
      <c r="S914" s="9"/>
      <c r="T914" s="9"/>
      <c r="U914" s="9"/>
      <c r="V914" s="9"/>
      <c r="W914" s="10"/>
      <c r="X914" s="10"/>
      <c r="Y914" s="10"/>
      <c r="Z914" s="10"/>
    </row>
    <row r="915">
      <c r="A915" s="9"/>
      <c r="B915" s="9"/>
      <c r="C915" s="9"/>
      <c r="D915" s="9"/>
      <c r="E915" s="9"/>
      <c r="F915" s="9"/>
      <c r="G915" s="9"/>
      <c r="H915" s="9"/>
      <c r="I915" s="9"/>
      <c r="J915" s="9"/>
      <c r="K915" s="9"/>
      <c r="L915" s="115"/>
      <c r="M915" s="115"/>
      <c r="N915" s="115"/>
      <c r="O915" s="115"/>
      <c r="P915" s="9"/>
      <c r="Q915" s="9"/>
      <c r="R915" s="9"/>
      <c r="S915" s="9"/>
      <c r="T915" s="9"/>
      <c r="U915" s="9"/>
      <c r="V915" s="9"/>
      <c r="W915" s="10"/>
      <c r="X915" s="10"/>
      <c r="Y915" s="10"/>
      <c r="Z915" s="10"/>
    </row>
    <row r="916">
      <c r="A916" s="9"/>
      <c r="B916" s="9"/>
      <c r="C916" s="9"/>
      <c r="D916" s="9"/>
      <c r="E916" s="9"/>
      <c r="F916" s="9"/>
      <c r="G916" s="9"/>
      <c r="H916" s="9"/>
      <c r="I916" s="9"/>
      <c r="J916" s="9"/>
      <c r="K916" s="9"/>
      <c r="L916" s="115"/>
      <c r="M916" s="115"/>
      <c r="N916" s="115"/>
      <c r="O916" s="115"/>
      <c r="P916" s="9"/>
      <c r="Q916" s="9"/>
      <c r="R916" s="9"/>
      <c r="S916" s="9"/>
      <c r="T916" s="9"/>
      <c r="U916" s="9"/>
      <c r="V916" s="9"/>
      <c r="W916" s="10"/>
      <c r="X916" s="10"/>
      <c r="Y916" s="10"/>
      <c r="Z916" s="10"/>
    </row>
    <row r="917">
      <c r="A917" s="9"/>
      <c r="B917" s="9"/>
      <c r="C917" s="9"/>
      <c r="D917" s="9"/>
      <c r="E917" s="9"/>
      <c r="F917" s="9"/>
      <c r="G917" s="9"/>
      <c r="H917" s="9"/>
      <c r="I917" s="9"/>
      <c r="J917" s="9"/>
      <c r="K917" s="9"/>
      <c r="L917" s="115"/>
      <c r="M917" s="115"/>
      <c r="N917" s="115"/>
      <c r="O917" s="115"/>
      <c r="P917" s="9"/>
      <c r="Q917" s="9"/>
      <c r="R917" s="9"/>
      <c r="S917" s="9"/>
      <c r="T917" s="9"/>
      <c r="U917" s="9"/>
      <c r="V917" s="9"/>
      <c r="W917" s="10"/>
      <c r="X917" s="10"/>
      <c r="Y917" s="10"/>
      <c r="Z917" s="10"/>
    </row>
    <row r="918">
      <c r="A918" s="9"/>
      <c r="B918" s="9"/>
      <c r="C918" s="9"/>
      <c r="D918" s="9"/>
      <c r="E918" s="9"/>
      <c r="F918" s="9"/>
      <c r="G918" s="9"/>
      <c r="H918" s="9"/>
      <c r="I918" s="9"/>
      <c r="J918" s="9"/>
      <c r="K918" s="9"/>
      <c r="L918" s="115"/>
      <c r="M918" s="115"/>
      <c r="N918" s="115"/>
      <c r="O918" s="115"/>
      <c r="P918" s="9"/>
      <c r="Q918" s="9"/>
      <c r="R918" s="9"/>
      <c r="S918" s="9"/>
      <c r="T918" s="9"/>
      <c r="U918" s="9"/>
      <c r="V918" s="9"/>
      <c r="W918" s="10"/>
      <c r="X918" s="10"/>
      <c r="Y918" s="10"/>
      <c r="Z918" s="10"/>
    </row>
    <row r="919">
      <c r="A919" s="9"/>
      <c r="B919" s="9"/>
      <c r="C919" s="9"/>
      <c r="D919" s="9"/>
      <c r="E919" s="9"/>
      <c r="F919" s="9"/>
      <c r="G919" s="9"/>
      <c r="H919" s="9"/>
      <c r="I919" s="9"/>
      <c r="J919" s="9"/>
      <c r="K919" s="9"/>
      <c r="L919" s="115"/>
      <c r="M919" s="115"/>
      <c r="N919" s="115"/>
      <c r="O919" s="115"/>
      <c r="P919" s="9"/>
      <c r="Q919" s="9"/>
      <c r="R919" s="9"/>
      <c r="S919" s="9"/>
      <c r="T919" s="9"/>
      <c r="U919" s="9"/>
      <c r="V919" s="9"/>
      <c r="W919" s="10"/>
      <c r="X919" s="10"/>
      <c r="Y919" s="10"/>
      <c r="Z919" s="10"/>
    </row>
    <row r="920">
      <c r="A920" s="9"/>
      <c r="B920" s="9"/>
      <c r="C920" s="9"/>
      <c r="D920" s="9"/>
      <c r="E920" s="9"/>
      <c r="F920" s="9"/>
      <c r="G920" s="9"/>
      <c r="H920" s="9"/>
      <c r="I920" s="9"/>
      <c r="J920" s="9"/>
      <c r="K920" s="9"/>
      <c r="L920" s="115"/>
      <c r="M920" s="115"/>
      <c r="N920" s="115"/>
      <c r="O920" s="115"/>
      <c r="P920" s="9"/>
      <c r="Q920" s="9"/>
      <c r="R920" s="9"/>
      <c r="S920" s="9"/>
      <c r="T920" s="9"/>
      <c r="U920" s="9"/>
      <c r="V920" s="9"/>
      <c r="W920" s="10"/>
      <c r="X920" s="10"/>
      <c r="Y920" s="10"/>
      <c r="Z920" s="10"/>
    </row>
    <row r="921">
      <c r="A921" s="9"/>
      <c r="B921" s="9"/>
      <c r="C921" s="9"/>
      <c r="D921" s="9"/>
      <c r="E921" s="9"/>
      <c r="F921" s="9"/>
      <c r="G921" s="9"/>
      <c r="H921" s="9"/>
      <c r="I921" s="9"/>
      <c r="J921" s="9"/>
      <c r="K921" s="9"/>
      <c r="L921" s="115"/>
      <c r="M921" s="115"/>
      <c r="N921" s="115"/>
      <c r="O921" s="115"/>
      <c r="P921" s="9"/>
      <c r="Q921" s="9"/>
      <c r="R921" s="9"/>
      <c r="S921" s="9"/>
      <c r="T921" s="9"/>
      <c r="U921" s="9"/>
      <c r="V921" s="9"/>
      <c r="W921" s="10"/>
      <c r="X921" s="10"/>
      <c r="Y921" s="10"/>
      <c r="Z921" s="10"/>
    </row>
    <row r="922">
      <c r="A922" s="9"/>
      <c r="B922" s="9"/>
      <c r="C922" s="9"/>
      <c r="D922" s="9"/>
      <c r="E922" s="9"/>
      <c r="F922" s="9"/>
      <c r="G922" s="9"/>
      <c r="H922" s="9"/>
      <c r="I922" s="9"/>
      <c r="J922" s="9"/>
      <c r="K922" s="9"/>
      <c r="L922" s="115"/>
      <c r="M922" s="115"/>
      <c r="N922" s="115"/>
      <c r="O922" s="115"/>
      <c r="P922" s="9"/>
      <c r="Q922" s="9"/>
      <c r="R922" s="9"/>
      <c r="S922" s="9"/>
      <c r="T922" s="9"/>
      <c r="U922" s="9"/>
      <c r="V922" s="9"/>
      <c r="W922" s="10"/>
      <c r="X922" s="10"/>
      <c r="Y922" s="10"/>
      <c r="Z922" s="10"/>
    </row>
    <row r="923">
      <c r="A923" s="9"/>
      <c r="B923" s="9"/>
      <c r="C923" s="9"/>
      <c r="D923" s="9"/>
      <c r="E923" s="9"/>
      <c r="F923" s="9"/>
      <c r="G923" s="9"/>
      <c r="H923" s="9"/>
      <c r="I923" s="9"/>
      <c r="J923" s="9"/>
      <c r="K923" s="9"/>
      <c r="L923" s="115"/>
      <c r="M923" s="115"/>
      <c r="N923" s="115"/>
      <c r="O923" s="115"/>
      <c r="P923" s="9"/>
      <c r="Q923" s="9"/>
      <c r="R923" s="9"/>
      <c r="S923" s="9"/>
      <c r="T923" s="9"/>
      <c r="U923" s="9"/>
      <c r="V923" s="9"/>
      <c r="W923" s="10"/>
      <c r="X923" s="10"/>
      <c r="Y923" s="10"/>
      <c r="Z923" s="10"/>
    </row>
    <row r="924">
      <c r="A924" s="9"/>
      <c r="B924" s="9"/>
      <c r="C924" s="9"/>
      <c r="D924" s="9"/>
      <c r="E924" s="9"/>
      <c r="F924" s="9"/>
      <c r="G924" s="9"/>
      <c r="H924" s="9"/>
      <c r="I924" s="9"/>
      <c r="J924" s="9"/>
      <c r="K924" s="9"/>
      <c r="L924" s="115"/>
      <c r="M924" s="115"/>
      <c r="N924" s="115"/>
      <c r="O924" s="115"/>
      <c r="P924" s="9"/>
      <c r="Q924" s="9"/>
      <c r="R924" s="9"/>
      <c r="S924" s="9"/>
      <c r="T924" s="9"/>
      <c r="U924" s="9"/>
      <c r="V924" s="9"/>
      <c r="W924" s="10"/>
      <c r="X924" s="10"/>
      <c r="Y924" s="10"/>
      <c r="Z924" s="10"/>
    </row>
    <row r="925">
      <c r="A925" s="9"/>
      <c r="B925" s="9"/>
      <c r="C925" s="9"/>
      <c r="D925" s="9"/>
      <c r="E925" s="9"/>
      <c r="F925" s="9"/>
      <c r="G925" s="9"/>
      <c r="H925" s="9"/>
      <c r="I925" s="9"/>
      <c r="J925" s="9"/>
      <c r="K925" s="9"/>
      <c r="L925" s="115"/>
      <c r="M925" s="115"/>
      <c r="N925" s="115"/>
      <c r="O925" s="115"/>
      <c r="P925" s="9"/>
      <c r="Q925" s="9"/>
      <c r="R925" s="9"/>
      <c r="S925" s="9"/>
      <c r="T925" s="9"/>
      <c r="U925" s="9"/>
      <c r="V925" s="9"/>
      <c r="W925" s="10"/>
      <c r="X925" s="10"/>
      <c r="Y925" s="10"/>
      <c r="Z925" s="10"/>
    </row>
    <row r="926">
      <c r="A926" s="9"/>
      <c r="B926" s="9"/>
      <c r="C926" s="9"/>
      <c r="D926" s="9"/>
      <c r="E926" s="9"/>
      <c r="F926" s="9"/>
      <c r="G926" s="9"/>
      <c r="H926" s="9"/>
      <c r="I926" s="9"/>
      <c r="J926" s="9"/>
      <c r="K926" s="9"/>
      <c r="L926" s="115"/>
      <c r="M926" s="115"/>
      <c r="N926" s="115"/>
      <c r="O926" s="115"/>
      <c r="P926" s="9"/>
      <c r="Q926" s="9"/>
      <c r="R926" s="9"/>
      <c r="S926" s="9"/>
      <c r="T926" s="9"/>
      <c r="U926" s="9"/>
      <c r="V926" s="9"/>
      <c r="W926" s="10"/>
      <c r="X926" s="10"/>
      <c r="Y926" s="10"/>
      <c r="Z926" s="10"/>
    </row>
    <row r="927">
      <c r="A927" s="9"/>
      <c r="B927" s="9"/>
      <c r="C927" s="9"/>
      <c r="D927" s="9"/>
      <c r="E927" s="9"/>
      <c r="F927" s="9"/>
      <c r="G927" s="9"/>
      <c r="H927" s="9"/>
      <c r="I927" s="9"/>
      <c r="J927" s="9"/>
      <c r="K927" s="9"/>
      <c r="L927" s="115"/>
      <c r="M927" s="115"/>
      <c r="N927" s="115"/>
      <c r="O927" s="115"/>
      <c r="P927" s="9"/>
      <c r="Q927" s="9"/>
      <c r="R927" s="9"/>
      <c r="S927" s="9"/>
      <c r="T927" s="9"/>
      <c r="U927" s="9"/>
      <c r="V927" s="9"/>
      <c r="W927" s="10"/>
      <c r="X927" s="10"/>
      <c r="Y927" s="10"/>
      <c r="Z927" s="10"/>
    </row>
    <row r="928">
      <c r="A928" s="9"/>
      <c r="B928" s="9"/>
      <c r="C928" s="9"/>
      <c r="D928" s="9"/>
      <c r="E928" s="9"/>
      <c r="F928" s="9"/>
      <c r="G928" s="9"/>
      <c r="H928" s="9"/>
      <c r="I928" s="9"/>
      <c r="J928" s="9"/>
      <c r="K928" s="9"/>
      <c r="L928" s="115"/>
      <c r="M928" s="115"/>
      <c r="N928" s="115"/>
      <c r="O928" s="115"/>
      <c r="P928" s="9"/>
      <c r="Q928" s="9"/>
      <c r="R928" s="9"/>
      <c r="S928" s="9"/>
      <c r="T928" s="9"/>
      <c r="U928" s="9"/>
      <c r="V928" s="9"/>
      <c r="W928" s="10"/>
      <c r="X928" s="10"/>
      <c r="Y928" s="10"/>
      <c r="Z928" s="10"/>
    </row>
    <row r="929">
      <c r="A929" s="9"/>
      <c r="B929" s="9"/>
      <c r="C929" s="9"/>
      <c r="D929" s="9"/>
      <c r="E929" s="9"/>
      <c r="F929" s="9"/>
      <c r="G929" s="9"/>
      <c r="H929" s="9"/>
      <c r="I929" s="9"/>
      <c r="J929" s="9"/>
      <c r="K929" s="9"/>
      <c r="L929" s="115"/>
      <c r="M929" s="115"/>
      <c r="N929" s="115"/>
      <c r="O929" s="115"/>
      <c r="P929" s="9"/>
      <c r="Q929" s="9"/>
      <c r="R929" s="9"/>
      <c r="S929" s="9"/>
      <c r="T929" s="9"/>
      <c r="U929" s="9"/>
      <c r="V929" s="9"/>
      <c r="W929" s="10"/>
      <c r="X929" s="10"/>
      <c r="Y929" s="10"/>
      <c r="Z929" s="10"/>
    </row>
    <row r="930">
      <c r="A930" s="9"/>
      <c r="B930" s="9"/>
      <c r="C930" s="9"/>
      <c r="D930" s="9"/>
      <c r="E930" s="9"/>
      <c r="F930" s="9"/>
      <c r="G930" s="9"/>
      <c r="H930" s="9"/>
      <c r="I930" s="9"/>
      <c r="J930" s="9"/>
      <c r="K930" s="9"/>
      <c r="L930" s="115"/>
      <c r="M930" s="115"/>
      <c r="N930" s="115"/>
      <c r="O930" s="115"/>
      <c r="P930" s="9"/>
      <c r="Q930" s="9"/>
      <c r="R930" s="9"/>
      <c r="S930" s="9"/>
      <c r="T930" s="9"/>
      <c r="U930" s="9"/>
      <c r="V930" s="9"/>
      <c r="W930" s="10"/>
      <c r="X930" s="10"/>
      <c r="Y930" s="10"/>
      <c r="Z930" s="10"/>
    </row>
    <row r="931">
      <c r="A931" s="9"/>
      <c r="B931" s="9"/>
      <c r="C931" s="9"/>
      <c r="D931" s="9"/>
      <c r="E931" s="9"/>
      <c r="F931" s="9"/>
      <c r="G931" s="9"/>
      <c r="H931" s="9"/>
      <c r="I931" s="9"/>
      <c r="J931" s="9"/>
      <c r="K931" s="9"/>
      <c r="L931" s="115"/>
      <c r="M931" s="115"/>
      <c r="N931" s="115"/>
      <c r="O931" s="115"/>
      <c r="P931" s="9"/>
      <c r="Q931" s="9"/>
      <c r="R931" s="9"/>
      <c r="S931" s="9"/>
      <c r="T931" s="9"/>
      <c r="U931" s="9"/>
      <c r="V931" s="9"/>
      <c r="W931" s="10"/>
      <c r="X931" s="10"/>
      <c r="Y931" s="10"/>
      <c r="Z931" s="10"/>
    </row>
    <row r="932">
      <c r="A932" s="9"/>
      <c r="B932" s="9"/>
      <c r="C932" s="9"/>
      <c r="D932" s="9"/>
      <c r="E932" s="9"/>
      <c r="F932" s="9"/>
      <c r="G932" s="9"/>
      <c r="H932" s="9"/>
      <c r="I932" s="9"/>
      <c r="J932" s="9"/>
      <c r="K932" s="9"/>
      <c r="L932" s="115"/>
      <c r="M932" s="115"/>
      <c r="N932" s="115"/>
      <c r="O932" s="115"/>
      <c r="P932" s="9"/>
      <c r="Q932" s="9"/>
      <c r="R932" s="9"/>
      <c r="S932" s="9"/>
      <c r="T932" s="9"/>
      <c r="U932" s="9"/>
      <c r="V932" s="9"/>
      <c r="W932" s="10"/>
      <c r="X932" s="10"/>
      <c r="Y932" s="10"/>
      <c r="Z932" s="10"/>
    </row>
    <row r="933">
      <c r="A933" s="9"/>
      <c r="B933" s="9"/>
      <c r="C933" s="9"/>
      <c r="D933" s="9"/>
      <c r="E933" s="9"/>
      <c r="F933" s="9"/>
      <c r="G933" s="9"/>
      <c r="H933" s="9"/>
      <c r="I933" s="9"/>
      <c r="J933" s="9"/>
      <c r="K933" s="9"/>
      <c r="L933" s="115"/>
      <c r="M933" s="115"/>
      <c r="N933" s="115"/>
      <c r="O933" s="115"/>
      <c r="P933" s="9"/>
      <c r="Q933" s="9"/>
      <c r="R933" s="9"/>
      <c r="S933" s="9"/>
      <c r="T933" s="9"/>
      <c r="U933" s="9"/>
      <c r="V933" s="9"/>
      <c r="W933" s="10"/>
      <c r="X933" s="10"/>
      <c r="Y933" s="10"/>
      <c r="Z933" s="10"/>
    </row>
    <row r="934">
      <c r="A934" s="9"/>
      <c r="B934" s="9"/>
      <c r="C934" s="9"/>
      <c r="D934" s="9"/>
      <c r="E934" s="9"/>
      <c r="F934" s="9"/>
      <c r="G934" s="9"/>
      <c r="H934" s="9"/>
      <c r="I934" s="9"/>
      <c r="J934" s="9"/>
      <c r="K934" s="9"/>
      <c r="L934" s="115"/>
      <c r="M934" s="115"/>
      <c r="N934" s="115"/>
      <c r="O934" s="115"/>
      <c r="P934" s="9"/>
      <c r="Q934" s="9"/>
      <c r="R934" s="9"/>
      <c r="S934" s="9"/>
      <c r="T934" s="9"/>
      <c r="U934" s="9"/>
      <c r="V934" s="9"/>
      <c r="W934" s="10"/>
      <c r="X934" s="10"/>
      <c r="Y934" s="10"/>
      <c r="Z934" s="10"/>
    </row>
    <row r="935">
      <c r="A935" s="9"/>
      <c r="B935" s="9"/>
      <c r="C935" s="9"/>
      <c r="D935" s="9"/>
      <c r="E935" s="9"/>
      <c r="F935" s="9"/>
      <c r="G935" s="9"/>
      <c r="H935" s="9"/>
      <c r="I935" s="9"/>
      <c r="J935" s="9"/>
      <c r="K935" s="9"/>
      <c r="L935" s="115"/>
      <c r="M935" s="115"/>
      <c r="N935" s="115"/>
      <c r="O935" s="115"/>
      <c r="P935" s="9"/>
      <c r="Q935" s="9"/>
      <c r="R935" s="9"/>
      <c r="S935" s="9"/>
      <c r="T935" s="9"/>
      <c r="U935" s="9"/>
      <c r="V935" s="9"/>
      <c r="W935" s="10"/>
      <c r="X935" s="10"/>
      <c r="Y935" s="10"/>
      <c r="Z935" s="10"/>
    </row>
    <row r="936">
      <c r="A936" s="9"/>
      <c r="B936" s="9"/>
      <c r="C936" s="9"/>
      <c r="D936" s="9"/>
      <c r="E936" s="9"/>
      <c r="F936" s="9"/>
      <c r="G936" s="9"/>
      <c r="H936" s="9"/>
      <c r="I936" s="9"/>
      <c r="J936" s="9"/>
      <c r="K936" s="9"/>
      <c r="L936" s="115"/>
      <c r="M936" s="115"/>
      <c r="N936" s="115"/>
      <c r="O936" s="115"/>
      <c r="P936" s="9"/>
      <c r="Q936" s="9"/>
      <c r="R936" s="9"/>
      <c r="S936" s="9"/>
      <c r="T936" s="9"/>
      <c r="U936" s="9"/>
      <c r="V936" s="9"/>
      <c r="W936" s="10"/>
      <c r="X936" s="10"/>
      <c r="Y936" s="10"/>
      <c r="Z936" s="10"/>
    </row>
    <row r="937">
      <c r="A937" s="9"/>
      <c r="B937" s="9"/>
      <c r="C937" s="9"/>
      <c r="D937" s="9"/>
      <c r="E937" s="9"/>
      <c r="F937" s="9"/>
      <c r="G937" s="9"/>
      <c r="H937" s="9"/>
      <c r="I937" s="9"/>
      <c r="J937" s="9"/>
      <c r="K937" s="9"/>
      <c r="L937" s="115"/>
      <c r="M937" s="115"/>
      <c r="N937" s="115"/>
      <c r="O937" s="115"/>
      <c r="P937" s="9"/>
      <c r="Q937" s="9"/>
      <c r="R937" s="9"/>
      <c r="S937" s="9"/>
      <c r="T937" s="9"/>
      <c r="U937" s="9"/>
      <c r="V937" s="9"/>
      <c r="W937" s="10"/>
      <c r="X937" s="10"/>
      <c r="Y937" s="10"/>
      <c r="Z937" s="10"/>
    </row>
    <row r="938">
      <c r="A938" s="9"/>
      <c r="B938" s="9"/>
      <c r="C938" s="9"/>
      <c r="D938" s="9"/>
      <c r="E938" s="9"/>
      <c r="F938" s="9"/>
      <c r="G938" s="9"/>
      <c r="H938" s="9"/>
      <c r="I938" s="9"/>
      <c r="J938" s="9"/>
      <c r="K938" s="9"/>
      <c r="L938" s="115"/>
      <c r="M938" s="115"/>
      <c r="N938" s="115"/>
      <c r="O938" s="115"/>
      <c r="P938" s="9"/>
      <c r="Q938" s="9"/>
      <c r="R938" s="9"/>
      <c r="S938" s="9"/>
      <c r="T938" s="9"/>
      <c r="U938" s="9"/>
      <c r="V938" s="9"/>
      <c r="W938" s="10"/>
      <c r="X938" s="10"/>
      <c r="Y938" s="10"/>
      <c r="Z938" s="10"/>
    </row>
    <row r="939">
      <c r="A939" s="9"/>
      <c r="B939" s="9"/>
      <c r="C939" s="9"/>
      <c r="D939" s="9"/>
      <c r="E939" s="9"/>
      <c r="F939" s="9"/>
      <c r="G939" s="9"/>
      <c r="H939" s="9"/>
      <c r="I939" s="9"/>
      <c r="J939" s="9"/>
      <c r="K939" s="9"/>
      <c r="L939" s="115"/>
      <c r="M939" s="115"/>
      <c r="N939" s="115"/>
      <c r="O939" s="115"/>
      <c r="P939" s="9"/>
      <c r="Q939" s="9"/>
      <c r="R939" s="9"/>
      <c r="S939" s="9"/>
      <c r="T939" s="9"/>
      <c r="U939" s="9"/>
      <c r="V939" s="9"/>
      <c r="W939" s="10"/>
      <c r="X939" s="10"/>
      <c r="Y939" s="10"/>
      <c r="Z939" s="10"/>
    </row>
    <row r="940">
      <c r="A940" s="9"/>
      <c r="B940" s="9"/>
      <c r="C940" s="9"/>
      <c r="D940" s="9"/>
      <c r="E940" s="9"/>
      <c r="F940" s="9"/>
      <c r="G940" s="9"/>
      <c r="H940" s="9"/>
      <c r="I940" s="9"/>
      <c r="J940" s="9"/>
      <c r="K940" s="9"/>
      <c r="L940" s="115"/>
      <c r="M940" s="115"/>
      <c r="N940" s="115"/>
      <c r="O940" s="115"/>
      <c r="P940" s="9"/>
      <c r="Q940" s="9"/>
      <c r="R940" s="9"/>
      <c r="S940" s="9"/>
      <c r="T940" s="9"/>
      <c r="U940" s="9"/>
      <c r="V940" s="9"/>
      <c r="W940" s="10"/>
      <c r="X940" s="10"/>
      <c r="Y940" s="10"/>
      <c r="Z940" s="10"/>
    </row>
    <row r="941">
      <c r="A941" s="9"/>
      <c r="B941" s="9"/>
      <c r="C941" s="9"/>
      <c r="D941" s="9"/>
      <c r="E941" s="9"/>
      <c r="F941" s="9"/>
      <c r="G941" s="9"/>
      <c r="H941" s="9"/>
      <c r="I941" s="9"/>
      <c r="J941" s="9"/>
      <c r="K941" s="9"/>
      <c r="L941" s="115"/>
      <c r="M941" s="115"/>
      <c r="N941" s="115"/>
      <c r="O941" s="115"/>
      <c r="P941" s="9"/>
      <c r="Q941" s="9"/>
      <c r="R941" s="9"/>
      <c r="S941" s="9"/>
      <c r="T941" s="9"/>
      <c r="U941" s="9"/>
      <c r="V941" s="9"/>
      <c r="W941" s="10"/>
      <c r="X941" s="10"/>
      <c r="Y941" s="10"/>
      <c r="Z941" s="10"/>
    </row>
    <row r="942">
      <c r="A942" s="9"/>
      <c r="B942" s="9"/>
      <c r="C942" s="9"/>
      <c r="D942" s="9"/>
      <c r="E942" s="9"/>
      <c r="F942" s="9"/>
      <c r="G942" s="9"/>
      <c r="H942" s="9"/>
      <c r="I942" s="9"/>
      <c r="J942" s="9"/>
      <c r="K942" s="9"/>
      <c r="L942" s="115"/>
      <c r="M942" s="115"/>
      <c r="N942" s="115"/>
      <c r="O942" s="115"/>
      <c r="P942" s="9"/>
      <c r="Q942" s="9"/>
      <c r="R942" s="9"/>
      <c r="S942" s="9"/>
      <c r="T942" s="9"/>
      <c r="U942" s="9"/>
      <c r="V942" s="9"/>
      <c r="W942" s="10"/>
      <c r="X942" s="10"/>
      <c r="Y942" s="10"/>
      <c r="Z942" s="10"/>
    </row>
    <row r="943">
      <c r="A943" s="9"/>
      <c r="B943" s="9"/>
      <c r="C943" s="9"/>
      <c r="D943" s="9"/>
      <c r="E943" s="9"/>
      <c r="F943" s="9"/>
      <c r="G943" s="9"/>
      <c r="H943" s="9"/>
      <c r="I943" s="9"/>
      <c r="J943" s="9"/>
      <c r="K943" s="9"/>
      <c r="L943" s="115"/>
      <c r="M943" s="115"/>
      <c r="N943" s="115"/>
      <c r="O943" s="115"/>
      <c r="P943" s="9"/>
      <c r="Q943" s="9"/>
      <c r="R943" s="9"/>
      <c r="S943" s="9"/>
      <c r="T943" s="9"/>
      <c r="U943" s="9"/>
      <c r="V943" s="9"/>
      <c r="W943" s="10"/>
      <c r="X943" s="10"/>
      <c r="Y943" s="10"/>
      <c r="Z943" s="10"/>
    </row>
    <row r="944">
      <c r="A944" s="9"/>
      <c r="B944" s="9"/>
      <c r="C944" s="9"/>
      <c r="D944" s="9"/>
      <c r="E944" s="9"/>
      <c r="F944" s="9"/>
      <c r="G944" s="9"/>
      <c r="H944" s="9"/>
      <c r="I944" s="9"/>
      <c r="J944" s="9"/>
      <c r="K944" s="9"/>
      <c r="L944" s="115"/>
      <c r="M944" s="115"/>
      <c r="N944" s="115"/>
      <c r="O944" s="115"/>
      <c r="P944" s="9"/>
      <c r="Q944" s="9"/>
      <c r="R944" s="9"/>
      <c r="S944" s="9"/>
      <c r="T944" s="9"/>
      <c r="U944" s="9"/>
      <c r="V944" s="9"/>
      <c r="W944" s="10"/>
      <c r="X944" s="10"/>
      <c r="Y944" s="10"/>
      <c r="Z944" s="10"/>
    </row>
    <row r="945">
      <c r="A945" s="9"/>
      <c r="B945" s="9"/>
      <c r="C945" s="9"/>
      <c r="D945" s="9"/>
      <c r="E945" s="9"/>
      <c r="F945" s="9"/>
      <c r="G945" s="9"/>
      <c r="H945" s="9"/>
      <c r="I945" s="9"/>
      <c r="J945" s="9"/>
      <c r="K945" s="9"/>
      <c r="L945" s="115"/>
      <c r="M945" s="115"/>
      <c r="N945" s="115"/>
      <c r="O945" s="115"/>
      <c r="P945" s="9"/>
      <c r="Q945" s="9"/>
      <c r="R945" s="9"/>
      <c r="S945" s="9"/>
      <c r="T945" s="9"/>
      <c r="U945" s="9"/>
      <c r="V945" s="9"/>
      <c r="W945" s="10"/>
      <c r="X945" s="10"/>
      <c r="Y945" s="10"/>
      <c r="Z945" s="10"/>
    </row>
    <row r="946">
      <c r="A946" s="9"/>
      <c r="B946" s="9"/>
      <c r="C946" s="9"/>
      <c r="D946" s="9"/>
      <c r="E946" s="9"/>
      <c r="F946" s="9"/>
      <c r="G946" s="9"/>
      <c r="H946" s="9"/>
      <c r="I946" s="9"/>
      <c r="J946" s="9"/>
      <c r="K946" s="9"/>
      <c r="L946" s="115"/>
      <c r="M946" s="115"/>
      <c r="N946" s="115"/>
      <c r="O946" s="115"/>
      <c r="P946" s="9"/>
      <c r="Q946" s="9"/>
      <c r="R946" s="9"/>
      <c r="S946" s="9"/>
      <c r="T946" s="9"/>
      <c r="U946" s="9"/>
      <c r="V946" s="9"/>
      <c r="W946" s="10"/>
      <c r="X946" s="10"/>
      <c r="Y946" s="10"/>
      <c r="Z946" s="10"/>
    </row>
    <row r="947">
      <c r="A947" s="9"/>
      <c r="B947" s="9"/>
      <c r="C947" s="9"/>
      <c r="D947" s="9"/>
      <c r="E947" s="9"/>
      <c r="F947" s="9"/>
      <c r="G947" s="9"/>
      <c r="H947" s="9"/>
      <c r="I947" s="9"/>
      <c r="J947" s="9"/>
      <c r="K947" s="9"/>
      <c r="L947" s="115"/>
      <c r="M947" s="115"/>
      <c r="N947" s="115"/>
      <c r="O947" s="115"/>
      <c r="P947" s="9"/>
      <c r="Q947" s="9"/>
      <c r="R947" s="9"/>
      <c r="S947" s="9"/>
      <c r="T947" s="9"/>
      <c r="U947" s="9"/>
      <c r="V947" s="9"/>
      <c r="W947" s="10"/>
      <c r="X947" s="10"/>
      <c r="Y947" s="10"/>
      <c r="Z947" s="10"/>
    </row>
    <row r="948">
      <c r="A948" s="9"/>
      <c r="B948" s="9"/>
      <c r="C948" s="9"/>
      <c r="D948" s="9"/>
      <c r="E948" s="9"/>
      <c r="F948" s="9"/>
      <c r="G948" s="9"/>
      <c r="H948" s="9"/>
      <c r="I948" s="9"/>
      <c r="J948" s="9"/>
      <c r="K948" s="9"/>
      <c r="L948" s="115"/>
      <c r="M948" s="115"/>
      <c r="N948" s="115"/>
      <c r="O948" s="115"/>
      <c r="P948" s="9"/>
      <c r="Q948" s="9"/>
      <c r="R948" s="9"/>
      <c r="S948" s="9"/>
      <c r="T948" s="9"/>
      <c r="U948" s="9"/>
      <c r="V948" s="9"/>
      <c r="W948" s="10"/>
      <c r="X948" s="10"/>
      <c r="Y948" s="10"/>
      <c r="Z948" s="10"/>
    </row>
    <row r="949">
      <c r="A949" s="9"/>
      <c r="B949" s="9"/>
      <c r="C949" s="9"/>
      <c r="D949" s="9"/>
      <c r="E949" s="9"/>
      <c r="F949" s="9"/>
      <c r="G949" s="9"/>
      <c r="H949" s="9"/>
      <c r="I949" s="9"/>
      <c r="J949" s="9"/>
      <c r="K949" s="9"/>
      <c r="L949" s="115"/>
      <c r="M949" s="115"/>
      <c r="N949" s="115"/>
      <c r="O949" s="115"/>
      <c r="P949" s="9"/>
      <c r="Q949" s="9"/>
      <c r="R949" s="9"/>
      <c r="S949" s="9"/>
      <c r="T949" s="9"/>
      <c r="U949" s="9"/>
      <c r="V949" s="9"/>
      <c r="W949" s="10"/>
      <c r="X949" s="10"/>
      <c r="Y949" s="10"/>
      <c r="Z949" s="10"/>
    </row>
    <row r="950">
      <c r="A950" s="9"/>
      <c r="B950" s="9"/>
      <c r="C950" s="9"/>
      <c r="D950" s="9"/>
      <c r="E950" s="9"/>
      <c r="F950" s="9"/>
      <c r="G950" s="9"/>
      <c r="H950" s="9"/>
      <c r="I950" s="9"/>
      <c r="J950" s="9"/>
      <c r="K950" s="9"/>
      <c r="L950" s="115"/>
      <c r="M950" s="115"/>
      <c r="N950" s="115"/>
      <c r="O950" s="115"/>
      <c r="P950" s="9"/>
      <c r="Q950" s="9"/>
      <c r="R950" s="9"/>
      <c r="S950" s="9"/>
      <c r="T950" s="9"/>
      <c r="U950" s="9"/>
      <c r="V950" s="9"/>
      <c r="W950" s="10"/>
      <c r="X950" s="10"/>
      <c r="Y950" s="10"/>
      <c r="Z950" s="10"/>
    </row>
    <row r="951">
      <c r="A951" s="9"/>
      <c r="B951" s="9"/>
      <c r="C951" s="9"/>
      <c r="D951" s="9"/>
      <c r="E951" s="9"/>
      <c r="F951" s="9"/>
      <c r="G951" s="9"/>
      <c r="H951" s="9"/>
      <c r="I951" s="9"/>
      <c r="J951" s="9"/>
      <c r="K951" s="9"/>
      <c r="L951" s="115"/>
      <c r="M951" s="115"/>
      <c r="N951" s="115"/>
      <c r="O951" s="115"/>
      <c r="P951" s="9"/>
      <c r="Q951" s="9"/>
      <c r="R951" s="9"/>
      <c r="S951" s="9"/>
      <c r="T951" s="9"/>
      <c r="U951" s="9"/>
      <c r="V951" s="9"/>
      <c r="W951" s="10"/>
      <c r="X951" s="10"/>
      <c r="Y951" s="10"/>
      <c r="Z951" s="10"/>
    </row>
    <row r="952">
      <c r="A952" s="9"/>
      <c r="B952" s="9"/>
      <c r="C952" s="9"/>
      <c r="D952" s="9"/>
      <c r="E952" s="9"/>
      <c r="F952" s="9"/>
      <c r="G952" s="9"/>
      <c r="H952" s="9"/>
      <c r="I952" s="9"/>
      <c r="J952" s="9"/>
      <c r="K952" s="9"/>
      <c r="L952" s="115"/>
      <c r="M952" s="115"/>
      <c r="N952" s="115"/>
      <c r="O952" s="115"/>
      <c r="P952" s="9"/>
      <c r="Q952" s="9"/>
      <c r="R952" s="9"/>
      <c r="S952" s="9"/>
      <c r="T952" s="9"/>
      <c r="U952" s="9"/>
      <c r="V952" s="9"/>
      <c r="W952" s="10"/>
      <c r="X952" s="10"/>
      <c r="Y952" s="10"/>
      <c r="Z952" s="10"/>
    </row>
    <row r="953">
      <c r="A953" s="9"/>
      <c r="B953" s="9"/>
      <c r="C953" s="9"/>
      <c r="D953" s="9"/>
      <c r="E953" s="9"/>
      <c r="F953" s="9"/>
      <c r="G953" s="9"/>
      <c r="H953" s="9"/>
      <c r="I953" s="9"/>
      <c r="J953" s="9"/>
      <c r="K953" s="9"/>
      <c r="L953" s="115"/>
      <c r="M953" s="115"/>
      <c r="N953" s="115"/>
      <c r="O953" s="115"/>
      <c r="P953" s="9"/>
      <c r="Q953" s="9"/>
      <c r="R953" s="9"/>
      <c r="S953" s="9"/>
      <c r="T953" s="9"/>
      <c r="U953" s="9"/>
      <c r="V953" s="9"/>
      <c r="W953" s="10"/>
      <c r="X953" s="10"/>
      <c r="Y953" s="10"/>
      <c r="Z953" s="10"/>
    </row>
    <row r="954">
      <c r="A954" s="9"/>
      <c r="B954" s="9"/>
      <c r="C954" s="9"/>
      <c r="D954" s="9"/>
      <c r="E954" s="9"/>
      <c r="F954" s="9"/>
      <c r="G954" s="9"/>
      <c r="H954" s="9"/>
      <c r="I954" s="9"/>
      <c r="J954" s="9"/>
      <c r="K954" s="9"/>
      <c r="L954" s="115"/>
      <c r="M954" s="115"/>
      <c r="N954" s="115"/>
      <c r="O954" s="115"/>
      <c r="P954" s="9"/>
      <c r="Q954" s="9"/>
      <c r="R954" s="9"/>
      <c r="S954" s="9"/>
      <c r="T954" s="9"/>
      <c r="U954" s="9"/>
      <c r="V954" s="9"/>
      <c r="W954" s="10"/>
      <c r="X954" s="10"/>
      <c r="Y954" s="10"/>
      <c r="Z954" s="10"/>
    </row>
    <row r="955">
      <c r="A955" s="9"/>
      <c r="B955" s="9"/>
      <c r="C955" s="9"/>
      <c r="D955" s="9"/>
      <c r="E955" s="9"/>
      <c r="F955" s="9"/>
      <c r="G955" s="9"/>
      <c r="H955" s="9"/>
      <c r="I955" s="9"/>
      <c r="J955" s="9"/>
      <c r="K955" s="9"/>
      <c r="L955" s="115"/>
      <c r="M955" s="115"/>
      <c r="N955" s="115"/>
      <c r="O955" s="115"/>
      <c r="P955" s="9"/>
      <c r="Q955" s="9"/>
      <c r="R955" s="9"/>
      <c r="S955" s="9"/>
      <c r="T955" s="9"/>
      <c r="U955" s="9"/>
      <c r="V955" s="9"/>
      <c r="W955" s="10"/>
      <c r="X955" s="10"/>
      <c r="Y955" s="10"/>
      <c r="Z955" s="10"/>
    </row>
    <row r="956">
      <c r="A956" s="9"/>
      <c r="B956" s="9"/>
      <c r="C956" s="9"/>
      <c r="D956" s="9"/>
      <c r="E956" s="9"/>
      <c r="F956" s="9"/>
      <c r="G956" s="9"/>
      <c r="H956" s="9"/>
      <c r="I956" s="9"/>
      <c r="J956" s="9"/>
      <c r="K956" s="9"/>
      <c r="L956" s="115"/>
      <c r="M956" s="115"/>
      <c r="N956" s="115"/>
      <c r="O956" s="115"/>
      <c r="P956" s="9"/>
      <c r="Q956" s="9"/>
      <c r="R956" s="9"/>
      <c r="S956" s="9"/>
      <c r="T956" s="9"/>
      <c r="U956" s="9"/>
      <c r="V956" s="9"/>
      <c r="W956" s="10"/>
      <c r="X956" s="10"/>
      <c r="Y956" s="10"/>
      <c r="Z956" s="10"/>
    </row>
    <row r="957">
      <c r="A957" s="9"/>
      <c r="B957" s="9"/>
      <c r="C957" s="9"/>
      <c r="D957" s="9"/>
      <c r="E957" s="9"/>
      <c r="F957" s="9"/>
      <c r="G957" s="9"/>
      <c r="H957" s="9"/>
      <c r="I957" s="9"/>
      <c r="J957" s="9"/>
      <c r="K957" s="9"/>
      <c r="L957" s="115"/>
      <c r="M957" s="115"/>
      <c r="N957" s="115"/>
      <c r="O957" s="115"/>
      <c r="P957" s="9"/>
      <c r="Q957" s="9"/>
      <c r="R957" s="9"/>
      <c r="S957" s="9"/>
      <c r="T957" s="9"/>
      <c r="U957" s="9"/>
      <c r="V957" s="9"/>
      <c r="W957" s="10"/>
      <c r="X957" s="10"/>
      <c r="Y957" s="10"/>
      <c r="Z957" s="10"/>
    </row>
    <row r="958">
      <c r="A958" s="9"/>
      <c r="B958" s="9"/>
      <c r="C958" s="9"/>
      <c r="D958" s="9"/>
      <c r="E958" s="9"/>
      <c r="F958" s="9"/>
      <c r="G958" s="9"/>
      <c r="H958" s="9"/>
      <c r="I958" s="9"/>
      <c r="J958" s="9"/>
      <c r="K958" s="9"/>
      <c r="L958" s="115"/>
      <c r="M958" s="115"/>
      <c r="N958" s="115"/>
      <c r="O958" s="115"/>
      <c r="P958" s="9"/>
      <c r="Q958" s="9"/>
      <c r="R958" s="9"/>
      <c r="S958" s="9"/>
      <c r="T958" s="9"/>
      <c r="U958" s="9"/>
      <c r="V958" s="9"/>
      <c r="W958" s="10"/>
      <c r="X958" s="10"/>
      <c r="Y958" s="10"/>
      <c r="Z958" s="10"/>
    </row>
    <row r="959">
      <c r="A959" s="9"/>
      <c r="B959" s="9"/>
      <c r="C959" s="9"/>
      <c r="D959" s="9"/>
      <c r="E959" s="9"/>
      <c r="F959" s="9"/>
      <c r="G959" s="9"/>
      <c r="H959" s="9"/>
      <c r="I959" s="9"/>
      <c r="J959" s="9"/>
      <c r="K959" s="9"/>
      <c r="L959" s="115"/>
      <c r="M959" s="115"/>
      <c r="N959" s="115"/>
      <c r="O959" s="115"/>
      <c r="P959" s="9"/>
      <c r="Q959" s="9"/>
      <c r="R959" s="9"/>
      <c r="S959" s="9"/>
      <c r="T959" s="9"/>
      <c r="U959" s="9"/>
      <c r="V959" s="9"/>
      <c r="W959" s="10"/>
      <c r="X959" s="10"/>
      <c r="Y959" s="10"/>
      <c r="Z959" s="10"/>
    </row>
    <row r="960">
      <c r="A960" s="9"/>
      <c r="B960" s="9"/>
      <c r="C960" s="9"/>
      <c r="D960" s="9"/>
      <c r="E960" s="9"/>
      <c r="F960" s="9"/>
      <c r="G960" s="9"/>
      <c r="H960" s="9"/>
      <c r="I960" s="9"/>
      <c r="J960" s="9"/>
      <c r="K960" s="9"/>
      <c r="L960" s="115"/>
      <c r="M960" s="115"/>
      <c r="N960" s="115"/>
      <c r="O960" s="115"/>
      <c r="P960" s="9"/>
      <c r="Q960" s="9"/>
      <c r="R960" s="9"/>
      <c r="S960" s="9"/>
      <c r="T960" s="9"/>
      <c r="U960" s="9"/>
      <c r="V960" s="9"/>
      <c r="W960" s="10"/>
      <c r="X960" s="10"/>
      <c r="Y960" s="10"/>
      <c r="Z960" s="10"/>
    </row>
    <row r="961">
      <c r="A961" s="9"/>
      <c r="B961" s="9"/>
      <c r="C961" s="9"/>
      <c r="D961" s="9"/>
      <c r="E961" s="9"/>
      <c r="F961" s="9"/>
      <c r="G961" s="9"/>
      <c r="H961" s="9"/>
      <c r="I961" s="9"/>
      <c r="J961" s="9"/>
      <c r="K961" s="9"/>
      <c r="L961" s="115"/>
      <c r="M961" s="115"/>
      <c r="N961" s="115"/>
      <c r="O961" s="115"/>
      <c r="P961" s="9"/>
      <c r="Q961" s="9"/>
      <c r="R961" s="9"/>
      <c r="S961" s="9"/>
      <c r="T961" s="9"/>
      <c r="U961" s="9"/>
      <c r="V961" s="9"/>
      <c r="W961" s="10"/>
      <c r="X961" s="10"/>
      <c r="Y961" s="10"/>
      <c r="Z961" s="10"/>
    </row>
    <row r="962">
      <c r="A962" s="9"/>
      <c r="B962" s="9"/>
      <c r="C962" s="9"/>
      <c r="D962" s="9"/>
      <c r="E962" s="9"/>
      <c r="F962" s="9"/>
      <c r="G962" s="9"/>
      <c r="H962" s="9"/>
      <c r="I962" s="9"/>
      <c r="J962" s="9"/>
      <c r="K962" s="9"/>
      <c r="L962" s="115"/>
      <c r="M962" s="115"/>
      <c r="N962" s="115"/>
      <c r="O962" s="115"/>
      <c r="P962" s="9"/>
      <c r="Q962" s="9"/>
      <c r="R962" s="9"/>
      <c r="S962" s="9"/>
      <c r="T962" s="9"/>
      <c r="U962" s="9"/>
      <c r="V962" s="9"/>
      <c r="W962" s="10"/>
      <c r="X962" s="10"/>
      <c r="Y962" s="10"/>
      <c r="Z962" s="10"/>
    </row>
    <row r="963">
      <c r="A963" s="9"/>
      <c r="B963" s="9"/>
      <c r="C963" s="9"/>
      <c r="D963" s="9"/>
      <c r="E963" s="9"/>
      <c r="F963" s="9"/>
      <c r="G963" s="9"/>
      <c r="H963" s="9"/>
      <c r="I963" s="9"/>
      <c r="J963" s="9"/>
      <c r="K963" s="9"/>
      <c r="L963" s="115"/>
      <c r="M963" s="115"/>
      <c r="N963" s="115"/>
      <c r="O963" s="115"/>
      <c r="P963" s="9"/>
      <c r="Q963" s="9"/>
      <c r="R963" s="9"/>
      <c r="S963" s="9"/>
      <c r="T963" s="9"/>
      <c r="U963" s="9"/>
      <c r="V963" s="9"/>
      <c r="W963" s="10"/>
      <c r="X963" s="10"/>
      <c r="Y963" s="10"/>
      <c r="Z963" s="10"/>
    </row>
    <row r="964">
      <c r="A964" s="9"/>
      <c r="B964" s="9"/>
      <c r="C964" s="9"/>
      <c r="D964" s="9"/>
      <c r="E964" s="9"/>
      <c r="F964" s="9"/>
      <c r="G964" s="9"/>
      <c r="H964" s="9"/>
      <c r="I964" s="9"/>
      <c r="J964" s="9"/>
      <c r="K964" s="9"/>
      <c r="L964" s="115"/>
      <c r="M964" s="115"/>
      <c r="N964" s="115"/>
      <c r="O964" s="115"/>
      <c r="P964" s="9"/>
      <c r="Q964" s="9"/>
      <c r="R964" s="9"/>
      <c r="S964" s="9"/>
      <c r="T964" s="9"/>
      <c r="U964" s="9"/>
      <c r="V964" s="9"/>
      <c r="W964" s="10"/>
      <c r="X964" s="10"/>
      <c r="Y964" s="10"/>
      <c r="Z964" s="10"/>
    </row>
    <row r="965">
      <c r="A965" s="9"/>
      <c r="B965" s="9"/>
      <c r="C965" s="9"/>
      <c r="D965" s="9"/>
      <c r="E965" s="9"/>
      <c r="F965" s="9"/>
      <c r="G965" s="9"/>
      <c r="H965" s="9"/>
      <c r="I965" s="9"/>
      <c r="J965" s="9"/>
      <c r="K965" s="9"/>
      <c r="L965" s="115"/>
      <c r="M965" s="115"/>
      <c r="N965" s="115"/>
      <c r="O965" s="115"/>
      <c r="P965" s="9"/>
      <c r="Q965" s="9"/>
      <c r="R965" s="9"/>
      <c r="S965" s="9"/>
      <c r="T965" s="9"/>
      <c r="U965" s="9"/>
      <c r="V965" s="9"/>
      <c r="W965" s="10"/>
      <c r="X965" s="10"/>
      <c r="Y965" s="10"/>
      <c r="Z965" s="10"/>
    </row>
    <row r="966">
      <c r="A966" s="9"/>
      <c r="B966" s="9"/>
      <c r="C966" s="9"/>
      <c r="D966" s="9"/>
      <c r="E966" s="9"/>
      <c r="F966" s="9"/>
      <c r="G966" s="9"/>
      <c r="H966" s="9"/>
      <c r="I966" s="9"/>
      <c r="J966" s="9"/>
      <c r="K966" s="9"/>
      <c r="L966" s="115"/>
      <c r="M966" s="115"/>
      <c r="N966" s="115"/>
      <c r="O966" s="115"/>
      <c r="P966" s="9"/>
      <c r="Q966" s="9"/>
      <c r="R966" s="9"/>
      <c r="S966" s="9"/>
      <c r="T966" s="9"/>
      <c r="U966" s="9"/>
      <c r="V966" s="9"/>
      <c r="W966" s="10"/>
      <c r="X966" s="10"/>
      <c r="Y966" s="10"/>
      <c r="Z966" s="10"/>
    </row>
    <row r="967">
      <c r="A967" s="9"/>
      <c r="B967" s="9"/>
      <c r="C967" s="9"/>
      <c r="D967" s="9"/>
      <c r="E967" s="9"/>
      <c r="F967" s="9"/>
      <c r="G967" s="9"/>
      <c r="H967" s="9"/>
      <c r="I967" s="9"/>
      <c r="J967" s="9"/>
      <c r="K967" s="9"/>
      <c r="L967" s="115"/>
      <c r="M967" s="115"/>
      <c r="N967" s="115"/>
      <c r="O967" s="115"/>
      <c r="P967" s="9"/>
      <c r="Q967" s="9"/>
      <c r="R967" s="9"/>
      <c r="S967" s="9"/>
      <c r="T967" s="9"/>
      <c r="U967" s="9"/>
      <c r="V967" s="9"/>
      <c r="W967" s="10"/>
      <c r="X967" s="10"/>
      <c r="Y967" s="10"/>
      <c r="Z967" s="10"/>
    </row>
    <row r="968">
      <c r="A968" s="9"/>
      <c r="B968" s="9"/>
      <c r="C968" s="9"/>
      <c r="D968" s="9"/>
      <c r="E968" s="9"/>
      <c r="F968" s="9"/>
      <c r="G968" s="9"/>
      <c r="H968" s="9"/>
      <c r="I968" s="9"/>
      <c r="J968" s="9"/>
      <c r="K968" s="9"/>
      <c r="L968" s="115"/>
      <c r="M968" s="115"/>
      <c r="N968" s="115"/>
      <c r="O968" s="115"/>
      <c r="P968" s="9"/>
      <c r="Q968" s="9"/>
      <c r="R968" s="9"/>
      <c r="S968" s="9"/>
      <c r="T968" s="9"/>
      <c r="U968" s="9"/>
      <c r="V968" s="9"/>
      <c r="W968" s="10"/>
      <c r="X968" s="10"/>
      <c r="Y968" s="10"/>
      <c r="Z968" s="10"/>
    </row>
    <row r="969">
      <c r="A969" s="9"/>
      <c r="B969" s="9"/>
      <c r="C969" s="9"/>
      <c r="D969" s="9"/>
      <c r="E969" s="9"/>
      <c r="F969" s="9"/>
      <c r="G969" s="9"/>
      <c r="H969" s="9"/>
      <c r="I969" s="9"/>
      <c r="J969" s="9"/>
      <c r="K969" s="9"/>
      <c r="L969" s="115"/>
      <c r="M969" s="115"/>
      <c r="N969" s="115"/>
      <c r="O969" s="115"/>
      <c r="P969" s="9"/>
      <c r="Q969" s="9"/>
      <c r="R969" s="9"/>
      <c r="S969" s="9"/>
      <c r="T969" s="9"/>
      <c r="U969" s="9"/>
      <c r="V969" s="9"/>
      <c r="W969" s="10"/>
      <c r="X969" s="10"/>
      <c r="Y969" s="10"/>
      <c r="Z969" s="10"/>
    </row>
    <row r="970">
      <c r="A970" s="9"/>
      <c r="B970" s="9"/>
      <c r="C970" s="9"/>
      <c r="D970" s="9"/>
      <c r="E970" s="9"/>
      <c r="F970" s="9"/>
      <c r="G970" s="9"/>
      <c r="H970" s="9"/>
      <c r="I970" s="9"/>
      <c r="J970" s="9"/>
      <c r="K970" s="9"/>
      <c r="L970" s="115"/>
      <c r="M970" s="115"/>
      <c r="N970" s="115"/>
      <c r="O970" s="115"/>
      <c r="P970" s="9"/>
      <c r="Q970" s="9"/>
      <c r="R970" s="9"/>
      <c r="S970" s="9"/>
      <c r="T970" s="9"/>
      <c r="U970" s="9"/>
      <c r="V970" s="9"/>
      <c r="W970" s="10"/>
      <c r="X970" s="10"/>
      <c r="Y970" s="10"/>
      <c r="Z970" s="10"/>
    </row>
    <row r="971">
      <c r="A971" s="9"/>
      <c r="B971" s="9"/>
      <c r="C971" s="9"/>
      <c r="D971" s="9"/>
      <c r="E971" s="9"/>
      <c r="F971" s="9"/>
      <c r="G971" s="9"/>
      <c r="H971" s="9"/>
      <c r="I971" s="9"/>
      <c r="J971" s="9"/>
      <c r="K971" s="9"/>
      <c r="L971" s="115"/>
      <c r="M971" s="115"/>
      <c r="N971" s="115"/>
      <c r="O971" s="115"/>
      <c r="P971" s="9"/>
      <c r="Q971" s="9"/>
      <c r="R971" s="9"/>
      <c r="S971" s="9"/>
      <c r="T971" s="9"/>
      <c r="U971" s="9"/>
      <c r="V971" s="9"/>
      <c r="W971" s="10"/>
      <c r="X971" s="10"/>
      <c r="Y971" s="10"/>
      <c r="Z971" s="10"/>
    </row>
    <row r="972">
      <c r="A972" s="9"/>
      <c r="B972" s="9"/>
      <c r="C972" s="9"/>
      <c r="D972" s="9"/>
      <c r="E972" s="9"/>
      <c r="F972" s="9"/>
      <c r="G972" s="9"/>
      <c r="H972" s="9"/>
      <c r="I972" s="9"/>
      <c r="J972" s="9"/>
      <c r="K972" s="9"/>
      <c r="L972" s="115"/>
      <c r="M972" s="115"/>
      <c r="N972" s="115"/>
      <c r="O972" s="115"/>
      <c r="P972" s="9"/>
      <c r="Q972" s="9"/>
      <c r="R972" s="9"/>
      <c r="S972" s="9"/>
      <c r="T972" s="9"/>
      <c r="U972" s="9"/>
      <c r="V972" s="9"/>
      <c r="W972" s="10"/>
      <c r="X972" s="10"/>
      <c r="Y972" s="10"/>
      <c r="Z972" s="10"/>
    </row>
    <row r="973">
      <c r="A973" s="9"/>
      <c r="B973" s="9"/>
      <c r="C973" s="9"/>
      <c r="D973" s="9"/>
      <c r="E973" s="9"/>
      <c r="F973" s="9"/>
      <c r="G973" s="9"/>
      <c r="H973" s="9"/>
      <c r="I973" s="9"/>
      <c r="J973" s="9"/>
      <c r="K973" s="9"/>
      <c r="L973" s="115"/>
      <c r="M973" s="115"/>
      <c r="N973" s="115"/>
      <c r="O973" s="115"/>
      <c r="P973" s="9"/>
      <c r="Q973" s="9"/>
      <c r="R973" s="9"/>
      <c r="S973" s="9"/>
      <c r="T973" s="9"/>
      <c r="U973" s="9"/>
      <c r="V973" s="9"/>
      <c r="W973" s="10"/>
      <c r="X973" s="10"/>
      <c r="Y973" s="10"/>
      <c r="Z973" s="10"/>
    </row>
    <row r="974">
      <c r="A974" s="9"/>
      <c r="B974" s="9"/>
      <c r="C974" s="9"/>
      <c r="D974" s="9"/>
      <c r="E974" s="9"/>
      <c r="F974" s="9"/>
      <c r="G974" s="9"/>
      <c r="H974" s="9"/>
      <c r="I974" s="9"/>
      <c r="J974" s="9"/>
      <c r="K974" s="9"/>
      <c r="L974" s="115"/>
      <c r="M974" s="115"/>
      <c r="N974" s="115"/>
      <c r="O974" s="115"/>
      <c r="P974" s="9"/>
      <c r="Q974" s="9"/>
      <c r="R974" s="9"/>
      <c r="S974" s="9"/>
      <c r="T974" s="9"/>
      <c r="U974" s="9"/>
      <c r="V974" s="9"/>
      <c r="W974" s="10"/>
      <c r="X974" s="10"/>
      <c r="Y974" s="10"/>
      <c r="Z974" s="10"/>
    </row>
    <row r="975">
      <c r="A975" s="9"/>
      <c r="B975" s="9"/>
      <c r="C975" s="9"/>
      <c r="D975" s="9"/>
      <c r="E975" s="9"/>
      <c r="F975" s="9"/>
      <c r="G975" s="9"/>
      <c r="H975" s="9"/>
      <c r="I975" s="9"/>
      <c r="J975" s="9"/>
      <c r="K975" s="9"/>
      <c r="L975" s="115"/>
      <c r="M975" s="115"/>
      <c r="N975" s="115"/>
      <c r="O975" s="115"/>
      <c r="P975" s="9"/>
      <c r="Q975" s="9"/>
      <c r="R975" s="9"/>
      <c r="S975" s="9"/>
      <c r="T975" s="9"/>
      <c r="U975" s="9"/>
      <c r="V975" s="9"/>
      <c r="W975" s="10"/>
      <c r="X975" s="10"/>
      <c r="Y975" s="10"/>
      <c r="Z975" s="10"/>
    </row>
    <row r="976">
      <c r="A976" s="9"/>
      <c r="B976" s="9"/>
      <c r="C976" s="9"/>
      <c r="D976" s="9"/>
      <c r="E976" s="9"/>
      <c r="F976" s="9"/>
      <c r="G976" s="9"/>
      <c r="H976" s="9"/>
      <c r="I976" s="9"/>
      <c r="J976" s="9"/>
      <c r="K976" s="9"/>
      <c r="L976" s="115"/>
      <c r="M976" s="115"/>
      <c r="N976" s="115"/>
      <c r="O976" s="115"/>
      <c r="P976" s="9"/>
      <c r="Q976" s="9"/>
      <c r="R976" s="9"/>
      <c r="S976" s="9"/>
      <c r="T976" s="9"/>
      <c r="U976" s="9"/>
      <c r="V976" s="9"/>
      <c r="W976" s="10"/>
      <c r="X976" s="10"/>
      <c r="Y976" s="10"/>
      <c r="Z976" s="10"/>
    </row>
    <row r="977">
      <c r="A977" s="9"/>
      <c r="B977" s="9"/>
      <c r="C977" s="9"/>
      <c r="D977" s="9"/>
      <c r="E977" s="9"/>
      <c r="F977" s="9"/>
      <c r="G977" s="9"/>
      <c r="H977" s="9"/>
      <c r="I977" s="9"/>
      <c r="J977" s="9"/>
      <c r="K977" s="9"/>
      <c r="L977" s="115"/>
      <c r="M977" s="115"/>
      <c r="N977" s="115"/>
      <c r="O977" s="115"/>
      <c r="P977" s="9"/>
      <c r="Q977" s="9"/>
      <c r="R977" s="9"/>
      <c r="S977" s="9"/>
      <c r="T977" s="9"/>
      <c r="U977" s="9"/>
      <c r="V977" s="9"/>
      <c r="W977" s="10"/>
      <c r="X977" s="10"/>
      <c r="Y977" s="10"/>
      <c r="Z977" s="10"/>
    </row>
    <row r="978">
      <c r="A978" s="9"/>
      <c r="B978" s="9"/>
      <c r="C978" s="9"/>
      <c r="D978" s="9"/>
      <c r="E978" s="9"/>
      <c r="F978" s="9"/>
      <c r="G978" s="9"/>
      <c r="H978" s="9"/>
      <c r="I978" s="9"/>
      <c r="J978" s="9"/>
      <c r="K978" s="9"/>
      <c r="L978" s="115"/>
      <c r="M978" s="115"/>
      <c r="N978" s="115"/>
      <c r="O978" s="115"/>
      <c r="P978" s="9"/>
      <c r="Q978" s="9"/>
      <c r="R978" s="9"/>
      <c r="S978" s="9"/>
      <c r="T978" s="9"/>
      <c r="U978" s="9"/>
      <c r="V978" s="9"/>
      <c r="W978" s="10"/>
      <c r="X978" s="10"/>
      <c r="Y978" s="10"/>
      <c r="Z978" s="10"/>
    </row>
    <row r="979">
      <c r="A979" s="9"/>
      <c r="B979" s="9"/>
      <c r="C979" s="9"/>
      <c r="D979" s="9"/>
      <c r="E979" s="9"/>
      <c r="F979" s="9"/>
      <c r="G979" s="9"/>
      <c r="H979" s="9"/>
      <c r="I979" s="9"/>
      <c r="J979" s="9"/>
      <c r="K979" s="9"/>
      <c r="L979" s="115"/>
      <c r="M979" s="115"/>
      <c r="N979" s="115"/>
      <c r="O979" s="115"/>
      <c r="P979" s="9"/>
      <c r="Q979" s="9"/>
      <c r="R979" s="9"/>
      <c r="S979" s="9"/>
      <c r="T979" s="9"/>
      <c r="U979" s="9"/>
      <c r="V979" s="9"/>
      <c r="W979" s="10"/>
      <c r="X979" s="10"/>
      <c r="Y979" s="10"/>
      <c r="Z979" s="10"/>
    </row>
    <row r="980">
      <c r="A980" s="9"/>
      <c r="B980" s="9"/>
      <c r="C980" s="9"/>
      <c r="D980" s="9"/>
      <c r="E980" s="9"/>
      <c r="F980" s="9"/>
      <c r="G980" s="9"/>
      <c r="H980" s="9"/>
      <c r="I980" s="9"/>
      <c r="J980" s="9"/>
      <c r="K980" s="9"/>
      <c r="L980" s="115"/>
      <c r="M980" s="115"/>
      <c r="N980" s="115"/>
      <c r="O980" s="115"/>
      <c r="P980" s="9"/>
      <c r="Q980" s="9"/>
      <c r="R980" s="9"/>
      <c r="S980" s="9"/>
      <c r="T980" s="9"/>
      <c r="U980" s="9"/>
      <c r="V980" s="9"/>
      <c r="W980" s="10"/>
      <c r="X980" s="10"/>
      <c r="Y980" s="10"/>
      <c r="Z980" s="10"/>
    </row>
    <row r="981">
      <c r="A981" s="9"/>
      <c r="B981" s="9"/>
      <c r="C981" s="9"/>
      <c r="D981" s="9"/>
      <c r="E981" s="9"/>
      <c r="F981" s="9"/>
      <c r="G981" s="9"/>
      <c r="H981" s="9"/>
      <c r="I981" s="9"/>
      <c r="J981" s="9"/>
      <c r="K981" s="9"/>
      <c r="L981" s="115"/>
      <c r="M981" s="115"/>
      <c r="N981" s="115"/>
      <c r="O981" s="115"/>
      <c r="P981" s="9"/>
      <c r="Q981" s="9"/>
      <c r="R981" s="9"/>
      <c r="S981" s="9"/>
      <c r="T981" s="9"/>
      <c r="U981" s="9"/>
      <c r="V981" s="9"/>
      <c r="W981" s="10"/>
      <c r="X981" s="10"/>
      <c r="Y981" s="10"/>
      <c r="Z981" s="10"/>
    </row>
    <row r="982">
      <c r="A982" s="9"/>
      <c r="B982" s="9"/>
      <c r="C982" s="9"/>
      <c r="D982" s="9"/>
      <c r="E982" s="9"/>
      <c r="F982" s="9"/>
      <c r="G982" s="9"/>
      <c r="H982" s="9"/>
      <c r="I982" s="9"/>
      <c r="J982" s="9"/>
      <c r="K982" s="9"/>
      <c r="L982" s="115"/>
      <c r="M982" s="115"/>
      <c r="N982" s="115"/>
      <c r="O982" s="115"/>
      <c r="P982" s="9"/>
      <c r="Q982" s="9"/>
      <c r="R982" s="9"/>
      <c r="S982" s="9"/>
      <c r="T982" s="9"/>
      <c r="U982" s="9"/>
      <c r="V982" s="9"/>
      <c r="W982" s="10"/>
      <c r="X982" s="10"/>
      <c r="Y982" s="10"/>
      <c r="Z982" s="10"/>
    </row>
    <row r="983">
      <c r="A983" s="9"/>
      <c r="B983" s="9"/>
      <c r="C983" s="9"/>
      <c r="D983" s="9"/>
      <c r="E983" s="9"/>
      <c r="F983" s="9"/>
      <c r="G983" s="9"/>
      <c r="H983" s="9"/>
      <c r="I983" s="9"/>
      <c r="J983" s="9"/>
      <c r="K983" s="9"/>
      <c r="L983" s="115"/>
      <c r="M983" s="115"/>
      <c r="N983" s="115"/>
      <c r="O983" s="115"/>
      <c r="P983" s="9"/>
      <c r="Q983" s="9"/>
      <c r="R983" s="9"/>
      <c r="S983" s="9"/>
      <c r="T983" s="9"/>
      <c r="U983" s="9"/>
      <c r="V983" s="9"/>
      <c r="W983" s="10"/>
      <c r="X983" s="10"/>
      <c r="Y983" s="10"/>
      <c r="Z983" s="10"/>
    </row>
    <row r="984">
      <c r="A984" s="9"/>
      <c r="B984" s="9"/>
      <c r="C984" s="9"/>
      <c r="D984" s="9"/>
      <c r="E984" s="9"/>
      <c r="F984" s="9"/>
      <c r="G984" s="9"/>
      <c r="H984" s="9"/>
      <c r="I984" s="9"/>
      <c r="J984" s="9"/>
      <c r="K984" s="9"/>
      <c r="L984" s="115"/>
      <c r="M984" s="115"/>
      <c r="N984" s="115"/>
      <c r="O984" s="115"/>
      <c r="P984" s="9"/>
      <c r="Q984" s="9"/>
      <c r="R984" s="9"/>
      <c r="S984" s="9"/>
      <c r="T984" s="9"/>
      <c r="U984" s="9"/>
      <c r="V984" s="9"/>
      <c r="W984" s="10"/>
      <c r="X984" s="10"/>
      <c r="Y984" s="10"/>
      <c r="Z984" s="10"/>
    </row>
    <row r="985">
      <c r="A985" s="9"/>
      <c r="B985" s="9"/>
      <c r="C985" s="9"/>
      <c r="D985" s="9"/>
      <c r="E985" s="9"/>
      <c r="F985" s="9"/>
      <c r="G985" s="9"/>
      <c r="H985" s="9"/>
      <c r="I985" s="9"/>
      <c r="J985" s="9"/>
      <c r="K985" s="9"/>
      <c r="L985" s="115"/>
      <c r="M985" s="115"/>
      <c r="N985" s="115"/>
      <c r="O985" s="115"/>
      <c r="P985" s="9"/>
      <c r="Q985" s="9"/>
      <c r="R985" s="9"/>
      <c r="S985" s="9"/>
      <c r="T985" s="9"/>
      <c r="U985" s="9"/>
      <c r="V985" s="9"/>
      <c r="W985" s="10"/>
      <c r="X985" s="10"/>
      <c r="Y985" s="10"/>
      <c r="Z985" s="10"/>
    </row>
    <row r="986">
      <c r="A986" s="9"/>
      <c r="B986" s="9"/>
      <c r="C986" s="9"/>
      <c r="D986" s="9"/>
      <c r="E986" s="9"/>
      <c r="F986" s="9"/>
      <c r="G986" s="9"/>
      <c r="H986" s="9"/>
      <c r="I986" s="9"/>
      <c r="J986" s="9"/>
      <c r="K986" s="9"/>
      <c r="L986" s="115"/>
      <c r="M986" s="115"/>
      <c r="N986" s="115"/>
      <c r="O986" s="115"/>
      <c r="P986" s="9"/>
      <c r="Q986" s="9"/>
      <c r="R986" s="9"/>
      <c r="S986" s="9"/>
      <c r="T986" s="9"/>
      <c r="U986" s="9"/>
      <c r="V986" s="9"/>
      <c r="W986" s="10"/>
      <c r="X986" s="10"/>
      <c r="Y986" s="10"/>
      <c r="Z986" s="10"/>
    </row>
    <row r="987">
      <c r="A987" s="9"/>
      <c r="B987" s="9"/>
      <c r="C987" s="9"/>
      <c r="D987" s="9"/>
      <c r="E987" s="9"/>
      <c r="F987" s="9"/>
      <c r="G987" s="9"/>
      <c r="H987" s="9"/>
      <c r="I987" s="9"/>
      <c r="J987" s="9"/>
      <c r="K987" s="9"/>
      <c r="L987" s="115"/>
      <c r="M987" s="115"/>
      <c r="N987" s="115"/>
      <c r="O987" s="115"/>
      <c r="P987" s="9"/>
      <c r="Q987" s="9"/>
      <c r="R987" s="9"/>
      <c r="S987" s="9"/>
      <c r="T987" s="9"/>
      <c r="U987" s="9"/>
      <c r="V987" s="9"/>
      <c r="W987" s="10"/>
      <c r="X987" s="10"/>
      <c r="Y987" s="10"/>
      <c r="Z987" s="10"/>
    </row>
    <row r="988">
      <c r="A988" s="9"/>
      <c r="B988" s="9"/>
      <c r="C988" s="9"/>
      <c r="D988" s="9"/>
      <c r="E988" s="9"/>
      <c r="F988" s="9"/>
      <c r="G988" s="9"/>
      <c r="H988" s="9"/>
      <c r="I988" s="9"/>
      <c r="J988" s="9"/>
      <c r="K988" s="9"/>
      <c r="L988" s="115"/>
      <c r="M988" s="115"/>
      <c r="N988" s="115"/>
      <c r="O988" s="115"/>
      <c r="P988" s="9"/>
      <c r="Q988" s="9"/>
      <c r="R988" s="9"/>
      <c r="S988" s="9"/>
      <c r="T988" s="9"/>
      <c r="U988" s="9"/>
      <c r="V988" s="9"/>
      <c r="W988" s="10"/>
      <c r="X988" s="10"/>
      <c r="Y988" s="10"/>
      <c r="Z988" s="10"/>
    </row>
    <row r="989">
      <c r="A989" s="9"/>
      <c r="B989" s="9"/>
      <c r="C989" s="9"/>
      <c r="D989" s="9"/>
      <c r="E989" s="9"/>
      <c r="F989" s="9"/>
      <c r="G989" s="9"/>
      <c r="H989" s="9"/>
      <c r="I989" s="9"/>
      <c r="J989" s="9"/>
      <c r="K989" s="9"/>
      <c r="L989" s="115"/>
      <c r="M989" s="115"/>
      <c r="N989" s="115"/>
      <c r="O989" s="115"/>
      <c r="P989" s="9"/>
      <c r="Q989" s="9"/>
      <c r="R989" s="9"/>
      <c r="S989" s="9"/>
      <c r="T989" s="9"/>
      <c r="U989" s="9"/>
      <c r="V989" s="9"/>
      <c r="W989" s="10"/>
      <c r="X989" s="10"/>
      <c r="Y989" s="10"/>
      <c r="Z989" s="10"/>
    </row>
    <row r="990">
      <c r="A990" s="9"/>
      <c r="B990" s="9"/>
      <c r="C990" s="9"/>
      <c r="D990" s="9"/>
      <c r="E990" s="9"/>
      <c r="F990" s="9"/>
      <c r="G990" s="9"/>
      <c r="H990" s="9"/>
      <c r="I990" s="9"/>
      <c r="J990" s="9"/>
      <c r="K990" s="9"/>
      <c r="L990" s="115"/>
      <c r="M990" s="115"/>
      <c r="N990" s="115"/>
      <c r="O990" s="115"/>
      <c r="P990" s="9"/>
      <c r="Q990" s="9"/>
      <c r="R990" s="9"/>
      <c r="S990" s="9"/>
      <c r="T990" s="9"/>
      <c r="U990" s="9"/>
      <c r="V990" s="9"/>
      <c r="W990" s="10"/>
      <c r="X990" s="10"/>
      <c r="Y990" s="10"/>
      <c r="Z990" s="10"/>
    </row>
    <row r="991">
      <c r="A991" s="9"/>
      <c r="B991" s="9"/>
      <c r="C991" s="9"/>
      <c r="D991" s="9"/>
      <c r="E991" s="9"/>
      <c r="F991" s="9"/>
      <c r="G991" s="9"/>
      <c r="H991" s="9"/>
      <c r="I991" s="9"/>
      <c r="J991" s="9"/>
      <c r="K991" s="9"/>
      <c r="L991" s="115"/>
      <c r="M991" s="115"/>
      <c r="N991" s="115"/>
      <c r="O991" s="115"/>
      <c r="P991" s="9"/>
      <c r="Q991" s="9"/>
      <c r="R991" s="9"/>
      <c r="S991" s="9"/>
      <c r="T991" s="9"/>
      <c r="U991" s="9"/>
      <c r="V991" s="9"/>
      <c r="W991" s="10"/>
      <c r="X991" s="10"/>
      <c r="Y991" s="10"/>
      <c r="Z991" s="10"/>
    </row>
    <row r="992">
      <c r="A992" s="9"/>
      <c r="B992" s="9"/>
      <c r="C992" s="9"/>
      <c r="D992" s="9"/>
      <c r="E992" s="9"/>
      <c r="F992" s="9"/>
      <c r="G992" s="9"/>
      <c r="H992" s="9"/>
      <c r="I992" s="9"/>
      <c r="J992" s="9"/>
      <c r="K992" s="9"/>
      <c r="L992" s="115"/>
      <c r="M992" s="115"/>
      <c r="N992" s="115"/>
      <c r="O992" s="115"/>
      <c r="P992" s="9"/>
      <c r="Q992" s="9"/>
      <c r="R992" s="9"/>
      <c r="S992" s="9"/>
      <c r="T992" s="9"/>
      <c r="U992" s="9"/>
      <c r="V992" s="9"/>
      <c r="W992" s="10"/>
      <c r="X992" s="10"/>
      <c r="Y992" s="10"/>
      <c r="Z992" s="10"/>
    </row>
    <row r="993">
      <c r="A993" s="9"/>
      <c r="B993" s="9"/>
      <c r="C993" s="9"/>
      <c r="D993" s="9"/>
      <c r="E993" s="9"/>
      <c r="F993" s="9"/>
      <c r="G993" s="9"/>
      <c r="H993" s="9"/>
      <c r="I993" s="9"/>
      <c r="J993" s="9"/>
      <c r="K993" s="9"/>
      <c r="L993" s="115"/>
      <c r="M993" s="115"/>
      <c r="N993" s="115"/>
      <c r="O993" s="115"/>
      <c r="P993" s="9"/>
      <c r="Q993" s="9"/>
      <c r="R993" s="9"/>
      <c r="S993" s="9"/>
      <c r="T993" s="9"/>
      <c r="U993" s="9"/>
      <c r="V993" s="9"/>
      <c r="W993" s="10"/>
      <c r="X993" s="10"/>
      <c r="Y993" s="10"/>
      <c r="Z993" s="10"/>
    </row>
    <row r="994">
      <c r="A994" s="9"/>
      <c r="B994" s="9"/>
      <c r="C994" s="9"/>
      <c r="D994" s="9"/>
      <c r="E994" s="9"/>
      <c r="F994" s="9"/>
      <c r="G994" s="9"/>
      <c r="H994" s="9"/>
      <c r="I994" s="9"/>
      <c r="J994" s="9"/>
      <c r="K994" s="9"/>
      <c r="L994" s="115"/>
      <c r="M994" s="115"/>
      <c r="N994" s="115"/>
      <c r="O994" s="115"/>
      <c r="P994" s="9"/>
      <c r="Q994" s="9"/>
      <c r="R994" s="9"/>
      <c r="S994" s="9"/>
      <c r="T994" s="9"/>
      <c r="U994" s="9"/>
      <c r="V994" s="9"/>
      <c r="W994" s="10"/>
      <c r="X994" s="10"/>
      <c r="Y994" s="10"/>
      <c r="Z994" s="10"/>
    </row>
    <row r="995">
      <c r="A995" s="9"/>
      <c r="B995" s="9"/>
      <c r="C995" s="9"/>
      <c r="D995" s="9"/>
      <c r="E995" s="9"/>
      <c r="F995" s="9"/>
      <c r="G995" s="9"/>
      <c r="H995" s="9"/>
      <c r="I995" s="9"/>
      <c r="J995" s="9"/>
      <c r="K995" s="9"/>
      <c r="L995" s="115"/>
      <c r="M995" s="115"/>
      <c r="N995" s="115"/>
      <c r="O995" s="115"/>
      <c r="P995" s="9"/>
      <c r="Q995" s="9"/>
      <c r="R995" s="9"/>
      <c r="S995" s="9"/>
      <c r="T995" s="9"/>
      <c r="U995" s="9"/>
      <c r="V995" s="9"/>
      <c r="W995" s="10"/>
      <c r="X995" s="10"/>
      <c r="Y995" s="10"/>
      <c r="Z995" s="10"/>
    </row>
    <row r="996">
      <c r="A996" s="9"/>
      <c r="B996" s="9"/>
      <c r="C996" s="9"/>
      <c r="D996" s="9"/>
      <c r="E996" s="9"/>
      <c r="F996" s="9"/>
      <c r="G996" s="9"/>
      <c r="H996" s="9"/>
      <c r="I996" s="9"/>
      <c r="J996" s="9"/>
      <c r="K996" s="9"/>
      <c r="L996" s="115"/>
      <c r="M996" s="115"/>
      <c r="N996" s="115"/>
      <c r="O996" s="115"/>
      <c r="P996" s="9"/>
      <c r="Q996" s="9"/>
      <c r="R996" s="9"/>
      <c r="S996" s="9"/>
      <c r="T996" s="9"/>
      <c r="U996" s="9"/>
      <c r="V996" s="9"/>
      <c r="W996" s="10"/>
      <c r="X996" s="10"/>
      <c r="Y996" s="10"/>
      <c r="Z996" s="10"/>
    </row>
    <row r="997">
      <c r="A997" s="9"/>
      <c r="B997" s="9"/>
      <c r="C997" s="9"/>
      <c r="D997" s="9"/>
      <c r="E997" s="9"/>
      <c r="F997" s="9"/>
      <c r="G997" s="9"/>
      <c r="H997" s="9"/>
      <c r="I997" s="9"/>
      <c r="J997" s="9"/>
      <c r="K997" s="9"/>
      <c r="L997" s="115"/>
      <c r="M997" s="115"/>
      <c r="N997" s="115"/>
      <c r="O997" s="115"/>
      <c r="P997" s="9"/>
      <c r="Q997" s="9"/>
      <c r="R997" s="9"/>
      <c r="S997" s="9"/>
      <c r="T997" s="9"/>
      <c r="U997" s="9"/>
      <c r="V997" s="9"/>
      <c r="W997" s="10"/>
      <c r="X997" s="10"/>
      <c r="Y997" s="10"/>
      <c r="Z997" s="10"/>
    </row>
    <row r="998">
      <c r="A998" s="9"/>
      <c r="B998" s="9"/>
      <c r="C998" s="9"/>
      <c r="D998" s="9"/>
      <c r="E998" s="9"/>
      <c r="F998" s="9"/>
      <c r="G998" s="9"/>
      <c r="H998" s="9"/>
      <c r="I998" s="9"/>
      <c r="J998" s="9"/>
      <c r="K998" s="9"/>
      <c r="L998" s="115"/>
      <c r="M998" s="115"/>
      <c r="N998" s="115"/>
      <c r="O998" s="115"/>
      <c r="P998" s="9"/>
      <c r="Q998" s="9"/>
      <c r="R998" s="9"/>
      <c r="S998" s="9"/>
      <c r="T998" s="9"/>
      <c r="U998" s="9"/>
      <c r="V998" s="9"/>
      <c r="W998" s="10"/>
      <c r="X998" s="10"/>
      <c r="Y998" s="10"/>
      <c r="Z998" s="10"/>
    </row>
    <row r="999">
      <c r="A999" s="9"/>
      <c r="B999" s="9"/>
      <c r="C999" s="9"/>
      <c r="D999" s="9"/>
      <c r="E999" s="9"/>
      <c r="F999" s="9"/>
      <c r="G999" s="9"/>
      <c r="H999" s="9"/>
      <c r="I999" s="9"/>
      <c r="J999" s="9"/>
      <c r="K999" s="9"/>
      <c r="L999" s="115"/>
      <c r="M999" s="115"/>
      <c r="N999" s="115"/>
      <c r="O999" s="115"/>
      <c r="P999" s="9"/>
      <c r="Q999" s="9"/>
      <c r="R999" s="9"/>
      <c r="S999" s="9"/>
      <c r="T999" s="9"/>
      <c r="U999" s="9"/>
      <c r="V999" s="9"/>
      <c r="W999" s="10"/>
      <c r="X999" s="10"/>
      <c r="Y999" s="10"/>
      <c r="Z999" s="10"/>
    </row>
    <row r="1000">
      <c r="A1000" s="9"/>
      <c r="B1000" s="9"/>
      <c r="C1000" s="9"/>
      <c r="D1000" s="9"/>
      <c r="E1000" s="9"/>
      <c r="F1000" s="9"/>
      <c r="G1000" s="9"/>
      <c r="H1000" s="9"/>
      <c r="I1000" s="9"/>
      <c r="J1000" s="9"/>
      <c r="K1000" s="9"/>
      <c r="L1000" s="115"/>
      <c r="M1000" s="115"/>
      <c r="N1000" s="115"/>
      <c r="O1000" s="115"/>
      <c r="P1000" s="9"/>
      <c r="Q1000" s="9"/>
      <c r="R1000" s="9"/>
      <c r="S1000" s="9"/>
      <c r="T1000" s="9"/>
      <c r="U1000" s="9"/>
      <c r="V1000" s="9"/>
      <c r="W1000" s="10"/>
      <c r="X1000" s="10"/>
      <c r="Y1000" s="10"/>
      <c r="Z1000" s="10"/>
    </row>
    <row r="1001">
      <c r="A1001" s="9"/>
      <c r="B1001" s="9"/>
      <c r="C1001" s="9"/>
      <c r="D1001" s="9"/>
      <c r="E1001" s="9"/>
      <c r="F1001" s="9"/>
      <c r="G1001" s="9"/>
      <c r="H1001" s="9"/>
      <c r="I1001" s="9"/>
      <c r="J1001" s="9"/>
      <c r="K1001" s="9"/>
      <c r="L1001" s="115"/>
      <c r="M1001" s="115"/>
      <c r="N1001" s="115"/>
      <c r="O1001" s="115"/>
      <c r="P1001" s="9"/>
      <c r="Q1001" s="9"/>
      <c r="R1001" s="9"/>
      <c r="S1001" s="9"/>
      <c r="T1001" s="9"/>
      <c r="U1001" s="9"/>
      <c r="V1001" s="9"/>
      <c r="W1001" s="10"/>
      <c r="X1001" s="10"/>
      <c r="Y1001" s="10"/>
      <c r="Z1001" s="10"/>
    </row>
    <row r="1002">
      <c r="A1002" s="9"/>
      <c r="B1002" s="9"/>
      <c r="C1002" s="9"/>
      <c r="D1002" s="9"/>
      <c r="E1002" s="9"/>
      <c r="F1002" s="9"/>
      <c r="G1002" s="9"/>
      <c r="H1002" s="9"/>
      <c r="I1002" s="9"/>
      <c r="J1002" s="9"/>
      <c r="K1002" s="9"/>
      <c r="L1002" s="115"/>
      <c r="M1002" s="115"/>
      <c r="N1002" s="115"/>
      <c r="O1002" s="115"/>
      <c r="P1002" s="9"/>
      <c r="Q1002" s="9"/>
      <c r="R1002" s="9"/>
      <c r="S1002" s="9"/>
      <c r="T1002" s="9"/>
      <c r="U1002" s="9"/>
      <c r="V1002" s="9"/>
      <c r="W1002" s="10"/>
      <c r="X1002" s="10"/>
      <c r="Y1002" s="10"/>
      <c r="Z1002" s="10"/>
    </row>
    <row r="1003">
      <c r="A1003" s="9"/>
      <c r="B1003" s="9"/>
      <c r="C1003" s="9"/>
      <c r="D1003" s="9"/>
      <c r="E1003" s="9"/>
      <c r="F1003" s="9"/>
      <c r="G1003" s="9"/>
      <c r="H1003" s="9"/>
      <c r="I1003" s="9"/>
      <c r="J1003" s="9"/>
      <c r="K1003" s="9"/>
      <c r="L1003" s="115"/>
      <c r="M1003" s="115"/>
      <c r="N1003" s="115"/>
      <c r="O1003" s="115"/>
      <c r="P1003" s="9"/>
      <c r="Q1003" s="9"/>
      <c r="R1003" s="9"/>
      <c r="S1003" s="9"/>
      <c r="T1003" s="9"/>
      <c r="U1003" s="9"/>
      <c r="V1003" s="9"/>
      <c r="W1003" s="10"/>
      <c r="X1003" s="10"/>
      <c r="Y1003" s="10"/>
      <c r="Z1003" s="10"/>
    </row>
    <row r="1004">
      <c r="A1004" s="9"/>
      <c r="B1004" s="9"/>
      <c r="C1004" s="9"/>
      <c r="D1004" s="9"/>
      <c r="E1004" s="9"/>
      <c r="F1004" s="9"/>
      <c r="G1004" s="9"/>
      <c r="H1004" s="9"/>
      <c r="I1004" s="9"/>
      <c r="J1004" s="9"/>
      <c r="K1004" s="9"/>
      <c r="L1004" s="115"/>
      <c r="M1004" s="115"/>
      <c r="N1004" s="115"/>
      <c r="O1004" s="115"/>
      <c r="P1004" s="9"/>
      <c r="Q1004" s="9"/>
      <c r="R1004" s="9"/>
      <c r="S1004" s="9"/>
      <c r="T1004" s="9"/>
      <c r="U1004" s="9"/>
      <c r="V1004" s="9"/>
      <c r="W1004" s="10"/>
      <c r="X1004" s="10"/>
      <c r="Y1004" s="10"/>
      <c r="Z1004" s="10"/>
    </row>
    <row r="1005">
      <c r="A1005" s="9"/>
      <c r="B1005" s="9"/>
      <c r="C1005" s="9"/>
      <c r="D1005" s="9"/>
      <c r="E1005" s="9"/>
      <c r="F1005" s="9"/>
      <c r="G1005" s="9"/>
      <c r="H1005" s="9"/>
      <c r="I1005" s="9"/>
      <c r="J1005" s="9"/>
      <c r="K1005" s="9"/>
      <c r="L1005" s="115"/>
      <c r="M1005" s="115"/>
      <c r="N1005" s="115"/>
      <c r="O1005" s="115"/>
      <c r="P1005" s="9"/>
      <c r="Q1005" s="9"/>
      <c r="R1005" s="9"/>
      <c r="S1005" s="9"/>
      <c r="T1005" s="9"/>
      <c r="U1005" s="9"/>
      <c r="V1005" s="9"/>
      <c r="W1005" s="10"/>
      <c r="X1005" s="10"/>
      <c r="Y1005" s="10"/>
      <c r="Z1005" s="10"/>
    </row>
    <row r="1006">
      <c r="A1006" s="9"/>
      <c r="B1006" s="9"/>
      <c r="C1006" s="9"/>
      <c r="D1006" s="9"/>
      <c r="E1006" s="9"/>
      <c r="F1006" s="9"/>
      <c r="G1006" s="9"/>
      <c r="H1006" s="9"/>
      <c r="I1006" s="9"/>
      <c r="J1006" s="9"/>
      <c r="K1006" s="9"/>
      <c r="L1006" s="115"/>
      <c r="M1006" s="115"/>
      <c r="N1006" s="115"/>
      <c r="O1006" s="115"/>
      <c r="P1006" s="9"/>
      <c r="Q1006" s="9"/>
      <c r="R1006" s="9"/>
      <c r="S1006" s="9"/>
      <c r="T1006" s="9"/>
      <c r="U1006" s="9"/>
      <c r="V1006" s="9"/>
      <c r="W1006" s="10"/>
      <c r="X1006" s="10"/>
      <c r="Y1006" s="10"/>
      <c r="Z1006" s="10"/>
    </row>
    <row r="1007">
      <c r="A1007" s="9"/>
      <c r="B1007" s="9"/>
      <c r="C1007" s="9"/>
      <c r="D1007" s="9"/>
      <c r="E1007" s="9"/>
      <c r="F1007" s="9"/>
      <c r="G1007" s="9"/>
      <c r="H1007" s="9"/>
      <c r="I1007" s="9"/>
      <c r="J1007" s="9"/>
      <c r="K1007" s="9"/>
      <c r="L1007" s="115"/>
      <c r="M1007" s="115"/>
      <c r="N1007" s="115"/>
      <c r="O1007" s="115"/>
      <c r="P1007" s="9"/>
      <c r="Q1007" s="9"/>
      <c r="R1007" s="9"/>
      <c r="S1007" s="9"/>
      <c r="T1007" s="9"/>
      <c r="U1007" s="9"/>
      <c r="V1007" s="9"/>
      <c r="W1007" s="10"/>
      <c r="X1007" s="10"/>
      <c r="Y1007" s="10"/>
      <c r="Z1007" s="10"/>
    </row>
    <row r="1008">
      <c r="A1008" s="9"/>
      <c r="B1008" s="9"/>
      <c r="C1008" s="9"/>
      <c r="D1008" s="9"/>
      <c r="E1008" s="9"/>
      <c r="F1008" s="9"/>
      <c r="G1008" s="9"/>
      <c r="H1008" s="9"/>
      <c r="I1008" s="9"/>
      <c r="J1008" s="9"/>
      <c r="K1008" s="9"/>
      <c r="L1008" s="115"/>
      <c r="M1008" s="115"/>
      <c r="N1008" s="115"/>
      <c r="O1008" s="115"/>
      <c r="P1008" s="9"/>
      <c r="Q1008" s="9"/>
      <c r="R1008" s="9"/>
      <c r="S1008" s="9"/>
      <c r="T1008" s="9"/>
      <c r="U1008" s="9"/>
      <c r="V1008" s="9"/>
      <c r="W1008" s="10"/>
      <c r="X1008" s="10"/>
      <c r="Y1008" s="10"/>
      <c r="Z1008" s="10"/>
    </row>
    <row r="1009">
      <c r="A1009" s="9"/>
      <c r="B1009" s="9"/>
      <c r="C1009" s="9"/>
      <c r="D1009" s="9"/>
      <c r="E1009" s="9"/>
      <c r="F1009" s="9"/>
      <c r="G1009" s="9"/>
      <c r="H1009" s="9"/>
      <c r="I1009" s="9"/>
      <c r="J1009" s="9"/>
      <c r="K1009" s="9"/>
      <c r="L1009" s="115"/>
      <c r="M1009" s="115"/>
      <c r="N1009" s="115"/>
      <c r="O1009" s="115"/>
      <c r="P1009" s="9"/>
      <c r="Q1009" s="9"/>
      <c r="R1009" s="9"/>
      <c r="S1009" s="9"/>
      <c r="T1009" s="9"/>
      <c r="U1009" s="9"/>
      <c r="V1009" s="9"/>
      <c r="W1009" s="10"/>
      <c r="X1009" s="10"/>
      <c r="Y1009" s="10"/>
      <c r="Z1009" s="10"/>
    </row>
    <row r="1010">
      <c r="A1010" s="9"/>
      <c r="B1010" s="9"/>
      <c r="C1010" s="9"/>
      <c r="D1010" s="9"/>
      <c r="E1010" s="9"/>
      <c r="F1010" s="9"/>
      <c r="G1010" s="9"/>
      <c r="H1010" s="9"/>
      <c r="I1010" s="9"/>
      <c r="J1010" s="9"/>
      <c r="K1010" s="9"/>
      <c r="L1010" s="115"/>
      <c r="M1010" s="115"/>
      <c r="N1010" s="115"/>
      <c r="O1010" s="115"/>
      <c r="P1010" s="9"/>
      <c r="Q1010" s="9"/>
      <c r="R1010" s="9"/>
      <c r="S1010" s="9"/>
      <c r="T1010" s="9"/>
      <c r="U1010" s="9"/>
      <c r="V1010" s="9"/>
      <c r="W1010" s="10"/>
      <c r="X1010" s="10"/>
      <c r="Y1010" s="10"/>
      <c r="Z1010" s="10"/>
    </row>
    <row r="1011">
      <c r="A1011" s="9"/>
      <c r="B1011" s="9"/>
      <c r="C1011" s="9"/>
      <c r="D1011" s="9"/>
      <c r="E1011" s="9"/>
      <c r="F1011" s="9"/>
      <c r="G1011" s="9"/>
      <c r="H1011" s="9"/>
      <c r="I1011" s="9"/>
      <c r="J1011" s="9"/>
      <c r="K1011" s="9"/>
      <c r="L1011" s="115"/>
      <c r="M1011" s="115"/>
      <c r="N1011" s="115"/>
      <c r="O1011" s="115"/>
      <c r="P1011" s="9"/>
      <c r="Q1011" s="9"/>
      <c r="R1011" s="9"/>
      <c r="S1011" s="9"/>
      <c r="T1011" s="9"/>
      <c r="U1011" s="9"/>
      <c r="V1011" s="9"/>
      <c r="W1011" s="10"/>
      <c r="X1011" s="10"/>
      <c r="Y1011" s="10"/>
      <c r="Z1011" s="10"/>
    </row>
    <row r="1012">
      <c r="A1012" s="9"/>
      <c r="B1012" s="9"/>
      <c r="C1012" s="9"/>
      <c r="D1012" s="9"/>
      <c r="E1012" s="9"/>
      <c r="F1012" s="9"/>
      <c r="G1012" s="9"/>
      <c r="H1012" s="9"/>
      <c r="I1012" s="9"/>
      <c r="J1012" s="9"/>
      <c r="K1012" s="9"/>
      <c r="L1012" s="115"/>
      <c r="M1012" s="115"/>
      <c r="N1012" s="115"/>
      <c r="O1012" s="115"/>
      <c r="P1012" s="9"/>
      <c r="Q1012" s="9"/>
      <c r="R1012" s="9"/>
      <c r="S1012" s="9"/>
      <c r="T1012" s="9"/>
      <c r="U1012" s="9"/>
      <c r="V1012" s="9"/>
      <c r="W1012" s="10"/>
      <c r="X1012" s="10"/>
      <c r="Y1012" s="10"/>
      <c r="Z1012" s="10"/>
    </row>
    <row r="1013">
      <c r="A1013" s="9"/>
      <c r="B1013" s="9"/>
      <c r="C1013" s="9"/>
      <c r="D1013" s="9"/>
      <c r="E1013" s="9"/>
      <c r="F1013" s="9"/>
      <c r="G1013" s="9"/>
      <c r="H1013" s="9"/>
      <c r="I1013" s="9"/>
      <c r="J1013" s="9"/>
      <c r="K1013" s="9"/>
      <c r="L1013" s="115"/>
      <c r="M1013" s="115"/>
      <c r="N1013" s="115"/>
      <c r="O1013" s="115"/>
      <c r="P1013" s="9"/>
      <c r="Q1013" s="9"/>
      <c r="R1013" s="9"/>
      <c r="S1013" s="9"/>
      <c r="T1013" s="9"/>
      <c r="U1013" s="9"/>
      <c r="V1013" s="9"/>
      <c r="W1013" s="10"/>
      <c r="X1013" s="10"/>
      <c r="Y1013" s="10"/>
      <c r="Z1013" s="10"/>
    </row>
    <row r="1014">
      <c r="A1014" s="9"/>
      <c r="B1014" s="9"/>
      <c r="C1014" s="9"/>
      <c r="D1014" s="9"/>
      <c r="E1014" s="9"/>
      <c r="F1014" s="9"/>
      <c r="G1014" s="9"/>
      <c r="H1014" s="9"/>
      <c r="I1014" s="9"/>
      <c r="J1014" s="9"/>
      <c r="K1014" s="9"/>
      <c r="L1014" s="115"/>
      <c r="M1014" s="115"/>
      <c r="N1014" s="115"/>
      <c r="O1014" s="115"/>
      <c r="P1014" s="9"/>
      <c r="Q1014" s="9"/>
      <c r="R1014" s="9"/>
      <c r="S1014" s="9"/>
      <c r="T1014" s="9"/>
      <c r="U1014" s="9"/>
      <c r="V1014" s="9"/>
      <c r="W1014" s="10"/>
      <c r="X1014" s="10"/>
      <c r="Y1014" s="10"/>
      <c r="Z1014" s="10"/>
    </row>
    <row r="1015">
      <c r="A1015" s="9"/>
      <c r="B1015" s="9"/>
      <c r="C1015" s="9"/>
      <c r="D1015" s="9"/>
      <c r="E1015" s="9"/>
      <c r="F1015" s="9"/>
      <c r="G1015" s="9"/>
      <c r="H1015" s="9"/>
      <c r="I1015" s="9"/>
      <c r="J1015" s="9"/>
      <c r="K1015" s="9"/>
      <c r="L1015" s="115"/>
      <c r="M1015" s="115"/>
      <c r="N1015" s="115"/>
      <c r="O1015" s="115"/>
      <c r="P1015" s="9"/>
      <c r="Q1015" s="9"/>
      <c r="R1015" s="9"/>
      <c r="S1015" s="9"/>
      <c r="T1015" s="9"/>
      <c r="U1015" s="9"/>
      <c r="V1015" s="9"/>
      <c r="W1015" s="10"/>
      <c r="X1015" s="10"/>
      <c r="Y1015" s="10"/>
      <c r="Z1015" s="10"/>
    </row>
    <row r="1016">
      <c r="A1016" s="9"/>
      <c r="B1016" s="9"/>
      <c r="C1016" s="9"/>
      <c r="D1016" s="9"/>
      <c r="E1016" s="9"/>
      <c r="F1016" s="9"/>
      <c r="G1016" s="9"/>
      <c r="H1016" s="9"/>
      <c r="I1016" s="9"/>
      <c r="J1016" s="9"/>
      <c r="K1016" s="9"/>
      <c r="L1016" s="115"/>
      <c r="M1016" s="115"/>
      <c r="N1016" s="115"/>
      <c r="O1016" s="115"/>
      <c r="P1016" s="9"/>
      <c r="Q1016" s="9"/>
      <c r="R1016" s="9"/>
      <c r="S1016" s="9"/>
      <c r="T1016" s="9"/>
      <c r="U1016" s="9"/>
      <c r="V1016" s="9"/>
      <c r="W1016" s="10"/>
      <c r="X1016" s="10"/>
      <c r="Y1016" s="10"/>
      <c r="Z1016" s="10"/>
    </row>
    <row r="1017">
      <c r="A1017" s="9"/>
      <c r="B1017" s="9"/>
      <c r="C1017" s="9"/>
      <c r="D1017" s="9"/>
      <c r="E1017" s="9"/>
      <c r="F1017" s="9"/>
      <c r="G1017" s="9"/>
      <c r="H1017" s="9"/>
      <c r="I1017" s="9"/>
      <c r="J1017" s="9"/>
      <c r="K1017" s="9"/>
      <c r="L1017" s="115"/>
      <c r="M1017" s="115"/>
      <c r="N1017" s="115"/>
      <c r="O1017" s="115"/>
      <c r="P1017" s="9"/>
      <c r="Q1017" s="9"/>
      <c r="R1017" s="9"/>
      <c r="S1017" s="9"/>
      <c r="T1017" s="9"/>
      <c r="U1017" s="9"/>
      <c r="V1017" s="9"/>
      <c r="W1017" s="10"/>
      <c r="X1017" s="10"/>
      <c r="Y1017" s="10"/>
      <c r="Z1017" s="10"/>
    </row>
    <row r="1018">
      <c r="A1018" s="9"/>
      <c r="B1018" s="9"/>
      <c r="C1018" s="9"/>
      <c r="D1018" s="9"/>
      <c r="E1018" s="9"/>
      <c r="F1018" s="9"/>
      <c r="G1018" s="9"/>
      <c r="H1018" s="9"/>
      <c r="I1018" s="9"/>
      <c r="J1018" s="9"/>
      <c r="K1018" s="9"/>
      <c r="L1018" s="115"/>
      <c r="M1018" s="115"/>
      <c r="N1018" s="115"/>
      <c r="O1018" s="115"/>
      <c r="P1018" s="9"/>
      <c r="Q1018" s="9"/>
      <c r="R1018" s="9"/>
      <c r="S1018" s="9"/>
      <c r="T1018" s="9"/>
      <c r="U1018" s="9"/>
      <c r="V1018" s="9"/>
      <c r="W1018" s="10"/>
      <c r="X1018" s="10"/>
      <c r="Y1018" s="10"/>
      <c r="Z1018" s="10"/>
    </row>
    <row r="1019">
      <c r="A1019" s="9"/>
      <c r="B1019" s="9"/>
      <c r="C1019" s="9"/>
      <c r="D1019" s="9"/>
      <c r="E1019" s="9"/>
      <c r="F1019" s="9"/>
      <c r="G1019" s="9"/>
      <c r="H1019" s="9"/>
      <c r="I1019" s="9"/>
      <c r="J1019" s="9"/>
      <c r="K1019" s="9"/>
      <c r="L1019" s="115"/>
      <c r="M1019" s="115"/>
      <c r="N1019" s="115"/>
      <c r="O1019" s="115"/>
      <c r="P1019" s="9"/>
      <c r="Q1019" s="9"/>
      <c r="R1019" s="9"/>
      <c r="S1019" s="9"/>
      <c r="T1019" s="9"/>
      <c r="U1019" s="9"/>
      <c r="V1019" s="9"/>
      <c r="W1019" s="10"/>
      <c r="X1019" s="10"/>
      <c r="Y1019" s="10"/>
      <c r="Z1019" s="10"/>
    </row>
    <row r="1020">
      <c r="A1020" s="9"/>
      <c r="B1020" s="9"/>
      <c r="C1020" s="9"/>
      <c r="D1020" s="9"/>
      <c r="E1020" s="9"/>
      <c r="F1020" s="9"/>
      <c r="G1020" s="9"/>
      <c r="H1020" s="9"/>
      <c r="I1020" s="9"/>
      <c r="J1020" s="9"/>
      <c r="K1020" s="9"/>
      <c r="L1020" s="115"/>
      <c r="M1020" s="115"/>
      <c r="N1020" s="115"/>
      <c r="O1020" s="115"/>
      <c r="P1020" s="9"/>
      <c r="Q1020" s="9"/>
      <c r="R1020" s="9"/>
      <c r="S1020" s="9"/>
      <c r="T1020" s="9"/>
      <c r="U1020" s="9"/>
      <c r="V1020" s="9"/>
      <c r="W1020" s="10"/>
      <c r="X1020" s="10"/>
      <c r="Y1020" s="10"/>
      <c r="Z1020" s="10"/>
    </row>
    <row r="1021">
      <c r="A1021" s="9"/>
      <c r="B1021" s="9"/>
      <c r="C1021" s="9"/>
      <c r="D1021" s="9"/>
      <c r="E1021" s="9"/>
      <c r="F1021" s="9"/>
      <c r="G1021" s="9"/>
      <c r="H1021" s="9"/>
      <c r="I1021" s="9"/>
      <c r="J1021" s="9"/>
      <c r="K1021" s="9"/>
      <c r="L1021" s="115"/>
      <c r="M1021" s="115"/>
      <c r="N1021" s="115"/>
      <c r="O1021" s="115"/>
      <c r="P1021" s="9"/>
      <c r="Q1021" s="9"/>
      <c r="R1021" s="9"/>
      <c r="S1021" s="9"/>
      <c r="T1021" s="9"/>
      <c r="U1021" s="9"/>
      <c r="V1021" s="9"/>
      <c r="W1021" s="10"/>
      <c r="X1021" s="10"/>
      <c r="Y1021" s="10"/>
      <c r="Z1021" s="10"/>
    </row>
    <row r="1022">
      <c r="A1022" s="9"/>
      <c r="B1022" s="9"/>
      <c r="C1022" s="9"/>
      <c r="D1022" s="9"/>
      <c r="E1022" s="9"/>
      <c r="F1022" s="9"/>
      <c r="G1022" s="9"/>
      <c r="H1022" s="9"/>
      <c r="I1022" s="9"/>
      <c r="J1022" s="9"/>
      <c r="K1022" s="9"/>
      <c r="L1022" s="115"/>
      <c r="M1022" s="115"/>
      <c r="N1022" s="115"/>
      <c r="O1022" s="115"/>
      <c r="P1022" s="9"/>
      <c r="Q1022" s="9"/>
      <c r="R1022" s="9"/>
      <c r="S1022" s="9"/>
      <c r="T1022" s="9"/>
      <c r="U1022" s="9"/>
      <c r="V1022" s="9"/>
      <c r="W1022" s="10"/>
      <c r="X1022" s="10"/>
      <c r="Y1022" s="10"/>
      <c r="Z1022" s="10"/>
    </row>
    <row r="1023">
      <c r="A1023" s="9"/>
      <c r="B1023" s="9"/>
      <c r="C1023" s="9"/>
      <c r="D1023" s="9"/>
      <c r="E1023" s="9"/>
      <c r="F1023" s="9"/>
      <c r="G1023" s="9"/>
      <c r="H1023" s="9"/>
      <c r="I1023" s="9"/>
      <c r="J1023" s="9"/>
      <c r="K1023" s="9"/>
      <c r="L1023" s="115"/>
      <c r="M1023" s="115"/>
      <c r="N1023" s="115"/>
      <c r="O1023" s="115"/>
      <c r="P1023" s="9"/>
      <c r="Q1023" s="9"/>
      <c r="R1023" s="9"/>
      <c r="S1023" s="9"/>
      <c r="T1023" s="9"/>
      <c r="U1023" s="9"/>
      <c r="V1023" s="9"/>
      <c r="W1023" s="10"/>
      <c r="X1023" s="10"/>
      <c r="Y1023" s="10"/>
      <c r="Z1023" s="10"/>
    </row>
    <row r="1024">
      <c r="A1024" s="9"/>
      <c r="B1024" s="9"/>
      <c r="C1024" s="9"/>
      <c r="D1024" s="9"/>
      <c r="E1024" s="9"/>
      <c r="F1024" s="9"/>
      <c r="G1024" s="9"/>
      <c r="H1024" s="9"/>
      <c r="I1024" s="9"/>
      <c r="J1024" s="9"/>
      <c r="K1024" s="9"/>
      <c r="L1024" s="115"/>
      <c r="M1024" s="115"/>
      <c r="N1024" s="115"/>
      <c r="O1024" s="115"/>
      <c r="P1024" s="9"/>
      <c r="Q1024" s="9"/>
      <c r="R1024" s="9"/>
      <c r="S1024" s="9"/>
      <c r="T1024" s="9"/>
      <c r="U1024" s="9"/>
      <c r="V1024" s="9"/>
      <c r="W1024" s="10"/>
      <c r="X1024" s="10"/>
      <c r="Y1024" s="10"/>
      <c r="Z1024" s="10"/>
    </row>
    <row r="1025">
      <c r="A1025" s="9"/>
      <c r="B1025" s="9"/>
      <c r="C1025" s="9"/>
      <c r="D1025" s="9"/>
      <c r="E1025" s="9"/>
      <c r="F1025" s="9"/>
      <c r="G1025" s="9"/>
      <c r="H1025" s="9"/>
      <c r="I1025" s="9"/>
      <c r="J1025" s="9"/>
      <c r="K1025" s="9"/>
      <c r="L1025" s="115"/>
      <c r="M1025" s="115"/>
      <c r="N1025" s="115"/>
      <c r="O1025" s="115"/>
      <c r="P1025" s="9"/>
      <c r="Q1025" s="9"/>
      <c r="R1025" s="9"/>
      <c r="S1025" s="9"/>
      <c r="T1025" s="9"/>
      <c r="U1025" s="9"/>
      <c r="V1025" s="9"/>
      <c r="W1025" s="10"/>
      <c r="X1025" s="10"/>
      <c r="Y1025" s="10"/>
      <c r="Z1025" s="10"/>
    </row>
    <row r="1026">
      <c r="A1026" s="9"/>
      <c r="B1026" s="9"/>
      <c r="C1026" s="9"/>
      <c r="D1026" s="9"/>
      <c r="E1026" s="9"/>
      <c r="F1026" s="9"/>
      <c r="G1026" s="9"/>
      <c r="H1026" s="9"/>
      <c r="I1026" s="9"/>
      <c r="J1026" s="9"/>
      <c r="K1026" s="9"/>
      <c r="L1026" s="115"/>
      <c r="M1026" s="115"/>
      <c r="N1026" s="115"/>
      <c r="O1026" s="115"/>
      <c r="P1026" s="9"/>
      <c r="Q1026" s="9"/>
      <c r="R1026" s="9"/>
      <c r="S1026" s="9"/>
      <c r="T1026" s="9"/>
      <c r="U1026" s="9"/>
      <c r="V1026" s="9"/>
      <c r="W1026" s="10"/>
      <c r="X1026" s="10"/>
      <c r="Y1026" s="10"/>
      <c r="Z1026" s="10"/>
    </row>
    <row r="1027">
      <c r="A1027" s="9"/>
      <c r="B1027" s="9"/>
      <c r="C1027" s="9"/>
      <c r="D1027" s="9"/>
      <c r="E1027" s="9"/>
      <c r="F1027" s="9"/>
      <c r="G1027" s="9"/>
      <c r="H1027" s="9"/>
      <c r="I1027" s="9"/>
      <c r="J1027" s="9"/>
      <c r="K1027" s="9"/>
      <c r="L1027" s="115"/>
      <c r="M1027" s="115"/>
      <c r="N1027" s="115"/>
      <c r="O1027" s="115"/>
      <c r="P1027" s="9"/>
      <c r="Q1027" s="9"/>
      <c r="R1027" s="9"/>
      <c r="S1027" s="9"/>
      <c r="T1027" s="9"/>
      <c r="U1027" s="9"/>
      <c r="V1027" s="9"/>
      <c r="W1027" s="10"/>
      <c r="X1027" s="10"/>
      <c r="Y1027" s="10"/>
      <c r="Z1027" s="10"/>
    </row>
    <row r="1028">
      <c r="A1028" s="9"/>
      <c r="B1028" s="9"/>
      <c r="C1028" s="9"/>
      <c r="D1028" s="9"/>
      <c r="E1028" s="9"/>
      <c r="F1028" s="9"/>
      <c r="G1028" s="9"/>
      <c r="H1028" s="9"/>
      <c r="I1028" s="9"/>
      <c r="J1028" s="9"/>
      <c r="K1028" s="9"/>
      <c r="L1028" s="115"/>
      <c r="M1028" s="115"/>
      <c r="N1028" s="115"/>
      <c r="O1028" s="115"/>
      <c r="P1028" s="9"/>
      <c r="Q1028" s="9"/>
      <c r="R1028" s="9"/>
      <c r="S1028" s="9"/>
      <c r="T1028" s="9"/>
      <c r="U1028" s="9"/>
      <c r="V1028" s="9"/>
      <c r="W1028" s="10"/>
      <c r="X1028" s="10"/>
      <c r="Y1028" s="10"/>
      <c r="Z1028" s="10"/>
    </row>
    <row r="1029">
      <c r="A1029" s="9"/>
      <c r="B1029" s="9"/>
      <c r="C1029" s="9"/>
      <c r="D1029" s="9"/>
      <c r="E1029" s="9"/>
      <c r="F1029" s="9"/>
      <c r="G1029" s="9"/>
      <c r="H1029" s="9"/>
      <c r="I1029" s="9"/>
      <c r="J1029" s="9"/>
      <c r="K1029" s="9"/>
      <c r="L1029" s="115"/>
      <c r="M1029" s="115"/>
      <c r="N1029" s="115"/>
      <c r="O1029" s="115"/>
      <c r="P1029" s="9"/>
      <c r="Q1029" s="9"/>
      <c r="R1029" s="9"/>
      <c r="S1029" s="9"/>
      <c r="T1029" s="9"/>
      <c r="U1029" s="9"/>
      <c r="V1029" s="9"/>
      <c r="W1029" s="10"/>
      <c r="X1029" s="10"/>
      <c r="Y1029" s="10"/>
      <c r="Z1029" s="10"/>
    </row>
    <row r="1030">
      <c r="A1030" s="9"/>
      <c r="B1030" s="9"/>
      <c r="C1030" s="9"/>
      <c r="D1030" s="9"/>
      <c r="E1030" s="9"/>
      <c r="F1030" s="9"/>
      <c r="G1030" s="9"/>
      <c r="H1030" s="9"/>
      <c r="I1030" s="9"/>
      <c r="J1030" s="9"/>
      <c r="K1030" s="9"/>
      <c r="L1030" s="115"/>
      <c r="M1030" s="115"/>
      <c r="N1030" s="115"/>
      <c r="O1030" s="115"/>
      <c r="P1030" s="9"/>
      <c r="Q1030" s="9"/>
      <c r="R1030" s="9"/>
      <c r="S1030" s="9"/>
      <c r="T1030" s="9"/>
      <c r="U1030" s="9"/>
      <c r="V1030" s="9"/>
      <c r="W1030" s="10"/>
      <c r="X1030" s="10"/>
      <c r="Y1030" s="10"/>
      <c r="Z1030" s="10"/>
    </row>
    <row r="1031">
      <c r="A1031" s="9"/>
      <c r="B1031" s="9"/>
      <c r="C1031" s="9"/>
      <c r="D1031" s="9"/>
      <c r="E1031" s="9"/>
      <c r="F1031" s="9"/>
      <c r="G1031" s="9"/>
      <c r="H1031" s="9"/>
      <c r="I1031" s="9"/>
      <c r="J1031" s="9"/>
      <c r="K1031" s="9"/>
      <c r="L1031" s="115"/>
      <c r="M1031" s="115"/>
      <c r="N1031" s="115"/>
      <c r="O1031" s="115"/>
      <c r="P1031" s="9"/>
      <c r="Q1031" s="9"/>
      <c r="R1031" s="9"/>
      <c r="S1031" s="9"/>
      <c r="T1031" s="9"/>
      <c r="U1031" s="9"/>
      <c r="V1031" s="9"/>
      <c r="W1031" s="10"/>
      <c r="X1031" s="10"/>
      <c r="Y1031" s="10"/>
      <c r="Z1031" s="10"/>
    </row>
    <row r="1032">
      <c r="A1032" s="9"/>
      <c r="B1032" s="9"/>
      <c r="C1032" s="9"/>
      <c r="D1032" s="9"/>
      <c r="E1032" s="9"/>
      <c r="F1032" s="9"/>
      <c r="G1032" s="9"/>
      <c r="H1032" s="9"/>
      <c r="I1032" s="9"/>
      <c r="J1032" s="9"/>
      <c r="K1032" s="9"/>
      <c r="L1032" s="115"/>
      <c r="M1032" s="115"/>
      <c r="N1032" s="115"/>
      <c r="O1032" s="115"/>
      <c r="P1032" s="9"/>
      <c r="Q1032" s="9"/>
      <c r="R1032" s="9"/>
      <c r="S1032" s="9"/>
      <c r="T1032" s="9"/>
      <c r="U1032" s="9"/>
      <c r="V1032" s="9"/>
      <c r="W1032" s="10"/>
      <c r="X1032" s="10"/>
      <c r="Y1032" s="10"/>
      <c r="Z1032" s="10"/>
    </row>
    <row r="1033">
      <c r="A1033" s="9"/>
      <c r="B1033" s="9"/>
      <c r="C1033" s="9"/>
      <c r="D1033" s="9"/>
      <c r="E1033" s="9"/>
      <c r="F1033" s="9"/>
      <c r="G1033" s="9"/>
      <c r="H1033" s="9"/>
      <c r="I1033" s="9"/>
      <c r="J1033" s="9"/>
      <c r="K1033" s="9"/>
      <c r="L1033" s="115"/>
      <c r="M1033" s="115"/>
      <c r="N1033" s="115"/>
      <c r="O1033" s="115"/>
      <c r="P1033" s="9"/>
      <c r="Q1033" s="9"/>
      <c r="R1033" s="9"/>
      <c r="S1033" s="9"/>
      <c r="T1033" s="9"/>
      <c r="U1033" s="9"/>
      <c r="V1033" s="9"/>
      <c r="W1033" s="10"/>
      <c r="X1033" s="10"/>
      <c r="Y1033" s="10"/>
      <c r="Z1033" s="10"/>
    </row>
    <row r="1034">
      <c r="A1034" s="9"/>
      <c r="B1034" s="9"/>
      <c r="C1034" s="9"/>
      <c r="D1034" s="9"/>
      <c r="E1034" s="9"/>
      <c r="F1034" s="9"/>
      <c r="G1034" s="9"/>
      <c r="H1034" s="9"/>
      <c r="I1034" s="9"/>
      <c r="J1034" s="9"/>
      <c r="K1034" s="9"/>
      <c r="L1034" s="115"/>
      <c r="M1034" s="115"/>
      <c r="N1034" s="115"/>
      <c r="O1034" s="115"/>
      <c r="P1034" s="9"/>
      <c r="Q1034" s="9"/>
      <c r="R1034" s="9"/>
      <c r="S1034" s="9"/>
      <c r="T1034" s="9"/>
      <c r="U1034" s="9"/>
      <c r="V1034" s="9"/>
      <c r="W1034" s="10"/>
      <c r="X1034" s="10"/>
      <c r="Y1034" s="10"/>
      <c r="Z1034" s="10"/>
    </row>
    <row r="1035">
      <c r="A1035" s="9"/>
      <c r="B1035" s="9"/>
      <c r="C1035" s="9"/>
      <c r="D1035" s="9"/>
      <c r="E1035" s="9"/>
      <c r="F1035" s="9"/>
      <c r="G1035" s="9"/>
      <c r="H1035" s="9"/>
      <c r="I1035" s="9"/>
      <c r="J1035" s="9"/>
      <c r="K1035" s="9"/>
      <c r="L1035" s="115"/>
      <c r="M1035" s="115"/>
      <c r="N1035" s="115"/>
      <c r="O1035" s="115"/>
      <c r="P1035" s="9"/>
      <c r="Q1035" s="9"/>
      <c r="R1035" s="9"/>
      <c r="S1035" s="9"/>
      <c r="T1035" s="9"/>
      <c r="U1035" s="9"/>
      <c r="V1035" s="9"/>
      <c r="W1035" s="10"/>
      <c r="X1035" s="10"/>
      <c r="Y1035" s="10"/>
      <c r="Z1035" s="10"/>
    </row>
    <row r="1036">
      <c r="A1036" s="9"/>
      <c r="B1036" s="9"/>
      <c r="C1036" s="9"/>
      <c r="D1036" s="9"/>
      <c r="E1036" s="9"/>
      <c r="F1036" s="9"/>
      <c r="G1036" s="9"/>
      <c r="H1036" s="9"/>
      <c r="I1036" s="9"/>
      <c r="J1036" s="9"/>
      <c r="K1036" s="9"/>
      <c r="L1036" s="115"/>
      <c r="M1036" s="115"/>
      <c r="N1036" s="115"/>
      <c r="O1036" s="115"/>
      <c r="P1036" s="9"/>
      <c r="Q1036" s="9"/>
      <c r="R1036" s="9"/>
      <c r="S1036" s="9"/>
      <c r="T1036" s="9"/>
      <c r="U1036" s="9"/>
      <c r="V1036" s="9"/>
      <c r="W1036" s="10"/>
      <c r="X1036" s="10"/>
      <c r="Y1036" s="10"/>
      <c r="Z1036" s="10"/>
    </row>
    <row r="1037">
      <c r="A1037" s="9"/>
      <c r="B1037" s="9"/>
      <c r="C1037" s="9"/>
      <c r="D1037" s="9"/>
      <c r="E1037" s="9"/>
      <c r="F1037" s="9"/>
      <c r="G1037" s="9"/>
      <c r="H1037" s="9"/>
      <c r="I1037" s="9"/>
      <c r="J1037" s="9"/>
      <c r="K1037" s="9"/>
      <c r="L1037" s="115"/>
      <c r="M1037" s="115"/>
      <c r="N1037" s="115"/>
      <c r="O1037" s="115"/>
      <c r="P1037" s="9"/>
      <c r="Q1037" s="9"/>
      <c r="R1037" s="9"/>
      <c r="S1037" s="9"/>
      <c r="T1037" s="9"/>
      <c r="U1037" s="9"/>
      <c r="V1037" s="9"/>
      <c r="W1037" s="10"/>
      <c r="X1037" s="10"/>
      <c r="Y1037" s="10"/>
      <c r="Z1037" s="10"/>
    </row>
    <row r="1038">
      <c r="A1038" s="9"/>
      <c r="B1038" s="9"/>
      <c r="C1038" s="9"/>
      <c r="D1038" s="9"/>
      <c r="E1038" s="9"/>
      <c r="F1038" s="9"/>
      <c r="G1038" s="9"/>
      <c r="H1038" s="9"/>
      <c r="I1038" s="9"/>
      <c r="J1038" s="9"/>
      <c r="K1038" s="9"/>
      <c r="L1038" s="115"/>
      <c r="M1038" s="115"/>
      <c r="N1038" s="115"/>
      <c r="O1038" s="115"/>
      <c r="P1038" s="9"/>
      <c r="Q1038" s="9"/>
      <c r="R1038" s="9"/>
      <c r="S1038" s="9"/>
      <c r="T1038" s="9"/>
      <c r="U1038" s="9"/>
      <c r="V1038" s="9"/>
      <c r="W1038" s="10"/>
      <c r="X1038" s="10"/>
      <c r="Y1038" s="10"/>
      <c r="Z1038" s="10"/>
    </row>
    <row r="1039">
      <c r="A1039" s="9"/>
      <c r="B1039" s="9"/>
      <c r="C1039" s="9"/>
      <c r="D1039" s="9"/>
      <c r="E1039" s="9"/>
      <c r="F1039" s="9"/>
      <c r="G1039" s="9"/>
      <c r="H1039" s="9"/>
      <c r="I1039" s="9"/>
      <c r="J1039" s="9"/>
      <c r="K1039" s="9"/>
      <c r="L1039" s="115"/>
      <c r="M1039" s="115"/>
      <c r="N1039" s="115"/>
      <c r="O1039" s="115"/>
      <c r="P1039" s="9"/>
      <c r="Q1039" s="9"/>
      <c r="R1039" s="9"/>
      <c r="S1039" s="9"/>
      <c r="T1039" s="9"/>
      <c r="U1039" s="9"/>
      <c r="V1039" s="9"/>
      <c r="W1039" s="10"/>
      <c r="X1039" s="10"/>
      <c r="Y1039" s="10"/>
      <c r="Z1039" s="10"/>
    </row>
    <row r="1040">
      <c r="A1040" s="9"/>
      <c r="B1040" s="9"/>
      <c r="C1040" s="9"/>
      <c r="D1040" s="9"/>
      <c r="E1040" s="9"/>
      <c r="F1040" s="9"/>
      <c r="G1040" s="9"/>
      <c r="H1040" s="9"/>
      <c r="I1040" s="9"/>
      <c r="J1040" s="9"/>
      <c r="K1040" s="9"/>
      <c r="L1040" s="115"/>
      <c r="M1040" s="115"/>
      <c r="N1040" s="115"/>
      <c r="O1040" s="115"/>
      <c r="P1040" s="9"/>
      <c r="Q1040" s="9"/>
      <c r="R1040" s="9"/>
      <c r="S1040" s="9"/>
      <c r="T1040" s="9"/>
      <c r="U1040" s="9"/>
      <c r="V1040" s="9"/>
      <c r="W1040" s="10"/>
      <c r="X1040" s="10"/>
      <c r="Y1040" s="10"/>
      <c r="Z1040" s="10"/>
    </row>
    <row r="1041">
      <c r="A1041" s="9"/>
      <c r="B1041" s="9"/>
      <c r="C1041" s="9"/>
      <c r="D1041" s="9"/>
      <c r="E1041" s="9"/>
      <c r="F1041" s="9"/>
      <c r="G1041" s="9"/>
      <c r="H1041" s="9"/>
      <c r="I1041" s="9"/>
      <c r="J1041" s="9"/>
      <c r="K1041" s="9"/>
      <c r="L1041" s="115"/>
      <c r="M1041" s="115"/>
      <c r="N1041" s="115"/>
      <c r="O1041" s="115"/>
      <c r="P1041" s="9"/>
      <c r="Q1041" s="9"/>
      <c r="R1041" s="9"/>
      <c r="S1041" s="9"/>
      <c r="T1041" s="9"/>
      <c r="U1041" s="9"/>
      <c r="V1041" s="9"/>
      <c r="W1041" s="10"/>
      <c r="X1041" s="10"/>
      <c r="Y1041" s="10"/>
      <c r="Z1041" s="10"/>
    </row>
    <row r="1042">
      <c r="A1042" s="9"/>
      <c r="B1042" s="9"/>
      <c r="C1042" s="9"/>
      <c r="D1042" s="9"/>
      <c r="E1042" s="9"/>
      <c r="F1042" s="9"/>
      <c r="G1042" s="9"/>
      <c r="H1042" s="9"/>
      <c r="I1042" s="9"/>
      <c r="J1042" s="9"/>
      <c r="K1042" s="9"/>
      <c r="L1042" s="115"/>
      <c r="M1042" s="115"/>
      <c r="N1042" s="115"/>
      <c r="O1042" s="115"/>
      <c r="P1042" s="9"/>
      <c r="Q1042" s="9"/>
      <c r="R1042" s="9"/>
      <c r="S1042" s="9"/>
      <c r="T1042" s="9"/>
      <c r="U1042" s="9"/>
      <c r="V1042" s="9"/>
      <c r="W1042" s="10"/>
      <c r="X1042" s="10"/>
      <c r="Y1042" s="10"/>
      <c r="Z1042" s="10"/>
    </row>
    <row r="1043">
      <c r="A1043" s="9"/>
      <c r="B1043" s="9"/>
      <c r="C1043" s="9"/>
      <c r="D1043" s="9"/>
      <c r="E1043" s="9"/>
      <c r="F1043" s="9"/>
      <c r="G1043" s="9"/>
      <c r="H1043" s="9"/>
      <c r="I1043" s="9"/>
      <c r="J1043" s="9"/>
      <c r="K1043" s="9"/>
      <c r="L1043" s="115"/>
      <c r="M1043" s="115"/>
      <c r="N1043" s="115"/>
      <c r="O1043" s="115"/>
      <c r="P1043" s="9"/>
      <c r="Q1043" s="9"/>
      <c r="R1043" s="9"/>
      <c r="S1043" s="9"/>
      <c r="T1043" s="9"/>
      <c r="U1043" s="9"/>
      <c r="V1043" s="9"/>
      <c r="W1043" s="10"/>
      <c r="X1043" s="10"/>
      <c r="Y1043" s="10"/>
      <c r="Z1043" s="10"/>
    </row>
    <row r="1044">
      <c r="A1044" s="9"/>
      <c r="B1044" s="9"/>
      <c r="C1044" s="9"/>
      <c r="D1044" s="9"/>
      <c r="E1044" s="9"/>
      <c r="F1044" s="9"/>
      <c r="G1044" s="9"/>
      <c r="H1044" s="9"/>
      <c r="I1044" s="9"/>
      <c r="J1044" s="9"/>
      <c r="K1044" s="9"/>
      <c r="L1044" s="115"/>
      <c r="M1044" s="115"/>
      <c r="N1044" s="115"/>
      <c r="O1044" s="115"/>
      <c r="P1044" s="9"/>
      <c r="Q1044" s="9"/>
      <c r="R1044" s="9"/>
      <c r="S1044" s="9"/>
      <c r="T1044" s="9"/>
      <c r="U1044" s="9"/>
      <c r="V1044" s="9"/>
      <c r="W1044" s="10"/>
      <c r="X1044" s="10"/>
      <c r="Y1044" s="10"/>
      <c r="Z1044" s="10"/>
    </row>
    <row r="1045">
      <c r="A1045" s="9"/>
      <c r="B1045" s="9"/>
      <c r="C1045" s="9"/>
      <c r="D1045" s="9"/>
      <c r="E1045" s="9"/>
      <c r="F1045" s="9"/>
      <c r="G1045" s="9"/>
      <c r="H1045" s="9"/>
      <c r="I1045" s="9"/>
      <c r="J1045" s="9"/>
      <c r="K1045" s="9"/>
      <c r="L1045" s="115"/>
      <c r="M1045" s="115"/>
      <c r="N1045" s="115"/>
      <c r="O1045" s="115"/>
      <c r="P1045" s="9"/>
      <c r="Q1045" s="9"/>
      <c r="R1045" s="9"/>
      <c r="S1045" s="9"/>
      <c r="T1045" s="9"/>
      <c r="U1045" s="9"/>
      <c r="V1045" s="9"/>
      <c r="W1045" s="10"/>
      <c r="X1045" s="10"/>
      <c r="Y1045" s="10"/>
      <c r="Z1045" s="10"/>
    </row>
    <row r="1046">
      <c r="A1046" s="9"/>
      <c r="B1046" s="9"/>
      <c r="C1046" s="9"/>
      <c r="D1046" s="9"/>
      <c r="E1046" s="9"/>
      <c r="F1046" s="9"/>
      <c r="G1046" s="9"/>
      <c r="H1046" s="9"/>
      <c r="I1046" s="9"/>
      <c r="J1046" s="9"/>
      <c r="K1046" s="9"/>
      <c r="L1046" s="115"/>
      <c r="M1046" s="115"/>
      <c r="N1046" s="115"/>
      <c r="O1046" s="115"/>
      <c r="P1046" s="9"/>
      <c r="Q1046" s="9"/>
      <c r="R1046" s="9"/>
      <c r="S1046" s="9"/>
      <c r="T1046" s="9"/>
      <c r="U1046" s="9"/>
      <c r="V1046" s="9"/>
      <c r="W1046" s="10"/>
      <c r="X1046" s="10"/>
      <c r="Y1046" s="10"/>
      <c r="Z1046" s="10"/>
    </row>
    <row r="1047">
      <c r="A1047" s="9"/>
      <c r="B1047" s="9"/>
      <c r="C1047" s="9"/>
      <c r="D1047" s="9"/>
      <c r="E1047" s="9"/>
      <c r="F1047" s="9"/>
      <c r="G1047" s="9"/>
      <c r="H1047" s="9"/>
      <c r="I1047" s="9"/>
      <c r="J1047" s="9"/>
      <c r="K1047" s="9"/>
      <c r="L1047" s="115"/>
      <c r="M1047" s="115"/>
      <c r="N1047" s="115"/>
      <c r="O1047" s="115"/>
      <c r="P1047" s="9"/>
      <c r="Q1047" s="9"/>
      <c r="R1047" s="9"/>
      <c r="S1047" s="9"/>
      <c r="T1047" s="9"/>
      <c r="U1047" s="9"/>
      <c r="V1047" s="9"/>
      <c r="W1047" s="10"/>
      <c r="X1047" s="10"/>
      <c r="Y1047" s="10"/>
      <c r="Z1047" s="10"/>
    </row>
    <row r="1048">
      <c r="A1048" s="9"/>
      <c r="B1048" s="9"/>
      <c r="C1048" s="9"/>
      <c r="D1048" s="9"/>
      <c r="E1048" s="9"/>
      <c r="F1048" s="9"/>
      <c r="G1048" s="9"/>
      <c r="H1048" s="9"/>
      <c r="I1048" s="9"/>
      <c r="J1048" s="9"/>
      <c r="K1048" s="9"/>
      <c r="L1048" s="115"/>
      <c r="M1048" s="115"/>
      <c r="N1048" s="115"/>
      <c r="O1048" s="115"/>
      <c r="P1048" s="9"/>
      <c r="Q1048" s="9"/>
      <c r="R1048" s="9"/>
      <c r="S1048" s="9"/>
      <c r="T1048" s="9"/>
      <c r="U1048" s="9"/>
      <c r="V1048" s="9"/>
      <c r="W1048" s="10"/>
      <c r="X1048" s="10"/>
      <c r="Y1048" s="10"/>
      <c r="Z1048" s="10"/>
    </row>
    <row r="1049">
      <c r="A1049" s="9"/>
      <c r="B1049" s="9"/>
      <c r="C1049" s="9"/>
      <c r="D1049" s="9"/>
      <c r="E1049" s="9"/>
      <c r="F1049" s="9"/>
      <c r="G1049" s="9"/>
      <c r="H1049" s="9"/>
      <c r="I1049" s="9"/>
      <c r="J1049" s="9"/>
      <c r="K1049" s="9"/>
      <c r="L1049" s="115"/>
      <c r="M1049" s="115"/>
      <c r="N1049" s="115"/>
      <c r="O1049" s="115"/>
      <c r="P1049" s="9"/>
      <c r="Q1049" s="9"/>
      <c r="R1049" s="9"/>
      <c r="S1049" s="9"/>
      <c r="T1049" s="9"/>
      <c r="U1049" s="9"/>
      <c r="V1049" s="9"/>
      <c r="W1049" s="10"/>
      <c r="X1049" s="10"/>
      <c r="Y1049" s="10"/>
      <c r="Z1049" s="10"/>
    </row>
    <row r="1050">
      <c r="A1050" s="9"/>
      <c r="B1050" s="9"/>
      <c r="C1050" s="9"/>
      <c r="D1050" s="9"/>
      <c r="E1050" s="9"/>
      <c r="F1050" s="9"/>
      <c r="G1050" s="9"/>
      <c r="H1050" s="9"/>
      <c r="I1050" s="9"/>
      <c r="J1050" s="9"/>
      <c r="K1050" s="9"/>
      <c r="L1050" s="115"/>
      <c r="M1050" s="115"/>
      <c r="N1050" s="115"/>
      <c r="O1050" s="115"/>
      <c r="P1050" s="9"/>
      <c r="Q1050" s="9"/>
      <c r="R1050" s="9"/>
      <c r="S1050" s="9"/>
      <c r="T1050" s="9"/>
      <c r="U1050" s="9"/>
      <c r="V1050" s="9"/>
      <c r="W1050" s="10"/>
      <c r="X1050" s="10"/>
      <c r="Y1050" s="10"/>
      <c r="Z1050" s="10"/>
    </row>
    <row r="1051">
      <c r="A1051" s="9"/>
      <c r="B1051" s="9"/>
      <c r="C1051" s="9"/>
      <c r="D1051" s="9"/>
      <c r="E1051" s="9"/>
      <c r="F1051" s="9"/>
      <c r="G1051" s="9"/>
      <c r="H1051" s="9"/>
      <c r="I1051" s="9"/>
      <c r="J1051" s="9"/>
      <c r="K1051" s="9"/>
      <c r="L1051" s="115"/>
      <c r="M1051" s="115"/>
      <c r="N1051" s="115"/>
      <c r="O1051" s="115"/>
      <c r="P1051" s="9"/>
      <c r="Q1051" s="9"/>
      <c r="R1051" s="9"/>
      <c r="S1051" s="9"/>
      <c r="T1051" s="9"/>
      <c r="U1051" s="9"/>
      <c r="V1051" s="9"/>
      <c r="W1051" s="10"/>
      <c r="X1051" s="10"/>
      <c r="Y1051" s="10"/>
      <c r="Z1051" s="10"/>
    </row>
    <row r="1052">
      <c r="A1052" s="9"/>
      <c r="B1052" s="9"/>
      <c r="C1052" s="9"/>
      <c r="D1052" s="9"/>
      <c r="E1052" s="9"/>
      <c r="F1052" s="9"/>
      <c r="G1052" s="9"/>
      <c r="H1052" s="9"/>
      <c r="I1052" s="9"/>
      <c r="J1052" s="9"/>
      <c r="K1052" s="9"/>
      <c r="L1052" s="115"/>
      <c r="M1052" s="115"/>
      <c r="N1052" s="115"/>
      <c r="O1052" s="115"/>
      <c r="P1052" s="9"/>
      <c r="Q1052" s="9"/>
      <c r="R1052" s="9"/>
      <c r="S1052" s="9"/>
      <c r="T1052" s="9"/>
      <c r="U1052" s="9"/>
      <c r="V1052" s="9"/>
      <c r="W1052" s="10"/>
      <c r="X1052" s="10"/>
      <c r="Y1052" s="10"/>
      <c r="Z1052" s="10"/>
    </row>
    <row r="1053">
      <c r="A1053" s="9"/>
      <c r="B1053" s="9"/>
      <c r="C1053" s="9"/>
      <c r="D1053" s="9"/>
      <c r="E1053" s="9"/>
      <c r="F1053" s="9"/>
      <c r="G1053" s="9"/>
      <c r="H1053" s="9"/>
      <c r="I1053" s="9"/>
      <c r="J1053" s="9"/>
      <c r="K1053" s="9"/>
      <c r="L1053" s="115"/>
      <c r="M1053" s="115"/>
      <c r="N1053" s="115"/>
      <c r="O1053" s="115"/>
      <c r="P1053" s="9"/>
      <c r="Q1053" s="9"/>
      <c r="R1053" s="9"/>
      <c r="S1053" s="9"/>
      <c r="T1053" s="9"/>
      <c r="U1053" s="9"/>
      <c r="V1053" s="9"/>
      <c r="W1053" s="10"/>
      <c r="X1053" s="10"/>
      <c r="Y1053" s="10"/>
      <c r="Z1053" s="10"/>
    </row>
    <row r="1054">
      <c r="A1054" s="9"/>
      <c r="B1054" s="9"/>
      <c r="C1054" s="9"/>
      <c r="D1054" s="9"/>
      <c r="E1054" s="9"/>
      <c r="F1054" s="9"/>
      <c r="G1054" s="9"/>
      <c r="H1054" s="9"/>
      <c r="I1054" s="9"/>
      <c r="J1054" s="9"/>
      <c r="K1054" s="9"/>
      <c r="L1054" s="115"/>
      <c r="M1054" s="115"/>
      <c r="N1054" s="115"/>
      <c r="O1054" s="115"/>
      <c r="P1054" s="9"/>
      <c r="Q1054" s="9"/>
      <c r="R1054" s="9"/>
      <c r="S1054" s="9"/>
      <c r="T1054" s="9"/>
      <c r="U1054" s="9"/>
      <c r="V1054" s="9"/>
      <c r="W1054" s="10"/>
      <c r="X1054" s="10"/>
      <c r="Y1054" s="10"/>
      <c r="Z1054" s="10"/>
    </row>
    <row r="1055">
      <c r="A1055" s="9"/>
      <c r="B1055" s="9"/>
      <c r="C1055" s="9"/>
      <c r="D1055" s="9"/>
      <c r="E1055" s="9"/>
      <c r="F1055" s="9"/>
      <c r="G1055" s="9"/>
      <c r="H1055" s="9"/>
      <c r="I1055" s="9"/>
      <c r="J1055" s="9"/>
      <c r="K1055" s="9"/>
      <c r="L1055" s="115"/>
      <c r="M1055" s="115"/>
      <c r="N1055" s="115"/>
      <c r="O1055" s="115"/>
      <c r="P1055" s="9"/>
      <c r="Q1055" s="9"/>
      <c r="R1055" s="9"/>
      <c r="S1055" s="9"/>
      <c r="T1055" s="9"/>
      <c r="U1055" s="9"/>
      <c r="V1055" s="9"/>
      <c r="W1055" s="10"/>
      <c r="X1055" s="10"/>
      <c r="Y1055" s="10"/>
      <c r="Z1055" s="10"/>
    </row>
    <row r="1056">
      <c r="A1056" s="9"/>
      <c r="B1056" s="9"/>
      <c r="C1056" s="9"/>
      <c r="D1056" s="9"/>
      <c r="E1056" s="9"/>
      <c r="F1056" s="9"/>
      <c r="G1056" s="9"/>
      <c r="H1056" s="9"/>
      <c r="I1056" s="9"/>
      <c r="J1056" s="9"/>
      <c r="K1056" s="9"/>
      <c r="L1056" s="115"/>
      <c r="M1056" s="115"/>
      <c r="N1056" s="115"/>
      <c r="O1056" s="115"/>
      <c r="P1056" s="9"/>
      <c r="Q1056" s="9"/>
      <c r="R1056" s="9"/>
      <c r="S1056" s="9"/>
      <c r="T1056" s="9"/>
      <c r="U1056" s="9"/>
      <c r="V1056" s="9"/>
      <c r="W1056" s="10"/>
      <c r="X1056" s="10"/>
      <c r="Y1056" s="10"/>
      <c r="Z1056" s="10"/>
    </row>
    <row r="1057">
      <c r="A1057" s="9"/>
      <c r="B1057" s="9"/>
      <c r="C1057" s="9"/>
      <c r="D1057" s="9"/>
      <c r="E1057" s="9"/>
      <c r="F1057" s="9"/>
      <c r="G1057" s="9"/>
      <c r="H1057" s="9"/>
      <c r="I1057" s="9"/>
      <c r="J1057" s="9"/>
      <c r="K1057" s="9"/>
      <c r="L1057" s="115"/>
      <c r="M1057" s="115"/>
      <c r="N1057" s="115"/>
      <c r="O1057" s="115"/>
      <c r="P1057" s="9"/>
      <c r="Q1057" s="9"/>
      <c r="R1057" s="9"/>
      <c r="S1057" s="9"/>
      <c r="T1057" s="9"/>
      <c r="U1057" s="9"/>
      <c r="V1057" s="9"/>
      <c r="W1057" s="10"/>
      <c r="X1057" s="10"/>
      <c r="Y1057" s="10"/>
      <c r="Z1057" s="10"/>
    </row>
    <row r="1058">
      <c r="A1058" s="9"/>
      <c r="B1058" s="9"/>
      <c r="C1058" s="9"/>
      <c r="D1058" s="9"/>
      <c r="E1058" s="9"/>
      <c r="F1058" s="9"/>
      <c r="G1058" s="9"/>
      <c r="H1058" s="9"/>
      <c r="I1058" s="9"/>
      <c r="J1058" s="9"/>
      <c r="K1058" s="9"/>
      <c r="L1058" s="115"/>
      <c r="M1058" s="115"/>
      <c r="N1058" s="115"/>
      <c r="O1058" s="115"/>
      <c r="P1058" s="9"/>
      <c r="Q1058" s="9"/>
      <c r="R1058" s="9"/>
      <c r="S1058" s="9"/>
      <c r="T1058" s="9"/>
      <c r="U1058" s="9"/>
      <c r="V1058" s="9"/>
      <c r="W1058" s="10"/>
      <c r="X1058" s="10"/>
      <c r="Y1058" s="10"/>
      <c r="Z1058" s="10"/>
    </row>
    <row r="1059">
      <c r="A1059" s="9"/>
      <c r="B1059" s="9"/>
      <c r="C1059" s="9"/>
      <c r="D1059" s="9"/>
      <c r="E1059" s="9"/>
      <c r="F1059" s="9"/>
      <c r="G1059" s="9"/>
      <c r="H1059" s="9"/>
      <c r="I1059" s="9"/>
      <c r="J1059" s="9"/>
      <c r="K1059" s="9"/>
      <c r="L1059" s="115"/>
      <c r="M1059" s="115"/>
      <c r="N1059" s="115"/>
      <c r="O1059" s="115"/>
      <c r="P1059" s="9"/>
      <c r="Q1059" s="9"/>
      <c r="R1059" s="9"/>
      <c r="S1059" s="9"/>
      <c r="T1059" s="9"/>
      <c r="U1059" s="9"/>
      <c r="V1059" s="9"/>
      <c r="W1059" s="10"/>
      <c r="X1059" s="10"/>
      <c r="Y1059" s="10"/>
      <c r="Z1059" s="10"/>
    </row>
    <row r="1060">
      <c r="A1060" s="9"/>
      <c r="B1060" s="9"/>
      <c r="C1060" s="9"/>
      <c r="D1060" s="9"/>
      <c r="E1060" s="9"/>
      <c r="F1060" s="9"/>
      <c r="G1060" s="9"/>
      <c r="H1060" s="9"/>
      <c r="I1060" s="9"/>
      <c r="J1060" s="9"/>
      <c r="K1060" s="9"/>
      <c r="L1060" s="115"/>
      <c r="M1060" s="115"/>
      <c r="N1060" s="115"/>
      <c r="O1060" s="115"/>
      <c r="P1060" s="9"/>
      <c r="Q1060" s="9"/>
      <c r="R1060" s="9"/>
      <c r="S1060" s="9"/>
      <c r="T1060" s="9"/>
      <c r="U1060" s="9"/>
      <c r="V1060" s="9"/>
      <c r="W1060" s="10"/>
      <c r="X1060" s="10"/>
      <c r="Y1060" s="10"/>
      <c r="Z1060" s="10"/>
    </row>
    <row r="1061">
      <c r="A1061" s="9"/>
      <c r="B1061" s="9"/>
      <c r="C1061" s="9"/>
      <c r="D1061" s="9"/>
      <c r="E1061" s="9"/>
      <c r="F1061" s="9"/>
      <c r="G1061" s="9"/>
      <c r="H1061" s="9"/>
      <c r="I1061" s="9"/>
      <c r="J1061" s="9"/>
      <c r="K1061" s="9"/>
      <c r="L1061" s="115"/>
      <c r="M1061" s="115"/>
      <c r="N1061" s="115"/>
      <c r="O1061" s="115"/>
      <c r="P1061" s="9"/>
      <c r="Q1061" s="9"/>
      <c r="R1061" s="9"/>
      <c r="S1061" s="9"/>
      <c r="T1061" s="9"/>
      <c r="U1061" s="9"/>
      <c r="V1061" s="9"/>
      <c r="W1061" s="10"/>
      <c r="X1061" s="10"/>
      <c r="Y1061" s="10"/>
      <c r="Z1061" s="10"/>
    </row>
    <row r="1062">
      <c r="A1062" s="9"/>
      <c r="B1062" s="9"/>
      <c r="C1062" s="9"/>
      <c r="D1062" s="9"/>
      <c r="E1062" s="9"/>
      <c r="F1062" s="9"/>
      <c r="G1062" s="9"/>
      <c r="H1062" s="9"/>
      <c r="I1062" s="9"/>
      <c r="J1062" s="9"/>
      <c r="K1062" s="9"/>
      <c r="L1062" s="115"/>
      <c r="M1062" s="115"/>
      <c r="N1062" s="115"/>
      <c r="O1062" s="115"/>
      <c r="P1062" s="9"/>
      <c r="Q1062" s="9"/>
      <c r="R1062" s="9"/>
      <c r="S1062" s="9"/>
      <c r="T1062" s="9"/>
      <c r="U1062" s="9"/>
      <c r="V1062" s="9"/>
      <c r="W1062" s="10"/>
      <c r="X1062" s="10"/>
      <c r="Y1062" s="10"/>
      <c r="Z1062" s="10"/>
    </row>
    <row r="1063">
      <c r="A1063" s="9"/>
      <c r="B1063" s="9"/>
      <c r="C1063" s="9"/>
      <c r="D1063" s="9"/>
      <c r="E1063" s="9"/>
      <c r="F1063" s="9"/>
      <c r="G1063" s="9"/>
      <c r="H1063" s="9"/>
      <c r="I1063" s="9"/>
      <c r="J1063" s="9"/>
      <c r="K1063" s="9"/>
      <c r="L1063" s="115"/>
      <c r="M1063" s="115"/>
      <c r="N1063" s="115"/>
      <c r="O1063" s="115"/>
      <c r="P1063" s="9"/>
      <c r="Q1063" s="9"/>
      <c r="R1063" s="9"/>
      <c r="S1063" s="9"/>
      <c r="T1063" s="9"/>
      <c r="U1063" s="9"/>
      <c r="V1063" s="9"/>
      <c r="W1063" s="10"/>
      <c r="X1063" s="10"/>
      <c r="Y1063" s="10"/>
      <c r="Z1063" s="10"/>
    </row>
    <row r="1064">
      <c r="A1064" s="9"/>
      <c r="B1064" s="9"/>
      <c r="C1064" s="9"/>
      <c r="D1064" s="9"/>
      <c r="E1064" s="9"/>
      <c r="F1064" s="9"/>
      <c r="G1064" s="9"/>
      <c r="H1064" s="9"/>
      <c r="I1064" s="9"/>
      <c r="J1064" s="9"/>
      <c r="K1064" s="9"/>
      <c r="L1064" s="115"/>
      <c r="M1064" s="115"/>
      <c r="N1064" s="115"/>
      <c r="O1064" s="115"/>
      <c r="P1064" s="9"/>
      <c r="Q1064" s="9"/>
      <c r="R1064" s="9"/>
      <c r="S1064" s="9"/>
      <c r="T1064" s="9"/>
      <c r="U1064" s="9"/>
      <c r="V1064" s="9"/>
      <c r="W1064" s="10"/>
      <c r="X1064" s="10"/>
      <c r="Y1064" s="10"/>
      <c r="Z1064" s="10"/>
    </row>
    <row r="1065">
      <c r="A1065" s="9"/>
      <c r="B1065" s="9"/>
      <c r="C1065" s="9"/>
      <c r="D1065" s="9"/>
      <c r="E1065" s="9"/>
      <c r="F1065" s="9"/>
      <c r="G1065" s="9"/>
      <c r="H1065" s="9"/>
      <c r="I1065" s="9"/>
      <c r="J1065" s="9"/>
      <c r="K1065" s="9"/>
      <c r="L1065" s="115"/>
      <c r="M1065" s="115"/>
      <c r="N1065" s="115"/>
      <c r="O1065" s="115"/>
      <c r="P1065" s="9"/>
      <c r="Q1065" s="9"/>
      <c r="R1065" s="9"/>
      <c r="S1065" s="9"/>
      <c r="T1065" s="9"/>
      <c r="U1065" s="9"/>
      <c r="V1065" s="9"/>
      <c r="W1065" s="10"/>
      <c r="X1065" s="10"/>
      <c r="Y1065" s="10"/>
      <c r="Z1065" s="10"/>
    </row>
    <row r="1066">
      <c r="A1066" s="9"/>
      <c r="B1066" s="9"/>
      <c r="C1066" s="9"/>
      <c r="D1066" s="9"/>
      <c r="E1066" s="9"/>
      <c r="F1066" s="9"/>
      <c r="G1066" s="9"/>
      <c r="H1066" s="9"/>
      <c r="I1066" s="9"/>
      <c r="J1066" s="9"/>
      <c r="K1066" s="9"/>
      <c r="L1066" s="115"/>
      <c r="M1066" s="115"/>
      <c r="N1066" s="115"/>
      <c r="O1066" s="115"/>
      <c r="P1066" s="9"/>
      <c r="Q1066" s="9"/>
      <c r="R1066" s="9"/>
      <c r="S1066" s="9"/>
      <c r="T1066" s="9"/>
      <c r="U1066" s="9"/>
      <c r="V1066" s="9"/>
      <c r="W1066" s="10"/>
      <c r="X1066" s="10"/>
      <c r="Y1066" s="10"/>
      <c r="Z1066" s="10"/>
    </row>
    <row r="1067">
      <c r="A1067" s="9"/>
      <c r="B1067" s="9"/>
      <c r="C1067" s="9"/>
      <c r="D1067" s="9"/>
      <c r="E1067" s="9"/>
      <c r="F1067" s="9"/>
      <c r="G1067" s="9"/>
      <c r="H1067" s="9"/>
      <c r="I1067" s="9"/>
      <c r="J1067" s="9"/>
      <c r="K1067" s="9"/>
      <c r="L1067" s="115"/>
      <c r="M1067" s="115"/>
      <c r="N1067" s="115"/>
      <c r="O1067" s="115"/>
      <c r="P1067" s="9"/>
      <c r="Q1067" s="9"/>
      <c r="R1067" s="9"/>
      <c r="S1067" s="9"/>
      <c r="T1067" s="9"/>
      <c r="U1067" s="9"/>
      <c r="V1067" s="9"/>
      <c r="W1067" s="10"/>
      <c r="X1067" s="10"/>
      <c r="Y1067" s="10"/>
      <c r="Z1067" s="10"/>
    </row>
    <row r="1068">
      <c r="A1068" s="9"/>
      <c r="B1068" s="9"/>
      <c r="C1068" s="9"/>
      <c r="D1068" s="9"/>
      <c r="E1068" s="9"/>
      <c r="F1068" s="9"/>
      <c r="G1068" s="9"/>
      <c r="H1068" s="9"/>
      <c r="I1068" s="9"/>
      <c r="J1068" s="9"/>
      <c r="K1068" s="9"/>
      <c r="L1068" s="115"/>
      <c r="M1068" s="115"/>
      <c r="N1068" s="115"/>
      <c r="O1068" s="115"/>
      <c r="P1068" s="9"/>
      <c r="Q1068" s="9"/>
      <c r="R1068" s="9"/>
      <c r="S1068" s="9"/>
      <c r="T1068" s="9"/>
      <c r="U1068" s="9"/>
      <c r="V1068" s="9"/>
      <c r="W1068" s="10"/>
      <c r="X1068" s="10"/>
      <c r="Y1068" s="10"/>
      <c r="Z1068" s="10"/>
    </row>
    <row r="1069">
      <c r="A1069" s="9"/>
      <c r="B1069" s="9"/>
      <c r="C1069" s="9"/>
      <c r="D1069" s="9"/>
      <c r="E1069" s="9"/>
      <c r="F1069" s="9"/>
      <c r="G1069" s="9"/>
      <c r="H1069" s="9"/>
      <c r="I1069" s="9"/>
      <c r="J1069" s="9"/>
      <c r="K1069" s="9"/>
      <c r="L1069" s="115"/>
      <c r="M1069" s="115"/>
      <c r="N1069" s="115"/>
      <c r="O1069" s="115"/>
      <c r="P1069" s="9"/>
      <c r="Q1069" s="9"/>
      <c r="R1069" s="9"/>
      <c r="S1069" s="9"/>
      <c r="T1069" s="9"/>
      <c r="U1069" s="9"/>
      <c r="V1069" s="9"/>
      <c r="W1069" s="10"/>
      <c r="X1069" s="10"/>
      <c r="Y1069" s="10"/>
      <c r="Z1069" s="10"/>
    </row>
    <row r="1070">
      <c r="A1070" s="9"/>
      <c r="B1070" s="9"/>
      <c r="C1070" s="9"/>
      <c r="D1070" s="9"/>
      <c r="E1070" s="9"/>
      <c r="F1070" s="9"/>
      <c r="G1070" s="9"/>
      <c r="H1070" s="9"/>
      <c r="I1070" s="9"/>
      <c r="J1070" s="9"/>
      <c r="K1070" s="9"/>
      <c r="L1070" s="115"/>
      <c r="M1070" s="115"/>
      <c r="N1070" s="115"/>
      <c r="O1070" s="115"/>
      <c r="P1070" s="9"/>
      <c r="Q1070" s="9"/>
      <c r="R1070" s="9"/>
      <c r="S1070" s="9"/>
      <c r="T1070" s="9"/>
      <c r="U1070" s="9"/>
      <c r="V1070" s="9"/>
      <c r="W1070" s="10"/>
      <c r="X1070" s="10"/>
      <c r="Y1070" s="10"/>
      <c r="Z1070" s="10"/>
    </row>
    <row r="1071">
      <c r="A1071" s="9"/>
      <c r="B1071" s="9"/>
      <c r="C1071" s="9"/>
      <c r="D1071" s="9"/>
      <c r="E1071" s="9"/>
      <c r="F1071" s="9"/>
      <c r="G1071" s="9"/>
      <c r="H1071" s="9"/>
      <c r="I1071" s="9"/>
      <c r="J1071" s="9"/>
      <c r="K1071" s="9"/>
      <c r="L1071" s="115"/>
      <c r="M1071" s="115"/>
      <c r="N1071" s="115"/>
      <c r="O1071" s="115"/>
      <c r="P1071" s="9"/>
      <c r="Q1071" s="9"/>
      <c r="R1071" s="9"/>
      <c r="S1071" s="9"/>
      <c r="T1071" s="9"/>
      <c r="U1071" s="9"/>
      <c r="V1071" s="9"/>
      <c r="W1071" s="10"/>
      <c r="X1071" s="10"/>
      <c r="Y1071" s="10"/>
      <c r="Z1071" s="10"/>
    </row>
    <row r="1072">
      <c r="A1072" s="9"/>
      <c r="B1072" s="9"/>
      <c r="C1072" s="9"/>
      <c r="D1072" s="9"/>
      <c r="E1072" s="9"/>
      <c r="F1072" s="9"/>
      <c r="G1072" s="9"/>
      <c r="H1072" s="9"/>
      <c r="I1072" s="9"/>
      <c r="J1072" s="9"/>
      <c r="K1072" s="9"/>
      <c r="L1072" s="115"/>
      <c r="M1072" s="115"/>
      <c r="N1072" s="115"/>
      <c r="O1072" s="115"/>
      <c r="P1072" s="9"/>
      <c r="Q1072" s="9"/>
      <c r="R1072" s="9"/>
      <c r="S1072" s="9"/>
      <c r="T1072" s="9"/>
      <c r="U1072" s="9"/>
      <c r="V1072" s="9"/>
      <c r="W1072" s="10"/>
      <c r="X1072" s="10"/>
      <c r="Y1072" s="10"/>
      <c r="Z1072" s="10"/>
    </row>
    <row r="1073">
      <c r="A1073" s="9"/>
      <c r="B1073" s="9"/>
      <c r="C1073" s="9"/>
      <c r="D1073" s="9"/>
      <c r="E1073" s="9"/>
      <c r="F1073" s="9"/>
      <c r="G1073" s="9"/>
      <c r="H1073" s="9"/>
      <c r="I1073" s="9"/>
      <c r="J1073" s="9"/>
      <c r="K1073" s="9"/>
      <c r="L1073" s="115"/>
      <c r="M1073" s="115"/>
      <c r="N1073" s="115"/>
      <c r="O1073" s="115"/>
      <c r="P1073" s="9"/>
      <c r="Q1073" s="9"/>
      <c r="R1073" s="9"/>
      <c r="S1073" s="9"/>
      <c r="T1073" s="9"/>
      <c r="U1073" s="9"/>
      <c r="V1073" s="9"/>
      <c r="W1073" s="10"/>
      <c r="X1073" s="10"/>
      <c r="Y1073" s="10"/>
      <c r="Z1073" s="10"/>
    </row>
    <row r="1074">
      <c r="A1074" s="9"/>
      <c r="B1074" s="9"/>
      <c r="C1074" s="9"/>
      <c r="D1074" s="9"/>
      <c r="E1074" s="9"/>
      <c r="F1074" s="9"/>
      <c r="G1074" s="9"/>
      <c r="H1074" s="9"/>
      <c r="I1074" s="9"/>
      <c r="J1074" s="9"/>
      <c r="K1074" s="9"/>
      <c r="L1074" s="115"/>
      <c r="M1074" s="115"/>
      <c r="N1074" s="115"/>
      <c r="O1074" s="115"/>
      <c r="P1074" s="9"/>
      <c r="Q1074" s="9"/>
      <c r="R1074" s="9"/>
      <c r="S1074" s="9"/>
      <c r="T1074" s="9"/>
      <c r="U1074" s="9"/>
      <c r="V1074" s="9"/>
      <c r="W1074" s="10"/>
      <c r="X1074" s="10"/>
      <c r="Y1074" s="10"/>
      <c r="Z1074" s="10"/>
    </row>
    <row r="1075">
      <c r="A1075" s="9"/>
      <c r="B1075" s="9"/>
      <c r="C1075" s="9"/>
      <c r="D1075" s="9"/>
      <c r="E1075" s="9"/>
      <c r="F1075" s="9"/>
      <c r="G1075" s="9"/>
      <c r="H1075" s="9"/>
      <c r="I1075" s="9"/>
      <c r="J1075" s="9"/>
      <c r="K1075" s="9"/>
      <c r="L1075" s="115"/>
      <c r="M1075" s="115"/>
      <c r="N1075" s="115"/>
      <c r="O1075" s="115"/>
      <c r="P1075" s="9"/>
      <c r="Q1075" s="9"/>
      <c r="R1075" s="9"/>
      <c r="S1075" s="9"/>
      <c r="T1075" s="9"/>
      <c r="U1075" s="9"/>
      <c r="V1075" s="9"/>
      <c r="W1075" s="10"/>
      <c r="X1075" s="10"/>
      <c r="Y1075" s="10"/>
      <c r="Z1075" s="10"/>
    </row>
    <row r="1076">
      <c r="A1076" s="9"/>
      <c r="B1076" s="9"/>
      <c r="C1076" s="9"/>
      <c r="D1076" s="9"/>
      <c r="E1076" s="9"/>
      <c r="F1076" s="9"/>
      <c r="G1076" s="9"/>
      <c r="H1076" s="9"/>
      <c r="I1076" s="9"/>
      <c r="J1076" s="9"/>
      <c r="K1076" s="9"/>
      <c r="L1076" s="115"/>
      <c r="M1076" s="115"/>
      <c r="N1076" s="115"/>
      <c r="O1076" s="115"/>
      <c r="P1076" s="9"/>
      <c r="Q1076" s="9"/>
      <c r="R1076" s="9"/>
      <c r="S1076" s="9"/>
      <c r="T1076" s="9"/>
      <c r="U1076" s="9"/>
      <c r="V1076" s="9"/>
      <c r="W1076" s="10"/>
      <c r="X1076" s="10"/>
      <c r="Y1076" s="10"/>
      <c r="Z1076" s="10"/>
    </row>
    <row r="1077">
      <c r="A1077" s="9"/>
      <c r="B1077" s="9"/>
      <c r="C1077" s="9"/>
      <c r="D1077" s="9"/>
      <c r="E1077" s="9"/>
      <c r="F1077" s="9"/>
      <c r="G1077" s="9"/>
      <c r="H1077" s="9"/>
      <c r="I1077" s="9"/>
      <c r="J1077" s="9"/>
      <c r="K1077" s="9"/>
      <c r="L1077" s="115"/>
      <c r="M1077" s="115"/>
      <c r="N1077" s="115"/>
      <c r="O1077" s="115"/>
      <c r="P1077" s="9"/>
      <c r="Q1077" s="9"/>
      <c r="R1077" s="9"/>
      <c r="S1077" s="9"/>
      <c r="T1077" s="9"/>
      <c r="U1077" s="9"/>
      <c r="V1077" s="9"/>
      <c r="W1077" s="10"/>
      <c r="X1077" s="10"/>
      <c r="Y1077" s="10"/>
      <c r="Z1077" s="10"/>
    </row>
    <row r="1078">
      <c r="A1078" s="9"/>
      <c r="B1078" s="9"/>
      <c r="C1078" s="9"/>
      <c r="D1078" s="9"/>
      <c r="E1078" s="9"/>
      <c r="F1078" s="9"/>
      <c r="G1078" s="9"/>
      <c r="H1078" s="9"/>
      <c r="I1078" s="9"/>
      <c r="J1078" s="9"/>
      <c r="K1078" s="9"/>
      <c r="L1078" s="115"/>
      <c r="M1078" s="115"/>
      <c r="N1078" s="115"/>
      <c r="O1078" s="115"/>
      <c r="P1078" s="9"/>
      <c r="Q1078" s="9"/>
      <c r="R1078" s="9"/>
      <c r="S1078" s="9"/>
      <c r="T1078" s="9"/>
      <c r="U1078" s="9"/>
      <c r="V1078" s="9"/>
      <c r="W1078" s="10"/>
      <c r="X1078" s="10"/>
      <c r="Y1078" s="10"/>
      <c r="Z1078" s="10"/>
    </row>
    <row r="1079">
      <c r="A1079" s="9"/>
      <c r="B1079" s="9"/>
      <c r="C1079" s="9"/>
      <c r="D1079" s="9"/>
      <c r="E1079" s="9"/>
      <c r="F1079" s="9"/>
      <c r="G1079" s="9"/>
      <c r="H1079" s="9"/>
      <c r="I1079" s="9"/>
      <c r="J1079" s="9"/>
      <c r="K1079" s="9"/>
      <c r="L1079" s="115"/>
      <c r="M1079" s="115"/>
      <c r="N1079" s="115"/>
      <c r="O1079" s="115"/>
      <c r="P1079" s="9"/>
      <c r="Q1079" s="9"/>
      <c r="R1079" s="9"/>
      <c r="S1079" s="9"/>
      <c r="T1079" s="9"/>
      <c r="U1079" s="9"/>
      <c r="V1079" s="9"/>
      <c r="W1079" s="10"/>
      <c r="X1079" s="10"/>
      <c r="Y1079" s="10"/>
      <c r="Z1079" s="10"/>
    </row>
  </sheetData>
  <mergeCells count="26">
    <mergeCell ref="G3:I3"/>
    <mergeCell ref="G4:I4"/>
    <mergeCell ref="C4:E4"/>
    <mergeCell ref="C5:F5"/>
    <mergeCell ref="G5:I5"/>
    <mergeCell ref="J5:L5"/>
    <mergeCell ref="C3:F3"/>
    <mergeCell ref="C7:F7"/>
    <mergeCell ref="G7:I7"/>
    <mergeCell ref="J7:L7"/>
    <mergeCell ref="C8:E8"/>
    <mergeCell ref="G8:I8"/>
    <mergeCell ref="J8:L8"/>
    <mergeCell ref="C9:F9"/>
    <mergeCell ref="G9:I9"/>
    <mergeCell ref="J9:L9"/>
    <mergeCell ref="D10:K10"/>
    <mergeCell ref="L10:R10"/>
    <mergeCell ref="S10:T10"/>
    <mergeCell ref="A1:B1"/>
    <mergeCell ref="A2:T2"/>
    <mergeCell ref="A3:B9"/>
    <mergeCell ref="J3:L3"/>
    <mergeCell ref="M3:M9"/>
    <mergeCell ref="J4:L4"/>
    <mergeCell ref="J6:L6"/>
  </mergeCells>
  <dataValidations>
    <dataValidation type="list" allowBlank="1" sqref="A2 A26 A34 A42 A50 A58 A66 A74 A82 A90 A98 A106 A114 A122">
      <formula1>"Previous Week,Current Week"</formula1>
    </dataValidation>
  </dataValidations>
  <hyperlinks>
    <hyperlink r:id="rId1" location="/report?id=102%3ADetailSalesTrafficByTime&amp;chartCols=17&amp;columns=0%2F1%2F2%2F3%2F4%2F5%2F6%2F17%2F18%2F23%2F24%2F25%2F26%2F29%2F30%2F31%2F32&amp;fromDate=2024-12-29&amp;toDate=2025-01-04" ref="A1"/>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ySplit="11.0" topLeftCell="A12" activePane="bottomLeft" state="frozen"/>
      <selection activeCell="B13" sqref="B13" pane="bottomLeft"/>
    </sheetView>
  </sheetViews>
  <sheetFormatPr customHeight="1" defaultColWidth="12.63" defaultRowHeight="15.75" outlineLevelRow="1"/>
  <cols>
    <col customWidth="1" min="1" max="1" width="16.88"/>
  </cols>
  <sheetData>
    <row r="1">
      <c r="A1" s="116" t="s">
        <v>57</v>
      </c>
      <c r="B1" s="117"/>
      <c r="C1" s="117"/>
      <c r="D1" s="7"/>
      <c r="E1" s="118"/>
      <c r="F1" s="118"/>
      <c r="G1" s="118"/>
      <c r="H1" s="118"/>
      <c r="I1" s="118"/>
      <c r="J1" s="118"/>
      <c r="K1" s="118"/>
      <c r="L1" s="118"/>
      <c r="M1" s="118"/>
      <c r="N1" s="118"/>
      <c r="O1" s="118"/>
      <c r="P1" s="118"/>
      <c r="Q1" s="118"/>
      <c r="R1" s="118"/>
      <c r="S1" s="118"/>
      <c r="T1" s="118"/>
      <c r="U1" s="118"/>
      <c r="V1" s="118"/>
      <c r="W1" s="2"/>
      <c r="X1" s="2"/>
    </row>
    <row r="2">
      <c r="A2" s="11" t="s">
        <v>17</v>
      </c>
      <c r="B2" s="12"/>
      <c r="C2" s="12"/>
      <c r="D2" s="12"/>
      <c r="E2" s="12"/>
      <c r="F2" s="12"/>
      <c r="G2" s="12"/>
      <c r="H2" s="12"/>
      <c r="I2" s="12"/>
      <c r="J2" s="12"/>
      <c r="K2" s="12"/>
      <c r="L2" s="12"/>
      <c r="M2" s="12"/>
      <c r="N2" s="12"/>
      <c r="O2" s="12"/>
      <c r="P2" s="12"/>
      <c r="Q2" s="12"/>
      <c r="R2" s="12"/>
      <c r="S2" s="12"/>
      <c r="T2" s="12"/>
      <c r="U2" s="12"/>
      <c r="V2" s="13"/>
      <c r="W2" s="2"/>
      <c r="X2" s="2"/>
    </row>
    <row r="3">
      <c r="A3" s="2"/>
      <c r="E3" s="119" t="s">
        <v>18</v>
      </c>
      <c r="F3" s="12"/>
      <c r="G3" s="12"/>
      <c r="H3" s="13"/>
      <c r="I3" s="119" t="s">
        <v>19</v>
      </c>
      <c r="J3" s="12"/>
      <c r="K3" s="13"/>
      <c r="L3" s="119" t="s">
        <v>20</v>
      </c>
      <c r="M3" s="12"/>
      <c r="N3" s="12"/>
      <c r="O3" s="2"/>
      <c r="P3" s="120"/>
      <c r="Q3" s="120"/>
      <c r="R3" s="120"/>
      <c r="S3" s="120"/>
      <c r="T3" s="120"/>
      <c r="U3" s="120"/>
      <c r="V3" s="120"/>
      <c r="W3" s="2"/>
      <c r="X3" s="2"/>
    </row>
    <row r="4">
      <c r="E4" s="121">
        <f>VLOOKUP("Current Week",$A$11:$V$875,match("SALES",$A$11:$V$11,0),FALSE)</f>
        <v>5512.65</v>
      </c>
      <c r="F4" s="12"/>
      <c r="G4" s="13"/>
      <c r="H4" s="120"/>
      <c r="I4" s="122">
        <f>VLOOKUP("Current Week",$A$11:$V$875,match("ORDERS",$A$11:$V$11,0),FALSE)</f>
        <v>191</v>
      </c>
      <c r="J4" s="12"/>
      <c r="K4" s="13"/>
      <c r="L4" s="122">
        <f>VLOOKUP("Current Week",$A$11:$V$875,match("UNITS SOLD",$A$11:$V$11,0),FALSE)</f>
        <v>208</v>
      </c>
      <c r="M4" s="12"/>
      <c r="N4" s="12"/>
      <c r="P4" s="120"/>
      <c r="Q4" s="120"/>
      <c r="R4" s="120"/>
      <c r="S4" s="120"/>
      <c r="T4" s="120"/>
      <c r="U4" s="120"/>
      <c r="V4" s="120"/>
      <c r="W4" s="2"/>
      <c r="X4" s="2"/>
    </row>
    <row r="5">
      <c r="E5" s="123" t="str">
        <f>(E4-(VLOOKUP("Previous Week",$A$11:$V875,match("SALES",$A$11:$V$11,0),FALSE)))/E4</f>
        <v>#N/A</v>
      </c>
      <c r="F5" s="12"/>
      <c r="G5" s="12"/>
      <c r="H5" s="13"/>
      <c r="I5" s="123" t="str">
        <f>(I4-(VLOOKUP("Previous Week",$A$11:$V875,match("ORDERS",$A$11:$V$11,0),FALSE)))/I4</f>
        <v>#N/A</v>
      </c>
      <c r="J5" s="12"/>
      <c r="K5" s="13"/>
      <c r="L5" s="123" t="str">
        <f>(L4-(VLOOKUP("Previous Week",$A$11:$V875,match("UNITS SOLD",$A$11:$V$11,0),FALSE)))/L4</f>
        <v>#N/A</v>
      </c>
      <c r="M5" s="12"/>
      <c r="N5" s="12"/>
      <c r="P5" s="120"/>
      <c r="Q5" s="120"/>
      <c r="R5" s="120"/>
      <c r="S5" s="120"/>
      <c r="T5" s="120"/>
      <c r="U5" s="120"/>
      <c r="V5" s="120"/>
      <c r="W5" s="2"/>
      <c r="X5" s="2"/>
    </row>
    <row r="6">
      <c r="E6" s="120"/>
      <c r="F6" s="120"/>
      <c r="G6" s="120"/>
      <c r="H6" s="120"/>
      <c r="I6" s="120"/>
      <c r="J6" s="120"/>
      <c r="K6" s="120"/>
      <c r="L6" s="76"/>
      <c r="M6" s="12"/>
      <c r="N6" s="13"/>
      <c r="P6" s="120"/>
      <c r="Q6" s="120"/>
      <c r="R6" s="120"/>
      <c r="S6" s="120"/>
      <c r="T6" s="120"/>
      <c r="U6" s="120"/>
      <c r="V6" s="120"/>
      <c r="W6" s="2"/>
      <c r="X6" s="2"/>
    </row>
    <row r="7">
      <c r="E7" s="119" t="s">
        <v>21</v>
      </c>
      <c r="F7" s="12"/>
      <c r="G7" s="12"/>
      <c r="H7" s="13"/>
      <c r="I7" s="119" t="s">
        <v>22</v>
      </c>
      <c r="J7" s="12"/>
      <c r="K7" s="13"/>
      <c r="L7" s="119" t="s">
        <v>23</v>
      </c>
      <c r="M7" s="12"/>
      <c r="N7" s="12"/>
      <c r="P7" s="120"/>
      <c r="Q7" s="120"/>
      <c r="R7" s="120"/>
      <c r="S7" s="120"/>
      <c r="T7" s="120"/>
      <c r="U7" s="120"/>
      <c r="V7" s="120"/>
      <c r="W7" s="2"/>
      <c r="X7" s="2"/>
    </row>
    <row r="8">
      <c r="E8" s="121">
        <f>VLOOKUP("Current Week",$A$11:$V$875,match("AD SALES",$A$11:$V$11,0),FALSE)</f>
        <v>4039.13</v>
      </c>
      <c r="F8" s="12"/>
      <c r="G8" s="13"/>
      <c r="H8" s="120"/>
      <c r="I8" s="121">
        <f>VLOOKUP("Current Week",$A$11:$V$875,match("SP AD SPEND",$A$11:$V$11,0),FALSE)</f>
        <v>1517.63</v>
      </c>
      <c r="J8" s="12"/>
      <c r="K8" s="13"/>
      <c r="L8" s="124" t="str">
        <f>K8/G8</f>
        <v>#DIV/0!</v>
      </c>
      <c r="M8" s="12"/>
      <c r="N8" s="12"/>
      <c r="P8" s="120"/>
      <c r="Q8" s="120"/>
      <c r="R8" s="120"/>
      <c r="S8" s="120"/>
      <c r="T8" s="120"/>
      <c r="U8" s="120"/>
      <c r="V8" s="120"/>
      <c r="W8" s="2"/>
      <c r="X8" s="2"/>
    </row>
    <row r="9">
      <c r="E9" s="125" t="str">
        <f>(E8-(VLOOKUP("Previous Week",$A$11:$V875,match("AD SALES",$A$11:$V$11,0),FALSE)))/E8</f>
        <v>#N/A</v>
      </c>
      <c r="H9" s="126"/>
      <c r="I9" s="127" t="str">
        <f>(I8-(VLOOKUP("Previous Week",$A$11:$V875,match("SP AD SPEND",$A$11:$V$11,0),FALSE)))/I8</f>
        <v>#N/A</v>
      </c>
      <c r="J9" s="21"/>
      <c r="K9" s="23"/>
      <c r="L9" s="128" t="str">
        <f>(L8-(VLOOKUP("Previous Week",$A$11:$V875,match("ACoS",$A$11:$V$11,0),FALSE)))/L8</f>
        <v>#DIV/0!</v>
      </c>
      <c r="M9" s="21"/>
      <c r="N9" s="21"/>
      <c r="P9" s="129"/>
      <c r="Q9" s="129"/>
      <c r="R9" s="129"/>
      <c r="S9" s="129"/>
      <c r="T9" s="129"/>
      <c r="U9" s="129"/>
      <c r="V9" s="129"/>
      <c r="W9" s="2"/>
      <c r="X9" s="2"/>
    </row>
    <row r="10">
      <c r="A10" s="130"/>
      <c r="B10" s="131"/>
      <c r="C10" s="131"/>
      <c r="D10" s="132"/>
      <c r="E10" s="132"/>
      <c r="F10" s="133" t="s">
        <v>24</v>
      </c>
      <c r="G10" s="134"/>
      <c r="H10" s="134"/>
      <c r="I10" s="134"/>
      <c r="J10" s="134"/>
      <c r="K10" s="134"/>
      <c r="L10" s="134"/>
      <c r="M10" s="135"/>
      <c r="N10" s="136" t="s">
        <v>25</v>
      </c>
      <c r="O10" s="134"/>
      <c r="P10" s="134"/>
      <c r="Q10" s="134"/>
      <c r="R10" s="134"/>
      <c r="S10" s="134"/>
      <c r="T10" s="135"/>
      <c r="U10" s="137" t="s">
        <v>26</v>
      </c>
      <c r="V10" s="29"/>
      <c r="W10" s="2"/>
      <c r="X10" s="2"/>
    </row>
    <row r="11">
      <c r="A11" s="138" t="s">
        <v>27</v>
      </c>
      <c r="B11" s="139" t="s">
        <v>58</v>
      </c>
      <c r="C11" s="140" t="s">
        <v>8</v>
      </c>
      <c r="D11" s="139" t="s">
        <v>9</v>
      </c>
      <c r="E11" s="141"/>
      <c r="F11" s="142" t="s">
        <v>29</v>
      </c>
      <c r="G11" s="142" t="s">
        <v>30</v>
      </c>
      <c r="H11" s="142" t="s">
        <v>31</v>
      </c>
      <c r="I11" s="142" t="s">
        <v>32</v>
      </c>
      <c r="J11" s="142" t="s">
        <v>59</v>
      </c>
      <c r="K11" s="142" t="s">
        <v>34</v>
      </c>
      <c r="L11" s="142" t="s">
        <v>35</v>
      </c>
      <c r="M11" s="139" t="s">
        <v>36</v>
      </c>
      <c r="N11" s="142" t="s">
        <v>37</v>
      </c>
      <c r="O11" s="142" t="s">
        <v>38</v>
      </c>
      <c r="P11" s="142" t="s">
        <v>39</v>
      </c>
      <c r="Q11" s="142" t="s">
        <v>40</v>
      </c>
      <c r="R11" s="142" t="s">
        <v>23</v>
      </c>
      <c r="S11" s="142" t="s">
        <v>41</v>
      </c>
      <c r="T11" s="139" t="s">
        <v>42</v>
      </c>
      <c r="U11" s="140" t="s">
        <v>29</v>
      </c>
      <c r="V11" s="139" t="s">
        <v>43</v>
      </c>
      <c r="W11" s="2"/>
      <c r="X11" s="2"/>
    </row>
    <row r="12" hidden="1" outlineLevel="1">
      <c r="A12" s="56" t="str">
        <f>iferror(if(B12&gt;0,month(B12)&amp;"-"&amp;year(B12),B12),)</f>
        <v>12-2024</v>
      </c>
      <c r="B12" s="143">
        <v>45648.0</v>
      </c>
      <c r="C12" s="144"/>
      <c r="D12" s="145" t="s">
        <v>60</v>
      </c>
      <c r="E12" s="58"/>
      <c r="F12" s="146"/>
      <c r="G12" s="147"/>
      <c r="H12" s="147"/>
      <c r="I12" s="148"/>
      <c r="J12" s="149"/>
      <c r="K12" s="149"/>
      <c r="L12" s="150"/>
      <c r="M12" s="151"/>
      <c r="N12" s="152">
        <v>363.6</v>
      </c>
      <c r="O12" s="152">
        <v>901.64</v>
      </c>
      <c r="P12" s="153">
        <v>33.0</v>
      </c>
      <c r="Q12" s="154">
        <v>102249.0</v>
      </c>
      <c r="R12" s="155">
        <f t="shared" ref="R12:R107" si="1">N12/O12</f>
        <v>0.4032651613</v>
      </c>
      <c r="S12" s="156">
        <f t="shared" ref="S12:S107" si="2">O12/N12</f>
        <v>2.479757976</v>
      </c>
      <c r="T12" s="155" t="str">
        <f>O12/F12</f>
        <v>#DIV/0!</v>
      </c>
      <c r="U12" s="76"/>
      <c r="V12" s="77"/>
      <c r="W12" s="2"/>
      <c r="X12" s="2"/>
      <c r="Y12" s="2"/>
      <c r="Z12" s="2"/>
    </row>
    <row r="13" hidden="1" outlineLevel="1">
      <c r="A13" s="157"/>
      <c r="B13" s="158"/>
      <c r="C13" s="159" t="s">
        <v>12</v>
      </c>
      <c r="D13" s="160" t="s">
        <v>13</v>
      </c>
      <c r="E13" s="58"/>
      <c r="F13" s="161">
        <v>91.96</v>
      </c>
      <c r="G13" s="162">
        <v>4.0</v>
      </c>
      <c r="H13" s="162">
        <v>4.0</v>
      </c>
      <c r="I13" s="163">
        <f t="shared" ref="I13:I16" si="3">G13/H13</f>
        <v>1</v>
      </c>
      <c r="J13" s="164">
        <f t="shared" ref="J13:J16" si="4">F13/H13</f>
        <v>22.99</v>
      </c>
      <c r="K13" s="164">
        <f t="shared" ref="K13:K16" si="5">F13/G13</f>
        <v>22.99</v>
      </c>
      <c r="L13" s="165">
        <v>151.0</v>
      </c>
      <c r="M13" s="155">
        <f t="shared" ref="M13:M16" si="6">G13/L13</f>
        <v>0.02649006623</v>
      </c>
      <c r="N13" s="166">
        <v>6.46</v>
      </c>
      <c r="O13" s="166">
        <v>0.0</v>
      </c>
      <c r="P13" s="167">
        <v>0.0</v>
      </c>
      <c r="Q13" s="168">
        <v>2564.0</v>
      </c>
      <c r="R13" s="155" t="str">
        <f t="shared" si="1"/>
        <v>#DIV/0!</v>
      </c>
      <c r="S13" s="156">
        <f t="shared" si="2"/>
        <v>0</v>
      </c>
      <c r="T13" s="155" t="str">
        <f>#REF!/#REF!</f>
        <v>#REF!</v>
      </c>
      <c r="U13" s="76"/>
      <c r="V13" s="77"/>
      <c r="W13" s="2"/>
      <c r="X13" s="2"/>
      <c r="Y13" s="2"/>
      <c r="Z13" s="2"/>
    </row>
    <row r="14" hidden="1" outlineLevel="1">
      <c r="A14" s="157" t="str">
        <f>iferror(if(D14&gt;0,month(D14)&amp;"-"&amp;year(D14),D14),)</f>
        <v/>
      </c>
      <c r="B14" s="158"/>
      <c r="C14" s="169" t="s">
        <v>61</v>
      </c>
      <c r="D14" s="170" t="s">
        <v>62</v>
      </c>
      <c r="E14" s="68"/>
      <c r="F14" s="164">
        <v>323.88</v>
      </c>
      <c r="G14" s="171">
        <v>13.0</v>
      </c>
      <c r="H14" s="171">
        <v>11.0</v>
      </c>
      <c r="I14" s="163">
        <f t="shared" si="3"/>
        <v>1.181818182</v>
      </c>
      <c r="J14" s="164">
        <f t="shared" si="4"/>
        <v>29.44363636</v>
      </c>
      <c r="K14" s="164">
        <f t="shared" si="5"/>
        <v>24.91384615</v>
      </c>
      <c r="L14" s="165">
        <v>270.0</v>
      </c>
      <c r="M14" s="155">
        <f t="shared" si="6"/>
        <v>0.04814814815</v>
      </c>
      <c r="N14" s="172">
        <v>15.08</v>
      </c>
      <c r="O14" s="172">
        <v>26.99</v>
      </c>
      <c r="P14" s="173">
        <v>1.0</v>
      </c>
      <c r="Q14" s="174">
        <v>5920.0</v>
      </c>
      <c r="R14" s="155">
        <f t="shared" si="1"/>
        <v>0.5587254539</v>
      </c>
      <c r="S14" s="156">
        <f t="shared" si="2"/>
        <v>1.789787798</v>
      </c>
      <c r="T14" s="155">
        <f t="shared" ref="T14:T17" si="7">O14/F14</f>
        <v>0.08333333333</v>
      </c>
      <c r="U14" s="76"/>
      <c r="V14" s="77"/>
      <c r="W14" s="2"/>
      <c r="X14" s="2"/>
      <c r="Y14" s="2"/>
      <c r="Z14" s="2"/>
    </row>
    <row r="15" hidden="1" outlineLevel="1">
      <c r="A15" s="175"/>
      <c r="B15" s="158"/>
      <c r="C15" s="176" t="s">
        <v>14</v>
      </c>
      <c r="D15" s="177" t="s">
        <v>15</v>
      </c>
      <c r="E15" s="68"/>
      <c r="F15" s="164">
        <v>299.88</v>
      </c>
      <c r="G15" s="171">
        <v>12.0</v>
      </c>
      <c r="H15" s="171">
        <v>12.0</v>
      </c>
      <c r="I15" s="163">
        <f t="shared" si="3"/>
        <v>1</v>
      </c>
      <c r="J15" s="164">
        <f t="shared" si="4"/>
        <v>24.99</v>
      </c>
      <c r="K15" s="164">
        <f t="shared" si="5"/>
        <v>24.99</v>
      </c>
      <c r="L15" s="165">
        <v>189.0</v>
      </c>
      <c r="M15" s="155">
        <f t="shared" si="6"/>
        <v>0.06349206349</v>
      </c>
      <c r="N15" s="178">
        <v>45.22</v>
      </c>
      <c r="O15" s="178">
        <v>99.96</v>
      </c>
      <c r="P15" s="179">
        <v>4.0</v>
      </c>
      <c r="Q15" s="180">
        <v>9200.0</v>
      </c>
      <c r="R15" s="155">
        <f t="shared" si="1"/>
        <v>0.4523809524</v>
      </c>
      <c r="S15" s="156">
        <f t="shared" si="2"/>
        <v>2.210526316</v>
      </c>
      <c r="T15" s="155">
        <f t="shared" si="7"/>
        <v>0.3333333333</v>
      </c>
      <c r="U15" s="76"/>
      <c r="V15" s="77"/>
      <c r="W15" s="2"/>
      <c r="X15" s="2"/>
      <c r="Y15" s="2"/>
      <c r="Z15" s="2"/>
    </row>
    <row r="16" hidden="1" outlineLevel="1">
      <c r="A16" s="56" t="str">
        <f t="shared" ref="A16:A17" si="8">iferror(if(B16&gt;0,month(B16)&amp;"-"&amp;year(B16),B16),)</f>
        <v>12-2024</v>
      </c>
      <c r="B16" s="143">
        <v>45654.0</v>
      </c>
      <c r="C16" s="181" t="s">
        <v>63</v>
      </c>
      <c r="D16" s="182" t="s">
        <v>64</v>
      </c>
      <c r="E16" s="68"/>
      <c r="F16" s="164">
        <v>524.79</v>
      </c>
      <c r="G16" s="171">
        <v>22.0</v>
      </c>
      <c r="H16" s="171">
        <v>18.0</v>
      </c>
      <c r="I16" s="163">
        <f t="shared" si="3"/>
        <v>1.222222222</v>
      </c>
      <c r="J16" s="164">
        <f t="shared" si="4"/>
        <v>29.155</v>
      </c>
      <c r="K16" s="164">
        <f t="shared" si="5"/>
        <v>23.85409091</v>
      </c>
      <c r="L16" s="165">
        <v>270.0</v>
      </c>
      <c r="M16" s="155">
        <f t="shared" si="6"/>
        <v>0.08148148148</v>
      </c>
      <c r="N16" s="183">
        <v>26.59</v>
      </c>
      <c r="O16" s="183">
        <v>99.96</v>
      </c>
      <c r="P16" s="184">
        <v>3.0</v>
      </c>
      <c r="Q16" s="185">
        <v>7230.0</v>
      </c>
      <c r="R16" s="155">
        <f t="shared" si="1"/>
        <v>0.2660064026</v>
      </c>
      <c r="S16" s="156">
        <f t="shared" si="2"/>
        <v>3.759308011</v>
      </c>
      <c r="T16" s="155">
        <f t="shared" si="7"/>
        <v>0.1904761905</v>
      </c>
      <c r="U16" s="76"/>
      <c r="V16" s="77"/>
      <c r="W16" s="2"/>
      <c r="X16" s="2"/>
      <c r="Y16" s="2"/>
      <c r="Z16" s="2"/>
    </row>
    <row r="17" hidden="1" outlineLevel="1">
      <c r="A17" s="56" t="str">
        <f t="shared" si="8"/>
        <v>12-2025</v>
      </c>
      <c r="B17" s="143">
        <v>46012.0</v>
      </c>
      <c r="C17" s="144"/>
      <c r="D17" s="145" t="s">
        <v>60</v>
      </c>
      <c r="E17" s="58"/>
      <c r="F17" s="146"/>
      <c r="G17" s="147"/>
      <c r="H17" s="147"/>
      <c r="I17" s="148"/>
      <c r="J17" s="149"/>
      <c r="K17" s="149"/>
      <c r="L17" s="150"/>
      <c r="M17" s="151"/>
      <c r="N17" s="152">
        <v>868.43</v>
      </c>
      <c r="O17" s="152">
        <v>1870.22</v>
      </c>
      <c r="P17" s="153">
        <v>64.0</v>
      </c>
      <c r="Q17" s="154">
        <v>196186.0</v>
      </c>
      <c r="R17" s="155">
        <f t="shared" si="1"/>
        <v>0.4643464405</v>
      </c>
      <c r="S17" s="156">
        <f t="shared" si="2"/>
        <v>2.153564478</v>
      </c>
      <c r="T17" s="155" t="str">
        <f t="shared" si="7"/>
        <v>#DIV/0!</v>
      </c>
      <c r="U17" s="76"/>
      <c r="V17" s="77"/>
      <c r="W17" s="2"/>
      <c r="X17" s="2"/>
      <c r="Y17" s="2"/>
      <c r="Z17" s="2"/>
    </row>
    <row r="18" hidden="1" outlineLevel="1">
      <c r="A18" s="157"/>
      <c r="B18" s="158"/>
      <c r="C18" s="159" t="s">
        <v>12</v>
      </c>
      <c r="D18" s="160" t="s">
        <v>13</v>
      </c>
      <c r="E18" s="58"/>
      <c r="F18" s="161">
        <v>156.0</v>
      </c>
      <c r="G18" s="162">
        <v>8.0</v>
      </c>
      <c r="H18" s="162">
        <v>8.0</v>
      </c>
      <c r="I18" s="163">
        <f t="shared" ref="I18:I23" si="9">G18/H18</f>
        <v>1</v>
      </c>
      <c r="J18" s="164">
        <f t="shared" ref="J18:J22" si="10">F18/H18</f>
        <v>19.5</v>
      </c>
      <c r="K18" s="164">
        <v>173.0</v>
      </c>
      <c r="L18" s="165">
        <v>216.0</v>
      </c>
      <c r="M18" s="155">
        <f t="shared" ref="M18:M23" si="11">G18/L18</f>
        <v>0.03703703704</v>
      </c>
      <c r="N18" s="166">
        <v>2.13</v>
      </c>
      <c r="O18" s="166">
        <v>0.0</v>
      </c>
      <c r="P18" s="167">
        <v>0.0</v>
      </c>
      <c r="Q18" s="168">
        <v>637.0</v>
      </c>
      <c r="R18" s="155" t="str">
        <f t="shared" si="1"/>
        <v>#DIV/0!</v>
      </c>
      <c r="S18" s="156">
        <f t="shared" si="2"/>
        <v>0</v>
      </c>
      <c r="T18" s="155" t="str">
        <f>#REF!/#REF!</f>
        <v>#REF!</v>
      </c>
      <c r="U18" s="76"/>
      <c r="V18" s="77"/>
      <c r="W18" s="2"/>
      <c r="X18" s="2"/>
      <c r="Y18" s="2"/>
      <c r="Z18" s="2"/>
    </row>
    <row r="19" hidden="1" outlineLevel="1">
      <c r="A19" s="157" t="str">
        <f>iferror(if(D19&gt;0,month(D19)&amp;"-"&amp;year(D19),D19),)</f>
        <v/>
      </c>
      <c r="B19" s="158"/>
      <c r="C19" s="169" t="s">
        <v>61</v>
      </c>
      <c r="D19" s="170" t="s">
        <v>62</v>
      </c>
      <c r="E19" s="68"/>
      <c r="F19" s="164">
        <v>1133.58</v>
      </c>
      <c r="G19" s="171">
        <v>42.0</v>
      </c>
      <c r="H19" s="171">
        <v>36.0</v>
      </c>
      <c r="I19" s="163">
        <f t="shared" si="9"/>
        <v>1.166666667</v>
      </c>
      <c r="J19" s="164">
        <f t="shared" si="10"/>
        <v>31.48833333</v>
      </c>
      <c r="K19" s="164">
        <f t="shared" ref="K19:K22" si="12">F19/G19</f>
        <v>26.99</v>
      </c>
      <c r="L19" s="165">
        <v>343.0</v>
      </c>
      <c r="M19" s="155">
        <f t="shared" si="11"/>
        <v>0.1224489796</v>
      </c>
      <c r="N19" s="172">
        <v>92.31</v>
      </c>
      <c r="O19" s="172">
        <v>221.92</v>
      </c>
      <c r="P19" s="173">
        <v>7.0</v>
      </c>
      <c r="Q19" s="174">
        <v>17142.0</v>
      </c>
      <c r="R19" s="155">
        <f t="shared" si="1"/>
        <v>0.4159607066</v>
      </c>
      <c r="S19" s="156">
        <f t="shared" si="2"/>
        <v>2.404073232</v>
      </c>
      <c r="T19" s="155">
        <f t="shared" ref="T19:T24" si="13">O19/F19</f>
        <v>0.1957691561</v>
      </c>
      <c r="U19" s="76"/>
      <c r="V19" s="77"/>
      <c r="W19" s="2"/>
      <c r="X19" s="2"/>
      <c r="Y19" s="2"/>
      <c r="Z19" s="2"/>
    </row>
    <row r="20" hidden="1" outlineLevel="1">
      <c r="A20" s="175"/>
      <c r="B20" s="158"/>
      <c r="C20" s="176" t="s">
        <v>14</v>
      </c>
      <c r="D20" s="177" t="s">
        <v>15</v>
      </c>
      <c r="E20" s="68"/>
      <c r="F20" s="164">
        <v>361.25</v>
      </c>
      <c r="G20" s="171">
        <v>17.0</v>
      </c>
      <c r="H20" s="171">
        <v>15.0</v>
      </c>
      <c r="I20" s="163">
        <f t="shared" si="9"/>
        <v>1.133333333</v>
      </c>
      <c r="J20" s="164">
        <f t="shared" si="10"/>
        <v>24.08333333</v>
      </c>
      <c r="K20" s="164">
        <f t="shared" si="12"/>
        <v>21.25</v>
      </c>
      <c r="L20" s="165">
        <v>273.0</v>
      </c>
      <c r="M20" s="155">
        <f t="shared" si="11"/>
        <v>0.06227106227</v>
      </c>
      <c r="N20" s="178">
        <v>5.31</v>
      </c>
      <c r="O20" s="178">
        <v>0.0</v>
      </c>
      <c r="P20" s="179">
        <v>0.0</v>
      </c>
      <c r="Q20" s="180">
        <v>2996.0</v>
      </c>
      <c r="R20" s="155" t="str">
        <f t="shared" si="1"/>
        <v>#DIV/0!</v>
      </c>
      <c r="S20" s="156">
        <f t="shared" si="2"/>
        <v>0</v>
      </c>
      <c r="T20" s="155">
        <f t="shared" si="13"/>
        <v>0</v>
      </c>
      <c r="U20" s="76"/>
      <c r="V20" s="77"/>
      <c r="W20" s="2"/>
      <c r="X20" s="2"/>
      <c r="Y20" s="2"/>
      <c r="Z20" s="2"/>
    </row>
    <row r="21" hidden="1" outlineLevel="1">
      <c r="A21" s="175"/>
      <c r="B21" s="158"/>
      <c r="C21" s="181" t="s">
        <v>63</v>
      </c>
      <c r="D21" s="182" t="s">
        <v>64</v>
      </c>
      <c r="E21" s="68"/>
      <c r="F21" s="164">
        <v>549.78</v>
      </c>
      <c r="G21" s="171">
        <v>22.0</v>
      </c>
      <c r="H21" s="171">
        <v>17.0</v>
      </c>
      <c r="I21" s="163">
        <f t="shared" si="9"/>
        <v>1.294117647</v>
      </c>
      <c r="J21" s="164">
        <f t="shared" si="10"/>
        <v>32.34</v>
      </c>
      <c r="K21" s="164">
        <f t="shared" si="12"/>
        <v>24.99</v>
      </c>
      <c r="L21" s="165">
        <v>335.0</v>
      </c>
      <c r="M21" s="155">
        <f t="shared" si="11"/>
        <v>0.06567164179</v>
      </c>
      <c r="N21" s="183">
        <v>16.2</v>
      </c>
      <c r="O21" s="183">
        <v>49.98</v>
      </c>
      <c r="P21" s="184">
        <v>1.0</v>
      </c>
      <c r="Q21" s="185">
        <v>3317.0</v>
      </c>
      <c r="R21" s="155">
        <f t="shared" si="1"/>
        <v>0.3241296519</v>
      </c>
      <c r="S21" s="156">
        <f t="shared" si="2"/>
        <v>3.085185185</v>
      </c>
      <c r="T21" s="155">
        <f t="shared" si="13"/>
        <v>0.09090909091</v>
      </c>
      <c r="U21" s="76"/>
      <c r="V21" s="77"/>
      <c r="W21" s="2"/>
      <c r="X21" s="2"/>
      <c r="Y21" s="2"/>
      <c r="Z21" s="2"/>
    </row>
    <row r="22" hidden="1" outlineLevel="1">
      <c r="A22" s="56" t="str">
        <f>iferror(if(B22&gt;0,month(B22)&amp;"-"&amp;year(B22),B22),)</f>
        <v>12-2025</v>
      </c>
      <c r="B22" s="143">
        <v>46018.0</v>
      </c>
      <c r="C22" s="186" t="s">
        <v>65</v>
      </c>
      <c r="D22" s="187" t="s">
        <v>66</v>
      </c>
      <c r="E22" s="68"/>
      <c r="F22" s="164">
        <v>329.5</v>
      </c>
      <c r="G22" s="171">
        <v>10.0</v>
      </c>
      <c r="H22" s="171">
        <v>10.0</v>
      </c>
      <c r="I22" s="163">
        <f t="shared" si="9"/>
        <v>1</v>
      </c>
      <c r="J22" s="164">
        <f t="shared" si="10"/>
        <v>32.95</v>
      </c>
      <c r="K22" s="164">
        <f t="shared" si="12"/>
        <v>32.95</v>
      </c>
      <c r="L22" s="165">
        <v>353.0</v>
      </c>
      <c r="M22" s="155">
        <f t="shared" si="11"/>
        <v>0.0283286119</v>
      </c>
      <c r="N22" s="188">
        <v>3.52</v>
      </c>
      <c r="O22" s="188">
        <v>0.0</v>
      </c>
      <c r="P22" s="189">
        <v>0.0</v>
      </c>
      <c r="Q22" s="189">
        <v>464.0</v>
      </c>
      <c r="R22" s="155" t="str">
        <f t="shared" si="1"/>
        <v>#DIV/0!</v>
      </c>
      <c r="S22" s="156">
        <f t="shared" si="2"/>
        <v>0</v>
      </c>
      <c r="T22" s="155">
        <f t="shared" si="13"/>
        <v>0</v>
      </c>
      <c r="U22" s="76"/>
      <c r="V22" s="77"/>
      <c r="W22" s="2"/>
      <c r="X22" s="2"/>
      <c r="Y22" s="2"/>
      <c r="Z22" s="2"/>
    </row>
    <row r="23" collapsed="1">
      <c r="A23" s="78" t="s">
        <v>44</v>
      </c>
      <c r="B23" s="79"/>
      <c r="C23" s="79"/>
      <c r="D23" s="79"/>
      <c r="E23" s="80"/>
      <c r="F23" s="190">
        <f t="shared" ref="F23:H23" si="14">SUM(F17:F22)</f>
        <v>2530.11</v>
      </c>
      <c r="G23" s="191">
        <f t="shared" si="14"/>
        <v>99</v>
      </c>
      <c r="H23" s="191">
        <f t="shared" si="14"/>
        <v>86</v>
      </c>
      <c r="I23" s="192">
        <f t="shared" si="9"/>
        <v>1.151162791</v>
      </c>
      <c r="J23" s="193">
        <f>F23/G23</f>
        <v>25.55666667</v>
      </c>
      <c r="K23" s="193">
        <f>J23/I23</f>
        <v>22.20074074</v>
      </c>
      <c r="L23" s="194">
        <f>SUM(L17:L22)</f>
        <v>1520</v>
      </c>
      <c r="M23" s="195">
        <f t="shared" si="11"/>
        <v>0.06513157895</v>
      </c>
      <c r="N23" s="190">
        <f t="shared" ref="N23:P23" si="15">SUM(N17:N22)</f>
        <v>987.9</v>
      </c>
      <c r="O23" s="190">
        <f t="shared" si="15"/>
        <v>2142.12</v>
      </c>
      <c r="P23" s="196">
        <f t="shared" si="15"/>
        <v>72</v>
      </c>
      <c r="Q23" s="197">
        <f>sum(Q17:Q22)</f>
        <v>220742</v>
      </c>
      <c r="R23" s="195">
        <f t="shared" si="1"/>
        <v>0.4611786455</v>
      </c>
      <c r="S23" s="198">
        <f t="shared" si="2"/>
        <v>2.168357121</v>
      </c>
      <c r="T23" s="199">
        <f t="shared" si="13"/>
        <v>0.8466509361</v>
      </c>
      <c r="U23" s="80" t="str">
        <f>iferror((F23-#REF!)/F23,)</f>
        <v/>
      </c>
      <c r="V23" s="90" t="str">
        <f>iferror((H23-#REF!)/H23,)</f>
        <v/>
      </c>
      <c r="W23" s="2"/>
      <c r="X23" s="2"/>
      <c r="Y23" s="2"/>
      <c r="Z23" s="2"/>
    </row>
    <row r="24" hidden="1" outlineLevel="1">
      <c r="A24" s="56" t="str">
        <f>iferror(if(B24&gt;0,month(B24)&amp;"-"&amp;year(B24),B24),)</f>
        <v>12-2025</v>
      </c>
      <c r="B24" s="143">
        <v>46019.0</v>
      </c>
      <c r="C24" s="144"/>
      <c r="D24" s="145" t="s">
        <v>60</v>
      </c>
      <c r="E24" s="58"/>
      <c r="F24" s="146"/>
      <c r="G24" s="147"/>
      <c r="H24" s="147"/>
      <c r="I24" s="148"/>
      <c r="J24" s="149"/>
      <c r="K24" s="149"/>
      <c r="L24" s="150"/>
      <c r="M24" s="151"/>
      <c r="N24" s="152">
        <v>926.15</v>
      </c>
      <c r="O24" s="152">
        <v>2437.68</v>
      </c>
      <c r="P24" s="153">
        <v>86.0</v>
      </c>
      <c r="Q24" s="154">
        <v>234127.0</v>
      </c>
      <c r="R24" s="155">
        <f t="shared" si="1"/>
        <v>0.3799309179</v>
      </c>
      <c r="S24" s="156">
        <f t="shared" si="2"/>
        <v>2.632057442</v>
      </c>
      <c r="T24" s="155" t="str">
        <f t="shared" si="13"/>
        <v>#DIV/0!</v>
      </c>
      <c r="U24" s="76"/>
      <c r="V24" s="77"/>
      <c r="W24" s="2"/>
      <c r="X24" s="2"/>
      <c r="Y24" s="2"/>
      <c r="Z24" s="2"/>
    </row>
    <row r="25" hidden="1" outlineLevel="1">
      <c r="A25" s="157"/>
      <c r="B25" s="158"/>
      <c r="C25" s="159" t="s">
        <v>12</v>
      </c>
      <c r="D25" s="160" t="s">
        <v>13</v>
      </c>
      <c r="E25" s="58"/>
      <c r="F25" s="161">
        <v>526.5</v>
      </c>
      <c r="G25" s="162">
        <v>27.0</v>
      </c>
      <c r="H25" s="162">
        <v>23.0</v>
      </c>
      <c r="I25" s="163">
        <f t="shared" ref="I25:I30" si="16">G25/H25</f>
        <v>1.173913043</v>
      </c>
      <c r="J25" s="164">
        <f t="shared" ref="J25:J29" si="17">F25/H25</f>
        <v>22.89130435</v>
      </c>
      <c r="K25" s="164">
        <v>173.0</v>
      </c>
      <c r="L25" s="165">
        <v>309.0</v>
      </c>
      <c r="M25" s="155">
        <f t="shared" ref="M25:M30" si="18">G25/L25</f>
        <v>0.08737864078</v>
      </c>
      <c r="N25" s="166">
        <v>3.91</v>
      </c>
      <c r="O25" s="166">
        <v>19.5</v>
      </c>
      <c r="P25" s="167">
        <v>1.0</v>
      </c>
      <c r="Q25" s="168">
        <v>1806.0</v>
      </c>
      <c r="R25" s="155">
        <f t="shared" si="1"/>
        <v>0.2005128205</v>
      </c>
      <c r="S25" s="156">
        <f t="shared" si="2"/>
        <v>4.987212276</v>
      </c>
      <c r="T25" s="155" t="str">
        <f>#REF!/#REF!</f>
        <v>#REF!</v>
      </c>
      <c r="U25" s="76"/>
      <c r="V25" s="77"/>
      <c r="W25" s="2"/>
      <c r="X25" s="2"/>
      <c r="Y25" s="2"/>
      <c r="Z25" s="2"/>
    </row>
    <row r="26" hidden="1" outlineLevel="1">
      <c r="A26" s="157" t="str">
        <f>iferror(if(D26&gt;0,month(D26)&amp;"-"&amp;year(D26),D26),)</f>
        <v/>
      </c>
      <c r="B26" s="158"/>
      <c r="C26" s="169" t="s">
        <v>61</v>
      </c>
      <c r="D26" s="170" t="s">
        <v>62</v>
      </c>
      <c r="E26" s="68"/>
      <c r="F26" s="164">
        <v>1619.4</v>
      </c>
      <c r="G26" s="171">
        <v>60.0</v>
      </c>
      <c r="H26" s="171">
        <v>51.0</v>
      </c>
      <c r="I26" s="163">
        <f t="shared" si="16"/>
        <v>1.176470588</v>
      </c>
      <c r="J26" s="164">
        <f t="shared" si="17"/>
        <v>31.75294118</v>
      </c>
      <c r="K26" s="164">
        <f t="shared" ref="K26:K29" si="19">F26/G26</f>
        <v>26.99</v>
      </c>
      <c r="L26" s="165">
        <v>653.0</v>
      </c>
      <c r="M26" s="155">
        <f t="shared" si="18"/>
        <v>0.09188361409</v>
      </c>
      <c r="N26" s="172">
        <v>120.39</v>
      </c>
      <c r="O26" s="172">
        <v>296.89</v>
      </c>
      <c r="P26" s="173">
        <v>9.0</v>
      </c>
      <c r="Q26" s="174">
        <v>36763.0</v>
      </c>
      <c r="R26" s="155">
        <f t="shared" si="1"/>
        <v>0.4055037219</v>
      </c>
      <c r="S26" s="156">
        <f t="shared" si="2"/>
        <v>2.46606861</v>
      </c>
      <c r="T26" s="155">
        <f t="shared" ref="T26:T31" si="20">O26/F26</f>
        <v>0.1833333333</v>
      </c>
      <c r="U26" s="76"/>
      <c r="V26" s="77"/>
      <c r="W26" s="2"/>
      <c r="X26" s="2"/>
      <c r="Y26" s="2"/>
      <c r="Z26" s="2"/>
    </row>
    <row r="27" hidden="1" outlineLevel="1">
      <c r="A27" s="175"/>
      <c r="B27" s="158"/>
      <c r="C27" s="176" t="s">
        <v>14</v>
      </c>
      <c r="D27" s="177" t="s">
        <v>15</v>
      </c>
      <c r="E27" s="68"/>
      <c r="F27" s="164">
        <v>573.75</v>
      </c>
      <c r="G27" s="171">
        <v>27.0</v>
      </c>
      <c r="H27" s="171">
        <v>25.0</v>
      </c>
      <c r="I27" s="163">
        <f t="shared" si="16"/>
        <v>1.08</v>
      </c>
      <c r="J27" s="164">
        <f t="shared" si="17"/>
        <v>22.95</v>
      </c>
      <c r="K27" s="164">
        <f t="shared" si="19"/>
        <v>21.25</v>
      </c>
      <c r="L27" s="165">
        <v>342.0</v>
      </c>
      <c r="M27" s="155">
        <f t="shared" si="18"/>
        <v>0.07894736842</v>
      </c>
      <c r="N27" s="178">
        <v>1.57</v>
      </c>
      <c r="O27" s="178">
        <v>0.0</v>
      </c>
      <c r="P27" s="179">
        <v>0.0</v>
      </c>
      <c r="Q27" s="180">
        <v>3723.0</v>
      </c>
      <c r="R27" s="155" t="str">
        <f t="shared" si="1"/>
        <v>#DIV/0!</v>
      </c>
      <c r="S27" s="156">
        <f t="shared" si="2"/>
        <v>0</v>
      </c>
      <c r="T27" s="155">
        <f t="shared" si="20"/>
        <v>0</v>
      </c>
      <c r="U27" s="76"/>
      <c r="V27" s="77"/>
      <c r="W27" s="2"/>
      <c r="X27" s="2"/>
      <c r="Y27" s="2"/>
      <c r="Z27" s="2"/>
    </row>
    <row r="28" hidden="1" outlineLevel="1">
      <c r="A28" s="175"/>
      <c r="B28" s="158"/>
      <c r="C28" s="181" t="s">
        <v>63</v>
      </c>
      <c r="D28" s="182" t="s">
        <v>64</v>
      </c>
      <c r="E28" s="68"/>
      <c r="F28" s="164">
        <v>899.64</v>
      </c>
      <c r="G28" s="171">
        <v>36.0</v>
      </c>
      <c r="H28" s="171">
        <v>29.0</v>
      </c>
      <c r="I28" s="163">
        <f t="shared" si="16"/>
        <v>1.24137931</v>
      </c>
      <c r="J28" s="164">
        <f t="shared" si="17"/>
        <v>31.02206897</v>
      </c>
      <c r="K28" s="164">
        <f t="shared" si="19"/>
        <v>24.99</v>
      </c>
      <c r="L28" s="165">
        <v>550.0</v>
      </c>
      <c r="M28" s="155">
        <f t="shared" si="18"/>
        <v>0.06545454545</v>
      </c>
      <c r="N28" s="183">
        <v>44.47</v>
      </c>
      <c r="O28" s="183">
        <v>171.44</v>
      </c>
      <c r="P28" s="184">
        <v>7.0</v>
      </c>
      <c r="Q28" s="185">
        <v>13462.0</v>
      </c>
      <c r="R28" s="155">
        <f t="shared" si="1"/>
        <v>0.2593910406</v>
      </c>
      <c r="S28" s="156">
        <f t="shared" si="2"/>
        <v>3.85518327</v>
      </c>
      <c r="T28" s="155">
        <f t="shared" si="20"/>
        <v>0.1905651149</v>
      </c>
      <c r="U28" s="76"/>
      <c r="V28" s="77"/>
      <c r="W28" s="2"/>
      <c r="X28" s="2"/>
      <c r="Y28" s="2"/>
      <c r="Z28" s="2"/>
    </row>
    <row r="29" hidden="1" outlineLevel="1">
      <c r="A29" s="56" t="str">
        <f>iferror(if(B29&gt;0,month(B29)&amp;"-"&amp;year(B29),B29),)</f>
        <v>1-2026</v>
      </c>
      <c r="B29" s="143">
        <v>46025.0</v>
      </c>
      <c r="C29" s="186" t="s">
        <v>65</v>
      </c>
      <c r="D29" s="187" t="s">
        <v>66</v>
      </c>
      <c r="E29" s="68"/>
      <c r="F29" s="164">
        <v>98.97</v>
      </c>
      <c r="G29" s="171">
        <v>3.0</v>
      </c>
      <c r="H29" s="171">
        <v>3.0</v>
      </c>
      <c r="I29" s="163">
        <f t="shared" si="16"/>
        <v>1</v>
      </c>
      <c r="J29" s="164">
        <f t="shared" si="17"/>
        <v>32.99</v>
      </c>
      <c r="K29" s="164">
        <f t="shared" si="19"/>
        <v>32.99</v>
      </c>
      <c r="L29" s="165">
        <v>48.0</v>
      </c>
      <c r="M29" s="155">
        <f t="shared" si="18"/>
        <v>0.0625</v>
      </c>
      <c r="N29" s="188">
        <v>0.0</v>
      </c>
      <c r="O29" s="188">
        <v>0.0</v>
      </c>
      <c r="P29" s="189">
        <v>0.0</v>
      </c>
      <c r="Q29" s="189">
        <v>58.0</v>
      </c>
      <c r="R29" s="155" t="str">
        <f t="shared" si="1"/>
        <v>#DIV/0!</v>
      </c>
      <c r="S29" s="156" t="str">
        <f t="shared" si="2"/>
        <v>#DIV/0!</v>
      </c>
      <c r="T29" s="155">
        <f t="shared" si="20"/>
        <v>0</v>
      </c>
      <c r="U29" s="76"/>
      <c r="V29" s="77"/>
      <c r="W29" s="2"/>
      <c r="X29" s="2"/>
      <c r="Y29" s="2"/>
      <c r="Z29" s="2"/>
    </row>
    <row r="30" collapsed="1">
      <c r="A30" s="200" t="s">
        <v>45</v>
      </c>
      <c r="B30" s="79"/>
      <c r="C30" s="79"/>
      <c r="D30" s="79"/>
      <c r="E30" s="80"/>
      <c r="F30" s="190">
        <f t="shared" ref="F30:H30" si="21">SUM(F24:F29)</f>
        <v>3718.26</v>
      </c>
      <c r="G30" s="191">
        <f t="shared" si="21"/>
        <v>153</v>
      </c>
      <c r="H30" s="191">
        <f t="shared" si="21"/>
        <v>131</v>
      </c>
      <c r="I30" s="192">
        <f t="shared" si="16"/>
        <v>1.167938931</v>
      </c>
      <c r="J30" s="193">
        <f>F30/G30</f>
        <v>24.30235294</v>
      </c>
      <c r="K30" s="193">
        <f>J30/I30</f>
        <v>20.80789696</v>
      </c>
      <c r="L30" s="194">
        <f>SUM(L24:L29)</f>
        <v>1902</v>
      </c>
      <c r="M30" s="195">
        <f t="shared" si="18"/>
        <v>0.08044164038</v>
      </c>
      <c r="N30" s="190">
        <f t="shared" ref="N30:P30" si="22">SUM(N24:N29)</f>
        <v>1096.49</v>
      </c>
      <c r="O30" s="190">
        <f t="shared" si="22"/>
        <v>2925.51</v>
      </c>
      <c r="P30" s="196">
        <f t="shared" si="22"/>
        <v>103</v>
      </c>
      <c r="Q30" s="197">
        <f>sum(Q24:Q29)</f>
        <v>289939</v>
      </c>
      <c r="R30" s="195">
        <f t="shared" si="1"/>
        <v>0.3748030258</v>
      </c>
      <c r="S30" s="198">
        <f t="shared" si="2"/>
        <v>2.668068108</v>
      </c>
      <c r="T30" s="199">
        <f t="shared" si="20"/>
        <v>0.7867954366</v>
      </c>
      <c r="U30" s="80" t="str">
        <f>iferror((F30-#REF!)/F30,)</f>
        <v/>
      </c>
      <c r="V30" s="90" t="str">
        <f>iferror((H30-#REF!)/H30,)</f>
        <v/>
      </c>
      <c r="W30" s="2"/>
      <c r="X30" s="2"/>
      <c r="Y30" s="2"/>
      <c r="Z30" s="2"/>
    </row>
    <row r="31" hidden="1" outlineLevel="1">
      <c r="A31" s="56" t="str">
        <f>iferror(if(B31&gt;0,month(B31)&amp;"-"&amp;year(B31),B31),)</f>
        <v>1-2026</v>
      </c>
      <c r="B31" s="143">
        <v>46026.0</v>
      </c>
      <c r="C31" s="144"/>
      <c r="D31" s="145" t="s">
        <v>60</v>
      </c>
      <c r="E31" s="58"/>
      <c r="F31" s="146"/>
      <c r="G31" s="147"/>
      <c r="H31" s="147"/>
      <c r="I31" s="148"/>
      <c r="J31" s="149"/>
      <c r="K31" s="149"/>
      <c r="L31" s="150"/>
      <c r="M31" s="151"/>
      <c r="N31" s="152">
        <v>820.25</v>
      </c>
      <c r="O31" s="152">
        <v>1599.13</v>
      </c>
      <c r="P31" s="153">
        <v>61.0</v>
      </c>
      <c r="Q31" s="154">
        <v>207819.0</v>
      </c>
      <c r="R31" s="155">
        <f t="shared" si="1"/>
        <v>0.5129351585</v>
      </c>
      <c r="S31" s="156">
        <f t="shared" si="2"/>
        <v>1.949564157</v>
      </c>
      <c r="T31" s="155" t="str">
        <f t="shared" si="20"/>
        <v>#DIV/0!</v>
      </c>
      <c r="U31" s="76"/>
      <c r="V31" s="77"/>
      <c r="W31" s="2"/>
      <c r="X31" s="2"/>
      <c r="Y31" s="2"/>
      <c r="Z31" s="2"/>
    </row>
    <row r="32" hidden="1" outlineLevel="1">
      <c r="A32" s="157"/>
      <c r="B32" s="158"/>
      <c r="C32" s="159" t="s">
        <v>12</v>
      </c>
      <c r="D32" s="160" t="s">
        <v>13</v>
      </c>
      <c r="E32" s="58"/>
      <c r="F32" s="161">
        <v>526.5</v>
      </c>
      <c r="G32" s="162">
        <v>27.0</v>
      </c>
      <c r="H32" s="162">
        <v>22.0</v>
      </c>
      <c r="I32" s="163">
        <f t="shared" ref="I32:I37" si="23">G32/H32</f>
        <v>1.227272727</v>
      </c>
      <c r="J32" s="164">
        <f t="shared" ref="J32:J36" si="24">F32/H32</f>
        <v>23.93181818</v>
      </c>
      <c r="K32" s="164">
        <v>173.0</v>
      </c>
      <c r="L32" s="165">
        <v>385.0</v>
      </c>
      <c r="M32" s="155">
        <f t="shared" ref="M32:M37" si="25">G32/L32</f>
        <v>0.07012987013</v>
      </c>
      <c r="N32" s="166">
        <v>8.61</v>
      </c>
      <c r="O32" s="166">
        <v>19.5</v>
      </c>
      <c r="P32" s="167">
        <v>1.0</v>
      </c>
      <c r="Q32" s="168">
        <v>4551.0</v>
      </c>
      <c r="R32" s="155">
        <f t="shared" si="1"/>
        <v>0.4415384615</v>
      </c>
      <c r="S32" s="156">
        <f t="shared" si="2"/>
        <v>2.264808362</v>
      </c>
      <c r="T32" s="155" t="str">
        <f>#REF!/#REF!</f>
        <v>#REF!</v>
      </c>
      <c r="U32" s="76"/>
      <c r="V32" s="77"/>
      <c r="W32" s="2"/>
      <c r="X32" s="2"/>
      <c r="Y32" s="2"/>
      <c r="Z32" s="2"/>
    </row>
    <row r="33" hidden="1" outlineLevel="1">
      <c r="A33" s="157" t="str">
        <f>iferror(if(D33&gt;0,month(D33)&amp;"-"&amp;year(D33),D33),)</f>
        <v/>
      </c>
      <c r="B33" s="158"/>
      <c r="C33" s="169" t="s">
        <v>61</v>
      </c>
      <c r="D33" s="170" t="s">
        <v>62</v>
      </c>
      <c r="E33" s="68"/>
      <c r="F33" s="164">
        <v>1106.59</v>
      </c>
      <c r="G33" s="171">
        <v>41.0</v>
      </c>
      <c r="H33" s="171">
        <v>35.0</v>
      </c>
      <c r="I33" s="163">
        <f t="shared" si="23"/>
        <v>1.171428571</v>
      </c>
      <c r="J33" s="164">
        <f t="shared" si="24"/>
        <v>31.61685714</v>
      </c>
      <c r="K33" s="164">
        <f t="shared" ref="K33:K36" si="26">F33/G33</f>
        <v>26.99</v>
      </c>
      <c r="L33" s="165">
        <v>455.0</v>
      </c>
      <c r="M33" s="155">
        <f t="shared" si="25"/>
        <v>0.09010989011</v>
      </c>
      <c r="N33" s="172">
        <v>93.91</v>
      </c>
      <c r="O33" s="172">
        <v>323.88</v>
      </c>
      <c r="P33" s="173">
        <v>10.0</v>
      </c>
      <c r="Q33" s="174">
        <v>21188.0</v>
      </c>
      <c r="R33" s="155">
        <f t="shared" si="1"/>
        <v>0.289953069</v>
      </c>
      <c r="S33" s="156">
        <f t="shared" si="2"/>
        <v>3.44883399</v>
      </c>
      <c r="T33" s="155">
        <f t="shared" ref="T33:T38" si="27">O33/F33</f>
        <v>0.2926829268</v>
      </c>
      <c r="U33" s="76"/>
      <c r="V33" s="77"/>
      <c r="W33" s="2"/>
      <c r="X33" s="2"/>
      <c r="Y33" s="2"/>
      <c r="Z33" s="2"/>
    </row>
    <row r="34" hidden="1" outlineLevel="1">
      <c r="A34" s="175"/>
      <c r="B34" s="158"/>
      <c r="C34" s="176" t="s">
        <v>14</v>
      </c>
      <c r="D34" s="177" t="s">
        <v>15</v>
      </c>
      <c r="E34" s="68"/>
      <c r="F34" s="164">
        <v>701.25</v>
      </c>
      <c r="G34" s="171">
        <v>33.0</v>
      </c>
      <c r="H34" s="171">
        <v>31.0</v>
      </c>
      <c r="I34" s="163">
        <f t="shared" si="23"/>
        <v>1.064516129</v>
      </c>
      <c r="J34" s="164">
        <f t="shared" si="24"/>
        <v>22.62096774</v>
      </c>
      <c r="K34" s="164">
        <f t="shared" si="26"/>
        <v>21.25</v>
      </c>
      <c r="L34" s="165">
        <v>453.0</v>
      </c>
      <c r="M34" s="155">
        <f t="shared" si="25"/>
        <v>0.07284768212</v>
      </c>
      <c r="N34" s="178">
        <v>4.71</v>
      </c>
      <c r="O34" s="178">
        <v>85.0</v>
      </c>
      <c r="P34" s="179">
        <v>3.0</v>
      </c>
      <c r="Q34" s="180">
        <v>6091.0</v>
      </c>
      <c r="R34" s="155">
        <f t="shared" si="1"/>
        <v>0.05541176471</v>
      </c>
      <c r="S34" s="156">
        <f t="shared" si="2"/>
        <v>18.04670913</v>
      </c>
      <c r="T34" s="155">
        <f t="shared" si="27"/>
        <v>0.1212121212</v>
      </c>
      <c r="U34" s="76"/>
      <c r="V34" s="77"/>
      <c r="W34" s="2"/>
      <c r="X34" s="2"/>
      <c r="Y34" s="2"/>
      <c r="Z34" s="2"/>
    </row>
    <row r="35" hidden="1" outlineLevel="1">
      <c r="A35" s="175"/>
      <c r="B35" s="158"/>
      <c r="C35" s="181" t="s">
        <v>63</v>
      </c>
      <c r="D35" s="182" t="s">
        <v>64</v>
      </c>
      <c r="E35" s="68"/>
      <c r="F35" s="164">
        <v>149.94</v>
      </c>
      <c r="G35" s="171">
        <v>6.0</v>
      </c>
      <c r="H35" s="171">
        <v>2.0</v>
      </c>
      <c r="I35" s="163">
        <f t="shared" si="23"/>
        <v>3</v>
      </c>
      <c r="J35" s="164">
        <f t="shared" si="24"/>
        <v>74.97</v>
      </c>
      <c r="K35" s="164">
        <f t="shared" si="26"/>
        <v>24.99</v>
      </c>
      <c r="L35" s="165">
        <v>37.0</v>
      </c>
      <c r="M35" s="155">
        <f t="shared" si="25"/>
        <v>0.1621621622</v>
      </c>
      <c r="N35" s="183">
        <v>2.98</v>
      </c>
      <c r="O35" s="183">
        <v>0.0</v>
      </c>
      <c r="P35" s="184">
        <v>0.0</v>
      </c>
      <c r="Q35" s="185">
        <v>488.0</v>
      </c>
      <c r="R35" s="155" t="str">
        <f t="shared" si="1"/>
        <v>#DIV/0!</v>
      </c>
      <c r="S35" s="156">
        <f t="shared" si="2"/>
        <v>0</v>
      </c>
      <c r="T35" s="155">
        <f t="shared" si="27"/>
        <v>0</v>
      </c>
      <c r="U35" s="76"/>
      <c r="V35" s="77"/>
      <c r="W35" s="2"/>
      <c r="X35" s="2"/>
      <c r="Y35" s="2"/>
      <c r="Z35" s="2"/>
    </row>
    <row r="36" hidden="1" outlineLevel="1">
      <c r="A36" s="56" t="str">
        <f>iferror(if(B36&gt;0,month(B36)&amp;"-"&amp;year(B36),B36),)</f>
        <v>1-2026</v>
      </c>
      <c r="B36" s="143">
        <v>46032.0</v>
      </c>
      <c r="C36" s="186" t="s">
        <v>65</v>
      </c>
      <c r="D36" s="187" t="s">
        <v>66</v>
      </c>
      <c r="E36" s="68"/>
      <c r="F36" s="164">
        <v>32.99</v>
      </c>
      <c r="G36" s="171">
        <v>1.0</v>
      </c>
      <c r="H36" s="171">
        <v>1.0</v>
      </c>
      <c r="I36" s="163">
        <f t="shared" si="23"/>
        <v>1</v>
      </c>
      <c r="J36" s="164">
        <f t="shared" si="24"/>
        <v>32.99</v>
      </c>
      <c r="K36" s="164">
        <f t="shared" si="26"/>
        <v>32.99</v>
      </c>
      <c r="L36" s="165">
        <v>12.0</v>
      </c>
      <c r="M36" s="155">
        <f t="shared" si="25"/>
        <v>0.08333333333</v>
      </c>
      <c r="N36" s="188">
        <v>0.0</v>
      </c>
      <c r="O36" s="188">
        <v>0.0</v>
      </c>
      <c r="P36" s="189">
        <v>0.0</v>
      </c>
      <c r="Q36" s="189">
        <v>95.0</v>
      </c>
      <c r="R36" s="155" t="str">
        <f t="shared" si="1"/>
        <v>#DIV/0!</v>
      </c>
      <c r="S36" s="156" t="str">
        <f t="shared" si="2"/>
        <v>#DIV/0!</v>
      </c>
      <c r="T36" s="155">
        <f t="shared" si="27"/>
        <v>0</v>
      </c>
      <c r="U36" s="76"/>
      <c r="V36" s="77"/>
      <c r="W36" s="2"/>
      <c r="X36" s="2"/>
      <c r="Y36" s="2"/>
      <c r="Z36" s="2"/>
    </row>
    <row r="37" collapsed="1">
      <c r="A37" s="200" t="s">
        <v>46</v>
      </c>
      <c r="B37" s="79"/>
      <c r="C37" s="79"/>
      <c r="D37" s="79"/>
      <c r="E37" s="80"/>
      <c r="F37" s="190">
        <f t="shared" ref="F37:H37" si="28">SUM(F31:F36)</f>
        <v>2517.27</v>
      </c>
      <c r="G37" s="191">
        <f t="shared" si="28"/>
        <v>108</v>
      </c>
      <c r="H37" s="191">
        <f t="shared" si="28"/>
        <v>91</v>
      </c>
      <c r="I37" s="192">
        <f t="shared" si="23"/>
        <v>1.186813187</v>
      </c>
      <c r="J37" s="193">
        <f>F37/G37</f>
        <v>23.30805556</v>
      </c>
      <c r="K37" s="193">
        <f>J37/I37</f>
        <v>19.63919496</v>
      </c>
      <c r="L37" s="194">
        <f>SUM(L31:L36)</f>
        <v>1342</v>
      </c>
      <c r="M37" s="195">
        <f t="shared" si="25"/>
        <v>0.08047690015</v>
      </c>
      <c r="N37" s="190">
        <f t="shared" ref="N37:P37" si="29">SUM(N31:N36)</f>
        <v>930.46</v>
      </c>
      <c r="O37" s="190">
        <f t="shared" si="29"/>
        <v>2027.51</v>
      </c>
      <c r="P37" s="196">
        <f t="shared" si="29"/>
        <v>75</v>
      </c>
      <c r="Q37" s="197">
        <f>sum(Q31:Q36)</f>
        <v>240232</v>
      </c>
      <c r="R37" s="195">
        <f t="shared" si="1"/>
        <v>0.4589175886</v>
      </c>
      <c r="S37" s="198">
        <f t="shared" si="2"/>
        <v>2.179040475</v>
      </c>
      <c r="T37" s="199">
        <f t="shared" si="27"/>
        <v>0.8054400203</v>
      </c>
      <c r="U37" s="80" t="str">
        <f>iferror((F37-#REF!)/F37,)</f>
        <v/>
      </c>
      <c r="V37" s="90" t="str">
        <f>iferror((H37-#REF!)/H37,)</f>
        <v/>
      </c>
      <c r="W37" s="2"/>
      <c r="X37" s="2"/>
      <c r="Y37" s="2"/>
      <c r="Z37" s="2"/>
    </row>
    <row r="38" hidden="1" outlineLevel="1">
      <c r="A38" s="56" t="str">
        <f>iferror(if(B38&gt;0,month(B38)&amp;"-"&amp;year(B38),B38),)</f>
        <v>1-2026</v>
      </c>
      <c r="B38" s="143">
        <v>46033.0</v>
      </c>
      <c r="C38" s="144"/>
      <c r="D38" s="145" t="s">
        <v>60</v>
      </c>
      <c r="E38" s="58"/>
      <c r="F38" s="146"/>
      <c r="G38" s="147"/>
      <c r="H38" s="147"/>
      <c r="I38" s="148"/>
      <c r="J38" s="149"/>
      <c r="K38" s="149"/>
      <c r="L38" s="150"/>
      <c r="M38" s="151"/>
      <c r="N38" s="152">
        <v>738.9</v>
      </c>
      <c r="O38" s="152">
        <v>1368.96</v>
      </c>
      <c r="P38" s="153">
        <v>53.0</v>
      </c>
      <c r="Q38" s="154">
        <v>177510.0</v>
      </c>
      <c r="R38" s="155">
        <f t="shared" si="1"/>
        <v>0.539752805</v>
      </c>
      <c r="S38" s="156">
        <f t="shared" si="2"/>
        <v>1.852699959</v>
      </c>
      <c r="T38" s="155" t="str">
        <f t="shared" si="27"/>
        <v>#DIV/0!</v>
      </c>
      <c r="U38" s="76"/>
      <c r="V38" s="77"/>
      <c r="W38" s="2"/>
      <c r="X38" s="2"/>
      <c r="Y38" s="2"/>
      <c r="Z38" s="2"/>
    </row>
    <row r="39" hidden="1" outlineLevel="1">
      <c r="A39" s="157"/>
      <c r="B39" s="158"/>
      <c r="C39" s="159" t="s">
        <v>12</v>
      </c>
      <c r="D39" s="160" t="s">
        <v>13</v>
      </c>
      <c r="E39" s="58"/>
      <c r="F39" s="161">
        <v>370.5</v>
      </c>
      <c r="G39" s="162">
        <v>19.0</v>
      </c>
      <c r="H39" s="162">
        <v>17.0</v>
      </c>
      <c r="I39" s="163">
        <f t="shared" ref="I39:I44" si="30">G39/H39</f>
        <v>1.117647059</v>
      </c>
      <c r="J39" s="164">
        <f t="shared" ref="J39:J43" si="31">F39/H39</f>
        <v>21.79411765</v>
      </c>
      <c r="K39" s="164">
        <v>173.0</v>
      </c>
      <c r="L39" s="165">
        <v>437.0</v>
      </c>
      <c r="M39" s="155">
        <f t="shared" ref="M39:M44" si="32">G39/L39</f>
        <v>0.04347826087</v>
      </c>
      <c r="N39" s="166">
        <v>21.58</v>
      </c>
      <c r="O39" s="166">
        <v>78.0</v>
      </c>
      <c r="P39" s="167">
        <v>4.0</v>
      </c>
      <c r="Q39" s="168">
        <v>8225.0</v>
      </c>
      <c r="R39" s="155">
        <f t="shared" si="1"/>
        <v>0.2766666667</v>
      </c>
      <c r="S39" s="156">
        <f t="shared" si="2"/>
        <v>3.614457831</v>
      </c>
      <c r="T39" s="155" t="str">
        <f>#REF!/#REF!</f>
        <v>#REF!</v>
      </c>
      <c r="U39" s="76"/>
      <c r="V39" s="77"/>
      <c r="W39" s="2"/>
      <c r="X39" s="2"/>
      <c r="Y39" s="2"/>
      <c r="Z39" s="2"/>
    </row>
    <row r="40" hidden="1" outlineLevel="1">
      <c r="A40" s="157" t="str">
        <f>iferror(if(D40&gt;0,month(D40)&amp;"-"&amp;year(D40),D40),)</f>
        <v/>
      </c>
      <c r="B40" s="158"/>
      <c r="C40" s="169" t="s">
        <v>61</v>
      </c>
      <c r="D40" s="170" t="s">
        <v>62</v>
      </c>
      <c r="E40" s="68"/>
      <c r="F40" s="164">
        <v>1133.58</v>
      </c>
      <c r="G40" s="171">
        <v>42.0</v>
      </c>
      <c r="H40" s="171">
        <v>39.0</v>
      </c>
      <c r="I40" s="163">
        <f t="shared" si="30"/>
        <v>1.076923077</v>
      </c>
      <c r="J40" s="164">
        <f t="shared" si="31"/>
        <v>29.06615385</v>
      </c>
      <c r="K40" s="164">
        <f t="shared" ref="K40:K43" si="33">F40/G40</f>
        <v>26.99</v>
      </c>
      <c r="L40" s="165">
        <v>518.0</v>
      </c>
      <c r="M40" s="155">
        <f t="shared" si="32"/>
        <v>0.08108108108</v>
      </c>
      <c r="N40" s="172">
        <v>44.9</v>
      </c>
      <c r="O40" s="172">
        <v>80.97</v>
      </c>
      <c r="P40" s="173">
        <v>2.0</v>
      </c>
      <c r="Q40" s="174">
        <v>12274.0</v>
      </c>
      <c r="R40" s="155">
        <f t="shared" si="1"/>
        <v>0.5545263678</v>
      </c>
      <c r="S40" s="156">
        <f t="shared" si="2"/>
        <v>1.803340757</v>
      </c>
      <c r="T40" s="155">
        <f t="shared" ref="T40:T45" si="34">O40/F40</f>
        <v>0.07142857143</v>
      </c>
      <c r="U40" s="76"/>
      <c r="V40" s="77"/>
      <c r="W40" s="2"/>
      <c r="X40" s="2"/>
      <c r="Y40" s="2"/>
      <c r="Z40" s="2"/>
    </row>
    <row r="41" hidden="1" outlineLevel="1">
      <c r="A41" s="175"/>
      <c r="B41" s="158"/>
      <c r="C41" s="176" t="s">
        <v>14</v>
      </c>
      <c r="D41" s="177" t="s">
        <v>15</v>
      </c>
      <c r="E41" s="68"/>
      <c r="F41" s="164">
        <v>446.25</v>
      </c>
      <c r="G41" s="171">
        <v>21.0</v>
      </c>
      <c r="H41" s="171">
        <v>19.0</v>
      </c>
      <c r="I41" s="163">
        <f t="shared" si="30"/>
        <v>1.105263158</v>
      </c>
      <c r="J41" s="164">
        <f t="shared" si="31"/>
        <v>23.48684211</v>
      </c>
      <c r="K41" s="164">
        <f t="shared" si="33"/>
        <v>21.25</v>
      </c>
      <c r="L41" s="165">
        <v>397.0</v>
      </c>
      <c r="M41" s="155">
        <f t="shared" si="32"/>
        <v>0.05289672544</v>
      </c>
      <c r="N41" s="178">
        <v>13.31</v>
      </c>
      <c r="O41" s="178">
        <v>21.25</v>
      </c>
      <c r="P41" s="179">
        <v>1.0</v>
      </c>
      <c r="Q41" s="180">
        <v>7760.0</v>
      </c>
      <c r="R41" s="155">
        <f t="shared" si="1"/>
        <v>0.6263529412</v>
      </c>
      <c r="S41" s="156">
        <f t="shared" si="2"/>
        <v>1.596543952</v>
      </c>
      <c r="T41" s="155">
        <f t="shared" si="34"/>
        <v>0.04761904762</v>
      </c>
      <c r="U41" s="76"/>
      <c r="V41" s="77"/>
      <c r="W41" s="2"/>
      <c r="X41" s="2"/>
      <c r="Y41" s="2"/>
      <c r="Z41" s="2"/>
    </row>
    <row r="42" hidden="1" outlineLevel="1">
      <c r="A42" s="175"/>
      <c r="B42" s="158"/>
      <c r="C42" s="181" t="s">
        <v>63</v>
      </c>
      <c r="D42" s="182" t="s">
        <v>64</v>
      </c>
      <c r="E42" s="68"/>
      <c r="F42" s="164">
        <v>49.98</v>
      </c>
      <c r="G42" s="171">
        <v>2.0</v>
      </c>
      <c r="H42" s="171">
        <v>2.0</v>
      </c>
      <c r="I42" s="163">
        <f t="shared" si="30"/>
        <v>1</v>
      </c>
      <c r="J42" s="164">
        <f t="shared" si="31"/>
        <v>24.99</v>
      </c>
      <c r="K42" s="164">
        <f t="shared" si="33"/>
        <v>24.99</v>
      </c>
      <c r="L42" s="165">
        <v>128.0</v>
      </c>
      <c r="M42" s="155">
        <f t="shared" si="32"/>
        <v>0.015625</v>
      </c>
      <c r="N42" s="183">
        <v>7.54</v>
      </c>
      <c r="O42" s="183">
        <v>0.0</v>
      </c>
      <c r="P42" s="184">
        <v>0.0</v>
      </c>
      <c r="Q42" s="185">
        <v>1147.0</v>
      </c>
      <c r="R42" s="155" t="str">
        <f t="shared" si="1"/>
        <v>#DIV/0!</v>
      </c>
      <c r="S42" s="156">
        <f t="shared" si="2"/>
        <v>0</v>
      </c>
      <c r="T42" s="155">
        <f t="shared" si="34"/>
        <v>0</v>
      </c>
      <c r="U42" s="76"/>
      <c r="V42" s="77"/>
      <c r="W42" s="2"/>
      <c r="X42" s="2"/>
      <c r="Y42" s="2"/>
      <c r="Z42" s="2"/>
    </row>
    <row r="43" hidden="1" outlineLevel="1">
      <c r="A43" s="56" t="str">
        <f>iferror(if(B43&gt;0,month(B43)&amp;"-"&amp;year(B43),B43),)</f>
        <v>1-2026</v>
      </c>
      <c r="B43" s="143">
        <v>46039.0</v>
      </c>
      <c r="C43" s="186" t="s">
        <v>65</v>
      </c>
      <c r="D43" s="187" t="s">
        <v>66</v>
      </c>
      <c r="E43" s="68"/>
      <c r="F43" s="164">
        <v>0.0</v>
      </c>
      <c r="G43" s="171">
        <v>0.0</v>
      </c>
      <c r="H43" s="171">
        <v>0.0</v>
      </c>
      <c r="I43" s="201" t="str">
        <f t="shared" si="30"/>
        <v>#DIV/0!</v>
      </c>
      <c r="J43" s="202" t="str">
        <f t="shared" si="31"/>
        <v>#DIV/0!</v>
      </c>
      <c r="K43" s="202" t="str">
        <f t="shared" si="33"/>
        <v>#DIV/0!</v>
      </c>
      <c r="L43" s="165">
        <v>0.0</v>
      </c>
      <c r="M43" s="203" t="str">
        <f t="shared" si="32"/>
        <v>#DIV/0!</v>
      </c>
      <c r="N43" s="188">
        <v>0.0</v>
      </c>
      <c r="O43" s="188">
        <v>0.0</v>
      </c>
      <c r="P43" s="189">
        <v>0.0</v>
      </c>
      <c r="Q43" s="189">
        <v>0.0</v>
      </c>
      <c r="R43" s="155" t="str">
        <f t="shared" si="1"/>
        <v>#DIV/0!</v>
      </c>
      <c r="S43" s="156" t="str">
        <f t="shared" si="2"/>
        <v>#DIV/0!</v>
      </c>
      <c r="T43" s="155" t="str">
        <f t="shared" si="34"/>
        <v>#DIV/0!</v>
      </c>
      <c r="U43" s="76"/>
      <c r="V43" s="77"/>
      <c r="W43" s="2"/>
      <c r="X43" s="2"/>
      <c r="Y43" s="2"/>
      <c r="Z43" s="2"/>
    </row>
    <row r="44" collapsed="1">
      <c r="A44" s="78" t="s">
        <v>47</v>
      </c>
      <c r="B44" s="79"/>
      <c r="C44" s="79"/>
      <c r="D44" s="79"/>
      <c r="E44" s="80"/>
      <c r="F44" s="190">
        <f t="shared" ref="F44:H44" si="35">SUM(F38:F43)</f>
        <v>2000.31</v>
      </c>
      <c r="G44" s="191">
        <f t="shared" si="35"/>
        <v>84</v>
      </c>
      <c r="H44" s="191">
        <f t="shared" si="35"/>
        <v>77</v>
      </c>
      <c r="I44" s="192">
        <f t="shared" si="30"/>
        <v>1.090909091</v>
      </c>
      <c r="J44" s="193">
        <f>F44/G44</f>
        <v>23.81321429</v>
      </c>
      <c r="K44" s="193">
        <f>J44/I44</f>
        <v>21.82877976</v>
      </c>
      <c r="L44" s="194">
        <f>SUM(L38:L43)</f>
        <v>1480</v>
      </c>
      <c r="M44" s="195">
        <f t="shared" si="32"/>
        <v>0.05675675676</v>
      </c>
      <c r="N44" s="190">
        <f t="shared" ref="N44:P44" si="36">SUM(N38:N43)</f>
        <v>826.23</v>
      </c>
      <c r="O44" s="190">
        <f t="shared" si="36"/>
        <v>1549.18</v>
      </c>
      <c r="P44" s="196">
        <f t="shared" si="36"/>
        <v>60</v>
      </c>
      <c r="Q44" s="197">
        <f>sum(Q38:Q43)</f>
        <v>206916</v>
      </c>
      <c r="R44" s="195">
        <f t="shared" si="1"/>
        <v>0.5333337637</v>
      </c>
      <c r="S44" s="198">
        <f t="shared" si="2"/>
        <v>1.874998487</v>
      </c>
      <c r="T44" s="199">
        <f t="shared" si="34"/>
        <v>0.7744699572</v>
      </c>
      <c r="U44" s="80" t="str">
        <f>iferror((F44-#REF!)/F44,)</f>
        <v/>
      </c>
      <c r="V44" s="90" t="str">
        <f>iferror((H44-#REF!)/H44,)</f>
        <v/>
      </c>
      <c r="W44" s="2"/>
      <c r="X44" s="2"/>
      <c r="Y44" s="2"/>
      <c r="Z44" s="2"/>
    </row>
    <row r="45" hidden="1" outlineLevel="1">
      <c r="A45" s="56" t="str">
        <f>iferror(if(B45&gt;0,month(B45)&amp;"-"&amp;year(B45),B45),)</f>
        <v>1-2026</v>
      </c>
      <c r="B45" s="143">
        <v>46040.0</v>
      </c>
      <c r="C45" s="144"/>
      <c r="D45" s="145" t="s">
        <v>60</v>
      </c>
      <c r="E45" s="58"/>
      <c r="F45" s="146"/>
      <c r="G45" s="147"/>
      <c r="H45" s="147"/>
      <c r="I45" s="148"/>
      <c r="J45" s="149"/>
      <c r="K45" s="149"/>
      <c r="L45" s="150"/>
      <c r="M45" s="151"/>
      <c r="N45" s="152">
        <v>686.4</v>
      </c>
      <c r="O45" s="152">
        <v>1569.42</v>
      </c>
      <c r="P45" s="153">
        <v>56.0</v>
      </c>
      <c r="Q45" s="154">
        <v>147016.0</v>
      </c>
      <c r="R45" s="155">
        <f t="shared" si="1"/>
        <v>0.4373590244</v>
      </c>
      <c r="S45" s="156">
        <f t="shared" si="2"/>
        <v>2.286451049</v>
      </c>
      <c r="T45" s="155" t="str">
        <f t="shared" si="34"/>
        <v>#DIV/0!</v>
      </c>
      <c r="U45" s="76"/>
      <c r="V45" s="77"/>
      <c r="W45" s="2"/>
      <c r="X45" s="2"/>
      <c r="Y45" s="2"/>
      <c r="Z45" s="2"/>
    </row>
    <row r="46" hidden="1" outlineLevel="1">
      <c r="A46" s="157"/>
      <c r="B46" s="158"/>
      <c r="C46" s="159" t="s">
        <v>12</v>
      </c>
      <c r="D46" s="160" t="s">
        <v>13</v>
      </c>
      <c r="E46" s="58"/>
      <c r="F46" s="161">
        <v>546.0</v>
      </c>
      <c r="G46" s="162">
        <v>28.0</v>
      </c>
      <c r="H46" s="162">
        <v>25.0</v>
      </c>
      <c r="I46" s="163">
        <f t="shared" ref="I46:I51" si="37">G46/H46</f>
        <v>1.12</v>
      </c>
      <c r="J46" s="164">
        <f t="shared" ref="J46:J50" si="38">F46/H46</f>
        <v>21.84</v>
      </c>
      <c r="K46" s="164">
        <v>173.0</v>
      </c>
      <c r="L46" s="165">
        <v>396.0</v>
      </c>
      <c r="M46" s="155">
        <f t="shared" ref="M46:M51" si="39">G46/L46</f>
        <v>0.07070707071</v>
      </c>
      <c r="N46" s="166">
        <v>19.71</v>
      </c>
      <c r="O46" s="166">
        <v>19.5</v>
      </c>
      <c r="P46" s="167">
        <v>1.0</v>
      </c>
      <c r="Q46" s="168">
        <v>8856.0</v>
      </c>
      <c r="R46" s="155">
        <f t="shared" si="1"/>
        <v>1.010769231</v>
      </c>
      <c r="S46" s="156">
        <f t="shared" si="2"/>
        <v>0.9893455099</v>
      </c>
      <c r="T46" s="155" t="str">
        <f>#REF!/#REF!</f>
        <v>#REF!</v>
      </c>
      <c r="U46" s="76"/>
      <c r="V46" s="77"/>
      <c r="W46" s="2"/>
      <c r="X46" s="2"/>
      <c r="Y46" s="2"/>
      <c r="Z46" s="2"/>
    </row>
    <row r="47" hidden="1" outlineLevel="1">
      <c r="A47" s="157" t="str">
        <f>iferror(if(D47&gt;0,month(D47)&amp;"-"&amp;year(D47),D47),)</f>
        <v/>
      </c>
      <c r="B47" s="158"/>
      <c r="C47" s="169" t="s">
        <v>61</v>
      </c>
      <c r="D47" s="170" t="s">
        <v>62</v>
      </c>
      <c r="E47" s="68"/>
      <c r="F47" s="164">
        <v>1592.41</v>
      </c>
      <c r="G47" s="171">
        <v>59.0</v>
      </c>
      <c r="H47" s="171">
        <v>55.0</v>
      </c>
      <c r="I47" s="163">
        <f t="shared" si="37"/>
        <v>1.072727273</v>
      </c>
      <c r="J47" s="164">
        <f t="shared" si="38"/>
        <v>28.95290909</v>
      </c>
      <c r="K47" s="164">
        <f t="shared" ref="K47:K50" si="40">F47/G47</f>
        <v>26.99</v>
      </c>
      <c r="L47" s="165">
        <v>530.0</v>
      </c>
      <c r="M47" s="155">
        <f t="shared" si="39"/>
        <v>0.1113207547</v>
      </c>
      <c r="N47" s="172">
        <v>97.07</v>
      </c>
      <c r="O47" s="172">
        <v>422.9</v>
      </c>
      <c r="P47" s="173">
        <v>14.0</v>
      </c>
      <c r="Q47" s="174">
        <v>20208.0</v>
      </c>
      <c r="R47" s="155">
        <f t="shared" si="1"/>
        <v>0.2295341688</v>
      </c>
      <c r="S47" s="156">
        <f t="shared" si="2"/>
        <v>4.35664984</v>
      </c>
      <c r="T47" s="155">
        <f t="shared" ref="T47:T52" si="41">O47/F47</f>
        <v>0.2655723086</v>
      </c>
      <c r="U47" s="76"/>
      <c r="V47" s="77"/>
      <c r="W47" s="2"/>
      <c r="X47" s="2"/>
      <c r="Y47" s="2"/>
      <c r="Z47" s="2"/>
    </row>
    <row r="48" hidden="1" outlineLevel="1">
      <c r="A48" s="175"/>
      <c r="B48" s="158"/>
      <c r="C48" s="176" t="s">
        <v>14</v>
      </c>
      <c r="D48" s="177" t="s">
        <v>15</v>
      </c>
      <c r="E48" s="68"/>
      <c r="F48" s="164">
        <v>403.75</v>
      </c>
      <c r="G48" s="171">
        <v>19.0</v>
      </c>
      <c r="H48" s="171">
        <v>17.0</v>
      </c>
      <c r="I48" s="163">
        <f t="shared" si="37"/>
        <v>1.117647059</v>
      </c>
      <c r="J48" s="164">
        <f t="shared" si="38"/>
        <v>23.75</v>
      </c>
      <c r="K48" s="164">
        <f t="shared" si="40"/>
        <v>21.25</v>
      </c>
      <c r="L48" s="165">
        <v>326.0</v>
      </c>
      <c r="M48" s="155">
        <f t="shared" si="39"/>
        <v>0.05828220859</v>
      </c>
      <c r="N48" s="178">
        <v>19.9</v>
      </c>
      <c r="O48" s="178">
        <v>21.25</v>
      </c>
      <c r="P48" s="179">
        <v>1.0</v>
      </c>
      <c r="Q48" s="180">
        <v>7672.0</v>
      </c>
      <c r="R48" s="155">
        <f t="shared" si="1"/>
        <v>0.9364705882</v>
      </c>
      <c r="S48" s="156">
        <f t="shared" si="2"/>
        <v>1.067839196</v>
      </c>
      <c r="T48" s="155">
        <f t="shared" si="41"/>
        <v>0.05263157895</v>
      </c>
      <c r="U48" s="76"/>
      <c r="V48" s="77"/>
      <c r="W48" s="2"/>
      <c r="X48" s="2"/>
      <c r="Y48" s="2"/>
      <c r="Z48" s="2"/>
    </row>
    <row r="49" hidden="1" outlineLevel="1">
      <c r="A49" s="175"/>
      <c r="B49" s="158"/>
      <c r="C49" s="181" t="s">
        <v>63</v>
      </c>
      <c r="D49" s="182" t="s">
        <v>64</v>
      </c>
      <c r="E49" s="68"/>
      <c r="F49" s="164">
        <v>149.94</v>
      </c>
      <c r="G49" s="171">
        <v>6.0</v>
      </c>
      <c r="H49" s="171">
        <v>5.0</v>
      </c>
      <c r="I49" s="163">
        <f t="shared" si="37"/>
        <v>1.2</v>
      </c>
      <c r="J49" s="164">
        <f t="shared" si="38"/>
        <v>29.988</v>
      </c>
      <c r="K49" s="164">
        <f t="shared" si="40"/>
        <v>24.99</v>
      </c>
      <c r="L49" s="165">
        <v>199.0</v>
      </c>
      <c r="M49" s="155">
        <f t="shared" si="39"/>
        <v>0.03015075377</v>
      </c>
      <c r="N49" s="183">
        <v>24.71</v>
      </c>
      <c r="O49" s="183">
        <v>69.48</v>
      </c>
      <c r="P49" s="184">
        <v>3.0</v>
      </c>
      <c r="Q49" s="185">
        <v>5079.0</v>
      </c>
      <c r="R49" s="155">
        <f t="shared" si="1"/>
        <v>0.3556419113</v>
      </c>
      <c r="S49" s="156">
        <f t="shared" si="2"/>
        <v>2.811817078</v>
      </c>
      <c r="T49" s="155">
        <f t="shared" si="41"/>
        <v>0.4633853541</v>
      </c>
      <c r="U49" s="76"/>
      <c r="V49" s="77"/>
      <c r="W49" s="2"/>
      <c r="X49" s="2"/>
      <c r="Y49" s="2"/>
      <c r="Z49" s="2"/>
    </row>
    <row r="50" hidden="1" outlineLevel="1">
      <c r="A50" s="56" t="str">
        <f>iferror(if(B50&gt;0,month(B50)&amp;"-"&amp;year(B50),B50),)</f>
        <v>1-2026</v>
      </c>
      <c r="B50" s="143">
        <v>46046.0</v>
      </c>
      <c r="C50" s="186" t="s">
        <v>65</v>
      </c>
      <c r="D50" s="187" t="s">
        <v>66</v>
      </c>
      <c r="E50" s="68"/>
      <c r="F50" s="164">
        <v>461.86</v>
      </c>
      <c r="G50" s="171">
        <v>14.0</v>
      </c>
      <c r="H50" s="171">
        <v>9.0</v>
      </c>
      <c r="I50" s="163">
        <f t="shared" si="37"/>
        <v>1.555555556</v>
      </c>
      <c r="J50" s="164">
        <f t="shared" si="38"/>
        <v>51.31777778</v>
      </c>
      <c r="K50" s="164">
        <f t="shared" si="40"/>
        <v>32.99</v>
      </c>
      <c r="L50" s="165">
        <v>275.0</v>
      </c>
      <c r="M50" s="155">
        <f t="shared" si="39"/>
        <v>0.05090909091</v>
      </c>
      <c r="N50" s="188">
        <v>26.91</v>
      </c>
      <c r="O50" s="188">
        <v>0.0</v>
      </c>
      <c r="P50" s="189">
        <v>0.0</v>
      </c>
      <c r="Q50" s="189">
        <v>5220.0</v>
      </c>
      <c r="R50" s="155" t="str">
        <f t="shared" si="1"/>
        <v>#DIV/0!</v>
      </c>
      <c r="S50" s="156">
        <f t="shared" si="2"/>
        <v>0</v>
      </c>
      <c r="T50" s="155">
        <f t="shared" si="41"/>
        <v>0</v>
      </c>
      <c r="U50" s="76"/>
      <c r="V50" s="77"/>
      <c r="W50" s="2"/>
      <c r="X50" s="2"/>
      <c r="Y50" s="2"/>
      <c r="Z50" s="2"/>
    </row>
    <row r="51" collapsed="1">
      <c r="A51" s="78" t="s">
        <v>48</v>
      </c>
      <c r="B51" s="79"/>
      <c r="C51" s="79"/>
      <c r="D51" s="79"/>
      <c r="E51" s="80"/>
      <c r="F51" s="190">
        <f t="shared" ref="F51:H51" si="42">SUM(F45:F50)</f>
        <v>3153.96</v>
      </c>
      <c r="G51" s="191">
        <f t="shared" si="42"/>
        <v>126</v>
      </c>
      <c r="H51" s="191">
        <f t="shared" si="42"/>
        <v>111</v>
      </c>
      <c r="I51" s="192">
        <f t="shared" si="37"/>
        <v>1.135135135</v>
      </c>
      <c r="J51" s="193">
        <f>F51/G51</f>
        <v>25.03142857</v>
      </c>
      <c r="K51" s="193">
        <f>J51/I51</f>
        <v>22.0514966</v>
      </c>
      <c r="L51" s="194">
        <f>SUM(L45:L50)</f>
        <v>1726</v>
      </c>
      <c r="M51" s="195">
        <f t="shared" si="39"/>
        <v>0.07300115875</v>
      </c>
      <c r="N51" s="190">
        <f t="shared" ref="N51:P51" si="43">SUM(N45:N50)</f>
        <v>874.7</v>
      </c>
      <c r="O51" s="190">
        <f t="shared" si="43"/>
        <v>2102.55</v>
      </c>
      <c r="P51" s="196">
        <f t="shared" si="43"/>
        <v>75</v>
      </c>
      <c r="Q51" s="197">
        <f>sum(Q45:Q50)</f>
        <v>194051</v>
      </c>
      <c r="R51" s="195">
        <f t="shared" si="1"/>
        <v>0.416018644</v>
      </c>
      <c r="S51" s="198">
        <f t="shared" si="2"/>
        <v>2.403738425</v>
      </c>
      <c r="T51" s="199">
        <f t="shared" si="41"/>
        <v>0.6666381311</v>
      </c>
      <c r="U51" s="80" t="str">
        <f>iferror((F51-#REF!)/F51,)</f>
        <v/>
      </c>
      <c r="V51" s="90" t="str">
        <f>iferror((H51-#REF!)/H51,)</f>
        <v/>
      </c>
      <c r="W51" s="2"/>
      <c r="X51" s="2"/>
      <c r="Y51" s="2"/>
      <c r="Z51" s="2"/>
    </row>
    <row r="52" hidden="1" outlineLevel="1">
      <c r="A52" s="56" t="str">
        <f>iferror(if(B52&gt;0,month(B52)&amp;"-"&amp;year(B52),B52),)</f>
        <v>1-2026</v>
      </c>
      <c r="B52" s="143">
        <v>46047.0</v>
      </c>
      <c r="C52" s="144"/>
      <c r="D52" s="145" t="s">
        <v>60</v>
      </c>
      <c r="E52" s="58"/>
      <c r="F52" s="146"/>
      <c r="G52" s="147"/>
      <c r="H52" s="147"/>
      <c r="I52" s="148"/>
      <c r="J52" s="149"/>
      <c r="K52" s="149"/>
      <c r="L52" s="150"/>
      <c r="M52" s="151"/>
      <c r="N52" s="152">
        <v>780.35</v>
      </c>
      <c r="O52" s="152">
        <v>1736.06</v>
      </c>
      <c r="P52" s="153">
        <v>53.0</v>
      </c>
      <c r="Q52" s="154">
        <v>180895.0</v>
      </c>
      <c r="R52" s="155">
        <f t="shared" si="1"/>
        <v>0.4494948331</v>
      </c>
      <c r="S52" s="156">
        <f t="shared" si="2"/>
        <v>2.224719677</v>
      </c>
      <c r="T52" s="155" t="str">
        <f t="shared" si="41"/>
        <v>#DIV/0!</v>
      </c>
      <c r="U52" s="76"/>
      <c r="V52" s="77"/>
      <c r="W52" s="2"/>
      <c r="X52" s="2"/>
      <c r="Y52" s="2"/>
      <c r="Z52" s="2"/>
    </row>
    <row r="53" hidden="1" outlineLevel="1">
      <c r="A53" s="157"/>
      <c r="B53" s="158"/>
      <c r="C53" s="159" t="s">
        <v>12</v>
      </c>
      <c r="D53" s="160" t="s">
        <v>13</v>
      </c>
      <c r="E53" s="58"/>
      <c r="F53" s="161">
        <v>273.0</v>
      </c>
      <c r="G53" s="162">
        <v>14.0</v>
      </c>
      <c r="H53" s="162">
        <v>12.0</v>
      </c>
      <c r="I53" s="163">
        <f t="shared" ref="I53:I58" si="44">G53/H53</f>
        <v>1.166666667</v>
      </c>
      <c r="J53" s="164">
        <f t="shared" ref="J53:J57" si="45">F53/H53</f>
        <v>22.75</v>
      </c>
      <c r="K53" s="164">
        <v>173.0</v>
      </c>
      <c r="L53" s="165">
        <v>292.0</v>
      </c>
      <c r="M53" s="155">
        <f t="shared" ref="M53:M58" si="46">G53/L53</f>
        <v>0.04794520548</v>
      </c>
      <c r="N53" s="166">
        <v>5.4</v>
      </c>
      <c r="O53" s="166">
        <v>19.5</v>
      </c>
      <c r="P53" s="167">
        <v>1.0</v>
      </c>
      <c r="Q53" s="168">
        <v>4914.0</v>
      </c>
      <c r="R53" s="155">
        <f t="shared" si="1"/>
        <v>0.2769230769</v>
      </c>
      <c r="S53" s="156">
        <f t="shared" si="2"/>
        <v>3.611111111</v>
      </c>
      <c r="T53" s="155" t="str">
        <f>#REF!/#REF!</f>
        <v>#REF!</v>
      </c>
      <c r="U53" s="76"/>
      <c r="V53" s="77"/>
      <c r="W53" s="2"/>
      <c r="X53" s="2"/>
      <c r="Y53" s="2"/>
      <c r="Z53" s="2"/>
    </row>
    <row r="54" hidden="1" outlineLevel="1">
      <c r="A54" s="157" t="str">
        <f>iferror(if(D54&gt;0,month(D54)&amp;"-"&amp;year(D54),D54),)</f>
        <v/>
      </c>
      <c r="B54" s="158"/>
      <c r="C54" s="169" t="s">
        <v>61</v>
      </c>
      <c r="D54" s="170" t="s">
        <v>62</v>
      </c>
      <c r="E54" s="68"/>
      <c r="F54" s="164">
        <v>1214.55</v>
      </c>
      <c r="G54" s="171">
        <v>45.0</v>
      </c>
      <c r="H54" s="171">
        <v>38.0</v>
      </c>
      <c r="I54" s="163">
        <f t="shared" si="44"/>
        <v>1.184210526</v>
      </c>
      <c r="J54" s="164">
        <f t="shared" si="45"/>
        <v>31.96184211</v>
      </c>
      <c r="K54" s="164">
        <f t="shared" ref="K54:K57" si="47">F54/G54</f>
        <v>26.99</v>
      </c>
      <c r="L54" s="165">
        <v>545.0</v>
      </c>
      <c r="M54" s="155">
        <f t="shared" si="46"/>
        <v>0.08256880734</v>
      </c>
      <c r="N54" s="172">
        <v>169.64</v>
      </c>
      <c r="O54" s="172">
        <v>407.86</v>
      </c>
      <c r="P54" s="173">
        <v>14.0</v>
      </c>
      <c r="Q54" s="174">
        <v>39096.0</v>
      </c>
      <c r="R54" s="155">
        <f t="shared" si="1"/>
        <v>0.4159270338</v>
      </c>
      <c r="S54" s="156">
        <f t="shared" si="2"/>
        <v>2.404267861</v>
      </c>
      <c r="T54" s="155">
        <f t="shared" ref="T54:T59" si="48">O54/F54</f>
        <v>0.3358116175</v>
      </c>
      <c r="U54" s="76"/>
      <c r="V54" s="77"/>
      <c r="W54" s="2"/>
      <c r="X54" s="2"/>
      <c r="Y54" s="2"/>
      <c r="Z54" s="2"/>
    </row>
    <row r="55" hidden="1" outlineLevel="1">
      <c r="A55" s="175"/>
      <c r="B55" s="158"/>
      <c r="C55" s="176" t="s">
        <v>14</v>
      </c>
      <c r="D55" s="177" t="s">
        <v>15</v>
      </c>
      <c r="E55" s="68"/>
      <c r="F55" s="164">
        <v>297.5</v>
      </c>
      <c r="G55" s="171">
        <v>14.0</v>
      </c>
      <c r="H55" s="171">
        <v>14.0</v>
      </c>
      <c r="I55" s="163">
        <f t="shared" si="44"/>
        <v>1</v>
      </c>
      <c r="J55" s="164">
        <f t="shared" si="45"/>
        <v>21.25</v>
      </c>
      <c r="K55" s="164">
        <f t="shared" si="47"/>
        <v>21.25</v>
      </c>
      <c r="L55" s="165">
        <v>254.0</v>
      </c>
      <c r="M55" s="155">
        <f t="shared" si="46"/>
        <v>0.05511811024</v>
      </c>
      <c r="N55" s="178">
        <v>3.56</v>
      </c>
      <c r="O55" s="178">
        <v>0.0</v>
      </c>
      <c r="P55" s="179">
        <v>0.0</v>
      </c>
      <c r="Q55" s="180">
        <v>6222.0</v>
      </c>
      <c r="R55" s="155" t="str">
        <f t="shared" si="1"/>
        <v>#DIV/0!</v>
      </c>
      <c r="S55" s="156">
        <f t="shared" si="2"/>
        <v>0</v>
      </c>
      <c r="T55" s="155">
        <f t="shared" si="48"/>
        <v>0</v>
      </c>
      <c r="U55" s="76"/>
      <c r="V55" s="77"/>
      <c r="W55" s="2"/>
      <c r="X55" s="2"/>
      <c r="Y55" s="2"/>
      <c r="Z55" s="2"/>
    </row>
    <row r="56" hidden="1" outlineLevel="1">
      <c r="A56" s="175"/>
      <c r="B56" s="158"/>
      <c r="C56" s="181" t="s">
        <v>63</v>
      </c>
      <c r="D56" s="182" t="s">
        <v>64</v>
      </c>
      <c r="E56" s="68"/>
      <c r="F56" s="164">
        <v>474.81</v>
      </c>
      <c r="G56" s="171">
        <v>19.0</v>
      </c>
      <c r="H56" s="171">
        <v>14.0</v>
      </c>
      <c r="I56" s="163">
        <f t="shared" si="44"/>
        <v>1.357142857</v>
      </c>
      <c r="J56" s="164">
        <f t="shared" si="45"/>
        <v>33.915</v>
      </c>
      <c r="K56" s="164">
        <f t="shared" si="47"/>
        <v>24.99</v>
      </c>
      <c r="L56" s="165">
        <v>314.0</v>
      </c>
      <c r="M56" s="155">
        <f t="shared" si="46"/>
        <v>0.06050955414</v>
      </c>
      <c r="N56" s="183">
        <v>18.34</v>
      </c>
      <c r="O56" s="183">
        <v>69.48</v>
      </c>
      <c r="P56" s="184">
        <v>2.0</v>
      </c>
      <c r="Q56" s="185">
        <v>6150.0</v>
      </c>
      <c r="R56" s="155">
        <f t="shared" si="1"/>
        <v>0.263960852</v>
      </c>
      <c r="S56" s="156">
        <f t="shared" si="2"/>
        <v>3.788440567</v>
      </c>
      <c r="T56" s="155">
        <f t="shared" si="48"/>
        <v>0.1463322171</v>
      </c>
      <c r="U56" s="76"/>
      <c r="V56" s="77"/>
      <c r="W56" s="2"/>
      <c r="X56" s="2"/>
      <c r="Y56" s="2"/>
      <c r="Z56" s="2"/>
    </row>
    <row r="57" hidden="1" outlineLevel="1">
      <c r="A57" s="56" t="str">
        <f>iferror(if(B57&gt;0,month(B57)&amp;"-"&amp;year(B57),B57),)</f>
        <v>1-2026</v>
      </c>
      <c r="B57" s="143">
        <v>46053.0</v>
      </c>
      <c r="C57" s="186" t="s">
        <v>65</v>
      </c>
      <c r="D57" s="187" t="s">
        <v>66</v>
      </c>
      <c r="E57" s="68"/>
      <c r="F57" s="164">
        <v>956.71</v>
      </c>
      <c r="G57" s="171">
        <v>30.0</v>
      </c>
      <c r="H57" s="171">
        <v>24.0</v>
      </c>
      <c r="I57" s="163">
        <f t="shared" si="44"/>
        <v>1.25</v>
      </c>
      <c r="J57" s="164">
        <f t="shared" si="45"/>
        <v>39.86291667</v>
      </c>
      <c r="K57" s="164">
        <f t="shared" si="47"/>
        <v>31.89033333</v>
      </c>
      <c r="L57" s="165">
        <v>632.0</v>
      </c>
      <c r="M57" s="155">
        <f t="shared" si="46"/>
        <v>0.04746835443</v>
      </c>
      <c r="N57" s="188">
        <v>56.11</v>
      </c>
      <c r="O57" s="188">
        <v>131.96</v>
      </c>
      <c r="P57" s="189">
        <v>4.0</v>
      </c>
      <c r="Q57" s="189">
        <v>7137.0</v>
      </c>
      <c r="R57" s="155">
        <f t="shared" si="1"/>
        <v>0.4252046075</v>
      </c>
      <c r="S57" s="156">
        <f t="shared" si="2"/>
        <v>2.351808947</v>
      </c>
      <c r="T57" s="155">
        <f t="shared" si="48"/>
        <v>0.1379310345</v>
      </c>
      <c r="U57" s="76"/>
      <c r="V57" s="77"/>
      <c r="W57" s="2"/>
      <c r="X57" s="2"/>
      <c r="Y57" s="2"/>
      <c r="Z57" s="2"/>
    </row>
    <row r="58" collapsed="1">
      <c r="A58" s="78" t="s">
        <v>49</v>
      </c>
      <c r="B58" s="79"/>
      <c r="C58" s="79"/>
      <c r="D58" s="79"/>
      <c r="E58" s="80"/>
      <c r="F58" s="190">
        <f t="shared" ref="F58:H58" si="49">SUM(F52:F57)</f>
        <v>3216.57</v>
      </c>
      <c r="G58" s="191">
        <f t="shared" si="49"/>
        <v>122</v>
      </c>
      <c r="H58" s="191">
        <f t="shared" si="49"/>
        <v>102</v>
      </c>
      <c r="I58" s="192">
        <f t="shared" si="44"/>
        <v>1.196078431</v>
      </c>
      <c r="J58" s="193">
        <f>F58/G58</f>
        <v>26.36532787</v>
      </c>
      <c r="K58" s="193">
        <f>J58/I58</f>
        <v>22.04314297</v>
      </c>
      <c r="L58" s="194">
        <f>SUM(L52:L57)</f>
        <v>2037</v>
      </c>
      <c r="M58" s="195">
        <f t="shared" si="46"/>
        <v>0.05989199804</v>
      </c>
      <c r="N58" s="190">
        <f t="shared" ref="N58:P58" si="50">SUM(N52:N57)</f>
        <v>1033.4</v>
      </c>
      <c r="O58" s="190">
        <f t="shared" si="50"/>
        <v>2364.86</v>
      </c>
      <c r="P58" s="196">
        <f t="shared" si="50"/>
        <v>74</v>
      </c>
      <c r="Q58" s="197">
        <f>sum(Q52:Q57)</f>
        <v>244414</v>
      </c>
      <c r="R58" s="195">
        <f t="shared" si="1"/>
        <v>0.4369814704</v>
      </c>
      <c r="S58" s="198">
        <f t="shared" si="2"/>
        <v>2.288426553</v>
      </c>
      <c r="T58" s="199">
        <f t="shared" si="48"/>
        <v>0.7352117318</v>
      </c>
      <c r="U58" s="80" t="str">
        <f>iferror((F58-#REF!)/F58,)</f>
        <v/>
      </c>
      <c r="V58" s="90" t="str">
        <f>iferror((H58-#REF!)/H58,)</f>
        <v/>
      </c>
      <c r="W58" s="2"/>
      <c r="X58" s="2"/>
      <c r="Y58" s="2"/>
      <c r="Z58" s="2"/>
    </row>
    <row r="59" hidden="1" outlineLevel="1">
      <c r="A59" s="56" t="str">
        <f>iferror(if(B59&gt;0,month(B59)&amp;"-"&amp;year(B59),B59),)</f>
        <v>2-2026</v>
      </c>
      <c r="B59" s="143">
        <v>46054.0</v>
      </c>
      <c r="C59" s="144"/>
      <c r="D59" s="145" t="s">
        <v>60</v>
      </c>
      <c r="E59" s="58"/>
      <c r="F59" s="146"/>
      <c r="G59" s="147"/>
      <c r="H59" s="147"/>
      <c r="I59" s="148"/>
      <c r="J59" s="149"/>
      <c r="K59" s="149"/>
      <c r="L59" s="150"/>
      <c r="M59" s="151"/>
      <c r="N59" s="204">
        <v>1168.27</v>
      </c>
      <c r="O59" s="204">
        <v>2408.63</v>
      </c>
      <c r="P59" s="205">
        <v>81.0</v>
      </c>
      <c r="Q59" s="206">
        <v>263684.0</v>
      </c>
      <c r="R59" s="155">
        <f t="shared" si="1"/>
        <v>0.4850350614</v>
      </c>
      <c r="S59" s="156">
        <f t="shared" si="2"/>
        <v>2.061706626</v>
      </c>
      <c r="T59" s="155" t="str">
        <f t="shared" si="48"/>
        <v>#DIV/0!</v>
      </c>
      <c r="U59" s="76"/>
      <c r="V59" s="77"/>
      <c r="W59" s="2"/>
      <c r="X59" s="2"/>
      <c r="Y59" s="2"/>
      <c r="Z59" s="2"/>
    </row>
    <row r="60" hidden="1" outlineLevel="1">
      <c r="A60" s="157"/>
      <c r="B60" s="158"/>
      <c r="C60" s="159" t="s">
        <v>12</v>
      </c>
      <c r="D60" s="160" t="s">
        <v>13</v>
      </c>
      <c r="E60" s="58"/>
      <c r="F60" s="207">
        <v>312.0</v>
      </c>
      <c r="G60" s="208">
        <v>16.0</v>
      </c>
      <c r="H60" s="208">
        <v>11.0</v>
      </c>
      <c r="I60" s="163">
        <f t="shared" ref="I60:I65" si="51">G60/H60</f>
        <v>1.454545455</v>
      </c>
      <c r="J60" s="164">
        <f t="shared" ref="J60:J64" si="52">F60/H60</f>
        <v>28.36363636</v>
      </c>
      <c r="K60" s="164">
        <v>173.0</v>
      </c>
      <c r="L60" s="209">
        <v>276.0</v>
      </c>
      <c r="M60" s="155">
        <f t="shared" ref="M60:M65" si="53">G60/L60</f>
        <v>0.05797101449</v>
      </c>
      <c r="N60" s="210">
        <v>7.4</v>
      </c>
      <c r="O60" s="166">
        <v>0.0</v>
      </c>
      <c r="P60" s="167">
        <v>0.0</v>
      </c>
      <c r="Q60" s="211">
        <v>7170.0</v>
      </c>
      <c r="R60" s="155" t="str">
        <f t="shared" si="1"/>
        <v>#DIV/0!</v>
      </c>
      <c r="S60" s="156">
        <f t="shared" si="2"/>
        <v>0</v>
      </c>
      <c r="T60" s="155" t="str">
        <f>#REF!/#REF!</f>
        <v>#REF!</v>
      </c>
      <c r="U60" s="76"/>
      <c r="V60" s="77"/>
      <c r="W60" s="2"/>
      <c r="X60" s="2"/>
      <c r="Y60" s="2"/>
      <c r="Z60" s="2"/>
    </row>
    <row r="61" hidden="1" outlineLevel="1">
      <c r="A61" s="157" t="str">
        <f>iferror(if(D61&gt;0,month(D61)&amp;"-"&amp;year(D61),D61),)</f>
        <v/>
      </c>
      <c r="B61" s="158"/>
      <c r="C61" s="169" t="s">
        <v>61</v>
      </c>
      <c r="D61" s="170" t="s">
        <v>62</v>
      </c>
      <c r="E61" s="68"/>
      <c r="F61" s="212">
        <v>998.63</v>
      </c>
      <c r="G61" s="213">
        <v>37.0</v>
      </c>
      <c r="H61" s="213">
        <v>37.0</v>
      </c>
      <c r="I61" s="163">
        <f t="shared" si="51"/>
        <v>1</v>
      </c>
      <c r="J61" s="164">
        <f t="shared" si="52"/>
        <v>26.99</v>
      </c>
      <c r="K61" s="164">
        <f t="shared" ref="K61:K64" si="54">F61/G61</f>
        <v>26.99</v>
      </c>
      <c r="L61" s="209">
        <v>529.0</v>
      </c>
      <c r="M61" s="155">
        <f t="shared" si="53"/>
        <v>0.06994328922</v>
      </c>
      <c r="N61" s="214">
        <v>170.22</v>
      </c>
      <c r="O61" s="214">
        <v>431.86</v>
      </c>
      <c r="P61" s="215">
        <v>13.0</v>
      </c>
      <c r="Q61" s="216">
        <v>43035.0</v>
      </c>
      <c r="R61" s="155">
        <f t="shared" si="1"/>
        <v>0.3941555134</v>
      </c>
      <c r="S61" s="156">
        <f t="shared" si="2"/>
        <v>2.537069675</v>
      </c>
      <c r="T61" s="155">
        <f t="shared" ref="T61:T66" si="55">O61/F61</f>
        <v>0.4324524599</v>
      </c>
      <c r="U61" s="76"/>
      <c r="V61" s="77"/>
      <c r="W61" s="2"/>
      <c r="X61" s="2"/>
      <c r="Y61" s="2"/>
      <c r="Z61" s="2"/>
    </row>
    <row r="62" hidden="1" outlineLevel="1">
      <c r="A62" s="175"/>
      <c r="B62" s="158"/>
      <c r="C62" s="176" t="s">
        <v>14</v>
      </c>
      <c r="D62" s="177" t="s">
        <v>15</v>
      </c>
      <c r="E62" s="68"/>
      <c r="F62" s="212">
        <v>552.5</v>
      </c>
      <c r="G62" s="213">
        <v>26.0</v>
      </c>
      <c r="H62" s="171">
        <v>23.0</v>
      </c>
      <c r="I62" s="163">
        <f t="shared" si="51"/>
        <v>1.130434783</v>
      </c>
      <c r="J62" s="164">
        <f t="shared" si="52"/>
        <v>24.02173913</v>
      </c>
      <c r="K62" s="164">
        <f t="shared" si="54"/>
        <v>21.25</v>
      </c>
      <c r="L62" s="209">
        <v>336.0</v>
      </c>
      <c r="M62" s="155">
        <f t="shared" si="53"/>
        <v>0.07738095238</v>
      </c>
      <c r="N62" s="217">
        <v>7.28</v>
      </c>
      <c r="O62" s="217">
        <v>42.5</v>
      </c>
      <c r="P62" s="218">
        <v>2.0</v>
      </c>
      <c r="Q62" s="219">
        <v>6306.0</v>
      </c>
      <c r="R62" s="155">
        <f t="shared" si="1"/>
        <v>0.1712941176</v>
      </c>
      <c r="S62" s="156">
        <f t="shared" si="2"/>
        <v>5.837912088</v>
      </c>
      <c r="T62" s="155">
        <f t="shared" si="55"/>
        <v>0.07692307692</v>
      </c>
      <c r="U62" s="76"/>
      <c r="V62" s="77"/>
      <c r="W62" s="2"/>
      <c r="X62" s="2"/>
      <c r="Y62" s="2"/>
      <c r="Z62" s="2"/>
    </row>
    <row r="63" hidden="1" outlineLevel="1">
      <c r="A63" s="175"/>
      <c r="B63" s="158"/>
      <c r="C63" s="181" t="s">
        <v>63</v>
      </c>
      <c r="D63" s="182" t="s">
        <v>64</v>
      </c>
      <c r="E63" s="68"/>
      <c r="F63" s="212">
        <v>574.77</v>
      </c>
      <c r="G63" s="213">
        <v>23.0</v>
      </c>
      <c r="H63" s="213">
        <v>21.0</v>
      </c>
      <c r="I63" s="163">
        <f t="shared" si="51"/>
        <v>1.095238095</v>
      </c>
      <c r="J63" s="164">
        <f t="shared" si="52"/>
        <v>27.37</v>
      </c>
      <c r="K63" s="164">
        <f t="shared" si="54"/>
        <v>24.99</v>
      </c>
      <c r="L63" s="209">
        <v>436.0</v>
      </c>
      <c r="M63" s="155">
        <f t="shared" si="53"/>
        <v>0.05275229358</v>
      </c>
      <c r="N63" s="220">
        <v>71.85</v>
      </c>
      <c r="O63" s="220">
        <v>269.4</v>
      </c>
      <c r="P63" s="221">
        <v>10.0</v>
      </c>
      <c r="Q63" s="222">
        <v>22379.0</v>
      </c>
      <c r="R63" s="155">
        <f t="shared" si="1"/>
        <v>0.2667037862</v>
      </c>
      <c r="S63" s="156">
        <f t="shared" si="2"/>
        <v>3.749478079</v>
      </c>
      <c r="T63" s="155">
        <f t="shared" si="55"/>
        <v>0.4687092228</v>
      </c>
      <c r="U63" s="76"/>
      <c r="V63" s="77"/>
      <c r="W63" s="2"/>
      <c r="X63" s="2"/>
      <c r="Y63" s="2"/>
      <c r="Z63" s="2"/>
    </row>
    <row r="64" hidden="1" outlineLevel="1">
      <c r="A64" s="56" t="str">
        <f>iferror(if(B64&gt;0,month(B64)&amp;"-"&amp;year(B64),B64),)</f>
        <v>2-2026</v>
      </c>
      <c r="B64" s="143">
        <v>46060.0</v>
      </c>
      <c r="C64" s="186" t="s">
        <v>65</v>
      </c>
      <c r="D64" s="187" t="s">
        <v>66</v>
      </c>
      <c r="E64" s="68"/>
      <c r="F64" s="212">
        <v>1814.45</v>
      </c>
      <c r="G64" s="213">
        <v>55.0</v>
      </c>
      <c r="H64" s="213">
        <v>46.0</v>
      </c>
      <c r="I64" s="163">
        <f t="shared" si="51"/>
        <v>1.195652174</v>
      </c>
      <c r="J64" s="164">
        <f t="shared" si="52"/>
        <v>39.44456522</v>
      </c>
      <c r="K64" s="164">
        <f t="shared" si="54"/>
        <v>32.99</v>
      </c>
      <c r="L64" s="209">
        <v>987.0</v>
      </c>
      <c r="M64" s="155">
        <f t="shared" si="53"/>
        <v>0.05572441743</v>
      </c>
      <c r="N64" s="223">
        <v>23.75</v>
      </c>
      <c r="O64" s="223">
        <v>120.22</v>
      </c>
      <c r="P64" s="224">
        <v>4.0</v>
      </c>
      <c r="Q64" s="224">
        <v>4205.0</v>
      </c>
      <c r="R64" s="155">
        <f t="shared" si="1"/>
        <v>0.1975544834</v>
      </c>
      <c r="S64" s="156">
        <f t="shared" si="2"/>
        <v>5.061894737</v>
      </c>
      <c r="T64" s="155">
        <f t="shared" si="55"/>
        <v>0.06625699248</v>
      </c>
      <c r="U64" s="76"/>
      <c r="V64" s="77"/>
      <c r="W64" s="2"/>
      <c r="X64" s="2"/>
      <c r="Y64" s="2"/>
      <c r="Z64" s="2"/>
    </row>
    <row r="65" collapsed="1">
      <c r="A65" s="78" t="s">
        <v>50</v>
      </c>
      <c r="B65" s="79"/>
      <c r="C65" s="79"/>
      <c r="D65" s="79"/>
      <c r="E65" s="80"/>
      <c r="F65" s="190">
        <f t="shared" ref="F65:H65" si="56">SUM(F59:F64)</f>
        <v>4252.35</v>
      </c>
      <c r="G65" s="191">
        <f t="shared" si="56"/>
        <v>157</v>
      </c>
      <c r="H65" s="191">
        <f t="shared" si="56"/>
        <v>138</v>
      </c>
      <c r="I65" s="192">
        <f t="shared" si="51"/>
        <v>1.137681159</v>
      </c>
      <c r="J65" s="193">
        <f>F65/G65</f>
        <v>27.08503185</v>
      </c>
      <c r="K65" s="193">
        <f>J65/I65</f>
        <v>23.80722545</v>
      </c>
      <c r="L65" s="194">
        <f>SUM(L59:L64)</f>
        <v>2564</v>
      </c>
      <c r="M65" s="195">
        <f t="shared" si="53"/>
        <v>0.0612324493</v>
      </c>
      <c r="N65" s="190">
        <f t="shared" ref="N65:P65" si="57">SUM(N59:N64)</f>
        <v>1448.77</v>
      </c>
      <c r="O65" s="190">
        <f t="shared" si="57"/>
        <v>3272.61</v>
      </c>
      <c r="P65" s="196">
        <f t="shared" si="57"/>
        <v>110</v>
      </c>
      <c r="Q65" s="197">
        <f>sum(Q59:Q64)</f>
        <v>346779</v>
      </c>
      <c r="R65" s="195">
        <f t="shared" si="1"/>
        <v>0.4426955855</v>
      </c>
      <c r="S65" s="198">
        <f t="shared" si="2"/>
        <v>2.258888574</v>
      </c>
      <c r="T65" s="199">
        <f t="shared" si="55"/>
        <v>0.7696003386</v>
      </c>
      <c r="U65" s="225">
        <f>iferror((F65-F58)/F65,)</f>
        <v>0.2435782567</v>
      </c>
      <c r="V65" s="226">
        <f>iferror((H65-G58)/H65,)</f>
        <v>0.115942029</v>
      </c>
      <c r="W65" s="2"/>
      <c r="X65" s="2"/>
      <c r="Y65" s="2"/>
      <c r="Z65" s="2"/>
    </row>
    <row r="66" hidden="1" outlineLevel="1">
      <c r="A66" s="56" t="str">
        <f>iferror(if(B66&gt;0,month(B66)&amp;"-"&amp;year(B66),B66),)</f>
        <v>2-2026</v>
      </c>
      <c r="B66" s="143">
        <v>46061.0</v>
      </c>
      <c r="C66" s="144"/>
      <c r="D66" s="145" t="s">
        <v>60</v>
      </c>
      <c r="E66" s="58"/>
      <c r="F66" s="146"/>
      <c r="G66" s="147"/>
      <c r="H66" s="147"/>
      <c r="I66" s="148"/>
      <c r="J66" s="149"/>
      <c r="K66" s="149"/>
      <c r="L66" s="150"/>
      <c r="M66" s="151"/>
      <c r="N66" s="152">
        <v>1012.07</v>
      </c>
      <c r="O66" s="152">
        <v>2505.52</v>
      </c>
      <c r="P66" s="153">
        <v>85.0</v>
      </c>
      <c r="Q66" s="154">
        <v>200389.0</v>
      </c>
      <c r="R66" s="155">
        <f t="shared" si="1"/>
        <v>0.4039361091</v>
      </c>
      <c r="S66" s="156">
        <f t="shared" si="2"/>
        <v>2.475639037</v>
      </c>
      <c r="T66" s="155" t="str">
        <f t="shared" si="55"/>
        <v>#DIV/0!</v>
      </c>
      <c r="U66" s="76"/>
      <c r="V66" s="77"/>
      <c r="W66" s="2"/>
      <c r="X66" s="2"/>
      <c r="Y66" s="2"/>
      <c r="Z66" s="2"/>
    </row>
    <row r="67" hidden="1" outlineLevel="1">
      <c r="A67" s="157"/>
      <c r="B67" s="158"/>
      <c r="C67" s="159" t="s">
        <v>12</v>
      </c>
      <c r="D67" s="160" t="s">
        <v>13</v>
      </c>
      <c r="E67" s="58"/>
      <c r="F67" s="161">
        <v>58.5</v>
      </c>
      <c r="G67" s="162">
        <v>3.0</v>
      </c>
      <c r="H67" s="162">
        <v>3.0</v>
      </c>
      <c r="I67" s="163">
        <f t="shared" ref="I67:I72" si="58">G67/H67</f>
        <v>1</v>
      </c>
      <c r="J67" s="164">
        <f t="shared" ref="J67:J71" si="59">F67/H67</f>
        <v>19.5</v>
      </c>
      <c r="K67" s="164">
        <v>173.0</v>
      </c>
      <c r="L67" s="165">
        <v>217.0</v>
      </c>
      <c r="M67" s="155">
        <f t="shared" ref="M67:M72" si="60">G67/L67</f>
        <v>0.01382488479</v>
      </c>
      <c r="N67" s="166">
        <v>3.27</v>
      </c>
      <c r="O67" s="166">
        <v>0.0</v>
      </c>
      <c r="P67" s="167">
        <v>0.0</v>
      </c>
      <c r="Q67" s="168">
        <v>8142.0</v>
      </c>
      <c r="R67" s="155" t="str">
        <f t="shared" si="1"/>
        <v>#DIV/0!</v>
      </c>
      <c r="S67" s="156">
        <f t="shared" si="2"/>
        <v>0</v>
      </c>
      <c r="T67" s="155" t="str">
        <f>#REF!/#REF!</f>
        <v>#REF!</v>
      </c>
      <c r="U67" s="76"/>
      <c r="V67" s="77"/>
      <c r="W67" s="2"/>
      <c r="X67" s="2"/>
      <c r="Y67" s="2"/>
      <c r="Z67" s="2"/>
    </row>
    <row r="68" hidden="1" outlineLevel="1">
      <c r="A68" s="157" t="str">
        <f>iferror(if(D68&gt;0,month(D68)&amp;"-"&amp;year(D68),D68),)</f>
        <v/>
      </c>
      <c r="B68" s="158"/>
      <c r="C68" s="169" t="s">
        <v>61</v>
      </c>
      <c r="D68" s="170" t="s">
        <v>62</v>
      </c>
      <c r="E68" s="68"/>
      <c r="F68" s="164">
        <v>1106.59</v>
      </c>
      <c r="G68" s="171">
        <v>41.0</v>
      </c>
      <c r="H68" s="171">
        <v>39.0</v>
      </c>
      <c r="I68" s="163">
        <f t="shared" si="58"/>
        <v>1.051282051</v>
      </c>
      <c r="J68" s="164">
        <f t="shared" si="59"/>
        <v>28.37410256</v>
      </c>
      <c r="K68" s="164">
        <f t="shared" ref="K68:K71" si="61">F68/G68</f>
        <v>26.99</v>
      </c>
      <c r="L68" s="165">
        <v>451.0</v>
      </c>
      <c r="M68" s="155">
        <f t="shared" si="60"/>
        <v>0.09090909091</v>
      </c>
      <c r="N68" s="172">
        <v>81.69</v>
      </c>
      <c r="O68" s="172">
        <v>275.91</v>
      </c>
      <c r="P68" s="173">
        <v>8.0</v>
      </c>
      <c r="Q68" s="174">
        <v>18922.0</v>
      </c>
      <c r="R68" s="155">
        <f t="shared" si="1"/>
        <v>0.296074807</v>
      </c>
      <c r="S68" s="156">
        <f t="shared" si="2"/>
        <v>3.377524789</v>
      </c>
      <c r="T68" s="155">
        <f t="shared" ref="T68:T73" si="62">O68/F68</f>
        <v>0.2493335382</v>
      </c>
      <c r="U68" s="76"/>
      <c r="V68" s="77"/>
      <c r="W68" s="2"/>
      <c r="X68" s="2"/>
      <c r="Y68" s="2"/>
      <c r="Z68" s="2"/>
    </row>
    <row r="69" hidden="1" outlineLevel="1">
      <c r="A69" s="175"/>
      <c r="B69" s="158"/>
      <c r="C69" s="176" t="s">
        <v>14</v>
      </c>
      <c r="D69" s="177" t="s">
        <v>15</v>
      </c>
      <c r="E69" s="68"/>
      <c r="F69" s="164">
        <v>616.25</v>
      </c>
      <c r="G69" s="171">
        <v>29.0</v>
      </c>
      <c r="H69" s="171">
        <v>23.0</v>
      </c>
      <c r="I69" s="163">
        <f t="shared" si="58"/>
        <v>1.260869565</v>
      </c>
      <c r="J69" s="164">
        <f t="shared" si="59"/>
        <v>26.79347826</v>
      </c>
      <c r="K69" s="164">
        <f t="shared" si="61"/>
        <v>21.25</v>
      </c>
      <c r="L69" s="165">
        <v>359.0</v>
      </c>
      <c r="M69" s="155">
        <f t="shared" si="60"/>
        <v>0.08077994429</v>
      </c>
      <c r="N69" s="178">
        <v>0.0</v>
      </c>
      <c r="O69" s="178">
        <v>0.0</v>
      </c>
      <c r="P69" s="179">
        <v>0.0</v>
      </c>
      <c r="Q69" s="180">
        <v>929.0</v>
      </c>
      <c r="R69" s="155" t="str">
        <f t="shared" si="1"/>
        <v>#DIV/0!</v>
      </c>
      <c r="S69" s="156" t="str">
        <f t="shared" si="2"/>
        <v>#DIV/0!</v>
      </c>
      <c r="T69" s="155">
        <f t="shared" si="62"/>
        <v>0</v>
      </c>
      <c r="U69" s="76"/>
      <c r="V69" s="77"/>
      <c r="W69" s="2"/>
      <c r="X69" s="2"/>
      <c r="Y69" s="2"/>
      <c r="Z69" s="2"/>
    </row>
    <row r="70" hidden="1" outlineLevel="1">
      <c r="A70" s="175"/>
      <c r="B70" s="158"/>
      <c r="C70" s="181" t="s">
        <v>63</v>
      </c>
      <c r="D70" s="182" t="s">
        <v>64</v>
      </c>
      <c r="E70" s="68"/>
      <c r="F70" s="164">
        <v>424.83</v>
      </c>
      <c r="G70" s="171">
        <v>18.0</v>
      </c>
      <c r="H70" s="171">
        <v>14.0</v>
      </c>
      <c r="I70" s="163">
        <f t="shared" si="58"/>
        <v>1.285714286</v>
      </c>
      <c r="J70" s="164">
        <f t="shared" si="59"/>
        <v>30.345</v>
      </c>
      <c r="K70" s="164">
        <f t="shared" si="61"/>
        <v>23.60166667</v>
      </c>
      <c r="L70" s="165">
        <v>413.0</v>
      </c>
      <c r="M70" s="155">
        <f t="shared" si="60"/>
        <v>0.04358353511</v>
      </c>
      <c r="N70" s="183">
        <v>88.13</v>
      </c>
      <c r="O70" s="183">
        <v>49.98</v>
      </c>
      <c r="P70" s="184">
        <v>2.0</v>
      </c>
      <c r="Q70" s="185">
        <v>20650.0</v>
      </c>
      <c r="R70" s="155">
        <f t="shared" si="1"/>
        <v>1.763305322</v>
      </c>
      <c r="S70" s="156">
        <f t="shared" si="2"/>
        <v>0.5671167593</v>
      </c>
      <c r="T70" s="155">
        <f t="shared" si="62"/>
        <v>0.1176470588</v>
      </c>
      <c r="U70" s="76"/>
      <c r="V70" s="77"/>
      <c r="W70" s="2"/>
      <c r="X70" s="2"/>
      <c r="Y70" s="2"/>
      <c r="Z70" s="2"/>
    </row>
    <row r="71" hidden="1" outlineLevel="1">
      <c r="A71" s="56" t="str">
        <f>iferror(if(B71&gt;0,month(B71)&amp;"-"&amp;year(B71),B71),)</f>
        <v>2-2026</v>
      </c>
      <c r="B71" s="143">
        <v>46067.0</v>
      </c>
      <c r="C71" s="186" t="s">
        <v>65</v>
      </c>
      <c r="D71" s="187" t="s">
        <v>66</v>
      </c>
      <c r="E71" s="68"/>
      <c r="F71" s="164">
        <v>1559.51</v>
      </c>
      <c r="G71" s="171">
        <v>50.0</v>
      </c>
      <c r="H71" s="171">
        <v>47.0</v>
      </c>
      <c r="I71" s="163">
        <f t="shared" si="58"/>
        <v>1.063829787</v>
      </c>
      <c r="J71" s="164">
        <f t="shared" si="59"/>
        <v>33.18106383</v>
      </c>
      <c r="K71" s="164">
        <f t="shared" si="61"/>
        <v>31.1902</v>
      </c>
      <c r="L71" s="165">
        <v>860.0</v>
      </c>
      <c r="M71" s="155">
        <f t="shared" si="60"/>
        <v>0.05813953488</v>
      </c>
      <c r="N71" s="188">
        <v>36.17</v>
      </c>
      <c r="O71" s="188">
        <v>139.46</v>
      </c>
      <c r="P71" s="189">
        <v>5.0</v>
      </c>
      <c r="Q71" s="189">
        <v>4602.0</v>
      </c>
      <c r="R71" s="155">
        <f t="shared" si="1"/>
        <v>0.2593575219</v>
      </c>
      <c r="S71" s="156">
        <f t="shared" si="2"/>
        <v>3.855681504</v>
      </c>
      <c r="T71" s="155">
        <f t="shared" si="62"/>
        <v>0.08942552468</v>
      </c>
      <c r="U71" s="76"/>
      <c r="V71" s="77"/>
      <c r="W71" s="2"/>
      <c r="X71" s="2"/>
      <c r="Y71" s="2"/>
      <c r="Z71" s="2"/>
    </row>
    <row r="72" collapsed="1">
      <c r="A72" s="78" t="s">
        <v>51</v>
      </c>
      <c r="B72" s="79"/>
      <c r="C72" s="79"/>
      <c r="D72" s="79"/>
      <c r="E72" s="80"/>
      <c r="F72" s="190">
        <f t="shared" ref="F72:H72" si="63">SUM(F66:F71)</f>
        <v>3765.68</v>
      </c>
      <c r="G72" s="191">
        <f t="shared" si="63"/>
        <v>141</v>
      </c>
      <c r="H72" s="191">
        <f t="shared" si="63"/>
        <v>126</v>
      </c>
      <c r="I72" s="192">
        <f t="shared" si="58"/>
        <v>1.119047619</v>
      </c>
      <c r="J72" s="193">
        <f>F72/G72</f>
        <v>26.70695035</v>
      </c>
      <c r="K72" s="193">
        <f>J72/I72</f>
        <v>23.86578542</v>
      </c>
      <c r="L72" s="194">
        <f>SUM(L66:L71)</f>
        <v>2300</v>
      </c>
      <c r="M72" s="195">
        <f t="shared" si="60"/>
        <v>0.06130434783</v>
      </c>
      <c r="N72" s="190">
        <f t="shared" ref="N72:P72" si="64">SUM(N66:N71)</f>
        <v>1221.33</v>
      </c>
      <c r="O72" s="190">
        <f t="shared" si="64"/>
        <v>2970.87</v>
      </c>
      <c r="P72" s="196">
        <f t="shared" si="64"/>
        <v>100</v>
      </c>
      <c r="Q72" s="197">
        <f>sum(Q66:Q71)</f>
        <v>253634</v>
      </c>
      <c r="R72" s="195">
        <f t="shared" si="1"/>
        <v>0.4111017985</v>
      </c>
      <c r="S72" s="198">
        <f t="shared" si="2"/>
        <v>2.432487534</v>
      </c>
      <c r="T72" s="199">
        <f t="shared" si="62"/>
        <v>0.7889332073</v>
      </c>
      <c r="U72" s="225">
        <f>iferror((F72-F58)/F72,)</f>
        <v>0.1458196129</v>
      </c>
      <c r="V72" s="226">
        <f>iferror((H72-G58)/H72,)</f>
        <v>0.03174603175</v>
      </c>
      <c r="W72" s="2"/>
      <c r="X72" s="2"/>
      <c r="Y72" s="2"/>
      <c r="Z72" s="2"/>
    </row>
    <row r="73" hidden="1" outlineLevel="1">
      <c r="A73" s="56" t="str">
        <f>iferror(if(B73&gt;0,month(B73)&amp;"-"&amp;year(B73),B73),)</f>
        <v>2-2026</v>
      </c>
      <c r="B73" s="143">
        <v>46068.0</v>
      </c>
      <c r="C73" s="144"/>
      <c r="D73" s="145" t="s">
        <v>60</v>
      </c>
      <c r="E73" s="58"/>
      <c r="F73" s="146"/>
      <c r="G73" s="147"/>
      <c r="H73" s="147"/>
      <c r="I73" s="148"/>
      <c r="J73" s="149"/>
      <c r="K73" s="149"/>
      <c r="L73" s="150"/>
      <c r="M73" s="151"/>
      <c r="N73" s="152">
        <v>1173.15</v>
      </c>
      <c r="O73" s="152">
        <v>2489.68</v>
      </c>
      <c r="P73" s="153">
        <v>93.0</v>
      </c>
      <c r="Q73" s="154">
        <v>245013.0</v>
      </c>
      <c r="R73" s="155">
        <f t="shared" si="1"/>
        <v>0.4712051348</v>
      </c>
      <c r="S73" s="156">
        <f t="shared" si="2"/>
        <v>2.12221796</v>
      </c>
      <c r="T73" s="155" t="str">
        <f t="shared" si="62"/>
        <v>#DIV/0!</v>
      </c>
      <c r="U73" s="76"/>
      <c r="V73" s="77"/>
      <c r="W73" s="2"/>
      <c r="X73" s="2"/>
      <c r="Y73" s="2"/>
      <c r="Z73" s="2"/>
    </row>
    <row r="74" hidden="1" outlineLevel="1">
      <c r="A74" s="157"/>
      <c r="B74" s="158"/>
      <c r="C74" s="159" t="s">
        <v>12</v>
      </c>
      <c r="D74" s="160" t="s">
        <v>13</v>
      </c>
      <c r="E74" s="58"/>
      <c r="F74" s="161">
        <v>429.0</v>
      </c>
      <c r="G74" s="162">
        <v>22.0</v>
      </c>
      <c r="H74" s="162">
        <v>20.0</v>
      </c>
      <c r="I74" s="163">
        <f t="shared" ref="I74:I79" si="65">G74/H74</f>
        <v>1.1</v>
      </c>
      <c r="J74" s="164">
        <f t="shared" ref="J74:J78" si="66">F74/H74</f>
        <v>21.45</v>
      </c>
      <c r="K74" s="164">
        <v>173.0</v>
      </c>
      <c r="L74" s="165">
        <v>318.0</v>
      </c>
      <c r="M74" s="155">
        <f t="shared" ref="M74:M79" si="67">G74/L74</f>
        <v>0.06918238994</v>
      </c>
      <c r="N74" s="166">
        <v>5.88</v>
      </c>
      <c r="O74" s="166">
        <v>39.0</v>
      </c>
      <c r="P74" s="167">
        <v>2.0</v>
      </c>
      <c r="Q74" s="168">
        <v>5735.0</v>
      </c>
      <c r="R74" s="155">
        <f t="shared" si="1"/>
        <v>0.1507692308</v>
      </c>
      <c r="S74" s="156">
        <f t="shared" si="2"/>
        <v>6.632653061</v>
      </c>
      <c r="T74" s="155" t="str">
        <f>#REF!/#REF!</f>
        <v>#REF!</v>
      </c>
      <c r="U74" s="76"/>
      <c r="V74" s="77"/>
      <c r="W74" s="2"/>
      <c r="X74" s="2"/>
      <c r="Y74" s="2"/>
      <c r="Z74" s="2"/>
    </row>
    <row r="75" hidden="1" outlineLevel="1">
      <c r="A75" s="157" t="str">
        <f>iferror(if(D75&gt;0,month(D75)&amp;"-"&amp;year(D75),D75),)</f>
        <v/>
      </c>
      <c r="B75" s="158"/>
      <c r="C75" s="169" t="s">
        <v>61</v>
      </c>
      <c r="D75" s="170" t="s">
        <v>62</v>
      </c>
      <c r="E75" s="68"/>
      <c r="F75" s="164">
        <v>1133.58</v>
      </c>
      <c r="G75" s="171">
        <v>42.0</v>
      </c>
      <c r="H75" s="171">
        <v>34.0</v>
      </c>
      <c r="I75" s="163">
        <f t="shared" si="65"/>
        <v>1.235294118</v>
      </c>
      <c r="J75" s="164">
        <f t="shared" si="66"/>
        <v>33.34058824</v>
      </c>
      <c r="K75" s="164">
        <f t="shared" ref="K75:K78" si="68">F75/G75</f>
        <v>26.99</v>
      </c>
      <c r="L75" s="165">
        <v>524.0</v>
      </c>
      <c r="M75" s="155">
        <f t="shared" si="67"/>
        <v>0.08015267176</v>
      </c>
      <c r="N75" s="172">
        <v>182.37</v>
      </c>
      <c r="O75" s="172">
        <v>722.75</v>
      </c>
      <c r="P75" s="173">
        <v>20.0</v>
      </c>
      <c r="Q75" s="174">
        <v>42749.0</v>
      </c>
      <c r="R75" s="155">
        <f t="shared" si="1"/>
        <v>0.2523279142</v>
      </c>
      <c r="S75" s="156">
        <f t="shared" si="2"/>
        <v>3.963097001</v>
      </c>
      <c r="T75" s="155">
        <f t="shared" ref="T75:T80" si="69">O75/F75</f>
        <v>0.6375818204</v>
      </c>
      <c r="U75" s="76"/>
      <c r="V75" s="77"/>
      <c r="W75" s="2"/>
      <c r="X75" s="2"/>
      <c r="Y75" s="2"/>
      <c r="Z75" s="2"/>
    </row>
    <row r="76" hidden="1" outlineLevel="1">
      <c r="A76" s="175"/>
      <c r="B76" s="158"/>
      <c r="C76" s="176" t="s">
        <v>14</v>
      </c>
      <c r="D76" s="177" t="s">
        <v>15</v>
      </c>
      <c r="E76" s="68"/>
      <c r="F76" s="164">
        <v>701.25</v>
      </c>
      <c r="G76" s="171">
        <v>33.0</v>
      </c>
      <c r="H76" s="171">
        <v>31.0</v>
      </c>
      <c r="I76" s="163">
        <f t="shared" si="65"/>
        <v>1.064516129</v>
      </c>
      <c r="J76" s="164">
        <f t="shared" si="66"/>
        <v>22.62096774</v>
      </c>
      <c r="K76" s="164">
        <f t="shared" si="68"/>
        <v>21.25</v>
      </c>
      <c r="L76" s="165">
        <v>393.0</v>
      </c>
      <c r="M76" s="155">
        <f t="shared" si="67"/>
        <v>0.08396946565</v>
      </c>
      <c r="N76" s="178">
        <v>4.69</v>
      </c>
      <c r="O76" s="178">
        <v>21.25</v>
      </c>
      <c r="P76" s="179">
        <v>1.0</v>
      </c>
      <c r="Q76" s="180">
        <v>5745.0</v>
      </c>
      <c r="R76" s="155">
        <f t="shared" si="1"/>
        <v>0.2207058824</v>
      </c>
      <c r="S76" s="156">
        <f t="shared" si="2"/>
        <v>4.530916844</v>
      </c>
      <c r="T76" s="155">
        <f t="shared" si="69"/>
        <v>0.0303030303</v>
      </c>
      <c r="U76" s="76"/>
      <c r="V76" s="77"/>
      <c r="W76" s="2"/>
      <c r="X76" s="2"/>
      <c r="Y76" s="2"/>
      <c r="Z76" s="2"/>
    </row>
    <row r="77" hidden="1" outlineLevel="1">
      <c r="A77" s="175"/>
      <c r="B77" s="158"/>
      <c r="C77" s="181" t="s">
        <v>63</v>
      </c>
      <c r="D77" s="182" t="s">
        <v>64</v>
      </c>
      <c r="E77" s="68"/>
      <c r="F77" s="164">
        <v>624.75</v>
      </c>
      <c r="G77" s="171">
        <v>26.0</v>
      </c>
      <c r="H77" s="171">
        <v>24.0</v>
      </c>
      <c r="I77" s="163">
        <f t="shared" si="65"/>
        <v>1.083333333</v>
      </c>
      <c r="J77" s="164">
        <f t="shared" si="66"/>
        <v>26.03125</v>
      </c>
      <c r="K77" s="164">
        <f t="shared" si="68"/>
        <v>24.02884615</v>
      </c>
      <c r="L77" s="165">
        <v>432.0</v>
      </c>
      <c r="M77" s="155">
        <f t="shared" si="67"/>
        <v>0.06018518519</v>
      </c>
      <c r="N77" s="183">
        <v>61.5</v>
      </c>
      <c r="O77" s="183">
        <v>151.94</v>
      </c>
      <c r="P77" s="184">
        <v>6.0</v>
      </c>
      <c r="Q77" s="185">
        <v>13346.0</v>
      </c>
      <c r="R77" s="155">
        <f t="shared" si="1"/>
        <v>0.4047650388</v>
      </c>
      <c r="S77" s="156">
        <f t="shared" si="2"/>
        <v>2.470569106</v>
      </c>
      <c r="T77" s="155">
        <f t="shared" si="69"/>
        <v>0.2432012805</v>
      </c>
      <c r="U77" s="76"/>
      <c r="V77" s="77"/>
      <c r="W77" s="2"/>
      <c r="X77" s="2"/>
      <c r="Y77" s="2"/>
      <c r="Z77" s="2"/>
    </row>
    <row r="78" hidden="1" outlineLevel="1">
      <c r="A78" s="56" t="str">
        <f>iferror(if(B78&gt;0,month(B78)&amp;"-"&amp;year(B78),B78),)</f>
        <v>2-2026</v>
      </c>
      <c r="B78" s="143">
        <v>46074.0</v>
      </c>
      <c r="C78" s="186" t="s">
        <v>65</v>
      </c>
      <c r="D78" s="187" t="s">
        <v>66</v>
      </c>
      <c r="E78" s="68"/>
      <c r="F78" s="164">
        <v>1619.46</v>
      </c>
      <c r="G78" s="171">
        <v>54.0</v>
      </c>
      <c r="H78" s="171">
        <v>52.0</v>
      </c>
      <c r="I78" s="163">
        <f t="shared" si="65"/>
        <v>1.038461538</v>
      </c>
      <c r="J78" s="164">
        <f t="shared" si="66"/>
        <v>31.14346154</v>
      </c>
      <c r="K78" s="164">
        <f t="shared" si="68"/>
        <v>29.99</v>
      </c>
      <c r="L78" s="165">
        <v>1098.0</v>
      </c>
      <c r="M78" s="155">
        <f t="shared" si="67"/>
        <v>0.04918032787</v>
      </c>
      <c r="N78" s="188">
        <v>50.46</v>
      </c>
      <c r="O78" s="188">
        <v>0.0</v>
      </c>
      <c r="P78" s="189">
        <v>0.0</v>
      </c>
      <c r="Q78" s="189">
        <v>6408.0</v>
      </c>
      <c r="R78" s="155" t="str">
        <f t="shared" si="1"/>
        <v>#DIV/0!</v>
      </c>
      <c r="S78" s="156">
        <f t="shared" si="2"/>
        <v>0</v>
      </c>
      <c r="T78" s="155">
        <f t="shared" si="69"/>
        <v>0</v>
      </c>
      <c r="U78" s="76"/>
      <c r="V78" s="77"/>
      <c r="W78" s="2"/>
      <c r="X78" s="2"/>
      <c r="Y78" s="2"/>
      <c r="Z78" s="2"/>
    </row>
    <row r="79" collapsed="1">
      <c r="A79" s="78" t="s">
        <v>52</v>
      </c>
      <c r="B79" s="79"/>
      <c r="C79" s="79"/>
      <c r="D79" s="79"/>
      <c r="E79" s="80"/>
      <c r="F79" s="190">
        <f t="shared" ref="F79:H79" si="70">SUM(F73:F78)</f>
        <v>4508.04</v>
      </c>
      <c r="G79" s="191">
        <f t="shared" si="70"/>
        <v>177</v>
      </c>
      <c r="H79" s="191">
        <f t="shared" si="70"/>
        <v>161</v>
      </c>
      <c r="I79" s="192">
        <f t="shared" si="65"/>
        <v>1.099378882</v>
      </c>
      <c r="J79" s="193">
        <f>F79/G79</f>
        <v>25.46915254</v>
      </c>
      <c r="K79" s="193">
        <f>J79/I79</f>
        <v>23.16685627</v>
      </c>
      <c r="L79" s="194">
        <f>SUM(L73:L78)</f>
        <v>2765</v>
      </c>
      <c r="M79" s="195">
        <f t="shared" si="67"/>
        <v>0.06401446655</v>
      </c>
      <c r="N79" s="190">
        <f t="shared" ref="N79:P79" si="71">SUM(N73:N78)</f>
        <v>1478.05</v>
      </c>
      <c r="O79" s="190">
        <f t="shared" si="71"/>
        <v>3424.62</v>
      </c>
      <c r="P79" s="196">
        <f t="shared" si="71"/>
        <v>122</v>
      </c>
      <c r="Q79" s="197">
        <f>sum(Q73:Q78)</f>
        <v>318996</v>
      </c>
      <c r="R79" s="195">
        <f t="shared" si="1"/>
        <v>0.4315953303</v>
      </c>
      <c r="S79" s="198">
        <f t="shared" si="2"/>
        <v>2.316985217</v>
      </c>
      <c r="T79" s="199">
        <f t="shared" si="69"/>
        <v>0.7596693907</v>
      </c>
      <c r="U79" s="225">
        <f>iferror((F79-F58)/F79,)</f>
        <v>0.2864814864</v>
      </c>
      <c r="V79" s="226">
        <f>iferror((H79-G58)/H79,)</f>
        <v>0.2422360248</v>
      </c>
      <c r="W79" s="2"/>
      <c r="X79" s="2"/>
      <c r="Y79" s="2"/>
      <c r="Z79" s="2"/>
    </row>
    <row r="80" hidden="1" outlineLevel="1">
      <c r="A80" s="56" t="str">
        <f>iferror(if(B80&gt;0,month(B80)&amp;"-"&amp;year(B80),B80),)</f>
        <v>2-2026</v>
      </c>
      <c r="B80" s="143">
        <v>46075.0</v>
      </c>
      <c r="C80" s="144"/>
      <c r="D80" s="145" t="s">
        <v>60</v>
      </c>
      <c r="E80" s="58"/>
      <c r="F80" s="146"/>
      <c r="G80" s="147"/>
      <c r="H80" s="147"/>
      <c r="I80" s="148"/>
      <c r="J80" s="149"/>
      <c r="K80" s="149"/>
      <c r="L80" s="150"/>
      <c r="M80" s="151"/>
      <c r="N80" s="152">
        <v>1006.25</v>
      </c>
      <c r="O80" s="152">
        <v>2350.15</v>
      </c>
      <c r="P80" s="153">
        <v>84.0</v>
      </c>
      <c r="Q80" s="154">
        <v>219545.0</v>
      </c>
      <c r="R80" s="155">
        <f t="shared" si="1"/>
        <v>0.4281641597</v>
      </c>
      <c r="S80" s="156">
        <f t="shared" si="2"/>
        <v>2.335552795</v>
      </c>
      <c r="T80" s="155" t="str">
        <f t="shared" si="69"/>
        <v>#DIV/0!</v>
      </c>
      <c r="U80" s="76"/>
      <c r="V80" s="77"/>
      <c r="W80" s="2"/>
      <c r="X80" s="2"/>
      <c r="Y80" s="2"/>
      <c r="Z80" s="2"/>
    </row>
    <row r="81" hidden="1" outlineLevel="1">
      <c r="A81" s="157"/>
      <c r="B81" s="158"/>
      <c r="C81" s="159" t="s">
        <v>12</v>
      </c>
      <c r="D81" s="160" t="s">
        <v>13</v>
      </c>
      <c r="E81" s="58"/>
      <c r="F81" s="161">
        <v>331.5</v>
      </c>
      <c r="G81" s="162">
        <v>17.0</v>
      </c>
      <c r="H81" s="162">
        <v>14.0</v>
      </c>
      <c r="I81" s="163">
        <f t="shared" ref="I81:I86" si="72">G81/H81</f>
        <v>1.214285714</v>
      </c>
      <c r="J81" s="164">
        <f t="shared" ref="J81:J85" si="73">F81/H81</f>
        <v>23.67857143</v>
      </c>
      <c r="K81" s="164">
        <v>173.0</v>
      </c>
      <c r="L81" s="165">
        <v>294.0</v>
      </c>
      <c r="M81" s="155">
        <f t="shared" ref="M81:M86" si="74">G81/L81</f>
        <v>0.05782312925</v>
      </c>
      <c r="N81" s="166">
        <v>11.73</v>
      </c>
      <c r="O81" s="166">
        <v>19.5</v>
      </c>
      <c r="P81" s="167">
        <v>1.0</v>
      </c>
      <c r="Q81" s="168">
        <v>5585.0</v>
      </c>
      <c r="R81" s="155">
        <f t="shared" si="1"/>
        <v>0.6015384615</v>
      </c>
      <c r="S81" s="156">
        <f t="shared" si="2"/>
        <v>1.662404092</v>
      </c>
      <c r="T81" s="155" t="str">
        <f>#REF!/#REF!</f>
        <v>#REF!</v>
      </c>
      <c r="U81" s="76"/>
      <c r="V81" s="77"/>
      <c r="W81" s="2"/>
      <c r="X81" s="2"/>
      <c r="Y81" s="2"/>
      <c r="Z81" s="2"/>
    </row>
    <row r="82" hidden="1" outlineLevel="1">
      <c r="A82" s="157" t="str">
        <f>iferror(if(D82&gt;0,month(D82)&amp;"-"&amp;year(D82),D82),)</f>
        <v/>
      </c>
      <c r="B82" s="158"/>
      <c r="C82" s="169" t="s">
        <v>61</v>
      </c>
      <c r="D82" s="170" t="s">
        <v>62</v>
      </c>
      <c r="E82" s="68"/>
      <c r="F82" s="164">
        <v>1214.55</v>
      </c>
      <c r="G82" s="171">
        <v>45.0</v>
      </c>
      <c r="H82" s="171">
        <v>44.0</v>
      </c>
      <c r="I82" s="163">
        <f t="shared" si="72"/>
        <v>1.022727273</v>
      </c>
      <c r="J82" s="164">
        <f t="shared" si="73"/>
        <v>27.60340909</v>
      </c>
      <c r="K82" s="164">
        <f t="shared" ref="K82:K85" si="75">F82/G82</f>
        <v>26.99</v>
      </c>
      <c r="L82" s="165">
        <v>563.0</v>
      </c>
      <c r="M82" s="155">
        <f t="shared" si="74"/>
        <v>0.07992895204</v>
      </c>
      <c r="N82" s="172">
        <v>326.93</v>
      </c>
      <c r="O82" s="172">
        <v>716.75</v>
      </c>
      <c r="P82" s="173">
        <v>23.0</v>
      </c>
      <c r="Q82" s="174">
        <v>75252.0</v>
      </c>
      <c r="R82" s="155">
        <f t="shared" si="1"/>
        <v>0.4561283572</v>
      </c>
      <c r="S82" s="156">
        <f t="shared" si="2"/>
        <v>2.192365338</v>
      </c>
      <c r="T82" s="155">
        <f t="shared" ref="T82:T87" si="76">O82/F82</f>
        <v>0.5901362645</v>
      </c>
      <c r="U82" s="76"/>
      <c r="V82" s="77"/>
      <c r="W82" s="2"/>
      <c r="X82" s="2"/>
      <c r="Y82" s="2"/>
      <c r="Z82" s="2"/>
    </row>
    <row r="83" hidden="1" outlineLevel="1">
      <c r="A83" s="175"/>
      <c r="B83" s="158"/>
      <c r="C83" s="176" t="s">
        <v>14</v>
      </c>
      <c r="D83" s="177" t="s">
        <v>15</v>
      </c>
      <c r="E83" s="68"/>
      <c r="F83" s="164">
        <v>531.25</v>
      </c>
      <c r="G83" s="171">
        <v>25.0</v>
      </c>
      <c r="H83" s="171">
        <v>25.0</v>
      </c>
      <c r="I83" s="163">
        <f t="shared" si="72"/>
        <v>1</v>
      </c>
      <c r="J83" s="164">
        <f t="shared" si="73"/>
        <v>21.25</v>
      </c>
      <c r="K83" s="164">
        <f t="shared" si="75"/>
        <v>21.25</v>
      </c>
      <c r="L83" s="165">
        <v>343.0</v>
      </c>
      <c r="M83" s="155">
        <f t="shared" si="74"/>
        <v>0.07288629738</v>
      </c>
      <c r="N83" s="178">
        <v>8.32</v>
      </c>
      <c r="O83" s="178">
        <v>21.25</v>
      </c>
      <c r="P83" s="179">
        <v>1.0</v>
      </c>
      <c r="Q83" s="180">
        <v>4382.0</v>
      </c>
      <c r="R83" s="155">
        <f t="shared" si="1"/>
        <v>0.3915294118</v>
      </c>
      <c r="S83" s="156">
        <f t="shared" si="2"/>
        <v>2.554086538</v>
      </c>
      <c r="T83" s="155">
        <f t="shared" si="76"/>
        <v>0.04</v>
      </c>
      <c r="U83" s="76"/>
      <c r="V83" s="77"/>
      <c r="W83" s="2"/>
      <c r="X83" s="2"/>
      <c r="Y83" s="2"/>
      <c r="Z83" s="2"/>
    </row>
    <row r="84" hidden="1" outlineLevel="1">
      <c r="A84" s="175"/>
      <c r="B84" s="158"/>
      <c r="C84" s="181" t="s">
        <v>63</v>
      </c>
      <c r="D84" s="182" t="s">
        <v>64</v>
      </c>
      <c r="E84" s="68"/>
      <c r="F84" s="164">
        <v>574.77</v>
      </c>
      <c r="G84" s="171">
        <v>23.0</v>
      </c>
      <c r="H84" s="171">
        <v>18.0</v>
      </c>
      <c r="I84" s="163">
        <f t="shared" si="72"/>
        <v>1.277777778</v>
      </c>
      <c r="J84" s="164">
        <f t="shared" si="73"/>
        <v>31.93166667</v>
      </c>
      <c r="K84" s="164">
        <f t="shared" si="75"/>
        <v>24.99</v>
      </c>
      <c r="L84" s="165">
        <v>445.0</v>
      </c>
      <c r="M84" s="155">
        <f t="shared" si="74"/>
        <v>0.05168539326</v>
      </c>
      <c r="N84" s="183">
        <v>51.85</v>
      </c>
      <c r="O84" s="183">
        <v>271.4</v>
      </c>
      <c r="P84" s="184">
        <v>8.0</v>
      </c>
      <c r="Q84" s="185">
        <v>18297.0</v>
      </c>
      <c r="R84" s="155">
        <f t="shared" si="1"/>
        <v>0.1910464259</v>
      </c>
      <c r="S84" s="156">
        <f t="shared" si="2"/>
        <v>5.234329797</v>
      </c>
      <c r="T84" s="155">
        <f t="shared" si="76"/>
        <v>0.4721888756</v>
      </c>
      <c r="U84" s="76"/>
      <c r="V84" s="77"/>
      <c r="W84" s="2"/>
      <c r="X84" s="2"/>
      <c r="Y84" s="2"/>
      <c r="Z84" s="2"/>
    </row>
    <row r="85" hidden="1" outlineLevel="1">
      <c r="A85" s="56" t="str">
        <f>iferror(if(B85&gt;0,month(B85)&amp;"-"&amp;year(B85),B85),)</f>
        <v>2-2026</v>
      </c>
      <c r="B85" s="143">
        <v>46081.0</v>
      </c>
      <c r="C85" s="186" t="s">
        <v>65</v>
      </c>
      <c r="D85" s="187" t="s">
        <v>66</v>
      </c>
      <c r="E85" s="68"/>
      <c r="F85" s="164">
        <v>1889.37</v>
      </c>
      <c r="G85" s="171">
        <v>64.0</v>
      </c>
      <c r="H85" s="171">
        <v>60.0</v>
      </c>
      <c r="I85" s="163">
        <f t="shared" si="72"/>
        <v>1.066666667</v>
      </c>
      <c r="J85" s="164">
        <f t="shared" si="73"/>
        <v>31.4895</v>
      </c>
      <c r="K85" s="164">
        <f t="shared" si="75"/>
        <v>29.52140625</v>
      </c>
      <c r="L85" s="165">
        <v>1206.0</v>
      </c>
      <c r="M85" s="155">
        <f t="shared" si="74"/>
        <v>0.05306799337</v>
      </c>
      <c r="N85" s="188">
        <v>19.82</v>
      </c>
      <c r="O85" s="188">
        <v>29.99</v>
      </c>
      <c r="P85" s="189">
        <v>1.0</v>
      </c>
      <c r="Q85" s="189">
        <v>3008.0</v>
      </c>
      <c r="R85" s="155">
        <f t="shared" si="1"/>
        <v>0.6608869623</v>
      </c>
      <c r="S85" s="156">
        <f t="shared" si="2"/>
        <v>1.513118063</v>
      </c>
      <c r="T85" s="155">
        <f t="shared" si="76"/>
        <v>0.01587301587</v>
      </c>
      <c r="U85" s="76"/>
      <c r="V85" s="77"/>
      <c r="W85" s="2"/>
      <c r="X85" s="2"/>
      <c r="Y85" s="2"/>
      <c r="Z85" s="2"/>
    </row>
    <row r="86" collapsed="1">
      <c r="A86" s="78" t="s">
        <v>53</v>
      </c>
      <c r="B86" s="79"/>
      <c r="C86" s="79"/>
      <c r="D86" s="79"/>
      <c r="E86" s="80"/>
      <c r="F86" s="190">
        <f t="shared" ref="F86:H86" si="77">SUM(F80:F85)</f>
        <v>4541.44</v>
      </c>
      <c r="G86" s="191">
        <f t="shared" si="77"/>
        <v>174</v>
      </c>
      <c r="H86" s="191">
        <f t="shared" si="77"/>
        <v>161</v>
      </c>
      <c r="I86" s="192">
        <f t="shared" si="72"/>
        <v>1.080745342</v>
      </c>
      <c r="J86" s="193">
        <f>F86/G86</f>
        <v>26.10022989</v>
      </c>
      <c r="K86" s="193">
        <f>J86/I86</f>
        <v>24.15021271</v>
      </c>
      <c r="L86" s="194">
        <f>SUM(L80:L85)</f>
        <v>2851</v>
      </c>
      <c r="M86" s="195">
        <f t="shared" si="74"/>
        <v>0.06103121712</v>
      </c>
      <c r="N86" s="190">
        <f t="shared" ref="N86:P86" si="78">SUM(N80:N85)</f>
        <v>1424.9</v>
      </c>
      <c r="O86" s="190">
        <f t="shared" si="78"/>
        <v>3409.04</v>
      </c>
      <c r="P86" s="196">
        <f t="shared" si="78"/>
        <v>118</v>
      </c>
      <c r="Q86" s="197">
        <f>sum(Q80:Q85)</f>
        <v>326069</v>
      </c>
      <c r="R86" s="195">
        <f t="shared" si="1"/>
        <v>0.4179769085</v>
      </c>
      <c r="S86" s="198">
        <f t="shared" si="2"/>
        <v>2.392476665</v>
      </c>
      <c r="T86" s="199">
        <f t="shared" si="76"/>
        <v>0.7506517756</v>
      </c>
      <c r="U86" s="225">
        <f>iferror((F86-F58)/F86,)</f>
        <v>0.2917290551</v>
      </c>
      <c r="V86" s="226">
        <f>iferror((H86-G58)/H86,)</f>
        <v>0.2422360248</v>
      </c>
      <c r="W86" s="2"/>
      <c r="X86" s="2"/>
      <c r="Y86" s="2"/>
      <c r="Z86" s="2"/>
    </row>
    <row r="87" hidden="1" outlineLevel="1">
      <c r="A87" s="56" t="str">
        <f>iferror(if(B87&gt;0,month(B87)&amp;"-"&amp;year(B87),B87),)</f>
        <v>3-2026</v>
      </c>
      <c r="B87" s="143">
        <v>46082.0</v>
      </c>
      <c r="C87" s="144"/>
      <c r="D87" s="145" t="s">
        <v>60</v>
      </c>
      <c r="E87" s="58"/>
      <c r="F87" s="146"/>
      <c r="G87" s="147"/>
      <c r="H87" s="147"/>
      <c r="I87" s="148"/>
      <c r="J87" s="149"/>
      <c r="K87" s="149"/>
      <c r="L87" s="150"/>
      <c r="M87" s="151"/>
      <c r="N87" s="152">
        <v>1372.81</v>
      </c>
      <c r="O87" s="152">
        <v>3764.59</v>
      </c>
      <c r="P87" s="153">
        <v>128.0</v>
      </c>
      <c r="Q87" s="154">
        <v>267243.0</v>
      </c>
      <c r="R87" s="155">
        <f t="shared" si="1"/>
        <v>0.3646638811</v>
      </c>
      <c r="S87" s="156">
        <f t="shared" si="2"/>
        <v>2.742251295</v>
      </c>
      <c r="T87" s="155" t="str">
        <f t="shared" si="76"/>
        <v>#DIV/0!</v>
      </c>
      <c r="U87" s="76"/>
      <c r="V87" s="77"/>
      <c r="W87" s="2"/>
      <c r="X87" s="2"/>
      <c r="Y87" s="2"/>
      <c r="Z87" s="2"/>
    </row>
    <row r="88" hidden="1" outlineLevel="1">
      <c r="A88" s="157"/>
      <c r="B88" s="158"/>
      <c r="C88" s="159" t="s">
        <v>12</v>
      </c>
      <c r="D88" s="160" t="s">
        <v>13</v>
      </c>
      <c r="E88" s="58"/>
      <c r="F88" s="161">
        <v>390.0</v>
      </c>
      <c r="G88" s="162">
        <v>20.0</v>
      </c>
      <c r="H88" s="162">
        <v>18.0</v>
      </c>
      <c r="I88" s="163">
        <f t="shared" ref="I88:I93" si="79">G88/H88</f>
        <v>1.111111111</v>
      </c>
      <c r="J88" s="164">
        <f t="shared" ref="J88:J92" si="80">F88/H88</f>
        <v>21.66666667</v>
      </c>
      <c r="K88" s="164">
        <v>173.0</v>
      </c>
      <c r="L88" s="165">
        <v>345.0</v>
      </c>
      <c r="M88" s="155">
        <f t="shared" ref="M88:M93" si="81">G88/L88</f>
        <v>0.05797101449</v>
      </c>
      <c r="N88" s="166">
        <v>9.56</v>
      </c>
      <c r="O88" s="166">
        <v>19.5</v>
      </c>
      <c r="P88" s="167">
        <v>1.0</v>
      </c>
      <c r="Q88" s="168">
        <v>2927.0</v>
      </c>
      <c r="R88" s="155">
        <f t="shared" si="1"/>
        <v>0.4902564103</v>
      </c>
      <c r="S88" s="156">
        <f t="shared" si="2"/>
        <v>2.039748954</v>
      </c>
      <c r="T88" s="155" t="str">
        <f>#REF!/#REF!</f>
        <v>#REF!</v>
      </c>
      <c r="U88" s="76"/>
      <c r="V88" s="77"/>
      <c r="W88" s="2"/>
      <c r="X88" s="2"/>
      <c r="Y88" s="2"/>
      <c r="Z88" s="2"/>
    </row>
    <row r="89" hidden="1" outlineLevel="1">
      <c r="A89" s="157" t="str">
        <f>iferror(if(D89&gt;0,month(D89)&amp;"-"&amp;year(D89),D89),)</f>
        <v/>
      </c>
      <c r="B89" s="158"/>
      <c r="C89" s="169" t="s">
        <v>61</v>
      </c>
      <c r="D89" s="170" t="s">
        <v>62</v>
      </c>
      <c r="E89" s="68"/>
      <c r="F89" s="164">
        <v>1538.43</v>
      </c>
      <c r="G89" s="171">
        <v>57.0</v>
      </c>
      <c r="H89" s="171">
        <v>52.0</v>
      </c>
      <c r="I89" s="163">
        <f t="shared" si="79"/>
        <v>1.096153846</v>
      </c>
      <c r="J89" s="164">
        <f t="shared" si="80"/>
        <v>29.58519231</v>
      </c>
      <c r="K89" s="164">
        <f t="shared" ref="K89:K92" si="82">F89/G89</f>
        <v>26.99</v>
      </c>
      <c r="L89" s="165">
        <v>586.0</v>
      </c>
      <c r="M89" s="155">
        <f t="shared" si="81"/>
        <v>0.09726962457</v>
      </c>
      <c r="N89" s="172">
        <v>194.41</v>
      </c>
      <c r="O89" s="172">
        <v>434.85</v>
      </c>
      <c r="P89" s="173">
        <v>15.0</v>
      </c>
      <c r="Q89" s="174">
        <v>43888.0</v>
      </c>
      <c r="R89" s="155">
        <f t="shared" si="1"/>
        <v>0.4470737036</v>
      </c>
      <c r="S89" s="156">
        <f t="shared" si="2"/>
        <v>2.236767656</v>
      </c>
      <c r="T89" s="155">
        <f t="shared" ref="T89:T94" si="83">O89/F89</f>
        <v>0.2826582945</v>
      </c>
      <c r="U89" s="76"/>
      <c r="V89" s="77"/>
      <c r="W89" s="2"/>
      <c r="X89" s="2"/>
      <c r="Y89" s="2"/>
      <c r="Z89" s="2"/>
    </row>
    <row r="90" hidden="1" outlineLevel="1">
      <c r="A90" s="175"/>
      <c r="B90" s="158"/>
      <c r="C90" s="176" t="s">
        <v>14</v>
      </c>
      <c r="D90" s="177" t="s">
        <v>15</v>
      </c>
      <c r="E90" s="68"/>
      <c r="F90" s="164">
        <v>403.75</v>
      </c>
      <c r="G90" s="171">
        <v>19.0</v>
      </c>
      <c r="H90" s="171">
        <v>16.0</v>
      </c>
      <c r="I90" s="163">
        <f t="shared" si="79"/>
        <v>1.1875</v>
      </c>
      <c r="J90" s="164">
        <f t="shared" si="80"/>
        <v>25.234375</v>
      </c>
      <c r="K90" s="164">
        <f t="shared" si="82"/>
        <v>21.25</v>
      </c>
      <c r="L90" s="165">
        <v>286.0</v>
      </c>
      <c r="M90" s="155">
        <f t="shared" si="81"/>
        <v>0.06643356643</v>
      </c>
      <c r="N90" s="178">
        <v>6.39</v>
      </c>
      <c r="O90" s="178">
        <v>21.25</v>
      </c>
      <c r="P90" s="179">
        <v>1.0</v>
      </c>
      <c r="Q90" s="180">
        <v>1486.0</v>
      </c>
      <c r="R90" s="155">
        <f t="shared" si="1"/>
        <v>0.3007058824</v>
      </c>
      <c r="S90" s="156">
        <f t="shared" si="2"/>
        <v>3.325508607</v>
      </c>
      <c r="T90" s="155">
        <f t="shared" si="83"/>
        <v>0.05263157895</v>
      </c>
      <c r="U90" s="76"/>
      <c r="V90" s="77"/>
      <c r="W90" s="2"/>
      <c r="X90" s="2"/>
      <c r="Y90" s="2"/>
      <c r="Z90" s="2"/>
    </row>
    <row r="91" hidden="1" outlineLevel="1">
      <c r="A91" s="175"/>
      <c r="B91" s="158"/>
      <c r="C91" s="181" t="s">
        <v>63</v>
      </c>
      <c r="D91" s="182" t="s">
        <v>64</v>
      </c>
      <c r="E91" s="68"/>
      <c r="F91" s="164">
        <v>574.77</v>
      </c>
      <c r="G91" s="171">
        <v>23.0</v>
      </c>
      <c r="H91" s="171">
        <v>20.0</v>
      </c>
      <c r="I91" s="163">
        <f t="shared" si="79"/>
        <v>1.15</v>
      </c>
      <c r="J91" s="164">
        <f t="shared" si="80"/>
        <v>28.7385</v>
      </c>
      <c r="K91" s="164">
        <f t="shared" si="82"/>
        <v>24.99</v>
      </c>
      <c r="L91" s="165">
        <v>519.0</v>
      </c>
      <c r="M91" s="155">
        <f t="shared" si="81"/>
        <v>0.04431599229</v>
      </c>
      <c r="N91" s="183">
        <v>76.7</v>
      </c>
      <c r="O91" s="183">
        <v>126.95</v>
      </c>
      <c r="P91" s="184">
        <v>5.0</v>
      </c>
      <c r="Q91" s="185">
        <v>19628.0</v>
      </c>
      <c r="R91" s="155">
        <f t="shared" si="1"/>
        <v>0.604174872</v>
      </c>
      <c r="S91" s="156">
        <f t="shared" si="2"/>
        <v>1.655149935</v>
      </c>
      <c r="T91" s="155">
        <f t="shared" si="83"/>
        <v>0.2208709571</v>
      </c>
      <c r="U91" s="76"/>
      <c r="V91" s="77"/>
      <c r="W91" s="2"/>
      <c r="X91" s="2"/>
      <c r="Y91" s="2"/>
      <c r="Z91" s="2"/>
    </row>
    <row r="92" hidden="1" outlineLevel="1">
      <c r="A92" s="56" t="str">
        <f>iferror(if(B92&gt;0,month(B92)&amp;"-"&amp;year(B92),B92),)</f>
        <v>3-2026</v>
      </c>
      <c r="B92" s="143">
        <v>46088.0</v>
      </c>
      <c r="C92" s="186" t="s">
        <v>65</v>
      </c>
      <c r="D92" s="187" t="s">
        <v>66</v>
      </c>
      <c r="E92" s="68"/>
      <c r="F92" s="164">
        <v>2699.1</v>
      </c>
      <c r="G92" s="171">
        <v>91.0</v>
      </c>
      <c r="H92" s="171">
        <v>87.0</v>
      </c>
      <c r="I92" s="163">
        <f t="shared" si="79"/>
        <v>1.045977011</v>
      </c>
      <c r="J92" s="164">
        <f t="shared" si="80"/>
        <v>31.02413793</v>
      </c>
      <c r="K92" s="164">
        <f t="shared" si="82"/>
        <v>29.66043956</v>
      </c>
      <c r="L92" s="165">
        <v>1338.0</v>
      </c>
      <c r="M92" s="155">
        <f t="shared" si="81"/>
        <v>0.06801195815</v>
      </c>
      <c r="N92" s="188">
        <v>23.71</v>
      </c>
      <c r="O92" s="188">
        <v>0.0</v>
      </c>
      <c r="P92" s="189">
        <v>0.0</v>
      </c>
      <c r="Q92" s="189">
        <v>3947.0</v>
      </c>
      <c r="R92" s="155" t="str">
        <f t="shared" si="1"/>
        <v>#DIV/0!</v>
      </c>
      <c r="S92" s="156">
        <f t="shared" si="2"/>
        <v>0</v>
      </c>
      <c r="T92" s="155">
        <f t="shared" si="83"/>
        <v>0</v>
      </c>
      <c r="U92" s="76"/>
      <c r="V92" s="77"/>
      <c r="W92" s="2"/>
      <c r="X92" s="2"/>
      <c r="Y92" s="2"/>
      <c r="Z92" s="2"/>
    </row>
    <row r="93" collapsed="1">
      <c r="A93" s="78" t="s">
        <v>54</v>
      </c>
      <c r="B93" s="79"/>
      <c r="C93" s="79"/>
      <c r="D93" s="79"/>
      <c r="E93" s="80"/>
      <c r="F93" s="190">
        <f t="shared" ref="F93:H93" si="84">SUM(F87:F92)</f>
        <v>5606.05</v>
      </c>
      <c r="G93" s="191">
        <f t="shared" si="84"/>
        <v>210</v>
      </c>
      <c r="H93" s="191">
        <f t="shared" si="84"/>
        <v>193</v>
      </c>
      <c r="I93" s="192">
        <f t="shared" si="79"/>
        <v>1.088082902</v>
      </c>
      <c r="J93" s="193">
        <f>F93/G93</f>
        <v>26.69547619</v>
      </c>
      <c r="K93" s="193">
        <f>J93/I93</f>
        <v>24.53441383</v>
      </c>
      <c r="L93" s="194">
        <f>SUM(L87:L92)</f>
        <v>3074</v>
      </c>
      <c r="M93" s="195">
        <f t="shared" si="81"/>
        <v>0.06831489915</v>
      </c>
      <c r="N93" s="190">
        <f t="shared" ref="N93:P93" si="85">SUM(N87:N92)</f>
        <v>1683.58</v>
      </c>
      <c r="O93" s="190">
        <f t="shared" si="85"/>
        <v>4367.14</v>
      </c>
      <c r="P93" s="196">
        <f t="shared" si="85"/>
        <v>150</v>
      </c>
      <c r="Q93" s="197">
        <f>sum(Q87:Q92)</f>
        <v>339119</v>
      </c>
      <c r="R93" s="195">
        <f t="shared" si="1"/>
        <v>0.3855108836</v>
      </c>
      <c r="S93" s="198">
        <f t="shared" si="2"/>
        <v>2.593960489</v>
      </c>
      <c r="T93" s="199">
        <f t="shared" si="83"/>
        <v>0.7790048251</v>
      </c>
      <c r="U93" s="225">
        <f>iferror((F93-F58)/F93,)</f>
        <v>0.426232374</v>
      </c>
      <c r="V93" s="226">
        <f>iferror((H93-G58)/H93,)</f>
        <v>0.3678756477</v>
      </c>
      <c r="W93" s="2"/>
      <c r="X93" s="2"/>
      <c r="Y93" s="2"/>
      <c r="Z93" s="2"/>
    </row>
    <row r="94">
      <c r="A94" s="56" t="str">
        <f>iferror(if(B94&gt;0,month(B94)&amp;"-"&amp;year(B94),B94),)</f>
        <v>3-2026</v>
      </c>
      <c r="B94" s="227">
        <v>46089.0</v>
      </c>
      <c r="C94" s="144"/>
      <c r="D94" s="228" t="s">
        <v>60</v>
      </c>
      <c r="E94" s="58"/>
      <c r="F94" s="146"/>
      <c r="G94" s="147"/>
      <c r="H94" s="147"/>
      <c r="I94" s="148"/>
      <c r="J94" s="149"/>
      <c r="K94" s="149"/>
      <c r="L94" s="150"/>
      <c r="M94" s="151"/>
      <c r="N94" s="229">
        <v>1327.98</v>
      </c>
      <c r="O94" s="229">
        <v>3502.77</v>
      </c>
      <c r="P94" s="230">
        <v>119.0</v>
      </c>
      <c r="Q94" s="231">
        <v>261002.0</v>
      </c>
      <c r="R94" s="155">
        <f t="shared" si="1"/>
        <v>0.3791228085</v>
      </c>
      <c r="S94" s="156">
        <f t="shared" si="2"/>
        <v>2.637667736</v>
      </c>
      <c r="T94" s="155" t="str">
        <f t="shared" si="83"/>
        <v>#DIV/0!</v>
      </c>
      <c r="U94" s="76"/>
      <c r="V94" s="77"/>
      <c r="W94" s="2"/>
      <c r="X94" s="2"/>
    </row>
    <row r="95">
      <c r="A95" s="157"/>
      <c r="B95" s="158"/>
      <c r="C95" s="232" t="s">
        <v>12</v>
      </c>
      <c r="D95" s="232" t="s">
        <v>13</v>
      </c>
      <c r="E95" s="58"/>
      <c r="F95" s="233">
        <v>351.0</v>
      </c>
      <c r="G95" s="234">
        <v>18.0</v>
      </c>
      <c r="H95" s="234">
        <v>12.0</v>
      </c>
      <c r="I95" s="71">
        <f t="shared" ref="I95:I100" si="86">G95/H95</f>
        <v>1.5</v>
      </c>
      <c r="J95" s="69">
        <f t="shared" ref="J95:J99" si="87">F95/H95</f>
        <v>29.25</v>
      </c>
      <c r="K95" s="235">
        <v>173.0</v>
      </c>
      <c r="L95" s="236">
        <v>325.0</v>
      </c>
      <c r="M95" s="73">
        <f t="shared" ref="M95:M100" si="88">G95/L95</f>
        <v>0.05538461538</v>
      </c>
      <c r="N95" s="237">
        <v>10.93</v>
      </c>
      <c r="O95" s="237">
        <v>40.75</v>
      </c>
      <c r="P95" s="238">
        <v>2.0</v>
      </c>
      <c r="Q95" s="239">
        <v>3586.0</v>
      </c>
      <c r="R95" s="155">
        <f t="shared" si="1"/>
        <v>0.2682208589</v>
      </c>
      <c r="S95" s="156">
        <f t="shared" si="2"/>
        <v>3.728270814</v>
      </c>
      <c r="T95" s="155" t="str">
        <f>#REF!/#REF!</f>
        <v>#REF!</v>
      </c>
      <c r="U95" s="76"/>
      <c r="V95" s="77"/>
      <c r="W95" s="2"/>
      <c r="X95" s="2"/>
    </row>
    <row r="96">
      <c r="A96" s="157" t="str">
        <f>iferror(if(D96&gt;0,month(D96)&amp;"-"&amp;year(D96),D96),)</f>
        <v/>
      </c>
      <c r="B96" s="158"/>
      <c r="C96" s="240" t="s">
        <v>61</v>
      </c>
      <c r="D96" s="240" t="s">
        <v>62</v>
      </c>
      <c r="E96" s="68"/>
      <c r="F96" s="235">
        <v>1403.48</v>
      </c>
      <c r="G96" s="241">
        <v>52.0</v>
      </c>
      <c r="H96" s="241">
        <v>49.0</v>
      </c>
      <c r="I96" s="71">
        <f t="shared" si="86"/>
        <v>1.06122449</v>
      </c>
      <c r="J96" s="69">
        <f t="shared" si="87"/>
        <v>28.64244898</v>
      </c>
      <c r="K96" s="69">
        <f t="shared" ref="K96:K99" si="89">F96/G96</f>
        <v>26.99</v>
      </c>
      <c r="L96" s="236">
        <v>549.0</v>
      </c>
      <c r="M96" s="73">
        <f t="shared" si="88"/>
        <v>0.09471766849</v>
      </c>
      <c r="N96" s="242">
        <v>100.77</v>
      </c>
      <c r="O96" s="242">
        <v>146.95</v>
      </c>
      <c r="P96" s="243">
        <v>5.0</v>
      </c>
      <c r="Q96" s="244">
        <v>22165.0</v>
      </c>
      <c r="R96" s="155">
        <f t="shared" si="1"/>
        <v>0.6857434502</v>
      </c>
      <c r="S96" s="156">
        <f t="shared" si="2"/>
        <v>1.458271311</v>
      </c>
      <c r="T96" s="155">
        <f t="shared" ref="T96:T101" si="90">O96/F96</f>
        <v>0.1047040214</v>
      </c>
      <c r="U96" s="76"/>
      <c r="V96" s="77"/>
      <c r="W96" s="2"/>
      <c r="X96" s="2"/>
    </row>
    <row r="97">
      <c r="A97" s="56"/>
      <c r="B97" s="227"/>
      <c r="C97" s="245" t="s">
        <v>14</v>
      </c>
      <c r="D97" s="245" t="s">
        <v>15</v>
      </c>
      <c r="E97" s="68"/>
      <c r="F97" s="235">
        <v>616.25</v>
      </c>
      <c r="G97" s="241">
        <v>29.0</v>
      </c>
      <c r="H97" s="241">
        <v>27.0</v>
      </c>
      <c r="I97" s="71">
        <f t="shared" si="86"/>
        <v>1.074074074</v>
      </c>
      <c r="J97" s="69">
        <f t="shared" si="87"/>
        <v>22.82407407</v>
      </c>
      <c r="K97" s="69">
        <f t="shared" si="89"/>
        <v>21.25</v>
      </c>
      <c r="L97" s="236">
        <v>326.0</v>
      </c>
      <c r="M97" s="73">
        <f t="shared" si="88"/>
        <v>0.08895705521</v>
      </c>
      <c r="N97" s="246">
        <v>8.13</v>
      </c>
      <c r="O97" s="246">
        <v>46.24</v>
      </c>
      <c r="P97" s="247">
        <v>2.0</v>
      </c>
      <c r="Q97" s="248">
        <v>1791.0</v>
      </c>
      <c r="R97" s="155">
        <f t="shared" si="1"/>
        <v>0.1758217993</v>
      </c>
      <c r="S97" s="156">
        <f t="shared" si="2"/>
        <v>5.687576876</v>
      </c>
      <c r="T97" s="155">
        <f t="shared" si="90"/>
        <v>0.07503448276</v>
      </c>
      <c r="U97" s="76"/>
      <c r="V97" s="77"/>
      <c r="W97" s="2"/>
      <c r="X97" s="2"/>
    </row>
    <row r="98">
      <c r="A98" s="56"/>
      <c r="B98" s="227"/>
      <c r="C98" s="249" t="s">
        <v>63</v>
      </c>
      <c r="D98" s="249" t="s">
        <v>64</v>
      </c>
      <c r="E98" s="68"/>
      <c r="F98" s="235">
        <v>799.68</v>
      </c>
      <c r="G98" s="241">
        <v>33.0</v>
      </c>
      <c r="H98" s="241">
        <v>29.0</v>
      </c>
      <c r="I98" s="71">
        <f t="shared" si="86"/>
        <v>1.137931034</v>
      </c>
      <c r="J98" s="69">
        <f t="shared" si="87"/>
        <v>27.57517241</v>
      </c>
      <c r="K98" s="69">
        <f t="shared" si="89"/>
        <v>24.23272727</v>
      </c>
      <c r="L98" s="236">
        <v>570.0</v>
      </c>
      <c r="M98" s="73">
        <f t="shared" si="88"/>
        <v>0.05789473684</v>
      </c>
      <c r="N98" s="250">
        <v>60.99</v>
      </c>
      <c r="O98" s="250">
        <v>272.43</v>
      </c>
      <c r="P98" s="251">
        <v>8.0</v>
      </c>
      <c r="Q98" s="252">
        <v>12031.0</v>
      </c>
      <c r="R98" s="155">
        <f t="shared" si="1"/>
        <v>0.2238740227</v>
      </c>
      <c r="S98" s="156">
        <f t="shared" si="2"/>
        <v>4.466797836</v>
      </c>
      <c r="T98" s="155">
        <f t="shared" si="90"/>
        <v>0.3406737695</v>
      </c>
      <c r="U98" s="76"/>
      <c r="V98" s="77"/>
      <c r="W98" s="2"/>
      <c r="X98" s="2"/>
    </row>
    <row r="99">
      <c r="A99" s="56" t="str">
        <f>iferror(if(B99&gt;0,month(B99)&amp;"-"&amp;year(B99),B99),)</f>
        <v>3-2026</v>
      </c>
      <c r="B99" s="227">
        <v>46095.0</v>
      </c>
      <c r="C99" s="253" t="s">
        <v>65</v>
      </c>
      <c r="D99" s="253" t="s">
        <v>66</v>
      </c>
      <c r="E99" s="68"/>
      <c r="F99" s="235">
        <v>2342.24</v>
      </c>
      <c r="G99" s="241">
        <v>76.0</v>
      </c>
      <c r="H99" s="241">
        <v>74.0</v>
      </c>
      <c r="I99" s="71">
        <f t="shared" si="86"/>
        <v>1.027027027</v>
      </c>
      <c r="J99" s="69">
        <f t="shared" si="87"/>
        <v>31.65189189</v>
      </c>
      <c r="K99" s="69">
        <f t="shared" si="89"/>
        <v>30.81894737</v>
      </c>
      <c r="L99" s="236">
        <v>1249.0</v>
      </c>
      <c r="M99" s="73">
        <f t="shared" si="88"/>
        <v>0.06084867894</v>
      </c>
      <c r="N99" s="254">
        <v>8.83</v>
      </c>
      <c r="O99" s="254">
        <v>29.99</v>
      </c>
      <c r="P99" s="255">
        <v>1.0</v>
      </c>
      <c r="Q99" s="255">
        <v>1407.0</v>
      </c>
      <c r="R99" s="155">
        <f t="shared" si="1"/>
        <v>0.2944314772</v>
      </c>
      <c r="S99" s="156">
        <f t="shared" si="2"/>
        <v>3.396375991</v>
      </c>
      <c r="T99" s="155">
        <f t="shared" si="90"/>
        <v>0.01280398251</v>
      </c>
      <c r="U99" s="76"/>
      <c r="V99" s="77"/>
      <c r="W99" s="2"/>
      <c r="X99" s="2"/>
    </row>
    <row r="100">
      <c r="A100" s="256" t="s">
        <v>56</v>
      </c>
      <c r="B100" s="79"/>
      <c r="C100" s="79"/>
      <c r="D100" s="79"/>
      <c r="E100" s="80"/>
      <c r="F100" s="81">
        <f t="shared" ref="F100:H100" si="91">SUM(F94:F99)</f>
        <v>5512.65</v>
      </c>
      <c r="G100" s="256">
        <f t="shared" si="91"/>
        <v>208</v>
      </c>
      <c r="H100" s="256">
        <f t="shared" si="91"/>
        <v>191</v>
      </c>
      <c r="I100" s="257">
        <f t="shared" si="86"/>
        <v>1.089005236</v>
      </c>
      <c r="J100" s="84">
        <f>F100/G100</f>
        <v>26.503125</v>
      </c>
      <c r="K100" s="84">
        <f>J100/I100</f>
        <v>24.33700421</v>
      </c>
      <c r="L100" s="85">
        <f>SUM(L94:L99)</f>
        <v>3019</v>
      </c>
      <c r="M100" s="86">
        <f t="shared" si="88"/>
        <v>0.06889698576</v>
      </c>
      <c r="N100" s="81">
        <f t="shared" ref="N100:P100" si="92">SUM(N94:N99)</f>
        <v>1517.63</v>
      </c>
      <c r="O100" s="81">
        <f t="shared" si="92"/>
        <v>4039.13</v>
      </c>
      <c r="P100" s="256">
        <f t="shared" si="92"/>
        <v>137</v>
      </c>
      <c r="Q100" s="258">
        <f>sum(Q94:Q99)</f>
        <v>301982</v>
      </c>
      <c r="R100" s="86">
        <f t="shared" si="1"/>
        <v>0.3757319027</v>
      </c>
      <c r="S100" s="259">
        <f t="shared" si="2"/>
        <v>2.661472164</v>
      </c>
      <c r="T100" s="89">
        <f t="shared" si="90"/>
        <v>0.732702058</v>
      </c>
      <c r="U100" s="80">
        <f>iferror((F100-F58)/F100,)</f>
        <v>0.4165111153</v>
      </c>
      <c r="V100" s="90">
        <f>iferror((H100-G58)/H100,)</f>
        <v>0.3612565445</v>
      </c>
      <c r="W100" s="2"/>
      <c r="X100" s="2"/>
    </row>
    <row r="101">
      <c r="A101" s="56" t="str">
        <f>iferror(if(B101&gt;0,month(B101)&amp;"-"&amp;year(B101),B101),)</f>
        <v>3-2026</v>
      </c>
      <c r="B101" s="227">
        <v>46096.0</v>
      </c>
      <c r="C101" s="144"/>
      <c r="D101" s="228" t="s">
        <v>60</v>
      </c>
      <c r="E101" s="58"/>
      <c r="F101" s="146"/>
      <c r="G101" s="147"/>
      <c r="H101" s="147"/>
      <c r="I101" s="148"/>
      <c r="J101" s="149"/>
      <c r="K101" s="149"/>
      <c r="L101" s="150"/>
      <c r="M101" s="151"/>
      <c r="N101" s="229">
        <v>1395.15</v>
      </c>
      <c r="O101" s="229">
        <v>4239.84</v>
      </c>
      <c r="P101" s="230">
        <v>139.0</v>
      </c>
      <c r="Q101" s="231">
        <v>300569.0</v>
      </c>
      <c r="R101" s="155">
        <f t="shared" si="1"/>
        <v>0.3290572286</v>
      </c>
      <c r="S101" s="156">
        <f t="shared" si="2"/>
        <v>3.038985055</v>
      </c>
      <c r="T101" s="155" t="str">
        <f t="shared" si="90"/>
        <v>#DIV/0!</v>
      </c>
      <c r="U101" s="76"/>
      <c r="V101" s="77"/>
      <c r="W101" s="2"/>
      <c r="X101" s="2"/>
    </row>
    <row r="102">
      <c r="A102" s="157"/>
      <c r="B102" s="158"/>
      <c r="C102" s="232" t="s">
        <v>12</v>
      </c>
      <c r="D102" s="232" t="s">
        <v>13</v>
      </c>
      <c r="E102" s="58"/>
      <c r="F102" s="233">
        <v>468.0</v>
      </c>
      <c r="G102" s="234">
        <v>24.0</v>
      </c>
      <c r="H102" s="234">
        <v>24.0</v>
      </c>
      <c r="I102" s="71">
        <f t="shared" ref="I102:I107" si="93">G102/H102</f>
        <v>1</v>
      </c>
      <c r="J102" s="69">
        <f t="shared" ref="J102:J106" si="94">F102/H102</f>
        <v>19.5</v>
      </c>
      <c r="K102" s="235">
        <v>173.0</v>
      </c>
      <c r="L102" s="236">
        <v>414.0</v>
      </c>
      <c r="M102" s="73">
        <f t="shared" ref="M102:M107" si="95">G102/L102</f>
        <v>0.05797101449</v>
      </c>
      <c r="N102" s="237">
        <v>29.75</v>
      </c>
      <c r="O102" s="237">
        <v>122.49</v>
      </c>
      <c r="P102" s="238">
        <v>6.0</v>
      </c>
      <c r="Q102" s="239">
        <v>9495.0</v>
      </c>
      <c r="R102" s="155">
        <f t="shared" si="1"/>
        <v>0.2428769695</v>
      </c>
      <c r="S102" s="156">
        <f t="shared" si="2"/>
        <v>4.117310924</v>
      </c>
      <c r="T102" s="155" t="str">
        <f>#REF!/#REF!</f>
        <v>#REF!</v>
      </c>
      <c r="U102" s="76"/>
      <c r="V102" s="77"/>
      <c r="W102" s="2"/>
      <c r="X102" s="2"/>
    </row>
    <row r="103">
      <c r="A103" s="157" t="str">
        <f>iferror(if(D103&gt;0,month(D103)&amp;"-"&amp;year(D103),D103),)</f>
        <v/>
      </c>
      <c r="B103" s="158"/>
      <c r="C103" s="240" t="s">
        <v>61</v>
      </c>
      <c r="D103" s="240" t="s">
        <v>62</v>
      </c>
      <c r="E103" s="68"/>
      <c r="F103" s="235">
        <v>1889.3</v>
      </c>
      <c r="G103" s="241">
        <v>70.0</v>
      </c>
      <c r="H103" s="241">
        <v>60.0</v>
      </c>
      <c r="I103" s="71">
        <f t="shared" si="93"/>
        <v>1.166666667</v>
      </c>
      <c r="J103" s="69">
        <f t="shared" si="94"/>
        <v>31.48833333</v>
      </c>
      <c r="K103" s="69">
        <f t="shared" ref="K103:K106" si="96">F103/G103</f>
        <v>26.99</v>
      </c>
      <c r="L103" s="236">
        <v>983.0</v>
      </c>
      <c r="M103" s="73">
        <f t="shared" si="95"/>
        <v>0.07121057986</v>
      </c>
      <c r="N103" s="242">
        <v>145.16</v>
      </c>
      <c r="O103" s="242">
        <v>498.1</v>
      </c>
      <c r="P103" s="243">
        <v>11.0</v>
      </c>
      <c r="Q103" s="244">
        <v>23692.0</v>
      </c>
      <c r="R103" s="155">
        <f t="shared" si="1"/>
        <v>0.2914274242</v>
      </c>
      <c r="S103" s="156">
        <f t="shared" si="2"/>
        <v>3.431386057</v>
      </c>
      <c r="T103" s="155">
        <f t="shared" ref="T103:T107" si="97">O103/F103</f>
        <v>0.263642619</v>
      </c>
      <c r="U103" s="76"/>
      <c r="V103" s="77"/>
      <c r="W103" s="2"/>
      <c r="X103" s="2"/>
    </row>
    <row r="104">
      <c r="A104" s="56"/>
      <c r="B104" s="227"/>
      <c r="C104" s="245" t="s">
        <v>14</v>
      </c>
      <c r="D104" s="245" t="s">
        <v>15</v>
      </c>
      <c r="E104" s="68"/>
      <c r="F104" s="235">
        <v>786.25</v>
      </c>
      <c r="G104" s="241">
        <v>37.0</v>
      </c>
      <c r="H104" s="241">
        <v>26.0</v>
      </c>
      <c r="I104" s="71">
        <f t="shared" si="93"/>
        <v>1.423076923</v>
      </c>
      <c r="J104" s="69">
        <f t="shared" si="94"/>
        <v>30.24038462</v>
      </c>
      <c r="K104" s="69">
        <f t="shared" si="96"/>
        <v>21.25</v>
      </c>
      <c r="L104" s="236">
        <v>360.0</v>
      </c>
      <c r="M104" s="73">
        <f t="shared" si="95"/>
        <v>0.1027777778</v>
      </c>
      <c r="N104" s="246">
        <v>25.48</v>
      </c>
      <c r="O104" s="246">
        <v>88.99</v>
      </c>
      <c r="P104" s="247">
        <v>4.0</v>
      </c>
      <c r="Q104" s="248">
        <v>6947.0</v>
      </c>
      <c r="R104" s="155">
        <f t="shared" si="1"/>
        <v>0.2863243061</v>
      </c>
      <c r="S104" s="156">
        <f t="shared" si="2"/>
        <v>3.492543171</v>
      </c>
      <c r="T104" s="155">
        <f t="shared" si="97"/>
        <v>0.1131828299</v>
      </c>
      <c r="U104" s="76"/>
      <c r="V104" s="77"/>
      <c r="W104" s="2"/>
      <c r="X104" s="2"/>
    </row>
    <row r="105">
      <c r="A105" s="56"/>
      <c r="B105" s="227"/>
      <c r="C105" s="249" t="s">
        <v>63</v>
      </c>
      <c r="D105" s="249" t="s">
        <v>64</v>
      </c>
      <c r="E105" s="68"/>
      <c r="F105" s="235">
        <v>1199.52</v>
      </c>
      <c r="G105" s="241">
        <v>48.0</v>
      </c>
      <c r="H105" s="241">
        <v>36.0</v>
      </c>
      <c r="I105" s="71">
        <f t="shared" si="93"/>
        <v>1.333333333</v>
      </c>
      <c r="J105" s="69">
        <f t="shared" si="94"/>
        <v>33.32</v>
      </c>
      <c r="K105" s="69">
        <f t="shared" si="96"/>
        <v>24.99</v>
      </c>
      <c r="L105" s="236">
        <v>625.0</v>
      </c>
      <c r="M105" s="73">
        <f t="shared" si="95"/>
        <v>0.0768</v>
      </c>
      <c r="N105" s="250">
        <v>136.58</v>
      </c>
      <c r="O105" s="250">
        <v>506.06</v>
      </c>
      <c r="P105" s="251">
        <v>14.0</v>
      </c>
      <c r="Q105" s="252">
        <v>31230.0</v>
      </c>
      <c r="R105" s="155">
        <f t="shared" si="1"/>
        <v>0.269888946</v>
      </c>
      <c r="S105" s="156">
        <f t="shared" si="2"/>
        <v>3.705227705</v>
      </c>
      <c r="T105" s="155">
        <f t="shared" si="97"/>
        <v>0.4218854208</v>
      </c>
      <c r="U105" s="76"/>
      <c r="V105" s="77"/>
      <c r="W105" s="2"/>
      <c r="X105" s="2"/>
    </row>
    <row r="106">
      <c r="A106" s="56" t="str">
        <f>iferror(if(B106&gt;0,month(B106)&amp;"-"&amp;year(B106),B106),)</f>
        <v>3-2026</v>
      </c>
      <c r="B106" s="227">
        <v>46102.0</v>
      </c>
      <c r="C106" s="253" t="s">
        <v>65</v>
      </c>
      <c r="D106" s="253" t="s">
        <v>66</v>
      </c>
      <c r="E106" s="68"/>
      <c r="F106" s="235">
        <v>3035.08</v>
      </c>
      <c r="G106" s="241">
        <v>92.0</v>
      </c>
      <c r="H106" s="241">
        <v>74.0</v>
      </c>
      <c r="I106" s="71">
        <f t="shared" si="93"/>
        <v>1.243243243</v>
      </c>
      <c r="J106" s="69">
        <f t="shared" si="94"/>
        <v>41.01459459</v>
      </c>
      <c r="K106" s="69">
        <f t="shared" si="96"/>
        <v>32.99</v>
      </c>
      <c r="L106" s="236">
        <v>1253.0</v>
      </c>
      <c r="M106" s="73">
        <f t="shared" si="95"/>
        <v>0.07342378292</v>
      </c>
      <c r="N106" s="254">
        <v>3.02</v>
      </c>
      <c r="O106" s="254">
        <v>0.0</v>
      </c>
      <c r="P106" s="255">
        <v>0.0</v>
      </c>
      <c r="Q106" s="255">
        <v>772.0</v>
      </c>
      <c r="R106" s="155" t="str">
        <f t="shared" si="1"/>
        <v>#DIV/0!</v>
      </c>
      <c r="S106" s="156">
        <f t="shared" si="2"/>
        <v>0</v>
      </c>
      <c r="T106" s="155">
        <f t="shared" si="97"/>
        <v>0</v>
      </c>
      <c r="U106" s="76"/>
      <c r="V106" s="77"/>
      <c r="W106" s="2"/>
      <c r="X106" s="2"/>
    </row>
    <row r="107">
      <c r="A107" s="256" t="s">
        <v>56</v>
      </c>
      <c r="B107" s="79"/>
      <c r="C107" s="79"/>
      <c r="D107" s="79"/>
      <c r="E107" s="80"/>
      <c r="F107" s="81">
        <f t="shared" ref="F107:H107" si="98">SUM(F101:F106)</f>
        <v>7378.15</v>
      </c>
      <c r="G107" s="256">
        <f t="shared" si="98"/>
        <v>271</v>
      </c>
      <c r="H107" s="256">
        <f t="shared" si="98"/>
        <v>220</v>
      </c>
      <c r="I107" s="257">
        <f t="shared" si="93"/>
        <v>1.231818182</v>
      </c>
      <c r="J107" s="84">
        <f>F107/G107</f>
        <v>27.22564576</v>
      </c>
      <c r="K107" s="84">
        <f>J107/I107</f>
        <v>22.10200025</v>
      </c>
      <c r="L107" s="85">
        <f>SUM(L101:L106)</f>
        <v>3635</v>
      </c>
      <c r="M107" s="86">
        <f t="shared" si="95"/>
        <v>0.07455295736</v>
      </c>
      <c r="N107" s="81">
        <f t="shared" ref="N107:P107" si="99">SUM(N101:N106)</f>
        <v>1735.14</v>
      </c>
      <c r="O107" s="81">
        <f t="shared" si="99"/>
        <v>5455.48</v>
      </c>
      <c r="P107" s="256">
        <f t="shared" si="99"/>
        <v>174</v>
      </c>
      <c r="Q107" s="258">
        <f>sum(Q101:Q106)</f>
        <v>372705</v>
      </c>
      <c r="R107" s="86">
        <f t="shared" si="1"/>
        <v>0.3180545067</v>
      </c>
      <c r="S107" s="259">
        <f t="shared" si="2"/>
        <v>3.144115172</v>
      </c>
      <c r="T107" s="89">
        <f t="shared" si="97"/>
        <v>0.7394102858</v>
      </c>
      <c r="U107" s="80">
        <f>iferror((F107-F100)/F107,)</f>
        <v>0.2528411594</v>
      </c>
      <c r="V107" s="90">
        <f>iferror((H107-G100)/H107,)</f>
        <v>0.05454545455</v>
      </c>
      <c r="W107" s="2"/>
      <c r="X107" s="2"/>
    </row>
  </sheetData>
  <mergeCells count="26">
    <mergeCell ref="I3:K3"/>
    <mergeCell ref="I4:K4"/>
    <mergeCell ref="E4:G4"/>
    <mergeCell ref="E5:H5"/>
    <mergeCell ref="I5:K5"/>
    <mergeCell ref="L5:N5"/>
    <mergeCell ref="E3:H3"/>
    <mergeCell ref="E7:H7"/>
    <mergeCell ref="I7:K7"/>
    <mergeCell ref="L7:N7"/>
    <mergeCell ref="E8:G8"/>
    <mergeCell ref="I8:K8"/>
    <mergeCell ref="L8:N8"/>
    <mergeCell ref="E9:H9"/>
    <mergeCell ref="I9:K9"/>
    <mergeCell ref="L9:N9"/>
    <mergeCell ref="F10:M10"/>
    <mergeCell ref="N10:T10"/>
    <mergeCell ref="U10:V10"/>
    <mergeCell ref="A1:D1"/>
    <mergeCell ref="A2:V2"/>
    <mergeCell ref="A3:D9"/>
    <mergeCell ref="L3:N3"/>
    <mergeCell ref="O3:O9"/>
    <mergeCell ref="L4:N4"/>
    <mergeCell ref="L6:N6"/>
  </mergeCells>
  <dataValidations>
    <dataValidation type="list" allowBlank="1" sqref="A2 A23 A30 A37 A44 A51 A58 A65 A72 A79 A86 A93 A100 A107">
      <formula1>"Previous Week,Current Week"</formula1>
    </dataValidation>
  </dataValidations>
  <hyperlinks>
    <hyperlink r:id="rId1" location="/report?id=102%3ADetailSalesTrafficBySKU&amp;chartCols=&amp;columns=0%2F1%2F2%2F3%2F8%2F9%2F14%2F15%2F20%2F21%2F26%2F27%2F28%2F29%2F30%2F31%2F32%2F33%2F34%2F35%2F36%2F37&amp;fromDate=2025-02-16&amp;toDate=2025-02-22" ref="A1"/>
  </hyperlinks>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ySplit="11.0" topLeftCell="A12" activePane="bottomLeft" state="frozen"/>
      <selection activeCell="B13" sqref="B13" pane="bottomLeft"/>
    </sheetView>
  </sheetViews>
  <sheetFormatPr customHeight="1" defaultColWidth="12.63" defaultRowHeight="15.75" outlineLevelRow="1"/>
  <cols>
    <col customWidth="1" min="1" max="1" width="19.0"/>
  </cols>
  <sheetData>
    <row r="1">
      <c r="A1" s="6" t="s">
        <v>16</v>
      </c>
      <c r="B1" s="7"/>
      <c r="C1" s="8"/>
      <c r="D1" s="8"/>
      <c r="E1" s="8"/>
      <c r="F1" s="8"/>
      <c r="G1" s="8"/>
      <c r="H1" s="8"/>
      <c r="I1" s="8"/>
      <c r="J1" s="8"/>
      <c r="K1" s="8"/>
      <c r="L1" s="8"/>
      <c r="M1" s="8"/>
      <c r="N1" s="8"/>
      <c r="O1" s="8"/>
      <c r="P1" s="8"/>
      <c r="Q1" s="8"/>
      <c r="R1" s="8"/>
      <c r="S1" s="8"/>
      <c r="T1" s="8"/>
      <c r="U1" s="9"/>
      <c r="V1" s="9"/>
      <c r="W1" s="10"/>
      <c r="X1" s="10"/>
      <c r="Y1" s="10"/>
      <c r="Z1" s="10"/>
    </row>
    <row r="2">
      <c r="A2" s="11" t="s">
        <v>17</v>
      </c>
      <c r="B2" s="12"/>
      <c r="C2" s="12"/>
      <c r="D2" s="12"/>
      <c r="E2" s="12"/>
      <c r="F2" s="12"/>
      <c r="G2" s="12"/>
      <c r="H2" s="12"/>
      <c r="I2" s="12"/>
      <c r="J2" s="12"/>
      <c r="K2" s="12"/>
      <c r="L2" s="12"/>
      <c r="M2" s="12"/>
      <c r="N2" s="12"/>
      <c r="O2" s="12"/>
      <c r="P2" s="12"/>
      <c r="Q2" s="12"/>
      <c r="R2" s="12"/>
      <c r="S2" s="12"/>
      <c r="T2" s="13"/>
      <c r="U2" s="9"/>
      <c r="V2" s="9"/>
      <c r="W2" s="10"/>
      <c r="X2" s="10"/>
      <c r="Y2" s="10"/>
      <c r="Z2" s="10"/>
    </row>
    <row r="3">
      <c r="A3" s="9"/>
      <c r="C3" s="14" t="s">
        <v>18</v>
      </c>
      <c r="D3" s="12"/>
      <c r="E3" s="12"/>
      <c r="F3" s="13"/>
      <c r="G3" s="14" t="s">
        <v>19</v>
      </c>
      <c r="H3" s="12"/>
      <c r="I3" s="13"/>
      <c r="J3" s="14" t="s">
        <v>20</v>
      </c>
      <c r="K3" s="12"/>
      <c r="L3" s="12"/>
      <c r="M3" s="9"/>
      <c r="N3" s="15"/>
      <c r="O3" s="15"/>
      <c r="P3" s="15"/>
      <c r="Q3" s="15"/>
      <c r="R3" s="15"/>
      <c r="S3" s="15"/>
      <c r="T3" s="15"/>
      <c r="U3" s="9"/>
      <c r="V3" s="9"/>
      <c r="W3" s="10"/>
      <c r="X3" s="10"/>
      <c r="Y3" s="10"/>
      <c r="Z3" s="10"/>
    </row>
    <row r="4">
      <c r="C4" s="16">
        <f>VLOOKUP("Current Week",$A$11:$T$754,match("SALES",$A$11:$T$11,0),FALSE)</f>
        <v>3153.96</v>
      </c>
      <c r="D4" s="12"/>
      <c r="E4" s="13"/>
      <c r="F4" s="15"/>
      <c r="G4" s="17">
        <f>VLOOKUP("Current Week",$A$11:$T$754,match("ORDERS",$A$11:$T$11,0),FALSE)</f>
        <v>111</v>
      </c>
      <c r="H4" s="12"/>
      <c r="I4" s="13"/>
      <c r="J4" s="17">
        <f>VLOOKUP("Current Week",$A$11:$T$754,match("UNITS SOLD",$A$11:$T$11,0),FALSE)</f>
        <v>126</v>
      </c>
      <c r="K4" s="12"/>
      <c r="L4" s="12"/>
      <c r="N4" s="15"/>
      <c r="O4" s="15"/>
      <c r="P4" s="15"/>
      <c r="Q4" s="15"/>
      <c r="R4" s="15"/>
      <c r="S4" s="15"/>
      <c r="T4" s="15"/>
      <c r="U4" s="9"/>
      <c r="V4" s="9"/>
      <c r="W4" s="10"/>
      <c r="X4" s="10"/>
      <c r="Y4" s="10"/>
      <c r="Z4" s="10"/>
    </row>
    <row r="5">
      <c r="C5" s="18">
        <f>(C4-(VLOOKUP("Previous Week",$A$11:$T754,match("SALES",$A$11:$T$11,0),FALSE)))/C4</f>
        <v>0.3657782597</v>
      </c>
      <c r="D5" s="12"/>
      <c r="E5" s="12"/>
      <c r="F5" s="13"/>
      <c r="G5" s="18">
        <f>(G4-(VLOOKUP("Previous Week",$A$11:$T754,match("ORDERS",$A$11:$T$11,0),FALSE)))/G4</f>
        <v>0.3063063063</v>
      </c>
      <c r="H5" s="12"/>
      <c r="I5" s="13"/>
      <c r="J5" s="18">
        <f>(J4-(VLOOKUP("Previous Week",$A$11:$T754,match("UNITS SOLD",$A$11:$T$11,0),FALSE)))/J4</f>
        <v>0.3333333333</v>
      </c>
      <c r="K5" s="12"/>
      <c r="L5" s="12"/>
      <c r="N5" s="15"/>
      <c r="O5" s="15"/>
      <c r="P5" s="15"/>
      <c r="Q5" s="15"/>
      <c r="R5" s="15"/>
      <c r="S5" s="15"/>
      <c r="T5" s="15"/>
      <c r="U5" s="9"/>
      <c r="V5" s="9"/>
      <c r="W5" s="10"/>
      <c r="X5" s="10"/>
      <c r="Y5" s="10"/>
      <c r="Z5" s="10"/>
    </row>
    <row r="6">
      <c r="C6" s="15"/>
      <c r="D6" s="15"/>
      <c r="E6" s="15"/>
      <c r="F6" s="15"/>
      <c r="G6" s="15"/>
      <c r="H6" s="15"/>
      <c r="I6" s="15"/>
      <c r="J6" s="19"/>
      <c r="K6" s="12"/>
      <c r="L6" s="13"/>
      <c r="N6" s="15"/>
      <c r="O6" s="15"/>
      <c r="P6" s="15"/>
      <c r="Q6" s="15"/>
      <c r="R6" s="15"/>
      <c r="S6" s="15"/>
      <c r="T6" s="15"/>
      <c r="U6" s="9"/>
      <c r="V6" s="9"/>
      <c r="W6" s="10"/>
      <c r="X6" s="10"/>
      <c r="Y6" s="10"/>
      <c r="Z6" s="10"/>
    </row>
    <row r="7">
      <c r="C7" s="14" t="s">
        <v>21</v>
      </c>
      <c r="D7" s="12"/>
      <c r="E7" s="12"/>
      <c r="F7" s="13"/>
      <c r="G7" s="14" t="s">
        <v>22</v>
      </c>
      <c r="H7" s="12"/>
      <c r="I7" s="13"/>
      <c r="J7" s="14" t="s">
        <v>23</v>
      </c>
      <c r="K7" s="12"/>
      <c r="L7" s="12"/>
      <c r="N7" s="15"/>
      <c r="O7" s="15"/>
      <c r="P7" s="15"/>
      <c r="Q7" s="15"/>
      <c r="R7" s="15"/>
      <c r="S7" s="15"/>
      <c r="T7" s="15"/>
      <c r="U7" s="9"/>
      <c r="V7" s="9"/>
      <c r="W7" s="10"/>
      <c r="X7" s="10"/>
      <c r="Y7" s="10"/>
      <c r="Z7" s="10"/>
    </row>
    <row r="8">
      <c r="C8" s="16">
        <f>VLOOKUP("Current Week",$A$11:$T$754,match("AD SALES",$A$11:$T$11,0),FALSE)</f>
        <v>2102.55</v>
      </c>
      <c r="D8" s="12"/>
      <c r="E8" s="13"/>
      <c r="F8" s="15"/>
      <c r="G8" s="16">
        <f>VLOOKUP("Current Week",$A$11:$T$754,match("SP AD SPEND",$A$11:$T$11,0),FALSE)</f>
        <v>874.7</v>
      </c>
      <c r="H8" s="12"/>
      <c r="I8" s="13"/>
      <c r="J8" s="20" t="str">
        <f>I8/E8</f>
        <v>#DIV/0!</v>
      </c>
      <c r="K8" s="12"/>
      <c r="L8" s="12"/>
      <c r="N8" s="15"/>
      <c r="O8" s="15"/>
      <c r="P8" s="15"/>
      <c r="Q8" s="15"/>
      <c r="R8" s="15"/>
      <c r="S8" s="15"/>
      <c r="T8" s="15"/>
      <c r="U8" s="9"/>
      <c r="V8" s="9"/>
      <c r="W8" s="10"/>
      <c r="X8" s="10"/>
      <c r="Y8" s="10"/>
      <c r="Z8" s="10"/>
    </row>
    <row r="9">
      <c r="A9" s="21"/>
      <c r="B9" s="21"/>
      <c r="C9" s="22">
        <f>(C8-(VLOOKUP("Previous Week",$A$11:$T754,match("AD SALES",$A$11:$T$11,0),FALSE)))/C8</f>
        <v>0.263189936</v>
      </c>
      <c r="D9" s="21"/>
      <c r="E9" s="21"/>
      <c r="F9" s="23"/>
      <c r="G9" s="24">
        <f>(G8-(VLOOKUP("Previous Week",$A$11:$T754,match("SP AD SPEND",$A$11:$T$11,0),FALSE)))/G8</f>
        <v>0.05541328455</v>
      </c>
      <c r="H9" s="21"/>
      <c r="I9" s="23"/>
      <c r="J9" s="25" t="str">
        <f>(J8-(VLOOKUP("Previous Week",$A$11:$T754,match("ACoS",$A$11:$T$11,0),FALSE)))/J8</f>
        <v>#DIV/0!</v>
      </c>
      <c r="K9" s="21"/>
      <c r="L9" s="21"/>
      <c r="M9" s="21"/>
      <c r="N9" s="26"/>
      <c r="O9" s="26"/>
      <c r="P9" s="26"/>
      <c r="Q9" s="26"/>
      <c r="R9" s="26"/>
      <c r="S9" s="26"/>
      <c r="T9" s="26"/>
      <c r="U9" s="9"/>
      <c r="V9" s="9"/>
      <c r="W9" s="10"/>
      <c r="X9" s="10"/>
      <c r="Y9" s="10"/>
      <c r="Z9" s="10"/>
    </row>
    <row r="10">
      <c r="A10" s="27"/>
      <c r="B10" s="28"/>
      <c r="C10" s="28"/>
      <c r="D10" s="17" t="s">
        <v>24</v>
      </c>
      <c r="E10" s="12"/>
      <c r="F10" s="12"/>
      <c r="G10" s="12"/>
      <c r="H10" s="12"/>
      <c r="I10" s="12"/>
      <c r="J10" s="12"/>
      <c r="K10" s="29"/>
      <c r="L10" s="30" t="s">
        <v>25</v>
      </c>
      <c r="M10" s="12"/>
      <c r="N10" s="12"/>
      <c r="O10" s="12"/>
      <c r="P10" s="12"/>
      <c r="Q10" s="12"/>
      <c r="R10" s="29"/>
      <c r="S10" s="17" t="s">
        <v>26</v>
      </c>
      <c r="T10" s="29"/>
      <c r="U10" s="9"/>
      <c r="V10" s="9"/>
      <c r="W10" s="10"/>
      <c r="X10" s="10"/>
      <c r="Y10" s="10"/>
      <c r="Z10" s="10"/>
    </row>
    <row r="11">
      <c r="A11" s="31" t="s">
        <v>27</v>
      </c>
      <c r="B11" s="32" t="s">
        <v>28</v>
      </c>
      <c r="C11" s="33"/>
      <c r="D11" s="34" t="s">
        <v>29</v>
      </c>
      <c r="E11" s="34" t="s">
        <v>30</v>
      </c>
      <c r="F11" s="34" t="s">
        <v>31</v>
      </c>
      <c r="G11" s="34" t="s">
        <v>32</v>
      </c>
      <c r="H11" s="34" t="s">
        <v>33</v>
      </c>
      <c r="I11" s="34" t="s">
        <v>34</v>
      </c>
      <c r="J11" s="34" t="s">
        <v>35</v>
      </c>
      <c r="K11" s="32" t="s">
        <v>36</v>
      </c>
      <c r="L11" s="34" t="s">
        <v>37</v>
      </c>
      <c r="M11" s="34" t="s">
        <v>38</v>
      </c>
      <c r="N11" s="34" t="s">
        <v>39</v>
      </c>
      <c r="O11" s="34" t="s">
        <v>40</v>
      </c>
      <c r="P11" s="34" t="s">
        <v>23</v>
      </c>
      <c r="Q11" s="34" t="s">
        <v>41</v>
      </c>
      <c r="R11" s="32" t="s">
        <v>42</v>
      </c>
      <c r="S11" s="35" t="s">
        <v>29</v>
      </c>
      <c r="T11" s="32" t="s">
        <v>43</v>
      </c>
      <c r="U11" s="9"/>
      <c r="V11" s="9"/>
      <c r="W11" s="10"/>
      <c r="X11" s="10"/>
      <c r="Y11" s="10"/>
      <c r="Z11" s="10"/>
    </row>
    <row r="12" hidden="1" outlineLevel="1">
      <c r="A12" s="36" t="str">
        <f t="shared" ref="A12:A18" si="1">iferror(if(B12&gt;0,month(B12)&amp;"-"&amp;year(B12),B12),)</f>
        <v>12-2024</v>
      </c>
      <c r="B12" s="37">
        <v>45648.0</v>
      </c>
      <c r="C12" s="38"/>
      <c r="D12" s="39">
        <v>228.91</v>
      </c>
      <c r="E12" s="40">
        <v>9.0</v>
      </c>
      <c r="F12" s="40">
        <v>8.0</v>
      </c>
      <c r="G12" s="41">
        <f t="shared" ref="G12:G467" si="2">E12/F12</f>
        <v>1.125</v>
      </c>
      <c r="H12" s="39">
        <f t="shared" ref="H12:H18" si="3">D12/F12</f>
        <v>28.61375</v>
      </c>
      <c r="I12" s="39">
        <f t="shared" ref="I12:I18" si="4">D12/E12</f>
        <v>25.43444444</v>
      </c>
      <c r="J12" s="42">
        <v>156.0</v>
      </c>
      <c r="K12" s="43">
        <f t="shared" ref="K12:K467" si="5">E12/J12</f>
        <v>0.05769230769</v>
      </c>
      <c r="L12" s="39">
        <v>96.69</v>
      </c>
      <c r="M12" s="39">
        <v>201.92</v>
      </c>
      <c r="N12" s="40">
        <v>7.0</v>
      </c>
      <c r="O12" s="42">
        <v>22184.0</v>
      </c>
      <c r="P12" s="43">
        <f t="shared" ref="P12:P91" si="6">L12/M12</f>
        <v>0.4788530111</v>
      </c>
      <c r="Q12" s="44">
        <f t="shared" ref="Q12:Q467" si="7">M12/L12</f>
        <v>2.088323508</v>
      </c>
      <c r="R12" s="43">
        <f t="shared" ref="R12:R467" si="8">M12/D12</f>
        <v>0.8820933992</v>
      </c>
      <c r="S12" s="45"/>
      <c r="T12" s="46"/>
      <c r="U12" s="9"/>
      <c r="V12" s="9"/>
      <c r="W12" s="9"/>
      <c r="X12" s="9"/>
      <c r="Y12" s="9"/>
      <c r="Z12" s="9"/>
    </row>
    <row r="13" hidden="1" outlineLevel="1">
      <c r="A13" s="47" t="str">
        <f t="shared" si="1"/>
        <v>12-2024</v>
      </c>
      <c r="B13" s="37">
        <v>45649.0</v>
      </c>
      <c r="C13" s="48"/>
      <c r="D13" s="49">
        <v>124.95</v>
      </c>
      <c r="E13" s="50">
        <v>6.0</v>
      </c>
      <c r="F13" s="50">
        <v>6.0</v>
      </c>
      <c r="G13" s="51">
        <f t="shared" si="2"/>
        <v>1</v>
      </c>
      <c r="H13" s="49">
        <f t="shared" si="3"/>
        <v>20.825</v>
      </c>
      <c r="I13" s="49">
        <f t="shared" si="4"/>
        <v>20.825</v>
      </c>
      <c r="J13" s="52">
        <v>88.0</v>
      </c>
      <c r="K13" s="53">
        <f t="shared" si="5"/>
        <v>0.06818181818</v>
      </c>
      <c r="L13" s="49">
        <v>40.17</v>
      </c>
      <c r="M13" s="54">
        <v>74.97</v>
      </c>
      <c r="N13" s="50">
        <v>3.0</v>
      </c>
      <c r="O13" s="52">
        <v>11889.0</v>
      </c>
      <c r="P13" s="53">
        <f t="shared" si="6"/>
        <v>0.5358143257</v>
      </c>
      <c r="Q13" s="55">
        <f t="shared" si="7"/>
        <v>1.866318148</v>
      </c>
      <c r="R13" s="53">
        <f t="shared" si="8"/>
        <v>0.6</v>
      </c>
      <c r="S13" s="19"/>
      <c r="T13" s="28"/>
      <c r="U13" s="9"/>
      <c r="V13" s="9"/>
      <c r="W13" s="9"/>
      <c r="X13" s="9"/>
      <c r="Y13" s="9"/>
      <c r="Z13" s="9"/>
    </row>
    <row r="14" hidden="1" outlineLevel="1">
      <c r="A14" s="47" t="str">
        <f t="shared" si="1"/>
        <v>12-2024</v>
      </c>
      <c r="B14" s="37">
        <v>45650.0</v>
      </c>
      <c r="C14" s="48"/>
      <c r="D14" s="49">
        <v>74.97</v>
      </c>
      <c r="E14" s="50">
        <v>3.0</v>
      </c>
      <c r="F14" s="50">
        <v>2.0</v>
      </c>
      <c r="G14" s="51">
        <f t="shared" si="2"/>
        <v>1.5</v>
      </c>
      <c r="H14" s="49">
        <f t="shared" si="3"/>
        <v>37.485</v>
      </c>
      <c r="I14" s="49">
        <f t="shared" si="4"/>
        <v>24.99</v>
      </c>
      <c r="J14" s="52">
        <v>56.0</v>
      </c>
      <c r="K14" s="53">
        <f t="shared" si="5"/>
        <v>0.05357142857</v>
      </c>
      <c r="L14" s="39">
        <v>26.53</v>
      </c>
      <c r="M14" s="39">
        <v>74.97</v>
      </c>
      <c r="N14" s="40">
        <v>2.0</v>
      </c>
      <c r="O14" s="52">
        <v>8251.0</v>
      </c>
      <c r="P14" s="53">
        <f t="shared" si="6"/>
        <v>0.3538748833</v>
      </c>
      <c r="Q14" s="55">
        <f t="shared" si="7"/>
        <v>2.82585752</v>
      </c>
      <c r="R14" s="53">
        <f t="shared" si="8"/>
        <v>1</v>
      </c>
      <c r="S14" s="19"/>
      <c r="T14" s="28"/>
      <c r="U14" s="9"/>
      <c r="V14" s="9"/>
      <c r="W14" s="9"/>
      <c r="X14" s="9"/>
      <c r="Y14" s="9"/>
      <c r="Z14" s="9"/>
    </row>
    <row r="15" hidden="1" outlineLevel="1">
      <c r="A15" s="47" t="str">
        <f t="shared" si="1"/>
        <v>12-2024</v>
      </c>
      <c r="B15" s="37">
        <v>45651.0</v>
      </c>
      <c r="C15" s="48"/>
      <c r="D15" s="49">
        <v>155.94</v>
      </c>
      <c r="E15" s="50">
        <v>6.0</v>
      </c>
      <c r="F15" s="50">
        <v>4.0</v>
      </c>
      <c r="G15" s="51">
        <f t="shared" si="2"/>
        <v>1.5</v>
      </c>
      <c r="H15" s="49">
        <f t="shared" si="3"/>
        <v>38.985</v>
      </c>
      <c r="I15" s="49">
        <f t="shared" si="4"/>
        <v>25.99</v>
      </c>
      <c r="J15" s="52">
        <v>94.0</v>
      </c>
      <c r="K15" s="53">
        <f t="shared" si="5"/>
        <v>0.06382978723</v>
      </c>
      <c r="L15" s="49">
        <v>38.97</v>
      </c>
      <c r="M15" s="49">
        <v>74.97</v>
      </c>
      <c r="N15" s="50">
        <v>3.0</v>
      </c>
      <c r="O15" s="52">
        <v>11515.0</v>
      </c>
      <c r="P15" s="53">
        <f t="shared" si="6"/>
        <v>0.5198079232</v>
      </c>
      <c r="Q15" s="55">
        <f t="shared" si="7"/>
        <v>1.923787529</v>
      </c>
      <c r="R15" s="53">
        <f t="shared" si="8"/>
        <v>0.4807618315</v>
      </c>
      <c r="S15" s="19"/>
      <c r="T15" s="28"/>
      <c r="U15" s="9"/>
      <c r="V15" s="9"/>
      <c r="W15" s="9"/>
      <c r="X15" s="9"/>
      <c r="Y15" s="9"/>
      <c r="Z15" s="9"/>
    </row>
    <row r="16" hidden="1" outlineLevel="1">
      <c r="A16" s="47" t="str">
        <f t="shared" si="1"/>
        <v>12-2024</v>
      </c>
      <c r="B16" s="37">
        <v>45652.0</v>
      </c>
      <c r="C16" s="48"/>
      <c r="D16" s="49">
        <v>278.89</v>
      </c>
      <c r="E16" s="50">
        <v>12.0</v>
      </c>
      <c r="F16" s="50">
        <v>10.0</v>
      </c>
      <c r="G16" s="51">
        <f t="shared" si="2"/>
        <v>1.2</v>
      </c>
      <c r="H16" s="49">
        <f t="shared" si="3"/>
        <v>27.889</v>
      </c>
      <c r="I16" s="49">
        <f t="shared" si="4"/>
        <v>23.24083333</v>
      </c>
      <c r="J16" s="52">
        <v>140.0</v>
      </c>
      <c r="K16" s="53">
        <f t="shared" si="5"/>
        <v>0.08571428571</v>
      </c>
      <c r="L16" s="49">
        <v>76.85</v>
      </c>
      <c r="M16" s="49">
        <v>370.85</v>
      </c>
      <c r="N16" s="50">
        <v>13.0</v>
      </c>
      <c r="O16" s="52">
        <v>20049.0</v>
      </c>
      <c r="P16" s="53">
        <f t="shared" si="6"/>
        <v>0.2072266415</v>
      </c>
      <c r="Q16" s="55">
        <f t="shared" si="7"/>
        <v>4.825634353</v>
      </c>
      <c r="R16" s="53">
        <f t="shared" si="8"/>
        <v>1.329735738</v>
      </c>
      <c r="S16" s="19"/>
      <c r="T16" s="28"/>
      <c r="U16" s="9"/>
      <c r="V16" s="9"/>
      <c r="W16" s="9"/>
      <c r="X16" s="9"/>
      <c r="Y16" s="9"/>
      <c r="Z16" s="9"/>
    </row>
    <row r="17" hidden="1" outlineLevel="1">
      <c r="A17" s="47" t="str">
        <f t="shared" si="1"/>
        <v>12-2024</v>
      </c>
      <c r="B17" s="37">
        <v>45653.0</v>
      </c>
      <c r="C17" s="48"/>
      <c r="D17" s="49">
        <v>151.94</v>
      </c>
      <c r="E17" s="50">
        <v>6.0</v>
      </c>
      <c r="F17" s="50">
        <v>6.0</v>
      </c>
      <c r="G17" s="51">
        <f t="shared" si="2"/>
        <v>1</v>
      </c>
      <c r="H17" s="49">
        <f t="shared" si="3"/>
        <v>25.32333333</v>
      </c>
      <c r="I17" s="49">
        <f t="shared" si="4"/>
        <v>25.32333333</v>
      </c>
      <c r="J17" s="52">
        <v>152.0</v>
      </c>
      <c r="K17" s="53">
        <f t="shared" si="5"/>
        <v>0.03947368421</v>
      </c>
      <c r="L17" s="49">
        <v>68.47</v>
      </c>
      <c r="M17" s="49">
        <v>53.98</v>
      </c>
      <c r="N17" s="50">
        <v>2.0</v>
      </c>
      <c r="O17" s="52">
        <v>22523.0</v>
      </c>
      <c r="P17" s="53">
        <f t="shared" si="6"/>
        <v>1.268432753</v>
      </c>
      <c r="Q17" s="55">
        <f t="shared" si="7"/>
        <v>0.7883744706</v>
      </c>
      <c r="R17" s="53">
        <f t="shared" si="8"/>
        <v>0.3552718178</v>
      </c>
      <c r="S17" s="19"/>
      <c r="T17" s="28"/>
      <c r="U17" s="9"/>
      <c r="V17" s="9"/>
      <c r="W17" s="9"/>
      <c r="X17" s="9"/>
      <c r="Y17" s="9"/>
      <c r="Z17" s="9"/>
    </row>
    <row r="18" hidden="1" outlineLevel="1">
      <c r="A18" s="47" t="str">
        <f t="shared" si="1"/>
        <v>12-2024</v>
      </c>
      <c r="B18" s="37">
        <v>45654.0</v>
      </c>
      <c r="C18" s="48"/>
      <c r="D18" s="49">
        <v>251.9</v>
      </c>
      <c r="E18" s="50">
        <v>10.0</v>
      </c>
      <c r="F18" s="50">
        <v>10.0</v>
      </c>
      <c r="G18" s="51">
        <f t="shared" si="2"/>
        <v>1</v>
      </c>
      <c r="H18" s="49">
        <f t="shared" si="3"/>
        <v>25.19</v>
      </c>
      <c r="I18" s="49">
        <f t="shared" si="4"/>
        <v>25.19</v>
      </c>
      <c r="J18" s="52">
        <v>194.0</v>
      </c>
      <c r="K18" s="53">
        <f t="shared" si="5"/>
        <v>0.05154639175</v>
      </c>
      <c r="L18" s="49">
        <v>109.27</v>
      </c>
      <c r="M18" s="49">
        <v>276.89</v>
      </c>
      <c r="N18" s="50">
        <v>11.0</v>
      </c>
      <c r="O18" s="52">
        <v>30752.0</v>
      </c>
      <c r="P18" s="53">
        <f t="shared" si="6"/>
        <v>0.3946332479</v>
      </c>
      <c r="Q18" s="55">
        <f t="shared" si="7"/>
        <v>2.533998353</v>
      </c>
      <c r="R18" s="53">
        <f t="shared" si="8"/>
        <v>1.099206034</v>
      </c>
      <c r="S18" s="19"/>
      <c r="T18" s="28"/>
      <c r="U18" s="9"/>
      <c r="V18" s="9"/>
      <c r="W18" s="9"/>
      <c r="X18" s="9"/>
      <c r="Y18" s="9"/>
      <c r="Z18" s="9"/>
    </row>
    <row r="19" collapsed="1">
      <c r="A19" s="101" t="s">
        <v>67</v>
      </c>
      <c r="B19" s="102"/>
      <c r="C19" s="103"/>
      <c r="D19" s="104">
        <f t="shared" ref="D19:F19" si="9">SUM(D12:D18)</f>
        <v>1267.5</v>
      </c>
      <c r="E19" s="105">
        <f t="shared" si="9"/>
        <v>52</v>
      </c>
      <c r="F19" s="105">
        <f t="shared" si="9"/>
        <v>46</v>
      </c>
      <c r="G19" s="260">
        <f t="shared" si="2"/>
        <v>1.130434783</v>
      </c>
      <c r="H19" s="104">
        <f>average(H12:H18)</f>
        <v>29.18729762</v>
      </c>
      <c r="I19" s="261">
        <f>H19/G19</f>
        <v>25.81953251</v>
      </c>
      <c r="J19" s="108">
        <f>SUM(J12:J18)</f>
        <v>880</v>
      </c>
      <c r="K19" s="109">
        <f t="shared" si="5"/>
        <v>0.05909090909</v>
      </c>
      <c r="L19" s="104">
        <f t="shared" ref="L19:N19" si="10">SUM(L12:L18)</f>
        <v>456.95</v>
      </c>
      <c r="M19" s="104">
        <f t="shared" si="10"/>
        <v>1128.55</v>
      </c>
      <c r="N19" s="262">
        <f t="shared" si="10"/>
        <v>41</v>
      </c>
      <c r="O19" s="108">
        <f>sum(O12:O18)</f>
        <v>127163</v>
      </c>
      <c r="P19" s="109">
        <f t="shared" si="6"/>
        <v>0.404900093</v>
      </c>
      <c r="Q19" s="263">
        <f t="shared" si="7"/>
        <v>2.469745049</v>
      </c>
      <c r="R19" s="113">
        <f t="shared" si="8"/>
        <v>0.8903747535</v>
      </c>
      <c r="S19" s="103" t="str">
        <f>iferror((D19-#REF!)/D19,)</f>
        <v/>
      </c>
      <c r="T19" s="114" t="str">
        <f>iferror((F19-#REF!)/F19,)</f>
        <v/>
      </c>
      <c r="U19" s="9"/>
      <c r="V19" s="9"/>
      <c r="W19" s="9"/>
      <c r="X19" s="9"/>
      <c r="Y19" s="9"/>
      <c r="Z19" s="9"/>
    </row>
    <row r="20" hidden="1" outlineLevel="1">
      <c r="A20" s="36" t="str">
        <f t="shared" ref="A20:A26" si="11">iferror(if(B20&gt;0,month(B20)&amp;"-"&amp;year(B20),B20),)</f>
        <v>12-2024</v>
      </c>
      <c r="B20" s="37">
        <v>45655.0</v>
      </c>
      <c r="C20" s="38"/>
      <c r="D20" s="39">
        <v>426.83</v>
      </c>
      <c r="E20" s="40">
        <v>17.0</v>
      </c>
      <c r="F20" s="40">
        <v>15.0</v>
      </c>
      <c r="G20" s="41">
        <f t="shared" si="2"/>
        <v>1.133333333</v>
      </c>
      <c r="H20" s="39">
        <f t="shared" ref="H20:H26" si="12">D20/F20</f>
        <v>28.45533333</v>
      </c>
      <c r="I20" s="39">
        <f t="shared" ref="I20:I26" si="13">D20/E20</f>
        <v>25.10764706</v>
      </c>
      <c r="J20" s="42">
        <v>253.0</v>
      </c>
      <c r="K20" s="43">
        <f t="shared" si="5"/>
        <v>0.06719367589</v>
      </c>
      <c r="L20" s="39">
        <v>143.67</v>
      </c>
      <c r="M20" s="39">
        <v>330.87</v>
      </c>
      <c r="N20" s="40">
        <v>12.0</v>
      </c>
      <c r="O20" s="42">
        <v>36837.0</v>
      </c>
      <c r="P20" s="43">
        <f t="shared" si="6"/>
        <v>0.4342188775</v>
      </c>
      <c r="Q20" s="44">
        <f t="shared" si="7"/>
        <v>2.30298601</v>
      </c>
      <c r="R20" s="43">
        <f t="shared" si="8"/>
        <v>0.775179814</v>
      </c>
      <c r="S20" s="45"/>
      <c r="T20" s="46"/>
      <c r="U20" s="9"/>
      <c r="V20" s="9"/>
      <c r="W20" s="9"/>
      <c r="X20" s="9"/>
      <c r="Y20" s="9"/>
      <c r="Z20" s="9"/>
    </row>
    <row r="21" hidden="1" outlineLevel="1">
      <c r="A21" s="47" t="str">
        <f t="shared" si="11"/>
        <v>12-2024</v>
      </c>
      <c r="B21" s="37">
        <v>45656.0</v>
      </c>
      <c r="C21" s="48"/>
      <c r="D21" s="49">
        <v>343.86</v>
      </c>
      <c r="E21" s="50">
        <v>14.0</v>
      </c>
      <c r="F21" s="50">
        <v>11.0</v>
      </c>
      <c r="G21" s="51">
        <f t="shared" si="2"/>
        <v>1.272727273</v>
      </c>
      <c r="H21" s="49">
        <f t="shared" si="12"/>
        <v>31.26</v>
      </c>
      <c r="I21" s="49">
        <f t="shared" si="13"/>
        <v>24.56142857</v>
      </c>
      <c r="J21" s="52">
        <v>143.0</v>
      </c>
      <c r="K21" s="53">
        <f t="shared" si="5"/>
        <v>0.0979020979</v>
      </c>
      <c r="L21" s="49">
        <v>68.95</v>
      </c>
      <c r="M21" s="54">
        <v>97.96</v>
      </c>
      <c r="N21" s="50">
        <v>4.0</v>
      </c>
      <c r="O21" s="52">
        <v>21091.0</v>
      </c>
      <c r="P21" s="53">
        <f t="shared" si="6"/>
        <v>0.7038587178</v>
      </c>
      <c r="Q21" s="55">
        <f t="shared" si="7"/>
        <v>1.420739666</v>
      </c>
      <c r="R21" s="53">
        <f t="shared" si="8"/>
        <v>0.2848833828</v>
      </c>
      <c r="S21" s="19"/>
      <c r="T21" s="28"/>
      <c r="U21" s="9"/>
      <c r="V21" s="9"/>
      <c r="W21" s="9"/>
      <c r="X21" s="9"/>
      <c r="Y21" s="9"/>
      <c r="Z21" s="9"/>
    </row>
    <row r="22" hidden="1" outlineLevel="1">
      <c r="A22" s="47" t="str">
        <f t="shared" si="11"/>
        <v>12-2024</v>
      </c>
      <c r="B22" s="37">
        <v>45657.0</v>
      </c>
      <c r="C22" s="48"/>
      <c r="D22" s="49">
        <v>151.94</v>
      </c>
      <c r="E22" s="50">
        <v>7.0</v>
      </c>
      <c r="F22" s="50">
        <v>6.0</v>
      </c>
      <c r="G22" s="51">
        <f t="shared" si="2"/>
        <v>1.166666667</v>
      </c>
      <c r="H22" s="49">
        <f t="shared" si="12"/>
        <v>25.32333333</v>
      </c>
      <c r="I22" s="49">
        <f t="shared" si="13"/>
        <v>21.70571429</v>
      </c>
      <c r="J22" s="52">
        <v>120.0</v>
      </c>
      <c r="K22" s="53">
        <f t="shared" si="5"/>
        <v>0.05833333333</v>
      </c>
      <c r="L22" s="39">
        <v>51.31</v>
      </c>
      <c r="M22" s="39">
        <v>51.98</v>
      </c>
      <c r="N22" s="40">
        <v>2.0</v>
      </c>
      <c r="O22" s="52">
        <v>11457.0</v>
      </c>
      <c r="P22" s="53">
        <f t="shared" si="6"/>
        <v>0.9871104271</v>
      </c>
      <c r="Q22" s="55">
        <f t="shared" si="7"/>
        <v>1.013057883</v>
      </c>
      <c r="R22" s="53">
        <f t="shared" si="8"/>
        <v>0.3421087271</v>
      </c>
      <c r="S22" s="19"/>
      <c r="T22" s="28"/>
      <c r="U22" s="9"/>
      <c r="V22" s="9"/>
      <c r="W22" s="9"/>
      <c r="X22" s="9"/>
      <c r="Y22" s="9"/>
      <c r="Z22" s="9"/>
    </row>
    <row r="23" hidden="1" outlineLevel="1">
      <c r="A23" s="47" t="str">
        <f t="shared" si="11"/>
        <v>1-2025</v>
      </c>
      <c r="B23" s="37">
        <v>45658.0</v>
      </c>
      <c r="C23" s="48"/>
      <c r="D23" s="49">
        <v>395.84</v>
      </c>
      <c r="E23" s="50">
        <v>16.0</v>
      </c>
      <c r="F23" s="50">
        <v>16.0</v>
      </c>
      <c r="G23" s="51">
        <f t="shared" si="2"/>
        <v>1</v>
      </c>
      <c r="H23" s="49">
        <f t="shared" si="12"/>
        <v>24.74</v>
      </c>
      <c r="I23" s="49">
        <f t="shared" si="13"/>
        <v>24.74</v>
      </c>
      <c r="J23" s="52">
        <v>228.0</v>
      </c>
      <c r="K23" s="53">
        <f t="shared" si="5"/>
        <v>0.0701754386</v>
      </c>
      <c r="L23" s="49">
        <v>119.67</v>
      </c>
      <c r="M23" s="49">
        <v>374.85</v>
      </c>
      <c r="N23" s="50">
        <v>14.0</v>
      </c>
      <c r="O23" s="52">
        <v>26767.0</v>
      </c>
      <c r="P23" s="53">
        <f t="shared" si="6"/>
        <v>0.3192476991</v>
      </c>
      <c r="Q23" s="55">
        <f t="shared" si="7"/>
        <v>3.132364001</v>
      </c>
      <c r="R23" s="53">
        <f t="shared" si="8"/>
        <v>0.9469735247</v>
      </c>
      <c r="S23" s="19"/>
      <c r="T23" s="28"/>
      <c r="U23" s="9"/>
      <c r="V23" s="9"/>
      <c r="W23" s="9"/>
      <c r="X23" s="9"/>
      <c r="Y23" s="9"/>
      <c r="Z23" s="9"/>
    </row>
    <row r="24" hidden="1" outlineLevel="1">
      <c r="A24" s="47" t="str">
        <f t="shared" si="11"/>
        <v>1-2025</v>
      </c>
      <c r="B24" s="37">
        <v>45659.0</v>
      </c>
      <c r="C24" s="48"/>
      <c r="D24" s="49">
        <v>330.87</v>
      </c>
      <c r="E24" s="50">
        <v>13.0</v>
      </c>
      <c r="F24" s="50">
        <v>13.0</v>
      </c>
      <c r="G24" s="51">
        <f t="shared" si="2"/>
        <v>1</v>
      </c>
      <c r="H24" s="49">
        <f t="shared" si="12"/>
        <v>25.45153846</v>
      </c>
      <c r="I24" s="49">
        <f t="shared" si="13"/>
        <v>25.45153846</v>
      </c>
      <c r="J24" s="52">
        <v>214.0</v>
      </c>
      <c r="K24" s="53">
        <f t="shared" si="5"/>
        <v>0.06074766355</v>
      </c>
      <c r="L24" s="49">
        <v>116.74</v>
      </c>
      <c r="M24" s="49">
        <v>199.92</v>
      </c>
      <c r="N24" s="50">
        <v>8.0</v>
      </c>
      <c r="O24" s="52">
        <v>30677.0</v>
      </c>
      <c r="P24" s="53">
        <f t="shared" si="6"/>
        <v>0.5839335734</v>
      </c>
      <c r="Q24" s="55">
        <f t="shared" si="7"/>
        <v>1.712523557</v>
      </c>
      <c r="R24" s="53">
        <f t="shared" si="8"/>
        <v>0.6042252244</v>
      </c>
      <c r="S24" s="19"/>
      <c r="T24" s="28"/>
      <c r="U24" s="9"/>
      <c r="V24" s="9"/>
      <c r="W24" s="9"/>
      <c r="X24" s="9"/>
      <c r="Y24" s="9"/>
      <c r="Z24" s="9"/>
    </row>
    <row r="25" hidden="1" outlineLevel="1">
      <c r="A25" s="47" t="str">
        <f t="shared" si="11"/>
        <v>1-2025</v>
      </c>
      <c r="B25" s="37">
        <v>45660.0</v>
      </c>
      <c r="C25" s="48"/>
      <c r="D25" s="49">
        <v>249.9</v>
      </c>
      <c r="E25" s="50">
        <v>10.0</v>
      </c>
      <c r="F25" s="50">
        <v>10.0</v>
      </c>
      <c r="G25" s="51">
        <f t="shared" si="2"/>
        <v>1</v>
      </c>
      <c r="H25" s="49">
        <f t="shared" si="12"/>
        <v>24.99</v>
      </c>
      <c r="I25" s="49">
        <f t="shared" si="13"/>
        <v>24.99</v>
      </c>
      <c r="J25" s="52">
        <v>234.0</v>
      </c>
      <c r="K25" s="53">
        <f t="shared" si="5"/>
        <v>0.04273504274</v>
      </c>
      <c r="L25" s="49">
        <v>124.91</v>
      </c>
      <c r="M25" s="49">
        <v>147.94</v>
      </c>
      <c r="N25" s="50">
        <v>6.0</v>
      </c>
      <c r="O25" s="52">
        <v>40009.0</v>
      </c>
      <c r="P25" s="53">
        <f t="shared" si="6"/>
        <v>0.8443287819</v>
      </c>
      <c r="Q25" s="55">
        <f t="shared" si="7"/>
        <v>1.184372748</v>
      </c>
      <c r="R25" s="53">
        <f t="shared" si="8"/>
        <v>0.5919967987</v>
      </c>
      <c r="S25" s="19"/>
      <c r="T25" s="28"/>
      <c r="U25" s="9"/>
      <c r="V25" s="9"/>
      <c r="W25" s="9"/>
      <c r="X25" s="9"/>
      <c r="Y25" s="9"/>
      <c r="Z25" s="9"/>
    </row>
    <row r="26" hidden="1" outlineLevel="1">
      <c r="A26" s="47" t="str">
        <f t="shared" si="11"/>
        <v>1-2025</v>
      </c>
      <c r="B26" s="37">
        <v>45661.0</v>
      </c>
      <c r="C26" s="48"/>
      <c r="D26" s="49">
        <v>345.86</v>
      </c>
      <c r="E26" s="50">
        <v>14.0</v>
      </c>
      <c r="F26" s="50">
        <v>12.0</v>
      </c>
      <c r="G26" s="51">
        <f t="shared" si="2"/>
        <v>1.166666667</v>
      </c>
      <c r="H26" s="49">
        <f t="shared" si="12"/>
        <v>28.82166667</v>
      </c>
      <c r="I26" s="49">
        <f t="shared" si="13"/>
        <v>24.70428571</v>
      </c>
      <c r="J26" s="52">
        <v>318.0</v>
      </c>
      <c r="K26" s="53">
        <f t="shared" si="5"/>
        <v>0.04402515723</v>
      </c>
      <c r="L26" s="49">
        <v>171.03</v>
      </c>
      <c r="M26" s="49">
        <v>318.87</v>
      </c>
      <c r="N26" s="50">
        <v>10.0</v>
      </c>
      <c r="O26" s="52">
        <v>53534.0</v>
      </c>
      <c r="P26" s="53">
        <f t="shared" si="6"/>
        <v>0.5363627811</v>
      </c>
      <c r="Q26" s="55">
        <f t="shared" si="7"/>
        <v>1.864409753</v>
      </c>
      <c r="R26" s="53">
        <f t="shared" si="8"/>
        <v>0.9219626438</v>
      </c>
      <c r="S26" s="19"/>
      <c r="T26" s="28"/>
      <c r="U26" s="9"/>
      <c r="V26" s="9"/>
      <c r="W26" s="9"/>
      <c r="X26" s="9"/>
      <c r="Y26" s="9"/>
      <c r="Z26" s="9"/>
    </row>
    <row r="27" collapsed="1">
      <c r="A27" s="101" t="s">
        <v>68</v>
      </c>
      <c r="B27" s="102"/>
      <c r="C27" s="103"/>
      <c r="D27" s="104">
        <f t="shared" ref="D27:F27" si="14">SUM(D20:D26)</f>
        <v>2245.1</v>
      </c>
      <c r="E27" s="105">
        <f t="shared" si="14"/>
        <v>91</v>
      </c>
      <c r="F27" s="105">
        <f t="shared" si="14"/>
        <v>83</v>
      </c>
      <c r="G27" s="260">
        <f t="shared" si="2"/>
        <v>1.096385542</v>
      </c>
      <c r="H27" s="104">
        <f>average(H20:H26)</f>
        <v>27.00598168</v>
      </c>
      <c r="I27" s="261">
        <f>H27/G27</f>
        <v>24.63182945</v>
      </c>
      <c r="J27" s="108">
        <f>SUM(J20:J26)</f>
        <v>1510</v>
      </c>
      <c r="K27" s="109">
        <f t="shared" si="5"/>
        <v>0.06026490066</v>
      </c>
      <c r="L27" s="104">
        <f t="shared" ref="L27:N27" si="15">SUM(L20:L26)</f>
        <v>796.28</v>
      </c>
      <c r="M27" s="104">
        <f t="shared" si="15"/>
        <v>1522.39</v>
      </c>
      <c r="N27" s="262">
        <f t="shared" si="15"/>
        <v>56</v>
      </c>
      <c r="O27" s="108">
        <f>sum(O20:O26)</f>
        <v>220372</v>
      </c>
      <c r="P27" s="109">
        <f t="shared" si="6"/>
        <v>0.523046</v>
      </c>
      <c r="Q27" s="263">
        <f t="shared" si="7"/>
        <v>1.911877731</v>
      </c>
      <c r="R27" s="113">
        <f t="shared" si="8"/>
        <v>0.6780945169</v>
      </c>
      <c r="S27" s="103" t="str">
        <f>iferror((D27-#REF!)/D27,)</f>
        <v/>
      </c>
      <c r="T27" s="114" t="str">
        <f>iferror((F27-#REF!)/F27,)</f>
        <v/>
      </c>
      <c r="U27" s="9"/>
      <c r="V27" s="9"/>
      <c r="W27" s="9"/>
      <c r="X27" s="9"/>
      <c r="Y27" s="9"/>
      <c r="Z27" s="9"/>
    </row>
    <row r="28" hidden="1" outlineLevel="1">
      <c r="A28" s="36" t="str">
        <f t="shared" ref="A28:A34" si="16">iferror(if(B28&gt;0,month(B28)&amp;"-"&amp;year(B28),B28),)</f>
        <v>1-2025</v>
      </c>
      <c r="B28" s="37">
        <v>45662.0</v>
      </c>
      <c r="C28" s="38"/>
      <c r="D28" s="39">
        <v>226.91</v>
      </c>
      <c r="E28" s="40">
        <v>10.0</v>
      </c>
      <c r="F28" s="40">
        <v>7.0</v>
      </c>
      <c r="G28" s="41">
        <f t="shared" si="2"/>
        <v>1.428571429</v>
      </c>
      <c r="H28" s="39">
        <f t="shared" ref="H28:H34" si="17">D28/F28</f>
        <v>32.41571429</v>
      </c>
      <c r="I28" s="39">
        <f t="shared" ref="I28:I34" si="18">D28/E28</f>
        <v>22.691</v>
      </c>
      <c r="J28" s="42">
        <v>307.0</v>
      </c>
      <c r="K28" s="43">
        <f t="shared" si="5"/>
        <v>0.0325732899</v>
      </c>
      <c r="L28" s="39">
        <v>171.47</v>
      </c>
      <c r="M28" s="39">
        <v>153.94</v>
      </c>
      <c r="N28" s="40">
        <v>6.0</v>
      </c>
      <c r="O28" s="42">
        <v>45274.0</v>
      </c>
      <c r="P28" s="43">
        <f t="shared" si="6"/>
        <v>1.113875536</v>
      </c>
      <c r="Q28" s="44">
        <f t="shared" si="7"/>
        <v>0.8977663731</v>
      </c>
      <c r="R28" s="43">
        <f t="shared" si="8"/>
        <v>0.6784187563</v>
      </c>
      <c r="S28" s="45"/>
      <c r="T28" s="46"/>
      <c r="U28" s="9"/>
      <c r="V28" s="9"/>
      <c r="W28" s="9"/>
      <c r="X28" s="9"/>
      <c r="Y28" s="9"/>
      <c r="Z28" s="9"/>
    </row>
    <row r="29" hidden="1" outlineLevel="1">
      <c r="A29" s="47" t="str">
        <f t="shared" si="16"/>
        <v>1-2025</v>
      </c>
      <c r="B29" s="37">
        <v>45663.0</v>
      </c>
      <c r="C29" s="48"/>
      <c r="D29" s="49">
        <v>368.85</v>
      </c>
      <c r="E29" s="50">
        <v>16.0</v>
      </c>
      <c r="F29" s="50">
        <v>12.0</v>
      </c>
      <c r="G29" s="51">
        <f t="shared" si="2"/>
        <v>1.333333333</v>
      </c>
      <c r="H29" s="49">
        <f t="shared" si="17"/>
        <v>30.7375</v>
      </c>
      <c r="I29" s="49">
        <f t="shared" si="18"/>
        <v>23.053125</v>
      </c>
      <c r="J29" s="52">
        <v>184.0</v>
      </c>
      <c r="K29" s="53">
        <f t="shared" si="5"/>
        <v>0.08695652174</v>
      </c>
      <c r="L29" s="49">
        <v>78.93</v>
      </c>
      <c r="M29" s="54">
        <v>320.87</v>
      </c>
      <c r="N29" s="50">
        <v>9.0</v>
      </c>
      <c r="O29" s="52">
        <v>22689.0</v>
      </c>
      <c r="P29" s="53">
        <f t="shared" si="6"/>
        <v>0.2459874716</v>
      </c>
      <c r="Q29" s="55">
        <f t="shared" si="7"/>
        <v>4.065247688</v>
      </c>
      <c r="R29" s="53">
        <f t="shared" si="8"/>
        <v>0.8699200217</v>
      </c>
      <c r="S29" s="19"/>
      <c r="T29" s="28"/>
      <c r="U29" s="9"/>
      <c r="V29" s="9"/>
      <c r="W29" s="9"/>
      <c r="X29" s="9"/>
      <c r="Y29" s="9"/>
      <c r="Z29" s="9"/>
    </row>
    <row r="30" hidden="1" outlineLevel="1">
      <c r="A30" s="47" t="str">
        <f t="shared" si="16"/>
        <v>1-2025</v>
      </c>
      <c r="B30" s="37">
        <v>45664.0</v>
      </c>
      <c r="C30" s="48"/>
      <c r="D30" s="49">
        <v>176.93</v>
      </c>
      <c r="E30" s="50">
        <v>7.0</v>
      </c>
      <c r="F30" s="50">
        <v>7.0</v>
      </c>
      <c r="G30" s="51">
        <f t="shared" si="2"/>
        <v>1</v>
      </c>
      <c r="H30" s="49">
        <f t="shared" si="17"/>
        <v>25.27571429</v>
      </c>
      <c r="I30" s="49">
        <f t="shared" si="18"/>
        <v>25.27571429</v>
      </c>
      <c r="J30" s="52">
        <v>190.0</v>
      </c>
      <c r="K30" s="53">
        <f t="shared" si="5"/>
        <v>0.03684210526</v>
      </c>
      <c r="L30" s="39">
        <v>79.12</v>
      </c>
      <c r="M30" s="39">
        <v>126.95</v>
      </c>
      <c r="N30" s="40">
        <v>5.0</v>
      </c>
      <c r="O30" s="52">
        <v>23404.0</v>
      </c>
      <c r="P30" s="53">
        <f t="shared" si="6"/>
        <v>0.6232374951</v>
      </c>
      <c r="Q30" s="55">
        <f t="shared" si="7"/>
        <v>1.604524772</v>
      </c>
      <c r="R30" s="53">
        <f t="shared" si="8"/>
        <v>0.7175154016</v>
      </c>
      <c r="S30" s="19"/>
      <c r="T30" s="28"/>
      <c r="U30" s="9"/>
      <c r="V30" s="9"/>
      <c r="W30" s="9"/>
      <c r="X30" s="9"/>
      <c r="Y30" s="9"/>
      <c r="Z30" s="9"/>
    </row>
    <row r="31" hidden="1" outlineLevel="1">
      <c r="A31" s="47" t="str">
        <f t="shared" si="16"/>
        <v>1-2025</v>
      </c>
      <c r="B31" s="37">
        <v>45658.0</v>
      </c>
      <c r="C31" s="48"/>
      <c r="D31" s="49">
        <v>257.9</v>
      </c>
      <c r="E31" s="50">
        <v>10.0</v>
      </c>
      <c r="F31" s="50">
        <v>10.0</v>
      </c>
      <c r="G31" s="51">
        <f t="shared" si="2"/>
        <v>1</v>
      </c>
      <c r="H31" s="49">
        <f t="shared" si="17"/>
        <v>25.79</v>
      </c>
      <c r="I31" s="49">
        <f t="shared" si="18"/>
        <v>25.79</v>
      </c>
      <c r="J31" s="52">
        <v>185.0</v>
      </c>
      <c r="K31" s="53">
        <f t="shared" si="5"/>
        <v>0.05405405405</v>
      </c>
      <c r="L31" s="49">
        <v>83.55</v>
      </c>
      <c r="M31" s="49">
        <v>272.89</v>
      </c>
      <c r="N31" s="50">
        <v>10.0</v>
      </c>
      <c r="O31" s="52">
        <v>22037.0</v>
      </c>
      <c r="P31" s="53">
        <f t="shared" si="6"/>
        <v>0.3061673202</v>
      </c>
      <c r="Q31" s="55">
        <f t="shared" si="7"/>
        <v>3.266187911</v>
      </c>
      <c r="R31" s="53">
        <f t="shared" si="8"/>
        <v>1.058123304</v>
      </c>
      <c r="S31" s="19"/>
      <c r="T31" s="28"/>
      <c r="U31" s="9"/>
      <c r="V31" s="9"/>
      <c r="W31" s="9"/>
      <c r="X31" s="9"/>
      <c r="Y31" s="9"/>
      <c r="Z31" s="9"/>
    </row>
    <row r="32" hidden="1" outlineLevel="1">
      <c r="A32" s="47" t="str">
        <f t="shared" si="16"/>
        <v>1-2025</v>
      </c>
      <c r="B32" s="37">
        <v>45666.0</v>
      </c>
      <c r="C32" s="48"/>
      <c r="D32" s="49">
        <v>430.83</v>
      </c>
      <c r="E32" s="50">
        <v>17.0</v>
      </c>
      <c r="F32" s="50">
        <v>13.0</v>
      </c>
      <c r="G32" s="51">
        <f t="shared" si="2"/>
        <v>1.307692308</v>
      </c>
      <c r="H32" s="49">
        <f t="shared" si="17"/>
        <v>33.14076923</v>
      </c>
      <c r="I32" s="49">
        <f t="shared" si="18"/>
        <v>25.34294118</v>
      </c>
      <c r="J32" s="52">
        <v>178.0</v>
      </c>
      <c r="K32" s="53">
        <f t="shared" si="5"/>
        <v>0.09550561798</v>
      </c>
      <c r="L32" s="49">
        <v>81.01</v>
      </c>
      <c r="M32" s="49">
        <v>255.9</v>
      </c>
      <c r="N32" s="50">
        <v>8.0</v>
      </c>
      <c r="O32" s="52">
        <v>20433.0</v>
      </c>
      <c r="P32" s="53">
        <f t="shared" si="6"/>
        <v>0.3165689723</v>
      </c>
      <c r="Q32" s="55">
        <f t="shared" si="7"/>
        <v>3.158869275</v>
      </c>
      <c r="R32" s="53">
        <f t="shared" si="8"/>
        <v>0.5939697793</v>
      </c>
      <c r="S32" s="19"/>
      <c r="T32" s="28"/>
      <c r="U32" s="9"/>
      <c r="V32" s="9"/>
      <c r="W32" s="9"/>
      <c r="X32" s="9"/>
      <c r="Y32" s="9"/>
      <c r="Z32" s="9"/>
    </row>
    <row r="33" hidden="1" outlineLevel="1">
      <c r="A33" s="47" t="str">
        <f t="shared" si="16"/>
        <v>1-2025</v>
      </c>
      <c r="B33" s="37">
        <v>45667.0</v>
      </c>
      <c r="C33" s="48"/>
      <c r="D33" s="49">
        <v>426.83</v>
      </c>
      <c r="E33" s="50">
        <v>17.0</v>
      </c>
      <c r="F33" s="50">
        <v>15.0</v>
      </c>
      <c r="G33" s="51">
        <f t="shared" si="2"/>
        <v>1.133333333</v>
      </c>
      <c r="H33" s="49">
        <f t="shared" si="17"/>
        <v>28.45533333</v>
      </c>
      <c r="I33" s="49">
        <f t="shared" si="18"/>
        <v>25.10764706</v>
      </c>
      <c r="J33" s="52">
        <v>184.0</v>
      </c>
      <c r="K33" s="53">
        <f t="shared" si="5"/>
        <v>0.09239130435</v>
      </c>
      <c r="L33" s="49">
        <v>76.73</v>
      </c>
      <c r="M33" s="49">
        <v>128.95</v>
      </c>
      <c r="N33" s="50">
        <v>5.0</v>
      </c>
      <c r="O33" s="52">
        <v>21282.0</v>
      </c>
      <c r="P33" s="53">
        <f t="shared" si="6"/>
        <v>0.595036836</v>
      </c>
      <c r="Q33" s="55">
        <f t="shared" si="7"/>
        <v>1.680568226</v>
      </c>
      <c r="R33" s="53">
        <f t="shared" si="8"/>
        <v>0.3021109107</v>
      </c>
      <c r="S33" s="19"/>
      <c r="T33" s="28"/>
      <c r="U33" s="9"/>
      <c r="V33" s="9"/>
      <c r="W33" s="9"/>
      <c r="X33" s="9"/>
      <c r="Y33" s="9"/>
      <c r="Z33" s="9"/>
    </row>
    <row r="34" hidden="1" outlineLevel="1">
      <c r="A34" s="47" t="str">
        <f t="shared" si="16"/>
        <v>1-2025</v>
      </c>
      <c r="B34" s="37">
        <v>45668.0</v>
      </c>
      <c r="C34" s="48"/>
      <c r="D34" s="49">
        <v>261.9</v>
      </c>
      <c r="E34" s="50">
        <v>11.0</v>
      </c>
      <c r="F34" s="50">
        <v>11.0</v>
      </c>
      <c r="G34" s="51">
        <f t="shared" si="2"/>
        <v>1</v>
      </c>
      <c r="H34" s="49">
        <f t="shared" si="17"/>
        <v>23.80909091</v>
      </c>
      <c r="I34" s="49">
        <f t="shared" si="18"/>
        <v>23.80909091</v>
      </c>
      <c r="J34" s="52">
        <v>248.0</v>
      </c>
      <c r="K34" s="53">
        <f t="shared" si="5"/>
        <v>0.04435483871</v>
      </c>
      <c r="L34" s="49">
        <v>121.19</v>
      </c>
      <c r="M34" s="49">
        <v>209.92</v>
      </c>
      <c r="N34" s="50">
        <v>8.0</v>
      </c>
      <c r="O34" s="52">
        <v>32993.0</v>
      </c>
      <c r="P34" s="53">
        <f t="shared" si="6"/>
        <v>0.5773151677</v>
      </c>
      <c r="Q34" s="55">
        <f t="shared" si="7"/>
        <v>1.732156118</v>
      </c>
      <c r="R34" s="53">
        <f t="shared" si="8"/>
        <v>0.8015273005</v>
      </c>
      <c r="S34" s="19"/>
      <c r="T34" s="28"/>
      <c r="U34" s="9"/>
      <c r="V34" s="9"/>
      <c r="W34" s="9"/>
      <c r="X34" s="9"/>
      <c r="Y34" s="9"/>
      <c r="Z34" s="9"/>
    </row>
    <row r="35" collapsed="1">
      <c r="A35" s="101" t="s">
        <v>69</v>
      </c>
      <c r="B35" s="102"/>
      <c r="C35" s="103"/>
      <c r="D35" s="104">
        <f t="shared" ref="D35:F35" si="19">SUM(D28:D34)</f>
        <v>2150.15</v>
      </c>
      <c r="E35" s="105">
        <f t="shared" si="19"/>
        <v>88</v>
      </c>
      <c r="F35" s="105">
        <f t="shared" si="19"/>
        <v>75</v>
      </c>
      <c r="G35" s="260">
        <f t="shared" si="2"/>
        <v>1.173333333</v>
      </c>
      <c r="H35" s="104">
        <f>average(H28:H34)</f>
        <v>28.51773172</v>
      </c>
      <c r="I35" s="261">
        <f>H35/G35</f>
        <v>24.30488499</v>
      </c>
      <c r="J35" s="108">
        <f>SUM(J28:J34)</f>
        <v>1476</v>
      </c>
      <c r="K35" s="109">
        <f t="shared" si="5"/>
        <v>0.05962059621</v>
      </c>
      <c r="L35" s="104">
        <f t="shared" ref="L35:N35" si="20">SUM(L28:L34)</f>
        <v>692</v>
      </c>
      <c r="M35" s="104">
        <f t="shared" si="20"/>
        <v>1469.42</v>
      </c>
      <c r="N35" s="262">
        <f t="shared" si="20"/>
        <v>51</v>
      </c>
      <c r="O35" s="108">
        <f>sum(O28:O34)</f>
        <v>188112</v>
      </c>
      <c r="P35" s="109">
        <f t="shared" si="6"/>
        <v>0.4709341101</v>
      </c>
      <c r="Q35" s="263">
        <f t="shared" si="7"/>
        <v>2.123439306</v>
      </c>
      <c r="R35" s="113">
        <f t="shared" si="8"/>
        <v>0.6834034835</v>
      </c>
      <c r="S35" s="103" t="str">
        <f>iferror((D35-#REF!)/D35,)</f>
        <v/>
      </c>
      <c r="T35" s="114" t="str">
        <f>iferror((F35-#REF!)/F35,)</f>
        <v/>
      </c>
      <c r="U35" s="9"/>
      <c r="V35" s="9"/>
      <c r="W35" s="9"/>
      <c r="X35" s="9"/>
      <c r="Y35" s="9"/>
      <c r="Z35" s="9"/>
    </row>
    <row r="36" hidden="1" outlineLevel="1">
      <c r="A36" s="36" t="str">
        <f t="shared" ref="A36:A42" si="21">iferror(if(B36&gt;0,month(B36)&amp;"-"&amp;year(B36),B36),)</f>
        <v>1-2025</v>
      </c>
      <c r="B36" s="37">
        <v>45669.0</v>
      </c>
      <c r="C36" s="38"/>
      <c r="D36" s="39">
        <v>147.94</v>
      </c>
      <c r="E36" s="40">
        <v>6.0</v>
      </c>
      <c r="F36" s="40">
        <v>6.0</v>
      </c>
      <c r="G36" s="41">
        <f t="shared" si="2"/>
        <v>1</v>
      </c>
      <c r="H36" s="39">
        <f t="shared" ref="H36:H42" si="22">D36/F36</f>
        <v>24.65666667</v>
      </c>
      <c r="I36" s="39">
        <f t="shared" ref="I36:I42" si="23">D36/E36</f>
        <v>24.65666667</v>
      </c>
      <c r="J36" s="42">
        <v>247.0</v>
      </c>
      <c r="K36" s="43">
        <f t="shared" si="5"/>
        <v>0.02429149798</v>
      </c>
      <c r="L36" s="39">
        <v>125.87</v>
      </c>
      <c r="M36" s="39">
        <v>97.96</v>
      </c>
      <c r="N36" s="40">
        <v>4.0</v>
      </c>
      <c r="O36" s="42">
        <v>35943.0</v>
      </c>
      <c r="P36" s="43">
        <f t="shared" si="6"/>
        <v>1.284912209</v>
      </c>
      <c r="Q36" s="44">
        <f t="shared" si="7"/>
        <v>0.7782632875</v>
      </c>
      <c r="R36" s="43">
        <f t="shared" si="8"/>
        <v>0.6621603353</v>
      </c>
      <c r="S36" s="45"/>
      <c r="T36" s="46"/>
      <c r="U36" s="9"/>
      <c r="V36" s="9"/>
      <c r="W36" s="9"/>
      <c r="X36" s="9"/>
      <c r="Y36" s="9"/>
      <c r="Z36" s="9"/>
    </row>
    <row r="37" hidden="1" outlineLevel="1">
      <c r="A37" s="47" t="str">
        <f t="shared" si="21"/>
        <v>1-2025</v>
      </c>
      <c r="B37" s="37">
        <v>45670.0</v>
      </c>
      <c r="C37" s="48"/>
      <c r="D37" s="49">
        <v>367.86</v>
      </c>
      <c r="E37" s="50">
        <v>14.0</v>
      </c>
      <c r="F37" s="50">
        <v>13.0</v>
      </c>
      <c r="G37" s="51">
        <f t="shared" si="2"/>
        <v>1.076923077</v>
      </c>
      <c r="H37" s="49">
        <f t="shared" si="22"/>
        <v>28.29692308</v>
      </c>
      <c r="I37" s="49">
        <f t="shared" si="23"/>
        <v>26.27571429</v>
      </c>
      <c r="J37" s="52">
        <v>208.0</v>
      </c>
      <c r="K37" s="53">
        <f t="shared" si="5"/>
        <v>0.06730769231</v>
      </c>
      <c r="L37" s="49">
        <v>101.43</v>
      </c>
      <c r="M37" s="54">
        <v>232.91</v>
      </c>
      <c r="N37" s="50">
        <v>9.0</v>
      </c>
      <c r="O37" s="52">
        <v>26471.0</v>
      </c>
      <c r="P37" s="53">
        <f t="shared" si="6"/>
        <v>0.4354901035</v>
      </c>
      <c r="Q37" s="55">
        <f t="shared" si="7"/>
        <v>2.296263433</v>
      </c>
      <c r="R37" s="53">
        <f t="shared" si="8"/>
        <v>0.6331484804</v>
      </c>
      <c r="S37" s="19"/>
      <c r="T37" s="28"/>
      <c r="U37" s="9"/>
      <c r="V37" s="9"/>
      <c r="W37" s="9"/>
      <c r="X37" s="9"/>
      <c r="Y37" s="9"/>
      <c r="Z37" s="9"/>
    </row>
    <row r="38" hidden="1" outlineLevel="1">
      <c r="A38" s="47" t="str">
        <f t="shared" si="21"/>
        <v>1-2025</v>
      </c>
      <c r="B38" s="37">
        <v>45671.0</v>
      </c>
      <c r="C38" s="48"/>
      <c r="D38" s="49">
        <v>309.88</v>
      </c>
      <c r="E38" s="50">
        <v>12.0</v>
      </c>
      <c r="F38" s="50">
        <v>10.0</v>
      </c>
      <c r="G38" s="51">
        <f t="shared" si="2"/>
        <v>1.2</v>
      </c>
      <c r="H38" s="49">
        <f t="shared" si="22"/>
        <v>30.988</v>
      </c>
      <c r="I38" s="49">
        <f t="shared" si="23"/>
        <v>25.82333333</v>
      </c>
      <c r="J38" s="52">
        <v>169.0</v>
      </c>
      <c r="K38" s="53">
        <f t="shared" si="5"/>
        <v>0.07100591716</v>
      </c>
      <c r="L38" s="39">
        <v>81.33</v>
      </c>
      <c r="M38" s="39">
        <v>174.93</v>
      </c>
      <c r="N38" s="40">
        <v>6.0</v>
      </c>
      <c r="O38" s="52">
        <v>21407.0</v>
      </c>
      <c r="P38" s="53">
        <f t="shared" si="6"/>
        <v>0.4649288287</v>
      </c>
      <c r="Q38" s="55">
        <f t="shared" si="7"/>
        <v>2.150866839</v>
      </c>
      <c r="R38" s="53">
        <f t="shared" si="8"/>
        <v>0.5645088421</v>
      </c>
      <c r="S38" s="19"/>
      <c r="T38" s="28"/>
      <c r="U38" s="9"/>
      <c r="V38" s="9"/>
      <c r="W38" s="9"/>
      <c r="X38" s="9"/>
      <c r="Y38" s="9"/>
      <c r="Z38" s="9"/>
    </row>
    <row r="39" hidden="1" outlineLevel="1">
      <c r="A39" s="47" t="str">
        <f t="shared" si="21"/>
        <v>1-2025</v>
      </c>
      <c r="B39" s="37">
        <v>45672.0</v>
      </c>
      <c r="C39" s="48"/>
      <c r="D39" s="49">
        <v>382.85</v>
      </c>
      <c r="E39" s="50">
        <v>15.0</v>
      </c>
      <c r="F39" s="50">
        <v>12.0</v>
      </c>
      <c r="G39" s="51">
        <f t="shared" si="2"/>
        <v>1.25</v>
      </c>
      <c r="H39" s="49">
        <f t="shared" si="22"/>
        <v>31.90416667</v>
      </c>
      <c r="I39" s="49">
        <f t="shared" si="23"/>
        <v>25.52333333</v>
      </c>
      <c r="J39" s="52">
        <v>206.0</v>
      </c>
      <c r="K39" s="53">
        <f t="shared" si="5"/>
        <v>0.07281553398</v>
      </c>
      <c r="L39" s="49">
        <v>90.11</v>
      </c>
      <c r="M39" s="49">
        <v>365.86</v>
      </c>
      <c r="N39" s="50">
        <v>11.0</v>
      </c>
      <c r="O39" s="52">
        <v>22535.0</v>
      </c>
      <c r="P39" s="53">
        <f t="shared" si="6"/>
        <v>0.2462963975</v>
      </c>
      <c r="Q39" s="55">
        <f t="shared" si="7"/>
        <v>4.060148707</v>
      </c>
      <c r="R39" s="53">
        <f t="shared" si="8"/>
        <v>0.9556223064</v>
      </c>
      <c r="S39" s="19"/>
      <c r="T39" s="28"/>
      <c r="U39" s="9"/>
      <c r="V39" s="9"/>
      <c r="W39" s="9"/>
      <c r="X39" s="9"/>
      <c r="Y39" s="9"/>
      <c r="Z39" s="9"/>
    </row>
    <row r="40" hidden="1" outlineLevel="1">
      <c r="A40" s="47" t="str">
        <f t="shared" si="21"/>
        <v>1-2025</v>
      </c>
      <c r="B40" s="37">
        <v>45673.0</v>
      </c>
      <c r="C40" s="48"/>
      <c r="D40" s="49">
        <v>184.93</v>
      </c>
      <c r="E40" s="50">
        <v>7.0</v>
      </c>
      <c r="F40" s="50">
        <v>6.0</v>
      </c>
      <c r="G40" s="51">
        <f t="shared" si="2"/>
        <v>1.166666667</v>
      </c>
      <c r="H40" s="49">
        <f t="shared" si="22"/>
        <v>30.82166667</v>
      </c>
      <c r="I40" s="49">
        <f t="shared" si="23"/>
        <v>26.41857143</v>
      </c>
      <c r="J40" s="52">
        <v>158.0</v>
      </c>
      <c r="K40" s="53">
        <f t="shared" si="5"/>
        <v>0.04430379747</v>
      </c>
      <c r="L40" s="49">
        <v>70.8</v>
      </c>
      <c r="M40" s="49">
        <v>180.93</v>
      </c>
      <c r="N40" s="50">
        <v>6.0</v>
      </c>
      <c r="O40" s="52">
        <v>19550.0</v>
      </c>
      <c r="P40" s="53">
        <f t="shared" si="6"/>
        <v>0.391311557</v>
      </c>
      <c r="Q40" s="55">
        <f t="shared" si="7"/>
        <v>2.555508475</v>
      </c>
      <c r="R40" s="53">
        <f t="shared" si="8"/>
        <v>0.9783701941</v>
      </c>
      <c r="S40" s="19"/>
      <c r="T40" s="28"/>
      <c r="U40" s="9"/>
      <c r="V40" s="9"/>
      <c r="W40" s="9"/>
      <c r="X40" s="9"/>
      <c r="Y40" s="9"/>
      <c r="Z40" s="9"/>
    </row>
    <row r="41" hidden="1" outlineLevel="1">
      <c r="A41" s="47" t="str">
        <f t="shared" si="21"/>
        <v>1-2025</v>
      </c>
      <c r="B41" s="37">
        <v>45674.0</v>
      </c>
      <c r="C41" s="48"/>
      <c r="D41" s="49">
        <v>255.9</v>
      </c>
      <c r="E41" s="50">
        <v>10.0</v>
      </c>
      <c r="F41" s="50">
        <v>7.0</v>
      </c>
      <c r="G41" s="51">
        <f t="shared" si="2"/>
        <v>1.428571429</v>
      </c>
      <c r="H41" s="49">
        <f t="shared" si="22"/>
        <v>36.55714286</v>
      </c>
      <c r="I41" s="49">
        <f t="shared" si="23"/>
        <v>25.59</v>
      </c>
      <c r="J41" s="52">
        <v>162.0</v>
      </c>
      <c r="K41" s="53">
        <f t="shared" si="5"/>
        <v>0.06172839506</v>
      </c>
      <c r="L41" s="49">
        <v>63.41</v>
      </c>
      <c r="M41" s="49">
        <v>99.96</v>
      </c>
      <c r="N41" s="50">
        <v>1.0</v>
      </c>
      <c r="O41" s="52">
        <v>17549.0</v>
      </c>
      <c r="P41" s="53">
        <f t="shared" si="6"/>
        <v>0.6343537415</v>
      </c>
      <c r="Q41" s="55">
        <f t="shared" si="7"/>
        <v>1.576407507</v>
      </c>
      <c r="R41" s="53">
        <f t="shared" si="8"/>
        <v>0.3906213365</v>
      </c>
      <c r="S41" s="19"/>
      <c r="T41" s="28"/>
      <c r="U41" s="9"/>
      <c r="V41" s="9"/>
      <c r="W41" s="9"/>
      <c r="X41" s="9"/>
      <c r="Y41" s="9"/>
      <c r="Z41" s="9"/>
    </row>
    <row r="42" hidden="1" outlineLevel="1">
      <c r="A42" s="47" t="str">
        <f t="shared" si="21"/>
        <v>1-2025</v>
      </c>
      <c r="B42" s="37">
        <v>45675.0</v>
      </c>
      <c r="C42" s="48"/>
      <c r="D42" s="49">
        <v>367.86</v>
      </c>
      <c r="E42" s="50">
        <v>14.0</v>
      </c>
      <c r="F42" s="50">
        <v>11.0</v>
      </c>
      <c r="G42" s="51">
        <f t="shared" si="2"/>
        <v>1.272727273</v>
      </c>
      <c r="H42" s="49">
        <f t="shared" si="22"/>
        <v>33.44181818</v>
      </c>
      <c r="I42" s="49">
        <f t="shared" si="23"/>
        <v>26.27571429</v>
      </c>
      <c r="J42" s="52">
        <v>258.0</v>
      </c>
      <c r="K42" s="53">
        <f t="shared" si="5"/>
        <v>0.05426356589</v>
      </c>
      <c r="L42" s="49">
        <v>125.59</v>
      </c>
      <c r="M42" s="49">
        <v>263.9</v>
      </c>
      <c r="N42" s="50">
        <v>9.0</v>
      </c>
      <c r="O42" s="52">
        <v>25725.0</v>
      </c>
      <c r="P42" s="53">
        <f t="shared" si="6"/>
        <v>0.4758999621</v>
      </c>
      <c r="Q42" s="55">
        <f t="shared" si="7"/>
        <v>2.101281949</v>
      </c>
      <c r="R42" s="53">
        <f t="shared" si="8"/>
        <v>0.7173924863</v>
      </c>
      <c r="S42" s="19"/>
      <c r="T42" s="28"/>
      <c r="U42" s="9"/>
      <c r="V42" s="9"/>
      <c r="W42" s="9"/>
      <c r="X42" s="9"/>
      <c r="Y42" s="9"/>
      <c r="Z42" s="9"/>
    </row>
    <row r="43" collapsed="1">
      <c r="A43" s="101" t="s">
        <v>70</v>
      </c>
      <c r="B43" s="102"/>
      <c r="C43" s="103"/>
      <c r="D43" s="104">
        <f t="shared" ref="D43:F43" si="24">SUM(D36:D42)</f>
        <v>2017.22</v>
      </c>
      <c r="E43" s="105">
        <f t="shared" si="24"/>
        <v>78</v>
      </c>
      <c r="F43" s="105">
        <f t="shared" si="24"/>
        <v>65</v>
      </c>
      <c r="G43" s="260">
        <f t="shared" si="2"/>
        <v>1.2</v>
      </c>
      <c r="H43" s="104">
        <f>average(H36:H42)</f>
        <v>30.95234059</v>
      </c>
      <c r="I43" s="261">
        <f>H43/G43</f>
        <v>25.79361716</v>
      </c>
      <c r="J43" s="108">
        <f>SUM(J36:J42)</f>
        <v>1408</v>
      </c>
      <c r="K43" s="109">
        <f t="shared" si="5"/>
        <v>0.05539772727</v>
      </c>
      <c r="L43" s="104">
        <f t="shared" ref="L43:N43" si="25">SUM(L36:L42)</f>
        <v>658.54</v>
      </c>
      <c r="M43" s="104">
        <f t="shared" si="25"/>
        <v>1416.45</v>
      </c>
      <c r="N43" s="262">
        <f t="shared" si="25"/>
        <v>46</v>
      </c>
      <c r="O43" s="108">
        <f>sum(O36:O42)</f>
        <v>169180</v>
      </c>
      <c r="P43" s="109">
        <f t="shared" si="6"/>
        <v>0.4649228706</v>
      </c>
      <c r="Q43" s="263">
        <f t="shared" si="7"/>
        <v>2.150894403</v>
      </c>
      <c r="R43" s="113">
        <f t="shared" si="8"/>
        <v>0.7021792368</v>
      </c>
      <c r="S43" s="103" t="str">
        <f>iferror((D43-#REF!)/D43,)</f>
        <v/>
      </c>
      <c r="T43" s="114" t="str">
        <f>iferror((F43-#REF!)/F43,)</f>
        <v/>
      </c>
      <c r="U43" s="9"/>
      <c r="V43" s="9"/>
      <c r="W43" s="9"/>
      <c r="X43" s="9"/>
      <c r="Y43" s="9"/>
      <c r="Z43" s="9"/>
    </row>
    <row r="44" hidden="1" outlineLevel="1">
      <c r="A44" s="36" t="str">
        <f t="shared" ref="A44:A50" si="26">iferror(if(B44&gt;0,month(B44)&amp;"-"&amp;year(B44),B44),)</f>
        <v>1-2025</v>
      </c>
      <c r="B44" s="37">
        <v>45676.0</v>
      </c>
      <c r="C44" s="38"/>
      <c r="D44" s="39">
        <v>513.8</v>
      </c>
      <c r="E44" s="40">
        <v>20.0</v>
      </c>
      <c r="F44" s="40">
        <v>18.0</v>
      </c>
      <c r="G44" s="41">
        <f t="shared" si="2"/>
        <v>1.111111111</v>
      </c>
      <c r="H44" s="39">
        <f t="shared" ref="H44:H50" si="27">D44/F44</f>
        <v>28.54444444</v>
      </c>
      <c r="I44" s="39">
        <f t="shared" ref="I44:I50" si="28">D44/E44</f>
        <v>25.69</v>
      </c>
      <c r="J44" s="42">
        <v>310.0</v>
      </c>
      <c r="K44" s="43">
        <f t="shared" si="5"/>
        <v>0.06451612903</v>
      </c>
      <c r="L44" s="39">
        <v>167.7</v>
      </c>
      <c r="M44" s="39">
        <v>342.87</v>
      </c>
      <c r="N44" s="40">
        <v>12.0</v>
      </c>
      <c r="O44" s="42">
        <v>33475.0</v>
      </c>
      <c r="P44" s="43">
        <f t="shared" si="6"/>
        <v>0.4891066585</v>
      </c>
      <c r="Q44" s="44">
        <f t="shared" si="7"/>
        <v>2.044543828</v>
      </c>
      <c r="R44" s="43">
        <f t="shared" si="8"/>
        <v>0.6673219151</v>
      </c>
      <c r="S44" s="45"/>
      <c r="T44" s="46"/>
      <c r="U44" s="9"/>
      <c r="V44" s="9"/>
      <c r="W44" s="9"/>
      <c r="X44" s="9"/>
      <c r="Y44" s="9"/>
      <c r="Z44" s="9"/>
    </row>
    <row r="45" hidden="1" outlineLevel="1">
      <c r="A45" s="47" t="str">
        <f t="shared" si="26"/>
        <v>1-2025</v>
      </c>
      <c r="B45" s="37">
        <v>45677.0</v>
      </c>
      <c r="C45" s="48"/>
      <c r="D45" s="49">
        <v>357.86</v>
      </c>
      <c r="E45" s="50">
        <v>15.0</v>
      </c>
      <c r="F45" s="50">
        <v>11.0</v>
      </c>
      <c r="G45" s="51">
        <f t="shared" si="2"/>
        <v>1.363636364</v>
      </c>
      <c r="H45" s="49">
        <f t="shared" si="27"/>
        <v>32.53272727</v>
      </c>
      <c r="I45" s="49">
        <f t="shared" si="28"/>
        <v>23.85733333</v>
      </c>
      <c r="J45" s="52">
        <v>251.0</v>
      </c>
      <c r="K45" s="53">
        <f t="shared" si="5"/>
        <v>0.05976095618</v>
      </c>
      <c r="L45" s="49">
        <v>115.17</v>
      </c>
      <c r="M45" s="54">
        <v>332.87</v>
      </c>
      <c r="N45" s="50">
        <v>10.0</v>
      </c>
      <c r="O45" s="52">
        <v>31857.0</v>
      </c>
      <c r="P45" s="53">
        <f t="shared" si="6"/>
        <v>0.3459909274</v>
      </c>
      <c r="Q45" s="55">
        <f t="shared" si="7"/>
        <v>2.890249197</v>
      </c>
      <c r="R45" s="53">
        <f t="shared" si="8"/>
        <v>0.9301682222</v>
      </c>
      <c r="S45" s="19"/>
      <c r="T45" s="28"/>
      <c r="U45" s="9"/>
      <c r="V45" s="9"/>
      <c r="W45" s="9"/>
      <c r="X45" s="9"/>
      <c r="Y45" s="9"/>
      <c r="Z45" s="9"/>
    </row>
    <row r="46" hidden="1" outlineLevel="1">
      <c r="A46" s="47" t="str">
        <f t="shared" si="26"/>
        <v>1-2025</v>
      </c>
      <c r="B46" s="37">
        <v>45678.0</v>
      </c>
      <c r="C46" s="48"/>
      <c r="D46" s="49">
        <v>211.92</v>
      </c>
      <c r="E46" s="50">
        <v>9.0</v>
      </c>
      <c r="F46" s="50">
        <v>8.0</v>
      </c>
      <c r="G46" s="51">
        <f t="shared" si="2"/>
        <v>1.125</v>
      </c>
      <c r="H46" s="49">
        <f t="shared" si="27"/>
        <v>26.49</v>
      </c>
      <c r="I46" s="49">
        <f t="shared" si="28"/>
        <v>23.54666667</v>
      </c>
      <c r="J46" s="52">
        <v>181.0</v>
      </c>
      <c r="K46" s="53">
        <f t="shared" si="5"/>
        <v>0.04972375691</v>
      </c>
      <c r="L46" s="39">
        <v>82.88</v>
      </c>
      <c r="M46" s="39">
        <v>184.93</v>
      </c>
      <c r="N46" s="40">
        <v>7.0</v>
      </c>
      <c r="O46" s="52">
        <v>22185.0</v>
      </c>
      <c r="P46" s="53">
        <f t="shared" si="6"/>
        <v>0.4481695777</v>
      </c>
      <c r="Q46" s="55">
        <f t="shared" si="7"/>
        <v>2.231298263</v>
      </c>
      <c r="R46" s="53">
        <f t="shared" si="8"/>
        <v>0.8726406191</v>
      </c>
      <c r="S46" s="19"/>
      <c r="T46" s="28"/>
      <c r="U46" s="9"/>
      <c r="V46" s="9"/>
      <c r="W46" s="9"/>
      <c r="X46" s="9"/>
      <c r="Y46" s="9"/>
      <c r="Z46" s="9"/>
    </row>
    <row r="47" hidden="1" outlineLevel="1">
      <c r="A47" s="47" t="str">
        <f t="shared" si="26"/>
        <v>1-2025</v>
      </c>
      <c r="B47" s="37">
        <v>45679.0</v>
      </c>
      <c r="C47" s="48"/>
      <c r="D47" s="49">
        <v>459.82</v>
      </c>
      <c r="E47" s="50">
        <v>18.0</v>
      </c>
      <c r="F47" s="50">
        <v>16.0</v>
      </c>
      <c r="G47" s="51">
        <f t="shared" si="2"/>
        <v>1.125</v>
      </c>
      <c r="H47" s="49">
        <f t="shared" si="27"/>
        <v>28.73875</v>
      </c>
      <c r="I47" s="49">
        <f t="shared" si="28"/>
        <v>25.54555556</v>
      </c>
      <c r="J47" s="52">
        <v>190.0</v>
      </c>
      <c r="K47" s="53">
        <f t="shared" si="5"/>
        <v>0.09473684211</v>
      </c>
      <c r="L47" s="49">
        <v>92.27</v>
      </c>
      <c r="M47" s="49">
        <v>249.9</v>
      </c>
      <c r="N47" s="50">
        <v>10.0</v>
      </c>
      <c r="O47" s="52">
        <v>19569.0</v>
      </c>
      <c r="P47" s="53">
        <f t="shared" si="6"/>
        <v>0.3692276911</v>
      </c>
      <c r="Q47" s="55">
        <f t="shared" si="7"/>
        <v>2.708355912</v>
      </c>
      <c r="R47" s="53">
        <f t="shared" si="8"/>
        <v>0.5434735331</v>
      </c>
      <c r="S47" s="19"/>
      <c r="T47" s="28"/>
      <c r="U47" s="9"/>
      <c r="V47" s="9"/>
      <c r="W47" s="9"/>
      <c r="X47" s="9"/>
      <c r="Y47" s="9"/>
      <c r="Z47" s="9"/>
    </row>
    <row r="48" hidden="1" outlineLevel="1">
      <c r="A48" s="47" t="str">
        <f t="shared" si="26"/>
        <v>1-2025</v>
      </c>
      <c r="B48" s="37">
        <v>45680.0</v>
      </c>
      <c r="C48" s="48"/>
      <c r="D48" s="49">
        <v>315.88</v>
      </c>
      <c r="E48" s="50">
        <v>12.0</v>
      </c>
      <c r="F48" s="50">
        <v>12.0</v>
      </c>
      <c r="G48" s="51">
        <f t="shared" si="2"/>
        <v>1</v>
      </c>
      <c r="H48" s="49">
        <f t="shared" si="27"/>
        <v>26.32333333</v>
      </c>
      <c r="I48" s="49">
        <f t="shared" si="28"/>
        <v>26.32333333</v>
      </c>
      <c r="J48" s="52">
        <v>151.0</v>
      </c>
      <c r="K48" s="53">
        <f t="shared" si="5"/>
        <v>0.07947019868</v>
      </c>
      <c r="L48" s="49">
        <v>86.29</v>
      </c>
      <c r="M48" s="49">
        <v>157.94</v>
      </c>
      <c r="N48" s="50">
        <v>6.0</v>
      </c>
      <c r="O48" s="52">
        <v>15513.0</v>
      </c>
      <c r="P48" s="53">
        <f t="shared" si="6"/>
        <v>0.5463467139</v>
      </c>
      <c r="Q48" s="55">
        <f t="shared" si="7"/>
        <v>1.830339553</v>
      </c>
      <c r="R48" s="53">
        <f t="shared" si="8"/>
        <v>0.5</v>
      </c>
      <c r="S48" s="19"/>
      <c r="T48" s="28"/>
      <c r="U48" s="9"/>
      <c r="V48" s="9"/>
      <c r="W48" s="9"/>
      <c r="X48" s="9"/>
      <c r="Y48" s="9"/>
      <c r="Z48" s="9"/>
    </row>
    <row r="49" hidden="1" outlineLevel="1">
      <c r="A49" s="47" t="str">
        <f t="shared" si="26"/>
        <v>1-2025</v>
      </c>
      <c r="B49" s="37">
        <v>45681.0</v>
      </c>
      <c r="C49" s="48"/>
      <c r="D49" s="49">
        <v>251.9</v>
      </c>
      <c r="E49" s="50">
        <v>10.0</v>
      </c>
      <c r="F49" s="50">
        <v>10.0</v>
      </c>
      <c r="G49" s="51">
        <f t="shared" si="2"/>
        <v>1</v>
      </c>
      <c r="H49" s="49">
        <f t="shared" si="27"/>
        <v>25.19</v>
      </c>
      <c r="I49" s="49">
        <f t="shared" si="28"/>
        <v>25.19</v>
      </c>
      <c r="J49" s="52">
        <v>136.0</v>
      </c>
      <c r="K49" s="53">
        <f t="shared" si="5"/>
        <v>0.07352941176</v>
      </c>
      <c r="L49" s="49">
        <v>60.42</v>
      </c>
      <c r="M49" s="49">
        <v>174.93</v>
      </c>
      <c r="N49" s="50">
        <v>7.0</v>
      </c>
      <c r="O49" s="52">
        <v>14152.0</v>
      </c>
      <c r="P49" s="53">
        <f t="shared" si="6"/>
        <v>0.345395301</v>
      </c>
      <c r="Q49" s="55">
        <f t="shared" si="7"/>
        <v>2.895233366</v>
      </c>
      <c r="R49" s="53">
        <f t="shared" si="8"/>
        <v>0.694442239</v>
      </c>
      <c r="S49" s="19"/>
      <c r="T49" s="28"/>
      <c r="U49" s="9"/>
      <c r="V49" s="9"/>
      <c r="W49" s="9"/>
      <c r="X49" s="9"/>
      <c r="Y49" s="9"/>
      <c r="Z49" s="9"/>
    </row>
    <row r="50" hidden="1" outlineLevel="1">
      <c r="A50" s="47" t="str">
        <f t="shared" si="26"/>
        <v>1-2025</v>
      </c>
      <c r="B50" s="37">
        <v>45682.0</v>
      </c>
      <c r="C50" s="48"/>
      <c r="D50" s="49">
        <v>355.86</v>
      </c>
      <c r="E50" s="50">
        <v>14.0</v>
      </c>
      <c r="F50" s="50">
        <v>13.0</v>
      </c>
      <c r="G50" s="51">
        <f t="shared" si="2"/>
        <v>1.076923077</v>
      </c>
      <c r="H50" s="49">
        <f t="shared" si="27"/>
        <v>27.37384615</v>
      </c>
      <c r="I50" s="49">
        <f t="shared" si="28"/>
        <v>25.41857143</v>
      </c>
      <c r="J50" s="52">
        <v>233.0</v>
      </c>
      <c r="K50" s="53">
        <f t="shared" si="5"/>
        <v>0.06008583691</v>
      </c>
      <c r="L50" s="49">
        <v>104.18</v>
      </c>
      <c r="M50" s="49">
        <v>301.88</v>
      </c>
      <c r="N50" s="50">
        <v>10.0</v>
      </c>
      <c r="O50" s="52">
        <v>25101.0</v>
      </c>
      <c r="P50" s="53">
        <f t="shared" si="6"/>
        <v>0.3451040148</v>
      </c>
      <c r="Q50" s="55">
        <f t="shared" si="7"/>
        <v>2.897677097</v>
      </c>
      <c r="R50" s="53">
        <f t="shared" si="8"/>
        <v>0.8483111336</v>
      </c>
      <c r="S50" s="19"/>
      <c r="T50" s="28"/>
      <c r="U50" s="9"/>
      <c r="V50" s="9"/>
      <c r="W50" s="9"/>
      <c r="X50" s="9"/>
      <c r="Y50" s="9"/>
      <c r="Z50" s="9"/>
    </row>
    <row r="51" collapsed="1">
      <c r="A51" s="101" t="s">
        <v>71</v>
      </c>
      <c r="B51" s="102"/>
      <c r="C51" s="103"/>
      <c r="D51" s="104">
        <f t="shared" ref="D51:F51" si="29">SUM(D44:D50)</f>
        <v>2467.04</v>
      </c>
      <c r="E51" s="105">
        <f t="shared" si="29"/>
        <v>98</v>
      </c>
      <c r="F51" s="105">
        <f t="shared" si="29"/>
        <v>88</v>
      </c>
      <c r="G51" s="260">
        <f t="shared" si="2"/>
        <v>1.113636364</v>
      </c>
      <c r="H51" s="104">
        <f>average(H44:H50)</f>
        <v>27.88472874</v>
      </c>
      <c r="I51" s="261">
        <f>H51/G51</f>
        <v>25.03934826</v>
      </c>
      <c r="J51" s="108">
        <f>SUM(J44:J50)</f>
        <v>1452</v>
      </c>
      <c r="K51" s="109">
        <f t="shared" si="5"/>
        <v>0.06749311295</v>
      </c>
      <c r="L51" s="104">
        <f t="shared" ref="L51:N51" si="30">SUM(L44:L50)</f>
        <v>708.91</v>
      </c>
      <c r="M51" s="104">
        <f t="shared" si="30"/>
        <v>1745.32</v>
      </c>
      <c r="N51" s="262">
        <f t="shared" si="30"/>
        <v>62</v>
      </c>
      <c r="O51" s="108">
        <f>sum(O44:O50)</f>
        <v>161852</v>
      </c>
      <c r="P51" s="109">
        <f t="shared" si="6"/>
        <v>0.4061776637</v>
      </c>
      <c r="Q51" s="263">
        <f t="shared" si="7"/>
        <v>2.461976838</v>
      </c>
      <c r="R51" s="113">
        <f t="shared" si="8"/>
        <v>0.7074550879</v>
      </c>
      <c r="S51" s="103" t="str">
        <f>iferror((D51-#REF!)/D51,)</f>
        <v/>
      </c>
      <c r="T51" s="114" t="str">
        <f>iferror((F51-#REF!)/F51,)</f>
        <v/>
      </c>
      <c r="U51" s="9"/>
      <c r="V51" s="9"/>
      <c r="W51" s="9"/>
      <c r="X51" s="9"/>
      <c r="Y51" s="9"/>
      <c r="Z51" s="9"/>
    </row>
    <row r="52" hidden="1" outlineLevel="1">
      <c r="A52" s="36" t="str">
        <f t="shared" ref="A52:A58" si="31">iferror(if(B52&gt;0,month(B52)&amp;"-"&amp;year(B52),B52),)</f>
        <v>1-2025</v>
      </c>
      <c r="B52" s="37">
        <v>45683.0</v>
      </c>
      <c r="C52" s="38"/>
      <c r="D52" s="39">
        <v>540.79</v>
      </c>
      <c r="E52" s="40">
        <v>21.0</v>
      </c>
      <c r="F52" s="40">
        <v>19.0</v>
      </c>
      <c r="G52" s="41">
        <f t="shared" si="2"/>
        <v>1.105263158</v>
      </c>
      <c r="H52" s="39">
        <f t="shared" ref="H52:H58" si="32">D52/F52</f>
        <v>28.46263158</v>
      </c>
      <c r="I52" s="39">
        <f t="shared" ref="I52:I58" si="33">D52/E52</f>
        <v>25.75190476</v>
      </c>
      <c r="J52" s="42">
        <v>304.0</v>
      </c>
      <c r="K52" s="43">
        <f t="shared" si="5"/>
        <v>0.06907894737</v>
      </c>
      <c r="L52" s="39">
        <v>160.07</v>
      </c>
      <c r="M52" s="39">
        <v>336.87</v>
      </c>
      <c r="N52" s="40">
        <v>13.0</v>
      </c>
      <c r="O52" s="42">
        <v>32309.0</v>
      </c>
      <c r="P52" s="43">
        <f t="shared" si="6"/>
        <v>0.4751684626</v>
      </c>
      <c r="Q52" s="44">
        <f t="shared" si="7"/>
        <v>2.104516774</v>
      </c>
      <c r="R52" s="43">
        <f t="shared" si="8"/>
        <v>0.6229220215</v>
      </c>
      <c r="S52" s="45"/>
      <c r="T52" s="46"/>
      <c r="U52" s="9"/>
      <c r="V52" s="9"/>
      <c r="W52" s="9"/>
      <c r="X52" s="9"/>
      <c r="Y52" s="9"/>
      <c r="Z52" s="9"/>
    </row>
    <row r="53" hidden="1" outlineLevel="1">
      <c r="A53" s="47" t="str">
        <f t="shared" si="31"/>
        <v>1-2025</v>
      </c>
      <c r="B53" s="37">
        <v>45684.0</v>
      </c>
      <c r="C53" s="48"/>
      <c r="D53" s="49">
        <v>378.85</v>
      </c>
      <c r="E53" s="50">
        <v>16.0</v>
      </c>
      <c r="F53" s="50">
        <v>15.0</v>
      </c>
      <c r="G53" s="51">
        <f t="shared" si="2"/>
        <v>1.066666667</v>
      </c>
      <c r="H53" s="49">
        <f t="shared" si="32"/>
        <v>25.25666667</v>
      </c>
      <c r="I53" s="49">
        <f t="shared" si="33"/>
        <v>23.678125</v>
      </c>
      <c r="J53" s="52">
        <v>194.0</v>
      </c>
      <c r="K53" s="53">
        <f t="shared" si="5"/>
        <v>0.0824742268</v>
      </c>
      <c r="L53" s="49">
        <v>75.35</v>
      </c>
      <c r="M53" s="54">
        <v>305.88</v>
      </c>
      <c r="N53" s="50">
        <v>11.0</v>
      </c>
      <c r="O53" s="52">
        <v>21646.0</v>
      </c>
      <c r="P53" s="53">
        <f t="shared" si="6"/>
        <v>0.2463384334</v>
      </c>
      <c r="Q53" s="55">
        <f t="shared" si="7"/>
        <v>4.059455873</v>
      </c>
      <c r="R53" s="53">
        <f t="shared" si="8"/>
        <v>0.8073907879</v>
      </c>
      <c r="S53" s="19"/>
      <c r="T53" s="28"/>
      <c r="U53" s="9"/>
      <c r="V53" s="9"/>
      <c r="W53" s="9"/>
      <c r="X53" s="9"/>
      <c r="Y53" s="9"/>
      <c r="Z53" s="9"/>
    </row>
    <row r="54" hidden="1" outlineLevel="1">
      <c r="A54" s="47" t="str">
        <f t="shared" si="31"/>
        <v>1-2025</v>
      </c>
      <c r="B54" s="37">
        <v>45685.0</v>
      </c>
      <c r="C54" s="48"/>
      <c r="D54" s="49">
        <v>178.93</v>
      </c>
      <c r="E54" s="50">
        <v>8.0</v>
      </c>
      <c r="F54" s="50">
        <v>8.0</v>
      </c>
      <c r="G54" s="51">
        <f t="shared" si="2"/>
        <v>1</v>
      </c>
      <c r="H54" s="49">
        <f t="shared" si="32"/>
        <v>22.36625</v>
      </c>
      <c r="I54" s="49">
        <f t="shared" si="33"/>
        <v>22.36625</v>
      </c>
      <c r="J54" s="52">
        <v>164.0</v>
      </c>
      <c r="K54" s="53">
        <f t="shared" si="5"/>
        <v>0.0487804878</v>
      </c>
      <c r="L54" s="39">
        <v>70.51</v>
      </c>
      <c r="M54" s="39">
        <v>301.88</v>
      </c>
      <c r="N54" s="40">
        <v>10.0</v>
      </c>
      <c r="O54" s="52">
        <v>17798.0</v>
      </c>
      <c r="P54" s="53">
        <f t="shared" si="6"/>
        <v>0.2335696303</v>
      </c>
      <c r="Q54" s="55">
        <f t="shared" si="7"/>
        <v>4.281378528</v>
      </c>
      <c r="R54" s="53">
        <f t="shared" si="8"/>
        <v>1.687140222</v>
      </c>
      <c r="S54" s="19"/>
      <c r="T54" s="28"/>
      <c r="U54" s="9"/>
      <c r="V54" s="9"/>
      <c r="W54" s="9"/>
      <c r="X54" s="9"/>
      <c r="Y54" s="9"/>
      <c r="Z54" s="9"/>
    </row>
    <row r="55" hidden="1" outlineLevel="1">
      <c r="A55" s="47" t="str">
        <f t="shared" si="31"/>
        <v>1-2025</v>
      </c>
      <c r="B55" s="37">
        <v>45686.0</v>
      </c>
      <c r="C55" s="48"/>
      <c r="D55" s="49">
        <v>259.9</v>
      </c>
      <c r="E55" s="50">
        <v>10.0</v>
      </c>
      <c r="F55" s="50">
        <v>9.0</v>
      </c>
      <c r="G55" s="51">
        <f t="shared" si="2"/>
        <v>1.111111111</v>
      </c>
      <c r="H55" s="49">
        <f t="shared" si="32"/>
        <v>28.87777778</v>
      </c>
      <c r="I55" s="49">
        <f t="shared" si="33"/>
        <v>25.99</v>
      </c>
      <c r="J55" s="52">
        <v>152.0</v>
      </c>
      <c r="K55" s="53">
        <f t="shared" si="5"/>
        <v>0.06578947368</v>
      </c>
      <c r="L55" s="49">
        <v>76.22</v>
      </c>
      <c r="M55" s="49">
        <v>180.93</v>
      </c>
      <c r="N55" s="50">
        <v>6.0</v>
      </c>
      <c r="O55" s="52">
        <v>18144.0</v>
      </c>
      <c r="P55" s="53">
        <f t="shared" si="6"/>
        <v>0.4212678937</v>
      </c>
      <c r="Q55" s="55">
        <f t="shared" si="7"/>
        <v>2.373786408</v>
      </c>
      <c r="R55" s="53">
        <f t="shared" si="8"/>
        <v>0.6961523663</v>
      </c>
      <c r="S55" s="19"/>
      <c r="T55" s="28"/>
      <c r="U55" s="9"/>
      <c r="V55" s="9"/>
      <c r="W55" s="9"/>
      <c r="X55" s="9"/>
      <c r="Y55" s="9"/>
      <c r="Z55" s="9"/>
    </row>
    <row r="56" hidden="1" outlineLevel="1">
      <c r="A56" s="47" t="str">
        <f t="shared" si="31"/>
        <v>1-2025</v>
      </c>
      <c r="B56" s="37">
        <v>45687.0</v>
      </c>
      <c r="C56" s="48"/>
      <c r="D56" s="49">
        <v>334.87</v>
      </c>
      <c r="E56" s="50">
        <v>13.0</v>
      </c>
      <c r="F56" s="50">
        <v>10.0</v>
      </c>
      <c r="G56" s="51">
        <f t="shared" si="2"/>
        <v>1.3</v>
      </c>
      <c r="H56" s="49">
        <f t="shared" si="32"/>
        <v>33.487</v>
      </c>
      <c r="I56" s="49">
        <f t="shared" si="33"/>
        <v>25.75923077</v>
      </c>
      <c r="J56" s="52">
        <v>140.0</v>
      </c>
      <c r="K56" s="53">
        <f t="shared" si="5"/>
        <v>0.09285714286</v>
      </c>
      <c r="L56" s="49">
        <v>66.47</v>
      </c>
      <c r="M56" s="49">
        <v>201.92</v>
      </c>
      <c r="N56" s="50">
        <v>7.0</v>
      </c>
      <c r="O56" s="52">
        <v>17669.0</v>
      </c>
      <c r="P56" s="53">
        <f t="shared" si="6"/>
        <v>0.3291897781</v>
      </c>
      <c r="Q56" s="55">
        <f t="shared" si="7"/>
        <v>3.037761396</v>
      </c>
      <c r="R56" s="53">
        <f t="shared" si="8"/>
        <v>0.602980261</v>
      </c>
      <c r="S56" s="19"/>
      <c r="T56" s="28"/>
      <c r="U56" s="9"/>
      <c r="V56" s="9"/>
      <c r="W56" s="9"/>
      <c r="X56" s="9"/>
      <c r="Y56" s="9"/>
      <c r="Z56" s="9"/>
    </row>
    <row r="57" hidden="1" outlineLevel="1">
      <c r="A57" s="47" t="str">
        <f t="shared" si="31"/>
        <v>1-2025</v>
      </c>
      <c r="B57" s="37">
        <v>45688.0</v>
      </c>
      <c r="C57" s="48"/>
      <c r="D57" s="49">
        <v>174.93</v>
      </c>
      <c r="E57" s="50">
        <v>7.0</v>
      </c>
      <c r="F57" s="50">
        <v>6.0</v>
      </c>
      <c r="G57" s="51">
        <f t="shared" si="2"/>
        <v>1.166666667</v>
      </c>
      <c r="H57" s="49">
        <f t="shared" si="32"/>
        <v>29.155</v>
      </c>
      <c r="I57" s="49">
        <f t="shared" si="33"/>
        <v>24.99</v>
      </c>
      <c r="J57" s="52">
        <v>152.0</v>
      </c>
      <c r="K57" s="53">
        <f t="shared" si="5"/>
        <v>0.04605263158</v>
      </c>
      <c r="L57" s="49">
        <v>79.48</v>
      </c>
      <c r="M57" s="49">
        <v>155.94</v>
      </c>
      <c r="N57" s="50">
        <v>6.0</v>
      </c>
      <c r="O57" s="52">
        <v>19354.0</v>
      </c>
      <c r="P57" s="53">
        <f t="shared" si="6"/>
        <v>0.5096832115</v>
      </c>
      <c r="Q57" s="55">
        <f t="shared" si="7"/>
        <v>1.96200302</v>
      </c>
      <c r="R57" s="53">
        <f t="shared" si="8"/>
        <v>0.8914422912</v>
      </c>
      <c r="S57" s="19"/>
      <c r="T57" s="28"/>
      <c r="U57" s="9"/>
      <c r="V57" s="9"/>
      <c r="W57" s="9"/>
      <c r="X57" s="9"/>
      <c r="Y57" s="9"/>
      <c r="Z57" s="9"/>
    </row>
    <row r="58" hidden="1" outlineLevel="1">
      <c r="A58" s="47" t="str">
        <f t="shared" si="31"/>
        <v>2-2025</v>
      </c>
      <c r="B58" s="37">
        <v>45689.0</v>
      </c>
      <c r="C58" s="48"/>
      <c r="D58" s="49">
        <v>515.8</v>
      </c>
      <c r="E58" s="50">
        <v>20.0</v>
      </c>
      <c r="F58" s="50">
        <v>17.0</v>
      </c>
      <c r="G58" s="51">
        <f t="shared" si="2"/>
        <v>1.176470588</v>
      </c>
      <c r="H58" s="49">
        <f t="shared" si="32"/>
        <v>30.34117647</v>
      </c>
      <c r="I58" s="49">
        <f t="shared" si="33"/>
        <v>25.79</v>
      </c>
      <c r="J58" s="52">
        <v>237.0</v>
      </c>
      <c r="K58" s="53">
        <f t="shared" si="5"/>
        <v>0.08438818565</v>
      </c>
      <c r="L58" s="49">
        <v>132.44</v>
      </c>
      <c r="M58" s="49">
        <v>388.85</v>
      </c>
      <c r="N58" s="50">
        <v>12.0</v>
      </c>
      <c r="O58" s="52">
        <v>27578.0</v>
      </c>
      <c r="P58" s="53">
        <f t="shared" si="6"/>
        <v>0.3405940594</v>
      </c>
      <c r="Q58" s="55">
        <f t="shared" si="7"/>
        <v>2.936046512</v>
      </c>
      <c r="R58" s="53">
        <f t="shared" si="8"/>
        <v>0.7538774719</v>
      </c>
      <c r="S58" s="19"/>
      <c r="T58" s="28"/>
      <c r="U58" s="9"/>
      <c r="V58" s="9"/>
      <c r="W58" s="9"/>
      <c r="X58" s="9"/>
      <c r="Y58" s="9"/>
      <c r="Z58" s="9"/>
    </row>
    <row r="59" collapsed="1">
      <c r="A59" s="101" t="s">
        <v>72</v>
      </c>
      <c r="B59" s="102"/>
      <c r="C59" s="103"/>
      <c r="D59" s="104">
        <f t="shared" ref="D59:F59" si="34">SUM(D52:D58)</f>
        <v>2384.07</v>
      </c>
      <c r="E59" s="105">
        <f t="shared" si="34"/>
        <v>95</v>
      </c>
      <c r="F59" s="105">
        <f t="shared" si="34"/>
        <v>84</v>
      </c>
      <c r="G59" s="260">
        <f t="shared" si="2"/>
        <v>1.130952381</v>
      </c>
      <c r="H59" s="104">
        <f>average(H52:H58)</f>
        <v>28.27807178</v>
      </c>
      <c r="I59" s="261">
        <f>H59/G59</f>
        <v>25.00376874</v>
      </c>
      <c r="J59" s="108">
        <f>SUM(J52:J58)</f>
        <v>1343</v>
      </c>
      <c r="K59" s="109">
        <f t="shared" si="5"/>
        <v>0.07073715562</v>
      </c>
      <c r="L59" s="104">
        <f t="shared" ref="L59:N59" si="35">SUM(L52:L58)</f>
        <v>660.54</v>
      </c>
      <c r="M59" s="104">
        <f t="shared" si="35"/>
        <v>1872.27</v>
      </c>
      <c r="N59" s="262">
        <f t="shared" si="35"/>
        <v>65</v>
      </c>
      <c r="O59" s="108">
        <f>sum(O52:O58)</f>
        <v>154498</v>
      </c>
      <c r="P59" s="109">
        <f t="shared" si="6"/>
        <v>0.3528016792</v>
      </c>
      <c r="Q59" s="263">
        <f t="shared" si="7"/>
        <v>2.834453629</v>
      </c>
      <c r="R59" s="113">
        <f t="shared" si="8"/>
        <v>0.7853250953</v>
      </c>
      <c r="S59" s="103" t="str">
        <f>iferror((D59-#REF!)/D59,)</f>
        <v/>
      </c>
      <c r="T59" s="114" t="str">
        <f>iferror((F59-#REF!)/F59,)</f>
        <v/>
      </c>
      <c r="U59" s="9"/>
      <c r="V59" s="9"/>
      <c r="W59" s="9"/>
      <c r="X59" s="9"/>
      <c r="Y59" s="9"/>
      <c r="Z59" s="9"/>
    </row>
    <row r="60" hidden="1" outlineLevel="1">
      <c r="A60" s="36" t="str">
        <f t="shared" ref="A60:A66" si="36">iferror(if(B60&gt;0,month(B60)&amp;"-"&amp;year(B60),B60),)</f>
        <v>2-2025</v>
      </c>
      <c r="B60" s="37">
        <v>45690.0</v>
      </c>
      <c r="C60" s="38"/>
      <c r="D60" s="39">
        <v>532.79</v>
      </c>
      <c r="E60" s="40">
        <v>21.0</v>
      </c>
      <c r="F60" s="40">
        <v>17.0</v>
      </c>
      <c r="G60" s="41">
        <f t="shared" si="2"/>
        <v>1.235294118</v>
      </c>
      <c r="H60" s="39">
        <f t="shared" ref="H60:H66" si="37">D60/F60</f>
        <v>31.34058824</v>
      </c>
      <c r="I60" s="39">
        <f t="shared" ref="I60:I66" si="38">D60/E60</f>
        <v>25.37095238</v>
      </c>
      <c r="J60" s="42">
        <v>265.0</v>
      </c>
      <c r="K60" s="43">
        <f t="shared" si="5"/>
        <v>0.07924528302</v>
      </c>
      <c r="L60" s="39">
        <v>148.09</v>
      </c>
      <c r="M60" s="39">
        <v>359.86</v>
      </c>
      <c r="N60" s="40">
        <v>11.0</v>
      </c>
      <c r="O60" s="42">
        <v>29735.0</v>
      </c>
      <c r="P60" s="43">
        <f t="shared" si="6"/>
        <v>0.4115211471</v>
      </c>
      <c r="Q60" s="44">
        <f t="shared" si="7"/>
        <v>2.430008778</v>
      </c>
      <c r="R60" s="43">
        <f t="shared" si="8"/>
        <v>0.6754255898</v>
      </c>
      <c r="S60" s="45"/>
      <c r="T60" s="46"/>
      <c r="U60" s="9"/>
      <c r="V60" s="9"/>
      <c r="W60" s="9"/>
      <c r="X60" s="9"/>
      <c r="Y60" s="9"/>
      <c r="Z60" s="9"/>
    </row>
    <row r="61" hidden="1" outlineLevel="1">
      <c r="A61" s="47" t="str">
        <f t="shared" si="36"/>
        <v>2-2025</v>
      </c>
      <c r="B61" s="37">
        <v>45691.0</v>
      </c>
      <c r="C61" s="48"/>
      <c r="D61" s="49">
        <v>284.89</v>
      </c>
      <c r="E61" s="50">
        <v>11.0</v>
      </c>
      <c r="F61" s="50">
        <v>10.0</v>
      </c>
      <c r="G61" s="51">
        <f t="shared" si="2"/>
        <v>1.1</v>
      </c>
      <c r="H61" s="49">
        <f t="shared" si="37"/>
        <v>28.489</v>
      </c>
      <c r="I61" s="49">
        <f t="shared" si="38"/>
        <v>25.89909091</v>
      </c>
      <c r="J61" s="52">
        <v>160.0</v>
      </c>
      <c r="K61" s="53">
        <f t="shared" si="5"/>
        <v>0.06875</v>
      </c>
      <c r="L61" s="49">
        <v>85.07</v>
      </c>
      <c r="M61" s="54">
        <v>155.94</v>
      </c>
      <c r="N61" s="50">
        <v>6.0</v>
      </c>
      <c r="O61" s="52">
        <v>22407.0</v>
      </c>
      <c r="P61" s="53">
        <f t="shared" si="6"/>
        <v>0.5455303322</v>
      </c>
      <c r="Q61" s="55">
        <f t="shared" si="7"/>
        <v>1.833078641</v>
      </c>
      <c r="R61" s="53">
        <f t="shared" si="8"/>
        <v>0.54736916</v>
      </c>
      <c r="S61" s="19"/>
      <c r="T61" s="28"/>
      <c r="U61" s="9"/>
      <c r="V61" s="9"/>
      <c r="W61" s="9"/>
      <c r="X61" s="9"/>
      <c r="Y61" s="9"/>
      <c r="Z61" s="9"/>
    </row>
    <row r="62" hidden="1" outlineLevel="1">
      <c r="A62" s="47" t="str">
        <f t="shared" si="36"/>
        <v>2-2025</v>
      </c>
      <c r="B62" s="37">
        <v>45692.0</v>
      </c>
      <c r="C62" s="48"/>
      <c r="D62" s="49">
        <v>548.79</v>
      </c>
      <c r="E62" s="50">
        <v>21.0</v>
      </c>
      <c r="F62" s="50">
        <v>18.0</v>
      </c>
      <c r="G62" s="51">
        <f t="shared" si="2"/>
        <v>1.166666667</v>
      </c>
      <c r="H62" s="49">
        <f t="shared" si="37"/>
        <v>30.48833333</v>
      </c>
      <c r="I62" s="49">
        <f t="shared" si="38"/>
        <v>26.13285714</v>
      </c>
      <c r="J62" s="52">
        <v>191.0</v>
      </c>
      <c r="K62" s="53">
        <f t="shared" si="5"/>
        <v>0.109947644</v>
      </c>
      <c r="L62" s="39">
        <v>103.34</v>
      </c>
      <c r="M62" s="39">
        <v>496.81</v>
      </c>
      <c r="N62" s="40">
        <v>16.0</v>
      </c>
      <c r="O62" s="52">
        <v>21047.0</v>
      </c>
      <c r="P62" s="53">
        <f t="shared" si="6"/>
        <v>0.2080070852</v>
      </c>
      <c r="Q62" s="55">
        <f t="shared" si="7"/>
        <v>4.807528547</v>
      </c>
      <c r="R62" s="53">
        <f t="shared" si="8"/>
        <v>0.9052825307</v>
      </c>
      <c r="S62" s="19"/>
      <c r="T62" s="28"/>
      <c r="U62" s="9"/>
      <c r="V62" s="9"/>
      <c r="W62" s="9"/>
      <c r="X62" s="9"/>
      <c r="Y62" s="9"/>
      <c r="Z62" s="9"/>
    </row>
    <row r="63" hidden="1" outlineLevel="1">
      <c r="A63" s="47" t="str">
        <f t="shared" si="36"/>
        <v>2-2025</v>
      </c>
      <c r="B63" s="37">
        <v>45693.0</v>
      </c>
      <c r="C63" s="48"/>
      <c r="D63" s="49">
        <v>411.84</v>
      </c>
      <c r="E63" s="50">
        <v>16.0</v>
      </c>
      <c r="F63" s="50">
        <v>14.0</v>
      </c>
      <c r="G63" s="51">
        <f t="shared" si="2"/>
        <v>1.142857143</v>
      </c>
      <c r="H63" s="49">
        <f t="shared" si="37"/>
        <v>29.41714286</v>
      </c>
      <c r="I63" s="49">
        <f t="shared" si="38"/>
        <v>25.74</v>
      </c>
      <c r="J63" s="52">
        <v>183.0</v>
      </c>
      <c r="K63" s="53">
        <f t="shared" si="5"/>
        <v>0.08743169399</v>
      </c>
      <c r="L63" s="49">
        <v>103.55</v>
      </c>
      <c r="M63" s="49">
        <v>255.9</v>
      </c>
      <c r="N63" s="50">
        <v>10.0</v>
      </c>
      <c r="O63" s="52">
        <v>22720.0</v>
      </c>
      <c r="P63" s="53">
        <f t="shared" si="6"/>
        <v>0.404650254</v>
      </c>
      <c r="Q63" s="55">
        <f t="shared" si="7"/>
        <v>2.471269918</v>
      </c>
      <c r="R63" s="53">
        <f t="shared" si="8"/>
        <v>0.6213578089</v>
      </c>
      <c r="S63" s="19"/>
      <c r="T63" s="28"/>
      <c r="U63" s="9"/>
      <c r="V63" s="9"/>
      <c r="W63" s="9"/>
      <c r="X63" s="9"/>
      <c r="Y63" s="9"/>
      <c r="Z63" s="9"/>
    </row>
    <row r="64" hidden="1" outlineLevel="1">
      <c r="A64" s="47" t="str">
        <f t="shared" si="36"/>
        <v>2-2025</v>
      </c>
      <c r="B64" s="37">
        <v>45694.0</v>
      </c>
      <c r="C64" s="48"/>
      <c r="D64" s="49">
        <v>220.91</v>
      </c>
      <c r="E64" s="50">
        <v>9.0</v>
      </c>
      <c r="F64" s="50">
        <v>9.0</v>
      </c>
      <c r="G64" s="51">
        <f t="shared" si="2"/>
        <v>1</v>
      </c>
      <c r="H64" s="49">
        <f t="shared" si="37"/>
        <v>24.54555556</v>
      </c>
      <c r="I64" s="49">
        <f t="shared" si="38"/>
        <v>24.54555556</v>
      </c>
      <c r="J64" s="52">
        <v>172.0</v>
      </c>
      <c r="K64" s="53">
        <f t="shared" si="5"/>
        <v>0.0523255814</v>
      </c>
      <c r="L64" s="49">
        <v>94.66</v>
      </c>
      <c r="M64" s="49">
        <v>247.9</v>
      </c>
      <c r="N64" s="50">
        <v>10.0</v>
      </c>
      <c r="O64" s="52">
        <v>25189.0</v>
      </c>
      <c r="P64" s="53">
        <f t="shared" si="6"/>
        <v>0.3818475192</v>
      </c>
      <c r="Q64" s="55">
        <f t="shared" si="7"/>
        <v>2.618846398</v>
      </c>
      <c r="R64" s="53">
        <f t="shared" si="8"/>
        <v>1.122176452</v>
      </c>
      <c r="S64" s="19"/>
      <c r="T64" s="28"/>
      <c r="U64" s="9"/>
      <c r="V64" s="9"/>
      <c r="W64" s="9"/>
      <c r="X64" s="9"/>
      <c r="Y64" s="9"/>
      <c r="Z64" s="9"/>
    </row>
    <row r="65" hidden="1" outlineLevel="1">
      <c r="A65" s="47" t="str">
        <f t="shared" si="36"/>
        <v>2-2025</v>
      </c>
      <c r="B65" s="37">
        <v>45695.0</v>
      </c>
      <c r="C65" s="48"/>
      <c r="D65" s="49">
        <v>346.87</v>
      </c>
      <c r="E65" s="50">
        <v>13.0</v>
      </c>
      <c r="F65" s="50">
        <v>13.0</v>
      </c>
      <c r="G65" s="51">
        <f t="shared" si="2"/>
        <v>1</v>
      </c>
      <c r="H65" s="49">
        <f t="shared" si="37"/>
        <v>26.68230769</v>
      </c>
      <c r="I65" s="49">
        <f t="shared" si="38"/>
        <v>26.68230769</v>
      </c>
      <c r="J65" s="52">
        <v>135.0</v>
      </c>
      <c r="K65" s="53">
        <f t="shared" si="5"/>
        <v>0.0962962963</v>
      </c>
      <c r="L65" s="49">
        <v>69.27</v>
      </c>
      <c r="M65" s="49">
        <v>186.93</v>
      </c>
      <c r="N65" s="50">
        <v>7.0</v>
      </c>
      <c r="O65" s="52">
        <v>17135.0</v>
      </c>
      <c r="P65" s="53">
        <f t="shared" si="6"/>
        <v>0.3705665222</v>
      </c>
      <c r="Q65" s="55">
        <f t="shared" si="7"/>
        <v>2.69857081</v>
      </c>
      <c r="R65" s="53">
        <f t="shared" si="8"/>
        <v>0.5389050653</v>
      </c>
      <c r="S65" s="19"/>
      <c r="T65" s="28"/>
      <c r="U65" s="9"/>
      <c r="V65" s="9"/>
      <c r="W65" s="9"/>
      <c r="X65" s="9"/>
      <c r="Y65" s="9"/>
      <c r="Z65" s="9"/>
    </row>
    <row r="66" hidden="1" outlineLevel="1">
      <c r="A66" s="47" t="str">
        <f t="shared" si="36"/>
        <v>2-2025</v>
      </c>
      <c r="B66" s="37">
        <v>45696.0</v>
      </c>
      <c r="C66" s="48"/>
      <c r="D66" s="49">
        <v>334.87</v>
      </c>
      <c r="E66" s="50">
        <v>13.0</v>
      </c>
      <c r="F66" s="50">
        <v>12.0</v>
      </c>
      <c r="G66" s="51">
        <f t="shared" si="2"/>
        <v>1.083333333</v>
      </c>
      <c r="H66" s="49">
        <f t="shared" si="37"/>
        <v>27.90583333</v>
      </c>
      <c r="I66" s="49">
        <f t="shared" si="38"/>
        <v>25.75923077</v>
      </c>
      <c r="J66" s="52">
        <v>191.0</v>
      </c>
      <c r="K66" s="53">
        <f t="shared" si="5"/>
        <v>0.06806282723</v>
      </c>
      <c r="L66" s="49">
        <v>87.4</v>
      </c>
      <c r="M66" s="49">
        <v>107.96</v>
      </c>
      <c r="N66" s="50">
        <v>4.0</v>
      </c>
      <c r="O66" s="52">
        <v>22713.0</v>
      </c>
      <c r="P66" s="53">
        <f t="shared" si="6"/>
        <v>0.809559096</v>
      </c>
      <c r="Q66" s="55">
        <f t="shared" si="7"/>
        <v>1.235240275</v>
      </c>
      <c r="R66" s="53">
        <f t="shared" si="8"/>
        <v>0.3223937647</v>
      </c>
      <c r="S66" s="19"/>
      <c r="T66" s="28"/>
      <c r="U66" s="9"/>
      <c r="V66" s="9"/>
      <c r="W66" s="9"/>
      <c r="X66" s="9"/>
      <c r="Y66" s="9"/>
      <c r="Z66" s="9"/>
    </row>
    <row r="67" collapsed="1">
      <c r="A67" s="101" t="s">
        <v>73</v>
      </c>
      <c r="B67" s="102"/>
      <c r="C67" s="103"/>
      <c r="D67" s="104">
        <f t="shared" ref="D67:F67" si="39">SUM(D60:D66)</f>
        <v>2680.96</v>
      </c>
      <c r="E67" s="105">
        <f t="shared" si="39"/>
        <v>104</v>
      </c>
      <c r="F67" s="105">
        <f t="shared" si="39"/>
        <v>93</v>
      </c>
      <c r="G67" s="260">
        <f t="shared" si="2"/>
        <v>1.11827957</v>
      </c>
      <c r="H67" s="104">
        <f>average(H60:H66)</f>
        <v>28.409823</v>
      </c>
      <c r="I67" s="261">
        <f>H67/G67</f>
        <v>25.40493788</v>
      </c>
      <c r="J67" s="108">
        <f>SUM(J60:J66)</f>
        <v>1297</v>
      </c>
      <c r="K67" s="109">
        <f t="shared" si="5"/>
        <v>0.08018504241</v>
      </c>
      <c r="L67" s="104">
        <f t="shared" ref="L67:N67" si="40">SUM(L60:L66)</f>
        <v>691.38</v>
      </c>
      <c r="M67" s="104">
        <f t="shared" si="40"/>
        <v>1811.3</v>
      </c>
      <c r="N67" s="262">
        <f t="shared" si="40"/>
        <v>64</v>
      </c>
      <c r="O67" s="108">
        <f>sum(O60:O66)</f>
        <v>160946</v>
      </c>
      <c r="P67" s="109">
        <f t="shared" si="6"/>
        <v>0.3817037487</v>
      </c>
      <c r="Q67" s="263">
        <f t="shared" si="7"/>
        <v>2.619832798</v>
      </c>
      <c r="R67" s="113">
        <f t="shared" si="8"/>
        <v>0.6756161972</v>
      </c>
      <c r="S67" s="103" t="str">
        <f>iferror((D67-#REF!)/D67,)</f>
        <v/>
      </c>
      <c r="T67" s="114" t="str">
        <f>iferror((F67-#REF!)/F67,)</f>
        <v/>
      </c>
      <c r="U67" s="9"/>
      <c r="V67" s="9"/>
      <c r="W67" s="9"/>
      <c r="X67" s="9"/>
      <c r="Y67" s="9"/>
      <c r="Z67" s="9"/>
    </row>
    <row r="68" hidden="1" outlineLevel="1">
      <c r="A68" s="36" t="str">
        <f t="shared" ref="A68:A74" si="41">iferror(if(B68&gt;0,month(B68)&amp;"-"&amp;year(B68),B68),)</f>
        <v>2-2025</v>
      </c>
      <c r="B68" s="37">
        <v>45697.0</v>
      </c>
      <c r="C68" s="38"/>
      <c r="D68" s="39">
        <v>149.94</v>
      </c>
      <c r="E68" s="40">
        <v>6.0</v>
      </c>
      <c r="F68" s="40">
        <v>5.0</v>
      </c>
      <c r="G68" s="41">
        <f t="shared" si="2"/>
        <v>1.2</v>
      </c>
      <c r="H68" s="39">
        <f t="shared" ref="H68:H74" si="42">D68/F68</f>
        <v>29.988</v>
      </c>
      <c r="I68" s="39">
        <f t="shared" ref="I68:I74" si="43">D68/E68</f>
        <v>24.99</v>
      </c>
      <c r="J68" s="42">
        <v>238.0</v>
      </c>
      <c r="K68" s="43">
        <f t="shared" si="5"/>
        <v>0.02521008403</v>
      </c>
      <c r="L68" s="39">
        <v>128.42</v>
      </c>
      <c r="M68" s="39">
        <v>201.92</v>
      </c>
      <c r="N68" s="40">
        <v>6.0</v>
      </c>
      <c r="O68" s="42">
        <v>26429.0</v>
      </c>
      <c r="P68" s="43">
        <f t="shared" si="6"/>
        <v>0.6359944532</v>
      </c>
      <c r="Q68" s="44">
        <f t="shared" si="7"/>
        <v>1.572340757</v>
      </c>
      <c r="R68" s="43">
        <f t="shared" si="8"/>
        <v>1.346672002</v>
      </c>
      <c r="S68" s="45"/>
      <c r="T68" s="46"/>
      <c r="U68" s="9"/>
      <c r="V68" s="9"/>
      <c r="W68" s="9"/>
      <c r="X68" s="9"/>
      <c r="Y68" s="9"/>
      <c r="Z68" s="9"/>
    </row>
    <row r="69" hidden="1" outlineLevel="1">
      <c r="A69" s="47" t="str">
        <f t="shared" si="41"/>
        <v>2-2025</v>
      </c>
      <c r="B69" s="37">
        <v>45698.0</v>
      </c>
      <c r="C69" s="48"/>
      <c r="D69" s="49">
        <v>496.81</v>
      </c>
      <c r="E69" s="50">
        <v>19.0</v>
      </c>
      <c r="F69" s="50">
        <v>17.0</v>
      </c>
      <c r="G69" s="51">
        <f t="shared" si="2"/>
        <v>1.117647059</v>
      </c>
      <c r="H69" s="49">
        <f t="shared" si="42"/>
        <v>29.22411765</v>
      </c>
      <c r="I69" s="49">
        <f t="shared" si="43"/>
        <v>26.14789474</v>
      </c>
      <c r="J69" s="52">
        <v>182.0</v>
      </c>
      <c r="K69" s="53">
        <f t="shared" si="5"/>
        <v>0.1043956044</v>
      </c>
      <c r="L69" s="49">
        <v>97.42</v>
      </c>
      <c r="M69" s="54">
        <v>390.85</v>
      </c>
      <c r="N69" s="50">
        <v>14.0</v>
      </c>
      <c r="O69" s="52">
        <v>22360.0</v>
      </c>
      <c r="P69" s="53">
        <f t="shared" si="6"/>
        <v>0.2492516311</v>
      </c>
      <c r="Q69" s="55">
        <f t="shared" si="7"/>
        <v>4.012009854</v>
      </c>
      <c r="R69" s="53">
        <f t="shared" si="8"/>
        <v>0.7867192689</v>
      </c>
      <c r="S69" s="19"/>
      <c r="T69" s="28"/>
      <c r="U69" s="9"/>
      <c r="V69" s="9"/>
      <c r="W69" s="9"/>
      <c r="X69" s="9"/>
      <c r="Y69" s="9"/>
      <c r="Z69" s="9"/>
    </row>
    <row r="70" hidden="1" outlineLevel="1">
      <c r="A70" s="47" t="str">
        <f t="shared" si="41"/>
        <v>2-2025</v>
      </c>
      <c r="B70" s="37">
        <v>45699.0</v>
      </c>
      <c r="C70" s="48"/>
      <c r="D70" s="49">
        <v>390.85</v>
      </c>
      <c r="E70" s="50">
        <v>15.0</v>
      </c>
      <c r="F70" s="50">
        <v>15.0</v>
      </c>
      <c r="G70" s="51">
        <f t="shared" si="2"/>
        <v>1</v>
      </c>
      <c r="H70" s="49">
        <f t="shared" si="42"/>
        <v>26.05666667</v>
      </c>
      <c r="I70" s="49">
        <f t="shared" si="43"/>
        <v>26.05666667</v>
      </c>
      <c r="J70" s="52">
        <v>187.0</v>
      </c>
      <c r="K70" s="53">
        <f t="shared" si="5"/>
        <v>0.08021390374</v>
      </c>
      <c r="L70" s="39">
        <v>107.55</v>
      </c>
      <c r="M70" s="39">
        <v>128.95</v>
      </c>
      <c r="N70" s="40">
        <v>5.0</v>
      </c>
      <c r="O70" s="52">
        <v>19978.0</v>
      </c>
      <c r="P70" s="53">
        <f t="shared" si="6"/>
        <v>0.8340442032</v>
      </c>
      <c r="Q70" s="55">
        <f t="shared" si="7"/>
        <v>1.19897722</v>
      </c>
      <c r="R70" s="53">
        <f t="shared" si="8"/>
        <v>0.3299219649</v>
      </c>
      <c r="S70" s="19"/>
      <c r="T70" s="28"/>
      <c r="U70" s="9"/>
      <c r="V70" s="9"/>
      <c r="W70" s="9"/>
      <c r="X70" s="9"/>
      <c r="Y70" s="9"/>
      <c r="Z70" s="9"/>
    </row>
    <row r="71" hidden="1" outlineLevel="1">
      <c r="A71" s="47" t="str">
        <f t="shared" si="41"/>
        <v>2-2025</v>
      </c>
      <c r="B71" s="37">
        <v>45700.0</v>
      </c>
      <c r="C71" s="48"/>
      <c r="D71" s="49">
        <v>130.95</v>
      </c>
      <c r="E71" s="50">
        <v>5.0</v>
      </c>
      <c r="F71" s="50">
        <v>5.0</v>
      </c>
      <c r="G71" s="51">
        <f t="shared" si="2"/>
        <v>1</v>
      </c>
      <c r="H71" s="49">
        <f t="shared" si="42"/>
        <v>26.19</v>
      </c>
      <c r="I71" s="49">
        <f t="shared" si="43"/>
        <v>26.19</v>
      </c>
      <c r="J71" s="52">
        <v>179.0</v>
      </c>
      <c r="K71" s="53">
        <f t="shared" si="5"/>
        <v>0.02793296089</v>
      </c>
      <c r="L71" s="49">
        <v>103.65</v>
      </c>
      <c r="M71" s="49">
        <v>127.95</v>
      </c>
      <c r="N71" s="50">
        <v>5.0</v>
      </c>
      <c r="O71" s="52">
        <v>20660.0</v>
      </c>
      <c r="P71" s="53">
        <f t="shared" si="6"/>
        <v>0.8100820633</v>
      </c>
      <c r="Q71" s="55">
        <f t="shared" si="7"/>
        <v>1.234442836</v>
      </c>
      <c r="R71" s="53">
        <f t="shared" si="8"/>
        <v>0.9770904926</v>
      </c>
      <c r="S71" s="19"/>
      <c r="T71" s="28"/>
      <c r="U71" s="9"/>
      <c r="V71" s="9"/>
      <c r="W71" s="9"/>
      <c r="X71" s="9"/>
      <c r="Y71" s="9"/>
      <c r="Z71" s="9"/>
    </row>
    <row r="72" hidden="1" outlineLevel="1">
      <c r="A72" s="47" t="str">
        <f t="shared" si="41"/>
        <v>2-2025</v>
      </c>
      <c r="B72" s="37">
        <v>45701.0</v>
      </c>
      <c r="C72" s="48"/>
      <c r="D72" s="49">
        <v>286.89</v>
      </c>
      <c r="E72" s="50">
        <v>11.0</v>
      </c>
      <c r="F72" s="50">
        <v>11.0</v>
      </c>
      <c r="G72" s="51">
        <f t="shared" si="2"/>
        <v>1</v>
      </c>
      <c r="H72" s="49">
        <f t="shared" si="42"/>
        <v>26.08090909</v>
      </c>
      <c r="I72" s="49">
        <f t="shared" si="43"/>
        <v>26.08090909</v>
      </c>
      <c r="J72" s="52">
        <v>166.0</v>
      </c>
      <c r="K72" s="53">
        <f t="shared" si="5"/>
        <v>0.06626506024</v>
      </c>
      <c r="L72" s="49">
        <v>84.31</v>
      </c>
      <c r="M72" s="49">
        <v>205.92</v>
      </c>
      <c r="N72" s="50">
        <v>8.0</v>
      </c>
      <c r="O72" s="52">
        <v>15681.0</v>
      </c>
      <c r="P72" s="53">
        <f t="shared" si="6"/>
        <v>0.4094308469</v>
      </c>
      <c r="Q72" s="55">
        <f t="shared" si="7"/>
        <v>2.442414897</v>
      </c>
      <c r="R72" s="53">
        <f t="shared" si="8"/>
        <v>0.7177663913</v>
      </c>
      <c r="S72" s="19"/>
      <c r="T72" s="28"/>
      <c r="U72" s="9"/>
      <c r="V72" s="9"/>
      <c r="W72" s="9"/>
      <c r="X72" s="9"/>
      <c r="Y72" s="9"/>
      <c r="Z72" s="9"/>
    </row>
    <row r="73" hidden="1" outlineLevel="1">
      <c r="A73" s="47" t="str">
        <f t="shared" si="41"/>
        <v>2-2025</v>
      </c>
      <c r="B73" s="37">
        <v>45702.0</v>
      </c>
      <c r="C73" s="48"/>
      <c r="D73" s="49">
        <v>757.7</v>
      </c>
      <c r="E73" s="50">
        <v>30.0</v>
      </c>
      <c r="F73" s="50">
        <v>15.0</v>
      </c>
      <c r="G73" s="51">
        <f t="shared" si="2"/>
        <v>2</v>
      </c>
      <c r="H73" s="49">
        <f t="shared" si="42"/>
        <v>50.51333333</v>
      </c>
      <c r="I73" s="49">
        <f t="shared" si="43"/>
        <v>25.25666667</v>
      </c>
      <c r="J73" s="52">
        <v>141.0</v>
      </c>
      <c r="K73" s="53">
        <f t="shared" si="5"/>
        <v>0.2127659574</v>
      </c>
      <c r="L73" s="49">
        <v>69.67</v>
      </c>
      <c r="M73" s="49">
        <v>469.82</v>
      </c>
      <c r="N73" s="50">
        <v>13.0</v>
      </c>
      <c r="O73" s="52">
        <v>16780.0</v>
      </c>
      <c r="P73" s="53">
        <f t="shared" si="6"/>
        <v>0.1482908348</v>
      </c>
      <c r="Q73" s="55">
        <f t="shared" si="7"/>
        <v>6.743505095</v>
      </c>
      <c r="R73" s="53">
        <f t="shared" si="8"/>
        <v>0.62006071</v>
      </c>
      <c r="S73" s="19"/>
      <c r="T73" s="28"/>
      <c r="U73" s="9"/>
      <c r="V73" s="9"/>
      <c r="W73" s="9"/>
      <c r="X73" s="9"/>
      <c r="Y73" s="9"/>
      <c r="Z73" s="9"/>
    </row>
    <row r="74" hidden="1" outlineLevel="1">
      <c r="A74" s="47" t="str">
        <f t="shared" si="41"/>
        <v>2-2025</v>
      </c>
      <c r="B74" s="37">
        <v>45703.0</v>
      </c>
      <c r="C74" s="48"/>
      <c r="D74" s="49">
        <v>567.78</v>
      </c>
      <c r="E74" s="50">
        <v>22.0</v>
      </c>
      <c r="F74" s="50">
        <v>21.0</v>
      </c>
      <c r="G74" s="51">
        <f t="shared" si="2"/>
        <v>1.047619048</v>
      </c>
      <c r="H74" s="49">
        <f t="shared" si="42"/>
        <v>27.03714286</v>
      </c>
      <c r="I74" s="49">
        <f t="shared" si="43"/>
        <v>25.80818182</v>
      </c>
      <c r="J74" s="52">
        <v>236.0</v>
      </c>
      <c r="K74" s="53">
        <f t="shared" si="5"/>
        <v>0.09322033898</v>
      </c>
      <c r="L74" s="49">
        <v>126.23</v>
      </c>
      <c r="M74" s="49">
        <v>305.88</v>
      </c>
      <c r="N74" s="50">
        <v>10.0</v>
      </c>
      <c r="O74" s="52">
        <v>28455.0</v>
      </c>
      <c r="P74" s="53">
        <f t="shared" si="6"/>
        <v>0.4126781744</v>
      </c>
      <c r="Q74" s="55">
        <f t="shared" si="7"/>
        <v>2.423195754</v>
      </c>
      <c r="R74" s="53">
        <f t="shared" si="8"/>
        <v>0.5387297897</v>
      </c>
      <c r="S74" s="19"/>
      <c r="T74" s="28"/>
      <c r="U74" s="9"/>
      <c r="V74" s="9"/>
      <c r="W74" s="9"/>
      <c r="X74" s="9"/>
      <c r="Y74" s="9"/>
      <c r="Z74" s="9"/>
    </row>
    <row r="75" collapsed="1">
      <c r="A75" s="101" t="s">
        <v>74</v>
      </c>
      <c r="B75" s="102"/>
      <c r="C75" s="103"/>
      <c r="D75" s="104">
        <f t="shared" ref="D75:F75" si="44">SUM(D68:D74)</f>
        <v>2780.92</v>
      </c>
      <c r="E75" s="105">
        <f t="shared" si="44"/>
        <v>108</v>
      </c>
      <c r="F75" s="105">
        <f t="shared" si="44"/>
        <v>89</v>
      </c>
      <c r="G75" s="260">
        <f t="shared" si="2"/>
        <v>1.213483146</v>
      </c>
      <c r="H75" s="104">
        <f>average(H68:H74)</f>
        <v>30.72716709</v>
      </c>
      <c r="I75" s="261">
        <f>H75/G75</f>
        <v>25.32146176</v>
      </c>
      <c r="J75" s="108">
        <f>SUM(J68:J74)</f>
        <v>1329</v>
      </c>
      <c r="K75" s="109">
        <f t="shared" si="5"/>
        <v>0.08126410835</v>
      </c>
      <c r="L75" s="104">
        <f t="shared" ref="L75:N75" si="45">SUM(L68:L74)</f>
        <v>717.25</v>
      </c>
      <c r="M75" s="104">
        <f t="shared" si="45"/>
        <v>1831.29</v>
      </c>
      <c r="N75" s="262">
        <f t="shared" si="45"/>
        <v>61</v>
      </c>
      <c r="O75" s="108">
        <f>sum(O68:O74)</f>
        <v>150343</v>
      </c>
      <c r="P75" s="109">
        <f t="shared" si="6"/>
        <v>0.3916637998</v>
      </c>
      <c r="Q75" s="263">
        <f t="shared" si="7"/>
        <v>2.553210178</v>
      </c>
      <c r="R75" s="113">
        <f t="shared" si="8"/>
        <v>0.6585194828</v>
      </c>
      <c r="S75" s="103" t="str">
        <f>iferror((D75-#REF!)/D75,)</f>
        <v/>
      </c>
      <c r="T75" s="114" t="str">
        <f>iferror((F75-#REF!)/F75,)</f>
        <v/>
      </c>
      <c r="U75" s="9"/>
      <c r="V75" s="9"/>
      <c r="W75" s="9"/>
      <c r="X75" s="9"/>
      <c r="Y75" s="9"/>
      <c r="Z75" s="9"/>
    </row>
    <row r="76" hidden="1" outlineLevel="1">
      <c r="A76" s="36" t="str">
        <f t="shared" ref="A76:A82" si="46">iferror(if(B76&gt;0,month(B76)&amp;"-"&amp;year(B76),B76),)</f>
        <v>2-2025</v>
      </c>
      <c r="B76" s="91">
        <v>45704.0</v>
      </c>
      <c r="C76" s="38"/>
      <c r="D76" s="92">
        <v>386.85</v>
      </c>
      <c r="E76" s="93">
        <v>15.0</v>
      </c>
      <c r="F76" s="93">
        <v>14.0</v>
      </c>
      <c r="G76" s="41">
        <f t="shared" si="2"/>
        <v>1.071428571</v>
      </c>
      <c r="H76" s="39">
        <f t="shared" ref="H76:H82" si="47">D76/F76</f>
        <v>27.63214286</v>
      </c>
      <c r="I76" s="39">
        <f t="shared" ref="I76:I82" si="48">D76/E76</f>
        <v>25.79</v>
      </c>
      <c r="J76" s="94">
        <v>311.0</v>
      </c>
      <c r="K76" s="43">
        <f t="shared" si="5"/>
        <v>0.04823151125</v>
      </c>
      <c r="L76" s="92">
        <v>161.21</v>
      </c>
      <c r="M76" s="92">
        <v>369.86</v>
      </c>
      <c r="N76" s="93">
        <v>14.0</v>
      </c>
      <c r="O76" s="94">
        <v>49646.0</v>
      </c>
      <c r="P76" s="43">
        <f t="shared" si="6"/>
        <v>0.4358676256</v>
      </c>
      <c r="Q76" s="44">
        <f t="shared" si="7"/>
        <v>2.294274549</v>
      </c>
      <c r="R76" s="43">
        <f t="shared" si="8"/>
        <v>0.9560811684</v>
      </c>
      <c r="S76" s="45"/>
      <c r="T76" s="46"/>
      <c r="U76" s="9"/>
      <c r="V76" s="9"/>
      <c r="W76" s="9"/>
      <c r="X76" s="9"/>
      <c r="Y76" s="9"/>
      <c r="Z76" s="9"/>
    </row>
    <row r="77" hidden="1" outlineLevel="1">
      <c r="A77" s="47" t="str">
        <f t="shared" si="46"/>
        <v>2-2025</v>
      </c>
      <c r="B77" s="91">
        <v>45705.0</v>
      </c>
      <c r="C77" s="48"/>
      <c r="D77" s="96">
        <v>450.83</v>
      </c>
      <c r="E77" s="97">
        <v>18.0</v>
      </c>
      <c r="F77" s="97">
        <v>18.0</v>
      </c>
      <c r="G77" s="51">
        <f t="shared" si="2"/>
        <v>1</v>
      </c>
      <c r="H77" s="49">
        <f t="shared" si="47"/>
        <v>25.04611111</v>
      </c>
      <c r="I77" s="49">
        <f t="shared" si="48"/>
        <v>25.04611111</v>
      </c>
      <c r="J77" s="98">
        <v>268.0</v>
      </c>
      <c r="K77" s="53">
        <f t="shared" si="5"/>
        <v>0.0671641791</v>
      </c>
      <c r="L77" s="96">
        <v>139.13</v>
      </c>
      <c r="M77" s="99">
        <v>263.9</v>
      </c>
      <c r="N77" s="97">
        <v>10.0</v>
      </c>
      <c r="O77" s="98">
        <v>35677.0</v>
      </c>
      <c r="P77" s="53">
        <f t="shared" si="6"/>
        <v>0.5272072755</v>
      </c>
      <c r="Q77" s="55">
        <f t="shared" si="7"/>
        <v>1.896787177</v>
      </c>
      <c r="R77" s="53">
        <f t="shared" si="8"/>
        <v>0.5853647716</v>
      </c>
      <c r="S77" s="19"/>
      <c r="T77" s="28"/>
      <c r="U77" s="9"/>
      <c r="V77" s="9"/>
      <c r="W77" s="9"/>
      <c r="X77" s="9"/>
      <c r="Y77" s="9"/>
      <c r="Z77" s="9"/>
    </row>
    <row r="78" hidden="1" outlineLevel="1">
      <c r="A78" s="47" t="str">
        <f t="shared" si="46"/>
        <v>2-2025</v>
      </c>
      <c r="B78" s="91">
        <v>45706.0</v>
      </c>
      <c r="C78" s="48"/>
      <c r="D78" s="96">
        <v>384.85</v>
      </c>
      <c r="E78" s="97">
        <v>15.0</v>
      </c>
      <c r="F78" s="97">
        <v>15.0</v>
      </c>
      <c r="G78" s="51">
        <f t="shared" si="2"/>
        <v>1</v>
      </c>
      <c r="H78" s="49">
        <f t="shared" si="47"/>
        <v>25.65666667</v>
      </c>
      <c r="I78" s="49">
        <f t="shared" si="48"/>
        <v>25.65666667</v>
      </c>
      <c r="J78" s="98">
        <v>179.0</v>
      </c>
      <c r="K78" s="53">
        <f t="shared" si="5"/>
        <v>0.08379888268</v>
      </c>
      <c r="L78" s="92">
        <v>97.89</v>
      </c>
      <c r="M78" s="92">
        <v>211.92</v>
      </c>
      <c r="N78" s="93">
        <v>9.0</v>
      </c>
      <c r="O78" s="98">
        <v>25313.0</v>
      </c>
      <c r="P78" s="53">
        <f t="shared" si="6"/>
        <v>0.4619195923</v>
      </c>
      <c r="Q78" s="55">
        <f t="shared" si="7"/>
        <v>2.164878946</v>
      </c>
      <c r="R78" s="53">
        <f t="shared" si="8"/>
        <v>0.5506560998</v>
      </c>
      <c r="S78" s="19"/>
      <c r="T78" s="28"/>
      <c r="U78" s="9"/>
      <c r="V78" s="9"/>
      <c r="W78" s="9"/>
      <c r="X78" s="9"/>
      <c r="Y78" s="9"/>
      <c r="Z78" s="9"/>
    </row>
    <row r="79" hidden="1" outlineLevel="1">
      <c r="A79" s="47" t="str">
        <f t="shared" si="46"/>
        <v>2-2025</v>
      </c>
      <c r="B79" s="91">
        <v>45707.0</v>
      </c>
      <c r="C79" s="48"/>
      <c r="D79" s="96">
        <v>284.89</v>
      </c>
      <c r="E79" s="97">
        <v>12.0</v>
      </c>
      <c r="F79" s="97">
        <v>12.0</v>
      </c>
      <c r="G79" s="51">
        <f t="shared" si="2"/>
        <v>1</v>
      </c>
      <c r="H79" s="49">
        <f t="shared" si="47"/>
        <v>23.74083333</v>
      </c>
      <c r="I79" s="49">
        <f t="shared" si="48"/>
        <v>23.74083333</v>
      </c>
      <c r="J79" s="98">
        <v>228.0</v>
      </c>
      <c r="K79" s="53">
        <f t="shared" si="5"/>
        <v>0.05263157895</v>
      </c>
      <c r="L79" s="96">
        <v>117.87</v>
      </c>
      <c r="M79" s="96">
        <v>307.88</v>
      </c>
      <c r="N79" s="97">
        <v>11.0</v>
      </c>
      <c r="O79" s="98">
        <v>25722.0</v>
      </c>
      <c r="P79" s="53">
        <f t="shared" si="6"/>
        <v>0.3828439652</v>
      </c>
      <c r="Q79" s="55">
        <f t="shared" si="7"/>
        <v>2.612030203</v>
      </c>
      <c r="R79" s="53">
        <f t="shared" si="8"/>
        <v>1.080697813</v>
      </c>
      <c r="S79" s="19"/>
      <c r="T79" s="28"/>
      <c r="U79" s="9"/>
      <c r="V79" s="9"/>
      <c r="W79" s="9"/>
      <c r="X79" s="9"/>
      <c r="Y79" s="9"/>
      <c r="Z79" s="9"/>
    </row>
    <row r="80" hidden="1" outlineLevel="1">
      <c r="A80" s="47" t="str">
        <f t="shared" si="46"/>
        <v>2-2025</v>
      </c>
      <c r="B80" s="91">
        <v>45708.0</v>
      </c>
      <c r="C80" s="48"/>
      <c r="D80" s="96">
        <v>411.84</v>
      </c>
      <c r="E80" s="97">
        <v>16.0</v>
      </c>
      <c r="F80" s="97">
        <v>14.0</v>
      </c>
      <c r="G80" s="51">
        <f t="shared" si="2"/>
        <v>1.142857143</v>
      </c>
      <c r="H80" s="49">
        <f t="shared" si="47"/>
        <v>29.41714286</v>
      </c>
      <c r="I80" s="49">
        <f t="shared" si="48"/>
        <v>25.74</v>
      </c>
      <c r="J80" s="98">
        <v>200.0</v>
      </c>
      <c r="K80" s="53">
        <f t="shared" si="5"/>
        <v>0.08</v>
      </c>
      <c r="L80" s="96">
        <v>104.04</v>
      </c>
      <c r="M80" s="96">
        <v>234.91</v>
      </c>
      <c r="N80" s="97">
        <v>9.0</v>
      </c>
      <c r="O80" s="98">
        <v>25493.0</v>
      </c>
      <c r="P80" s="53">
        <f t="shared" si="6"/>
        <v>0.4428930229</v>
      </c>
      <c r="Q80" s="55">
        <f t="shared" si="7"/>
        <v>2.257881584</v>
      </c>
      <c r="R80" s="53">
        <f t="shared" si="8"/>
        <v>0.5703914141</v>
      </c>
      <c r="S80" s="19"/>
      <c r="T80" s="28"/>
      <c r="U80" s="9"/>
      <c r="V80" s="9"/>
      <c r="W80" s="9"/>
      <c r="X80" s="9"/>
      <c r="Y80" s="9"/>
      <c r="Z80" s="9"/>
    </row>
    <row r="81" hidden="1" outlineLevel="1">
      <c r="A81" s="47" t="str">
        <f t="shared" si="46"/>
        <v>2-2025</v>
      </c>
      <c r="B81" s="91">
        <v>45709.0</v>
      </c>
      <c r="C81" s="48"/>
      <c r="D81" s="96">
        <v>407.84</v>
      </c>
      <c r="E81" s="97">
        <v>16.0</v>
      </c>
      <c r="F81" s="97">
        <v>14.0</v>
      </c>
      <c r="G81" s="51">
        <f t="shared" si="2"/>
        <v>1.142857143</v>
      </c>
      <c r="H81" s="49">
        <f t="shared" si="47"/>
        <v>29.13142857</v>
      </c>
      <c r="I81" s="49">
        <f t="shared" si="48"/>
        <v>25.49</v>
      </c>
      <c r="J81" s="98">
        <v>198.0</v>
      </c>
      <c r="K81" s="53">
        <f t="shared" si="5"/>
        <v>0.08080808081</v>
      </c>
      <c r="L81" s="96">
        <v>105.12</v>
      </c>
      <c r="M81" s="96">
        <v>276.89</v>
      </c>
      <c r="N81" s="97">
        <v>9.0</v>
      </c>
      <c r="O81" s="98">
        <v>19822.0</v>
      </c>
      <c r="P81" s="53">
        <f t="shared" si="6"/>
        <v>0.3796453465</v>
      </c>
      <c r="Q81" s="55">
        <f t="shared" si="7"/>
        <v>2.634037291</v>
      </c>
      <c r="R81" s="53">
        <f t="shared" si="8"/>
        <v>0.6789182032</v>
      </c>
      <c r="S81" s="19"/>
      <c r="T81" s="28"/>
      <c r="U81" s="9"/>
      <c r="V81" s="9"/>
      <c r="W81" s="9"/>
      <c r="X81" s="9"/>
      <c r="Y81" s="9"/>
      <c r="Z81" s="9"/>
    </row>
    <row r="82" hidden="1" outlineLevel="1">
      <c r="A82" s="47" t="str">
        <f t="shared" si="46"/>
        <v>2-2025</v>
      </c>
      <c r="B82" s="91">
        <v>45710.0</v>
      </c>
      <c r="C82" s="48"/>
      <c r="D82" s="96">
        <v>334.87</v>
      </c>
      <c r="E82" s="97">
        <v>13.0</v>
      </c>
      <c r="F82" s="97">
        <v>13.0</v>
      </c>
      <c r="G82" s="51">
        <f t="shared" si="2"/>
        <v>1</v>
      </c>
      <c r="H82" s="49">
        <f t="shared" si="47"/>
        <v>25.75923077</v>
      </c>
      <c r="I82" s="49">
        <f t="shared" si="48"/>
        <v>25.75923077</v>
      </c>
      <c r="J82" s="98">
        <v>270.0</v>
      </c>
      <c r="K82" s="53">
        <f t="shared" si="5"/>
        <v>0.04814814815</v>
      </c>
      <c r="L82" s="96">
        <v>146.3</v>
      </c>
      <c r="M82" s="96">
        <v>203.92</v>
      </c>
      <c r="N82" s="97">
        <v>8.0</v>
      </c>
      <c r="O82" s="98">
        <v>29034.0</v>
      </c>
      <c r="P82" s="53">
        <f t="shared" si="6"/>
        <v>0.7174382111</v>
      </c>
      <c r="Q82" s="55">
        <f t="shared" si="7"/>
        <v>1.393848257</v>
      </c>
      <c r="R82" s="53">
        <f t="shared" si="8"/>
        <v>0.6089527279</v>
      </c>
      <c r="S82" s="19"/>
      <c r="T82" s="28"/>
      <c r="U82" s="9"/>
      <c r="V82" s="9"/>
      <c r="W82" s="9"/>
      <c r="X82" s="9"/>
      <c r="Y82" s="9"/>
      <c r="Z82" s="9"/>
    </row>
    <row r="83" collapsed="1">
      <c r="A83" s="101" t="s">
        <v>75</v>
      </c>
      <c r="B83" s="102"/>
      <c r="C83" s="103"/>
      <c r="D83" s="104">
        <f t="shared" ref="D83:F83" si="49">SUM(D76:D82)</f>
        <v>2661.97</v>
      </c>
      <c r="E83" s="105">
        <f t="shared" si="49"/>
        <v>105</v>
      </c>
      <c r="F83" s="105">
        <f t="shared" si="49"/>
        <v>100</v>
      </c>
      <c r="G83" s="106">
        <f t="shared" si="2"/>
        <v>1.05</v>
      </c>
      <c r="H83" s="104">
        <f>average(H76:H82)</f>
        <v>26.62622231</v>
      </c>
      <c r="I83" s="107">
        <f>H83/G83</f>
        <v>25.35830696</v>
      </c>
      <c r="J83" s="108">
        <f>SUM(J76:J82)</f>
        <v>1654</v>
      </c>
      <c r="K83" s="109">
        <f t="shared" si="5"/>
        <v>0.06348246675</v>
      </c>
      <c r="L83" s="104">
        <f t="shared" ref="L83:N83" si="50">SUM(L76:L82)</f>
        <v>871.56</v>
      </c>
      <c r="M83" s="104">
        <f t="shared" si="50"/>
        <v>1869.28</v>
      </c>
      <c r="N83" s="110">
        <f t="shared" si="50"/>
        <v>70</v>
      </c>
      <c r="O83" s="111">
        <f>sum(O76:O82)</f>
        <v>210707</v>
      </c>
      <c r="P83" s="109">
        <f t="shared" si="6"/>
        <v>0.4662543867</v>
      </c>
      <c r="Q83" s="112">
        <f t="shared" si="7"/>
        <v>2.144751939</v>
      </c>
      <c r="R83" s="113">
        <f t="shared" si="8"/>
        <v>0.7022167793</v>
      </c>
      <c r="S83" s="103" t="str">
        <f>iferror((D83-#REF!)/D83,)</f>
        <v/>
      </c>
      <c r="T83" s="114" t="str">
        <f>iferror((F83-#REF!)/F83,)</f>
        <v/>
      </c>
      <c r="U83" s="9"/>
      <c r="V83" s="9"/>
      <c r="W83" s="10"/>
      <c r="X83" s="10"/>
      <c r="Y83" s="10"/>
      <c r="Z83" s="10"/>
    </row>
    <row r="84" hidden="1" outlineLevel="1">
      <c r="A84" s="36" t="str">
        <f t="shared" ref="A84:A90" si="51">iferror(if(B84&gt;0,month(B84)&amp;"-"&amp;year(B84),B84),)</f>
        <v>2-2025</v>
      </c>
      <c r="B84" s="91">
        <v>45711.0</v>
      </c>
      <c r="C84" s="38"/>
      <c r="D84" s="92">
        <v>494.81</v>
      </c>
      <c r="E84" s="93">
        <v>20.0</v>
      </c>
      <c r="F84" s="93">
        <v>19.0</v>
      </c>
      <c r="G84" s="41">
        <f t="shared" si="2"/>
        <v>1.052631579</v>
      </c>
      <c r="H84" s="39">
        <f t="shared" ref="H84:H90" si="52">D84/F84</f>
        <v>26.04263158</v>
      </c>
      <c r="I84" s="39">
        <f t="shared" ref="I84:I90" si="53">D84/E84</f>
        <v>24.7405</v>
      </c>
      <c r="J84" s="94">
        <v>333.0</v>
      </c>
      <c r="K84" s="43">
        <f t="shared" si="5"/>
        <v>0.06006006006</v>
      </c>
      <c r="L84" s="92">
        <v>184.66</v>
      </c>
      <c r="M84" s="92">
        <v>417.84</v>
      </c>
      <c r="N84" s="93">
        <v>15.0</v>
      </c>
      <c r="O84" s="94">
        <v>38767.0</v>
      </c>
      <c r="P84" s="43">
        <f t="shared" si="6"/>
        <v>0.4419394984</v>
      </c>
      <c r="Q84" s="44">
        <f t="shared" si="7"/>
        <v>2.262753168</v>
      </c>
      <c r="R84" s="43">
        <f t="shared" si="8"/>
        <v>0.8444453427</v>
      </c>
      <c r="S84" s="45"/>
      <c r="T84" s="46"/>
      <c r="U84" s="9"/>
      <c r="V84" s="9"/>
      <c r="W84" s="9"/>
      <c r="X84" s="9"/>
      <c r="Y84" s="9"/>
      <c r="Z84" s="9"/>
    </row>
    <row r="85" hidden="1" outlineLevel="1">
      <c r="A85" s="47" t="str">
        <f t="shared" si="51"/>
        <v>2-2025</v>
      </c>
      <c r="B85" s="91">
        <v>45712.0</v>
      </c>
      <c r="C85" s="48"/>
      <c r="D85" s="96">
        <v>257.9</v>
      </c>
      <c r="E85" s="97">
        <v>10.0</v>
      </c>
      <c r="F85" s="97">
        <v>8.0</v>
      </c>
      <c r="G85" s="51">
        <f t="shared" si="2"/>
        <v>1.25</v>
      </c>
      <c r="H85" s="49">
        <f t="shared" si="52"/>
        <v>32.2375</v>
      </c>
      <c r="I85" s="49">
        <f t="shared" si="53"/>
        <v>25.79</v>
      </c>
      <c r="J85" s="98">
        <v>239.0</v>
      </c>
      <c r="K85" s="53">
        <f t="shared" si="5"/>
        <v>0.04184100418</v>
      </c>
      <c r="L85" s="96">
        <v>119.76</v>
      </c>
      <c r="M85" s="99">
        <v>157.94</v>
      </c>
      <c r="N85" s="97">
        <v>6.0</v>
      </c>
      <c r="O85" s="98">
        <v>30753.0</v>
      </c>
      <c r="P85" s="53">
        <f t="shared" si="6"/>
        <v>0.7582626314</v>
      </c>
      <c r="Q85" s="55">
        <f t="shared" si="7"/>
        <v>1.318804275</v>
      </c>
      <c r="R85" s="53">
        <f t="shared" si="8"/>
        <v>0.61240791</v>
      </c>
      <c r="S85" s="19"/>
      <c r="T85" s="28"/>
      <c r="U85" s="9"/>
      <c r="V85" s="9"/>
      <c r="W85" s="9"/>
      <c r="X85" s="9"/>
      <c r="Y85" s="9"/>
      <c r="Z85" s="9"/>
    </row>
    <row r="86" hidden="1" outlineLevel="1">
      <c r="A86" s="47" t="str">
        <f t="shared" si="51"/>
        <v>2-2025</v>
      </c>
      <c r="B86" s="91">
        <v>45713.0</v>
      </c>
      <c r="C86" s="48"/>
      <c r="D86" s="96">
        <v>359.86</v>
      </c>
      <c r="E86" s="97">
        <v>14.0</v>
      </c>
      <c r="F86" s="97">
        <v>12.0</v>
      </c>
      <c r="G86" s="51">
        <f t="shared" si="2"/>
        <v>1.166666667</v>
      </c>
      <c r="H86" s="49">
        <f t="shared" si="52"/>
        <v>29.98833333</v>
      </c>
      <c r="I86" s="49">
        <f t="shared" si="53"/>
        <v>25.70428571</v>
      </c>
      <c r="J86" s="98">
        <v>209.0</v>
      </c>
      <c r="K86" s="53">
        <f t="shared" si="5"/>
        <v>0.06698564593</v>
      </c>
      <c r="L86" s="92">
        <v>113.72</v>
      </c>
      <c r="M86" s="92">
        <v>386.85</v>
      </c>
      <c r="N86" s="93">
        <v>14.0</v>
      </c>
      <c r="O86" s="98">
        <v>27763.0</v>
      </c>
      <c r="P86" s="53">
        <f t="shared" si="6"/>
        <v>0.2939640688</v>
      </c>
      <c r="Q86" s="55">
        <f t="shared" si="7"/>
        <v>3.401776293</v>
      </c>
      <c r="R86" s="53">
        <f t="shared" si="8"/>
        <v>1.075001389</v>
      </c>
      <c r="S86" s="19"/>
      <c r="T86" s="28"/>
      <c r="U86" s="9"/>
      <c r="V86" s="9"/>
      <c r="W86" s="9"/>
      <c r="X86" s="9"/>
      <c r="Y86" s="9"/>
      <c r="Z86" s="9"/>
    </row>
    <row r="87" hidden="1" outlineLevel="1">
      <c r="A87" s="47" t="str">
        <f t="shared" si="51"/>
        <v>2-2025</v>
      </c>
      <c r="B87" s="91">
        <v>45714.0</v>
      </c>
      <c r="C87" s="48"/>
      <c r="D87" s="96">
        <v>546.79</v>
      </c>
      <c r="E87" s="97">
        <v>22.0</v>
      </c>
      <c r="F87" s="97">
        <v>22.0</v>
      </c>
      <c r="G87" s="51">
        <f t="shared" si="2"/>
        <v>1</v>
      </c>
      <c r="H87" s="49">
        <f t="shared" si="52"/>
        <v>24.85409091</v>
      </c>
      <c r="I87" s="49">
        <f t="shared" si="53"/>
        <v>24.85409091</v>
      </c>
      <c r="J87" s="98">
        <v>184.0</v>
      </c>
      <c r="K87" s="53">
        <f t="shared" si="5"/>
        <v>0.1195652174</v>
      </c>
      <c r="L87" s="96">
        <v>111.67</v>
      </c>
      <c r="M87" s="96">
        <v>334.87</v>
      </c>
      <c r="N87" s="97">
        <v>13.0</v>
      </c>
      <c r="O87" s="98">
        <v>27998.0</v>
      </c>
      <c r="P87" s="53">
        <f t="shared" si="6"/>
        <v>0.3334726909</v>
      </c>
      <c r="Q87" s="55">
        <f t="shared" si="7"/>
        <v>2.998746306</v>
      </c>
      <c r="R87" s="53">
        <f t="shared" si="8"/>
        <v>0.6124289032</v>
      </c>
      <c r="S87" s="19"/>
      <c r="T87" s="28"/>
      <c r="U87" s="9"/>
      <c r="V87" s="9"/>
      <c r="W87" s="9"/>
      <c r="X87" s="9"/>
      <c r="Y87" s="9"/>
      <c r="Z87" s="9"/>
    </row>
    <row r="88" hidden="1" outlineLevel="1">
      <c r="A88" s="47" t="str">
        <f t="shared" si="51"/>
        <v>2-2025</v>
      </c>
      <c r="B88" s="91">
        <v>45715.0</v>
      </c>
      <c r="C88" s="48"/>
      <c r="D88" s="96">
        <v>440.83</v>
      </c>
      <c r="E88" s="97">
        <v>17.0</v>
      </c>
      <c r="F88" s="97">
        <v>16.0</v>
      </c>
      <c r="G88" s="51">
        <f t="shared" si="2"/>
        <v>1.0625</v>
      </c>
      <c r="H88" s="49">
        <f t="shared" si="52"/>
        <v>27.551875</v>
      </c>
      <c r="I88" s="49">
        <f t="shared" si="53"/>
        <v>25.93117647</v>
      </c>
      <c r="J88" s="98">
        <v>174.0</v>
      </c>
      <c r="K88" s="53">
        <f t="shared" si="5"/>
        <v>0.09770114943</v>
      </c>
      <c r="L88" s="96">
        <v>101.11</v>
      </c>
      <c r="M88" s="96">
        <v>180.93</v>
      </c>
      <c r="N88" s="97">
        <v>6.0</v>
      </c>
      <c r="O88" s="98">
        <v>22608.0</v>
      </c>
      <c r="P88" s="53">
        <f t="shared" si="6"/>
        <v>0.5588349085</v>
      </c>
      <c r="Q88" s="55">
        <f t="shared" si="7"/>
        <v>1.789437247</v>
      </c>
      <c r="R88" s="53">
        <f t="shared" si="8"/>
        <v>0.4104303246</v>
      </c>
      <c r="S88" s="19"/>
      <c r="T88" s="28"/>
      <c r="U88" s="9"/>
      <c r="V88" s="9"/>
      <c r="W88" s="9"/>
      <c r="X88" s="9"/>
      <c r="Y88" s="9"/>
      <c r="Z88" s="9"/>
    </row>
    <row r="89" hidden="1" outlineLevel="1">
      <c r="A89" s="47" t="str">
        <f t="shared" si="51"/>
        <v>2-2025</v>
      </c>
      <c r="B89" s="91">
        <v>45716.0</v>
      </c>
      <c r="C89" s="48"/>
      <c r="D89" s="96">
        <v>386.85</v>
      </c>
      <c r="E89" s="97">
        <v>15.0</v>
      </c>
      <c r="F89" s="97">
        <v>13.0</v>
      </c>
      <c r="G89" s="51">
        <f t="shared" si="2"/>
        <v>1.153846154</v>
      </c>
      <c r="H89" s="49">
        <f t="shared" si="52"/>
        <v>29.75769231</v>
      </c>
      <c r="I89" s="49">
        <f t="shared" si="53"/>
        <v>25.79</v>
      </c>
      <c r="J89" s="98">
        <v>171.0</v>
      </c>
      <c r="K89" s="53">
        <f t="shared" si="5"/>
        <v>0.08771929825</v>
      </c>
      <c r="L89" s="96">
        <v>93.37</v>
      </c>
      <c r="M89" s="96">
        <v>290.89</v>
      </c>
      <c r="N89" s="97">
        <v>8.0</v>
      </c>
      <c r="O89" s="98">
        <v>24598.0</v>
      </c>
      <c r="P89" s="53">
        <f t="shared" si="6"/>
        <v>0.3209804393</v>
      </c>
      <c r="Q89" s="55">
        <f t="shared" si="7"/>
        <v>3.115454643</v>
      </c>
      <c r="R89" s="53">
        <f t="shared" si="8"/>
        <v>0.7519451984</v>
      </c>
      <c r="S89" s="19"/>
      <c r="T89" s="28"/>
      <c r="U89" s="9"/>
      <c r="V89" s="9"/>
      <c r="W89" s="9"/>
      <c r="X89" s="9"/>
      <c r="Y89" s="9"/>
      <c r="Z89" s="9"/>
    </row>
    <row r="90" hidden="1" outlineLevel="1">
      <c r="A90" s="47" t="str">
        <f t="shared" si="51"/>
        <v>3-2025</v>
      </c>
      <c r="B90" s="91">
        <v>45717.0</v>
      </c>
      <c r="C90" s="48"/>
      <c r="D90" s="96">
        <v>594.77</v>
      </c>
      <c r="E90" s="97">
        <v>23.0</v>
      </c>
      <c r="F90" s="97">
        <v>19.0</v>
      </c>
      <c r="G90" s="51">
        <f t="shared" si="2"/>
        <v>1.210526316</v>
      </c>
      <c r="H90" s="49">
        <f t="shared" si="52"/>
        <v>31.30368421</v>
      </c>
      <c r="I90" s="49">
        <f t="shared" si="53"/>
        <v>25.85956522</v>
      </c>
      <c r="J90" s="98">
        <v>282.0</v>
      </c>
      <c r="K90" s="53">
        <f t="shared" si="5"/>
        <v>0.08156028369</v>
      </c>
      <c r="L90" s="96">
        <v>144.77</v>
      </c>
      <c r="M90" s="96">
        <v>494.81</v>
      </c>
      <c r="N90" s="97">
        <v>17.0</v>
      </c>
      <c r="O90" s="98">
        <v>41870.0</v>
      </c>
      <c r="P90" s="53">
        <f t="shared" si="6"/>
        <v>0.2925769487</v>
      </c>
      <c r="Q90" s="55">
        <f t="shared" si="7"/>
        <v>3.417904262</v>
      </c>
      <c r="R90" s="53">
        <f t="shared" si="8"/>
        <v>0.8319350337</v>
      </c>
      <c r="S90" s="19"/>
      <c r="T90" s="28"/>
      <c r="U90" s="9"/>
      <c r="V90" s="9"/>
      <c r="W90" s="9"/>
      <c r="X90" s="9"/>
      <c r="Y90" s="9"/>
      <c r="Z90" s="9"/>
    </row>
    <row r="91" collapsed="1">
      <c r="A91" s="101" t="s">
        <v>76</v>
      </c>
      <c r="B91" s="102"/>
      <c r="C91" s="103"/>
      <c r="D91" s="104">
        <f t="shared" ref="D91:F91" si="54">SUM(D84:D90)</f>
        <v>3081.81</v>
      </c>
      <c r="E91" s="105">
        <f t="shared" si="54"/>
        <v>121</v>
      </c>
      <c r="F91" s="105">
        <f t="shared" si="54"/>
        <v>109</v>
      </c>
      <c r="G91" s="106">
        <f t="shared" si="2"/>
        <v>1.110091743</v>
      </c>
      <c r="H91" s="104">
        <f>average(H84:H90)</f>
        <v>28.81940105</v>
      </c>
      <c r="I91" s="107">
        <f>H91/G91</f>
        <v>25.96127863</v>
      </c>
      <c r="J91" s="108">
        <f>SUM(J84:J90)</f>
        <v>1592</v>
      </c>
      <c r="K91" s="109">
        <f t="shared" si="5"/>
        <v>0.07600502513</v>
      </c>
      <c r="L91" s="104">
        <f t="shared" ref="L91:N91" si="55">SUM(L84:L90)</f>
        <v>869.06</v>
      </c>
      <c r="M91" s="104">
        <f t="shared" si="55"/>
        <v>2264.13</v>
      </c>
      <c r="N91" s="110">
        <f t="shared" si="55"/>
        <v>79</v>
      </c>
      <c r="O91" s="111">
        <f>sum(O84:O90)</f>
        <v>214357</v>
      </c>
      <c r="P91" s="109">
        <f t="shared" si="6"/>
        <v>0.3838383838</v>
      </c>
      <c r="Q91" s="112">
        <f t="shared" si="7"/>
        <v>2.605263158</v>
      </c>
      <c r="R91" s="113">
        <f t="shared" si="8"/>
        <v>0.7346754018</v>
      </c>
      <c r="S91" s="103" t="str">
        <f>iferror((D91-#REF!)/D91,)</f>
        <v/>
      </c>
      <c r="T91" s="114" t="str">
        <f>iferror((F91-#REF!)/F91,)</f>
        <v/>
      </c>
      <c r="U91" s="9"/>
      <c r="V91" s="9"/>
      <c r="W91" s="10"/>
      <c r="X91" s="10"/>
      <c r="Y91" s="10"/>
      <c r="Z91" s="10"/>
    </row>
    <row r="92" hidden="1" outlineLevel="1">
      <c r="A92" s="36" t="str">
        <f t="shared" ref="A92:A98" si="56">iferror(if(B92&gt;0,month(B92)&amp;"-"&amp;year(B92),B92),)</f>
        <v>3-2025</v>
      </c>
      <c r="B92" s="91">
        <v>45718.0</v>
      </c>
      <c r="C92" s="38"/>
      <c r="D92" s="92">
        <v>627.76</v>
      </c>
      <c r="E92" s="93">
        <v>24.0</v>
      </c>
      <c r="F92" s="93">
        <v>23.0</v>
      </c>
      <c r="G92" s="41">
        <f t="shared" si="2"/>
        <v>1.043478261</v>
      </c>
      <c r="H92" s="39">
        <f t="shared" ref="H92:H98" si="57">D92/F92</f>
        <v>27.29391304</v>
      </c>
      <c r="I92" s="39">
        <f t="shared" ref="I92:I98" si="58">D92/E92</f>
        <v>26.15666667</v>
      </c>
      <c r="J92" s="94">
        <v>310.0</v>
      </c>
      <c r="K92" s="43">
        <f t="shared" si="5"/>
        <v>0.07741935484</v>
      </c>
      <c r="L92" s="92">
        <v>175.11</v>
      </c>
      <c r="M92" s="92">
        <v>369.86</v>
      </c>
      <c r="N92" s="93">
        <v>14.0</v>
      </c>
      <c r="O92" s="94">
        <v>49239.0</v>
      </c>
      <c r="P92" s="95">
        <v>0.4734</v>
      </c>
      <c r="Q92" s="44">
        <f t="shared" si="7"/>
        <v>2.112158072</v>
      </c>
      <c r="R92" s="43">
        <f t="shared" si="8"/>
        <v>0.5891742067</v>
      </c>
      <c r="S92" s="45"/>
      <c r="T92" s="46"/>
      <c r="U92" s="9"/>
      <c r="V92" s="9"/>
      <c r="W92" s="9"/>
      <c r="X92" s="9"/>
      <c r="Y92" s="9"/>
      <c r="Z92" s="9"/>
    </row>
    <row r="93" hidden="1" outlineLevel="1">
      <c r="A93" s="47" t="str">
        <f t="shared" si="56"/>
        <v>3-2025</v>
      </c>
      <c r="B93" s="91">
        <v>45719.0</v>
      </c>
      <c r="C93" s="48"/>
      <c r="D93" s="96">
        <v>432.83</v>
      </c>
      <c r="E93" s="97">
        <v>17.0</v>
      </c>
      <c r="F93" s="97">
        <v>16.0</v>
      </c>
      <c r="G93" s="51">
        <f t="shared" si="2"/>
        <v>1.0625</v>
      </c>
      <c r="H93" s="49">
        <f t="shared" si="57"/>
        <v>27.051875</v>
      </c>
      <c r="I93" s="49">
        <f t="shared" si="58"/>
        <v>25.46058824</v>
      </c>
      <c r="J93" s="98">
        <v>236.0</v>
      </c>
      <c r="K93" s="53">
        <f t="shared" si="5"/>
        <v>0.07203389831</v>
      </c>
      <c r="L93" s="96">
        <v>121.14</v>
      </c>
      <c r="M93" s="99">
        <v>405.84</v>
      </c>
      <c r="N93" s="97">
        <v>15.0</v>
      </c>
      <c r="O93" s="98">
        <v>30121.0</v>
      </c>
      <c r="P93" s="100">
        <v>0.2985</v>
      </c>
      <c r="Q93" s="55">
        <f t="shared" si="7"/>
        <v>3.350173353</v>
      </c>
      <c r="R93" s="53">
        <f t="shared" si="8"/>
        <v>0.9376429545</v>
      </c>
      <c r="S93" s="19"/>
      <c r="T93" s="28"/>
      <c r="U93" s="9"/>
      <c r="V93" s="9"/>
      <c r="W93" s="9"/>
      <c r="X93" s="9"/>
      <c r="Y93" s="9"/>
      <c r="Z93" s="9"/>
    </row>
    <row r="94" hidden="1" outlineLevel="1">
      <c r="A94" s="47" t="str">
        <f t="shared" si="56"/>
        <v>3-2025</v>
      </c>
      <c r="B94" s="91">
        <v>45720.0</v>
      </c>
      <c r="C94" s="48"/>
      <c r="D94" s="96">
        <v>596.77</v>
      </c>
      <c r="E94" s="97">
        <v>23.0</v>
      </c>
      <c r="F94" s="97">
        <v>20.0</v>
      </c>
      <c r="G94" s="51">
        <f t="shared" si="2"/>
        <v>1.15</v>
      </c>
      <c r="H94" s="49">
        <f t="shared" si="57"/>
        <v>29.8385</v>
      </c>
      <c r="I94" s="49">
        <f t="shared" si="58"/>
        <v>25.94652174</v>
      </c>
      <c r="J94" s="98">
        <v>238.0</v>
      </c>
      <c r="K94" s="53">
        <f t="shared" si="5"/>
        <v>0.09663865546</v>
      </c>
      <c r="L94" s="92">
        <v>134.17</v>
      </c>
      <c r="M94" s="92">
        <v>409.84</v>
      </c>
      <c r="N94" s="93">
        <v>14.0</v>
      </c>
      <c r="O94" s="98">
        <v>30623.0</v>
      </c>
      <c r="P94" s="100">
        <v>0.3486</v>
      </c>
      <c r="Q94" s="55">
        <f t="shared" si="7"/>
        <v>3.054632183</v>
      </c>
      <c r="R94" s="53">
        <f t="shared" si="8"/>
        <v>0.6867637448</v>
      </c>
      <c r="S94" s="19"/>
      <c r="T94" s="28"/>
      <c r="U94" s="9"/>
      <c r="V94" s="9"/>
      <c r="W94" s="9"/>
      <c r="X94" s="9"/>
      <c r="Y94" s="9"/>
      <c r="Z94" s="9"/>
    </row>
    <row r="95" hidden="1" outlineLevel="1">
      <c r="A95" s="47" t="str">
        <f t="shared" si="56"/>
        <v>3-2025</v>
      </c>
      <c r="B95" s="91">
        <v>45721.0</v>
      </c>
      <c r="C95" s="48"/>
      <c r="D95" s="96">
        <v>644.75</v>
      </c>
      <c r="E95" s="97">
        <v>25.0</v>
      </c>
      <c r="F95" s="97">
        <v>15.0</v>
      </c>
      <c r="G95" s="51">
        <f t="shared" si="2"/>
        <v>1.666666667</v>
      </c>
      <c r="H95" s="49">
        <f t="shared" si="57"/>
        <v>42.98333333</v>
      </c>
      <c r="I95" s="49">
        <f t="shared" si="58"/>
        <v>25.79</v>
      </c>
      <c r="J95" s="98">
        <v>221.0</v>
      </c>
      <c r="K95" s="53">
        <f t="shared" si="5"/>
        <v>0.1131221719</v>
      </c>
      <c r="L95" s="96">
        <v>121.06</v>
      </c>
      <c r="M95" s="96">
        <v>361.86</v>
      </c>
      <c r="N95" s="97">
        <v>11.0</v>
      </c>
      <c r="O95" s="98">
        <v>35440.0</v>
      </c>
      <c r="P95" s="100">
        <v>0.3572</v>
      </c>
      <c r="Q95" s="55">
        <f t="shared" si="7"/>
        <v>2.989096316</v>
      </c>
      <c r="R95" s="53">
        <f t="shared" si="8"/>
        <v>0.561240791</v>
      </c>
      <c r="S95" s="19"/>
      <c r="T95" s="28"/>
      <c r="U95" s="9"/>
      <c r="V95" s="9"/>
      <c r="W95" s="9"/>
      <c r="X95" s="9"/>
      <c r="Y95" s="9"/>
      <c r="Z95" s="9"/>
    </row>
    <row r="96" hidden="1" outlineLevel="1">
      <c r="A96" s="47" t="str">
        <f t="shared" si="56"/>
        <v>3-2025</v>
      </c>
      <c r="B96" s="91">
        <v>45722.0</v>
      </c>
      <c r="C96" s="48"/>
      <c r="D96" s="96">
        <v>531.8</v>
      </c>
      <c r="E96" s="97">
        <v>20.0</v>
      </c>
      <c r="F96" s="97">
        <v>14.0</v>
      </c>
      <c r="G96" s="51">
        <f t="shared" si="2"/>
        <v>1.428571429</v>
      </c>
      <c r="H96" s="49">
        <f t="shared" si="57"/>
        <v>37.98571429</v>
      </c>
      <c r="I96" s="49">
        <f t="shared" si="58"/>
        <v>26.59</v>
      </c>
      <c r="J96" s="98">
        <v>212.0</v>
      </c>
      <c r="K96" s="53">
        <f t="shared" si="5"/>
        <v>0.09433962264</v>
      </c>
      <c r="L96" s="96">
        <v>125.4</v>
      </c>
      <c r="M96" s="96">
        <v>388.85</v>
      </c>
      <c r="N96" s="97">
        <v>13.0</v>
      </c>
      <c r="O96" s="98">
        <v>31972.0</v>
      </c>
      <c r="P96" s="100">
        <v>0.3225</v>
      </c>
      <c r="Q96" s="55">
        <f t="shared" si="7"/>
        <v>3.100877193</v>
      </c>
      <c r="R96" s="53">
        <f t="shared" si="8"/>
        <v>0.7311959383</v>
      </c>
      <c r="S96" s="19"/>
      <c r="T96" s="28"/>
      <c r="U96" s="9"/>
      <c r="V96" s="9"/>
      <c r="W96" s="9"/>
      <c r="X96" s="9"/>
      <c r="Y96" s="9"/>
      <c r="Z96" s="9"/>
    </row>
    <row r="97" hidden="1" outlineLevel="1">
      <c r="A97" s="47" t="str">
        <f t="shared" si="56"/>
        <v>3-2025</v>
      </c>
      <c r="B97" s="91">
        <v>45723.0</v>
      </c>
      <c r="C97" s="48"/>
      <c r="D97" s="96">
        <v>357.86</v>
      </c>
      <c r="E97" s="97">
        <v>14.0</v>
      </c>
      <c r="F97" s="97">
        <v>13.0</v>
      </c>
      <c r="G97" s="51">
        <f t="shared" si="2"/>
        <v>1.076923077</v>
      </c>
      <c r="H97" s="49">
        <f t="shared" si="57"/>
        <v>27.52769231</v>
      </c>
      <c r="I97" s="49">
        <f t="shared" si="58"/>
        <v>25.56142857</v>
      </c>
      <c r="J97" s="98">
        <v>203.0</v>
      </c>
      <c r="K97" s="53">
        <f t="shared" si="5"/>
        <v>0.06896551724</v>
      </c>
      <c r="L97" s="96">
        <v>103.43</v>
      </c>
      <c r="M97" s="96">
        <v>174.93</v>
      </c>
      <c r="N97" s="97">
        <v>7.0</v>
      </c>
      <c r="O97" s="98">
        <v>27277.0</v>
      </c>
      <c r="P97" s="100">
        <v>0.5913</v>
      </c>
      <c r="Q97" s="55">
        <f t="shared" si="7"/>
        <v>1.691288794</v>
      </c>
      <c r="R97" s="53">
        <f t="shared" si="8"/>
        <v>0.4888224445</v>
      </c>
      <c r="S97" s="19"/>
      <c r="T97" s="28"/>
      <c r="U97" s="9"/>
      <c r="V97" s="9"/>
      <c r="W97" s="9"/>
      <c r="X97" s="9"/>
      <c r="Y97" s="9"/>
      <c r="Z97" s="9"/>
    </row>
    <row r="98" hidden="1" outlineLevel="1">
      <c r="A98" s="47" t="str">
        <f t="shared" si="56"/>
        <v>3-2025</v>
      </c>
      <c r="B98" s="91">
        <v>45724.0</v>
      </c>
      <c r="C98" s="48"/>
      <c r="D98" s="96">
        <v>650.75</v>
      </c>
      <c r="E98" s="97">
        <v>25.0</v>
      </c>
      <c r="F98" s="97">
        <v>23.0</v>
      </c>
      <c r="G98" s="51">
        <f t="shared" si="2"/>
        <v>1.086956522</v>
      </c>
      <c r="H98" s="49">
        <f t="shared" si="57"/>
        <v>28.29347826</v>
      </c>
      <c r="I98" s="49">
        <f t="shared" si="58"/>
        <v>26.03</v>
      </c>
      <c r="J98" s="98">
        <v>316.0</v>
      </c>
      <c r="K98" s="53">
        <f t="shared" si="5"/>
        <v>0.07911392405</v>
      </c>
      <c r="L98" s="96">
        <v>178.4</v>
      </c>
      <c r="M98" s="96">
        <v>492.81</v>
      </c>
      <c r="N98" s="97">
        <v>20.0</v>
      </c>
      <c r="O98" s="98">
        <v>34114.0</v>
      </c>
      <c r="P98" s="53">
        <f t="shared" ref="P98:P99" si="61">L98/M98</f>
        <v>0.3620056411</v>
      </c>
      <c r="Q98" s="55">
        <f t="shared" si="7"/>
        <v>2.762387892</v>
      </c>
      <c r="R98" s="53">
        <f t="shared" si="8"/>
        <v>0.7572954284</v>
      </c>
      <c r="S98" s="19"/>
      <c r="T98" s="28"/>
      <c r="U98" s="9"/>
      <c r="V98" s="9"/>
      <c r="W98" s="9"/>
      <c r="X98" s="9"/>
      <c r="Y98" s="9"/>
      <c r="Z98" s="9"/>
    </row>
    <row r="99" collapsed="1">
      <c r="A99" s="101" t="s">
        <v>77</v>
      </c>
      <c r="B99" s="102"/>
      <c r="C99" s="103"/>
      <c r="D99" s="104">
        <f t="shared" ref="D99:F99" si="59">SUM(D92:D98)</f>
        <v>3842.52</v>
      </c>
      <c r="E99" s="105">
        <f t="shared" si="59"/>
        <v>148</v>
      </c>
      <c r="F99" s="105">
        <f t="shared" si="59"/>
        <v>124</v>
      </c>
      <c r="G99" s="106">
        <f t="shared" si="2"/>
        <v>1.193548387</v>
      </c>
      <c r="H99" s="104">
        <f>average(H92:H98)</f>
        <v>31.5677866</v>
      </c>
      <c r="I99" s="107">
        <f>H99/G99</f>
        <v>26.44868607</v>
      </c>
      <c r="J99" s="108">
        <f>SUM(J92:J98)</f>
        <v>1736</v>
      </c>
      <c r="K99" s="109">
        <f t="shared" si="5"/>
        <v>0.08525345622</v>
      </c>
      <c r="L99" s="104">
        <f t="shared" ref="L99:N99" si="60">SUM(L92:L98)</f>
        <v>958.71</v>
      </c>
      <c r="M99" s="104">
        <f t="shared" si="60"/>
        <v>2603.99</v>
      </c>
      <c r="N99" s="110">
        <f t="shared" si="60"/>
        <v>94</v>
      </c>
      <c r="O99" s="111">
        <f>sum(O92:O98)</f>
        <v>238786</v>
      </c>
      <c r="P99" s="109">
        <f t="shared" si="61"/>
        <v>0.3681696166</v>
      </c>
      <c r="Q99" s="112">
        <f t="shared" si="7"/>
        <v>2.716139396</v>
      </c>
      <c r="R99" s="113">
        <f t="shared" si="8"/>
        <v>0.6776776699</v>
      </c>
      <c r="S99" s="103" t="str">
        <f>iferror((D99-#REF!)/D99,)</f>
        <v/>
      </c>
      <c r="T99" s="114" t="str">
        <f>iferror((F99-#REF!)/F99,)</f>
        <v/>
      </c>
      <c r="U99" s="9"/>
      <c r="V99" s="9"/>
      <c r="W99" s="10"/>
      <c r="X99" s="10"/>
      <c r="Y99" s="10"/>
      <c r="Z99" s="10"/>
    </row>
    <row r="100" hidden="1" outlineLevel="1">
      <c r="A100" s="36" t="str">
        <f t="shared" ref="A100:A106" si="62">iferror(if(B100&gt;0,month(B100)&amp;"-"&amp;year(B100),B100),)</f>
        <v>3-2025</v>
      </c>
      <c r="B100" s="91">
        <v>45725.0</v>
      </c>
      <c r="C100" s="38"/>
      <c r="D100" s="92">
        <v>656.75</v>
      </c>
      <c r="E100" s="93">
        <v>25.0</v>
      </c>
      <c r="F100" s="93">
        <v>23.0</v>
      </c>
      <c r="G100" s="41">
        <f t="shared" si="2"/>
        <v>1.086956522</v>
      </c>
      <c r="H100" s="39">
        <f t="shared" ref="H100:H106" si="63">D100/F100</f>
        <v>28.55434783</v>
      </c>
      <c r="I100" s="39">
        <f t="shared" ref="I100:I106" si="64">D100/E100</f>
        <v>26.27</v>
      </c>
      <c r="J100" s="94">
        <v>419.0</v>
      </c>
      <c r="K100" s="43">
        <f t="shared" si="5"/>
        <v>0.05966587112</v>
      </c>
      <c r="L100" s="92">
        <v>227.16</v>
      </c>
      <c r="M100" s="92">
        <v>654.75</v>
      </c>
      <c r="N100" s="93">
        <v>20.0</v>
      </c>
      <c r="O100" s="94">
        <v>55662.0</v>
      </c>
      <c r="P100" s="95">
        <v>0.4734</v>
      </c>
      <c r="Q100" s="44">
        <f t="shared" si="7"/>
        <v>2.882329635</v>
      </c>
      <c r="R100" s="43">
        <f t="shared" si="8"/>
        <v>0.9969547012</v>
      </c>
      <c r="S100" s="45"/>
      <c r="T100" s="46"/>
      <c r="U100" s="9"/>
      <c r="V100" s="9"/>
      <c r="W100" s="9"/>
      <c r="X100" s="9"/>
      <c r="Y100" s="9"/>
      <c r="Z100" s="9"/>
    </row>
    <row r="101" hidden="1" outlineLevel="1">
      <c r="A101" s="47" t="str">
        <f t="shared" si="62"/>
        <v>3-2025</v>
      </c>
      <c r="B101" s="91">
        <v>45726.0</v>
      </c>
      <c r="C101" s="48"/>
      <c r="D101" s="96">
        <v>680.73</v>
      </c>
      <c r="E101" s="97">
        <v>28.0</v>
      </c>
      <c r="F101" s="97">
        <v>25.0</v>
      </c>
      <c r="G101" s="51">
        <f t="shared" si="2"/>
        <v>1.12</v>
      </c>
      <c r="H101" s="49">
        <f t="shared" si="63"/>
        <v>27.2292</v>
      </c>
      <c r="I101" s="49">
        <f t="shared" si="64"/>
        <v>24.31178571</v>
      </c>
      <c r="J101" s="98">
        <v>281.0</v>
      </c>
      <c r="K101" s="53">
        <f t="shared" si="5"/>
        <v>0.09964412811</v>
      </c>
      <c r="L101" s="96">
        <v>159.18</v>
      </c>
      <c r="M101" s="99">
        <v>520.79</v>
      </c>
      <c r="N101" s="97">
        <v>18.0</v>
      </c>
      <c r="O101" s="98">
        <v>31962.0</v>
      </c>
      <c r="P101" s="100">
        <v>0.2985</v>
      </c>
      <c r="Q101" s="55">
        <f t="shared" si="7"/>
        <v>3.271704988</v>
      </c>
      <c r="R101" s="53">
        <f t="shared" si="8"/>
        <v>0.7650463473</v>
      </c>
      <c r="S101" s="19"/>
      <c r="T101" s="28"/>
      <c r="U101" s="9"/>
      <c r="V101" s="9"/>
      <c r="W101" s="9"/>
      <c r="X101" s="9"/>
      <c r="Y101" s="9"/>
      <c r="Z101" s="9"/>
    </row>
    <row r="102" hidden="1" outlineLevel="1">
      <c r="A102" s="47" t="str">
        <f t="shared" si="62"/>
        <v>3-2025</v>
      </c>
      <c r="B102" s="91">
        <v>45727.0</v>
      </c>
      <c r="C102" s="48"/>
      <c r="D102" s="96">
        <v>498.81</v>
      </c>
      <c r="E102" s="97">
        <v>19.0</v>
      </c>
      <c r="F102" s="97">
        <v>15.0</v>
      </c>
      <c r="G102" s="51">
        <f t="shared" si="2"/>
        <v>1.266666667</v>
      </c>
      <c r="H102" s="49">
        <f t="shared" si="63"/>
        <v>33.254</v>
      </c>
      <c r="I102" s="49">
        <f t="shared" si="64"/>
        <v>26.25315789</v>
      </c>
      <c r="J102" s="98">
        <v>206.0</v>
      </c>
      <c r="K102" s="53">
        <f t="shared" si="5"/>
        <v>0.09223300971</v>
      </c>
      <c r="L102" s="92">
        <v>103.03</v>
      </c>
      <c r="M102" s="92">
        <v>284.89</v>
      </c>
      <c r="N102" s="93">
        <v>9.0</v>
      </c>
      <c r="O102" s="98">
        <v>26610.0</v>
      </c>
      <c r="P102" s="100">
        <v>0.3486</v>
      </c>
      <c r="Q102" s="55">
        <f t="shared" si="7"/>
        <v>2.765116956</v>
      </c>
      <c r="R102" s="53">
        <f t="shared" si="8"/>
        <v>0.5711393116</v>
      </c>
      <c r="S102" s="19"/>
      <c r="T102" s="28"/>
      <c r="U102" s="9"/>
      <c r="V102" s="9"/>
      <c r="W102" s="9"/>
      <c r="X102" s="9"/>
      <c r="Y102" s="9"/>
      <c r="Z102" s="9"/>
    </row>
    <row r="103" hidden="1" outlineLevel="1">
      <c r="A103" s="47" t="str">
        <f t="shared" si="62"/>
        <v>3-2025</v>
      </c>
      <c r="B103" s="91">
        <v>45728.0</v>
      </c>
      <c r="C103" s="48"/>
      <c r="D103" s="96">
        <v>486.81</v>
      </c>
      <c r="E103" s="97">
        <v>19.0</v>
      </c>
      <c r="F103" s="97">
        <v>19.0</v>
      </c>
      <c r="G103" s="51">
        <f t="shared" si="2"/>
        <v>1</v>
      </c>
      <c r="H103" s="49">
        <f t="shared" si="63"/>
        <v>25.62157895</v>
      </c>
      <c r="I103" s="49">
        <f t="shared" si="64"/>
        <v>25.62157895</v>
      </c>
      <c r="J103" s="98">
        <v>244.0</v>
      </c>
      <c r="K103" s="53">
        <f t="shared" si="5"/>
        <v>0.07786885246</v>
      </c>
      <c r="L103" s="96">
        <v>138.53</v>
      </c>
      <c r="M103" s="96">
        <v>342.87</v>
      </c>
      <c r="N103" s="97">
        <v>13.0</v>
      </c>
      <c r="O103" s="98">
        <v>31487.0</v>
      </c>
      <c r="P103" s="100">
        <v>0.3572</v>
      </c>
      <c r="Q103" s="55">
        <f t="shared" si="7"/>
        <v>2.475059554</v>
      </c>
      <c r="R103" s="53">
        <f t="shared" si="8"/>
        <v>0.7043199606</v>
      </c>
      <c r="S103" s="19"/>
      <c r="T103" s="28"/>
      <c r="U103" s="9"/>
      <c r="V103" s="9"/>
      <c r="W103" s="9"/>
      <c r="X103" s="9"/>
      <c r="Y103" s="9"/>
      <c r="Z103" s="9"/>
    </row>
    <row r="104" hidden="1" outlineLevel="1">
      <c r="A104" s="47" t="str">
        <f t="shared" si="62"/>
        <v>3-2025</v>
      </c>
      <c r="B104" s="91">
        <v>45729.0</v>
      </c>
      <c r="C104" s="48"/>
      <c r="D104" s="96">
        <v>417.84</v>
      </c>
      <c r="E104" s="97">
        <v>16.0</v>
      </c>
      <c r="F104" s="97">
        <v>15.0</v>
      </c>
      <c r="G104" s="51">
        <f t="shared" si="2"/>
        <v>1.066666667</v>
      </c>
      <c r="H104" s="49">
        <f t="shared" si="63"/>
        <v>27.856</v>
      </c>
      <c r="I104" s="49">
        <f t="shared" si="64"/>
        <v>26.115</v>
      </c>
      <c r="J104" s="98">
        <v>250.0</v>
      </c>
      <c r="K104" s="53">
        <f t="shared" si="5"/>
        <v>0.064</v>
      </c>
      <c r="L104" s="96">
        <v>147.07</v>
      </c>
      <c r="M104" s="96">
        <v>388.85</v>
      </c>
      <c r="N104" s="97">
        <v>14.0</v>
      </c>
      <c r="O104" s="98">
        <v>35973.0</v>
      </c>
      <c r="P104" s="100">
        <v>0.3225</v>
      </c>
      <c r="Q104" s="55">
        <f t="shared" si="7"/>
        <v>2.643979058</v>
      </c>
      <c r="R104" s="53">
        <f t="shared" si="8"/>
        <v>0.9306193758</v>
      </c>
      <c r="S104" s="19"/>
      <c r="T104" s="28"/>
      <c r="U104" s="9"/>
      <c r="V104" s="9"/>
      <c r="W104" s="9"/>
      <c r="X104" s="9"/>
      <c r="Y104" s="9"/>
      <c r="Z104" s="9"/>
    </row>
    <row r="105" hidden="1" outlineLevel="1">
      <c r="A105" s="47" t="str">
        <f t="shared" si="62"/>
        <v>3-2025</v>
      </c>
      <c r="B105" s="91">
        <v>45730.0</v>
      </c>
      <c r="C105" s="48"/>
      <c r="D105" s="96">
        <v>515.8</v>
      </c>
      <c r="E105" s="97">
        <v>20.0</v>
      </c>
      <c r="F105" s="97">
        <v>18.0</v>
      </c>
      <c r="G105" s="51">
        <f t="shared" si="2"/>
        <v>1.111111111</v>
      </c>
      <c r="H105" s="49">
        <f t="shared" si="63"/>
        <v>28.65555556</v>
      </c>
      <c r="I105" s="49">
        <f t="shared" si="64"/>
        <v>25.79</v>
      </c>
      <c r="J105" s="98">
        <v>262.0</v>
      </c>
      <c r="K105" s="53">
        <f t="shared" si="5"/>
        <v>0.07633587786</v>
      </c>
      <c r="L105" s="96">
        <v>141.83</v>
      </c>
      <c r="M105" s="96">
        <v>463.82</v>
      </c>
      <c r="N105" s="97">
        <v>16.0</v>
      </c>
      <c r="O105" s="98">
        <v>29697.0</v>
      </c>
      <c r="P105" s="100">
        <v>0.5913</v>
      </c>
      <c r="Q105" s="55">
        <f t="shared" si="7"/>
        <v>3.27025312</v>
      </c>
      <c r="R105" s="53">
        <f t="shared" si="8"/>
        <v>0.8992245056</v>
      </c>
      <c r="S105" s="19"/>
      <c r="T105" s="28"/>
      <c r="U105" s="9"/>
      <c r="V105" s="9"/>
      <c r="W105" s="9"/>
      <c r="X105" s="9"/>
      <c r="Y105" s="9"/>
      <c r="Z105" s="9"/>
    </row>
    <row r="106" hidden="1" outlineLevel="1">
      <c r="A106" s="47" t="str">
        <f t="shared" si="62"/>
        <v>3-2025</v>
      </c>
      <c r="B106" s="91">
        <v>45731.0</v>
      </c>
      <c r="C106" s="48"/>
      <c r="D106" s="96">
        <v>440.83</v>
      </c>
      <c r="E106" s="97">
        <v>17.0</v>
      </c>
      <c r="F106" s="97">
        <v>14.0</v>
      </c>
      <c r="G106" s="51">
        <f t="shared" si="2"/>
        <v>1.214285714</v>
      </c>
      <c r="H106" s="49">
        <f t="shared" si="63"/>
        <v>31.48785714</v>
      </c>
      <c r="I106" s="49">
        <f t="shared" si="64"/>
        <v>25.93117647</v>
      </c>
      <c r="J106" s="98">
        <v>280.0</v>
      </c>
      <c r="K106" s="53">
        <f t="shared" si="5"/>
        <v>0.06071428571</v>
      </c>
      <c r="L106" s="96">
        <v>140.41</v>
      </c>
      <c r="M106" s="96">
        <v>367.86</v>
      </c>
      <c r="N106" s="97">
        <v>9.0</v>
      </c>
      <c r="O106" s="98">
        <v>37323.0</v>
      </c>
      <c r="P106" s="53">
        <f t="shared" ref="P106:P107" si="67">L106/M106</f>
        <v>0.3816941228</v>
      </c>
      <c r="Q106" s="55">
        <f t="shared" si="7"/>
        <v>2.619898868</v>
      </c>
      <c r="R106" s="53">
        <f t="shared" si="8"/>
        <v>0.8344713382</v>
      </c>
      <c r="S106" s="19"/>
      <c r="T106" s="28"/>
      <c r="U106" s="9"/>
      <c r="V106" s="9"/>
      <c r="W106" s="9"/>
      <c r="X106" s="9"/>
      <c r="Y106" s="9"/>
      <c r="Z106" s="9"/>
    </row>
    <row r="107" collapsed="1">
      <c r="A107" s="101" t="s">
        <v>78</v>
      </c>
      <c r="B107" s="102"/>
      <c r="C107" s="103"/>
      <c r="D107" s="104">
        <f t="shared" ref="D107:F107" si="65">SUM(D100:D106)</f>
        <v>3697.57</v>
      </c>
      <c r="E107" s="105">
        <f t="shared" si="65"/>
        <v>144</v>
      </c>
      <c r="F107" s="105">
        <f t="shared" si="65"/>
        <v>129</v>
      </c>
      <c r="G107" s="106">
        <f t="shared" si="2"/>
        <v>1.11627907</v>
      </c>
      <c r="H107" s="104">
        <f>average(H100:H106)</f>
        <v>28.95121992</v>
      </c>
      <c r="I107" s="107">
        <f>H107/G107</f>
        <v>25.93546785</v>
      </c>
      <c r="J107" s="108">
        <f>SUM(J100:J106)</f>
        <v>1942</v>
      </c>
      <c r="K107" s="109">
        <f t="shared" si="5"/>
        <v>0.07415036045</v>
      </c>
      <c r="L107" s="104">
        <f t="shared" ref="L107:N107" si="66">SUM(L100:L106)</f>
        <v>1057.21</v>
      </c>
      <c r="M107" s="104">
        <f t="shared" si="66"/>
        <v>3023.83</v>
      </c>
      <c r="N107" s="110">
        <f t="shared" si="66"/>
        <v>99</v>
      </c>
      <c r="O107" s="111">
        <f>sum(O100:O106)</f>
        <v>248714</v>
      </c>
      <c r="P107" s="109">
        <f t="shared" si="67"/>
        <v>0.3496261364</v>
      </c>
      <c r="Q107" s="112">
        <f t="shared" si="7"/>
        <v>2.860198069</v>
      </c>
      <c r="R107" s="113">
        <f t="shared" si="8"/>
        <v>0.8177884394</v>
      </c>
      <c r="S107" s="103" t="str">
        <f>iferror((D107-#REF!)/D107,)</f>
        <v/>
      </c>
      <c r="T107" s="114" t="str">
        <f>iferror((F107-#REF!)/F107,)</f>
        <v/>
      </c>
      <c r="U107" s="9"/>
      <c r="V107" s="9"/>
      <c r="W107" s="10"/>
      <c r="X107" s="10"/>
      <c r="Y107" s="10"/>
      <c r="Z107" s="10"/>
    </row>
    <row r="108" hidden="1" outlineLevel="1">
      <c r="A108" s="36" t="str">
        <f t="shared" ref="A108:A114" si="68">iferror(if(B108&gt;0,month(B108)&amp;"-"&amp;year(B108),B108),)</f>
        <v>3-2025</v>
      </c>
      <c r="B108" s="91">
        <v>45732.0</v>
      </c>
      <c r="C108" s="38"/>
      <c r="D108" s="92">
        <v>692.73</v>
      </c>
      <c r="E108" s="93">
        <v>27.0</v>
      </c>
      <c r="F108" s="93">
        <v>25.0</v>
      </c>
      <c r="G108" s="41">
        <f t="shared" si="2"/>
        <v>1.08</v>
      </c>
      <c r="H108" s="39">
        <f t="shared" ref="H108:H114" si="69">D108/F108</f>
        <v>27.7092</v>
      </c>
      <c r="I108" s="39">
        <f t="shared" ref="I108:I114" si="70">D108/E108</f>
        <v>25.65666667</v>
      </c>
      <c r="J108" s="94">
        <v>358.0</v>
      </c>
      <c r="K108" s="43">
        <f t="shared" si="5"/>
        <v>0.07541899441</v>
      </c>
      <c r="L108" s="92">
        <v>210.19</v>
      </c>
      <c r="M108" s="92">
        <v>507.8</v>
      </c>
      <c r="N108" s="93">
        <v>17.0</v>
      </c>
      <c r="O108" s="94">
        <v>51227.0</v>
      </c>
      <c r="P108" s="95">
        <v>0.4734</v>
      </c>
      <c r="Q108" s="44">
        <f t="shared" si="7"/>
        <v>2.415909415</v>
      </c>
      <c r="R108" s="43">
        <f t="shared" si="8"/>
        <v>0.7330417334</v>
      </c>
      <c r="S108" s="45"/>
      <c r="T108" s="46"/>
      <c r="U108" s="9"/>
      <c r="V108" s="9"/>
      <c r="W108" s="9"/>
      <c r="X108" s="9"/>
      <c r="Y108" s="9"/>
      <c r="Z108" s="9"/>
    </row>
    <row r="109" hidden="1" outlineLevel="1">
      <c r="A109" s="47" t="str">
        <f t="shared" si="68"/>
        <v>3-2025</v>
      </c>
      <c r="B109" s="91">
        <v>45733.0</v>
      </c>
      <c r="C109" s="48"/>
      <c r="D109" s="96">
        <v>646.75</v>
      </c>
      <c r="E109" s="97">
        <v>25.0</v>
      </c>
      <c r="F109" s="97">
        <v>19.0</v>
      </c>
      <c r="G109" s="51">
        <f t="shared" si="2"/>
        <v>1.315789474</v>
      </c>
      <c r="H109" s="49">
        <f t="shared" si="69"/>
        <v>34.03947368</v>
      </c>
      <c r="I109" s="49">
        <f t="shared" si="70"/>
        <v>25.87</v>
      </c>
      <c r="J109" s="98">
        <v>307.0</v>
      </c>
      <c r="K109" s="53">
        <f t="shared" si="5"/>
        <v>0.08143322476</v>
      </c>
      <c r="L109" s="96">
        <v>192.94</v>
      </c>
      <c r="M109" s="99">
        <v>561.78</v>
      </c>
      <c r="N109" s="97">
        <v>20.0</v>
      </c>
      <c r="O109" s="98">
        <v>43224.0</v>
      </c>
      <c r="P109" s="100">
        <v>0.2985</v>
      </c>
      <c r="Q109" s="55">
        <f t="shared" si="7"/>
        <v>2.911682388</v>
      </c>
      <c r="R109" s="53">
        <f t="shared" si="8"/>
        <v>0.8686200232</v>
      </c>
      <c r="S109" s="19"/>
      <c r="T109" s="28"/>
      <c r="U109" s="9"/>
      <c r="V109" s="9"/>
      <c r="W109" s="9"/>
      <c r="X109" s="9"/>
      <c r="Y109" s="9"/>
      <c r="Z109" s="9"/>
    </row>
    <row r="110" hidden="1" outlineLevel="1">
      <c r="A110" s="47" t="str">
        <f t="shared" si="68"/>
        <v>3-2025</v>
      </c>
      <c r="B110" s="91">
        <v>45734.0</v>
      </c>
      <c r="C110" s="48"/>
      <c r="D110" s="96">
        <v>581.78</v>
      </c>
      <c r="E110" s="97">
        <v>22.0</v>
      </c>
      <c r="F110" s="97">
        <v>17.0</v>
      </c>
      <c r="G110" s="51">
        <f t="shared" si="2"/>
        <v>1.294117647</v>
      </c>
      <c r="H110" s="49">
        <f t="shared" si="69"/>
        <v>34.22235294</v>
      </c>
      <c r="I110" s="49">
        <f t="shared" si="70"/>
        <v>26.44454545</v>
      </c>
      <c r="J110" s="98">
        <v>245.0</v>
      </c>
      <c r="K110" s="53">
        <f t="shared" si="5"/>
        <v>0.08979591837</v>
      </c>
      <c r="L110" s="92">
        <v>152.02</v>
      </c>
      <c r="M110" s="92">
        <v>321.88</v>
      </c>
      <c r="N110" s="93">
        <v>9.0</v>
      </c>
      <c r="O110" s="98">
        <v>37154.0</v>
      </c>
      <c r="P110" s="100">
        <v>0.3486</v>
      </c>
      <c r="Q110" s="55">
        <f t="shared" si="7"/>
        <v>2.11735298</v>
      </c>
      <c r="R110" s="53">
        <f t="shared" si="8"/>
        <v>0.5532675582</v>
      </c>
      <c r="S110" s="19"/>
      <c r="T110" s="28"/>
      <c r="U110" s="9"/>
      <c r="V110" s="9"/>
      <c r="W110" s="9"/>
      <c r="X110" s="9"/>
      <c r="Y110" s="9"/>
      <c r="Z110" s="9"/>
    </row>
    <row r="111" hidden="1" outlineLevel="1">
      <c r="A111" s="47" t="str">
        <f t="shared" si="68"/>
        <v>3-2025</v>
      </c>
      <c r="B111" s="91">
        <v>45735.0</v>
      </c>
      <c r="C111" s="48"/>
      <c r="D111" s="96">
        <v>295.88</v>
      </c>
      <c r="E111" s="97">
        <v>12.0</v>
      </c>
      <c r="F111" s="97">
        <v>11.0</v>
      </c>
      <c r="G111" s="51">
        <f t="shared" si="2"/>
        <v>1.090909091</v>
      </c>
      <c r="H111" s="49">
        <f t="shared" si="69"/>
        <v>26.89818182</v>
      </c>
      <c r="I111" s="49">
        <f t="shared" si="70"/>
        <v>24.65666667</v>
      </c>
      <c r="J111" s="98">
        <v>228.0</v>
      </c>
      <c r="K111" s="53">
        <f t="shared" si="5"/>
        <v>0.05263157895</v>
      </c>
      <c r="L111" s="96">
        <v>131.26</v>
      </c>
      <c r="M111" s="96">
        <v>297.88</v>
      </c>
      <c r="N111" s="97">
        <v>11.0</v>
      </c>
      <c r="O111" s="98">
        <v>37448.0</v>
      </c>
      <c r="P111" s="100">
        <v>0.3572</v>
      </c>
      <c r="Q111" s="55">
        <f t="shared" si="7"/>
        <v>2.269388999</v>
      </c>
      <c r="R111" s="53">
        <f t="shared" si="8"/>
        <v>1.006759497</v>
      </c>
      <c r="S111" s="19"/>
      <c r="T111" s="28"/>
      <c r="U111" s="9"/>
      <c r="V111" s="9"/>
      <c r="W111" s="9"/>
      <c r="X111" s="9"/>
      <c r="Y111" s="9"/>
      <c r="Z111" s="9"/>
    </row>
    <row r="112" hidden="1" outlineLevel="1">
      <c r="A112" s="47" t="str">
        <f t="shared" si="68"/>
        <v>3-2025</v>
      </c>
      <c r="B112" s="91">
        <v>45736.0</v>
      </c>
      <c r="C112" s="48"/>
      <c r="D112" s="96">
        <v>467.82</v>
      </c>
      <c r="E112" s="97">
        <v>18.0</v>
      </c>
      <c r="F112" s="97">
        <v>16.0</v>
      </c>
      <c r="G112" s="51">
        <f t="shared" si="2"/>
        <v>1.125</v>
      </c>
      <c r="H112" s="49">
        <f t="shared" si="69"/>
        <v>29.23875</v>
      </c>
      <c r="I112" s="49">
        <f t="shared" si="70"/>
        <v>25.99</v>
      </c>
      <c r="J112" s="98">
        <v>205.0</v>
      </c>
      <c r="K112" s="53">
        <f t="shared" si="5"/>
        <v>0.08780487805</v>
      </c>
      <c r="L112" s="96">
        <v>104.63</v>
      </c>
      <c r="M112" s="96">
        <v>357.86</v>
      </c>
      <c r="N112" s="97">
        <v>13.0</v>
      </c>
      <c r="O112" s="98">
        <v>33447.0</v>
      </c>
      <c r="P112" s="100">
        <v>0.3225</v>
      </c>
      <c r="Q112" s="55">
        <f t="shared" si="7"/>
        <v>3.42024276</v>
      </c>
      <c r="R112" s="53">
        <f t="shared" si="8"/>
        <v>0.7649523321</v>
      </c>
      <c r="S112" s="19"/>
      <c r="T112" s="28"/>
      <c r="U112" s="9"/>
      <c r="V112" s="9"/>
      <c r="W112" s="9"/>
      <c r="X112" s="9"/>
      <c r="Y112" s="9"/>
      <c r="Z112" s="9"/>
    </row>
    <row r="113" hidden="1" outlineLevel="1">
      <c r="A113" s="47" t="str">
        <f t="shared" si="68"/>
        <v>3-2025</v>
      </c>
      <c r="B113" s="91">
        <v>45737.0</v>
      </c>
      <c r="C113" s="48"/>
      <c r="D113" s="96">
        <v>486.81</v>
      </c>
      <c r="E113" s="97">
        <v>19.0</v>
      </c>
      <c r="F113" s="97">
        <v>16.0</v>
      </c>
      <c r="G113" s="51">
        <f t="shared" si="2"/>
        <v>1.1875</v>
      </c>
      <c r="H113" s="49">
        <f t="shared" si="69"/>
        <v>30.425625</v>
      </c>
      <c r="I113" s="49">
        <f t="shared" si="70"/>
        <v>25.62157895</v>
      </c>
      <c r="J113" s="98">
        <v>248.0</v>
      </c>
      <c r="K113" s="53">
        <f t="shared" si="5"/>
        <v>0.07661290323</v>
      </c>
      <c r="L113" s="96">
        <v>152.47</v>
      </c>
      <c r="M113" s="96">
        <v>438.83</v>
      </c>
      <c r="N113" s="97">
        <v>14.0</v>
      </c>
      <c r="O113" s="98">
        <v>35105.0</v>
      </c>
      <c r="P113" s="100">
        <v>0.5913</v>
      </c>
      <c r="Q113" s="55">
        <f t="shared" si="7"/>
        <v>2.878139962</v>
      </c>
      <c r="R113" s="53">
        <f t="shared" si="8"/>
        <v>0.9014399869</v>
      </c>
      <c r="S113" s="19"/>
      <c r="T113" s="28"/>
      <c r="U113" s="9"/>
      <c r="V113" s="9"/>
      <c r="W113" s="9"/>
      <c r="X113" s="9"/>
      <c r="Y113" s="9"/>
      <c r="Z113" s="9"/>
    </row>
    <row r="114" hidden="1" outlineLevel="1">
      <c r="A114" s="47" t="str">
        <f t="shared" si="68"/>
        <v>3-2025</v>
      </c>
      <c r="B114" s="91">
        <v>45738.0</v>
      </c>
      <c r="C114" s="48"/>
      <c r="D114" s="96">
        <v>684.73</v>
      </c>
      <c r="E114" s="97">
        <v>27.0</v>
      </c>
      <c r="F114" s="97">
        <v>26.0</v>
      </c>
      <c r="G114" s="51">
        <f t="shared" si="2"/>
        <v>1.038461538</v>
      </c>
      <c r="H114" s="49">
        <f t="shared" si="69"/>
        <v>26.33576923</v>
      </c>
      <c r="I114" s="49">
        <f t="shared" si="70"/>
        <v>25.36037037</v>
      </c>
      <c r="J114" s="98">
        <v>309.0</v>
      </c>
      <c r="K114" s="53">
        <f t="shared" si="5"/>
        <v>0.08737864078</v>
      </c>
      <c r="L114" s="96">
        <v>193.09</v>
      </c>
      <c r="M114" s="96">
        <v>555.78</v>
      </c>
      <c r="N114" s="97">
        <v>20.0</v>
      </c>
      <c r="O114" s="98">
        <v>45934.0</v>
      </c>
      <c r="P114" s="53">
        <f t="shared" ref="P114:P115" si="73">L114/M114</f>
        <v>0.3474216417</v>
      </c>
      <c r="Q114" s="55">
        <f t="shared" si="7"/>
        <v>2.878346885</v>
      </c>
      <c r="R114" s="53">
        <f t="shared" si="8"/>
        <v>0.8116775955</v>
      </c>
      <c r="S114" s="19"/>
      <c r="T114" s="28"/>
      <c r="U114" s="9"/>
      <c r="V114" s="9"/>
      <c r="W114" s="9"/>
      <c r="X114" s="9"/>
      <c r="Y114" s="9"/>
      <c r="Z114" s="9"/>
    </row>
    <row r="115" collapsed="1">
      <c r="A115" s="101" t="s">
        <v>79</v>
      </c>
      <c r="B115" s="102"/>
      <c r="C115" s="103"/>
      <c r="D115" s="104">
        <f t="shared" ref="D115:F115" si="71">SUM(D108:D114)</f>
        <v>3856.5</v>
      </c>
      <c r="E115" s="105">
        <f t="shared" si="71"/>
        <v>150</v>
      </c>
      <c r="F115" s="105">
        <f t="shared" si="71"/>
        <v>130</v>
      </c>
      <c r="G115" s="106">
        <f t="shared" si="2"/>
        <v>1.153846154</v>
      </c>
      <c r="H115" s="104">
        <f>average(H108:H114)</f>
        <v>29.83847895</v>
      </c>
      <c r="I115" s="107">
        <f>H115/G115</f>
        <v>25.86001509</v>
      </c>
      <c r="J115" s="108">
        <f>SUM(J108:J114)</f>
        <v>1900</v>
      </c>
      <c r="K115" s="109">
        <f t="shared" si="5"/>
        <v>0.07894736842</v>
      </c>
      <c r="L115" s="104">
        <f t="shared" ref="L115:N115" si="72">SUM(L108:L114)</f>
        <v>1136.6</v>
      </c>
      <c r="M115" s="104">
        <f t="shared" si="72"/>
        <v>3041.81</v>
      </c>
      <c r="N115" s="110">
        <f t="shared" si="72"/>
        <v>104</v>
      </c>
      <c r="O115" s="111">
        <f>sum(O108:O114)</f>
        <v>283539</v>
      </c>
      <c r="P115" s="109">
        <f t="shared" si="73"/>
        <v>0.3736591043</v>
      </c>
      <c r="Q115" s="112">
        <f t="shared" si="7"/>
        <v>2.676236143</v>
      </c>
      <c r="R115" s="113">
        <f t="shared" si="8"/>
        <v>0.7887488656</v>
      </c>
      <c r="S115" s="103" t="str">
        <f>iferror((D115-#REF!)/D115,)</f>
        <v/>
      </c>
      <c r="T115" s="114" t="str">
        <f>iferror((F115-#REF!)/F115,)</f>
        <v/>
      </c>
      <c r="U115" s="9"/>
      <c r="V115" s="9"/>
      <c r="W115" s="10"/>
      <c r="X115" s="10"/>
      <c r="Y115" s="10"/>
      <c r="Z115" s="10"/>
    </row>
    <row r="116" hidden="1" outlineLevel="1">
      <c r="A116" s="36" t="str">
        <f t="shared" ref="A116:A122" si="74">iferror(if(B116&gt;0,month(B116)&amp;"-"&amp;year(B116),B116),)</f>
        <v>3-2025</v>
      </c>
      <c r="B116" s="91">
        <v>45739.0</v>
      </c>
      <c r="C116" s="38"/>
      <c r="D116" s="92">
        <v>746.71</v>
      </c>
      <c r="E116" s="93">
        <v>29.0</v>
      </c>
      <c r="F116" s="93">
        <v>27.0</v>
      </c>
      <c r="G116" s="41">
        <f t="shared" si="2"/>
        <v>1.074074074</v>
      </c>
      <c r="H116" s="39">
        <f t="shared" ref="H116:H122" si="75">D116/F116</f>
        <v>27.65592593</v>
      </c>
      <c r="I116" s="39">
        <f t="shared" ref="I116:I122" si="76">D116/E116</f>
        <v>25.74862069</v>
      </c>
      <c r="J116" s="94">
        <v>388.0</v>
      </c>
      <c r="K116" s="43">
        <f t="shared" si="5"/>
        <v>0.07474226804</v>
      </c>
      <c r="L116" s="92">
        <v>237.36</v>
      </c>
      <c r="M116" s="92">
        <v>496.81</v>
      </c>
      <c r="N116" s="93">
        <v>18.0</v>
      </c>
      <c r="O116" s="94">
        <v>62943.0</v>
      </c>
      <c r="P116" s="95">
        <v>0.4734</v>
      </c>
      <c r="Q116" s="44">
        <f t="shared" si="7"/>
        <v>2.093065386</v>
      </c>
      <c r="R116" s="43">
        <f t="shared" si="8"/>
        <v>0.6653319227</v>
      </c>
      <c r="S116" s="45"/>
      <c r="T116" s="46"/>
      <c r="U116" s="9"/>
      <c r="V116" s="9"/>
      <c r="W116" s="9"/>
      <c r="X116" s="9"/>
      <c r="Y116" s="9"/>
      <c r="Z116" s="9"/>
    </row>
    <row r="117" hidden="1" outlineLevel="1">
      <c r="A117" s="47" t="str">
        <f t="shared" si="74"/>
        <v>3-2025</v>
      </c>
      <c r="B117" s="91">
        <v>45740.0</v>
      </c>
      <c r="C117" s="48"/>
      <c r="D117" s="96">
        <v>332.87</v>
      </c>
      <c r="E117" s="97">
        <v>13.0</v>
      </c>
      <c r="F117" s="97">
        <v>12.0</v>
      </c>
      <c r="G117" s="51">
        <f t="shared" si="2"/>
        <v>1.083333333</v>
      </c>
      <c r="H117" s="49">
        <f t="shared" si="75"/>
        <v>27.73916667</v>
      </c>
      <c r="I117" s="49">
        <f t="shared" si="76"/>
        <v>25.60538462</v>
      </c>
      <c r="J117" s="98">
        <v>299.0</v>
      </c>
      <c r="K117" s="53">
        <f t="shared" si="5"/>
        <v>0.04347826087</v>
      </c>
      <c r="L117" s="96">
        <v>175.54</v>
      </c>
      <c r="M117" s="99">
        <v>513.8</v>
      </c>
      <c r="N117" s="97">
        <v>17.0</v>
      </c>
      <c r="O117" s="98">
        <v>43747.0</v>
      </c>
      <c r="P117" s="100">
        <v>0.2985</v>
      </c>
      <c r="Q117" s="55">
        <f t="shared" si="7"/>
        <v>2.926968212</v>
      </c>
      <c r="R117" s="53">
        <f t="shared" si="8"/>
        <v>1.543545528</v>
      </c>
      <c r="S117" s="19"/>
      <c r="T117" s="28"/>
      <c r="U117" s="9"/>
      <c r="V117" s="9"/>
      <c r="W117" s="9"/>
      <c r="X117" s="9"/>
      <c r="Y117" s="9"/>
      <c r="Z117" s="9"/>
    </row>
    <row r="118" hidden="1" outlineLevel="1">
      <c r="A118" s="47" t="str">
        <f t="shared" si="74"/>
        <v>3-2025</v>
      </c>
      <c r="B118" s="91">
        <v>45741.0</v>
      </c>
      <c r="C118" s="48"/>
      <c r="D118" s="96">
        <v>305.88</v>
      </c>
      <c r="E118" s="97">
        <v>12.0</v>
      </c>
      <c r="F118" s="97">
        <v>11.0</v>
      </c>
      <c r="G118" s="51">
        <f t="shared" si="2"/>
        <v>1.090909091</v>
      </c>
      <c r="H118" s="49">
        <f t="shared" si="75"/>
        <v>27.80727273</v>
      </c>
      <c r="I118" s="49">
        <f t="shared" si="76"/>
        <v>25.49</v>
      </c>
      <c r="J118" s="98">
        <v>227.0</v>
      </c>
      <c r="K118" s="53">
        <f t="shared" si="5"/>
        <v>0.05286343612</v>
      </c>
      <c r="L118" s="92">
        <v>130.93</v>
      </c>
      <c r="M118" s="92">
        <v>151.94</v>
      </c>
      <c r="N118" s="93">
        <v>5.0</v>
      </c>
      <c r="O118" s="98">
        <v>36555.0</v>
      </c>
      <c r="P118" s="100">
        <v>0.3486</v>
      </c>
      <c r="Q118" s="55">
        <f t="shared" si="7"/>
        <v>1.160467425</v>
      </c>
      <c r="R118" s="53">
        <f t="shared" si="8"/>
        <v>0.4967307441</v>
      </c>
      <c r="S118" s="19"/>
      <c r="T118" s="28"/>
      <c r="U118" s="9"/>
      <c r="V118" s="9"/>
      <c r="W118" s="9"/>
      <c r="X118" s="9"/>
      <c r="Y118" s="9"/>
      <c r="Z118" s="9"/>
    </row>
    <row r="119" hidden="1" outlineLevel="1">
      <c r="A119" s="47" t="str">
        <f t="shared" si="74"/>
        <v>3-2025</v>
      </c>
      <c r="B119" s="91">
        <v>45742.0</v>
      </c>
      <c r="C119" s="48"/>
      <c r="D119" s="96">
        <v>455.82</v>
      </c>
      <c r="E119" s="97">
        <v>18.0</v>
      </c>
      <c r="F119" s="97">
        <v>17.0</v>
      </c>
      <c r="G119" s="51">
        <f t="shared" si="2"/>
        <v>1.058823529</v>
      </c>
      <c r="H119" s="49">
        <f t="shared" si="75"/>
        <v>26.81294118</v>
      </c>
      <c r="I119" s="49">
        <f t="shared" si="76"/>
        <v>25.32333333</v>
      </c>
      <c r="J119" s="98">
        <v>242.0</v>
      </c>
      <c r="K119" s="53">
        <f t="shared" si="5"/>
        <v>0.07438016529</v>
      </c>
      <c r="L119" s="96">
        <v>162.75</v>
      </c>
      <c r="M119" s="96">
        <v>395.35</v>
      </c>
      <c r="N119" s="97">
        <v>14.0</v>
      </c>
      <c r="O119" s="98">
        <v>33026.0</v>
      </c>
      <c r="P119" s="100">
        <v>0.3572</v>
      </c>
      <c r="Q119" s="55">
        <f t="shared" si="7"/>
        <v>2.429185868</v>
      </c>
      <c r="R119" s="53">
        <f t="shared" si="8"/>
        <v>0.8673379843</v>
      </c>
      <c r="S119" s="19"/>
      <c r="T119" s="28"/>
      <c r="U119" s="9"/>
      <c r="V119" s="9"/>
      <c r="W119" s="9"/>
      <c r="X119" s="9"/>
      <c r="Y119" s="9"/>
      <c r="Z119" s="9"/>
    </row>
    <row r="120" hidden="1" outlineLevel="1">
      <c r="A120" s="47" t="str">
        <f t="shared" si="74"/>
        <v>3-2025</v>
      </c>
      <c r="B120" s="91">
        <v>45743.0</v>
      </c>
      <c r="C120" s="48"/>
      <c r="D120" s="96">
        <v>463.82</v>
      </c>
      <c r="E120" s="97">
        <v>18.0</v>
      </c>
      <c r="F120" s="97">
        <v>17.0</v>
      </c>
      <c r="G120" s="51">
        <f t="shared" si="2"/>
        <v>1.058823529</v>
      </c>
      <c r="H120" s="49">
        <f t="shared" si="75"/>
        <v>27.28352941</v>
      </c>
      <c r="I120" s="49">
        <f t="shared" si="76"/>
        <v>25.76777778</v>
      </c>
      <c r="J120" s="98">
        <v>262.0</v>
      </c>
      <c r="K120" s="53">
        <f t="shared" si="5"/>
        <v>0.06870229008</v>
      </c>
      <c r="L120" s="96">
        <v>149.43</v>
      </c>
      <c r="M120" s="96">
        <v>361.86</v>
      </c>
      <c r="N120" s="97">
        <v>13.0</v>
      </c>
      <c r="O120" s="98">
        <v>30648.0</v>
      </c>
      <c r="P120" s="100">
        <v>0.3225</v>
      </c>
      <c r="Q120" s="55">
        <f t="shared" si="7"/>
        <v>2.421602088</v>
      </c>
      <c r="R120" s="53">
        <f t="shared" si="8"/>
        <v>0.7801733431</v>
      </c>
      <c r="S120" s="19"/>
      <c r="T120" s="28"/>
      <c r="U120" s="9"/>
      <c r="V120" s="9"/>
      <c r="W120" s="9"/>
      <c r="X120" s="9"/>
      <c r="Y120" s="9"/>
      <c r="Z120" s="9"/>
    </row>
    <row r="121" hidden="1" outlineLevel="1">
      <c r="A121" s="47" t="str">
        <f t="shared" si="74"/>
        <v>3-2025</v>
      </c>
      <c r="B121" s="91">
        <v>45744.0</v>
      </c>
      <c r="C121" s="48"/>
      <c r="D121" s="96">
        <v>619.76</v>
      </c>
      <c r="E121" s="97">
        <v>26.0</v>
      </c>
      <c r="F121" s="97">
        <v>18.0</v>
      </c>
      <c r="G121" s="51">
        <f t="shared" si="2"/>
        <v>1.444444444</v>
      </c>
      <c r="H121" s="49">
        <f t="shared" si="75"/>
        <v>34.43111111</v>
      </c>
      <c r="I121" s="49">
        <f t="shared" si="76"/>
        <v>23.83692308</v>
      </c>
      <c r="J121" s="98">
        <v>226.0</v>
      </c>
      <c r="K121" s="53">
        <f t="shared" si="5"/>
        <v>0.1150442478</v>
      </c>
      <c r="L121" s="96">
        <v>153.92</v>
      </c>
      <c r="M121" s="96">
        <v>567.78</v>
      </c>
      <c r="N121" s="97">
        <v>16.0</v>
      </c>
      <c r="O121" s="98">
        <v>28751.0</v>
      </c>
      <c r="P121" s="100">
        <v>0.5913</v>
      </c>
      <c r="Q121" s="55">
        <f t="shared" si="7"/>
        <v>3.688799376</v>
      </c>
      <c r="R121" s="53">
        <f t="shared" si="8"/>
        <v>0.9161288241</v>
      </c>
      <c r="S121" s="19"/>
      <c r="T121" s="28"/>
      <c r="U121" s="9"/>
      <c r="V121" s="9"/>
      <c r="W121" s="9"/>
      <c r="X121" s="9"/>
      <c r="Y121" s="9"/>
      <c r="Z121" s="9"/>
    </row>
    <row r="122" hidden="1" outlineLevel="1">
      <c r="A122" s="47" t="str">
        <f t="shared" si="74"/>
        <v>3-2025</v>
      </c>
      <c r="B122" s="91">
        <v>45745.0</v>
      </c>
      <c r="C122" s="48"/>
      <c r="D122" s="96">
        <v>685.74</v>
      </c>
      <c r="E122" s="97">
        <v>26.0</v>
      </c>
      <c r="F122" s="97">
        <v>24.0</v>
      </c>
      <c r="G122" s="51">
        <f t="shared" si="2"/>
        <v>1.083333333</v>
      </c>
      <c r="H122" s="49">
        <f t="shared" si="75"/>
        <v>28.5725</v>
      </c>
      <c r="I122" s="49">
        <f t="shared" si="76"/>
        <v>26.37461538</v>
      </c>
      <c r="J122" s="98">
        <v>338.0</v>
      </c>
      <c r="K122" s="53">
        <f t="shared" si="5"/>
        <v>0.07692307692</v>
      </c>
      <c r="L122" s="96">
        <v>225.39</v>
      </c>
      <c r="M122" s="96">
        <v>473.82</v>
      </c>
      <c r="N122" s="97">
        <v>15.0</v>
      </c>
      <c r="O122" s="98">
        <v>47182.0</v>
      </c>
      <c r="P122" s="53">
        <f t="shared" ref="P122:P123" si="79">L122/M122</f>
        <v>0.4756869697</v>
      </c>
      <c r="Q122" s="55">
        <f t="shared" si="7"/>
        <v>2.102222814</v>
      </c>
      <c r="R122" s="53">
        <f t="shared" si="8"/>
        <v>0.6909615889</v>
      </c>
      <c r="S122" s="19"/>
      <c r="T122" s="28"/>
      <c r="U122" s="9"/>
      <c r="V122" s="9"/>
      <c r="W122" s="9"/>
      <c r="X122" s="9"/>
      <c r="Y122" s="9"/>
      <c r="Z122" s="9"/>
    </row>
    <row r="123" collapsed="1">
      <c r="A123" s="101" t="s">
        <v>80</v>
      </c>
      <c r="B123" s="102"/>
      <c r="C123" s="103"/>
      <c r="D123" s="104">
        <f t="shared" ref="D123:F123" si="77">SUM(D116:D122)</f>
        <v>3610.6</v>
      </c>
      <c r="E123" s="105">
        <f t="shared" si="77"/>
        <v>142</v>
      </c>
      <c r="F123" s="105">
        <f t="shared" si="77"/>
        <v>126</v>
      </c>
      <c r="G123" s="106">
        <f t="shared" si="2"/>
        <v>1.126984127</v>
      </c>
      <c r="H123" s="104">
        <f>average(H116:H122)</f>
        <v>28.61463529</v>
      </c>
      <c r="I123" s="107">
        <f>H123/G123</f>
        <v>25.39045103</v>
      </c>
      <c r="J123" s="108">
        <f>SUM(J116:J122)</f>
        <v>1982</v>
      </c>
      <c r="K123" s="109">
        <f t="shared" si="5"/>
        <v>0.07164480323</v>
      </c>
      <c r="L123" s="104">
        <f t="shared" ref="L123:N123" si="78">SUM(L116:L122)</f>
        <v>1235.32</v>
      </c>
      <c r="M123" s="104">
        <f t="shared" si="78"/>
        <v>2961.36</v>
      </c>
      <c r="N123" s="110">
        <f t="shared" si="78"/>
        <v>98</v>
      </c>
      <c r="O123" s="111">
        <f>sum(O116:O122)</f>
        <v>282852</v>
      </c>
      <c r="P123" s="109">
        <f t="shared" si="79"/>
        <v>0.4171461761</v>
      </c>
      <c r="Q123" s="112">
        <f t="shared" si="7"/>
        <v>2.397241201</v>
      </c>
      <c r="R123" s="113">
        <f t="shared" si="8"/>
        <v>0.8201850108</v>
      </c>
      <c r="S123" s="103" t="str">
        <f>iferror((D123-#REF!)/D123,)</f>
        <v/>
      </c>
      <c r="T123" s="114" t="str">
        <f>iferror((F123-#REF!)/F123,)</f>
        <v/>
      </c>
      <c r="U123" s="9"/>
      <c r="V123" s="9"/>
      <c r="W123" s="10"/>
      <c r="X123" s="10"/>
      <c r="Y123" s="10"/>
      <c r="Z123" s="10"/>
    </row>
    <row r="124" hidden="1" outlineLevel="1">
      <c r="A124" s="36" t="str">
        <f t="shared" ref="A124:A130" si="80">iferror(if(B124&gt;0,month(B124)&amp;"-"&amp;year(B124),B124),)</f>
        <v>3-2025</v>
      </c>
      <c r="B124" s="91">
        <v>45746.0</v>
      </c>
      <c r="C124" s="38"/>
      <c r="D124" s="92">
        <v>671.74</v>
      </c>
      <c r="E124" s="93">
        <v>26.0</v>
      </c>
      <c r="F124" s="93">
        <v>23.0</v>
      </c>
      <c r="G124" s="41">
        <f t="shared" si="2"/>
        <v>1.130434783</v>
      </c>
      <c r="H124" s="39">
        <f t="shared" ref="H124:H130" si="81">D124/F124</f>
        <v>29.20608696</v>
      </c>
      <c r="I124" s="39">
        <f t="shared" ref="I124:I130" si="82">D124/E124</f>
        <v>25.83615385</v>
      </c>
      <c r="J124" s="94">
        <v>418.0</v>
      </c>
      <c r="K124" s="43">
        <f t="shared" si="5"/>
        <v>0.06220095694</v>
      </c>
      <c r="L124" s="92">
        <v>280.12</v>
      </c>
      <c r="M124" s="92">
        <v>594.77</v>
      </c>
      <c r="N124" s="93">
        <v>20.0</v>
      </c>
      <c r="O124" s="94">
        <v>66805.0</v>
      </c>
      <c r="P124" s="95">
        <v>0.4734</v>
      </c>
      <c r="Q124" s="44">
        <f t="shared" si="7"/>
        <v>2.123268599</v>
      </c>
      <c r="R124" s="43">
        <f t="shared" si="8"/>
        <v>0.8854169768</v>
      </c>
      <c r="S124" s="45"/>
      <c r="T124" s="46"/>
      <c r="U124" s="9"/>
      <c r="V124" s="9"/>
      <c r="W124" s="9"/>
      <c r="X124" s="9"/>
      <c r="Y124" s="9"/>
      <c r="Z124" s="9"/>
    </row>
    <row r="125" hidden="1" outlineLevel="1">
      <c r="A125" s="47" t="str">
        <f t="shared" si="80"/>
        <v>3-2025</v>
      </c>
      <c r="B125" s="91">
        <v>45747.0</v>
      </c>
      <c r="C125" s="48"/>
      <c r="D125" s="96">
        <v>480.34</v>
      </c>
      <c r="E125" s="97">
        <v>19.0</v>
      </c>
      <c r="F125" s="97">
        <v>17.0</v>
      </c>
      <c r="G125" s="51">
        <f t="shared" si="2"/>
        <v>1.117647059</v>
      </c>
      <c r="H125" s="49">
        <f t="shared" si="81"/>
        <v>28.25529412</v>
      </c>
      <c r="I125" s="49">
        <f t="shared" si="82"/>
        <v>25.28105263</v>
      </c>
      <c r="J125" s="98">
        <v>252.0</v>
      </c>
      <c r="K125" s="53">
        <f t="shared" si="5"/>
        <v>0.0753968254</v>
      </c>
      <c r="L125" s="96">
        <v>130.9</v>
      </c>
      <c r="M125" s="99">
        <v>301.41</v>
      </c>
      <c r="N125" s="97">
        <v>11.0</v>
      </c>
      <c r="O125" s="98">
        <v>39585.0</v>
      </c>
      <c r="P125" s="100">
        <v>0.2985</v>
      </c>
      <c r="Q125" s="55">
        <f t="shared" si="7"/>
        <v>2.302597403</v>
      </c>
      <c r="R125" s="53">
        <f t="shared" si="8"/>
        <v>0.6274930258</v>
      </c>
      <c r="S125" s="19"/>
      <c r="T125" s="28"/>
      <c r="U125" s="9"/>
      <c r="V125" s="9"/>
      <c r="W125" s="9"/>
      <c r="X125" s="9"/>
      <c r="Y125" s="9"/>
      <c r="Z125" s="9"/>
    </row>
    <row r="126" hidden="1" outlineLevel="1">
      <c r="A126" s="47" t="str">
        <f t="shared" si="80"/>
        <v>4-2025</v>
      </c>
      <c r="B126" s="91">
        <v>45748.0</v>
      </c>
      <c r="C126" s="48"/>
      <c r="D126" s="96">
        <v>470.37</v>
      </c>
      <c r="E126" s="97">
        <v>19.0</v>
      </c>
      <c r="F126" s="97">
        <v>15.0</v>
      </c>
      <c r="G126" s="51">
        <f t="shared" si="2"/>
        <v>1.266666667</v>
      </c>
      <c r="H126" s="49">
        <f t="shared" si="81"/>
        <v>31.358</v>
      </c>
      <c r="I126" s="49">
        <f t="shared" si="82"/>
        <v>24.75631579</v>
      </c>
      <c r="J126" s="98">
        <v>287.0</v>
      </c>
      <c r="K126" s="53">
        <f t="shared" si="5"/>
        <v>0.06620209059</v>
      </c>
      <c r="L126" s="92">
        <v>133.41</v>
      </c>
      <c r="M126" s="92">
        <v>291.18</v>
      </c>
      <c r="N126" s="93">
        <v>8.0</v>
      </c>
      <c r="O126" s="98">
        <v>32189.0</v>
      </c>
      <c r="P126" s="100">
        <v>0.3486</v>
      </c>
      <c r="Q126" s="55">
        <f t="shared" si="7"/>
        <v>2.182595008</v>
      </c>
      <c r="R126" s="53">
        <f t="shared" si="8"/>
        <v>0.6190445819</v>
      </c>
      <c r="S126" s="19"/>
      <c r="T126" s="28"/>
      <c r="U126" s="9"/>
      <c r="V126" s="9"/>
      <c r="W126" s="9"/>
      <c r="X126" s="9"/>
      <c r="Y126" s="9"/>
      <c r="Z126" s="9"/>
    </row>
    <row r="127" hidden="1" outlineLevel="1">
      <c r="A127" s="47" t="str">
        <f t="shared" si="80"/>
        <v>4-2025</v>
      </c>
      <c r="B127" s="91">
        <v>45749.0</v>
      </c>
      <c r="C127" s="48"/>
      <c r="D127" s="96">
        <v>355.14</v>
      </c>
      <c r="E127" s="97">
        <v>14.0</v>
      </c>
      <c r="F127" s="97">
        <v>14.0</v>
      </c>
      <c r="G127" s="51">
        <f t="shared" si="2"/>
        <v>1</v>
      </c>
      <c r="H127" s="49">
        <f t="shared" si="81"/>
        <v>25.36714286</v>
      </c>
      <c r="I127" s="49">
        <f t="shared" si="82"/>
        <v>25.36714286</v>
      </c>
      <c r="J127" s="98">
        <v>234.0</v>
      </c>
      <c r="K127" s="53">
        <f t="shared" si="5"/>
        <v>0.05982905983</v>
      </c>
      <c r="L127" s="96">
        <v>114.2</v>
      </c>
      <c r="M127" s="96">
        <v>274.17</v>
      </c>
      <c r="N127" s="97">
        <v>11.0</v>
      </c>
      <c r="O127" s="98">
        <v>31807.0</v>
      </c>
      <c r="P127" s="100">
        <v>0.3572</v>
      </c>
      <c r="Q127" s="55">
        <f t="shared" si="7"/>
        <v>2.400788091</v>
      </c>
      <c r="R127" s="53">
        <f t="shared" si="8"/>
        <v>0.7720054063</v>
      </c>
      <c r="S127" s="19"/>
      <c r="T127" s="28"/>
      <c r="U127" s="9"/>
      <c r="V127" s="9"/>
      <c r="W127" s="9"/>
      <c r="X127" s="9"/>
      <c r="Y127" s="9"/>
      <c r="Z127" s="9"/>
    </row>
    <row r="128" hidden="1" outlineLevel="1">
      <c r="A128" s="47" t="str">
        <f t="shared" si="80"/>
        <v>4-2025</v>
      </c>
      <c r="B128" s="91">
        <v>45750.0</v>
      </c>
      <c r="C128" s="48"/>
      <c r="D128" s="96">
        <v>352.42</v>
      </c>
      <c r="E128" s="97">
        <v>15.0</v>
      </c>
      <c r="F128" s="97">
        <v>14.0</v>
      </c>
      <c r="G128" s="51">
        <f t="shared" si="2"/>
        <v>1.071428571</v>
      </c>
      <c r="H128" s="49">
        <f t="shared" si="81"/>
        <v>25.17285714</v>
      </c>
      <c r="I128" s="49">
        <f t="shared" si="82"/>
        <v>23.49466667</v>
      </c>
      <c r="J128" s="98">
        <v>224.0</v>
      </c>
      <c r="K128" s="53">
        <f t="shared" si="5"/>
        <v>0.06696428571</v>
      </c>
      <c r="L128" s="96">
        <v>123.84</v>
      </c>
      <c r="M128" s="96">
        <v>144.96</v>
      </c>
      <c r="N128" s="97">
        <v>6.0</v>
      </c>
      <c r="O128" s="98">
        <v>29074.0</v>
      </c>
      <c r="P128" s="100">
        <v>0.3225</v>
      </c>
      <c r="Q128" s="55">
        <f t="shared" si="7"/>
        <v>1.170542636</v>
      </c>
      <c r="R128" s="53">
        <f t="shared" si="8"/>
        <v>0.4113273935</v>
      </c>
      <c r="S128" s="19"/>
      <c r="T128" s="28"/>
      <c r="U128" s="9"/>
      <c r="V128" s="9"/>
      <c r="W128" s="9"/>
      <c r="X128" s="9"/>
      <c r="Y128" s="9"/>
      <c r="Z128" s="9"/>
    </row>
    <row r="129" hidden="1" outlineLevel="1">
      <c r="A129" s="47" t="str">
        <f t="shared" si="80"/>
        <v>4-2025</v>
      </c>
      <c r="B129" s="91">
        <v>45751.0</v>
      </c>
      <c r="C129" s="48"/>
      <c r="D129" s="96">
        <v>381.89</v>
      </c>
      <c r="E129" s="97">
        <v>15.0</v>
      </c>
      <c r="F129" s="97">
        <v>13.0</v>
      </c>
      <c r="G129" s="51">
        <f t="shared" si="2"/>
        <v>1.153846154</v>
      </c>
      <c r="H129" s="49">
        <f t="shared" si="81"/>
        <v>29.37615385</v>
      </c>
      <c r="I129" s="49">
        <f t="shared" si="82"/>
        <v>25.45933333</v>
      </c>
      <c r="J129" s="98">
        <v>204.0</v>
      </c>
      <c r="K129" s="53">
        <f t="shared" si="5"/>
        <v>0.07352941176</v>
      </c>
      <c r="L129" s="96">
        <v>97.26</v>
      </c>
      <c r="M129" s="96">
        <v>129.21</v>
      </c>
      <c r="N129" s="97">
        <v>5.0</v>
      </c>
      <c r="O129" s="98">
        <v>24673.0</v>
      </c>
      <c r="P129" s="100">
        <v>0.5913</v>
      </c>
      <c r="Q129" s="55">
        <f t="shared" si="7"/>
        <v>1.328500925</v>
      </c>
      <c r="R129" s="53">
        <f t="shared" si="8"/>
        <v>0.3383435021</v>
      </c>
      <c r="S129" s="19"/>
      <c r="T129" s="28"/>
      <c r="U129" s="9"/>
      <c r="V129" s="9"/>
      <c r="W129" s="9"/>
      <c r="X129" s="9"/>
      <c r="Y129" s="9"/>
      <c r="Z129" s="9"/>
    </row>
    <row r="130" hidden="1" outlineLevel="1">
      <c r="A130" s="47" t="str">
        <f t="shared" si="80"/>
        <v>4-2025</v>
      </c>
      <c r="B130" s="91">
        <v>45752.0</v>
      </c>
      <c r="C130" s="48"/>
      <c r="D130" s="96">
        <v>526.59</v>
      </c>
      <c r="E130" s="97">
        <v>21.0</v>
      </c>
      <c r="F130" s="97">
        <v>18.0</v>
      </c>
      <c r="G130" s="51">
        <f t="shared" si="2"/>
        <v>1.166666667</v>
      </c>
      <c r="H130" s="49">
        <f t="shared" si="81"/>
        <v>29.255</v>
      </c>
      <c r="I130" s="49">
        <f t="shared" si="82"/>
        <v>25.07571429</v>
      </c>
      <c r="J130" s="98">
        <v>293.0</v>
      </c>
      <c r="K130" s="53">
        <f t="shared" si="5"/>
        <v>0.07167235495</v>
      </c>
      <c r="L130" s="96">
        <v>160.4</v>
      </c>
      <c r="M130" s="96">
        <v>376.13</v>
      </c>
      <c r="N130" s="97">
        <v>14.0</v>
      </c>
      <c r="O130" s="98">
        <v>35586.0</v>
      </c>
      <c r="P130" s="53">
        <f t="shared" ref="P130:P131" si="85">L130/M130</f>
        <v>0.4264483024</v>
      </c>
      <c r="Q130" s="55">
        <f t="shared" si="7"/>
        <v>2.344950125</v>
      </c>
      <c r="R130" s="53">
        <f t="shared" si="8"/>
        <v>0.7142748628</v>
      </c>
      <c r="S130" s="19"/>
      <c r="T130" s="28"/>
      <c r="U130" s="9"/>
      <c r="V130" s="9"/>
      <c r="W130" s="9"/>
      <c r="X130" s="9"/>
      <c r="Y130" s="9"/>
      <c r="Z130" s="9"/>
    </row>
    <row r="131" collapsed="1">
      <c r="A131" s="101" t="s">
        <v>81</v>
      </c>
      <c r="B131" s="102"/>
      <c r="C131" s="103"/>
      <c r="D131" s="104">
        <f t="shared" ref="D131:F131" si="83">SUM(D124:D130)</f>
        <v>3238.49</v>
      </c>
      <c r="E131" s="105">
        <f t="shared" si="83"/>
        <v>129</v>
      </c>
      <c r="F131" s="105">
        <f t="shared" si="83"/>
        <v>114</v>
      </c>
      <c r="G131" s="106">
        <f t="shared" si="2"/>
        <v>1.131578947</v>
      </c>
      <c r="H131" s="104">
        <f>average(H124:H130)</f>
        <v>28.28436213</v>
      </c>
      <c r="I131" s="107">
        <f>H131/G131</f>
        <v>24.99548281</v>
      </c>
      <c r="J131" s="108">
        <f>SUM(J124:J130)</f>
        <v>1912</v>
      </c>
      <c r="K131" s="109">
        <f t="shared" si="5"/>
        <v>0.06746861925</v>
      </c>
      <c r="L131" s="104">
        <f t="shared" ref="L131:N131" si="84">SUM(L124:L130)</f>
        <v>1040.13</v>
      </c>
      <c r="M131" s="104">
        <f t="shared" si="84"/>
        <v>2111.83</v>
      </c>
      <c r="N131" s="110">
        <f t="shared" si="84"/>
        <v>75</v>
      </c>
      <c r="O131" s="111">
        <f>sum(O124:O130)</f>
        <v>259719</v>
      </c>
      <c r="P131" s="109">
        <f t="shared" si="85"/>
        <v>0.49252544</v>
      </c>
      <c r="Q131" s="112">
        <f t="shared" si="7"/>
        <v>2.030351975</v>
      </c>
      <c r="R131" s="113">
        <f t="shared" si="8"/>
        <v>0.6521032951</v>
      </c>
      <c r="S131" s="103" t="str">
        <f>iferror((D131-#REF!)/D131,)</f>
        <v/>
      </c>
      <c r="T131" s="114" t="str">
        <f>iferror((F131-#REF!)/F131,)</f>
        <v/>
      </c>
      <c r="U131" s="9"/>
      <c r="V131" s="9"/>
      <c r="W131" s="10"/>
      <c r="X131" s="10"/>
      <c r="Y131" s="10"/>
      <c r="Z131" s="10"/>
    </row>
    <row r="132" hidden="1" outlineLevel="1">
      <c r="A132" s="36" t="str">
        <f t="shared" ref="A132:A138" si="86">iferror(if(B132&gt;0,month(B132)&amp;"-"&amp;year(B132),B132),)</f>
        <v>4-2025</v>
      </c>
      <c r="B132" s="91">
        <v>45753.0</v>
      </c>
      <c r="C132" s="38"/>
      <c r="D132" s="92">
        <v>826.06</v>
      </c>
      <c r="E132" s="93">
        <v>35.0</v>
      </c>
      <c r="F132" s="93">
        <v>31.0</v>
      </c>
      <c r="G132" s="41">
        <f t="shared" si="2"/>
        <v>1.129032258</v>
      </c>
      <c r="H132" s="39">
        <f t="shared" ref="H132:H138" si="87">D132/F132</f>
        <v>26.64709677</v>
      </c>
      <c r="I132" s="39">
        <f t="shared" ref="I132:I138" si="88">D132/E132</f>
        <v>23.60171429</v>
      </c>
      <c r="J132" s="94">
        <v>355.0</v>
      </c>
      <c r="K132" s="43">
        <f t="shared" si="5"/>
        <v>0.0985915493</v>
      </c>
      <c r="L132" s="92">
        <v>215.54</v>
      </c>
      <c r="M132" s="92">
        <v>590.12</v>
      </c>
      <c r="N132" s="93">
        <v>22.0</v>
      </c>
      <c r="O132" s="94">
        <v>45097.0</v>
      </c>
      <c r="P132" s="95">
        <v>0.4734</v>
      </c>
      <c r="Q132" s="44">
        <f t="shared" si="7"/>
        <v>2.737867681</v>
      </c>
      <c r="R132" s="43">
        <f t="shared" si="8"/>
        <v>0.7143791008</v>
      </c>
      <c r="S132" s="45"/>
      <c r="T132" s="46"/>
      <c r="U132" s="9"/>
      <c r="V132" s="9"/>
      <c r="W132" s="9"/>
      <c r="X132" s="9"/>
      <c r="Y132" s="9"/>
      <c r="Z132" s="9"/>
    </row>
    <row r="133" hidden="1" outlineLevel="1">
      <c r="A133" s="47" t="str">
        <f t="shared" si="86"/>
        <v>4-2025</v>
      </c>
      <c r="B133" s="91">
        <v>45754.0</v>
      </c>
      <c r="C133" s="48"/>
      <c r="D133" s="96">
        <v>287.93</v>
      </c>
      <c r="E133" s="97">
        <v>12.0</v>
      </c>
      <c r="F133" s="97">
        <v>11.0</v>
      </c>
      <c r="G133" s="51">
        <f t="shared" si="2"/>
        <v>1.090909091</v>
      </c>
      <c r="H133" s="49">
        <f t="shared" si="87"/>
        <v>26.17545455</v>
      </c>
      <c r="I133" s="49">
        <f t="shared" si="88"/>
        <v>23.99416667</v>
      </c>
      <c r="J133" s="98">
        <v>299.0</v>
      </c>
      <c r="K133" s="53">
        <f t="shared" si="5"/>
        <v>0.04013377926</v>
      </c>
      <c r="L133" s="96">
        <v>161.29</v>
      </c>
      <c r="M133" s="99">
        <v>351.4</v>
      </c>
      <c r="N133" s="97">
        <v>10.0</v>
      </c>
      <c r="O133" s="98">
        <v>36286.0</v>
      </c>
      <c r="P133" s="100">
        <v>0.2985</v>
      </c>
      <c r="Q133" s="55">
        <f t="shared" si="7"/>
        <v>2.178684357</v>
      </c>
      <c r="R133" s="53">
        <f t="shared" si="8"/>
        <v>1.220435523</v>
      </c>
      <c r="S133" s="19"/>
      <c r="T133" s="28"/>
      <c r="U133" s="9"/>
      <c r="V133" s="9"/>
      <c r="W133" s="9"/>
      <c r="X133" s="9"/>
      <c r="Y133" s="9"/>
      <c r="Z133" s="9"/>
    </row>
    <row r="134" hidden="1" outlineLevel="1">
      <c r="A134" s="47" t="str">
        <f t="shared" si="86"/>
        <v>4-2025</v>
      </c>
      <c r="B134" s="91">
        <v>45755.0</v>
      </c>
      <c r="C134" s="48"/>
      <c r="D134" s="96">
        <v>604.84</v>
      </c>
      <c r="E134" s="97">
        <v>25.0</v>
      </c>
      <c r="F134" s="97">
        <v>23.0</v>
      </c>
      <c r="G134" s="51">
        <f t="shared" si="2"/>
        <v>1.086956522</v>
      </c>
      <c r="H134" s="49">
        <f t="shared" si="87"/>
        <v>26.2973913</v>
      </c>
      <c r="I134" s="49">
        <f t="shared" si="88"/>
        <v>24.1936</v>
      </c>
      <c r="J134" s="98">
        <v>289.0</v>
      </c>
      <c r="K134" s="53">
        <f t="shared" si="5"/>
        <v>0.08650519031</v>
      </c>
      <c r="L134" s="92">
        <v>142.03</v>
      </c>
      <c r="M134" s="92">
        <v>355.41</v>
      </c>
      <c r="N134" s="93">
        <v>14.0</v>
      </c>
      <c r="O134" s="98">
        <v>33045.0</v>
      </c>
      <c r="P134" s="100">
        <v>0.3486</v>
      </c>
      <c r="Q134" s="55">
        <f t="shared" si="7"/>
        <v>2.502358657</v>
      </c>
      <c r="R134" s="53">
        <f t="shared" si="8"/>
        <v>0.5876099464</v>
      </c>
      <c r="S134" s="19"/>
      <c r="T134" s="28"/>
      <c r="U134" s="9"/>
      <c r="V134" s="9"/>
      <c r="W134" s="9"/>
      <c r="X134" s="9"/>
      <c r="Y134" s="9"/>
      <c r="Z134" s="9"/>
    </row>
    <row r="135" hidden="1" outlineLevel="1">
      <c r="A135" s="47" t="str">
        <f t="shared" si="86"/>
        <v>4-2025</v>
      </c>
      <c r="B135" s="91">
        <v>45756.0</v>
      </c>
      <c r="C135" s="48"/>
      <c r="D135" s="96">
        <v>470.87</v>
      </c>
      <c r="E135" s="97">
        <v>19.0</v>
      </c>
      <c r="F135" s="97">
        <v>15.0</v>
      </c>
      <c r="G135" s="51">
        <f t="shared" si="2"/>
        <v>1.266666667</v>
      </c>
      <c r="H135" s="49">
        <f t="shared" si="87"/>
        <v>31.39133333</v>
      </c>
      <c r="I135" s="49">
        <f t="shared" si="88"/>
        <v>24.78263158</v>
      </c>
      <c r="J135" s="98">
        <v>252.0</v>
      </c>
      <c r="K135" s="53">
        <f t="shared" si="5"/>
        <v>0.0753968254</v>
      </c>
      <c r="L135" s="96">
        <v>149.94</v>
      </c>
      <c r="M135" s="96">
        <v>384.4</v>
      </c>
      <c r="N135" s="97">
        <v>16.0</v>
      </c>
      <c r="O135" s="98">
        <v>34441.0</v>
      </c>
      <c r="P135" s="100">
        <v>0.3572</v>
      </c>
      <c r="Q135" s="55">
        <f t="shared" si="7"/>
        <v>2.563692144</v>
      </c>
      <c r="R135" s="53">
        <f t="shared" si="8"/>
        <v>0.8163612037</v>
      </c>
      <c r="S135" s="19"/>
      <c r="T135" s="28"/>
      <c r="U135" s="9"/>
      <c r="V135" s="9"/>
      <c r="W135" s="9"/>
      <c r="X135" s="9"/>
      <c r="Y135" s="9"/>
      <c r="Z135" s="9"/>
    </row>
    <row r="136" hidden="1" outlineLevel="1">
      <c r="A136" s="47" t="str">
        <f t="shared" si="86"/>
        <v>4-2025</v>
      </c>
      <c r="B136" s="91">
        <v>45757.0</v>
      </c>
      <c r="C136" s="48"/>
      <c r="D136" s="96">
        <v>297.41</v>
      </c>
      <c r="E136" s="97">
        <v>12.0</v>
      </c>
      <c r="F136" s="97">
        <v>12.0</v>
      </c>
      <c r="G136" s="51">
        <f t="shared" si="2"/>
        <v>1</v>
      </c>
      <c r="H136" s="49">
        <f t="shared" si="87"/>
        <v>24.78416667</v>
      </c>
      <c r="I136" s="49">
        <f t="shared" si="88"/>
        <v>24.78416667</v>
      </c>
      <c r="J136" s="98">
        <v>251.0</v>
      </c>
      <c r="K136" s="53">
        <f t="shared" si="5"/>
        <v>0.04780876494</v>
      </c>
      <c r="L136" s="96">
        <v>141.61</v>
      </c>
      <c r="M136" s="96">
        <v>250.92</v>
      </c>
      <c r="N136" s="97">
        <v>11.0</v>
      </c>
      <c r="O136" s="98">
        <v>32856.0</v>
      </c>
      <c r="P136" s="100">
        <v>0.3225</v>
      </c>
      <c r="Q136" s="55">
        <f t="shared" si="7"/>
        <v>1.771908764</v>
      </c>
      <c r="R136" s="53">
        <f t="shared" si="8"/>
        <v>0.8436838035</v>
      </c>
      <c r="S136" s="19"/>
      <c r="T136" s="28"/>
      <c r="U136" s="9"/>
      <c r="V136" s="9"/>
      <c r="W136" s="9"/>
      <c r="X136" s="9"/>
      <c r="Y136" s="9"/>
      <c r="Z136" s="9"/>
    </row>
    <row r="137" hidden="1" outlineLevel="1">
      <c r="A137" s="47" t="str">
        <f t="shared" si="86"/>
        <v>4-2025</v>
      </c>
      <c r="B137" s="91">
        <v>45758.0</v>
      </c>
      <c r="C137" s="48"/>
      <c r="D137" s="96">
        <v>447.86</v>
      </c>
      <c r="E137" s="97">
        <v>18.0</v>
      </c>
      <c r="F137" s="97">
        <v>17.0</v>
      </c>
      <c r="G137" s="51">
        <f t="shared" si="2"/>
        <v>1.058823529</v>
      </c>
      <c r="H137" s="49">
        <f t="shared" si="87"/>
        <v>26.34470588</v>
      </c>
      <c r="I137" s="49">
        <f t="shared" si="88"/>
        <v>24.88111111</v>
      </c>
      <c r="J137" s="98">
        <v>216.0</v>
      </c>
      <c r="K137" s="53">
        <f t="shared" si="5"/>
        <v>0.08333333333</v>
      </c>
      <c r="L137" s="96">
        <v>130.19</v>
      </c>
      <c r="M137" s="96">
        <v>291.92</v>
      </c>
      <c r="N137" s="97">
        <v>11.0</v>
      </c>
      <c r="O137" s="98">
        <v>24889.0</v>
      </c>
      <c r="P137" s="100">
        <v>0.5913</v>
      </c>
      <c r="Q137" s="55">
        <f t="shared" si="7"/>
        <v>2.24226131</v>
      </c>
      <c r="R137" s="53">
        <f t="shared" si="8"/>
        <v>0.6518108337</v>
      </c>
      <c r="S137" s="19"/>
      <c r="T137" s="28"/>
      <c r="U137" s="9"/>
      <c r="V137" s="9"/>
      <c r="W137" s="9"/>
      <c r="X137" s="9"/>
      <c r="Y137" s="9"/>
      <c r="Z137" s="9"/>
    </row>
    <row r="138" ht="15.0" hidden="1" customHeight="1" outlineLevel="1">
      <c r="A138" s="47" t="str">
        <f t="shared" si="86"/>
        <v>4-2025</v>
      </c>
      <c r="B138" s="91">
        <v>45759.0</v>
      </c>
      <c r="C138" s="48"/>
      <c r="D138" s="96">
        <v>594.06</v>
      </c>
      <c r="E138" s="97">
        <v>24.0</v>
      </c>
      <c r="F138" s="97">
        <v>22.0</v>
      </c>
      <c r="G138" s="51">
        <f t="shared" si="2"/>
        <v>1.090909091</v>
      </c>
      <c r="H138" s="49">
        <f t="shared" si="87"/>
        <v>27.00272727</v>
      </c>
      <c r="I138" s="49">
        <f t="shared" si="88"/>
        <v>24.7525</v>
      </c>
      <c r="J138" s="98">
        <v>309.0</v>
      </c>
      <c r="K138" s="53">
        <f t="shared" si="5"/>
        <v>0.07766990291</v>
      </c>
      <c r="L138" s="96">
        <v>182.72</v>
      </c>
      <c r="M138" s="96">
        <v>510.59</v>
      </c>
      <c r="N138" s="97">
        <v>16.0</v>
      </c>
      <c r="O138" s="98">
        <v>34789.0</v>
      </c>
      <c r="P138" s="53">
        <f t="shared" ref="P138:P139" si="91">L138/M138</f>
        <v>0.3578605143</v>
      </c>
      <c r="Q138" s="55">
        <f t="shared" si="7"/>
        <v>2.794384851</v>
      </c>
      <c r="R138" s="53">
        <f t="shared" si="8"/>
        <v>0.8594923072</v>
      </c>
      <c r="S138" s="19"/>
      <c r="T138" s="28"/>
      <c r="U138" s="9"/>
      <c r="V138" s="9"/>
      <c r="W138" s="9"/>
      <c r="X138" s="9"/>
      <c r="Y138" s="9"/>
      <c r="Z138" s="9"/>
    </row>
    <row r="139" collapsed="1">
      <c r="A139" s="101" t="s">
        <v>82</v>
      </c>
      <c r="B139" s="102"/>
      <c r="C139" s="103"/>
      <c r="D139" s="104">
        <f t="shared" ref="D139:F139" si="89">SUM(D132:D138)</f>
        <v>3529.03</v>
      </c>
      <c r="E139" s="105">
        <f t="shared" si="89"/>
        <v>145</v>
      </c>
      <c r="F139" s="105">
        <f t="shared" si="89"/>
        <v>131</v>
      </c>
      <c r="G139" s="106">
        <f t="shared" si="2"/>
        <v>1.106870229</v>
      </c>
      <c r="H139" s="104">
        <f>average(H132:H138)</f>
        <v>26.94898225</v>
      </c>
      <c r="I139" s="107">
        <f>H139/G139</f>
        <v>24.34701155</v>
      </c>
      <c r="J139" s="108">
        <f>SUM(J132:J138)</f>
        <v>1971</v>
      </c>
      <c r="K139" s="109">
        <f t="shared" si="5"/>
        <v>0.0735667174</v>
      </c>
      <c r="L139" s="104">
        <f t="shared" ref="L139:N139" si="90">SUM(L132:L138)</f>
        <v>1123.32</v>
      </c>
      <c r="M139" s="104">
        <f t="shared" si="90"/>
        <v>2734.76</v>
      </c>
      <c r="N139" s="110">
        <f t="shared" si="90"/>
        <v>100</v>
      </c>
      <c r="O139" s="111">
        <f>sum(O132:O138)</f>
        <v>241403</v>
      </c>
      <c r="P139" s="109">
        <f t="shared" si="91"/>
        <v>0.4107563369</v>
      </c>
      <c r="Q139" s="112">
        <f t="shared" si="7"/>
        <v>2.434533348</v>
      </c>
      <c r="R139" s="113">
        <f t="shared" si="8"/>
        <v>0.7749324885</v>
      </c>
      <c r="S139" s="103" t="str">
        <f>iferror((D139-#REF!)/D139,)</f>
        <v/>
      </c>
      <c r="T139" s="114" t="str">
        <f>iferror((F139-#REF!)/F139,)</f>
        <v/>
      </c>
      <c r="U139" s="9"/>
      <c r="V139" s="9"/>
      <c r="W139" s="10"/>
      <c r="X139" s="10"/>
      <c r="Y139" s="10"/>
      <c r="Z139" s="10"/>
    </row>
    <row r="140" hidden="1" outlineLevel="1">
      <c r="A140" s="36" t="str">
        <f t="shared" ref="A140:A146" si="92">iferror(if(B140&gt;0,month(B140)&amp;"-"&amp;year(B140),B140),)</f>
        <v>4-2025</v>
      </c>
      <c r="B140" s="91">
        <v>45760.0</v>
      </c>
      <c r="C140" s="38"/>
      <c r="D140" s="92">
        <v>571.07</v>
      </c>
      <c r="E140" s="93">
        <v>23.0</v>
      </c>
      <c r="F140" s="93">
        <v>21.0</v>
      </c>
      <c r="G140" s="41">
        <f t="shared" si="2"/>
        <v>1.095238095</v>
      </c>
      <c r="H140" s="39">
        <f t="shared" ref="H140:H146" si="93">D140/F140</f>
        <v>27.19380952</v>
      </c>
      <c r="I140" s="39">
        <f t="shared" ref="I140:I146" si="94">D140/E140</f>
        <v>24.82913043</v>
      </c>
      <c r="J140" s="94">
        <v>369.0</v>
      </c>
      <c r="K140" s="43">
        <f t="shared" si="5"/>
        <v>0.06233062331</v>
      </c>
      <c r="L140" s="92">
        <v>197.03</v>
      </c>
      <c r="M140" s="92">
        <v>385.88</v>
      </c>
      <c r="N140" s="93">
        <v>15.0</v>
      </c>
      <c r="O140" s="94">
        <v>43678.0</v>
      </c>
      <c r="P140" s="95">
        <v>0.4734</v>
      </c>
      <c r="Q140" s="44">
        <f t="shared" si="7"/>
        <v>1.95848348</v>
      </c>
      <c r="R140" s="43">
        <f t="shared" si="8"/>
        <v>0.6757140105</v>
      </c>
      <c r="S140" s="45"/>
      <c r="T140" s="46"/>
      <c r="U140" s="9"/>
      <c r="V140" s="9"/>
      <c r="W140" s="9"/>
      <c r="X140" s="9"/>
      <c r="Y140" s="9"/>
      <c r="Z140" s="9"/>
    </row>
    <row r="141" hidden="1" outlineLevel="1">
      <c r="A141" s="47" t="str">
        <f t="shared" si="92"/>
        <v>4-2025</v>
      </c>
      <c r="B141" s="91">
        <v>45761.0</v>
      </c>
      <c r="C141" s="48"/>
      <c r="D141" s="96">
        <v>661.34</v>
      </c>
      <c r="E141" s="97">
        <v>28.0</v>
      </c>
      <c r="F141" s="97">
        <v>23.0</v>
      </c>
      <c r="G141" s="51">
        <f t="shared" si="2"/>
        <v>1.217391304</v>
      </c>
      <c r="H141" s="49">
        <f t="shared" si="93"/>
        <v>28.75391304</v>
      </c>
      <c r="I141" s="49">
        <f t="shared" si="94"/>
        <v>23.61928571</v>
      </c>
      <c r="J141" s="98">
        <v>265.0</v>
      </c>
      <c r="K141" s="53">
        <f t="shared" si="5"/>
        <v>0.1056603774</v>
      </c>
      <c r="L141" s="96">
        <v>161.5</v>
      </c>
      <c r="M141" s="99">
        <v>444.9</v>
      </c>
      <c r="N141" s="97">
        <v>16.0</v>
      </c>
      <c r="O141" s="98">
        <v>33085.0</v>
      </c>
      <c r="P141" s="100">
        <v>0.2985</v>
      </c>
      <c r="Q141" s="55">
        <f t="shared" si="7"/>
        <v>2.754798762</v>
      </c>
      <c r="R141" s="53">
        <f t="shared" si="8"/>
        <v>0.6727250733</v>
      </c>
      <c r="S141" s="19"/>
      <c r="T141" s="28"/>
      <c r="U141" s="9"/>
      <c r="V141" s="9"/>
      <c r="W141" s="9"/>
      <c r="X141" s="9"/>
      <c r="Y141" s="9"/>
      <c r="Z141" s="9"/>
    </row>
    <row r="142" hidden="1" outlineLevel="1">
      <c r="A142" s="47" t="str">
        <f t="shared" si="92"/>
        <v>4-2025</v>
      </c>
      <c r="B142" s="91">
        <v>45762.0</v>
      </c>
      <c r="C142" s="48"/>
      <c r="D142" s="96">
        <v>394.14</v>
      </c>
      <c r="E142" s="97">
        <v>16.0</v>
      </c>
      <c r="F142" s="97">
        <v>15.0</v>
      </c>
      <c r="G142" s="51">
        <f t="shared" si="2"/>
        <v>1.066666667</v>
      </c>
      <c r="H142" s="49">
        <f t="shared" si="93"/>
        <v>26.276</v>
      </c>
      <c r="I142" s="49">
        <f t="shared" si="94"/>
        <v>24.63375</v>
      </c>
      <c r="J142" s="98">
        <v>204.0</v>
      </c>
      <c r="K142" s="53">
        <f t="shared" si="5"/>
        <v>0.07843137255</v>
      </c>
      <c r="L142" s="92">
        <v>98.31</v>
      </c>
      <c r="M142" s="92">
        <v>219.93</v>
      </c>
      <c r="N142" s="93">
        <v>8.0</v>
      </c>
      <c r="O142" s="98">
        <v>21929.0</v>
      </c>
      <c r="P142" s="100">
        <v>0.3486</v>
      </c>
      <c r="Q142" s="55">
        <f t="shared" si="7"/>
        <v>2.23710711</v>
      </c>
      <c r="R142" s="53">
        <f t="shared" si="8"/>
        <v>0.5579996955</v>
      </c>
      <c r="S142" s="19"/>
      <c r="T142" s="28"/>
      <c r="U142" s="9"/>
      <c r="V142" s="9"/>
      <c r="W142" s="9"/>
      <c r="X142" s="9"/>
      <c r="Y142" s="9"/>
      <c r="Z142" s="9"/>
    </row>
    <row r="143" hidden="1" outlineLevel="1">
      <c r="A143" s="47" t="str">
        <f t="shared" si="92"/>
        <v>4-2025</v>
      </c>
      <c r="B143" s="91">
        <v>45763.0</v>
      </c>
      <c r="C143" s="48"/>
      <c r="D143" s="96">
        <v>397.63</v>
      </c>
      <c r="E143" s="97">
        <v>16.0</v>
      </c>
      <c r="F143" s="97">
        <v>12.0</v>
      </c>
      <c r="G143" s="51">
        <f t="shared" si="2"/>
        <v>1.333333333</v>
      </c>
      <c r="H143" s="49">
        <f t="shared" si="93"/>
        <v>33.13583333</v>
      </c>
      <c r="I143" s="49">
        <f t="shared" si="94"/>
        <v>24.851875</v>
      </c>
      <c r="J143" s="98">
        <v>234.0</v>
      </c>
      <c r="K143" s="53">
        <f t="shared" si="5"/>
        <v>0.06837606838</v>
      </c>
      <c r="L143" s="96">
        <v>101.93</v>
      </c>
      <c r="M143" s="96">
        <v>283.66</v>
      </c>
      <c r="N143" s="97">
        <v>8.0</v>
      </c>
      <c r="O143" s="98">
        <v>25690.0</v>
      </c>
      <c r="P143" s="100">
        <v>0.3572</v>
      </c>
      <c r="Q143" s="55">
        <f t="shared" si="7"/>
        <v>2.782890219</v>
      </c>
      <c r="R143" s="53">
        <f t="shared" si="8"/>
        <v>0.7133767573</v>
      </c>
      <c r="S143" s="19"/>
      <c r="T143" s="28"/>
      <c r="U143" s="9"/>
      <c r="V143" s="9"/>
      <c r="W143" s="9"/>
      <c r="X143" s="9"/>
      <c r="Y143" s="9"/>
      <c r="Z143" s="9"/>
    </row>
    <row r="144" hidden="1" outlineLevel="1">
      <c r="A144" s="47" t="str">
        <f t="shared" si="92"/>
        <v>4-2025</v>
      </c>
      <c r="B144" s="91">
        <v>45764.0</v>
      </c>
      <c r="C144" s="48"/>
      <c r="D144" s="96">
        <v>694.27</v>
      </c>
      <c r="E144" s="97">
        <v>29.0</v>
      </c>
      <c r="F144" s="97">
        <v>19.0</v>
      </c>
      <c r="G144" s="51">
        <f t="shared" si="2"/>
        <v>1.526315789</v>
      </c>
      <c r="H144" s="49">
        <f t="shared" si="93"/>
        <v>36.54052632</v>
      </c>
      <c r="I144" s="49">
        <f t="shared" si="94"/>
        <v>23.94034483</v>
      </c>
      <c r="J144" s="98">
        <v>223.0</v>
      </c>
      <c r="K144" s="53">
        <f t="shared" si="5"/>
        <v>0.130044843</v>
      </c>
      <c r="L144" s="96">
        <v>96.92</v>
      </c>
      <c r="M144" s="96">
        <v>347.39</v>
      </c>
      <c r="N144" s="97">
        <v>10.0</v>
      </c>
      <c r="O144" s="98">
        <v>20148.0</v>
      </c>
      <c r="P144" s="100">
        <v>0.3225</v>
      </c>
      <c r="Q144" s="55">
        <f t="shared" si="7"/>
        <v>3.584296327</v>
      </c>
      <c r="R144" s="53">
        <f t="shared" si="8"/>
        <v>0.5003672923</v>
      </c>
      <c r="S144" s="19"/>
      <c r="T144" s="28"/>
      <c r="U144" s="9"/>
      <c r="V144" s="9"/>
      <c r="W144" s="9"/>
      <c r="X144" s="9"/>
      <c r="Y144" s="9"/>
      <c r="Z144" s="9"/>
    </row>
    <row r="145" hidden="1" outlineLevel="1">
      <c r="A145" s="47" t="str">
        <f t="shared" si="92"/>
        <v>4-2025</v>
      </c>
      <c r="B145" s="91">
        <v>45765.0</v>
      </c>
      <c r="C145" s="48"/>
      <c r="D145" s="96">
        <v>807.26</v>
      </c>
      <c r="E145" s="97">
        <v>33.0</v>
      </c>
      <c r="F145" s="97">
        <v>16.0</v>
      </c>
      <c r="G145" s="51">
        <f t="shared" si="2"/>
        <v>2.0625</v>
      </c>
      <c r="H145" s="49">
        <f t="shared" si="93"/>
        <v>50.45375</v>
      </c>
      <c r="I145" s="49">
        <f t="shared" si="94"/>
        <v>24.46242424</v>
      </c>
      <c r="J145" s="98">
        <v>206.0</v>
      </c>
      <c r="K145" s="53">
        <f t="shared" si="5"/>
        <v>0.1601941748</v>
      </c>
      <c r="L145" s="96">
        <v>91.86</v>
      </c>
      <c r="M145" s="96">
        <v>647.26</v>
      </c>
      <c r="N145" s="97">
        <v>7.0</v>
      </c>
      <c r="O145" s="98">
        <v>21054.0</v>
      </c>
      <c r="P145" s="100">
        <v>0.5913</v>
      </c>
      <c r="Q145" s="55">
        <f t="shared" si="7"/>
        <v>7.046157196</v>
      </c>
      <c r="R145" s="53">
        <f t="shared" si="8"/>
        <v>0.801798677</v>
      </c>
      <c r="S145" s="19"/>
      <c r="T145" s="28"/>
      <c r="U145" s="9"/>
      <c r="V145" s="9"/>
      <c r="W145" s="9"/>
      <c r="X145" s="9"/>
      <c r="Y145" s="9"/>
      <c r="Z145" s="9"/>
    </row>
    <row r="146" ht="15.0" hidden="1" customHeight="1" outlineLevel="1">
      <c r="A146" s="47" t="str">
        <f t="shared" si="92"/>
        <v>4-2025</v>
      </c>
      <c r="B146" s="91">
        <v>45766.0</v>
      </c>
      <c r="C146" s="48"/>
      <c r="D146" s="96">
        <v>399.14</v>
      </c>
      <c r="E146" s="97">
        <v>16.0</v>
      </c>
      <c r="F146" s="97">
        <v>14.0</v>
      </c>
      <c r="G146" s="51">
        <f t="shared" si="2"/>
        <v>1.142857143</v>
      </c>
      <c r="H146" s="49">
        <f t="shared" si="93"/>
        <v>28.51</v>
      </c>
      <c r="I146" s="49">
        <f t="shared" si="94"/>
        <v>24.94625</v>
      </c>
      <c r="J146" s="98">
        <v>226.0</v>
      </c>
      <c r="K146" s="53">
        <f t="shared" si="5"/>
        <v>0.07079646018</v>
      </c>
      <c r="L146" s="96">
        <v>102.87</v>
      </c>
      <c r="M146" s="96">
        <v>198.98</v>
      </c>
      <c r="N146" s="97">
        <v>8.0</v>
      </c>
      <c r="O146" s="98">
        <v>22920.0</v>
      </c>
      <c r="P146" s="53">
        <f t="shared" ref="P146:P147" si="97">L146/M146</f>
        <v>0.5169866318</v>
      </c>
      <c r="Q146" s="55">
        <f t="shared" si="7"/>
        <v>1.934285992</v>
      </c>
      <c r="R146" s="53">
        <f t="shared" si="8"/>
        <v>0.4985218219</v>
      </c>
      <c r="S146" s="19"/>
      <c r="T146" s="28"/>
      <c r="U146" s="9"/>
      <c r="V146" s="9"/>
      <c r="W146" s="9"/>
      <c r="X146" s="9"/>
      <c r="Y146" s="9"/>
      <c r="Z146" s="9"/>
    </row>
    <row r="147" collapsed="1">
      <c r="A147" s="101" t="s">
        <v>83</v>
      </c>
      <c r="B147" s="102"/>
      <c r="C147" s="103"/>
      <c r="D147" s="104">
        <f t="shared" ref="D147:F147" si="95">SUM(D140:D146)</f>
        <v>3924.85</v>
      </c>
      <c r="E147" s="105">
        <f t="shared" si="95"/>
        <v>161</v>
      </c>
      <c r="F147" s="105">
        <f t="shared" si="95"/>
        <v>120</v>
      </c>
      <c r="G147" s="106">
        <f t="shared" si="2"/>
        <v>1.341666667</v>
      </c>
      <c r="H147" s="104">
        <f>average(H140:H146)</f>
        <v>32.98054746</v>
      </c>
      <c r="I147" s="107">
        <f>H147/G147</f>
        <v>24.5817745</v>
      </c>
      <c r="J147" s="108">
        <f>SUM(J140:J146)</f>
        <v>1727</v>
      </c>
      <c r="K147" s="109">
        <f t="shared" si="5"/>
        <v>0.09322524609</v>
      </c>
      <c r="L147" s="104">
        <f t="shared" ref="L147:N147" si="96">SUM(L140:L146)</f>
        <v>850.42</v>
      </c>
      <c r="M147" s="104">
        <f t="shared" si="96"/>
        <v>2528</v>
      </c>
      <c r="N147" s="110">
        <f t="shared" si="96"/>
        <v>72</v>
      </c>
      <c r="O147" s="111">
        <f>sum(O140:O146)</f>
        <v>188504</v>
      </c>
      <c r="P147" s="109">
        <f t="shared" si="97"/>
        <v>0.3364003165</v>
      </c>
      <c r="Q147" s="112">
        <f t="shared" si="7"/>
        <v>2.972648809</v>
      </c>
      <c r="R147" s="113">
        <f t="shared" si="8"/>
        <v>0.6441010484</v>
      </c>
      <c r="S147" s="103" t="str">
        <f>iferror((D147-#REF!)/D147,)</f>
        <v/>
      </c>
      <c r="T147" s="114" t="str">
        <f>iferror((F147-#REF!)/F147,)</f>
        <v/>
      </c>
      <c r="U147" s="9"/>
      <c r="V147" s="9"/>
      <c r="W147" s="10"/>
      <c r="X147" s="10"/>
      <c r="Y147" s="10"/>
      <c r="Z147" s="10"/>
    </row>
    <row r="148" hidden="1" outlineLevel="1">
      <c r="A148" s="36" t="str">
        <f t="shared" ref="A148:A154" si="98">iferror(if(B148&gt;0,month(B148)&amp;"-"&amp;year(B148),B148),)</f>
        <v>4-2025</v>
      </c>
      <c r="B148" s="91">
        <v>45767.0</v>
      </c>
      <c r="C148" s="38"/>
      <c r="D148" s="92">
        <v>714.04</v>
      </c>
      <c r="E148" s="93">
        <v>29.0</v>
      </c>
      <c r="F148" s="93">
        <v>24.0</v>
      </c>
      <c r="G148" s="41">
        <f t="shared" si="2"/>
        <v>1.208333333</v>
      </c>
      <c r="H148" s="39">
        <f t="shared" ref="H148:H154" si="99">D148/F148</f>
        <v>29.75166667</v>
      </c>
      <c r="I148" s="39">
        <f t="shared" ref="I148:I154" si="100">D148/E148</f>
        <v>24.62206897</v>
      </c>
      <c r="J148" s="94">
        <v>303.0</v>
      </c>
      <c r="K148" s="43">
        <f t="shared" si="5"/>
        <v>0.09570957096</v>
      </c>
      <c r="L148" s="92">
        <v>146.43</v>
      </c>
      <c r="M148" s="92">
        <v>444.12</v>
      </c>
      <c r="N148" s="93">
        <v>17.0</v>
      </c>
      <c r="O148" s="94">
        <v>28016.0</v>
      </c>
      <c r="P148" s="95">
        <v>0.4734</v>
      </c>
      <c r="Q148" s="44">
        <f t="shared" si="7"/>
        <v>3.032985044</v>
      </c>
      <c r="R148" s="43">
        <f t="shared" si="8"/>
        <v>0.6219819618</v>
      </c>
      <c r="S148" s="45"/>
      <c r="T148" s="46"/>
      <c r="U148" s="9"/>
      <c r="V148" s="9"/>
      <c r="W148" s="9"/>
      <c r="X148" s="9"/>
      <c r="Y148" s="9"/>
      <c r="Z148" s="9"/>
    </row>
    <row r="149" hidden="1" outlineLevel="1">
      <c r="A149" s="47" t="str">
        <f t="shared" si="98"/>
        <v>4-2025</v>
      </c>
      <c r="B149" s="91">
        <v>45768.0</v>
      </c>
      <c r="C149" s="48"/>
      <c r="D149" s="96">
        <v>596.32</v>
      </c>
      <c r="E149" s="97">
        <v>24.0</v>
      </c>
      <c r="F149" s="97">
        <v>22.0</v>
      </c>
      <c r="G149" s="51">
        <f t="shared" si="2"/>
        <v>1.090909091</v>
      </c>
      <c r="H149" s="49">
        <f t="shared" si="99"/>
        <v>27.10545455</v>
      </c>
      <c r="I149" s="49">
        <f t="shared" si="100"/>
        <v>24.84666667</v>
      </c>
      <c r="J149" s="98">
        <v>235.0</v>
      </c>
      <c r="K149" s="53">
        <f t="shared" si="5"/>
        <v>0.1021276596</v>
      </c>
      <c r="L149" s="96">
        <v>102.24</v>
      </c>
      <c r="M149" s="99">
        <v>336.17</v>
      </c>
      <c r="N149" s="97">
        <v>13.0</v>
      </c>
      <c r="O149" s="98">
        <v>29649.0</v>
      </c>
      <c r="P149" s="100">
        <v>0.2985</v>
      </c>
      <c r="Q149" s="55">
        <f t="shared" si="7"/>
        <v>3.288047731</v>
      </c>
      <c r="R149" s="53">
        <f t="shared" si="8"/>
        <v>0.5637409445</v>
      </c>
      <c r="S149" s="19"/>
      <c r="T149" s="28"/>
      <c r="U149" s="9"/>
      <c r="V149" s="9"/>
      <c r="W149" s="9"/>
      <c r="X149" s="9"/>
      <c r="Y149" s="9"/>
      <c r="Z149" s="9"/>
    </row>
    <row r="150" hidden="1" outlineLevel="1">
      <c r="A150" s="47" t="str">
        <f t="shared" si="98"/>
        <v>4-2025</v>
      </c>
      <c r="B150" s="91">
        <v>45769.0</v>
      </c>
      <c r="C150" s="48"/>
      <c r="D150" s="96">
        <v>457.63</v>
      </c>
      <c r="E150" s="97">
        <v>19.0</v>
      </c>
      <c r="F150" s="97">
        <v>17.0</v>
      </c>
      <c r="G150" s="51">
        <f t="shared" si="2"/>
        <v>1.117647059</v>
      </c>
      <c r="H150" s="49">
        <f t="shared" si="99"/>
        <v>26.91941176</v>
      </c>
      <c r="I150" s="49">
        <f t="shared" si="100"/>
        <v>24.08578947</v>
      </c>
      <c r="J150" s="98">
        <v>261.0</v>
      </c>
      <c r="K150" s="53">
        <f t="shared" si="5"/>
        <v>0.07279693487</v>
      </c>
      <c r="L150" s="92">
        <v>126.63</v>
      </c>
      <c r="M150" s="92">
        <v>260.94</v>
      </c>
      <c r="N150" s="93">
        <v>11.0</v>
      </c>
      <c r="O150" s="98">
        <v>27377.0</v>
      </c>
      <c r="P150" s="100">
        <v>0.3486</v>
      </c>
      <c r="Q150" s="55">
        <f t="shared" si="7"/>
        <v>2.060649135</v>
      </c>
      <c r="R150" s="53">
        <f t="shared" si="8"/>
        <v>0.5701986321</v>
      </c>
      <c r="S150" s="19"/>
      <c r="T150" s="28"/>
      <c r="U150" s="9"/>
      <c r="V150" s="9"/>
      <c r="W150" s="9"/>
      <c r="X150" s="9"/>
      <c r="Y150" s="9"/>
      <c r="Z150" s="9"/>
    </row>
    <row r="151" hidden="1" outlineLevel="1">
      <c r="A151" s="47" t="str">
        <f t="shared" si="98"/>
        <v>4-2025</v>
      </c>
      <c r="B151" s="91">
        <v>45770.0</v>
      </c>
      <c r="C151" s="48"/>
      <c r="D151" s="96">
        <v>214.45</v>
      </c>
      <c r="E151" s="97">
        <v>9.0</v>
      </c>
      <c r="F151" s="97">
        <v>9.0</v>
      </c>
      <c r="G151" s="51">
        <f t="shared" si="2"/>
        <v>1</v>
      </c>
      <c r="H151" s="49">
        <f t="shared" si="99"/>
        <v>23.82777778</v>
      </c>
      <c r="I151" s="49">
        <f t="shared" si="100"/>
        <v>23.82777778</v>
      </c>
      <c r="J151" s="98">
        <v>243.0</v>
      </c>
      <c r="K151" s="53">
        <f t="shared" si="5"/>
        <v>0.03703703704</v>
      </c>
      <c r="L151" s="96">
        <v>115.0</v>
      </c>
      <c r="M151" s="96">
        <v>321.19</v>
      </c>
      <c r="N151" s="97">
        <v>11.0</v>
      </c>
      <c r="O151" s="98">
        <v>29599.0</v>
      </c>
      <c r="P151" s="100">
        <v>0.3572</v>
      </c>
      <c r="Q151" s="55">
        <f t="shared" si="7"/>
        <v>2.792956522</v>
      </c>
      <c r="R151" s="53">
        <f t="shared" si="8"/>
        <v>1.497738401</v>
      </c>
      <c r="S151" s="19"/>
      <c r="T151" s="28"/>
      <c r="U151" s="9"/>
      <c r="V151" s="9"/>
      <c r="W151" s="9"/>
      <c r="X151" s="9"/>
      <c r="Y151" s="9"/>
      <c r="Z151" s="9"/>
    </row>
    <row r="152" hidden="1" outlineLevel="1">
      <c r="A152" s="47" t="str">
        <f t="shared" si="98"/>
        <v>4-2025</v>
      </c>
      <c r="B152" s="91">
        <v>45771.0</v>
      </c>
      <c r="C152" s="48"/>
      <c r="D152" s="96">
        <v>678.07</v>
      </c>
      <c r="E152" s="97">
        <v>28.0</v>
      </c>
      <c r="F152" s="97">
        <v>22.0</v>
      </c>
      <c r="G152" s="51">
        <f t="shared" si="2"/>
        <v>1.272727273</v>
      </c>
      <c r="H152" s="49">
        <f t="shared" si="99"/>
        <v>30.82136364</v>
      </c>
      <c r="I152" s="49">
        <f t="shared" si="100"/>
        <v>24.21678571</v>
      </c>
      <c r="J152" s="98">
        <v>305.0</v>
      </c>
      <c r="K152" s="53">
        <f t="shared" si="5"/>
        <v>0.09180327869</v>
      </c>
      <c r="L152" s="96">
        <v>155.36</v>
      </c>
      <c r="M152" s="96">
        <v>544.07</v>
      </c>
      <c r="N152" s="97">
        <v>14.0</v>
      </c>
      <c r="O152" s="98">
        <v>35348.0</v>
      </c>
      <c r="P152" s="100">
        <v>0.3225</v>
      </c>
      <c r="Q152" s="55">
        <f t="shared" si="7"/>
        <v>3.501995366</v>
      </c>
      <c r="R152" s="53">
        <f t="shared" si="8"/>
        <v>0.8023802852</v>
      </c>
      <c r="S152" s="19"/>
      <c r="T152" s="28"/>
      <c r="U152" s="9"/>
      <c r="V152" s="9"/>
      <c r="W152" s="9"/>
      <c r="X152" s="9"/>
      <c r="Y152" s="9"/>
      <c r="Z152" s="9"/>
    </row>
    <row r="153" hidden="1" outlineLevel="1">
      <c r="A153" s="47" t="str">
        <f t="shared" si="98"/>
        <v>4-2025</v>
      </c>
      <c r="B153" s="91">
        <v>45772.0</v>
      </c>
      <c r="C153" s="48"/>
      <c r="D153" s="96">
        <v>509.86</v>
      </c>
      <c r="E153" s="97">
        <v>22.0</v>
      </c>
      <c r="F153" s="97">
        <v>15.0</v>
      </c>
      <c r="G153" s="51">
        <f t="shared" si="2"/>
        <v>1.466666667</v>
      </c>
      <c r="H153" s="49">
        <f t="shared" si="99"/>
        <v>33.99066667</v>
      </c>
      <c r="I153" s="49">
        <f t="shared" si="100"/>
        <v>23.17545455</v>
      </c>
      <c r="J153" s="98">
        <v>252.0</v>
      </c>
      <c r="K153" s="53">
        <f t="shared" si="5"/>
        <v>0.0873015873</v>
      </c>
      <c r="L153" s="96">
        <v>116.77</v>
      </c>
      <c r="M153" s="96">
        <v>298.91</v>
      </c>
      <c r="N153" s="97">
        <v>9.0</v>
      </c>
      <c r="O153" s="98">
        <v>30060.0</v>
      </c>
      <c r="P153" s="100">
        <v>0.5913</v>
      </c>
      <c r="Q153" s="55">
        <f t="shared" si="7"/>
        <v>2.559818447</v>
      </c>
      <c r="R153" s="53">
        <f t="shared" si="8"/>
        <v>0.5862589731</v>
      </c>
      <c r="S153" s="19"/>
      <c r="T153" s="28"/>
      <c r="U153" s="9"/>
      <c r="V153" s="9"/>
      <c r="W153" s="9"/>
      <c r="X153" s="9"/>
      <c r="Y153" s="9"/>
      <c r="Z153" s="9"/>
    </row>
    <row r="154" ht="15.0" hidden="1" customHeight="1" outlineLevel="1">
      <c r="A154" s="47" t="str">
        <f t="shared" si="98"/>
        <v>4-2025</v>
      </c>
      <c r="B154" s="91">
        <v>45773.0</v>
      </c>
      <c r="C154" s="48"/>
      <c r="D154" s="96">
        <v>971.17</v>
      </c>
      <c r="E154" s="97">
        <v>39.0</v>
      </c>
      <c r="F154" s="97">
        <v>32.0</v>
      </c>
      <c r="G154" s="51">
        <f t="shared" si="2"/>
        <v>1.21875</v>
      </c>
      <c r="H154" s="49">
        <f t="shared" si="99"/>
        <v>30.3490625</v>
      </c>
      <c r="I154" s="49">
        <f t="shared" si="100"/>
        <v>24.90179487</v>
      </c>
      <c r="J154" s="98">
        <v>344.0</v>
      </c>
      <c r="K154" s="53">
        <f t="shared" si="5"/>
        <v>0.113372093</v>
      </c>
      <c r="L154" s="96">
        <v>167.2</v>
      </c>
      <c r="M154" s="96">
        <v>458.85</v>
      </c>
      <c r="N154" s="97">
        <v>17.0</v>
      </c>
      <c r="O154" s="98">
        <v>37418.0</v>
      </c>
      <c r="P154" s="53">
        <f t="shared" ref="P154:P155" si="103">L154/M154</f>
        <v>0.364389234</v>
      </c>
      <c r="Q154" s="55">
        <f t="shared" si="7"/>
        <v>2.744318182</v>
      </c>
      <c r="R154" s="53">
        <f t="shared" si="8"/>
        <v>0.472471349</v>
      </c>
      <c r="S154" s="19"/>
      <c r="T154" s="28"/>
      <c r="U154" s="9"/>
      <c r="V154" s="9"/>
      <c r="W154" s="9"/>
      <c r="X154" s="9"/>
      <c r="Y154" s="9"/>
      <c r="Z154" s="9"/>
    </row>
    <row r="155" collapsed="1">
      <c r="A155" s="101" t="s">
        <v>84</v>
      </c>
      <c r="B155" s="102"/>
      <c r="C155" s="103"/>
      <c r="D155" s="104">
        <f t="shared" ref="D155:F155" si="101">SUM(D148:D154)</f>
        <v>4141.54</v>
      </c>
      <c r="E155" s="105">
        <f t="shared" si="101"/>
        <v>170</v>
      </c>
      <c r="F155" s="105">
        <f t="shared" si="101"/>
        <v>141</v>
      </c>
      <c r="G155" s="106">
        <f t="shared" si="2"/>
        <v>1.205673759</v>
      </c>
      <c r="H155" s="104">
        <f>average(H148:H154)</f>
        <v>28.96648622</v>
      </c>
      <c r="I155" s="107">
        <f>H155/G155</f>
        <v>24.02514446</v>
      </c>
      <c r="J155" s="108">
        <f>SUM(J148:J154)</f>
        <v>1943</v>
      </c>
      <c r="K155" s="109">
        <f t="shared" si="5"/>
        <v>0.08749356665</v>
      </c>
      <c r="L155" s="104">
        <f t="shared" ref="L155:N155" si="102">SUM(L148:L154)</f>
        <v>929.63</v>
      </c>
      <c r="M155" s="104">
        <f t="shared" si="102"/>
        <v>2664.25</v>
      </c>
      <c r="N155" s="110">
        <f t="shared" si="102"/>
        <v>92</v>
      </c>
      <c r="O155" s="111">
        <f>sum(O148:O154)</f>
        <v>217467</v>
      </c>
      <c r="P155" s="109">
        <f t="shared" si="103"/>
        <v>0.3489274655</v>
      </c>
      <c r="Q155" s="112">
        <f t="shared" si="7"/>
        <v>2.865925153</v>
      </c>
      <c r="R155" s="113">
        <f t="shared" si="8"/>
        <v>0.6432993524</v>
      </c>
      <c r="S155" s="103" t="str">
        <f>iferror((D155-#REF!)/D155,)</f>
        <v/>
      </c>
      <c r="T155" s="114" t="str">
        <f>iferror((F155-#REF!)/F155,)</f>
        <v/>
      </c>
      <c r="U155" s="9"/>
      <c r="V155" s="9"/>
      <c r="W155" s="10"/>
      <c r="X155" s="10"/>
      <c r="Y155" s="10"/>
      <c r="Z155" s="10"/>
    </row>
    <row r="156" hidden="1" outlineLevel="1">
      <c r="A156" s="36" t="str">
        <f t="shared" ref="A156:A162" si="104">iferror(if(B156&gt;0,month(B156)&amp;"-"&amp;year(B156),B156),)</f>
        <v>4-2025</v>
      </c>
      <c r="B156" s="91">
        <v>45774.0</v>
      </c>
      <c r="C156" s="38"/>
      <c r="D156" s="92">
        <v>768.27</v>
      </c>
      <c r="E156" s="93">
        <v>31.0</v>
      </c>
      <c r="F156" s="93">
        <v>26.0</v>
      </c>
      <c r="G156" s="41">
        <f t="shared" si="2"/>
        <v>1.192307692</v>
      </c>
      <c r="H156" s="39">
        <f t="shared" ref="H156:H162" si="105">D156/F156</f>
        <v>29.54884615</v>
      </c>
      <c r="I156" s="39">
        <f t="shared" ref="I156:I162" si="106">D156/E156</f>
        <v>24.78290323</v>
      </c>
      <c r="J156" s="94">
        <v>669.0</v>
      </c>
      <c r="K156" s="43">
        <f t="shared" si="5"/>
        <v>0.04633781764</v>
      </c>
      <c r="L156" s="92">
        <v>231.46</v>
      </c>
      <c r="M156" s="92">
        <v>544.6</v>
      </c>
      <c r="N156" s="93">
        <v>21.0</v>
      </c>
      <c r="O156" s="94">
        <v>44980.0</v>
      </c>
      <c r="P156" s="95">
        <v>0.4734</v>
      </c>
      <c r="Q156" s="44">
        <f t="shared" si="7"/>
        <v>2.352890348</v>
      </c>
      <c r="R156" s="43">
        <f t="shared" si="8"/>
        <v>0.7088653729</v>
      </c>
      <c r="S156" s="45"/>
      <c r="T156" s="46"/>
      <c r="U156" s="9"/>
      <c r="V156" s="9"/>
      <c r="W156" s="9"/>
      <c r="X156" s="9"/>
      <c r="Y156" s="9"/>
      <c r="Z156" s="9"/>
    </row>
    <row r="157" hidden="1" outlineLevel="1">
      <c r="A157" s="47" t="str">
        <f t="shared" si="104"/>
        <v>4-2025</v>
      </c>
      <c r="B157" s="91">
        <v>45775.0</v>
      </c>
      <c r="C157" s="48"/>
      <c r="D157" s="96">
        <v>644.83</v>
      </c>
      <c r="E157" s="97">
        <v>26.0</v>
      </c>
      <c r="F157" s="97">
        <v>25.0</v>
      </c>
      <c r="G157" s="51">
        <f t="shared" si="2"/>
        <v>1.04</v>
      </c>
      <c r="H157" s="49">
        <f t="shared" si="105"/>
        <v>25.7932</v>
      </c>
      <c r="I157" s="49">
        <f t="shared" si="106"/>
        <v>24.80115385</v>
      </c>
      <c r="J157" s="98">
        <v>518.0</v>
      </c>
      <c r="K157" s="53">
        <f t="shared" si="5"/>
        <v>0.05019305019</v>
      </c>
      <c r="L157" s="96">
        <v>176.77</v>
      </c>
      <c r="M157" s="99">
        <v>468.88</v>
      </c>
      <c r="N157" s="97">
        <v>18.0</v>
      </c>
      <c r="O157" s="98">
        <v>35249.0</v>
      </c>
      <c r="P157" s="100">
        <v>0.2985</v>
      </c>
      <c r="Q157" s="55">
        <f t="shared" si="7"/>
        <v>2.652486282</v>
      </c>
      <c r="R157" s="53">
        <f t="shared" si="8"/>
        <v>0.727137385</v>
      </c>
      <c r="S157" s="19"/>
      <c r="T157" s="28"/>
      <c r="U157" s="9"/>
      <c r="V157" s="9"/>
      <c r="W157" s="9"/>
      <c r="X157" s="9"/>
      <c r="Y157" s="9"/>
      <c r="Z157" s="9"/>
    </row>
    <row r="158" hidden="1" outlineLevel="1">
      <c r="A158" s="47" t="str">
        <f t="shared" si="104"/>
        <v>4-2025</v>
      </c>
      <c r="B158" s="91">
        <v>45776.0</v>
      </c>
      <c r="C158" s="48"/>
      <c r="D158" s="96">
        <v>642.04</v>
      </c>
      <c r="E158" s="97">
        <v>26.0</v>
      </c>
      <c r="F158" s="97">
        <v>23.0</v>
      </c>
      <c r="G158" s="51">
        <f t="shared" si="2"/>
        <v>1.130434783</v>
      </c>
      <c r="H158" s="49">
        <f t="shared" si="105"/>
        <v>27.91478261</v>
      </c>
      <c r="I158" s="49">
        <f t="shared" si="106"/>
        <v>24.69384615</v>
      </c>
      <c r="J158" s="98">
        <v>422.0</v>
      </c>
      <c r="K158" s="53">
        <f t="shared" si="5"/>
        <v>0.06161137441</v>
      </c>
      <c r="L158" s="92">
        <v>142.78</v>
      </c>
      <c r="M158" s="92">
        <v>453.11</v>
      </c>
      <c r="N158" s="93">
        <v>16.0</v>
      </c>
      <c r="O158" s="98">
        <v>33271.0</v>
      </c>
      <c r="P158" s="100">
        <v>0.3486</v>
      </c>
      <c r="Q158" s="55">
        <f t="shared" si="7"/>
        <v>3.173483681</v>
      </c>
      <c r="R158" s="53">
        <f t="shared" si="8"/>
        <v>0.7057348452</v>
      </c>
      <c r="S158" s="19"/>
      <c r="T158" s="28"/>
      <c r="U158" s="9"/>
      <c r="V158" s="9"/>
      <c r="W158" s="9"/>
      <c r="X158" s="9"/>
      <c r="Y158" s="9"/>
      <c r="Z158" s="9"/>
    </row>
    <row r="159" hidden="1" outlineLevel="1">
      <c r="A159" s="47" t="str">
        <f t="shared" si="104"/>
        <v>4-2025</v>
      </c>
      <c r="B159" s="91">
        <v>45777.0</v>
      </c>
      <c r="C159" s="48"/>
      <c r="D159" s="96">
        <v>598.06</v>
      </c>
      <c r="E159" s="97">
        <v>24.0</v>
      </c>
      <c r="F159" s="97">
        <v>18.0</v>
      </c>
      <c r="G159" s="51">
        <f t="shared" si="2"/>
        <v>1.333333333</v>
      </c>
      <c r="H159" s="49">
        <f t="shared" si="105"/>
        <v>33.22555556</v>
      </c>
      <c r="I159" s="49">
        <f t="shared" si="106"/>
        <v>24.91916667</v>
      </c>
      <c r="J159" s="98">
        <v>266.0</v>
      </c>
      <c r="K159" s="53">
        <f t="shared" si="5"/>
        <v>0.09022556391</v>
      </c>
      <c r="L159" s="96">
        <v>84.57</v>
      </c>
      <c r="M159" s="96">
        <v>408.36</v>
      </c>
      <c r="N159" s="97">
        <v>10.0</v>
      </c>
      <c r="O159" s="98">
        <v>17736.0</v>
      </c>
      <c r="P159" s="100">
        <v>0.3572</v>
      </c>
      <c r="Q159" s="55">
        <f t="shared" si="7"/>
        <v>4.828662646</v>
      </c>
      <c r="R159" s="53">
        <f t="shared" si="8"/>
        <v>0.682807745</v>
      </c>
      <c r="S159" s="19"/>
      <c r="T159" s="28"/>
      <c r="U159" s="9"/>
      <c r="V159" s="9"/>
      <c r="W159" s="9"/>
      <c r="X159" s="9"/>
      <c r="Y159" s="9"/>
      <c r="Z159" s="9"/>
    </row>
    <row r="160" hidden="1" outlineLevel="1">
      <c r="A160" s="47" t="str">
        <f t="shared" si="104"/>
        <v>5-2025</v>
      </c>
      <c r="B160" s="91">
        <v>45778.0</v>
      </c>
      <c r="C160" s="48"/>
      <c r="D160" s="96">
        <v>408.87</v>
      </c>
      <c r="E160" s="97">
        <v>16.0</v>
      </c>
      <c r="F160" s="97">
        <v>16.0</v>
      </c>
      <c r="G160" s="51">
        <f t="shared" si="2"/>
        <v>1</v>
      </c>
      <c r="H160" s="49">
        <f t="shared" si="105"/>
        <v>25.554375</v>
      </c>
      <c r="I160" s="49">
        <f t="shared" si="106"/>
        <v>25.554375</v>
      </c>
      <c r="J160" s="98">
        <v>162.0</v>
      </c>
      <c r="K160" s="53">
        <f t="shared" si="5"/>
        <v>0.0987654321</v>
      </c>
      <c r="L160" s="96">
        <v>0.0</v>
      </c>
      <c r="M160" s="96">
        <v>0.0</v>
      </c>
      <c r="N160" s="97">
        <v>0.0</v>
      </c>
      <c r="O160" s="98">
        <v>0.0</v>
      </c>
      <c r="P160" s="100">
        <v>0.3225</v>
      </c>
      <c r="Q160" s="55" t="str">
        <f t="shared" si="7"/>
        <v>#DIV/0!</v>
      </c>
      <c r="R160" s="53">
        <f t="shared" si="8"/>
        <v>0</v>
      </c>
      <c r="S160" s="19"/>
      <c r="T160" s="28"/>
      <c r="U160" s="9"/>
      <c r="V160" s="9"/>
      <c r="W160" s="9"/>
      <c r="X160" s="9"/>
      <c r="Y160" s="9"/>
      <c r="Z160" s="9"/>
    </row>
    <row r="161" hidden="1" outlineLevel="1">
      <c r="A161" s="47" t="str">
        <f t="shared" si="104"/>
        <v>5-2025</v>
      </c>
      <c r="B161" s="91">
        <v>45779.0</v>
      </c>
      <c r="C161" s="48"/>
      <c r="D161" s="96">
        <v>282.44</v>
      </c>
      <c r="E161" s="97">
        <v>12.0</v>
      </c>
      <c r="F161" s="97">
        <v>10.0</v>
      </c>
      <c r="G161" s="51">
        <f t="shared" si="2"/>
        <v>1.2</v>
      </c>
      <c r="H161" s="49">
        <f t="shared" si="105"/>
        <v>28.244</v>
      </c>
      <c r="I161" s="49">
        <f t="shared" si="106"/>
        <v>23.53666667</v>
      </c>
      <c r="J161" s="98">
        <v>93.0</v>
      </c>
      <c r="K161" s="53">
        <f t="shared" si="5"/>
        <v>0.1290322581</v>
      </c>
      <c r="L161" s="96">
        <v>0.0</v>
      </c>
      <c r="M161" s="96">
        <v>0.0</v>
      </c>
      <c r="N161" s="97">
        <v>0.0</v>
      </c>
      <c r="O161" s="98">
        <v>0.0</v>
      </c>
      <c r="P161" s="100">
        <v>0.5913</v>
      </c>
      <c r="Q161" s="55" t="str">
        <f t="shared" si="7"/>
        <v>#DIV/0!</v>
      </c>
      <c r="R161" s="53">
        <f t="shared" si="8"/>
        <v>0</v>
      </c>
      <c r="S161" s="19"/>
      <c r="T161" s="28"/>
      <c r="U161" s="9"/>
      <c r="V161" s="9"/>
      <c r="W161" s="9"/>
      <c r="X161" s="9"/>
      <c r="Y161" s="9"/>
      <c r="Z161" s="9"/>
    </row>
    <row r="162" ht="15.0" hidden="1" customHeight="1" outlineLevel="1">
      <c r="A162" s="47" t="str">
        <f t="shared" si="104"/>
        <v>5-2025</v>
      </c>
      <c r="B162" s="91">
        <v>45780.0</v>
      </c>
      <c r="C162" s="48"/>
      <c r="D162" s="96">
        <v>434.36</v>
      </c>
      <c r="E162" s="97">
        <v>17.0</v>
      </c>
      <c r="F162" s="97">
        <v>14.0</v>
      </c>
      <c r="G162" s="51">
        <f t="shared" si="2"/>
        <v>1.214285714</v>
      </c>
      <c r="H162" s="49">
        <f t="shared" si="105"/>
        <v>31.02571429</v>
      </c>
      <c r="I162" s="49">
        <f t="shared" si="106"/>
        <v>25.55058824</v>
      </c>
      <c r="J162" s="98">
        <v>261.0</v>
      </c>
      <c r="K162" s="53">
        <f t="shared" si="5"/>
        <v>0.06513409962</v>
      </c>
      <c r="L162" s="96">
        <v>105.37</v>
      </c>
      <c r="M162" s="96">
        <v>237.17</v>
      </c>
      <c r="N162" s="97">
        <v>7.0</v>
      </c>
      <c r="O162" s="98">
        <v>17972.0</v>
      </c>
      <c r="P162" s="53">
        <f t="shared" ref="P162:P163" si="109">L162/M162</f>
        <v>0.4442804739</v>
      </c>
      <c r="Q162" s="55">
        <f t="shared" si="7"/>
        <v>2.250830407</v>
      </c>
      <c r="R162" s="53">
        <f t="shared" si="8"/>
        <v>0.5460217331</v>
      </c>
      <c r="S162" s="19"/>
      <c r="T162" s="28"/>
      <c r="U162" s="9"/>
      <c r="V162" s="9"/>
      <c r="W162" s="9"/>
      <c r="X162" s="9"/>
      <c r="Y162" s="9"/>
      <c r="Z162" s="9"/>
    </row>
    <row r="163" collapsed="1">
      <c r="A163" s="101" t="s">
        <v>85</v>
      </c>
      <c r="B163" s="102"/>
      <c r="C163" s="103"/>
      <c r="D163" s="104">
        <f t="shared" ref="D163:F163" si="107">SUM(D156:D162)</f>
        <v>3778.87</v>
      </c>
      <c r="E163" s="105">
        <f t="shared" si="107"/>
        <v>152</v>
      </c>
      <c r="F163" s="105">
        <f t="shared" si="107"/>
        <v>132</v>
      </c>
      <c r="G163" s="106">
        <f t="shared" si="2"/>
        <v>1.151515152</v>
      </c>
      <c r="H163" s="104">
        <f>average(H156:H162)</f>
        <v>28.75806766</v>
      </c>
      <c r="I163" s="107">
        <f>H163/G163</f>
        <v>24.97411139</v>
      </c>
      <c r="J163" s="108">
        <f>SUM(J156:J162)</f>
        <v>2391</v>
      </c>
      <c r="K163" s="109">
        <f t="shared" si="5"/>
        <v>0.06357172731</v>
      </c>
      <c r="L163" s="104">
        <f t="shared" ref="L163:N163" si="108">SUM(L156:L162)</f>
        <v>740.95</v>
      </c>
      <c r="M163" s="104">
        <f t="shared" si="108"/>
        <v>2112.12</v>
      </c>
      <c r="N163" s="110">
        <f t="shared" si="108"/>
        <v>72</v>
      </c>
      <c r="O163" s="111">
        <f>sum(O156:O162)</f>
        <v>149208</v>
      </c>
      <c r="P163" s="109">
        <f t="shared" si="109"/>
        <v>0.3508086662</v>
      </c>
      <c r="Q163" s="112">
        <f t="shared" si="7"/>
        <v>2.850556718</v>
      </c>
      <c r="R163" s="113">
        <f t="shared" si="8"/>
        <v>0.558928992</v>
      </c>
      <c r="S163" s="103" t="str">
        <f>iferror((D163-#REF!)/D163,)</f>
        <v/>
      </c>
      <c r="T163" s="114" t="str">
        <f>iferror((F163-#REF!)/F163,)</f>
        <v/>
      </c>
      <c r="U163" s="9"/>
      <c r="V163" s="9"/>
      <c r="W163" s="10"/>
      <c r="X163" s="10"/>
      <c r="Y163" s="10"/>
      <c r="Z163" s="10"/>
    </row>
    <row r="164" hidden="1" outlineLevel="1">
      <c r="A164" s="36" t="str">
        <f t="shared" ref="A164:A170" si="110">iferror(if(B164&gt;0,month(B164)&amp;"-"&amp;year(B164),B164),)</f>
        <v>5-2025</v>
      </c>
      <c r="B164" s="91">
        <v>45781.0</v>
      </c>
      <c r="C164" s="38"/>
      <c r="D164" s="92">
        <v>1161.66</v>
      </c>
      <c r="E164" s="93">
        <v>48.0</v>
      </c>
      <c r="F164" s="93">
        <v>41.0</v>
      </c>
      <c r="G164" s="41">
        <f t="shared" si="2"/>
        <v>1.170731707</v>
      </c>
      <c r="H164" s="39">
        <f t="shared" ref="H164:H170" si="111">D164/F164</f>
        <v>28.33317073</v>
      </c>
      <c r="I164" s="39">
        <f t="shared" ref="I164:I170" si="112">D164/E164</f>
        <v>24.20125</v>
      </c>
      <c r="J164" s="94">
        <v>479.0</v>
      </c>
      <c r="K164" s="43">
        <f t="shared" si="5"/>
        <v>0.1002087683</v>
      </c>
      <c r="L164" s="92">
        <v>280.82</v>
      </c>
      <c r="M164" s="92">
        <v>1042.71</v>
      </c>
      <c r="N164" s="93">
        <v>37.0</v>
      </c>
      <c r="O164" s="94">
        <v>57131.0</v>
      </c>
      <c r="P164" s="95">
        <v>0.4734</v>
      </c>
      <c r="Q164" s="44">
        <f t="shared" si="7"/>
        <v>3.713090236</v>
      </c>
      <c r="R164" s="43">
        <f t="shared" si="8"/>
        <v>0.8976034296</v>
      </c>
      <c r="S164" s="45"/>
      <c r="T164" s="46"/>
      <c r="U164" s="9"/>
      <c r="V164" s="9"/>
      <c r="W164" s="9"/>
      <c r="X164" s="9"/>
      <c r="Y164" s="9"/>
      <c r="Z164" s="9"/>
    </row>
    <row r="165" hidden="1" outlineLevel="1">
      <c r="A165" s="47" t="str">
        <f t="shared" si="110"/>
        <v>5-2025</v>
      </c>
      <c r="B165" s="91">
        <v>45782.0</v>
      </c>
      <c r="C165" s="48"/>
      <c r="D165" s="96">
        <v>519.09</v>
      </c>
      <c r="E165" s="97">
        <v>21.0</v>
      </c>
      <c r="F165" s="97">
        <v>19.0</v>
      </c>
      <c r="G165" s="51">
        <f t="shared" si="2"/>
        <v>1.105263158</v>
      </c>
      <c r="H165" s="49">
        <f t="shared" si="111"/>
        <v>27.32052632</v>
      </c>
      <c r="I165" s="49">
        <f t="shared" si="112"/>
        <v>24.71857143</v>
      </c>
      <c r="J165" s="98">
        <v>420.0</v>
      </c>
      <c r="K165" s="53">
        <f t="shared" si="5"/>
        <v>0.05</v>
      </c>
      <c r="L165" s="96">
        <v>229.69</v>
      </c>
      <c r="M165" s="99">
        <v>531.81</v>
      </c>
      <c r="N165" s="97">
        <v>17.0</v>
      </c>
      <c r="O165" s="98">
        <v>48707.0</v>
      </c>
      <c r="P165" s="100">
        <v>0.2985</v>
      </c>
      <c r="Q165" s="55">
        <f t="shared" si="7"/>
        <v>2.315338064</v>
      </c>
      <c r="R165" s="53">
        <f t="shared" si="8"/>
        <v>1.024504421</v>
      </c>
      <c r="S165" s="19"/>
      <c r="T165" s="28"/>
      <c r="U165" s="9"/>
      <c r="V165" s="9"/>
      <c r="W165" s="9"/>
      <c r="X165" s="9"/>
      <c r="Y165" s="9"/>
      <c r="Z165" s="9"/>
    </row>
    <row r="166" hidden="1" outlineLevel="1">
      <c r="A166" s="47" t="str">
        <f t="shared" si="110"/>
        <v>5-2025</v>
      </c>
      <c r="B166" s="91">
        <v>45783.0</v>
      </c>
      <c r="C166" s="48"/>
      <c r="D166" s="96">
        <v>613.83</v>
      </c>
      <c r="E166" s="97">
        <v>25.0</v>
      </c>
      <c r="F166" s="97">
        <v>16.0</v>
      </c>
      <c r="G166" s="51">
        <f t="shared" si="2"/>
        <v>1.5625</v>
      </c>
      <c r="H166" s="49">
        <f t="shared" si="111"/>
        <v>38.364375</v>
      </c>
      <c r="I166" s="49">
        <f t="shared" si="112"/>
        <v>24.5532</v>
      </c>
      <c r="J166" s="98">
        <v>317.0</v>
      </c>
      <c r="K166" s="53">
        <f t="shared" si="5"/>
        <v>0.07886435331</v>
      </c>
      <c r="L166" s="92">
        <v>170.52</v>
      </c>
      <c r="M166" s="92">
        <v>361.16</v>
      </c>
      <c r="N166" s="93">
        <v>13.0</v>
      </c>
      <c r="O166" s="98">
        <v>40636.0</v>
      </c>
      <c r="P166" s="100">
        <v>0.3486</v>
      </c>
      <c r="Q166" s="55">
        <f t="shared" si="7"/>
        <v>2.117992024</v>
      </c>
      <c r="R166" s="53">
        <f t="shared" si="8"/>
        <v>0.5883713732</v>
      </c>
      <c r="S166" s="19"/>
      <c r="T166" s="28"/>
      <c r="U166" s="9"/>
      <c r="V166" s="9"/>
      <c r="W166" s="9"/>
      <c r="X166" s="9"/>
      <c r="Y166" s="9"/>
      <c r="Z166" s="9"/>
    </row>
    <row r="167" hidden="1" outlineLevel="1">
      <c r="A167" s="47" t="str">
        <f t="shared" si="110"/>
        <v>5-2025</v>
      </c>
      <c r="B167" s="91">
        <v>45784.0</v>
      </c>
      <c r="C167" s="48"/>
      <c r="D167" s="96">
        <v>556.6</v>
      </c>
      <c r="E167" s="97">
        <v>23.0</v>
      </c>
      <c r="F167" s="97">
        <v>21.0</v>
      </c>
      <c r="G167" s="51">
        <f t="shared" si="2"/>
        <v>1.095238095</v>
      </c>
      <c r="H167" s="49">
        <f t="shared" si="111"/>
        <v>26.5047619</v>
      </c>
      <c r="I167" s="49">
        <f t="shared" si="112"/>
        <v>24.2</v>
      </c>
      <c r="J167" s="98">
        <v>302.0</v>
      </c>
      <c r="K167" s="53">
        <f t="shared" si="5"/>
        <v>0.0761589404</v>
      </c>
      <c r="L167" s="96">
        <v>157.55</v>
      </c>
      <c r="M167" s="96">
        <v>382.65</v>
      </c>
      <c r="N167" s="97">
        <v>16.0</v>
      </c>
      <c r="O167" s="98">
        <v>37018.0</v>
      </c>
      <c r="P167" s="100">
        <v>0.3572</v>
      </c>
      <c r="Q167" s="55">
        <f t="shared" si="7"/>
        <v>2.428752777</v>
      </c>
      <c r="R167" s="53">
        <f t="shared" si="8"/>
        <v>0.6874775422</v>
      </c>
      <c r="S167" s="19"/>
      <c r="T167" s="28"/>
      <c r="U167" s="9"/>
      <c r="V167" s="9"/>
      <c r="W167" s="9"/>
      <c r="X167" s="9"/>
      <c r="Y167" s="9"/>
      <c r="Z167" s="9"/>
    </row>
    <row r="168" hidden="1" outlineLevel="1">
      <c r="A168" s="47" t="str">
        <f t="shared" si="110"/>
        <v>5-2025</v>
      </c>
      <c r="B168" s="91">
        <v>45785.0</v>
      </c>
      <c r="C168" s="48"/>
      <c r="D168" s="96">
        <v>492.61</v>
      </c>
      <c r="E168" s="97">
        <v>20.0</v>
      </c>
      <c r="F168" s="97">
        <v>19.0</v>
      </c>
      <c r="G168" s="51">
        <f t="shared" si="2"/>
        <v>1.052631579</v>
      </c>
      <c r="H168" s="49">
        <f t="shared" si="111"/>
        <v>25.92684211</v>
      </c>
      <c r="I168" s="49">
        <f t="shared" si="112"/>
        <v>24.6305</v>
      </c>
      <c r="J168" s="98">
        <v>269.0</v>
      </c>
      <c r="K168" s="53">
        <f t="shared" si="5"/>
        <v>0.07434944238</v>
      </c>
      <c r="L168" s="96">
        <v>144.73</v>
      </c>
      <c r="M168" s="96">
        <v>449.85</v>
      </c>
      <c r="N168" s="97">
        <v>16.0</v>
      </c>
      <c r="O168" s="98">
        <v>29230.0</v>
      </c>
      <c r="P168" s="100">
        <v>0.3225</v>
      </c>
      <c r="Q168" s="55">
        <f t="shared" si="7"/>
        <v>3.108201479</v>
      </c>
      <c r="R168" s="53">
        <f t="shared" si="8"/>
        <v>0.9131970524</v>
      </c>
      <c r="S168" s="19"/>
      <c r="T168" s="28"/>
      <c r="U168" s="9"/>
      <c r="V168" s="9"/>
      <c r="W168" s="9"/>
      <c r="X168" s="9"/>
      <c r="Y168" s="9"/>
      <c r="Z168" s="9"/>
    </row>
    <row r="169" hidden="1" outlineLevel="1">
      <c r="A169" s="47" t="str">
        <f t="shared" si="110"/>
        <v>5-2025</v>
      </c>
      <c r="B169" s="91">
        <v>45786.0</v>
      </c>
      <c r="C169" s="48"/>
      <c r="D169" s="96">
        <v>538.33</v>
      </c>
      <c r="E169" s="97">
        <v>21.0</v>
      </c>
      <c r="F169" s="97">
        <v>18.0</v>
      </c>
      <c r="G169" s="51">
        <f t="shared" si="2"/>
        <v>1.166666667</v>
      </c>
      <c r="H169" s="49">
        <f t="shared" si="111"/>
        <v>29.90722222</v>
      </c>
      <c r="I169" s="49">
        <f t="shared" si="112"/>
        <v>25.6347619</v>
      </c>
      <c r="J169" s="98">
        <v>292.0</v>
      </c>
      <c r="K169" s="53">
        <f t="shared" si="5"/>
        <v>0.07191780822</v>
      </c>
      <c r="L169" s="96">
        <v>132.45</v>
      </c>
      <c r="M169" s="96">
        <v>287.93</v>
      </c>
      <c r="N169" s="97">
        <v>12.0</v>
      </c>
      <c r="O169" s="98">
        <v>23839.0</v>
      </c>
      <c r="P169" s="100">
        <v>0.5913</v>
      </c>
      <c r="Q169" s="55">
        <f t="shared" si="7"/>
        <v>2.173876935</v>
      </c>
      <c r="R169" s="53">
        <f t="shared" si="8"/>
        <v>0.534857801</v>
      </c>
      <c r="S169" s="19"/>
      <c r="T169" s="28"/>
      <c r="U169" s="9"/>
      <c r="V169" s="9"/>
      <c r="W169" s="9"/>
      <c r="X169" s="9"/>
      <c r="Y169" s="9"/>
      <c r="Z169" s="9"/>
    </row>
    <row r="170" ht="15.0" hidden="1" customHeight="1" outlineLevel="1">
      <c r="A170" s="47" t="str">
        <f t="shared" si="110"/>
        <v>5-2025</v>
      </c>
      <c r="B170" s="91">
        <v>45787.0</v>
      </c>
      <c r="C170" s="48"/>
      <c r="D170" s="96">
        <v>737.04</v>
      </c>
      <c r="E170" s="97">
        <v>30.0</v>
      </c>
      <c r="F170" s="97">
        <v>27.0</v>
      </c>
      <c r="G170" s="51">
        <f t="shared" si="2"/>
        <v>1.111111111</v>
      </c>
      <c r="H170" s="49">
        <f t="shared" si="111"/>
        <v>27.29777778</v>
      </c>
      <c r="I170" s="49">
        <f t="shared" si="112"/>
        <v>24.568</v>
      </c>
      <c r="J170" s="98">
        <v>274.0</v>
      </c>
      <c r="K170" s="53">
        <f t="shared" si="5"/>
        <v>0.1094890511</v>
      </c>
      <c r="L170" s="96">
        <v>139.41</v>
      </c>
      <c r="M170" s="96">
        <v>530.61</v>
      </c>
      <c r="N170" s="97">
        <v>19.0</v>
      </c>
      <c r="O170" s="98">
        <v>26123.0</v>
      </c>
      <c r="P170" s="53">
        <f t="shared" ref="P170:P171" si="115">L170/M170</f>
        <v>0.2627353423</v>
      </c>
      <c r="Q170" s="55">
        <f t="shared" si="7"/>
        <v>3.80611147</v>
      </c>
      <c r="R170" s="53">
        <f t="shared" si="8"/>
        <v>0.7199202214</v>
      </c>
      <c r="S170" s="19"/>
      <c r="T170" s="28"/>
      <c r="U170" s="9"/>
      <c r="V170" s="9"/>
      <c r="W170" s="9"/>
      <c r="X170" s="9"/>
      <c r="Y170" s="9"/>
      <c r="Z170" s="9"/>
    </row>
    <row r="171" collapsed="1">
      <c r="A171" s="101" t="s">
        <v>86</v>
      </c>
      <c r="B171" s="102"/>
      <c r="C171" s="103"/>
      <c r="D171" s="104">
        <f t="shared" ref="D171:F171" si="113">SUM(D164:D170)</f>
        <v>4619.16</v>
      </c>
      <c r="E171" s="105">
        <f t="shared" si="113"/>
        <v>188</v>
      </c>
      <c r="F171" s="105">
        <f t="shared" si="113"/>
        <v>161</v>
      </c>
      <c r="G171" s="106">
        <f t="shared" si="2"/>
        <v>1.167701863</v>
      </c>
      <c r="H171" s="104">
        <f>average(H164:H170)</f>
        <v>29.09352515</v>
      </c>
      <c r="I171" s="107">
        <f>H171/G171</f>
        <v>24.91519973</v>
      </c>
      <c r="J171" s="108">
        <f>SUM(J164:J170)</f>
        <v>2353</v>
      </c>
      <c r="K171" s="109">
        <f t="shared" si="5"/>
        <v>0.07989800255</v>
      </c>
      <c r="L171" s="104">
        <f t="shared" ref="L171:N171" si="114">SUM(L164:L170)</f>
        <v>1255.17</v>
      </c>
      <c r="M171" s="104">
        <f t="shared" si="114"/>
        <v>3586.72</v>
      </c>
      <c r="N171" s="110">
        <f t="shared" si="114"/>
        <v>130</v>
      </c>
      <c r="O171" s="111">
        <f>sum(O164:O170)</f>
        <v>262684</v>
      </c>
      <c r="P171" s="109">
        <f t="shared" si="115"/>
        <v>0.3499492573</v>
      </c>
      <c r="Q171" s="112">
        <f t="shared" si="7"/>
        <v>2.857557144</v>
      </c>
      <c r="R171" s="113">
        <f t="shared" si="8"/>
        <v>0.7764874999</v>
      </c>
      <c r="S171" s="103" t="str">
        <f>iferror((D171-#REF!)/D171,)</f>
        <v/>
      </c>
      <c r="T171" s="114" t="str">
        <f>iferror((F171-#REF!)/F171,)</f>
        <v/>
      </c>
      <c r="U171" s="9"/>
      <c r="V171" s="9"/>
      <c r="W171" s="10"/>
      <c r="X171" s="10"/>
      <c r="Y171" s="10"/>
      <c r="Z171" s="10"/>
    </row>
    <row r="172" hidden="1" outlineLevel="1">
      <c r="A172" s="36" t="str">
        <f t="shared" ref="A172:A178" si="116">iferror(if(B172&gt;0,month(B172)&amp;"-"&amp;year(B172),B172),)</f>
        <v>5-2025</v>
      </c>
      <c r="B172" s="37">
        <v>45788.0</v>
      </c>
      <c r="C172" s="38"/>
      <c r="D172" s="39">
        <v>606.59</v>
      </c>
      <c r="E172" s="40">
        <v>25.0</v>
      </c>
      <c r="F172" s="40">
        <v>19.0</v>
      </c>
      <c r="G172" s="41">
        <f t="shared" si="2"/>
        <v>1.315789474</v>
      </c>
      <c r="H172" s="39">
        <f t="shared" ref="H172:H178" si="117">D172/F172</f>
        <v>31.92578947</v>
      </c>
      <c r="I172" s="39">
        <f t="shared" ref="I172:I178" si="118">D172/E172</f>
        <v>24.2636</v>
      </c>
      <c r="J172" s="42">
        <v>372.0</v>
      </c>
      <c r="K172" s="43">
        <f t="shared" si="5"/>
        <v>0.06720430108</v>
      </c>
      <c r="L172" s="39">
        <v>191.53</v>
      </c>
      <c r="M172" s="39">
        <v>606.09</v>
      </c>
      <c r="N172" s="40">
        <v>21.0</v>
      </c>
      <c r="O172" s="42">
        <v>32964.0</v>
      </c>
      <c r="P172" s="43">
        <v>0.4734</v>
      </c>
      <c r="Q172" s="44">
        <f t="shared" si="7"/>
        <v>3.164465097</v>
      </c>
      <c r="R172" s="43">
        <f t="shared" si="8"/>
        <v>0.99917572</v>
      </c>
      <c r="S172" s="45"/>
      <c r="T172" s="46"/>
      <c r="U172" s="9"/>
      <c r="V172" s="9"/>
      <c r="W172" s="9"/>
      <c r="X172" s="9"/>
      <c r="Y172" s="9"/>
      <c r="Z172" s="9"/>
    </row>
    <row r="173" hidden="1" outlineLevel="1">
      <c r="A173" s="47" t="str">
        <f t="shared" si="116"/>
        <v>5-2025</v>
      </c>
      <c r="B173" s="37">
        <v>45789.0</v>
      </c>
      <c r="C173" s="48"/>
      <c r="D173" s="49">
        <v>606.08</v>
      </c>
      <c r="E173" s="50">
        <v>25.0</v>
      </c>
      <c r="F173" s="50">
        <v>24.0</v>
      </c>
      <c r="G173" s="51">
        <f t="shared" si="2"/>
        <v>1.041666667</v>
      </c>
      <c r="H173" s="49">
        <f t="shared" si="117"/>
        <v>25.25333333</v>
      </c>
      <c r="I173" s="49">
        <f t="shared" si="118"/>
        <v>24.2432</v>
      </c>
      <c r="J173" s="52">
        <v>305.0</v>
      </c>
      <c r="K173" s="53">
        <f t="shared" si="5"/>
        <v>0.08196721311</v>
      </c>
      <c r="L173" s="49">
        <v>151.42</v>
      </c>
      <c r="M173" s="54">
        <v>468.86</v>
      </c>
      <c r="N173" s="50">
        <v>19.0</v>
      </c>
      <c r="O173" s="52">
        <v>32242.0</v>
      </c>
      <c r="P173" s="53">
        <v>0.2985</v>
      </c>
      <c r="Q173" s="55">
        <f t="shared" si="7"/>
        <v>3.096420552</v>
      </c>
      <c r="R173" s="53">
        <f t="shared" si="8"/>
        <v>0.773594245</v>
      </c>
      <c r="S173" s="19"/>
      <c r="T173" s="28"/>
      <c r="U173" s="9"/>
      <c r="V173" s="9"/>
      <c r="W173" s="9"/>
      <c r="X173" s="9"/>
      <c r="Y173" s="9"/>
      <c r="Z173" s="9"/>
    </row>
    <row r="174" hidden="1" outlineLevel="1">
      <c r="A174" s="47" t="str">
        <f t="shared" si="116"/>
        <v>5-2025</v>
      </c>
      <c r="B174" s="37">
        <v>45790.0</v>
      </c>
      <c r="C174" s="48"/>
      <c r="D174" s="49">
        <v>644.82</v>
      </c>
      <c r="E174" s="50">
        <v>26.0</v>
      </c>
      <c r="F174" s="50">
        <v>22.0</v>
      </c>
      <c r="G174" s="51">
        <f t="shared" si="2"/>
        <v>1.181818182</v>
      </c>
      <c r="H174" s="49">
        <f t="shared" si="117"/>
        <v>29.31</v>
      </c>
      <c r="I174" s="49">
        <f t="shared" si="118"/>
        <v>24.80076923</v>
      </c>
      <c r="J174" s="52">
        <v>239.0</v>
      </c>
      <c r="K174" s="53">
        <f t="shared" si="5"/>
        <v>0.1087866109</v>
      </c>
      <c r="L174" s="39">
        <v>130.19</v>
      </c>
      <c r="M174" s="39">
        <v>629.06</v>
      </c>
      <c r="N174" s="40">
        <v>21.0</v>
      </c>
      <c r="O174" s="52">
        <v>29279.0</v>
      </c>
      <c r="P174" s="53">
        <v>0.3486</v>
      </c>
      <c r="Q174" s="55">
        <f t="shared" si="7"/>
        <v>4.831861126</v>
      </c>
      <c r="R174" s="53">
        <f t="shared" si="8"/>
        <v>0.9755590707</v>
      </c>
      <c r="S174" s="19"/>
      <c r="T174" s="28"/>
      <c r="U174" s="9"/>
      <c r="V174" s="9"/>
      <c r="W174" s="9"/>
      <c r="X174" s="9"/>
      <c r="Y174" s="9"/>
      <c r="Z174" s="9"/>
    </row>
    <row r="175" hidden="1" outlineLevel="1">
      <c r="A175" s="47" t="str">
        <f t="shared" si="116"/>
        <v>5-2025</v>
      </c>
      <c r="B175" s="37">
        <v>45791.0</v>
      </c>
      <c r="C175" s="48"/>
      <c r="D175" s="49">
        <v>906.97</v>
      </c>
      <c r="E175" s="50">
        <v>36.0</v>
      </c>
      <c r="F175" s="50">
        <v>28.0</v>
      </c>
      <c r="G175" s="51">
        <f t="shared" si="2"/>
        <v>1.285714286</v>
      </c>
      <c r="H175" s="49">
        <f t="shared" si="117"/>
        <v>32.39178571</v>
      </c>
      <c r="I175" s="49">
        <f t="shared" si="118"/>
        <v>25.19361111</v>
      </c>
      <c r="J175" s="52">
        <v>314.0</v>
      </c>
      <c r="K175" s="53">
        <f t="shared" si="5"/>
        <v>0.1146496815</v>
      </c>
      <c r="L175" s="49">
        <v>166.97</v>
      </c>
      <c r="M175" s="49">
        <v>723.01</v>
      </c>
      <c r="N175" s="50">
        <v>21.0</v>
      </c>
      <c r="O175" s="52">
        <v>28767.0</v>
      </c>
      <c r="P175" s="53">
        <v>0.3572</v>
      </c>
      <c r="Q175" s="55">
        <f t="shared" si="7"/>
        <v>4.330179074</v>
      </c>
      <c r="R175" s="53">
        <f t="shared" si="8"/>
        <v>0.7971707995</v>
      </c>
      <c r="S175" s="19"/>
      <c r="T175" s="28"/>
      <c r="U175" s="9"/>
      <c r="V175" s="9"/>
      <c r="W175" s="9"/>
      <c r="X175" s="9"/>
      <c r="Y175" s="9"/>
      <c r="Z175" s="9"/>
    </row>
    <row r="176" hidden="1" outlineLevel="1">
      <c r="A176" s="47" t="str">
        <f t="shared" si="116"/>
        <v>5-2025</v>
      </c>
      <c r="B176" s="37">
        <v>45792.0</v>
      </c>
      <c r="C176" s="48"/>
      <c r="D176" s="49">
        <v>453.37</v>
      </c>
      <c r="E176" s="50">
        <v>18.0</v>
      </c>
      <c r="F176" s="50">
        <v>16.0</v>
      </c>
      <c r="G176" s="51">
        <f t="shared" si="2"/>
        <v>1.125</v>
      </c>
      <c r="H176" s="49">
        <f t="shared" si="117"/>
        <v>28.335625</v>
      </c>
      <c r="I176" s="49">
        <f t="shared" si="118"/>
        <v>25.18722222</v>
      </c>
      <c r="J176" s="52">
        <v>285.0</v>
      </c>
      <c r="K176" s="53">
        <f t="shared" si="5"/>
        <v>0.06315789474</v>
      </c>
      <c r="L176" s="49">
        <v>123.62</v>
      </c>
      <c r="M176" s="49">
        <v>447.11</v>
      </c>
      <c r="N176" s="50">
        <v>13.0</v>
      </c>
      <c r="O176" s="52">
        <v>25074.0</v>
      </c>
      <c r="P176" s="53">
        <v>0.3225</v>
      </c>
      <c r="Q176" s="55">
        <f t="shared" si="7"/>
        <v>3.616809578</v>
      </c>
      <c r="R176" s="53">
        <f t="shared" si="8"/>
        <v>0.9861922933</v>
      </c>
      <c r="S176" s="19"/>
      <c r="T176" s="28"/>
      <c r="U176" s="9"/>
      <c r="V176" s="9"/>
      <c r="W176" s="9"/>
      <c r="X176" s="9"/>
      <c r="Y176" s="9"/>
      <c r="Z176" s="9"/>
    </row>
    <row r="177" hidden="1" outlineLevel="1">
      <c r="A177" s="47" t="str">
        <f t="shared" si="116"/>
        <v>5-2025</v>
      </c>
      <c r="B177" s="37">
        <v>45793.0</v>
      </c>
      <c r="C177" s="48"/>
      <c r="D177" s="49">
        <v>636.32</v>
      </c>
      <c r="E177" s="50">
        <v>26.0</v>
      </c>
      <c r="F177" s="50">
        <v>20.0</v>
      </c>
      <c r="G177" s="51">
        <f t="shared" si="2"/>
        <v>1.3</v>
      </c>
      <c r="H177" s="49">
        <f t="shared" si="117"/>
        <v>31.816</v>
      </c>
      <c r="I177" s="49">
        <f t="shared" si="118"/>
        <v>24.47384615</v>
      </c>
      <c r="J177" s="52">
        <v>256.0</v>
      </c>
      <c r="K177" s="53">
        <f t="shared" si="5"/>
        <v>0.1015625</v>
      </c>
      <c r="L177" s="49">
        <v>158.75</v>
      </c>
      <c r="M177" s="49">
        <v>389.65</v>
      </c>
      <c r="N177" s="50">
        <v>15.0</v>
      </c>
      <c r="O177" s="52">
        <v>27367.0</v>
      </c>
      <c r="P177" s="53">
        <v>0.5913</v>
      </c>
      <c r="Q177" s="55">
        <f t="shared" si="7"/>
        <v>2.454488189</v>
      </c>
      <c r="R177" s="53">
        <f t="shared" si="8"/>
        <v>0.6123491325</v>
      </c>
      <c r="S177" s="19"/>
      <c r="T177" s="28"/>
      <c r="U177" s="9"/>
      <c r="V177" s="9"/>
      <c r="W177" s="9"/>
      <c r="X177" s="9"/>
      <c r="Y177" s="9"/>
      <c r="Z177" s="9"/>
    </row>
    <row r="178" hidden="1" outlineLevel="1">
      <c r="A178" s="47" t="str">
        <f t="shared" si="116"/>
        <v>5-2025</v>
      </c>
      <c r="B178" s="37">
        <v>45794.0</v>
      </c>
      <c r="C178" s="48"/>
      <c r="D178" s="49">
        <v>577.35</v>
      </c>
      <c r="E178" s="50">
        <v>24.0</v>
      </c>
      <c r="F178" s="50">
        <v>22.0</v>
      </c>
      <c r="G178" s="51">
        <f t="shared" si="2"/>
        <v>1.090909091</v>
      </c>
      <c r="H178" s="49">
        <f t="shared" si="117"/>
        <v>26.24318182</v>
      </c>
      <c r="I178" s="49">
        <f t="shared" si="118"/>
        <v>24.05625</v>
      </c>
      <c r="J178" s="52">
        <v>351.0</v>
      </c>
      <c r="K178" s="53">
        <f t="shared" si="5"/>
        <v>0.06837606838</v>
      </c>
      <c r="L178" s="49">
        <v>184.1</v>
      </c>
      <c r="M178" s="49">
        <v>282.19</v>
      </c>
      <c r="N178" s="50">
        <v>11.0</v>
      </c>
      <c r="O178" s="52">
        <v>38012.0</v>
      </c>
      <c r="P178" s="53">
        <f t="shared" ref="P178:P179" si="121">L178/M178</f>
        <v>0.652397321</v>
      </c>
      <c r="Q178" s="55">
        <f t="shared" si="7"/>
        <v>1.532808256</v>
      </c>
      <c r="R178" s="53">
        <f t="shared" si="8"/>
        <v>0.4887676453</v>
      </c>
      <c r="S178" s="19"/>
      <c r="T178" s="28"/>
      <c r="U178" s="9"/>
      <c r="V178" s="9"/>
      <c r="W178" s="9"/>
      <c r="X178" s="9"/>
      <c r="Y178" s="9"/>
      <c r="Z178" s="9"/>
    </row>
    <row r="179" collapsed="1">
      <c r="A179" s="101" t="s">
        <v>87</v>
      </c>
      <c r="B179" s="102"/>
      <c r="C179" s="103"/>
      <c r="D179" s="104">
        <f t="shared" ref="D179:F179" si="119">SUM(D172:D178)</f>
        <v>4431.5</v>
      </c>
      <c r="E179" s="105">
        <f t="shared" si="119"/>
        <v>180</v>
      </c>
      <c r="F179" s="105">
        <f t="shared" si="119"/>
        <v>151</v>
      </c>
      <c r="G179" s="260">
        <f t="shared" si="2"/>
        <v>1.19205298</v>
      </c>
      <c r="H179" s="104">
        <f>average(H172:H178)</f>
        <v>29.32510219</v>
      </c>
      <c r="I179" s="261">
        <f>H179/G179</f>
        <v>24.60050239</v>
      </c>
      <c r="J179" s="108">
        <f>SUM(J172:J178)</f>
        <v>2122</v>
      </c>
      <c r="K179" s="109">
        <f t="shared" si="5"/>
        <v>0.08482563619</v>
      </c>
      <c r="L179" s="104">
        <f t="shared" ref="L179:N179" si="120">SUM(L172:L178)</f>
        <v>1106.58</v>
      </c>
      <c r="M179" s="104">
        <f t="shared" si="120"/>
        <v>3545.97</v>
      </c>
      <c r="N179" s="262">
        <f t="shared" si="120"/>
        <v>121</v>
      </c>
      <c r="O179" s="108">
        <f>sum(O172:O178)</f>
        <v>213705</v>
      </c>
      <c r="P179" s="109">
        <f t="shared" si="121"/>
        <v>0.312066938</v>
      </c>
      <c r="Q179" s="263">
        <f t="shared" si="7"/>
        <v>3.204440709</v>
      </c>
      <c r="R179" s="113">
        <f t="shared" si="8"/>
        <v>0.8001737561</v>
      </c>
      <c r="S179" s="103" t="str">
        <f>iferror((D179-#REF!)/D179,)</f>
        <v/>
      </c>
      <c r="T179" s="114" t="str">
        <f>iferror((F179-#REF!)/F179,)</f>
        <v/>
      </c>
      <c r="U179" s="9"/>
      <c r="V179" s="9"/>
      <c r="W179" s="9"/>
      <c r="X179" s="9"/>
      <c r="Y179" s="9"/>
      <c r="Z179" s="9"/>
    </row>
    <row r="180" hidden="1" outlineLevel="1">
      <c r="A180" s="36" t="str">
        <f t="shared" ref="A180:A186" si="122">iferror(if(B180&gt;0,month(B180)&amp;"-"&amp;year(B180),B180),)</f>
        <v>5-2025</v>
      </c>
      <c r="B180" s="37">
        <v>45795.0</v>
      </c>
      <c r="C180" s="38"/>
      <c r="D180" s="39">
        <v>650.84</v>
      </c>
      <c r="E180" s="40">
        <v>27.0</v>
      </c>
      <c r="F180" s="40">
        <v>27.0</v>
      </c>
      <c r="G180" s="41">
        <f t="shared" si="2"/>
        <v>1</v>
      </c>
      <c r="H180" s="39">
        <f t="shared" ref="H180:H186" si="123">D180/F180</f>
        <v>24.10518519</v>
      </c>
      <c r="I180" s="39">
        <f t="shared" ref="I180:I186" si="124">D180/E180</f>
        <v>24.10518519</v>
      </c>
      <c r="J180" s="42">
        <v>417.0</v>
      </c>
      <c r="K180" s="43">
        <f t="shared" si="5"/>
        <v>0.06474820144</v>
      </c>
      <c r="L180" s="39">
        <v>218.68</v>
      </c>
      <c r="M180" s="39">
        <v>474.36</v>
      </c>
      <c r="N180" s="40">
        <v>18.0</v>
      </c>
      <c r="O180" s="42">
        <v>43824.0</v>
      </c>
      <c r="P180" s="43">
        <v>0.4734</v>
      </c>
      <c r="Q180" s="44">
        <f t="shared" si="7"/>
        <v>2.169197</v>
      </c>
      <c r="R180" s="43">
        <f t="shared" si="8"/>
        <v>0.7288427263</v>
      </c>
      <c r="S180" s="45"/>
      <c r="T180" s="46"/>
      <c r="U180" s="9"/>
      <c r="V180" s="9"/>
      <c r="W180" s="9"/>
      <c r="X180" s="9"/>
      <c r="Y180" s="9"/>
      <c r="Z180" s="9"/>
    </row>
    <row r="181" hidden="1" outlineLevel="1">
      <c r="A181" s="47" t="str">
        <f t="shared" si="122"/>
        <v>5-2025</v>
      </c>
      <c r="B181" s="37">
        <v>45796.0</v>
      </c>
      <c r="C181" s="48"/>
      <c r="D181" s="49">
        <v>439.88</v>
      </c>
      <c r="E181" s="50">
        <v>18.0</v>
      </c>
      <c r="F181" s="50">
        <v>17.0</v>
      </c>
      <c r="G181" s="51">
        <f t="shared" si="2"/>
        <v>1.058823529</v>
      </c>
      <c r="H181" s="49">
        <f t="shared" si="123"/>
        <v>25.87529412</v>
      </c>
      <c r="I181" s="49">
        <f t="shared" si="124"/>
        <v>24.43777778</v>
      </c>
      <c r="J181" s="52">
        <v>305.0</v>
      </c>
      <c r="K181" s="53">
        <f t="shared" si="5"/>
        <v>0.05901639344</v>
      </c>
      <c r="L181" s="49">
        <v>178.78</v>
      </c>
      <c r="M181" s="54">
        <v>477.83</v>
      </c>
      <c r="N181" s="50">
        <v>14.0</v>
      </c>
      <c r="O181" s="52">
        <v>35275.0</v>
      </c>
      <c r="P181" s="53">
        <v>0.2985</v>
      </c>
      <c r="Q181" s="55">
        <f t="shared" si="7"/>
        <v>2.672726256</v>
      </c>
      <c r="R181" s="53">
        <f t="shared" si="8"/>
        <v>1.086273529</v>
      </c>
      <c r="S181" s="19"/>
      <c r="T181" s="28"/>
      <c r="U181" s="9"/>
      <c r="V181" s="9"/>
      <c r="W181" s="9"/>
      <c r="X181" s="9"/>
      <c r="Y181" s="9"/>
      <c r="Z181" s="9"/>
    </row>
    <row r="182" hidden="1" outlineLevel="1">
      <c r="A182" s="47" t="str">
        <f t="shared" si="122"/>
        <v>5-2025</v>
      </c>
      <c r="B182" s="37">
        <v>45797.0</v>
      </c>
      <c r="C182" s="48"/>
      <c r="D182" s="49">
        <v>617.58</v>
      </c>
      <c r="E182" s="50">
        <v>26.0</v>
      </c>
      <c r="F182" s="50">
        <v>20.0</v>
      </c>
      <c r="G182" s="51">
        <f t="shared" si="2"/>
        <v>1.3</v>
      </c>
      <c r="H182" s="49">
        <f t="shared" si="123"/>
        <v>30.879</v>
      </c>
      <c r="I182" s="49">
        <f t="shared" si="124"/>
        <v>23.75307692</v>
      </c>
      <c r="J182" s="52">
        <v>261.0</v>
      </c>
      <c r="K182" s="53">
        <f t="shared" si="5"/>
        <v>0.09961685824</v>
      </c>
      <c r="L182" s="39">
        <v>140.63</v>
      </c>
      <c r="M182" s="39">
        <v>210.7</v>
      </c>
      <c r="N182" s="40">
        <v>8.0</v>
      </c>
      <c r="O182" s="52">
        <v>27696.0</v>
      </c>
      <c r="P182" s="53">
        <v>0.3486</v>
      </c>
      <c r="Q182" s="55">
        <f t="shared" si="7"/>
        <v>1.49825784</v>
      </c>
      <c r="R182" s="53">
        <f t="shared" si="8"/>
        <v>0.3411703747</v>
      </c>
      <c r="S182" s="19"/>
      <c r="T182" s="28"/>
      <c r="U182" s="9"/>
      <c r="V182" s="9"/>
      <c r="W182" s="9"/>
      <c r="X182" s="9"/>
      <c r="Y182" s="9"/>
      <c r="Z182" s="9"/>
    </row>
    <row r="183" hidden="1" outlineLevel="1">
      <c r="A183" s="47" t="str">
        <f t="shared" si="122"/>
        <v>5-2025</v>
      </c>
      <c r="B183" s="37">
        <v>45798.0</v>
      </c>
      <c r="C183" s="48"/>
      <c r="D183" s="49">
        <v>727.04</v>
      </c>
      <c r="E183" s="50">
        <v>30.0</v>
      </c>
      <c r="F183" s="50">
        <v>23.0</v>
      </c>
      <c r="G183" s="51">
        <f t="shared" si="2"/>
        <v>1.304347826</v>
      </c>
      <c r="H183" s="49">
        <f t="shared" si="123"/>
        <v>31.61043478</v>
      </c>
      <c r="I183" s="49">
        <f t="shared" si="124"/>
        <v>24.23466667</v>
      </c>
      <c r="J183" s="52">
        <v>249.0</v>
      </c>
      <c r="K183" s="53">
        <f t="shared" si="5"/>
        <v>0.1204819277</v>
      </c>
      <c r="L183" s="49">
        <v>125.15</v>
      </c>
      <c r="M183" s="49">
        <v>272.45</v>
      </c>
      <c r="N183" s="50">
        <v>10.0</v>
      </c>
      <c r="O183" s="52">
        <v>25554.0</v>
      </c>
      <c r="P183" s="53">
        <v>0.3572</v>
      </c>
      <c r="Q183" s="55">
        <f t="shared" si="7"/>
        <v>2.176987615</v>
      </c>
      <c r="R183" s="53">
        <f t="shared" si="8"/>
        <v>0.3747386664</v>
      </c>
      <c r="S183" s="19"/>
      <c r="T183" s="28"/>
      <c r="U183" s="9"/>
      <c r="V183" s="9"/>
      <c r="W183" s="9"/>
      <c r="X183" s="9"/>
      <c r="Y183" s="9"/>
      <c r="Z183" s="9"/>
    </row>
    <row r="184" hidden="1" outlineLevel="1">
      <c r="A184" s="47" t="str">
        <f t="shared" si="122"/>
        <v>5-2025</v>
      </c>
      <c r="B184" s="37">
        <v>45799.0</v>
      </c>
      <c r="C184" s="48"/>
      <c r="D184" s="49">
        <v>235.69</v>
      </c>
      <c r="E184" s="50">
        <v>10.0</v>
      </c>
      <c r="F184" s="50">
        <v>10.0</v>
      </c>
      <c r="G184" s="51">
        <f t="shared" si="2"/>
        <v>1</v>
      </c>
      <c r="H184" s="49">
        <f t="shared" si="123"/>
        <v>23.569</v>
      </c>
      <c r="I184" s="49">
        <f t="shared" si="124"/>
        <v>23.569</v>
      </c>
      <c r="J184" s="52">
        <v>220.0</v>
      </c>
      <c r="K184" s="53">
        <f t="shared" si="5"/>
        <v>0.04545454545</v>
      </c>
      <c r="L184" s="49">
        <v>124.23</v>
      </c>
      <c r="M184" s="49">
        <v>216.19</v>
      </c>
      <c r="N184" s="50">
        <v>9.0</v>
      </c>
      <c r="O184" s="52">
        <v>27433.0</v>
      </c>
      <c r="P184" s="53">
        <v>0.3225</v>
      </c>
      <c r="Q184" s="55">
        <f t="shared" si="7"/>
        <v>1.740239878</v>
      </c>
      <c r="R184" s="53">
        <f t="shared" si="8"/>
        <v>0.917264203</v>
      </c>
      <c r="S184" s="19"/>
      <c r="T184" s="28"/>
      <c r="U184" s="9"/>
      <c r="V184" s="9"/>
      <c r="W184" s="9"/>
      <c r="X184" s="9"/>
      <c r="Y184" s="9"/>
      <c r="Z184" s="9"/>
    </row>
    <row r="185" hidden="1" outlineLevel="1">
      <c r="A185" s="47" t="str">
        <f t="shared" si="122"/>
        <v>5-2025</v>
      </c>
      <c r="B185" s="37">
        <v>45800.0</v>
      </c>
      <c r="C185" s="48"/>
      <c r="D185" s="49">
        <v>465.37</v>
      </c>
      <c r="E185" s="50">
        <v>19.0</v>
      </c>
      <c r="F185" s="50">
        <v>16.0</v>
      </c>
      <c r="G185" s="51">
        <f t="shared" si="2"/>
        <v>1.1875</v>
      </c>
      <c r="H185" s="49">
        <f t="shared" si="123"/>
        <v>29.085625</v>
      </c>
      <c r="I185" s="49">
        <f t="shared" si="124"/>
        <v>24.49315789</v>
      </c>
      <c r="J185" s="52">
        <v>227.0</v>
      </c>
      <c r="K185" s="53">
        <f t="shared" si="5"/>
        <v>0.08370044053</v>
      </c>
      <c r="L185" s="49">
        <v>127.19</v>
      </c>
      <c r="M185" s="49">
        <v>280.44</v>
      </c>
      <c r="N185" s="50">
        <v>10.0</v>
      </c>
      <c r="O185" s="52">
        <v>25091.0</v>
      </c>
      <c r="P185" s="53">
        <v>0.5913</v>
      </c>
      <c r="Q185" s="55">
        <f t="shared" si="7"/>
        <v>2.204890322</v>
      </c>
      <c r="R185" s="53">
        <f t="shared" si="8"/>
        <v>0.6026172723</v>
      </c>
      <c r="S185" s="19"/>
      <c r="T185" s="28"/>
      <c r="U185" s="9"/>
      <c r="V185" s="9"/>
      <c r="W185" s="9"/>
      <c r="X185" s="9"/>
      <c r="Y185" s="9"/>
      <c r="Z185" s="9"/>
    </row>
    <row r="186" hidden="1" outlineLevel="1">
      <c r="A186" s="47" t="str">
        <f t="shared" si="122"/>
        <v>5-2025</v>
      </c>
      <c r="B186" s="37">
        <v>45801.0</v>
      </c>
      <c r="C186" s="48"/>
      <c r="D186" s="49">
        <v>416.89</v>
      </c>
      <c r="E186" s="50">
        <v>18.0</v>
      </c>
      <c r="F186" s="50">
        <v>15.0</v>
      </c>
      <c r="G186" s="51">
        <f t="shared" si="2"/>
        <v>1.2</v>
      </c>
      <c r="H186" s="49">
        <f t="shared" si="123"/>
        <v>27.79266667</v>
      </c>
      <c r="I186" s="49">
        <f t="shared" si="124"/>
        <v>23.16055556</v>
      </c>
      <c r="J186" s="52">
        <v>254.0</v>
      </c>
      <c r="K186" s="53">
        <f t="shared" si="5"/>
        <v>0.07086614173</v>
      </c>
      <c r="L186" s="49">
        <v>126.82</v>
      </c>
      <c r="M186" s="49">
        <v>307.18</v>
      </c>
      <c r="N186" s="50">
        <v>10.0</v>
      </c>
      <c r="O186" s="52">
        <v>23249.0</v>
      </c>
      <c r="P186" s="53">
        <f t="shared" ref="P186:P187" si="127">L186/M186</f>
        <v>0.4128523992</v>
      </c>
      <c r="Q186" s="55">
        <f t="shared" si="7"/>
        <v>2.422173159</v>
      </c>
      <c r="R186" s="53">
        <f t="shared" si="8"/>
        <v>0.7368370553</v>
      </c>
      <c r="S186" s="19"/>
      <c r="T186" s="28"/>
      <c r="U186" s="9"/>
      <c r="V186" s="9"/>
      <c r="W186" s="9"/>
      <c r="X186" s="9"/>
      <c r="Y186" s="9"/>
      <c r="Z186" s="9"/>
    </row>
    <row r="187" collapsed="1">
      <c r="A187" s="101" t="s">
        <v>88</v>
      </c>
      <c r="B187" s="102"/>
      <c r="C187" s="103"/>
      <c r="D187" s="104">
        <f t="shared" ref="D187:F187" si="125">SUM(D180:D186)</f>
        <v>3553.29</v>
      </c>
      <c r="E187" s="105">
        <f t="shared" si="125"/>
        <v>148</v>
      </c>
      <c r="F187" s="105">
        <f t="shared" si="125"/>
        <v>128</v>
      </c>
      <c r="G187" s="260">
        <f t="shared" si="2"/>
        <v>1.15625</v>
      </c>
      <c r="H187" s="104">
        <f>average(H180:H186)</f>
        <v>27.55960082</v>
      </c>
      <c r="I187" s="261">
        <f>H187/G187</f>
        <v>23.83533044</v>
      </c>
      <c r="J187" s="108">
        <f>SUM(J180:J186)</f>
        <v>1933</v>
      </c>
      <c r="K187" s="109">
        <f t="shared" si="5"/>
        <v>0.07656492499</v>
      </c>
      <c r="L187" s="104">
        <f t="shared" ref="L187:N187" si="126">SUM(L180:L186)</f>
        <v>1041.48</v>
      </c>
      <c r="M187" s="104">
        <f t="shared" si="126"/>
        <v>2239.15</v>
      </c>
      <c r="N187" s="262">
        <f t="shared" si="126"/>
        <v>79</v>
      </c>
      <c r="O187" s="108">
        <f>sum(O180:O186)</f>
        <v>208122</v>
      </c>
      <c r="P187" s="109">
        <f t="shared" si="127"/>
        <v>0.4651229261</v>
      </c>
      <c r="Q187" s="263">
        <f t="shared" si="7"/>
        <v>2.149969274</v>
      </c>
      <c r="R187" s="113">
        <f t="shared" si="8"/>
        <v>0.6301624691</v>
      </c>
      <c r="S187" s="103" t="str">
        <f>iferror((D187-#REF!)/D187,)</f>
        <v/>
      </c>
      <c r="T187" s="114" t="str">
        <f>iferror((F187-#REF!)/F187,)</f>
        <v/>
      </c>
      <c r="U187" s="9"/>
      <c r="V187" s="9"/>
      <c r="W187" s="9"/>
      <c r="X187" s="9"/>
      <c r="Y187" s="9"/>
      <c r="Z187" s="9"/>
    </row>
    <row r="188" hidden="1" outlineLevel="1">
      <c r="A188" s="36" t="str">
        <f t="shared" ref="A188:A194" si="128">iferror(if(B188&gt;0,month(B188)&amp;"-"&amp;year(B188),B188),)</f>
        <v>5-2025</v>
      </c>
      <c r="B188" s="91">
        <v>45802.0</v>
      </c>
      <c r="C188" s="38"/>
      <c r="D188" s="92">
        <v>338.44</v>
      </c>
      <c r="E188" s="93">
        <v>15.0</v>
      </c>
      <c r="F188" s="93">
        <v>13.0</v>
      </c>
      <c r="G188" s="41">
        <f t="shared" si="2"/>
        <v>1.153846154</v>
      </c>
      <c r="H188" s="39">
        <f t="shared" ref="H188:H194" si="129">D188/F188</f>
        <v>26.03384615</v>
      </c>
      <c r="I188" s="39">
        <f t="shared" ref="I188:I194" si="130">D188/E188</f>
        <v>22.56266667</v>
      </c>
      <c r="J188" s="94">
        <v>236.0</v>
      </c>
      <c r="K188" s="43">
        <f t="shared" si="5"/>
        <v>0.06355932203</v>
      </c>
      <c r="L188" s="92">
        <v>110.38</v>
      </c>
      <c r="M188" s="92">
        <v>251.2</v>
      </c>
      <c r="N188" s="93">
        <v>9.0</v>
      </c>
      <c r="O188" s="94">
        <v>25357.0</v>
      </c>
      <c r="P188" s="95">
        <v>0.4734</v>
      </c>
      <c r="Q188" s="44">
        <f t="shared" si="7"/>
        <v>2.275774597</v>
      </c>
      <c r="R188" s="43">
        <f t="shared" si="8"/>
        <v>0.7422290509</v>
      </c>
      <c r="S188" s="45"/>
      <c r="T188" s="46"/>
      <c r="U188" s="9"/>
      <c r="V188" s="9"/>
      <c r="W188" s="9"/>
      <c r="X188" s="9"/>
      <c r="Y188" s="9"/>
      <c r="Z188" s="9"/>
    </row>
    <row r="189" hidden="1" outlineLevel="1">
      <c r="A189" s="47" t="str">
        <f t="shared" si="128"/>
        <v>5-2025</v>
      </c>
      <c r="B189" s="91">
        <v>45803.0</v>
      </c>
      <c r="C189" s="48"/>
      <c r="D189" s="96">
        <v>411.42</v>
      </c>
      <c r="E189" s="97">
        <v>18.0</v>
      </c>
      <c r="F189" s="97">
        <v>17.0</v>
      </c>
      <c r="G189" s="51">
        <f t="shared" si="2"/>
        <v>1.058823529</v>
      </c>
      <c r="H189" s="49">
        <f t="shared" si="129"/>
        <v>24.20117647</v>
      </c>
      <c r="I189" s="49">
        <f t="shared" si="130"/>
        <v>22.85666667</v>
      </c>
      <c r="J189" s="98">
        <v>317.0</v>
      </c>
      <c r="K189" s="53">
        <f t="shared" si="5"/>
        <v>0.05678233438</v>
      </c>
      <c r="L189" s="96">
        <v>155.58</v>
      </c>
      <c r="M189" s="99">
        <v>276.2</v>
      </c>
      <c r="N189" s="97">
        <v>12.0</v>
      </c>
      <c r="O189" s="98">
        <v>36297.0</v>
      </c>
      <c r="P189" s="100">
        <v>0.2985</v>
      </c>
      <c r="Q189" s="55">
        <f t="shared" si="7"/>
        <v>1.775292454</v>
      </c>
      <c r="R189" s="53">
        <f t="shared" si="8"/>
        <v>0.6713334306</v>
      </c>
      <c r="S189" s="19"/>
      <c r="T189" s="28"/>
      <c r="U189" s="9"/>
      <c r="V189" s="9"/>
      <c r="W189" s="9"/>
      <c r="X189" s="9"/>
      <c r="Y189" s="9"/>
      <c r="Z189" s="9"/>
    </row>
    <row r="190" hidden="1" outlineLevel="1">
      <c r="A190" s="47" t="str">
        <f t="shared" si="128"/>
        <v>5-2025</v>
      </c>
      <c r="B190" s="91">
        <v>45804.0</v>
      </c>
      <c r="C190" s="48"/>
      <c r="D190" s="96">
        <v>593.64</v>
      </c>
      <c r="E190" s="97">
        <v>26.0</v>
      </c>
      <c r="F190" s="97">
        <v>20.0</v>
      </c>
      <c r="G190" s="51">
        <f t="shared" si="2"/>
        <v>1.3</v>
      </c>
      <c r="H190" s="49">
        <f t="shared" si="129"/>
        <v>29.682</v>
      </c>
      <c r="I190" s="49">
        <f t="shared" si="130"/>
        <v>22.83230769</v>
      </c>
      <c r="J190" s="98">
        <v>206.0</v>
      </c>
      <c r="K190" s="53">
        <f t="shared" si="5"/>
        <v>0.1262135922</v>
      </c>
      <c r="L190" s="92">
        <v>103.22</v>
      </c>
      <c r="M190" s="92">
        <v>453.9</v>
      </c>
      <c r="N190" s="93">
        <v>15.0</v>
      </c>
      <c r="O190" s="98">
        <v>22770.0</v>
      </c>
      <c r="P190" s="100">
        <v>0.3486</v>
      </c>
      <c r="Q190" s="55">
        <f t="shared" si="7"/>
        <v>4.397403604</v>
      </c>
      <c r="R190" s="53">
        <f t="shared" si="8"/>
        <v>0.764604811</v>
      </c>
      <c r="S190" s="19"/>
      <c r="T190" s="28"/>
      <c r="U190" s="9"/>
      <c r="V190" s="9"/>
      <c r="W190" s="9"/>
      <c r="X190" s="9"/>
      <c r="Y190" s="9"/>
      <c r="Z190" s="9"/>
    </row>
    <row r="191" hidden="1" outlineLevel="1">
      <c r="A191" s="47" t="str">
        <f t="shared" si="128"/>
        <v>5-2025</v>
      </c>
      <c r="B191" s="91">
        <v>45805.0</v>
      </c>
      <c r="C191" s="48"/>
      <c r="D191" s="96">
        <v>421.15</v>
      </c>
      <c r="E191" s="97">
        <v>18.0</v>
      </c>
      <c r="F191" s="97">
        <v>17.0</v>
      </c>
      <c r="G191" s="51">
        <f t="shared" si="2"/>
        <v>1.058823529</v>
      </c>
      <c r="H191" s="49">
        <f t="shared" si="129"/>
        <v>24.77352941</v>
      </c>
      <c r="I191" s="49">
        <f t="shared" si="130"/>
        <v>23.39722222</v>
      </c>
      <c r="J191" s="98">
        <v>228.0</v>
      </c>
      <c r="K191" s="53">
        <f t="shared" si="5"/>
        <v>0.07894736842</v>
      </c>
      <c r="L191" s="96">
        <v>93.75</v>
      </c>
      <c r="M191" s="96">
        <v>217.94</v>
      </c>
      <c r="N191" s="97">
        <v>9.0</v>
      </c>
      <c r="O191" s="98">
        <v>22366.0</v>
      </c>
      <c r="P191" s="100">
        <v>0.3572</v>
      </c>
      <c r="Q191" s="55">
        <f t="shared" si="7"/>
        <v>2.324693333</v>
      </c>
      <c r="R191" s="53">
        <f t="shared" si="8"/>
        <v>0.5174878309</v>
      </c>
      <c r="S191" s="19"/>
      <c r="T191" s="28"/>
      <c r="U191" s="9"/>
      <c r="V191" s="9"/>
      <c r="W191" s="9"/>
      <c r="X191" s="9"/>
      <c r="Y191" s="9"/>
      <c r="Z191" s="9"/>
    </row>
    <row r="192" hidden="1" outlineLevel="1">
      <c r="A192" s="47" t="str">
        <f t="shared" si="128"/>
        <v>5-2025</v>
      </c>
      <c r="B192" s="91">
        <v>45806.0</v>
      </c>
      <c r="C192" s="48"/>
      <c r="D192" s="96">
        <v>484.34</v>
      </c>
      <c r="E192" s="97">
        <v>19.0</v>
      </c>
      <c r="F192" s="97">
        <v>15.0</v>
      </c>
      <c r="G192" s="51">
        <f t="shared" si="2"/>
        <v>1.266666667</v>
      </c>
      <c r="H192" s="49">
        <f t="shared" si="129"/>
        <v>32.28933333</v>
      </c>
      <c r="I192" s="49">
        <f t="shared" si="130"/>
        <v>25.49157895</v>
      </c>
      <c r="J192" s="98">
        <v>144.0</v>
      </c>
      <c r="K192" s="53">
        <f t="shared" si="5"/>
        <v>0.1319444444</v>
      </c>
      <c r="L192" s="96">
        <v>52.33</v>
      </c>
      <c r="M192" s="96">
        <v>112.23</v>
      </c>
      <c r="N192" s="97">
        <v>5.0</v>
      </c>
      <c r="O192" s="98">
        <v>9595.0</v>
      </c>
      <c r="P192" s="100">
        <v>0.3225</v>
      </c>
      <c r="Q192" s="55">
        <f t="shared" si="7"/>
        <v>2.144658895</v>
      </c>
      <c r="R192" s="53">
        <f t="shared" si="8"/>
        <v>0.2317173886</v>
      </c>
      <c r="S192" s="19"/>
      <c r="T192" s="28"/>
      <c r="U192" s="9"/>
      <c r="V192" s="9"/>
      <c r="W192" s="9"/>
      <c r="X192" s="9"/>
      <c r="Y192" s="9"/>
      <c r="Z192" s="9"/>
    </row>
    <row r="193" hidden="1" outlineLevel="1">
      <c r="A193" s="47" t="str">
        <f t="shared" si="128"/>
        <v>5-2025</v>
      </c>
      <c r="B193" s="91">
        <v>45807.0</v>
      </c>
      <c r="C193" s="48"/>
      <c r="D193" s="96">
        <v>219.93</v>
      </c>
      <c r="E193" s="97">
        <v>9.0</v>
      </c>
      <c r="F193" s="97">
        <v>7.0</v>
      </c>
      <c r="G193" s="51">
        <f t="shared" si="2"/>
        <v>1.285714286</v>
      </c>
      <c r="H193" s="49">
        <f t="shared" si="129"/>
        <v>31.41857143</v>
      </c>
      <c r="I193" s="49">
        <f t="shared" si="130"/>
        <v>24.43666667</v>
      </c>
      <c r="J193" s="98">
        <v>60.0</v>
      </c>
      <c r="K193" s="53">
        <f t="shared" si="5"/>
        <v>0.15</v>
      </c>
      <c r="L193" s="96">
        <v>0.0</v>
      </c>
      <c r="M193" s="96">
        <v>0.0</v>
      </c>
      <c r="N193" s="97">
        <v>0.0</v>
      </c>
      <c r="O193" s="98">
        <v>0.0</v>
      </c>
      <c r="P193" s="100">
        <v>0.5913</v>
      </c>
      <c r="Q193" s="55" t="str">
        <f t="shared" si="7"/>
        <v>#DIV/0!</v>
      </c>
      <c r="R193" s="53">
        <f t="shared" si="8"/>
        <v>0</v>
      </c>
      <c r="S193" s="19"/>
      <c r="T193" s="28"/>
      <c r="U193" s="9"/>
      <c r="V193" s="9"/>
      <c r="W193" s="9"/>
      <c r="X193" s="9"/>
      <c r="Y193" s="9"/>
      <c r="Z193" s="9"/>
    </row>
    <row r="194" ht="15.0" hidden="1" customHeight="1" outlineLevel="1">
      <c r="A194" s="47" t="str">
        <f t="shared" si="128"/>
        <v>5-2025</v>
      </c>
      <c r="B194" s="91">
        <v>45808.0</v>
      </c>
      <c r="C194" s="48"/>
      <c r="D194" s="96">
        <v>236.94</v>
      </c>
      <c r="E194" s="97">
        <v>10.0</v>
      </c>
      <c r="F194" s="97">
        <v>9.0</v>
      </c>
      <c r="G194" s="51">
        <f t="shared" si="2"/>
        <v>1.111111111</v>
      </c>
      <c r="H194" s="49">
        <f t="shared" si="129"/>
        <v>26.32666667</v>
      </c>
      <c r="I194" s="49">
        <f t="shared" si="130"/>
        <v>23.694</v>
      </c>
      <c r="J194" s="98">
        <v>74.0</v>
      </c>
      <c r="K194" s="53">
        <f t="shared" si="5"/>
        <v>0.1351351351</v>
      </c>
      <c r="L194" s="96">
        <v>0.0</v>
      </c>
      <c r="M194" s="96">
        <v>0.0</v>
      </c>
      <c r="N194" s="97">
        <v>0.0</v>
      </c>
      <c r="O194" s="98">
        <v>0.0</v>
      </c>
      <c r="P194" s="53" t="str">
        <f t="shared" ref="P194:P195" si="133">L194/M194</f>
        <v>#DIV/0!</v>
      </c>
      <c r="Q194" s="55" t="str">
        <f t="shared" si="7"/>
        <v>#DIV/0!</v>
      </c>
      <c r="R194" s="53">
        <f t="shared" si="8"/>
        <v>0</v>
      </c>
      <c r="S194" s="19"/>
      <c r="T194" s="28"/>
      <c r="U194" s="9"/>
      <c r="V194" s="9"/>
      <c r="W194" s="9"/>
      <c r="X194" s="9"/>
      <c r="Y194" s="9"/>
      <c r="Z194" s="9"/>
    </row>
    <row r="195" collapsed="1">
      <c r="A195" s="101" t="s">
        <v>89</v>
      </c>
      <c r="B195" s="102"/>
      <c r="C195" s="103"/>
      <c r="D195" s="104">
        <f t="shared" ref="D195:F195" si="131">SUM(D188:D194)</f>
        <v>2705.86</v>
      </c>
      <c r="E195" s="105">
        <f t="shared" si="131"/>
        <v>115</v>
      </c>
      <c r="F195" s="105">
        <f t="shared" si="131"/>
        <v>98</v>
      </c>
      <c r="G195" s="106">
        <f t="shared" si="2"/>
        <v>1.173469388</v>
      </c>
      <c r="H195" s="104">
        <f>average(H188:H194)</f>
        <v>27.81787478</v>
      </c>
      <c r="I195" s="107">
        <f>H195/G195</f>
        <v>23.7056672</v>
      </c>
      <c r="J195" s="108">
        <f>SUM(J188:J194)</f>
        <v>1265</v>
      </c>
      <c r="K195" s="109">
        <f t="shared" si="5"/>
        <v>0.09090909091</v>
      </c>
      <c r="L195" s="104">
        <f t="shared" ref="L195:N195" si="132">SUM(L188:L194)</f>
        <v>515.26</v>
      </c>
      <c r="M195" s="104">
        <f t="shared" si="132"/>
        <v>1311.47</v>
      </c>
      <c r="N195" s="110">
        <f t="shared" si="132"/>
        <v>50</v>
      </c>
      <c r="O195" s="111">
        <f>sum(O188:O194)</f>
        <v>116385</v>
      </c>
      <c r="P195" s="109">
        <f t="shared" si="133"/>
        <v>0.3928873707</v>
      </c>
      <c r="Q195" s="112">
        <f t="shared" si="7"/>
        <v>2.545258704</v>
      </c>
      <c r="R195" s="113">
        <f t="shared" si="8"/>
        <v>0.4846776995</v>
      </c>
      <c r="S195" s="103" t="str">
        <f>iferror((D195-#REF!)/D195,)</f>
        <v/>
      </c>
      <c r="T195" s="114" t="str">
        <f>iferror((F195-#REF!)/F195,)</f>
        <v/>
      </c>
      <c r="U195" s="9"/>
      <c r="V195" s="9"/>
      <c r="W195" s="10"/>
      <c r="X195" s="10"/>
      <c r="Y195" s="10"/>
      <c r="Z195" s="10"/>
    </row>
    <row r="196" hidden="1" outlineLevel="1">
      <c r="A196" s="36" t="str">
        <f t="shared" ref="A196:A202" si="134">iferror(if(B196&gt;0,month(B196)&amp;"-"&amp;year(B196),B196),)</f>
        <v>6-2025</v>
      </c>
      <c r="B196" s="37">
        <v>45809.0</v>
      </c>
      <c r="C196" s="38"/>
      <c r="D196" s="39">
        <v>176.23</v>
      </c>
      <c r="E196" s="40">
        <v>8.0</v>
      </c>
      <c r="F196" s="40">
        <v>7.0</v>
      </c>
      <c r="G196" s="41">
        <f t="shared" si="2"/>
        <v>1.142857143</v>
      </c>
      <c r="H196" s="39">
        <f t="shared" ref="H196:H202" si="135">D196/F196</f>
        <v>25.17571429</v>
      </c>
      <c r="I196" s="39">
        <f t="shared" ref="I196:I202" si="136">D196/E196</f>
        <v>22.02875</v>
      </c>
      <c r="J196" s="42">
        <v>88.0</v>
      </c>
      <c r="K196" s="43">
        <f t="shared" si="5"/>
        <v>0.09090909091</v>
      </c>
      <c r="L196" s="39">
        <v>0.0</v>
      </c>
      <c r="M196" s="39">
        <v>0.0</v>
      </c>
      <c r="N196" s="40">
        <v>0.0</v>
      </c>
      <c r="O196" s="42">
        <v>0.0</v>
      </c>
      <c r="P196" s="43">
        <v>0.4734</v>
      </c>
      <c r="Q196" s="44" t="str">
        <f t="shared" si="7"/>
        <v>#DIV/0!</v>
      </c>
      <c r="R196" s="43">
        <f t="shared" si="8"/>
        <v>0</v>
      </c>
      <c r="S196" s="45"/>
      <c r="T196" s="46"/>
      <c r="U196" s="9"/>
      <c r="V196" s="9"/>
      <c r="W196" s="9"/>
      <c r="X196" s="9"/>
      <c r="Y196" s="9"/>
      <c r="Z196" s="9"/>
    </row>
    <row r="197" hidden="1" outlineLevel="1">
      <c r="A197" s="47" t="str">
        <f t="shared" si="134"/>
        <v>6-2025</v>
      </c>
      <c r="B197" s="37">
        <v>45810.0</v>
      </c>
      <c r="C197" s="48"/>
      <c r="D197" s="49">
        <v>557.83</v>
      </c>
      <c r="E197" s="50">
        <v>22.0</v>
      </c>
      <c r="F197" s="50">
        <v>12.0</v>
      </c>
      <c r="G197" s="51">
        <f t="shared" si="2"/>
        <v>1.833333333</v>
      </c>
      <c r="H197" s="49">
        <f t="shared" si="135"/>
        <v>46.48583333</v>
      </c>
      <c r="I197" s="49">
        <f t="shared" si="136"/>
        <v>25.35590909</v>
      </c>
      <c r="J197" s="52">
        <v>145.0</v>
      </c>
      <c r="K197" s="53">
        <f t="shared" si="5"/>
        <v>0.1517241379</v>
      </c>
      <c r="L197" s="49">
        <v>40.78</v>
      </c>
      <c r="M197" s="54">
        <v>42.5</v>
      </c>
      <c r="N197" s="50">
        <v>2.0</v>
      </c>
      <c r="O197" s="52">
        <v>6690.0</v>
      </c>
      <c r="P197" s="53">
        <v>0.2985</v>
      </c>
      <c r="Q197" s="55">
        <f t="shared" si="7"/>
        <v>1.042177538</v>
      </c>
      <c r="R197" s="53">
        <f t="shared" si="8"/>
        <v>0.07618808598</v>
      </c>
      <c r="S197" s="19"/>
      <c r="T197" s="28"/>
      <c r="U197" s="9"/>
      <c r="V197" s="9"/>
      <c r="W197" s="9"/>
      <c r="X197" s="9"/>
      <c r="Y197" s="9"/>
      <c r="Z197" s="9"/>
    </row>
    <row r="198" hidden="1" outlineLevel="1">
      <c r="A198" s="47" t="str">
        <f t="shared" si="134"/>
        <v>6-2025</v>
      </c>
      <c r="B198" s="37">
        <v>45811.0</v>
      </c>
      <c r="C198" s="48"/>
      <c r="D198" s="49">
        <v>357.2</v>
      </c>
      <c r="E198" s="50">
        <v>16.0</v>
      </c>
      <c r="F198" s="50">
        <v>15.0</v>
      </c>
      <c r="G198" s="51">
        <f t="shared" si="2"/>
        <v>1.066666667</v>
      </c>
      <c r="H198" s="49">
        <f t="shared" si="135"/>
        <v>23.81333333</v>
      </c>
      <c r="I198" s="49">
        <f t="shared" si="136"/>
        <v>22.325</v>
      </c>
      <c r="J198" s="52">
        <v>260.0</v>
      </c>
      <c r="K198" s="53">
        <f t="shared" si="5"/>
        <v>0.06153846154</v>
      </c>
      <c r="L198" s="39">
        <v>122.43</v>
      </c>
      <c r="M198" s="39">
        <v>355.71</v>
      </c>
      <c r="N198" s="40">
        <v>15.0</v>
      </c>
      <c r="O198" s="52">
        <v>34193.0</v>
      </c>
      <c r="P198" s="53">
        <v>0.3486</v>
      </c>
      <c r="Q198" s="55">
        <f t="shared" si="7"/>
        <v>2.905415339</v>
      </c>
      <c r="R198" s="53">
        <f t="shared" si="8"/>
        <v>0.9958286674</v>
      </c>
      <c r="S198" s="19"/>
      <c r="T198" s="28"/>
      <c r="U198" s="9"/>
      <c r="V198" s="9"/>
      <c r="W198" s="9"/>
      <c r="X198" s="9"/>
      <c r="Y198" s="9"/>
      <c r="Z198" s="9"/>
    </row>
    <row r="199" hidden="1" outlineLevel="1">
      <c r="A199" s="47" t="str">
        <f t="shared" si="134"/>
        <v>6-2025</v>
      </c>
      <c r="B199" s="37">
        <v>45812.0</v>
      </c>
      <c r="C199" s="48"/>
      <c r="D199" s="49">
        <v>415.42</v>
      </c>
      <c r="E199" s="50">
        <v>18.0</v>
      </c>
      <c r="F199" s="50">
        <v>15.0</v>
      </c>
      <c r="G199" s="51">
        <f t="shared" si="2"/>
        <v>1.2</v>
      </c>
      <c r="H199" s="49">
        <f t="shared" si="135"/>
        <v>27.69466667</v>
      </c>
      <c r="I199" s="49">
        <f t="shared" si="136"/>
        <v>23.07888889</v>
      </c>
      <c r="J199" s="52">
        <v>297.0</v>
      </c>
      <c r="K199" s="53">
        <f t="shared" si="5"/>
        <v>0.06060606061</v>
      </c>
      <c r="L199" s="49">
        <v>135.92</v>
      </c>
      <c r="M199" s="49">
        <v>370.92</v>
      </c>
      <c r="N199" s="50">
        <v>14.0</v>
      </c>
      <c r="O199" s="52">
        <v>29094.0</v>
      </c>
      <c r="P199" s="53">
        <v>0.3572</v>
      </c>
      <c r="Q199" s="55">
        <f t="shared" si="7"/>
        <v>2.728958211</v>
      </c>
      <c r="R199" s="53">
        <f t="shared" si="8"/>
        <v>0.8928794955</v>
      </c>
      <c r="S199" s="19"/>
      <c r="T199" s="28"/>
      <c r="U199" s="9"/>
      <c r="V199" s="9"/>
      <c r="W199" s="9"/>
      <c r="X199" s="9"/>
      <c r="Y199" s="9"/>
      <c r="Z199" s="9"/>
    </row>
    <row r="200" hidden="1" outlineLevel="1">
      <c r="A200" s="47" t="str">
        <f t="shared" si="134"/>
        <v>6-2025</v>
      </c>
      <c r="B200" s="37">
        <v>45813.0</v>
      </c>
      <c r="C200" s="48"/>
      <c r="D200" s="49">
        <v>679.82</v>
      </c>
      <c r="E200" s="50">
        <v>29.0</v>
      </c>
      <c r="F200" s="50">
        <v>24.0</v>
      </c>
      <c r="G200" s="51">
        <f t="shared" si="2"/>
        <v>1.208333333</v>
      </c>
      <c r="H200" s="49">
        <f t="shared" si="135"/>
        <v>28.32583333</v>
      </c>
      <c r="I200" s="49">
        <f t="shared" si="136"/>
        <v>23.44206897</v>
      </c>
      <c r="J200" s="52">
        <v>241.0</v>
      </c>
      <c r="K200" s="53">
        <f t="shared" si="5"/>
        <v>0.1203319502</v>
      </c>
      <c r="L200" s="49">
        <v>133.23</v>
      </c>
      <c r="M200" s="49">
        <v>693.3</v>
      </c>
      <c r="N200" s="50">
        <v>23.0</v>
      </c>
      <c r="O200" s="52">
        <v>28049.0</v>
      </c>
      <c r="P200" s="53">
        <v>0.3225</v>
      </c>
      <c r="Q200" s="55">
        <f t="shared" si="7"/>
        <v>5.203782932</v>
      </c>
      <c r="R200" s="53">
        <f t="shared" si="8"/>
        <v>1.019828778</v>
      </c>
      <c r="S200" s="19"/>
      <c r="T200" s="28"/>
      <c r="U200" s="9"/>
      <c r="V200" s="9"/>
      <c r="W200" s="9"/>
      <c r="X200" s="9"/>
      <c r="Y200" s="9"/>
      <c r="Z200" s="9"/>
    </row>
    <row r="201" hidden="1" outlineLevel="1">
      <c r="A201" s="47" t="str">
        <f t="shared" si="134"/>
        <v>6-2025</v>
      </c>
      <c r="B201" s="37">
        <v>45814.0</v>
      </c>
      <c r="C201" s="48"/>
      <c r="D201" s="49">
        <v>707.01</v>
      </c>
      <c r="E201" s="50">
        <v>28.0</v>
      </c>
      <c r="F201" s="50">
        <v>20.0</v>
      </c>
      <c r="G201" s="51">
        <f t="shared" si="2"/>
        <v>1.4</v>
      </c>
      <c r="H201" s="49">
        <f t="shared" si="135"/>
        <v>35.3505</v>
      </c>
      <c r="I201" s="49">
        <f t="shared" si="136"/>
        <v>25.25035714</v>
      </c>
      <c r="J201" s="52">
        <v>252.0</v>
      </c>
      <c r="K201" s="53">
        <f t="shared" si="5"/>
        <v>0.1111111111</v>
      </c>
      <c r="L201" s="49">
        <v>128.6</v>
      </c>
      <c r="M201" s="49">
        <v>537.31</v>
      </c>
      <c r="N201" s="50">
        <v>13.0</v>
      </c>
      <c r="O201" s="52">
        <v>24060.0</v>
      </c>
      <c r="P201" s="53">
        <v>0.5913</v>
      </c>
      <c r="Q201" s="55">
        <f t="shared" si="7"/>
        <v>4.1781493</v>
      </c>
      <c r="R201" s="53">
        <f t="shared" si="8"/>
        <v>0.7599751064</v>
      </c>
      <c r="S201" s="19"/>
      <c r="T201" s="28"/>
      <c r="U201" s="9"/>
      <c r="V201" s="9"/>
      <c r="W201" s="9"/>
      <c r="X201" s="9"/>
      <c r="Y201" s="9"/>
      <c r="Z201" s="9"/>
    </row>
    <row r="202" hidden="1" outlineLevel="1">
      <c r="A202" s="47" t="str">
        <f t="shared" si="134"/>
        <v>6-2025</v>
      </c>
      <c r="B202" s="37">
        <v>45815.0</v>
      </c>
      <c r="C202" s="48"/>
      <c r="D202" s="49">
        <v>611.33</v>
      </c>
      <c r="E202" s="50">
        <v>25.0</v>
      </c>
      <c r="F202" s="50">
        <v>23.0</v>
      </c>
      <c r="G202" s="51">
        <f t="shared" si="2"/>
        <v>1.086956522</v>
      </c>
      <c r="H202" s="49">
        <f t="shared" si="135"/>
        <v>26.57956522</v>
      </c>
      <c r="I202" s="49">
        <f t="shared" si="136"/>
        <v>24.4532</v>
      </c>
      <c r="J202" s="52">
        <v>349.0</v>
      </c>
      <c r="K202" s="53">
        <f t="shared" si="5"/>
        <v>0.07163323782</v>
      </c>
      <c r="L202" s="49">
        <v>184.71</v>
      </c>
      <c r="M202" s="49">
        <v>518.6</v>
      </c>
      <c r="N202" s="50">
        <v>20.0</v>
      </c>
      <c r="O202" s="52">
        <v>31188.0</v>
      </c>
      <c r="P202" s="53">
        <f t="shared" ref="P202:P203" si="139">L202/M202</f>
        <v>0.3561704589</v>
      </c>
      <c r="Q202" s="55">
        <f t="shared" si="7"/>
        <v>2.807644416</v>
      </c>
      <c r="R202" s="53">
        <f t="shared" si="8"/>
        <v>0.848314331</v>
      </c>
      <c r="S202" s="19"/>
      <c r="T202" s="28"/>
      <c r="U202" s="9"/>
      <c r="V202" s="9"/>
      <c r="W202" s="9"/>
      <c r="X202" s="9"/>
      <c r="Y202" s="9"/>
      <c r="Z202" s="9"/>
    </row>
    <row r="203" collapsed="1">
      <c r="A203" s="101" t="s">
        <v>90</v>
      </c>
      <c r="B203" s="102"/>
      <c r="C203" s="103"/>
      <c r="D203" s="104">
        <f t="shared" ref="D203:F203" si="137">SUM(D196:D202)</f>
        <v>3504.84</v>
      </c>
      <c r="E203" s="105">
        <f t="shared" si="137"/>
        <v>146</v>
      </c>
      <c r="F203" s="105">
        <f t="shared" si="137"/>
        <v>116</v>
      </c>
      <c r="G203" s="260">
        <f t="shared" si="2"/>
        <v>1.25862069</v>
      </c>
      <c r="H203" s="104">
        <f>average(H196:H202)</f>
        <v>30.48934945</v>
      </c>
      <c r="I203" s="261">
        <f>H203/G203</f>
        <v>24.22441463</v>
      </c>
      <c r="J203" s="108">
        <f>SUM(J196:J202)</f>
        <v>1632</v>
      </c>
      <c r="K203" s="109">
        <f t="shared" si="5"/>
        <v>0.08946078431</v>
      </c>
      <c r="L203" s="104">
        <f t="shared" ref="L203:N203" si="138">SUM(L196:L202)</f>
        <v>745.67</v>
      </c>
      <c r="M203" s="104">
        <f t="shared" si="138"/>
        <v>2518.34</v>
      </c>
      <c r="N203" s="262">
        <f t="shared" si="138"/>
        <v>87</v>
      </c>
      <c r="O203" s="108">
        <f>sum(O196:O202)</f>
        <v>153274</v>
      </c>
      <c r="P203" s="109">
        <f t="shared" si="139"/>
        <v>0.2960958409</v>
      </c>
      <c r="Q203" s="263">
        <f t="shared" si="7"/>
        <v>3.377284858</v>
      </c>
      <c r="R203" s="113">
        <f t="shared" si="8"/>
        <v>0.7185320871</v>
      </c>
      <c r="S203" s="103" t="str">
        <f>iferror((D203-#REF!)/D203,)</f>
        <v/>
      </c>
      <c r="T203" s="114" t="str">
        <f>iferror((F203-#REF!)/F203,)</f>
        <v/>
      </c>
      <c r="U203" s="9"/>
      <c r="V203" s="9"/>
      <c r="W203" s="9"/>
      <c r="X203" s="9"/>
      <c r="Y203" s="9"/>
      <c r="Z203" s="9"/>
    </row>
    <row r="204" hidden="1" outlineLevel="1">
      <c r="A204" s="36" t="str">
        <f t="shared" ref="A204:A210" si="140">iferror(if(B204&gt;0,month(B204)&amp;"-"&amp;year(B204),B204),)</f>
        <v>6-2025</v>
      </c>
      <c r="B204" s="37">
        <v>45816.0</v>
      </c>
      <c r="C204" s="38"/>
      <c r="D204" s="39">
        <v>945.99</v>
      </c>
      <c r="E204" s="40">
        <v>38.0</v>
      </c>
      <c r="F204" s="40">
        <v>24.0</v>
      </c>
      <c r="G204" s="41">
        <f t="shared" si="2"/>
        <v>1.583333333</v>
      </c>
      <c r="H204" s="39">
        <f t="shared" ref="H204:H210" si="141">D204/F204</f>
        <v>39.41625</v>
      </c>
      <c r="I204" s="39">
        <f t="shared" ref="I204:I210" si="142">D204/E204</f>
        <v>24.89447368</v>
      </c>
      <c r="J204" s="42">
        <v>479.0</v>
      </c>
      <c r="K204" s="43">
        <f t="shared" si="5"/>
        <v>0.07933194154</v>
      </c>
      <c r="L204" s="39">
        <v>238.61</v>
      </c>
      <c r="M204" s="39">
        <v>488.38</v>
      </c>
      <c r="N204" s="40">
        <v>18.0</v>
      </c>
      <c r="O204" s="42">
        <v>49491.0</v>
      </c>
      <c r="P204" s="43">
        <v>0.4734</v>
      </c>
      <c r="Q204" s="44">
        <f t="shared" si="7"/>
        <v>2.046770881</v>
      </c>
      <c r="R204" s="43">
        <f t="shared" si="8"/>
        <v>0.5162633854</v>
      </c>
      <c r="S204" s="45"/>
      <c r="T204" s="46"/>
      <c r="U204" s="9"/>
      <c r="V204" s="9"/>
      <c r="W204" s="9"/>
      <c r="X204" s="9"/>
      <c r="Y204" s="9"/>
      <c r="Z204" s="9"/>
    </row>
    <row r="205" hidden="1" outlineLevel="1">
      <c r="A205" s="47" t="str">
        <f t="shared" si="140"/>
        <v>6-2025</v>
      </c>
      <c r="B205" s="37">
        <v>45817.0</v>
      </c>
      <c r="C205" s="48"/>
      <c r="D205" s="49">
        <v>661.82</v>
      </c>
      <c r="E205" s="50">
        <v>28.0</v>
      </c>
      <c r="F205" s="50">
        <v>24.0</v>
      </c>
      <c r="G205" s="51">
        <f t="shared" si="2"/>
        <v>1.166666667</v>
      </c>
      <c r="H205" s="49">
        <f t="shared" si="141"/>
        <v>27.57583333</v>
      </c>
      <c r="I205" s="49">
        <f t="shared" si="142"/>
        <v>23.63642857</v>
      </c>
      <c r="J205" s="52">
        <v>287.0</v>
      </c>
      <c r="K205" s="53">
        <f t="shared" si="5"/>
        <v>0.09756097561</v>
      </c>
      <c r="L205" s="49">
        <v>142.93</v>
      </c>
      <c r="M205" s="54">
        <v>362.41</v>
      </c>
      <c r="N205" s="50">
        <v>15.0</v>
      </c>
      <c r="O205" s="52">
        <v>37458.0</v>
      </c>
      <c r="P205" s="53">
        <v>0.2985</v>
      </c>
      <c r="Q205" s="55">
        <f t="shared" si="7"/>
        <v>2.535576856</v>
      </c>
      <c r="R205" s="53">
        <f t="shared" si="8"/>
        <v>0.5475960231</v>
      </c>
      <c r="S205" s="19"/>
      <c r="T205" s="28"/>
      <c r="U205" s="9"/>
      <c r="V205" s="9"/>
      <c r="W205" s="9"/>
      <c r="X205" s="9"/>
      <c r="Y205" s="9"/>
      <c r="Z205" s="9"/>
    </row>
    <row r="206" hidden="1" outlineLevel="1">
      <c r="A206" s="47" t="str">
        <f t="shared" si="140"/>
        <v>6-2025</v>
      </c>
      <c r="B206" s="37">
        <v>45818.0</v>
      </c>
      <c r="C206" s="48"/>
      <c r="D206" s="49">
        <v>660.61</v>
      </c>
      <c r="E206" s="50">
        <v>30.0</v>
      </c>
      <c r="F206" s="50">
        <v>29.0</v>
      </c>
      <c r="G206" s="51">
        <f t="shared" si="2"/>
        <v>1.034482759</v>
      </c>
      <c r="H206" s="49">
        <f t="shared" si="141"/>
        <v>22.77965517</v>
      </c>
      <c r="I206" s="49">
        <f t="shared" si="142"/>
        <v>22.02033333</v>
      </c>
      <c r="J206" s="52">
        <v>272.0</v>
      </c>
      <c r="K206" s="53">
        <f t="shared" si="5"/>
        <v>0.1102941176</v>
      </c>
      <c r="L206" s="39">
        <v>131.06</v>
      </c>
      <c r="M206" s="39">
        <v>567.34</v>
      </c>
      <c r="N206" s="40">
        <v>23.0</v>
      </c>
      <c r="O206" s="52">
        <v>30825.0</v>
      </c>
      <c r="P206" s="53">
        <v>0.3486</v>
      </c>
      <c r="Q206" s="55">
        <f t="shared" si="7"/>
        <v>4.328857012</v>
      </c>
      <c r="R206" s="53">
        <f t="shared" si="8"/>
        <v>0.8588123098</v>
      </c>
      <c r="S206" s="19"/>
      <c r="T206" s="28"/>
      <c r="U206" s="9"/>
      <c r="V206" s="9"/>
      <c r="W206" s="9"/>
      <c r="X206" s="9"/>
      <c r="Y206" s="9"/>
      <c r="Z206" s="9"/>
    </row>
    <row r="207" hidden="1" outlineLevel="1">
      <c r="A207" s="47" t="str">
        <f t="shared" si="140"/>
        <v>6-2025</v>
      </c>
      <c r="B207" s="37">
        <v>45819.0</v>
      </c>
      <c r="C207" s="48"/>
      <c r="D207" s="49">
        <v>237.45</v>
      </c>
      <c r="E207" s="50">
        <v>10.0</v>
      </c>
      <c r="F207" s="50">
        <v>10.0</v>
      </c>
      <c r="G207" s="51">
        <f t="shared" si="2"/>
        <v>1</v>
      </c>
      <c r="H207" s="49">
        <f t="shared" si="141"/>
        <v>23.745</v>
      </c>
      <c r="I207" s="49">
        <f t="shared" si="142"/>
        <v>23.745</v>
      </c>
      <c r="J207" s="52">
        <v>294.0</v>
      </c>
      <c r="K207" s="53">
        <f t="shared" si="5"/>
        <v>0.03401360544</v>
      </c>
      <c r="L207" s="49">
        <v>117.84</v>
      </c>
      <c r="M207" s="49">
        <v>164.22</v>
      </c>
      <c r="N207" s="50">
        <v>7.0</v>
      </c>
      <c r="O207" s="52">
        <v>29530.0</v>
      </c>
      <c r="P207" s="53">
        <v>0.3572</v>
      </c>
      <c r="Q207" s="55">
        <f t="shared" si="7"/>
        <v>1.393584521</v>
      </c>
      <c r="R207" s="53">
        <f t="shared" si="8"/>
        <v>0.6915982312</v>
      </c>
      <c r="S207" s="19"/>
      <c r="T207" s="28"/>
      <c r="U207" s="9"/>
      <c r="V207" s="9"/>
      <c r="W207" s="9"/>
      <c r="X207" s="9"/>
      <c r="Y207" s="9"/>
      <c r="Z207" s="9"/>
    </row>
    <row r="208" hidden="1" outlineLevel="1">
      <c r="A208" s="47" t="str">
        <f t="shared" si="140"/>
        <v>6-2025</v>
      </c>
      <c r="B208" s="37">
        <v>45820.0</v>
      </c>
      <c r="C208" s="48"/>
      <c r="D208" s="49">
        <v>439.64</v>
      </c>
      <c r="E208" s="50">
        <v>19.0</v>
      </c>
      <c r="F208" s="50">
        <v>18.0</v>
      </c>
      <c r="G208" s="51">
        <f t="shared" si="2"/>
        <v>1.055555556</v>
      </c>
      <c r="H208" s="49">
        <f t="shared" si="141"/>
        <v>24.42444444</v>
      </c>
      <c r="I208" s="49">
        <f t="shared" si="142"/>
        <v>23.13894737</v>
      </c>
      <c r="J208" s="52">
        <v>299.0</v>
      </c>
      <c r="K208" s="53">
        <f t="shared" si="5"/>
        <v>0.0635451505</v>
      </c>
      <c r="L208" s="49">
        <v>127.89</v>
      </c>
      <c r="M208" s="49">
        <v>258.45</v>
      </c>
      <c r="N208" s="50">
        <v>10.0</v>
      </c>
      <c r="O208" s="52">
        <v>27970.0</v>
      </c>
      <c r="P208" s="53">
        <v>0.3225</v>
      </c>
      <c r="Q208" s="55">
        <f t="shared" si="7"/>
        <v>2.020877316</v>
      </c>
      <c r="R208" s="53">
        <f t="shared" si="8"/>
        <v>0.587867346</v>
      </c>
      <c r="S208" s="19"/>
      <c r="T208" s="28"/>
      <c r="U208" s="9"/>
      <c r="V208" s="9"/>
      <c r="W208" s="9"/>
      <c r="X208" s="9"/>
      <c r="Y208" s="9"/>
      <c r="Z208" s="9"/>
    </row>
    <row r="209" hidden="1" outlineLevel="1">
      <c r="A209" s="47" t="str">
        <f t="shared" si="140"/>
        <v>6-2025</v>
      </c>
      <c r="B209" s="37">
        <v>45821.0</v>
      </c>
      <c r="C209" s="48"/>
      <c r="D209" s="49">
        <v>415.17</v>
      </c>
      <c r="E209" s="50">
        <v>18.0</v>
      </c>
      <c r="F209" s="50">
        <v>18.0</v>
      </c>
      <c r="G209" s="51">
        <f t="shared" si="2"/>
        <v>1</v>
      </c>
      <c r="H209" s="49">
        <f t="shared" si="141"/>
        <v>23.065</v>
      </c>
      <c r="I209" s="49">
        <f t="shared" si="142"/>
        <v>23.065</v>
      </c>
      <c r="J209" s="52">
        <v>291.0</v>
      </c>
      <c r="K209" s="53">
        <f t="shared" si="5"/>
        <v>0.0618556701</v>
      </c>
      <c r="L209" s="49">
        <v>119.9</v>
      </c>
      <c r="M209" s="49">
        <v>276.19</v>
      </c>
      <c r="N209" s="50">
        <v>12.0</v>
      </c>
      <c r="O209" s="52">
        <v>26308.0</v>
      </c>
      <c r="P209" s="53">
        <v>0.5913</v>
      </c>
      <c r="Q209" s="55">
        <f t="shared" si="7"/>
        <v>2.303502919</v>
      </c>
      <c r="R209" s="53">
        <f t="shared" si="8"/>
        <v>0.6652455621</v>
      </c>
      <c r="S209" s="19"/>
      <c r="T209" s="28"/>
      <c r="U209" s="9"/>
      <c r="V209" s="9"/>
      <c r="W209" s="9"/>
      <c r="X209" s="9"/>
      <c r="Y209" s="9"/>
      <c r="Z209" s="9"/>
    </row>
    <row r="210" hidden="1" outlineLevel="1">
      <c r="A210" s="47" t="str">
        <f t="shared" si="140"/>
        <v>6-2025</v>
      </c>
      <c r="B210" s="37">
        <v>45822.0</v>
      </c>
      <c r="C210" s="48"/>
      <c r="D210" s="49">
        <v>490.36</v>
      </c>
      <c r="E210" s="50">
        <v>20.0</v>
      </c>
      <c r="F210" s="50">
        <v>16.0</v>
      </c>
      <c r="G210" s="51">
        <f t="shared" si="2"/>
        <v>1.25</v>
      </c>
      <c r="H210" s="49">
        <f t="shared" si="141"/>
        <v>30.6475</v>
      </c>
      <c r="I210" s="49">
        <f t="shared" si="142"/>
        <v>24.518</v>
      </c>
      <c r="J210" s="52">
        <v>406.0</v>
      </c>
      <c r="K210" s="53">
        <f t="shared" si="5"/>
        <v>0.04926108374</v>
      </c>
      <c r="L210" s="49">
        <v>184.36</v>
      </c>
      <c r="M210" s="49">
        <v>519.35</v>
      </c>
      <c r="N210" s="50">
        <v>16.0</v>
      </c>
      <c r="O210" s="52">
        <v>32007.0</v>
      </c>
      <c r="P210" s="53">
        <f t="shared" ref="P210:P211" si="145">L210/M210</f>
        <v>0.3549821893</v>
      </c>
      <c r="Q210" s="55">
        <f t="shared" si="7"/>
        <v>2.817042742</v>
      </c>
      <c r="R210" s="53">
        <f t="shared" si="8"/>
        <v>1.05911983</v>
      </c>
      <c r="S210" s="19"/>
      <c r="T210" s="28"/>
      <c r="U210" s="9"/>
      <c r="V210" s="9"/>
      <c r="W210" s="9"/>
      <c r="X210" s="9"/>
      <c r="Y210" s="9"/>
      <c r="Z210" s="9"/>
    </row>
    <row r="211" collapsed="1">
      <c r="A211" s="101" t="s">
        <v>91</v>
      </c>
      <c r="B211" s="102"/>
      <c r="C211" s="103"/>
      <c r="D211" s="104">
        <f t="shared" ref="D211:F211" si="143">SUM(D204:D210)</f>
        <v>3851.04</v>
      </c>
      <c r="E211" s="105">
        <f t="shared" si="143"/>
        <v>163</v>
      </c>
      <c r="F211" s="105">
        <f t="shared" si="143"/>
        <v>139</v>
      </c>
      <c r="G211" s="260">
        <f t="shared" si="2"/>
        <v>1.172661871</v>
      </c>
      <c r="H211" s="104">
        <f>average(H204:H210)</f>
        <v>27.37909756</v>
      </c>
      <c r="I211" s="261">
        <f>H211/G211</f>
        <v>23.3478194</v>
      </c>
      <c r="J211" s="108">
        <f>SUM(J204:J210)</f>
        <v>2328</v>
      </c>
      <c r="K211" s="109">
        <f t="shared" si="5"/>
        <v>0.07001718213</v>
      </c>
      <c r="L211" s="104">
        <f t="shared" ref="L211:N211" si="144">SUM(L204:L210)</f>
        <v>1062.59</v>
      </c>
      <c r="M211" s="104">
        <f t="shared" si="144"/>
        <v>2636.34</v>
      </c>
      <c r="N211" s="262">
        <f t="shared" si="144"/>
        <v>101</v>
      </c>
      <c r="O211" s="108">
        <f>sum(O204:O210)</f>
        <v>233589</v>
      </c>
      <c r="P211" s="109">
        <f t="shared" si="145"/>
        <v>0.4030549929</v>
      </c>
      <c r="Q211" s="263">
        <f t="shared" si="7"/>
        <v>2.481051017</v>
      </c>
      <c r="R211" s="113">
        <f t="shared" si="8"/>
        <v>0.6845787112</v>
      </c>
      <c r="S211" s="103" t="str">
        <f>iferror((D211-#REF!)/D211,)</f>
        <v/>
      </c>
      <c r="T211" s="114" t="str">
        <f>iferror((F211-#REF!)/F211,)</f>
        <v/>
      </c>
      <c r="U211" s="9"/>
      <c r="V211" s="9"/>
      <c r="W211" s="9"/>
      <c r="X211" s="9"/>
      <c r="Y211" s="9"/>
      <c r="Z211" s="9"/>
    </row>
    <row r="212" hidden="1" outlineLevel="1">
      <c r="A212" s="36" t="str">
        <f t="shared" ref="A212:A218" si="146">iferror(if(B212&gt;0,month(B212)&amp;"-"&amp;year(B212),B212),)</f>
        <v>6-2025</v>
      </c>
      <c r="B212" s="37">
        <v>45823.0</v>
      </c>
      <c r="C212" s="38"/>
      <c r="D212" s="39">
        <v>414.64</v>
      </c>
      <c r="E212" s="40">
        <v>19.0</v>
      </c>
      <c r="F212" s="40">
        <v>18.0</v>
      </c>
      <c r="G212" s="41">
        <f t="shared" si="2"/>
        <v>1.055555556</v>
      </c>
      <c r="H212" s="39">
        <f t="shared" ref="H212:H218" si="147">D212/F212</f>
        <v>23.03555556</v>
      </c>
      <c r="I212" s="39">
        <f t="shared" ref="I212:I218" si="148">D212/E212</f>
        <v>21.82315789</v>
      </c>
      <c r="J212" s="42">
        <v>376.0</v>
      </c>
      <c r="K212" s="43">
        <f t="shared" si="5"/>
        <v>0.05053191489</v>
      </c>
      <c r="L212" s="39">
        <v>170.88</v>
      </c>
      <c r="M212" s="39">
        <v>391.39</v>
      </c>
      <c r="N212" s="40">
        <v>16.0</v>
      </c>
      <c r="O212" s="42">
        <v>32909.0</v>
      </c>
      <c r="P212" s="43">
        <v>0.4734</v>
      </c>
      <c r="Q212" s="44">
        <f t="shared" si="7"/>
        <v>2.290437734</v>
      </c>
      <c r="R212" s="43">
        <f t="shared" si="8"/>
        <v>0.9439272622</v>
      </c>
      <c r="S212" s="45"/>
      <c r="T212" s="46"/>
      <c r="U212" s="9"/>
      <c r="V212" s="9"/>
      <c r="W212" s="9"/>
      <c r="X212" s="9"/>
      <c r="Y212" s="9"/>
      <c r="Z212" s="9"/>
    </row>
    <row r="213" hidden="1" outlineLevel="1">
      <c r="A213" s="47" t="str">
        <f t="shared" si="146"/>
        <v>6-2025</v>
      </c>
      <c r="B213" s="37">
        <v>45824.0</v>
      </c>
      <c r="C213" s="48"/>
      <c r="D213" s="49">
        <v>306.68</v>
      </c>
      <c r="E213" s="50">
        <v>13.0</v>
      </c>
      <c r="F213" s="50">
        <v>12.0</v>
      </c>
      <c r="G213" s="51">
        <f t="shared" si="2"/>
        <v>1.083333333</v>
      </c>
      <c r="H213" s="49">
        <f t="shared" si="147"/>
        <v>25.55666667</v>
      </c>
      <c r="I213" s="49">
        <f t="shared" si="148"/>
        <v>23.59076923</v>
      </c>
      <c r="J213" s="52">
        <v>289.0</v>
      </c>
      <c r="K213" s="53">
        <f t="shared" si="5"/>
        <v>0.04498269896</v>
      </c>
      <c r="L213" s="49">
        <v>87.45</v>
      </c>
      <c r="M213" s="54">
        <v>88.74</v>
      </c>
      <c r="N213" s="50">
        <v>3.0</v>
      </c>
      <c r="O213" s="52">
        <v>17644.0</v>
      </c>
      <c r="P213" s="53">
        <v>0.2985</v>
      </c>
      <c r="Q213" s="55">
        <f t="shared" si="7"/>
        <v>1.014751286</v>
      </c>
      <c r="R213" s="53">
        <f t="shared" si="8"/>
        <v>0.2893569845</v>
      </c>
      <c r="S213" s="19"/>
      <c r="T213" s="28"/>
      <c r="U213" s="9"/>
      <c r="V213" s="9"/>
      <c r="W213" s="9"/>
      <c r="X213" s="9"/>
      <c r="Y213" s="9"/>
      <c r="Z213" s="9"/>
    </row>
    <row r="214" hidden="1" outlineLevel="1">
      <c r="A214" s="47" t="str">
        <f t="shared" si="146"/>
        <v>6-2025</v>
      </c>
      <c r="B214" s="37">
        <v>45825.0</v>
      </c>
      <c r="C214" s="48"/>
      <c r="D214" s="49">
        <v>415.95</v>
      </c>
      <c r="E214" s="50">
        <v>19.0</v>
      </c>
      <c r="F214" s="50">
        <v>16.0</v>
      </c>
      <c r="G214" s="51">
        <f t="shared" si="2"/>
        <v>1.1875</v>
      </c>
      <c r="H214" s="49">
        <f t="shared" si="147"/>
        <v>25.996875</v>
      </c>
      <c r="I214" s="49">
        <f t="shared" si="148"/>
        <v>21.89210526</v>
      </c>
      <c r="J214" s="52">
        <v>307.0</v>
      </c>
      <c r="K214" s="53">
        <f t="shared" si="5"/>
        <v>0.06188925081</v>
      </c>
      <c r="L214" s="39">
        <v>106.7</v>
      </c>
      <c r="M214" s="39">
        <v>359.45</v>
      </c>
      <c r="N214" s="40">
        <v>14.0</v>
      </c>
      <c r="O214" s="52">
        <v>18946.0</v>
      </c>
      <c r="P214" s="53">
        <v>0.3486</v>
      </c>
      <c r="Q214" s="55">
        <f t="shared" si="7"/>
        <v>3.368791003</v>
      </c>
      <c r="R214" s="53">
        <f t="shared" si="8"/>
        <v>0.8641663661</v>
      </c>
      <c r="S214" s="19"/>
      <c r="T214" s="28"/>
      <c r="U214" s="9"/>
      <c r="V214" s="9"/>
      <c r="W214" s="9"/>
      <c r="X214" s="9"/>
      <c r="Y214" s="9"/>
      <c r="Z214" s="9"/>
    </row>
    <row r="215" hidden="1" outlineLevel="1">
      <c r="A215" s="47" t="str">
        <f t="shared" si="146"/>
        <v>6-2025</v>
      </c>
      <c r="B215" s="37">
        <v>45826.0</v>
      </c>
      <c r="C215" s="48"/>
      <c r="D215" s="49">
        <v>347.43</v>
      </c>
      <c r="E215" s="50">
        <v>15.0</v>
      </c>
      <c r="F215" s="50">
        <v>14.0</v>
      </c>
      <c r="G215" s="51">
        <f t="shared" si="2"/>
        <v>1.071428571</v>
      </c>
      <c r="H215" s="49">
        <f t="shared" si="147"/>
        <v>24.81642857</v>
      </c>
      <c r="I215" s="49">
        <f t="shared" si="148"/>
        <v>23.162</v>
      </c>
      <c r="J215" s="52">
        <v>337.0</v>
      </c>
      <c r="K215" s="53">
        <f t="shared" si="5"/>
        <v>0.04451038576</v>
      </c>
      <c r="L215" s="49">
        <v>141.05</v>
      </c>
      <c r="M215" s="49">
        <v>185.21</v>
      </c>
      <c r="N215" s="50">
        <v>8.0</v>
      </c>
      <c r="O215" s="52">
        <v>27560.0</v>
      </c>
      <c r="P215" s="53">
        <v>0.3572</v>
      </c>
      <c r="Q215" s="55">
        <f t="shared" si="7"/>
        <v>1.313080468</v>
      </c>
      <c r="R215" s="53">
        <f t="shared" si="8"/>
        <v>0.5330858015</v>
      </c>
      <c r="S215" s="19"/>
      <c r="T215" s="28"/>
      <c r="U215" s="9"/>
      <c r="V215" s="9"/>
      <c r="W215" s="9"/>
      <c r="X215" s="9"/>
      <c r="Y215" s="9"/>
      <c r="Z215" s="9"/>
    </row>
    <row r="216" hidden="1" outlineLevel="1">
      <c r="A216" s="47" t="str">
        <f t="shared" si="146"/>
        <v>6-2025</v>
      </c>
      <c r="B216" s="37">
        <v>45827.0</v>
      </c>
      <c r="C216" s="48"/>
      <c r="D216" s="49">
        <v>527.65</v>
      </c>
      <c r="E216" s="50">
        <v>23.0</v>
      </c>
      <c r="F216" s="50">
        <v>21.0</v>
      </c>
      <c r="G216" s="51">
        <f t="shared" si="2"/>
        <v>1.095238095</v>
      </c>
      <c r="H216" s="49">
        <f t="shared" si="147"/>
        <v>25.12619048</v>
      </c>
      <c r="I216" s="49">
        <f t="shared" si="148"/>
        <v>22.94130435</v>
      </c>
      <c r="J216" s="52">
        <v>404.0</v>
      </c>
      <c r="K216" s="53">
        <f t="shared" si="5"/>
        <v>0.05693069307</v>
      </c>
      <c r="L216" s="49">
        <v>149.27</v>
      </c>
      <c r="M216" s="49">
        <v>282.22</v>
      </c>
      <c r="N216" s="50">
        <v>12.0</v>
      </c>
      <c r="O216" s="52">
        <v>37213.0</v>
      </c>
      <c r="P216" s="53">
        <v>0.3225</v>
      </c>
      <c r="Q216" s="55">
        <f t="shared" si="7"/>
        <v>1.890667917</v>
      </c>
      <c r="R216" s="53">
        <f t="shared" si="8"/>
        <v>0.5348621245</v>
      </c>
      <c r="S216" s="19"/>
      <c r="T216" s="28"/>
      <c r="U216" s="9"/>
      <c r="V216" s="9"/>
      <c r="W216" s="9"/>
      <c r="X216" s="9"/>
      <c r="Y216" s="9"/>
      <c r="Z216" s="9"/>
    </row>
    <row r="217" hidden="1" outlineLevel="1">
      <c r="A217" s="47" t="str">
        <f t="shared" si="146"/>
        <v>6-2025</v>
      </c>
      <c r="B217" s="37">
        <v>45828.0</v>
      </c>
      <c r="C217" s="48"/>
      <c r="D217" s="49">
        <v>534.86</v>
      </c>
      <c r="E217" s="50">
        <v>23.0</v>
      </c>
      <c r="F217" s="50">
        <v>22.0</v>
      </c>
      <c r="G217" s="51">
        <f t="shared" si="2"/>
        <v>1.045454545</v>
      </c>
      <c r="H217" s="49">
        <f t="shared" si="147"/>
        <v>24.31181818</v>
      </c>
      <c r="I217" s="49">
        <f t="shared" si="148"/>
        <v>23.25478261</v>
      </c>
      <c r="J217" s="52">
        <v>355.0</v>
      </c>
      <c r="K217" s="53">
        <f t="shared" si="5"/>
        <v>0.06478873239</v>
      </c>
      <c r="L217" s="49">
        <v>143.57</v>
      </c>
      <c r="M217" s="49">
        <v>384.41</v>
      </c>
      <c r="N217" s="50">
        <v>16.0</v>
      </c>
      <c r="O217" s="52">
        <v>30305.0</v>
      </c>
      <c r="P217" s="53">
        <v>0.5913</v>
      </c>
      <c r="Q217" s="55">
        <f t="shared" si="7"/>
        <v>2.677509229</v>
      </c>
      <c r="R217" s="53">
        <f t="shared" si="8"/>
        <v>0.7187114385</v>
      </c>
      <c r="S217" s="19"/>
      <c r="T217" s="28"/>
      <c r="U217" s="9"/>
      <c r="V217" s="9"/>
      <c r="W217" s="9"/>
      <c r="X217" s="9"/>
      <c r="Y217" s="9"/>
      <c r="Z217" s="9"/>
    </row>
    <row r="218" hidden="1" outlineLevel="1">
      <c r="A218" s="47" t="str">
        <f t="shared" si="146"/>
        <v>6-2025</v>
      </c>
      <c r="B218" s="37">
        <v>45829.0</v>
      </c>
      <c r="C218" s="48"/>
      <c r="D218" s="49">
        <v>757.08</v>
      </c>
      <c r="E218" s="50">
        <v>32.0</v>
      </c>
      <c r="F218" s="50">
        <v>30.0</v>
      </c>
      <c r="G218" s="51">
        <f t="shared" si="2"/>
        <v>1.066666667</v>
      </c>
      <c r="H218" s="49">
        <f t="shared" si="147"/>
        <v>25.236</v>
      </c>
      <c r="I218" s="49">
        <f t="shared" si="148"/>
        <v>23.65875</v>
      </c>
      <c r="J218" s="52">
        <v>440.0</v>
      </c>
      <c r="K218" s="53">
        <f t="shared" si="5"/>
        <v>0.07272727273</v>
      </c>
      <c r="L218" s="49">
        <v>172.96</v>
      </c>
      <c r="M218" s="49">
        <v>499.88</v>
      </c>
      <c r="N218" s="50">
        <v>20.0</v>
      </c>
      <c r="O218" s="52">
        <v>40784.0</v>
      </c>
      <c r="P218" s="53">
        <f t="shared" ref="P218:P219" si="151">L218/M218</f>
        <v>0.3460030407</v>
      </c>
      <c r="Q218" s="55">
        <f t="shared" si="7"/>
        <v>2.890148011</v>
      </c>
      <c r="R218" s="53">
        <f t="shared" si="8"/>
        <v>0.6602736831</v>
      </c>
      <c r="S218" s="19"/>
      <c r="T218" s="28"/>
      <c r="U218" s="9"/>
      <c r="V218" s="9"/>
      <c r="W218" s="9"/>
      <c r="X218" s="9"/>
      <c r="Y218" s="9"/>
      <c r="Z218" s="9"/>
    </row>
    <row r="219" collapsed="1">
      <c r="A219" s="101" t="s">
        <v>92</v>
      </c>
      <c r="B219" s="102"/>
      <c r="C219" s="103"/>
      <c r="D219" s="104">
        <f t="shared" ref="D219:F219" si="149">SUM(D212:D218)</f>
        <v>3304.29</v>
      </c>
      <c r="E219" s="105">
        <f t="shared" si="149"/>
        <v>144</v>
      </c>
      <c r="F219" s="105">
        <f t="shared" si="149"/>
        <v>133</v>
      </c>
      <c r="G219" s="260">
        <f t="shared" si="2"/>
        <v>1.082706767</v>
      </c>
      <c r="H219" s="104">
        <f>average(H212:H218)</f>
        <v>24.86850492</v>
      </c>
      <c r="I219" s="261">
        <f>H219/G219</f>
        <v>22.96882746</v>
      </c>
      <c r="J219" s="108">
        <f>SUM(J212:J218)</f>
        <v>2508</v>
      </c>
      <c r="K219" s="109">
        <f t="shared" si="5"/>
        <v>0.05741626794</v>
      </c>
      <c r="L219" s="104">
        <f t="shared" ref="L219:N219" si="150">SUM(L212:L218)</f>
        <v>971.88</v>
      </c>
      <c r="M219" s="104">
        <f t="shared" si="150"/>
        <v>2191.3</v>
      </c>
      <c r="N219" s="262">
        <f t="shared" si="150"/>
        <v>89</v>
      </c>
      <c r="O219" s="108">
        <f>sum(O212:O218)</f>
        <v>205361</v>
      </c>
      <c r="P219" s="109">
        <f t="shared" si="151"/>
        <v>0.4435175467</v>
      </c>
      <c r="Q219" s="263">
        <f t="shared" si="7"/>
        <v>2.254702227</v>
      </c>
      <c r="R219" s="113">
        <f t="shared" si="8"/>
        <v>0.6631681844</v>
      </c>
      <c r="S219" s="103" t="str">
        <f>iferror((D219-#REF!)/D219,)</f>
        <v/>
      </c>
      <c r="T219" s="114" t="str">
        <f>iferror((F219-#REF!)/F219,)</f>
        <v/>
      </c>
      <c r="U219" s="9"/>
      <c r="V219" s="9"/>
      <c r="W219" s="9"/>
      <c r="X219" s="9"/>
      <c r="Y219" s="9"/>
      <c r="Z219" s="9"/>
    </row>
    <row r="220" hidden="1" outlineLevel="1">
      <c r="A220" s="36" t="str">
        <f t="shared" ref="A220:A226" si="152">iferror(if(B220&gt;0,month(B220)&amp;"-"&amp;year(B220),B220),)</f>
        <v>6-2025</v>
      </c>
      <c r="B220" s="37">
        <v>45830.0</v>
      </c>
      <c r="C220" s="38"/>
      <c r="D220" s="39">
        <v>343.15</v>
      </c>
      <c r="E220" s="40">
        <v>14.0</v>
      </c>
      <c r="F220" s="40">
        <v>13.0</v>
      </c>
      <c r="G220" s="41">
        <f t="shared" si="2"/>
        <v>1.076923077</v>
      </c>
      <c r="H220" s="39">
        <f t="shared" ref="H220:H226" si="153">D220/F220</f>
        <v>26.39615385</v>
      </c>
      <c r="I220" s="39">
        <f t="shared" ref="I220:I226" si="154">D220/E220</f>
        <v>24.51071429</v>
      </c>
      <c r="J220" s="42">
        <v>491.0</v>
      </c>
      <c r="K220" s="43">
        <f t="shared" si="5"/>
        <v>0.02851323829</v>
      </c>
      <c r="L220" s="39">
        <v>209.73</v>
      </c>
      <c r="M220" s="39">
        <v>218.19</v>
      </c>
      <c r="N220" s="40">
        <v>8.0</v>
      </c>
      <c r="O220" s="42">
        <v>57121.0</v>
      </c>
      <c r="P220" s="43">
        <v>0.4734</v>
      </c>
      <c r="Q220" s="44">
        <f t="shared" si="7"/>
        <v>1.040337577</v>
      </c>
      <c r="R220" s="43">
        <f t="shared" si="8"/>
        <v>0.6358443829</v>
      </c>
      <c r="S220" s="45"/>
      <c r="T220" s="46"/>
      <c r="U220" s="9"/>
      <c r="V220" s="9"/>
      <c r="W220" s="9"/>
      <c r="X220" s="9"/>
      <c r="Y220" s="9"/>
      <c r="Z220" s="9"/>
    </row>
    <row r="221" hidden="1" outlineLevel="1">
      <c r="A221" s="47" t="str">
        <f t="shared" si="152"/>
        <v>6-2025</v>
      </c>
      <c r="B221" s="37">
        <v>45831.0</v>
      </c>
      <c r="C221" s="48"/>
      <c r="D221" s="49">
        <v>809.06</v>
      </c>
      <c r="E221" s="50">
        <v>35.0</v>
      </c>
      <c r="F221" s="50">
        <v>32.0</v>
      </c>
      <c r="G221" s="51">
        <f t="shared" si="2"/>
        <v>1.09375</v>
      </c>
      <c r="H221" s="49">
        <f t="shared" si="153"/>
        <v>25.283125</v>
      </c>
      <c r="I221" s="49">
        <f t="shared" si="154"/>
        <v>23.116</v>
      </c>
      <c r="J221" s="52">
        <v>415.0</v>
      </c>
      <c r="K221" s="53">
        <f t="shared" si="5"/>
        <v>0.0843373494</v>
      </c>
      <c r="L221" s="49">
        <v>166.59</v>
      </c>
      <c r="M221" s="54">
        <v>629.34</v>
      </c>
      <c r="N221" s="50">
        <v>24.0</v>
      </c>
      <c r="O221" s="52">
        <v>43488.0</v>
      </c>
      <c r="P221" s="53">
        <v>0.2985</v>
      </c>
      <c r="Q221" s="55">
        <f t="shared" si="7"/>
        <v>3.777777778</v>
      </c>
      <c r="R221" s="53">
        <f t="shared" si="8"/>
        <v>0.7778656713</v>
      </c>
      <c r="S221" s="19"/>
      <c r="T221" s="28"/>
      <c r="U221" s="9"/>
      <c r="V221" s="9"/>
      <c r="W221" s="9"/>
      <c r="X221" s="9"/>
      <c r="Y221" s="9"/>
      <c r="Z221" s="9"/>
    </row>
    <row r="222" hidden="1" outlineLevel="1">
      <c r="A222" s="47" t="str">
        <f t="shared" si="152"/>
        <v>6-2025</v>
      </c>
      <c r="B222" s="37">
        <v>45832.0</v>
      </c>
      <c r="C222" s="48"/>
      <c r="D222" s="49">
        <v>554.65</v>
      </c>
      <c r="E222" s="50">
        <v>25.0</v>
      </c>
      <c r="F222" s="50">
        <v>24.0</v>
      </c>
      <c r="G222" s="51">
        <f t="shared" si="2"/>
        <v>1.041666667</v>
      </c>
      <c r="H222" s="49">
        <f t="shared" si="153"/>
        <v>23.11041667</v>
      </c>
      <c r="I222" s="49">
        <f t="shared" si="154"/>
        <v>22.186</v>
      </c>
      <c r="J222" s="52">
        <v>425.0</v>
      </c>
      <c r="K222" s="53">
        <f t="shared" si="5"/>
        <v>0.05882352941</v>
      </c>
      <c r="L222" s="39">
        <v>179.84</v>
      </c>
      <c r="M222" s="39">
        <v>514.64</v>
      </c>
      <c r="N222" s="40">
        <v>21.0</v>
      </c>
      <c r="O222" s="52">
        <v>43605.0</v>
      </c>
      <c r="P222" s="53">
        <v>0.3486</v>
      </c>
      <c r="Q222" s="55">
        <f t="shared" si="7"/>
        <v>2.861654804</v>
      </c>
      <c r="R222" s="53">
        <f t="shared" si="8"/>
        <v>0.927864419</v>
      </c>
      <c r="S222" s="19"/>
      <c r="T222" s="28"/>
      <c r="U222" s="9"/>
      <c r="V222" s="9"/>
      <c r="W222" s="9"/>
      <c r="X222" s="9"/>
      <c r="Y222" s="9"/>
      <c r="Z222" s="9"/>
    </row>
    <row r="223" hidden="1" outlineLevel="1">
      <c r="A223" s="47" t="str">
        <f t="shared" si="152"/>
        <v>6-2025</v>
      </c>
      <c r="B223" s="37">
        <v>45833.0</v>
      </c>
      <c r="C223" s="48"/>
      <c r="D223" s="49">
        <v>597.82</v>
      </c>
      <c r="E223" s="50">
        <v>24.0</v>
      </c>
      <c r="F223" s="50">
        <v>20.0</v>
      </c>
      <c r="G223" s="51">
        <f t="shared" si="2"/>
        <v>1.2</v>
      </c>
      <c r="H223" s="49">
        <f t="shared" si="153"/>
        <v>29.891</v>
      </c>
      <c r="I223" s="49">
        <f t="shared" si="154"/>
        <v>24.90916667</v>
      </c>
      <c r="J223" s="52">
        <v>408.0</v>
      </c>
      <c r="K223" s="53">
        <f t="shared" si="5"/>
        <v>0.05882352941</v>
      </c>
      <c r="L223" s="49">
        <v>172.83</v>
      </c>
      <c r="M223" s="49">
        <v>418.38</v>
      </c>
      <c r="N223" s="50">
        <v>13.0</v>
      </c>
      <c r="O223" s="52">
        <v>35725.0</v>
      </c>
      <c r="P223" s="53">
        <v>0.3572</v>
      </c>
      <c r="Q223" s="55">
        <f t="shared" si="7"/>
        <v>2.420760285</v>
      </c>
      <c r="R223" s="53">
        <f t="shared" si="8"/>
        <v>0.699842762</v>
      </c>
      <c r="S223" s="19"/>
      <c r="T223" s="28"/>
      <c r="U223" s="9"/>
      <c r="V223" s="9"/>
      <c r="W223" s="9"/>
      <c r="X223" s="9"/>
      <c r="Y223" s="9"/>
      <c r="Z223" s="9"/>
    </row>
    <row r="224" hidden="1" outlineLevel="1">
      <c r="A224" s="47" t="str">
        <f t="shared" si="152"/>
        <v>6-2025</v>
      </c>
      <c r="B224" s="37">
        <v>45834.0</v>
      </c>
      <c r="C224" s="48"/>
      <c r="D224" s="49">
        <v>711.78</v>
      </c>
      <c r="E224" s="50">
        <v>29.0</v>
      </c>
      <c r="F224" s="50">
        <v>23.0</v>
      </c>
      <c r="G224" s="51">
        <f t="shared" si="2"/>
        <v>1.260869565</v>
      </c>
      <c r="H224" s="49">
        <f t="shared" si="153"/>
        <v>30.94695652</v>
      </c>
      <c r="I224" s="49">
        <f t="shared" si="154"/>
        <v>24.54413793</v>
      </c>
      <c r="J224" s="52">
        <v>376.0</v>
      </c>
      <c r="K224" s="53">
        <f t="shared" si="5"/>
        <v>0.07712765957</v>
      </c>
      <c r="L224" s="49">
        <v>138.18</v>
      </c>
      <c r="M224" s="49">
        <v>448.85</v>
      </c>
      <c r="N224" s="50">
        <v>14.0</v>
      </c>
      <c r="O224" s="52">
        <v>31377.0</v>
      </c>
      <c r="P224" s="53">
        <v>0.3225</v>
      </c>
      <c r="Q224" s="55">
        <f t="shared" si="7"/>
        <v>3.24829932</v>
      </c>
      <c r="R224" s="53">
        <f t="shared" si="8"/>
        <v>0.6306021524</v>
      </c>
      <c r="S224" s="19"/>
      <c r="T224" s="28"/>
      <c r="U224" s="9"/>
      <c r="V224" s="9"/>
      <c r="W224" s="9"/>
      <c r="X224" s="9"/>
      <c r="Y224" s="9"/>
      <c r="Z224" s="9"/>
    </row>
    <row r="225" hidden="1" outlineLevel="1">
      <c r="A225" s="47" t="str">
        <f t="shared" si="152"/>
        <v>6-2025</v>
      </c>
      <c r="B225" s="37">
        <v>45835.0</v>
      </c>
      <c r="C225" s="48"/>
      <c r="D225" s="49">
        <v>623.59</v>
      </c>
      <c r="E225" s="50">
        <v>26.0</v>
      </c>
      <c r="F225" s="50">
        <v>24.0</v>
      </c>
      <c r="G225" s="51">
        <f t="shared" si="2"/>
        <v>1.083333333</v>
      </c>
      <c r="H225" s="49">
        <f t="shared" si="153"/>
        <v>25.98291667</v>
      </c>
      <c r="I225" s="49">
        <f t="shared" si="154"/>
        <v>23.98423077</v>
      </c>
      <c r="J225" s="52">
        <v>371.0</v>
      </c>
      <c r="K225" s="53">
        <f t="shared" si="5"/>
        <v>0.07008086253</v>
      </c>
      <c r="L225" s="49">
        <v>155.85</v>
      </c>
      <c r="M225" s="49">
        <v>482.63</v>
      </c>
      <c r="N225" s="50">
        <v>21.0</v>
      </c>
      <c r="O225" s="52">
        <v>32415.0</v>
      </c>
      <c r="P225" s="53">
        <v>0.5913</v>
      </c>
      <c r="Q225" s="55">
        <f t="shared" si="7"/>
        <v>3.096759705</v>
      </c>
      <c r="R225" s="53">
        <f t="shared" si="8"/>
        <v>0.7739540403</v>
      </c>
      <c r="S225" s="19"/>
      <c r="T225" s="28"/>
      <c r="U225" s="9"/>
      <c r="V225" s="9"/>
      <c r="W225" s="9"/>
      <c r="X225" s="9"/>
      <c r="Y225" s="9"/>
      <c r="Z225" s="9"/>
    </row>
    <row r="226" hidden="1" outlineLevel="1">
      <c r="A226" s="47" t="str">
        <f t="shared" si="152"/>
        <v>6-2025</v>
      </c>
      <c r="B226" s="37">
        <v>45836.0</v>
      </c>
      <c r="C226" s="48"/>
      <c r="D226" s="49">
        <v>813.3</v>
      </c>
      <c r="E226" s="50">
        <v>34.0</v>
      </c>
      <c r="F226" s="50">
        <v>30.0</v>
      </c>
      <c r="G226" s="51">
        <f t="shared" si="2"/>
        <v>1.133333333</v>
      </c>
      <c r="H226" s="49">
        <f t="shared" si="153"/>
        <v>27.11</v>
      </c>
      <c r="I226" s="49">
        <f t="shared" si="154"/>
        <v>23.92058824</v>
      </c>
      <c r="J226" s="52">
        <v>520.0</v>
      </c>
      <c r="K226" s="53">
        <f t="shared" si="5"/>
        <v>0.06538461538</v>
      </c>
      <c r="L226" s="49">
        <v>226.57</v>
      </c>
      <c r="M226" s="49">
        <v>644.57</v>
      </c>
      <c r="N226" s="50">
        <v>23.0</v>
      </c>
      <c r="O226" s="52">
        <v>47537.0</v>
      </c>
      <c r="P226" s="53">
        <f t="shared" ref="P226:P227" si="157">L226/M226</f>
        <v>0.3515056549</v>
      </c>
      <c r="Q226" s="55">
        <f t="shared" si="7"/>
        <v>2.844904445</v>
      </c>
      <c r="R226" s="53">
        <f t="shared" si="8"/>
        <v>0.7925365794</v>
      </c>
      <c r="S226" s="19"/>
      <c r="T226" s="28"/>
      <c r="U226" s="9"/>
      <c r="V226" s="9"/>
      <c r="W226" s="9"/>
      <c r="X226" s="9"/>
      <c r="Y226" s="9"/>
      <c r="Z226" s="9"/>
    </row>
    <row r="227" collapsed="1">
      <c r="A227" s="101" t="s">
        <v>93</v>
      </c>
      <c r="B227" s="102"/>
      <c r="C227" s="103"/>
      <c r="D227" s="104">
        <f t="shared" ref="D227:F227" si="155">SUM(D220:D226)</f>
        <v>4453.35</v>
      </c>
      <c r="E227" s="105">
        <f t="shared" si="155"/>
        <v>187</v>
      </c>
      <c r="F227" s="105">
        <f t="shared" si="155"/>
        <v>166</v>
      </c>
      <c r="G227" s="260">
        <f t="shared" si="2"/>
        <v>1.126506024</v>
      </c>
      <c r="H227" s="104">
        <f>average(H220:H226)</f>
        <v>26.96008124</v>
      </c>
      <c r="I227" s="261">
        <f>H227/G227</f>
        <v>23.93247854</v>
      </c>
      <c r="J227" s="108">
        <f>SUM(J220:J226)</f>
        <v>3006</v>
      </c>
      <c r="K227" s="109">
        <f t="shared" si="5"/>
        <v>0.0622089155</v>
      </c>
      <c r="L227" s="104">
        <f t="shared" ref="L227:N227" si="156">SUM(L220:L226)</f>
        <v>1249.59</v>
      </c>
      <c r="M227" s="104">
        <f t="shared" si="156"/>
        <v>3356.6</v>
      </c>
      <c r="N227" s="262">
        <f t="shared" si="156"/>
        <v>124</v>
      </c>
      <c r="O227" s="108">
        <f>sum(O220:O226)</f>
        <v>291268</v>
      </c>
      <c r="P227" s="109">
        <f t="shared" si="157"/>
        <v>0.3722784961</v>
      </c>
      <c r="Q227" s="263">
        <f t="shared" si="7"/>
        <v>2.686161061</v>
      </c>
      <c r="R227" s="113">
        <f t="shared" si="8"/>
        <v>0.7537247241</v>
      </c>
      <c r="S227" s="103" t="str">
        <f>iferror((D227-#REF!)/D227,)</f>
        <v/>
      </c>
      <c r="T227" s="114" t="str">
        <f>iferror((F227-#REF!)/F227,)</f>
        <v/>
      </c>
      <c r="U227" s="9"/>
      <c r="V227" s="9"/>
      <c r="W227" s="9"/>
      <c r="X227" s="9"/>
      <c r="Y227" s="9"/>
      <c r="Z227" s="9"/>
    </row>
    <row r="228" hidden="1" outlineLevel="1">
      <c r="A228" s="36" t="str">
        <f t="shared" ref="A228:A234" si="158">iferror(if(B228&gt;0,month(B228)&amp;"-"&amp;year(B228),B228),)</f>
        <v>6-2025</v>
      </c>
      <c r="B228" s="37">
        <v>45837.0</v>
      </c>
      <c r="C228" s="38"/>
      <c r="D228" s="39">
        <v>505.87</v>
      </c>
      <c r="E228" s="40">
        <v>22.0</v>
      </c>
      <c r="F228" s="40">
        <v>20.0</v>
      </c>
      <c r="G228" s="41">
        <f t="shared" si="2"/>
        <v>1.1</v>
      </c>
      <c r="H228" s="39">
        <f t="shared" ref="H228:H234" si="159">D228/F228</f>
        <v>25.2935</v>
      </c>
      <c r="I228" s="39">
        <f t="shared" ref="I228:I234" si="160">D228/E228</f>
        <v>22.99409091</v>
      </c>
      <c r="J228" s="42">
        <v>265.0</v>
      </c>
      <c r="K228" s="43">
        <f t="shared" si="5"/>
        <v>0.08301886792</v>
      </c>
      <c r="L228" s="39">
        <v>51.17</v>
      </c>
      <c r="M228" s="39">
        <v>152.74</v>
      </c>
      <c r="N228" s="40">
        <v>5.0</v>
      </c>
      <c r="O228" s="42">
        <v>10101.0</v>
      </c>
      <c r="P228" s="43">
        <v>0.4734</v>
      </c>
      <c r="Q228" s="44">
        <f t="shared" si="7"/>
        <v>2.98495212</v>
      </c>
      <c r="R228" s="43">
        <f t="shared" si="8"/>
        <v>0.3019352798</v>
      </c>
      <c r="S228" s="45"/>
      <c r="T228" s="46"/>
      <c r="U228" s="9"/>
      <c r="V228" s="9"/>
      <c r="W228" s="9"/>
      <c r="X228" s="9"/>
      <c r="Y228" s="9"/>
      <c r="Z228" s="9"/>
    </row>
    <row r="229" hidden="1" outlineLevel="1">
      <c r="A229" s="47" t="str">
        <f t="shared" si="158"/>
        <v>6-2025</v>
      </c>
      <c r="B229" s="37">
        <v>45838.0</v>
      </c>
      <c r="C229" s="48"/>
      <c r="D229" s="49">
        <v>409.43</v>
      </c>
      <c r="E229" s="50">
        <v>18.0</v>
      </c>
      <c r="F229" s="50">
        <v>16.0</v>
      </c>
      <c r="G229" s="51">
        <f t="shared" si="2"/>
        <v>1.125</v>
      </c>
      <c r="H229" s="49">
        <f t="shared" si="159"/>
        <v>25.589375</v>
      </c>
      <c r="I229" s="49">
        <f t="shared" si="160"/>
        <v>22.74611111</v>
      </c>
      <c r="J229" s="52">
        <v>341.0</v>
      </c>
      <c r="K229" s="53">
        <f t="shared" si="5"/>
        <v>0.05278592375</v>
      </c>
      <c r="L229" s="49">
        <v>131.77</v>
      </c>
      <c r="M229" s="54">
        <v>289.97</v>
      </c>
      <c r="N229" s="50">
        <v>12.0</v>
      </c>
      <c r="O229" s="52">
        <v>23097.0</v>
      </c>
      <c r="P229" s="53">
        <v>0.2985</v>
      </c>
      <c r="Q229" s="55">
        <f t="shared" si="7"/>
        <v>2.200576763</v>
      </c>
      <c r="R229" s="53">
        <f t="shared" si="8"/>
        <v>0.7082285128</v>
      </c>
      <c r="S229" s="19"/>
      <c r="T229" s="28"/>
      <c r="U229" s="9"/>
      <c r="V229" s="9"/>
      <c r="W229" s="9"/>
      <c r="X229" s="9"/>
      <c r="Y229" s="9"/>
      <c r="Z229" s="9"/>
    </row>
    <row r="230" hidden="1" outlineLevel="1">
      <c r="A230" s="47" t="str">
        <f t="shared" si="158"/>
        <v>7-2025</v>
      </c>
      <c r="B230" s="37">
        <v>45839.0</v>
      </c>
      <c r="C230" s="48"/>
      <c r="D230" s="49">
        <v>733.32</v>
      </c>
      <c r="E230" s="50">
        <v>31.0</v>
      </c>
      <c r="F230" s="50">
        <v>27.0</v>
      </c>
      <c r="G230" s="51">
        <f t="shared" si="2"/>
        <v>1.148148148</v>
      </c>
      <c r="H230" s="49">
        <f t="shared" si="159"/>
        <v>27.16</v>
      </c>
      <c r="I230" s="49">
        <f t="shared" si="160"/>
        <v>23.65548387</v>
      </c>
      <c r="J230" s="52">
        <v>411.0</v>
      </c>
      <c r="K230" s="53">
        <f t="shared" si="5"/>
        <v>0.07542579075</v>
      </c>
      <c r="L230" s="39">
        <v>150.5</v>
      </c>
      <c r="M230" s="39">
        <v>414.38</v>
      </c>
      <c r="N230" s="40">
        <v>16.0</v>
      </c>
      <c r="O230" s="52">
        <v>39905.0</v>
      </c>
      <c r="P230" s="53">
        <v>0.3486</v>
      </c>
      <c r="Q230" s="55">
        <f t="shared" si="7"/>
        <v>2.753355482</v>
      </c>
      <c r="R230" s="53">
        <f t="shared" si="8"/>
        <v>0.5650739104</v>
      </c>
      <c r="S230" s="19"/>
      <c r="T230" s="28"/>
      <c r="U230" s="9"/>
      <c r="V230" s="9"/>
      <c r="W230" s="9"/>
      <c r="X230" s="9"/>
      <c r="Y230" s="9"/>
      <c r="Z230" s="9"/>
    </row>
    <row r="231" hidden="1" outlineLevel="1">
      <c r="A231" s="47" t="str">
        <f t="shared" si="158"/>
        <v>7-2025</v>
      </c>
      <c r="B231" s="37">
        <v>45840.0</v>
      </c>
      <c r="C231" s="48"/>
      <c r="D231" s="49">
        <v>202.43</v>
      </c>
      <c r="E231" s="50">
        <v>8.0</v>
      </c>
      <c r="F231" s="50">
        <v>7.0</v>
      </c>
      <c r="G231" s="51">
        <f t="shared" si="2"/>
        <v>1.142857143</v>
      </c>
      <c r="H231" s="49">
        <f t="shared" si="159"/>
        <v>28.91857143</v>
      </c>
      <c r="I231" s="49">
        <f t="shared" si="160"/>
        <v>25.30375</v>
      </c>
      <c r="J231" s="52">
        <v>168.0</v>
      </c>
      <c r="K231" s="53">
        <f t="shared" si="5"/>
        <v>0.04761904762</v>
      </c>
      <c r="L231" s="49">
        <v>10.71</v>
      </c>
      <c r="M231" s="49">
        <v>0.0</v>
      </c>
      <c r="N231" s="50">
        <v>0.0</v>
      </c>
      <c r="O231" s="52">
        <v>1884.0</v>
      </c>
      <c r="P231" s="53">
        <v>0.3572</v>
      </c>
      <c r="Q231" s="55">
        <f t="shared" si="7"/>
        <v>0</v>
      </c>
      <c r="R231" s="53">
        <f t="shared" si="8"/>
        <v>0</v>
      </c>
      <c r="S231" s="19"/>
      <c r="T231" s="28"/>
      <c r="U231" s="9"/>
      <c r="V231" s="9"/>
      <c r="W231" s="9"/>
      <c r="X231" s="9"/>
      <c r="Y231" s="9"/>
      <c r="Z231" s="9"/>
    </row>
    <row r="232" hidden="1" outlineLevel="1">
      <c r="A232" s="47" t="str">
        <f t="shared" si="158"/>
        <v>7-2025</v>
      </c>
      <c r="B232" s="37">
        <v>45841.0</v>
      </c>
      <c r="C232" s="48"/>
      <c r="D232" s="49">
        <v>140.72</v>
      </c>
      <c r="E232" s="50">
        <v>6.0</v>
      </c>
      <c r="F232" s="50">
        <v>6.0</v>
      </c>
      <c r="G232" s="51">
        <f t="shared" si="2"/>
        <v>1</v>
      </c>
      <c r="H232" s="49">
        <f t="shared" si="159"/>
        <v>23.45333333</v>
      </c>
      <c r="I232" s="49">
        <f t="shared" si="160"/>
        <v>23.45333333</v>
      </c>
      <c r="J232" s="52">
        <v>149.0</v>
      </c>
      <c r="K232" s="53">
        <f t="shared" si="5"/>
        <v>0.04026845638</v>
      </c>
      <c r="L232" s="49">
        <v>0.0</v>
      </c>
      <c r="M232" s="49">
        <v>0.0</v>
      </c>
      <c r="N232" s="50">
        <v>0.0</v>
      </c>
      <c r="O232" s="52">
        <v>0.0</v>
      </c>
      <c r="P232" s="53">
        <v>0.3225</v>
      </c>
      <c r="Q232" s="55" t="str">
        <f t="shared" si="7"/>
        <v>#DIV/0!</v>
      </c>
      <c r="R232" s="53">
        <f t="shared" si="8"/>
        <v>0</v>
      </c>
      <c r="S232" s="19"/>
      <c r="T232" s="28"/>
      <c r="U232" s="9"/>
      <c r="V232" s="9"/>
      <c r="W232" s="9"/>
      <c r="X232" s="9"/>
      <c r="Y232" s="9"/>
      <c r="Z232" s="9"/>
    </row>
    <row r="233" hidden="1" outlineLevel="1">
      <c r="A233" s="47" t="str">
        <f t="shared" si="158"/>
        <v>7-2025</v>
      </c>
      <c r="B233" s="37">
        <v>45842.0</v>
      </c>
      <c r="C233" s="48"/>
      <c r="D233" s="49">
        <v>191.45</v>
      </c>
      <c r="E233" s="50">
        <v>8.0</v>
      </c>
      <c r="F233" s="50">
        <v>8.0</v>
      </c>
      <c r="G233" s="51">
        <f t="shared" si="2"/>
        <v>1</v>
      </c>
      <c r="H233" s="49">
        <f t="shared" si="159"/>
        <v>23.93125</v>
      </c>
      <c r="I233" s="49">
        <f t="shared" si="160"/>
        <v>23.93125</v>
      </c>
      <c r="J233" s="52">
        <v>134.0</v>
      </c>
      <c r="K233" s="53">
        <f t="shared" si="5"/>
        <v>0.05970149254</v>
      </c>
      <c r="L233" s="49">
        <v>0.0</v>
      </c>
      <c r="M233" s="49">
        <v>0.0</v>
      </c>
      <c r="N233" s="50">
        <v>0.0</v>
      </c>
      <c r="O233" s="52">
        <v>0.0</v>
      </c>
      <c r="P233" s="53">
        <v>0.5913</v>
      </c>
      <c r="Q233" s="55" t="str">
        <f t="shared" si="7"/>
        <v>#DIV/0!</v>
      </c>
      <c r="R233" s="53">
        <f t="shared" si="8"/>
        <v>0</v>
      </c>
      <c r="S233" s="19"/>
      <c r="T233" s="28"/>
      <c r="U233" s="9"/>
      <c r="V233" s="9"/>
      <c r="W233" s="9"/>
      <c r="X233" s="9"/>
      <c r="Y233" s="9"/>
      <c r="Z233" s="9"/>
    </row>
    <row r="234" hidden="1" outlineLevel="1">
      <c r="A234" s="47" t="str">
        <f t="shared" si="158"/>
        <v>7-2025</v>
      </c>
      <c r="B234" s="37">
        <v>45843.0</v>
      </c>
      <c r="C234" s="48"/>
      <c r="D234" s="49">
        <v>181.97</v>
      </c>
      <c r="E234" s="50">
        <v>9.0</v>
      </c>
      <c r="F234" s="50">
        <v>9.0</v>
      </c>
      <c r="G234" s="51">
        <f t="shared" si="2"/>
        <v>1</v>
      </c>
      <c r="H234" s="49">
        <f t="shared" si="159"/>
        <v>20.21888889</v>
      </c>
      <c r="I234" s="49">
        <f t="shared" si="160"/>
        <v>20.21888889</v>
      </c>
      <c r="J234" s="52">
        <v>161.0</v>
      </c>
      <c r="K234" s="53">
        <f t="shared" si="5"/>
        <v>0.05590062112</v>
      </c>
      <c r="L234" s="49">
        <v>0.0</v>
      </c>
      <c r="M234" s="49">
        <v>0.0</v>
      </c>
      <c r="N234" s="50">
        <v>0.0</v>
      </c>
      <c r="O234" s="52">
        <v>0.0</v>
      </c>
      <c r="P234" s="53" t="str">
        <f t="shared" ref="P234:P235" si="163">L234/M234</f>
        <v>#DIV/0!</v>
      </c>
      <c r="Q234" s="55" t="str">
        <f t="shared" si="7"/>
        <v>#DIV/0!</v>
      </c>
      <c r="R234" s="53">
        <f t="shared" si="8"/>
        <v>0</v>
      </c>
      <c r="S234" s="19"/>
      <c r="T234" s="28"/>
      <c r="U234" s="9"/>
      <c r="V234" s="9"/>
      <c r="W234" s="9"/>
      <c r="X234" s="9"/>
      <c r="Y234" s="9"/>
      <c r="Z234" s="9"/>
    </row>
    <row r="235" collapsed="1">
      <c r="A235" s="101" t="s">
        <v>94</v>
      </c>
      <c r="B235" s="102"/>
      <c r="C235" s="103"/>
      <c r="D235" s="104">
        <f t="shared" ref="D235:F235" si="161">SUM(D228:D234)</f>
        <v>2365.19</v>
      </c>
      <c r="E235" s="105">
        <f t="shared" si="161"/>
        <v>102</v>
      </c>
      <c r="F235" s="105">
        <f t="shared" si="161"/>
        <v>93</v>
      </c>
      <c r="G235" s="260">
        <f t="shared" si="2"/>
        <v>1.096774194</v>
      </c>
      <c r="H235" s="104">
        <f>average(H228:H234)</f>
        <v>24.93784552</v>
      </c>
      <c r="I235" s="261">
        <f>H235/G235</f>
        <v>22.73744739</v>
      </c>
      <c r="J235" s="108">
        <f>SUM(J228:J234)</f>
        <v>1629</v>
      </c>
      <c r="K235" s="109">
        <f t="shared" si="5"/>
        <v>0.06261510129</v>
      </c>
      <c r="L235" s="104">
        <f t="shared" ref="L235:N235" si="162">SUM(L228:L234)</f>
        <v>344.15</v>
      </c>
      <c r="M235" s="104">
        <f t="shared" si="162"/>
        <v>857.09</v>
      </c>
      <c r="N235" s="262">
        <f t="shared" si="162"/>
        <v>33</v>
      </c>
      <c r="O235" s="108">
        <f>sum(O228:O234)</f>
        <v>74987</v>
      </c>
      <c r="P235" s="109">
        <f t="shared" si="163"/>
        <v>0.4015330945</v>
      </c>
      <c r="Q235" s="263">
        <f t="shared" si="7"/>
        <v>2.490454744</v>
      </c>
      <c r="R235" s="113">
        <f t="shared" si="8"/>
        <v>0.3623768069</v>
      </c>
      <c r="S235" s="103" t="str">
        <f>iferror((D235-#REF!)/D235,)</f>
        <v/>
      </c>
      <c r="T235" s="114" t="str">
        <f>iferror((F235-#REF!)/F235,)</f>
        <v/>
      </c>
      <c r="U235" s="9"/>
      <c r="V235" s="9"/>
      <c r="W235" s="9"/>
      <c r="X235" s="9"/>
      <c r="Y235" s="9"/>
      <c r="Z235" s="9"/>
    </row>
    <row r="236" hidden="1" outlineLevel="1">
      <c r="A236" s="36" t="str">
        <f t="shared" ref="A236:A242" si="164">iferror(if(B236&gt;0,month(B236)&amp;"-"&amp;year(B236),B236),)</f>
        <v>7-2025</v>
      </c>
      <c r="B236" s="37">
        <v>45844.0</v>
      </c>
      <c r="C236" s="38"/>
      <c r="D236" s="39">
        <v>210.18</v>
      </c>
      <c r="E236" s="40">
        <v>11.0</v>
      </c>
      <c r="F236" s="40">
        <v>8.0</v>
      </c>
      <c r="G236" s="41">
        <f t="shared" si="2"/>
        <v>1.375</v>
      </c>
      <c r="H236" s="39">
        <f t="shared" ref="H236:H242" si="165">D236/F236</f>
        <v>26.2725</v>
      </c>
      <c r="I236" s="39">
        <f t="shared" ref="I236:I242" si="166">D236/E236</f>
        <v>19.10727273</v>
      </c>
      <c r="J236" s="42">
        <v>226.0</v>
      </c>
      <c r="K236" s="43">
        <f t="shared" si="5"/>
        <v>0.04867256637</v>
      </c>
      <c r="L236" s="39">
        <v>0.0</v>
      </c>
      <c r="M236" s="39">
        <v>0.0</v>
      </c>
      <c r="N236" s="40">
        <v>0.0</v>
      </c>
      <c r="O236" s="42">
        <v>0.0</v>
      </c>
      <c r="P236" s="43">
        <v>0.4734</v>
      </c>
      <c r="Q236" s="44" t="str">
        <f t="shared" si="7"/>
        <v>#DIV/0!</v>
      </c>
      <c r="R236" s="43">
        <f t="shared" si="8"/>
        <v>0</v>
      </c>
      <c r="S236" s="45"/>
      <c r="T236" s="46"/>
      <c r="U236" s="9"/>
      <c r="V236" s="9"/>
      <c r="W236" s="9"/>
      <c r="X236" s="9"/>
      <c r="Y236" s="9"/>
      <c r="Z236" s="9"/>
    </row>
    <row r="237" hidden="1" outlineLevel="1">
      <c r="A237" s="47" t="str">
        <f t="shared" si="164"/>
        <v>7-2025</v>
      </c>
      <c r="B237" s="37">
        <v>45845.0</v>
      </c>
      <c r="C237" s="48"/>
      <c r="D237" s="49">
        <v>167.71</v>
      </c>
      <c r="E237" s="50">
        <v>7.0</v>
      </c>
      <c r="F237" s="50">
        <v>6.0</v>
      </c>
      <c r="G237" s="51">
        <f t="shared" si="2"/>
        <v>1.166666667</v>
      </c>
      <c r="H237" s="49">
        <f t="shared" si="165"/>
        <v>27.95166667</v>
      </c>
      <c r="I237" s="49">
        <f t="shared" si="166"/>
        <v>23.95857143</v>
      </c>
      <c r="J237" s="52">
        <v>227.0</v>
      </c>
      <c r="K237" s="53">
        <f t="shared" si="5"/>
        <v>0.03083700441</v>
      </c>
      <c r="L237" s="49">
        <v>40.91</v>
      </c>
      <c r="M237" s="54">
        <v>78.97</v>
      </c>
      <c r="N237" s="50">
        <v>4.0</v>
      </c>
      <c r="O237" s="52">
        <v>8007.0</v>
      </c>
      <c r="P237" s="53">
        <v>0.2985</v>
      </c>
      <c r="Q237" s="55">
        <f t="shared" si="7"/>
        <v>1.930334881</v>
      </c>
      <c r="R237" s="53">
        <f t="shared" si="8"/>
        <v>0.4708723392</v>
      </c>
      <c r="S237" s="19"/>
      <c r="T237" s="28"/>
      <c r="U237" s="9"/>
      <c r="V237" s="9"/>
      <c r="W237" s="9"/>
      <c r="X237" s="9"/>
      <c r="Y237" s="9"/>
      <c r="Z237" s="9"/>
    </row>
    <row r="238" hidden="1" outlineLevel="1">
      <c r="A238" s="47" t="str">
        <f t="shared" si="164"/>
        <v>7-2025</v>
      </c>
      <c r="B238" s="37">
        <v>45846.0</v>
      </c>
      <c r="C238" s="48"/>
      <c r="D238" s="49">
        <v>882.01</v>
      </c>
      <c r="E238" s="50">
        <v>36.0</v>
      </c>
      <c r="F238" s="50">
        <v>35.0</v>
      </c>
      <c r="G238" s="51">
        <f t="shared" si="2"/>
        <v>1.028571429</v>
      </c>
      <c r="H238" s="49">
        <f t="shared" si="165"/>
        <v>25.20028571</v>
      </c>
      <c r="I238" s="49">
        <f t="shared" si="166"/>
        <v>24.50027778</v>
      </c>
      <c r="J238" s="52">
        <v>596.0</v>
      </c>
      <c r="K238" s="53">
        <f t="shared" si="5"/>
        <v>0.06040268456</v>
      </c>
      <c r="L238" s="39">
        <v>262.97</v>
      </c>
      <c r="M238" s="39">
        <v>782.32</v>
      </c>
      <c r="N238" s="40">
        <v>28.0</v>
      </c>
      <c r="O238" s="52">
        <v>72242.0</v>
      </c>
      <c r="P238" s="53">
        <v>0.3486</v>
      </c>
      <c r="Q238" s="55">
        <f t="shared" si="7"/>
        <v>2.974940107</v>
      </c>
      <c r="R238" s="53">
        <f t="shared" si="8"/>
        <v>0.8869740706</v>
      </c>
      <c r="S238" s="19"/>
      <c r="T238" s="28"/>
      <c r="U238" s="9"/>
      <c r="V238" s="9"/>
      <c r="W238" s="9"/>
      <c r="X238" s="9"/>
      <c r="Y238" s="9"/>
      <c r="Z238" s="9"/>
    </row>
    <row r="239" hidden="1" outlineLevel="1">
      <c r="A239" s="47" t="str">
        <f t="shared" si="164"/>
        <v>7-2025</v>
      </c>
      <c r="B239" s="37">
        <v>45847.0</v>
      </c>
      <c r="C239" s="48"/>
      <c r="D239" s="49">
        <v>808.29</v>
      </c>
      <c r="E239" s="50">
        <v>34.0</v>
      </c>
      <c r="F239" s="50">
        <v>31.0</v>
      </c>
      <c r="G239" s="51">
        <f t="shared" si="2"/>
        <v>1.096774194</v>
      </c>
      <c r="H239" s="49">
        <f t="shared" si="165"/>
        <v>26.07387097</v>
      </c>
      <c r="I239" s="49">
        <f t="shared" si="166"/>
        <v>23.77323529</v>
      </c>
      <c r="J239" s="52">
        <v>582.0</v>
      </c>
      <c r="K239" s="53">
        <f t="shared" si="5"/>
        <v>0.05841924399</v>
      </c>
      <c r="L239" s="49">
        <v>300.4</v>
      </c>
      <c r="M239" s="49">
        <v>563.36</v>
      </c>
      <c r="N239" s="50">
        <v>22.0</v>
      </c>
      <c r="O239" s="52">
        <v>73067.0</v>
      </c>
      <c r="P239" s="53">
        <v>0.3572</v>
      </c>
      <c r="Q239" s="55">
        <f t="shared" si="7"/>
        <v>1.875366178</v>
      </c>
      <c r="R239" s="53">
        <f t="shared" si="8"/>
        <v>0.6969775699</v>
      </c>
      <c r="S239" s="19"/>
      <c r="T239" s="28"/>
      <c r="U239" s="9"/>
      <c r="V239" s="9"/>
      <c r="W239" s="9"/>
      <c r="X239" s="9"/>
      <c r="Y239" s="9"/>
      <c r="Z239" s="9"/>
    </row>
    <row r="240" hidden="1" outlineLevel="1">
      <c r="A240" s="47" t="str">
        <f t="shared" si="164"/>
        <v>7-2025</v>
      </c>
      <c r="B240" s="37">
        <v>45848.0</v>
      </c>
      <c r="C240" s="48"/>
      <c r="D240" s="49">
        <v>457.65</v>
      </c>
      <c r="E240" s="50">
        <v>19.0</v>
      </c>
      <c r="F240" s="50">
        <v>19.0</v>
      </c>
      <c r="G240" s="51">
        <f t="shared" si="2"/>
        <v>1</v>
      </c>
      <c r="H240" s="49">
        <f t="shared" si="165"/>
        <v>24.08684211</v>
      </c>
      <c r="I240" s="49">
        <f t="shared" si="166"/>
        <v>24.08684211</v>
      </c>
      <c r="J240" s="52">
        <v>481.0</v>
      </c>
      <c r="K240" s="53">
        <f t="shared" si="5"/>
        <v>0.0395010395</v>
      </c>
      <c r="L240" s="49">
        <v>228.9</v>
      </c>
      <c r="M240" s="49">
        <v>214.21</v>
      </c>
      <c r="N240" s="50">
        <v>9.0</v>
      </c>
      <c r="O240" s="52">
        <v>54106.0</v>
      </c>
      <c r="P240" s="53">
        <v>0.3225</v>
      </c>
      <c r="Q240" s="55">
        <f t="shared" si="7"/>
        <v>0.9358235037</v>
      </c>
      <c r="R240" s="53">
        <f t="shared" si="8"/>
        <v>0.4680651153</v>
      </c>
      <c r="S240" s="19"/>
      <c r="T240" s="28"/>
      <c r="U240" s="9"/>
      <c r="V240" s="9"/>
      <c r="W240" s="9"/>
      <c r="X240" s="9"/>
      <c r="Y240" s="9"/>
      <c r="Z240" s="9"/>
    </row>
    <row r="241" hidden="1" outlineLevel="1">
      <c r="A241" s="47" t="str">
        <f t="shared" si="164"/>
        <v>7-2025</v>
      </c>
      <c r="B241" s="37">
        <v>45849.0</v>
      </c>
      <c r="C241" s="48"/>
      <c r="D241" s="49">
        <v>933.31</v>
      </c>
      <c r="E241" s="50">
        <v>40.0</v>
      </c>
      <c r="F241" s="50">
        <v>32.0</v>
      </c>
      <c r="G241" s="51">
        <f t="shared" si="2"/>
        <v>1.25</v>
      </c>
      <c r="H241" s="49">
        <f t="shared" si="165"/>
        <v>29.1659375</v>
      </c>
      <c r="I241" s="49">
        <f t="shared" si="166"/>
        <v>23.33275</v>
      </c>
      <c r="J241" s="52">
        <v>483.0</v>
      </c>
      <c r="K241" s="53">
        <f t="shared" si="5"/>
        <v>0.08281573499</v>
      </c>
      <c r="L241" s="49">
        <v>229.54</v>
      </c>
      <c r="M241" s="49">
        <v>536.89</v>
      </c>
      <c r="N241" s="50">
        <v>20.0</v>
      </c>
      <c r="O241" s="52">
        <v>48437.0</v>
      </c>
      <c r="P241" s="53">
        <v>0.5913</v>
      </c>
      <c r="Q241" s="55">
        <f t="shared" si="7"/>
        <v>2.338982312</v>
      </c>
      <c r="R241" s="53">
        <f t="shared" si="8"/>
        <v>0.5752536671</v>
      </c>
      <c r="S241" s="19"/>
      <c r="T241" s="28"/>
      <c r="U241" s="9"/>
      <c r="V241" s="9"/>
      <c r="W241" s="9"/>
      <c r="X241" s="9"/>
      <c r="Y241" s="9"/>
      <c r="Z241" s="9"/>
    </row>
    <row r="242" hidden="1" outlineLevel="1">
      <c r="A242" s="47" t="str">
        <f t="shared" si="164"/>
        <v>7-2025</v>
      </c>
      <c r="B242" s="37">
        <v>45850.0</v>
      </c>
      <c r="C242" s="48"/>
      <c r="D242" s="49">
        <v>619.07</v>
      </c>
      <c r="E242" s="50">
        <v>25.0</v>
      </c>
      <c r="F242" s="50">
        <v>22.0</v>
      </c>
      <c r="G242" s="51">
        <f t="shared" si="2"/>
        <v>1.136363636</v>
      </c>
      <c r="H242" s="49">
        <f t="shared" si="165"/>
        <v>28.13954545</v>
      </c>
      <c r="I242" s="49">
        <f t="shared" si="166"/>
        <v>24.7628</v>
      </c>
      <c r="J242" s="52">
        <v>495.0</v>
      </c>
      <c r="K242" s="53">
        <f t="shared" si="5"/>
        <v>0.05050505051</v>
      </c>
      <c r="L242" s="49">
        <v>236.38</v>
      </c>
      <c r="M242" s="49">
        <v>357.17</v>
      </c>
      <c r="N242" s="50">
        <v>14.0</v>
      </c>
      <c r="O242" s="52">
        <v>55950.0</v>
      </c>
      <c r="P242" s="53">
        <f t="shared" ref="P242:P243" si="169">L242/M242</f>
        <v>0.6618137022</v>
      </c>
      <c r="Q242" s="55">
        <f t="shared" si="7"/>
        <v>1.510999239</v>
      </c>
      <c r="R242" s="53">
        <f t="shared" si="8"/>
        <v>0.5769460643</v>
      </c>
      <c r="S242" s="19"/>
      <c r="T242" s="28"/>
      <c r="U242" s="9"/>
      <c r="V242" s="9"/>
      <c r="W242" s="9"/>
      <c r="X242" s="9"/>
      <c r="Y242" s="9"/>
      <c r="Z242" s="9"/>
    </row>
    <row r="243" collapsed="1">
      <c r="A243" s="101" t="s">
        <v>95</v>
      </c>
      <c r="B243" s="102"/>
      <c r="C243" s="103"/>
      <c r="D243" s="104">
        <f t="shared" ref="D243:F243" si="167">SUM(D236:D242)</f>
        <v>4078.22</v>
      </c>
      <c r="E243" s="105">
        <f t="shared" si="167"/>
        <v>172</v>
      </c>
      <c r="F243" s="105">
        <f t="shared" si="167"/>
        <v>153</v>
      </c>
      <c r="G243" s="260">
        <f t="shared" si="2"/>
        <v>1.124183007</v>
      </c>
      <c r="H243" s="104">
        <f>average(H236:H242)</f>
        <v>26.69866406</v>
      </c>
      <c r="I243" s="261">
        <f>H243/G243</f>
        <v>23.74939303</v>
      </c>
      <c r="J243" s="108">
        <f>SUM(J236:J242)</f>
        <v>3090</v>
      </c>
      <c r="K243" s="109">
        <f t="shared" si="5"/>
        <v>0.05566343042</v>
      </c>
      <c r="L243" s="104">
        <f t="shared" ref="L243:N243" si="168">SUM(L236:L242)</f>
        <v>1299.1</v>
      </c>
      <c r="M243" s="104">
        <f t="shared" si="168"/>
        <v>2532.92</v>
      </c>
      <c r="N243" s="262">
        <f t="shared" si="168"/>
        <v>97</v>
      </c>
      <c r="O243" s="108">
        <f>sum(O236:O242)</f>
        <v>311809</v>
      </c>
      <c r="P243" s="109">
        <f t="shared" si="169"/>
        <v>0.512886313</v>
      </c>
      <c r="Q243" s="263">
        <f t="shared" si="7"/>
        <v>1.949749827</v>
      </c>
      <c r="R243" s="113">
        <f t="shared" si="8"/>
        <v>0.6210846889</v>
      </c>
      <c r="S243" s="103" t="str">
        <f>iferror((D243-#REF!)/D243,)</f>
        <v/>
      </c>
      <c r="T243" s="114" t="str">
        <f>iferror((F243-#REF!)/F243,)</f>
        <v/>
      </c>
      <c r="U243" s="9"/>
      <c r="V243" s="9"/>
      <c r="W243" s="9"/>
      <c r="X243" s="9"/>
      <c r="Y243" s="9"/>
      <c r="Z243" s="9"/>
    </row>
    <row r="244" hidden="1" outlineLevel="1">
      <c r="A244" s="56" t="str">
        <f t="shared" ref="A244:A250" si="170">iferror(if(B244&gt;0,month(B244)&amp;"-"&amp;year(B244),B244),)</f>
        <v>7-2025</v>
      </c>
      <c r="B244" s="57">
        <v>45851.0</v>
      </c>
      <c r="C244" s="58"/>
      <c r="D244" s="59">
        <v>417.7</v>
      </c>
      <c r="E244" s="60">
        <v>19.0</v>
      </c>
      <c r="F244" s="60">
        <v>18.0</v>
      </c>
      <c r="G244" s="61">
        <f t="shared" si="2"/>
        <v>1.055555556</v>
      </c>
      <c r="H244" s="59">
        <f t="shared" ref="H244:H250" si="171">D244/F244</f>
        <v>23.20555556</v>
      </c>
      <c r="I244" s="59">
        <f t="shared" ref="I244:I250" si="172">D244/E244</f>
        <v>21.98421053</v>
      </c>
      <c r="J244" s="62">
        <v>430.0</v>
      </c>
      <c r="K244" s="63">
        <f t="shared" si="5"/>
        <v>0.04418604651</v>
      </c>
      <c r="L244" s="59">
        <v>177.65</v>
      </c>
      <c r="M244" s="59">
        <v>362.47</v>
      </c>
      <c r="N244" s="60">
        <v>15.0</v>
      </c>
      <c r="O244" s="62">
        <v>44951.0</v>
      </c>
      <c r="P244" s="63">
        <v>0.4734</v>
      </c>
      <c r="Q244" s="64">
        <f t="shared" si="7"/>
        <v>2.040360259</v>
      </c>
      <c r="R244" s="63">
        <f t="shared" si="8"/>
        <v>0.8677759157</v>
      </c>
      <c r="S244" s="65"/>
      <c r="T244" s="66"/>
      <c r="U244" s="2"/>
      <c r="V244" s="2"/>
      <c r="W244" s="2"/>
      <c r="X244" s="2"/>
      <c r="Y244" s="2"/>
      <c r="Z244" s="2"/>
    </row>
    <row r="245" hidden="1" outlineLevel="1">
      <c r="A245" s="67" t="str">
        <f t="shared" si="170"/>
        <v>7-2025</v>
      </c>
      <c r="B245" s="57">
        <v>45852.0</v>
      </c>
      <c r="C245" s="68"/>
      <c r="D245" s="69">
        <v>406.71</v>
      </c>
      <c r="E245" s="70">
        <v>19.0</v>
      </c>
      <c r="F245" s="70">
        <v>16.0</v>
      </c>
      <c r="G245" s="71">
        <f t="shared" si="2"/>
        <v>1.1875</v>
      </c>
      <c r="H245" s="69">
        <f t="shared" si="171"/>
        <v>25.419375</v>
      </c>
      <c r="I245" s="69">
        <f t="shared" si="172"/>
        <v>21.40578947</v>
      </c>
      <c r="J245" s="72">
        <v>232.0</v>
      </c>
      <c r="K245" s="73">
        <f t="shared" si="5"/>
        <v>0.08189655172</v>
      </c>
      <c r="L245" s="69">
        <v>90.32</v>
      </c>
      <c r="M245" s="74">
        <v>181.22</v>
      </c>
      <c r="N245" s="70">
        <v>7.0</v>
      </c>
      <c r="O245" s="72">
        <v>28346.0</v>
      </c>
      <c r="P245" s="73">
        <v>0.2985</v>
      </c>
      <c r="Q245" s="75">
        <f t="shared" si="7"/>
        <v>2.006421612</v>
      </c>
      <c r="R245" s="73">
        <f t="shared" si="8"/>
        <v>0.4455754715</v>
      </c>
      <c r="S245" s="76"/>
      <c r="T245" s="77"/>
      <c r="U245" s="2"/>
      <c r="V245" s="2"/>
      <c r="W245" s="2"/>
      <c r="X245" s="2"/>
      <c r="Y245" s="2"/>
      <c r="Z245" s="2"/>
    </row>
    <row r="246" hidden="1" outlineLevel="1">
      <c r="A246" s="67" t="str">
        <f t="shared" si="170"/>
        <v>7-2025</v>
      </c>
      <c r="B246" s="57">
        <v>45853.0</v>
      </c>
      <c r="C246" s="68"/>
      <c r="D246" s="69">
        <v>384.17</v>
      </c>
      <c r="E246" s="70">
        <v>17.0</v>
      </c>
      <c r="F246" s="70">
        <v>15.0</v>
      </c>
      <c r="G246" s="71">
        <f t="shared" si="2"/>
        <v>1.133333333</v>
      </c>
      <c r="H246" s="69">
        <f t="shared" si="171"/>
        <v>25.61133333</v>
      </c>
      <c r="I246" s="69">
        <f t="shared" si="172"/>
        <v>22.59823529</v>
      </c>
      <c r="J246" s="72">
        <v>259.0</v>
      </c>
      <c r="K246" s="73">
        <f t="shared" si="5"/>
        <v>0.06563706564</v>
      </c>
      <c r="L246" s="59">
        <v>104.02</v>
      </c>
      <c r="M246" s="59">
        <v>198.97</v>
      </c>
      <c r="N246" s="60">
        <v>8.0</v>
      </c>
      <c r="O246" s="72">
        <v>31211.0</v>
      </c>
      <c r="P246" s="73">
        <v>0.3486</v>
      </c>
      <c r="Q246" s="75">
        <f t="shared" si="7"/>
        <v>1.91280523</v>
      </c>
      <c r="R246" s="73">
        <f t="shared" si="8"/>
        <v>0.5179217534</v>
      </c>
      <c r="S246" s="76"/>
      <c r="T246" s="77"/>
      <c r="U246" s="2"/>
      <c r="V246" s="2"/>
      <c r="W246" s="2"/>
      <c r="X246" s="2"/>
      <c r="Y246" s="2"/>
      <c r="Z246" s="2"/>
    </row>
    <row r="247" hidden="1" outlineLevel="1">
      <c r="A247" s="67" t="str">
        <f t="shared" si="170"/>
        <v>7-2025</v>
      </c>
      <c r="B247" s="57">
        <v>45854.0</v>
      </c>
      <c r="C247" s="68"/>
      <c r="D247" s="69">
        <v>254.45</v>
      </c>
      <c r="E247" s="70">
        <v>11.0</v>
      </c>
      <c r="F247" s="70">
        <v>7.0</v>
      </c>
      <c r="G247" s="71">
        <f t="shared" si="2"/>
        <v>1.571428571</v>
      </c>
      <c r="H247" s="69">
        <f t="shared" si="171"/>
        <v>36.35</v>
      </c>
      <c r="I247" s="69">
        <f t="shared" si="172"/>
        <v>23.13181818</v>
      </c>
      <c r="J247" s="72">
        <v>259.0</v>
      </c>
      <c r="K247" s="73">
        <f t="shared" si="5"/>
        <v>0.04247104247</v>
      </c>
      <c r="L247" s="69">
        <v>113.13</v>
      </c>
      <c r="M247" s="69">
        <v>268.21</v>
      </c>
      <c r="N247" s="70">
        <v>8.0</v>
      </c>
      <c r="O247" s="72">
        <v>31329.0</v>
      </c>
      <c r="P247" s="73">
        <v>0.3572</v>
      </c>
      <c r="Q247" s="75">
        <f t="shared" si="7"/>
        <v>2.37081234</v>
      </c>
      <c r="R247" s="73">
        <f t="shared" si="8"/>
        <v>1.054077422</v>
      </c>
      <c r="S247" s="76"/>
      <c r="T247" s="77"/>
      <c r="U247" s="2"/>
      <c r="V247" s="2"/>
      <c r="W247" s="2"/>
      <c r="X247" s="2"/>
      <c r="Y247" s="2"/>
      <c r="Z247" s="2"/>
    </row>
    <row r="248" hidden="1" outlineLevel="1">
      <c r="A248" s="67" t="str">
        <f t="shared" si="170"/>
        <v>7-2025</v>
      </c>
      <c r="B248" s="57">
        <v>45855.0</v>
      </c>
      <c r="C248" s="68"/>
      <c r="D248" s="69">
        <v>187.99</v>
      </c>
      <c r="E248" s="70">
        <v>10.0</v>
      </c>
      <c r="F248" s="70">
        <v>9.0</v>
      </c>
      <c r="G248" s="71">
        <f t="shared" si="2"/>
        <v>1.111111111</v>
      </c>
      <c r="H248" s="69">
        <f t="shared" si="171"/>
        <v>20.88777778</v>
      </c>
      <c r="I248" s="69">
        <f t="shared" si="172"/>
        <v>18.799</v>
      </c>
      <c r="J248" s="72">
        <v>193.0</v>
      </c>
      <c r="K248" s="73">
        <f t="shared" si="5"/>
        <v>0.0518134715</v>
      </c>
      <c r="L248" s="69">
        <v>89.36</v>
      </c>
      <c r="M248" s="69">
        <v>145.25</v>
      </c>
      <c r="N248" s="70">
        <v>6.0</v>
      </c>
      <c r="O248" s="72">
        <v>26852.0</v>
      </c>
      <c r="P248" s="73">
        <v>0.3225</v>
      </c>
      <c r="Q248" s="75">
        <f t="shared" si="7"/>
        <v>1.625447628</v>
      </c>
      <c r="R248" s="73">
        <f t="shared" si="8"/>
        <v>0.7726474812</v>
      </c>
      <c r="S248" s="76"/>
      <c r="T248" s="77"/>
      <c r="U248" s="2"/>
      <c r="V248" s="2"/>
      <c r="W248" s="2"/>
      <c r="X248" s="2"/>
      <c r="Y248" s="2"/>
      <c r="Z248" s="2"/>
    </row>
    <row r="249" hidden="1" outlineLevel="1">
      <c r="A249" s="67" t="str">
        <f t="shared" si="170"/>
        <v>7-2025</v>
      </c>
      <c r="B249" s="57">
        <v>45856.0</v>
      </c>
      <c r="C249" s="68"/>
      <c r="D249" s="69">
        <v>189.74</v>
      </c>
      <c r="E249" s="70">
        <v>9.0</v>
      </c>
      <c r="F249" s="70">
        <v>8.0</v>
      </c>
      <c r="G249" s="71">
        <f t="shared" si="2"/>
        <v>1.125</v>
      </c>
      <c r="H249" s="69">
        <f t="shared" si="171"/>
        <v>23.7175</v>
      </c>
      <c r="I249" s="69">
        <f t="shared" si="172"/>
        <v>21.08222222</v>
      </c>
      <c r="J249" s="72">
        <v>175.0</v>
      </c>
      <c r="K249" s="73">
        <f t="shared" si="5"/>
        <v>0.05142857143</v>
      </c>
      <c r="L249" s="69">
        <v>64.74</v>
      </c>
      <c r="M249" s="69">
        <v>332.2</v>
      </c>
      <c r="N249" s="70">
        <v>11.0</v>
      </c>
      <c r="O249" s="72">
        <v>19878.0</v>
      </c>
      <c r="P249" s="73">
        <v>0.5913</v>
      </c>
      <c r="Q249" s="75">
        <f t="shared" si="7"/>
        <v>5.131294408</v>
      </c>
      <c r="R249" s="73">
        <f t="shared" si="8"/>
        <v>1.750816907</v>
      </c>
      <c r="S249" s="76"/>
      <c r="T249" s="77"/>
      <c r="U249" s="2"/>
      <c r="V249" s="2"/>
      <c r="W249" s="2"/>
      <c r="X249" s="2"/>
      <c r="Y249" s="2"/>
      <c r="Z249" s="2"/>
    </row>
    <row r="250" hidden="1" outlineLevel="1">
      <c r="A250" s="67" t="str">
        <f t="shared" si="170"/>
        <v>7-2025</v>
      </c>
      <c r="B250" s="57">
        <v>45857.0</v>
      </c>
      <c r="C250" s="68"/>
      <c r="D250" s="69">
        <v>357.19</v>
      </c>
      <c r="E250" s="70">
        <v>16.0</v>
      </c>
      <c r="F250" s="70">
        <v>11.0</v>
      </c>
      <c r="G250" s="71">
        <f t="shared" si="2"/>
        <v>1.454545455</v>
      </c>
      <c r="H250" s="69">
        <f t="shared" si="171"/>
        <v>32.47181818</v>
      </c>
      <c r="I250" s="69">
        <f t="shared" si="172"/>
        <v>22.324375</v>
      </c>
      <c r="J250" s="72">
        <v>190.0</v>
      </c>
      <c r="K250" s="73">
        <f t="shared" si="5"/>
        <v>0.08421052632</v>
      </c>
      <c r="L250" s="69">
        <v>74.16</v>
      </c>
      <c r="M250" s="69">
        <v>195.97</v>
      </c>
      <c r="N250" s="70">
        <v>8.0</v>
      </c>
      <c r="O250" s="72">
        <v>18304.0</v>
      </c>
      <c r="P250" s="73">
        <f t="shared" ref="P250:P251" si="175">L250/M250</f>
        <v>0.3784252692</v>
      </c>
      <c r="Q250" s="75">
        <f t="shared" si="7"/>
        <v>2.642529666</v>
      </c>
      <c r="R250" s="73">
        <f t="shared" si="8"/>
        <v>0.548643579</v>
      </c>
      <c r="S250" s="76"/>
      <c r="T250" s="77"/>
      <c r="U250" s="2"/>
      <c r="V250" s="2"/>
      <c r="W250" s="2"/>
      <c r="X250" s="2"/>
      <c r="Y250" s="2"/>
      <c r="Z250" s="2"/>
    </row>
    <row r="251" collapsed="1">
      <c r="A251" s="78" t="s">
        <v>96</v>
      </c>
      <c r="B251" s="79"/>
      <c r="C251" s="80"/>
      <c r="D251" s="81">
        <f t="shared" ref="D251:F251" si="173">SUM(D244:D250)</f>
        <v>2197.95</v>
      </c>
      <c r="E251" s="82">
        <f t="shared" si="173"/>
        <v>101</v>
      </c>
      <c r="F251" s="82">
        <f t="shared" si="173"/>
        <v>84</v>
      </c>
      <c r="G251" s="83">
        <f t="shared" si="2"/>
        <v>1.202380952</v>
      </c>
      <c r="H251" s="81">
        <f>average(H244:H250)</f>
        <v>26.80905141</v>
      </c>
      <c r="I251" s="84">
        <f>H251/G251</f>
        <v>22.29663681</v>
      </c>
      <c r="J251" s="85">
        <f>SUM(J244:J250)</f>
        <v>1738</v>
      </c>
      <c r="K251" s="86">
        <f t="shared" si="5"/>
        <v>0.0581127733</v>
      </c>
      <c r="L251" s="81">
        <f t="shared" ref="L251:N251" si="174">SUM(L244:L250)</f>
        <v>713.38</v>
      </c>
      <c r="M251" s="81">
        <f t="shared" si="174"/>
        <v>1684.29</v>
      </c>
      <c r="N251" s="87">
        <f t="shared" si="174"/>
        <v>63</v>
      </c>
      <c r="O251" s="85">
        <f>sum(O244:O250)</f>
        <v>200871</v>
      </c>
      <c r="P251" s="86">
        <f t="shared" si="175"/>
        <v>0.4235493888</v>
      </c>
      <c r="Q251" s="88">
        <f t="shared" si="7"/>
        <v>2.360999748</v>
      </c>
      <c r="R251" s="89">
        <f t="shared" si="8"/>
        <v>0.7663004163</v>
      </c>
      <c r="S251" s="80" t="str">
        <f>iferror((D251-#REF!)/D251,)</f>
        <v/>
      </c>
      <c r="T251" s="90" t="str">
        <f>iferror((F251-#REF!)/F251,)</f>
        <v/>
      </c>
      <c r="U251" s="2"/>
      <c r="V251" s="2"/>
      <c r="W251" s="2"/>
      <c r="X251" s="2"/>
      <c r="Y251" s="2"/>
      <c r="Z251" s="2"/>
    </row>
    <row r="252" hidden="1" outlineLevel="1">
      <c r="A252" s="56" t="str">
        <f t="shared" ref="A252:A258" si="176">iferror(if(B252&gt;0,month(B252)&amp;"-"&amp;year(B252),B252),)</f>
        <v>7-2025</v>
      </c>
      <c r="B252" s="57">
        <v>45858.0</v>
      </c>
      <c r="C252" s="58"/>
      <c r="D252" s="59">
        <v>224.2</v>
      </c>
      <c r="E252" s="60">
        <v>10.0</v>
      </c>
      <c r="F252" s="60">
        <v>7.0</v>
      </c>
      <c r="G252" s="61">
        <f t="shared" si="2"/>
        <v>1.428571429</v>
      </c>
      <c r="H252" s="59">
        <f t="shared" ref="H252:H258" si="177">D252/F252</f>
        <v>32.02857143</v>
      </c>
      <c r="I252" s="59">
        <f t="shared" ref="I252:I258" si="178">D252/E252</f>
        <v>22.42</v>
      </c>
      <c r="J252" s="62">
        <v>111.0</v>
      </c>
      <c r="K252" s="63">
        <f t="shared" si="5"/>
        <v>0.09009009009</v>
      </c>
      <c r="L252" s="59">
        <v>0.0</v>
      </c>
      <c r="M252" s="59">
        <v>0.0</v>
      </c>
      <c r="N252" s="60">
        <v>0.0</v>
      </c>
      <c r="O252" s="62">
        <v>0.0</v>
      </c>
      <c r="P252" s="63">
        <v>0.4734</v>
      </c>
      <c r="Q252" s="64" t="str">
        <f t="shared" si="7"/>
        <v>#DIV/0!</v>
      </c>
      <c r="R252" s="63">
        <f t="shared" si="8"/>
        <v>0</v>
      </c>
      <c r="S252" s="65"/>
      <c r="T252" s="66"/>
      <c r="U252" s="2"/>
      <c r="V252" s="2"/>
      <c r="W252" s="2"/>
      <c r="X252" s="2"/>
      <c r="Y252" s="2"/>
      <c r="Z252" s="2"/>
    </row>
    <row r="253" hidden="1" outlineLevel="1">
      <c r="A253" s="67" t="str">
        <f t="shared" si="176"/>
        <v>7-2025</v>
      </c>
      <c r="B253" s="57">
        <v>45859.0</v>
      </c>
      <c r="C253" s="68"/>
      <c r="D253" s="69">
        <v>173.98</v>
      </c>
      <c r="E253" s="70">
        <v>9.0</v>
      </c>
      <c r="F253" s="70">
        <v>9.0</v>
      </c>
      <c r="G253" s="71">
        <f t="shared" si="2"/>
        <v>1</v>
      </c>
      <c r="H253" s="69">
        <f t="shared" si="177"/>
        <v>19.33111111</v>
      </c>
      <c r="I253" s="69">
        <f t="shared" si="178"/>
        <v>19.33111111</v>
      </c>
      <c r="J253" s="72">
        <v>101.0</v>
      </c>
      <c r="K253" s="73">
        <f t="shared" si="5"/>
        <v>0.08910891089</v>
      </c>
      <c r="L253" s="69">
        <v>0.0</v>
      </c>
      <c r="M253" s="74">
        <v>0.0</v>
      </c>
      <c r="N253" s="70">
        <v>0.0</v>
      </c>
      <c r="O253" s="72">
        <v>0.0</v>
      </c>
      <c r="P253" s="73">
        <v>0.2985</v>
      </c>
      <c r="Q253" s="75" t="str">
        <f t="shared" si="7"/>
        <v>#DIV/0!</v>
      </c>
      <c r="R253" s="73">
        <f t="shared" si="8"/>
        <v>0</v>
      </c>
      <c r="S253" s="76"/>
      <c r="T253" s="77"/>
      <c r="U253" s="2"/>
      <c r="V253" s="2"/>
      <c r="W253" s="2"/>
      <c r="X253" s="2"/>
      <c r="Y253" s="2"/>
      <c r="Z253" s="2"/>
    </row>
    <row r="254" hidden="1" outlineLevel="1">
      <c r="A254" s="67" t="str">
        <f t="shared" si="176"/>
        <v>7-2025</v>
      </c>
      <c r="B254" s="57">
        <v>45860.0</v>
      </c>
      <c r="C254" s="68"/>
      <c r="D254" s="69">
        <v>73.23</v>
      </c>
      <c r="E254" s="70">
        <v>3.0</v>
      </c>
      <c r="F254" s="70">
        <v>3.0</v>
      </c>
      <c r="G254" s="71">
        <f t="shared" si="2"/>
        <v>1</v>
      </c>
      <c r="H254" s="69">
        <f t="shared" si="177"/>
        <v>24.41</v>
      </c>
      <c r="I254" s="69">
        <f t="shared" si="178"/>
        <v>24.41</v>
      </c>
      <c r="J254" s="72">
        <v>86.0</v>
      </c>
      <c r="K254" s="73">
        <f t="shared" si="5"/>
        <v>0.03488372093</v>
      </c>
      <c r="L254" s="59">
        <v>0.0</v>
      </c>
      <c r="M254" s="59">
        <v>0.0</v>
      </c>
      <c r="N254" s="60">
        <v>0.0</v>
      </c>
      <c r="O254" s="72">
        <v>0.0</v>
      </c>
      <c r="P254" s="73">
        <v>0.3486</v>
      </c>
      <c r="Q254" s="75" t="str">
        <f t="shared" si="7"/>
        <v>#DIV/0!</v>
      </c>
      <c r="R254" s="73">
        <f t="shared" si="8"/>
        <v>0</v>
      </c>
      <c r="S254" s="76"/>
      <c r="T254" s="77"/>
      <c r="U254" s="2"/>
      <c r="V254" s="2"/>
      <c r="W254" s="2"/>
      <c r="X254" s="2"/>
      <c r="Y254" s="2"/>
      <c r="Z254" s="2"/>
    </row>
    <row r="255" hidden="1" outlineLevel="1">
      <c r="A255" s="67" t="str">
        <f t="shared" si="176"/>
        <v>7-2025</v>
      </c>
      <c r="B255" s="57">
        <v>45861.0</v>
      </c>
      <c r="C255" s="68"/>
      <c r="D255" s="69">
        <v>46.24</v>
      </c>
      <c r="E255" s="70">
        <v>2.0</v>
      </c>
      <c r="F255" s="70">
        <v>2.0</v>
      </c>
      <c r="G255" s="71">
        <f t="shared" si="2"/>
        <v>1</v>
      </c>
      <c r="H255" s="69">
        <f t="shared" si="177"/>
        <v>23.12</v>
      </c>
      <c r="I255" s="69">
        <f t="shared" si="178"/>
        <v>23.12</v>
      </c>
      <c r="J255" s="72">
        <v>59.0</v>
      </c>
      <c r="K255" s="73">
        <f t="shared" si="5"/>
        <v>0.03389830508</v>
      </c>
      <c r="L255" s="69">
        <v>0.0</v>
      </c>
      <c r="M255" s="69">
        <v>0.0</v>
      </c>
      <c r="N255" s="70">
        <v>0.0</v>
      </c>
      <c r="O255" s="72">
        <v>0.0</v>
      </c>
      <c r="P255" s="73">
        <v>0.3572</v>
      </c>
      <c r="Q255" s="75" t="str">
        <f t="shared" si="7"/>
        <v>#DIV/0!</v>
      </c>
      <c r="R255" s="73">
        <f t="shared" si="8"/>
        <v>0</v>
      </c>
      <c r="S255" s="76"/>
      <c r="T255" s="77"/>
      <c r="U255" s="2"/>
      <c r="V255" s="2"/>
      <c r="W255" s="2"/>
      <c r="X255" s="2"/>
      <c r="Y255" s="2"/>
      <c r="Z255" s="2"/>
    </row>
    <row r="256" hidden="1" outlineLevel="1">
      <c r="A256" s="67" t="str">
        <f t="shared" si="176"/>
        <v>7-2025</v>
      </c>
      <c r="B256" s="57">
        <v>45862.0</v>
      </c>
      <c r="C256" s="68"/>
      <c r="D256" s="69">
        <v>189.74</v>
      </c>
      <c r="E256" s="70">
        <v>9.0</v>
      </c>
      <c r="F256" s="70">
        <v>9.0</v>
      </c>
      <c r="G256" s="71">
        <f t="shared" si="2"/>
        <v>1</v>
      </c>
      <c r="H256" s="69">
        <f t="shared" si="177"/>
        <v>21.08222222</v>
      </c>
      <c r="I256" s="69">
        <f t="shared" si="178"/>
        <v>21.08222222</v>
      </c>
      <c r="J256" s="72">
        <v>97.0</v>
      </c>
      <c r="K256" s="73">
        <f t="shared" si="5"/>
        <v>0.09278350515</v>
      </c>
      <c r="L256" s="69">
        <v>0.0</v>
      </c>
      <c r="M256" s="69">
        <v>0.0</v>
      </c>
      <c r="N256" s="70">
        <v>0.0</v>
      </c>
      <c r="O256" s="72">
        <v>0.0</v>
      </c>
      <c r="P256" s="73">
        <v>0.3225</v>
      </c>
      <c r="Q256" s="75" t="str">
        <f t="shared" si="7"/>
        <v>#DIV/0!</v>
      </c>
      <c r="R256" s="73">
        <f t="shared" si="8"/>
        <v>0</v>
      </c>
      <c r="S256" s="76"/>
      <c r="T256" s="77"/>
      <c r="U256" s="2"/>
      <c r="V256" s="2"/>
      <c r="W256" s="2"/>
      <c r="X256" s="2"/>
      <c r="Y256" s="2"/>
      <c r="Z256" s="2"/>
    </row>
    <row r="257" hidden="1" outlineLevel="1">
      <c r="A257" s="67" t="str">
        <f t="shared" si="176"/>
        <v>7-2025</v>
      </c>
      <c r="B257" s="57">
        <v>45863.0</v>
      </c>
      <c r="C257" s="68"/>
      <c r="D257" s="69">
        <v>301.96</v>
      </c>
      <c r="E257" s="70">
        <v>14.0</v>
      </c>
      <c r="F257" s="70">
        <v>10.0</v>
      </c>
      <c r="G257" s="71">
        <f t="shared" si="2"/>
        <v>1.4</v>
      </c>
      <c r="H257" s="69">
        <f t="shared" si="177"/>
        <v>30.196</v>
      </c>
      <c r="I257" s="69">
        <f t="shared" si="178"/>
        <v>21.56857143</v>
      </c>
      <c r="J257" s="72">
        <v>70.0</v>
      </c>
      <c r="K257" s="73">
        <f t="shared" si="5"/>
        <v>0.2</v>
      </c>
      <c r="L257" s="69">
        <v>0.0</v>
      </c>
      <c r="M257" s="69">
        <v>0.0</v>
      </c>
      <c r="N257" s="70">
        <v>0.0</v>
      </c>
      <c r="O257" s="72">
        <v>0.0</v>
      </c>
      <c r="P257" s="73">
        <v>0.5913</v>
      </c>
      <c r="Q257" s="75" t="str">
        <f t="shared" si="7"/>
        <v>#DIV/0!</v>
      </c>
      <c r="R257" s="73">
        <f t="shared" si="8"/>
        <v>0</v>
      </c>
      <c r="S257" s="76"/>
      <c r="T257" s="77"/>
      <c r="U257" s="2"/>
      <c r="V257" s="2"/>
      <c r="W257" s="2"/>
      <c r="X257" s="2"/>
      <c r="Y257" s="2"/>
      <c r="Z257" s="2"/>
    </row>
    <row r="258" hidden="1" outlineLevel="1">
      <c r="A258" s="67" t="str">
        <f t="shared" si="176"/>
        <v>7-2025</v>
      </c>
      <c r="B258" s="57">
        <v>45864.0</v>
      </c>
      <c r="C258" s="68"/>
      <c r="D258" s="69">
        <v>225.95</v>
      </c>
      <c r="E258" s="70">
        <v>10.0</v>
      </c>
      <c r="F258" s="70">
        <v>8.0</v>
      </c>
      <c r="G258" s="71">
        <f t="shared" si="2"/>
        <v>1.25</v>
      </c>
      <c r="H258" s="69">
        <f t="shared" si="177"/>
        <v>28.24375</v>
      </c>
      <c r="I258" s="69">
        <f t="shared" si="178"/>
        <v>22.595</v>
      </c>
      <c r="J258" s="72">
        <v>84.0</v>
      </c>
      <c r="K258" s="73">
        <f t="shared" si="5"/>
        <v>0.119047619</v>
      </c>
      <c r="L258" s="69">
        <v>0.0</v>
      </c>
      <c r="M258" s="69">
        <v>0.0</v>
      </c>
      <c r="N258" s="70">
        <v>0.0</v>
      </c>
      <c r="O258" s="72">
        <v>0.0</v>
      </c>
      <c r="P258" s="73" t="str">
        <f t="shared" ref="P258:P259" si="181">L258/M258</f>
        <v>#DIV/0!</v>
      </c>
      <c r="Q258" s="75" t="str">
        <f t="shared" si="7"/>
        <v>#DIV/0!</v>
      </c>
      <c r="R258" s="73">
        <f t="shared" si="8"/>
        <v>0</v>
      </c>
      <c r="S258" s="76"/>
      <c r="T258" s="77"/>
      <c r="U258" s="2"/>
      <c r="V258" s="2"/>
      <c r="W258" s="2"/>
      <c r="X258" s="2"/>
      <c r="Y258" s="2"/>
      <c r="Z258" s="2"/>
    </row>
    <row r="259" collapsed="1">
      <c r="A259" s="78" t="s">
        <v>97</v>
      </c>
      <c r="B259" s="79"/>
      <c r="C259" s="80"/>
      <c r="D259" s="81">
        <f t="shared" ref="D259:F259" si="179">SUM(D252:D258)</f>
        <v>1235.3</v>
      </c>
      <c r="E259" s="82">
        <f t="shared" si="179"/>
        <v>57</v>
      </c>
      <c r="F259" s="82">
        <f t="shared" si="179"/>
        <v>48</v>
      </c>
      <c r="G259" s="83">
        <f t="shared" si="2"/>
        <v>1.1875</v>
      </c>
      <c r="H259" s="81">
        <f>average(H252:H258)</f>
        <v>25.48737925</v>
      </c>
      <c r="I259" s="84">
        <f>H259/G259</f>
        <v>21.46305621</v>
      </c>
      <c r="J259" s="85">
        <f>SUM(J252:J258)</f>
        <v>608</v>
      </c>
      <c r="K259" s="86">
        <f t="shared" si="5"/>
        <v>0.09375</v>
      </c>
      <c r="L259" s="81">
        <f t="shared" ref="L259:N259" si="180">SUM(L252:L258)</f>
        <v>0</v>
      </c>
      <c r="M259" s="81">
        <f t="shared" si="180"/>
        <v>0</v>
      </c>
      <c r="N259" s="87">
        <f t="shared" si="180"/>
        <v>0</v>
      </c>
      <c r="O259" s="85">
        <f>sum(O252:O258)</f>
        <v>0</v>
      </c>
      <c r="P259" s="86" t="str">
        <f t="shared" si="181"/>
        <v>#DIV/0!</v>
      </c>
      <c r="Q259" s="88" t="str">
        <f t="shared" si="7"/>
        <v>#DIV/0!</v>
      </c>
      <c r="R259" s="89">
        <f t="shared" si="8"/>
        <v>0</v>
      </c>
      <c r="S259" s="80" t="str">
        <f>iferror((D259-#REF!)/D259,)</f>
        <v/>
      </c>
      <c r="T259" s="90" t="str">
        <f>iferror((F259-#REF!)/F259,)</f>
        <v/>
      </c>
      <c r="U259" s="2"/>
      <c r="V259" s="2"/>
      <c r="W259" s="2"/>
      <c r="X259" s="2"/>
      <c r="Y259" s="2"/>
      <c r="Z259" s="2"/>
    </row>
    <row r="260" hidden="1" outlineLevel="1">
      <c r="A260" s="56" t="str">
        <f t="shared" ref="A260:A266" si="182">iferror(if(B260&gt;0,month(B260)&amp;"-"&amp;year(B260),B260),)</f>
        <v>7-2025</v>
      </c>
      <c r="B260" s="57">
        <v>45865.0</v>
      </c>
      <c r="C260" s="58"/>
      <c r="D260" s="59">
        <v>147.24</v>
      </c>
      <c r="E260" s="60">
        <v>7.0</v>
      </c>
      <c r="F260" s="60">
        <v>7.0</v>
      </c>
      <c r="G260" s="61">
        <f t="shared" si="2"/>
        <v>1</v>
      </c>
      <c r="H260" s="59">
        <f t="shared" ref="H260:H266" si="183">D260/F260</f>
        <v>21.03428571</v>
      </c>
      <c r="I260" s="59">
        <f t="shared" ref="I260:I266" si="184">D260/E260</f>
        <v>21.03428571</v>
      </c>
      <c r="J260" s="62">
        <v>102.0</v>
      </c>
      <c r="K260" s="63">
        <f t="shared" si="5"/>
        <v>0.06862745098</v>
      </c>
      <c r="L260" s="59">
        <v>0.0</v>
      </c>
      <c r="M260" s="59">
        <v>0.0</v>
      </c>
      <c r="N260" s="60">
        <v>0.0</v>
      </c>
      <c r="O260" s="62">
        <v>0.0</v>
      </c>
      <c r="P260" s="63">
        <v>0.4734</v>
      </c>
      <c r="Q260" s="64" t="str">
        <f t="shared" si="7"/>
        <v>#DIV/0!</v>
      </c>
      <c r="R260" s="63">
        <f t="shared" si="8"/>
        <v>0</v>
      </c>
      <c r="S260" s="65"/>
      <c r="T260" s="66"/>
      <c r="U260" s="2"/>
      <c r="V260" s="2"/>
      <c r="W260" s="2"/>
      <c r="X260" s="2"/>
      <c r="Y260" s="2"/>
      <c r="Z260" s="2"/>
    </row>
    <row r="261" hidden="1" outlineLevel="1">
      <c r="A261" s="67" t="str">
        <f t="shared" si="182"/>
        <v>7-2025</v>
      </c>
      <c r="B261" s="57">
        <v>45866.0</v>
      </c>
      <c r="C261" s="68"/>
      <c r="D261" s="69">
        <v>173.98</v>
      </c>
      <c r="E261" s="70">
        <v>8.0</v>
      </c>
      <c r="F261" s="70">
        <v>7.0</v>
      </c>
      <c r="G261" s="71">
        <f t="shared" si="2"/>
        <v>1.142857143</v>
      </c>
      <c r="H261" s="69">
        <f t="shared" si="183"/>
        <v>24.85428571</v>
      </c>
      <c r="I261" s="69">
        <f t="shared" si="184"/>
        <v>21.7475</v>
      </c>
      <c r="J261" s="72">
        <v>87.0</v>
      </c>
      <c r="K261" s="73">
        <f t="shared" si="5"/>
        <v>0.09195402299</v>
      </c>
      <c r="L261" s="69">
        <v>0.0</v>
      </c>
      <c r="M261" s="74">
        <v>0.0</v>
      </c>
      <c r="N261" s="70">
        <v>0.0</v>
      </c>
      <c r="O261" s="72">
        <v>0.0</v>
      </c>
      <c r="P261" s="73">
        <v>0.2985</v>
      </c>
      <c r="Q261" s="75" t="str">
        <f t="shared" si="7"/>
        <v>#DIV/0!</v>
      </c>
      <c r="R261" s="73">
        <f t="shared" si="8"/>
        <v>0</v>
      </c>
      <c r="S261" s="76"/>
      <c r="T261" s="77"/>
      <c r="U261" s="2"/>
      <c r="V261" s="2"/>
      <c r="W261" s="2"/>
      <c r="X261" s="2"/>
      <c r="Y261" s="2"/>
      <c r="Z261" s="2"/>
    </row>
    <row r="262" hidden="1" outlineLevel="1">
      <c r="A262" s="67" t="str">
        <f t="shared" si="182"/>
        <v>7-2025</v>
      </c>
      <c r="B262" s="57">
        <v>45867.0</v>
      </c>
      <c r="C262" s="68"/>
      <c r="D262" s="69">
        <v>111.98</v>
      </c>
      <c r="E262" s="70">
        <v>5.0</v>
      </c>
      <c r="F262" s="70">
        <v>5.0</v>
      </c>
      <c r="G262" s="71">
        <f t="shared" si="2"/>
        <v>1</v>
      </c>
      <c r="H262" s="69">
        <f t="shared" si="183"/>
        <v>22.396</v>
      </c>
      <c r="I262" s="69">
        <f t="shared" si="184"/>
        <v>22.396</v>
      </c>
      <c r="J262" s="72">
        <v>73.0</v>
      </c>
      <c r="K262" s="73">
        <f t="shared" si="5"/>
        <v>0.06849315068</v>
      </c>
      <c r="L262" s="59">
        <v>0.0</v>
      </c>
      <c r="M262" s="59">
        <v>0.0</v>
      </c>
      <c r="N262" s="60">
        <v>0.0</v>
      </c>
      <c r="O262" s="72">
        <v>0.0</v>
      </c>
      <c r="P262" s="73">
        <v>0.3486</v>
      </c>
      <c r="Q262" s="75" t="str">
        <f t="shared" si="7"/>
        <v>#DIV/0!</v>
      </c>
      <c r="R262" s="73">
        <f t="shared" si="8"/>
        <v>0</v>
      </c>
      <c r="S262" s="76"/>
      <c r="T262" s="77"/>
      <c r="U262" s="2"/>
      <c r="V262" s="2"/>
      <c r="W262" s="2"/>
      <c r="X262" s="2"/>
      <c r="Y262" s="2"/>
      <c r="Z262" s="2"/>
    </row>
    <row r="263" hidden="1" outlineLevel="1">
      <c r="A263" s="67" t="str">
        <f t="shared" si="182"/>
        <v>7-2025</v>
      </c>
      <c r="B263" s="57">
        <v>45868.0</v>
      </c>
      <c r="C263" s="68"/>
      <c r="D263" s="69">
        <v>102.75</v>
      </c>
      <c r="E263" s="70">
        <v>5.0</v>
      </c>
      <c r="F263" s="70">
        <v>4.0</v>
      </c>
      <c r="G263" s="71">
        <f t="shared" si="2"/>
        <v>1.25</v>
      </c>
      <c r="H263" s="69">
        <f t="shared" si="183"/>
        <v>25.6875</v>
      </c>
      <c r="I263" s="69">
        <f t="shared" si="184"/>
        <v>20.55</v>
      </c>
      <c r="J263" s="72">
        <v>61.0</v>
      </c>
      <c r="K263" s="73">
        <f t="shared" si="5"/>
        <v>0.08196721311</v>
      </c>
      <c r="L263" s="69">
        <v>6.51</v>
      </c>
      <c r="M263" s="69">
        <v>19.5</v>
      </c>
      <c r="N263" s="70">
        <v>1.0</v>
      </c>
      <c r="O263" s="72">
        <v>1070.0</v>
      </c>
      <c r="P263" s="73">
        <v>0.3572</v>
      </c>
      <c r="Q263" s="75">
        <f t="shared" si="7"/>
        <v>2.995391705</v>
      </c>
      <c r="R263" s="73">
        <f t="shared" si="8"/>
        <v>0.1897810219</v>
      </c>
      <c r="S263" s="76"/>
      <c r="T263" s="77"/>
      <c r="U263" s="2"/>
      <c r="V263" s="2"/>
      <c r="W263" s="2"/>
      <c r="X263" s="2"/>
      <c r="Y263" s="2"/>
      <c r="Z263" s="2"/>
    </row>
    <row r="264" hidden="1" outlineLevel="1">
      <c r="A264" s="67" t="str">
        <f t="shared" si="182"/>
        <v>7-2025</v>
      </c>
      <c r="B264" s="57">
        <v>45869.0</v>
      </c>
      <c r="C264" s="68"/>
      <c r="D264" s="69">
        <v>291.69</v>
      </c>
      <c r="E264" s="70">
        <v>13.0</v>
      </c>
      <c r="F264" s="70">
        <v>12.0</v>
      </c>
      <c r="G264" s="71">
        <f t="shared" si="2"/>
        <v>1.083333333</v>
      </c>
      <c r="H264" s="69">
        <f t="shared" si="183"/>
        <v>24.3075</v>
      </c>
      <c r="I264" s="69">
        <f t="shared" si="184"/>
        <v>22.43769231</v>
      </c>
      <c r="J264" s="72">
        <v>121.0</v>
      </c>
      <c r="K264" s="73">
        <f t="shared" si="5"/>
        <v>0.1074380165</v>
      </c>
      <c r="L264" s="69">
        <v>25.08</v>
      </c>
      <c r="M264" s="69">
        <v>156.47</v>
      </c>
      <c r="N264" s="70">
        <v>6.0</v>
      </c>
      <c r="O264" s="72">
        <v>7537.0</v>
      </c>
      <c r="P264" s="73">
        <v>0.3225</v>
      </c>
      <c r="Q264" s="75">
        <f t="shared" si="7"/>
        <v>6.238835726</v>
      </c>
      <c r="R264" s="73">
        <f t="shared" si="8"/>
        <v>0.5364256574</v>
      </c>
      <c r="S264" s="76"/>
      <c r="T264" s="77"/>
      <c r="U264" s="2"/>
      <c r="V264" s="2"/>
      <c r="W264" s="2"/>
      <c r="X264" s="2"/>
      <c r="Y264" s="2"/>
      <c r="Z264" s="2"/>
    </row>
    <row r="265" hidden="1" outlineLevel="1">
      <c r="A265" s="67" t="str">
        <f t="shared" si="182"/>
        <v>8-2025</v>
      </c>
      <c r="B265" s="57">
        <v>45870.0</v>
      </c>
      <c r="C265" s="68"/>
      <c r="D265" s="69">
        <v>214.49</v>
      </c>
      <c r="E265" s="70">
        <v>10.0</v>
      </c>
      <c r="F265" s="70">
        <v>10.0</v>
      </c>
      <c r="G265" s="71">
        <f t="shared" si="2"/>
        <v>1</v>
      </c>
      <c r="H265" s="69">
        <f t="shared" si="183"/>
        <v>21.449</v>
      </c>
      <c r="I265" s="69">
        <f t="shared" si="184"/>
        <v>21.449</v>
      </c>
      <c r="J265" s="72">
        <v>156.0</v>
      </c>
      <c r="K265" s="73">
        <f t="shared" si="5"/>
        <v>0.0641025641</v>
      </c>
      <c r="L265" s="69">
        <v>65.82</v>
      </c>
      <c r="M265" s="69">
        <v>235.74</v>
      </c>
      <c r="N265" s="70">
        <v>11.0</v>
      </c>
      <c r="O265" s="72">
        <v>15733.0</v>
      </c>
      <c r="P265" s="73">
        <v>0.5913</v>
      </c>
      <c r="Q265" s="75">
        <f t="shared" si="7"/>
        <v>3.581586144</v>
      </c>
      <c r="R265" s="73">
        <f t="shared" si="8"/>
        <v>1.099072218</v>
      </c>
      <c r="S265" s="76"/>
      <c r="T265" s="77"/>
      <c r="U265" s="2"/>
      <c r="V265" s="2"/>
      <c r="W265" s="2"/>
      <c r="X265" s="2"/>
      <c r="Y265" s="2"/>
      <c r="Z265" s="2"/>
    </row>
    <row r="266" hidden="1" outlineLevel="1">
      <c r="A266" s="67" t="str">
        <f t="shared" si="182"/>
        <v>8-2025</v>
      </c>
      <c r="B266" s="57">
        <v>45871.0</v>
      </c>
      <c r="C266" s="68"/>
      <c r="D266" s="69">
        <v>575.19</v>
      </c>
      <c r="E266" s="70">
        <v>26.0</v>
      </c>
      <c r="F266" s="70">
        <v>19.0</v>
      </c>
      <c r="G266" s="71">
        <f t="shared" si="2"/>
        <v>1.368421053</v>
      </c>
      <c r="H266" s="69">
        <f t="shared" si="183"/>
        <v>30.27315789</v>
      </c>
      <c r="I266" s="69">
        <f t="shared" si="184"/>
        <v>22.12269231</v>
      </c>
      <c r="J266" s="72">
        <v>236.0</v>
      </c>
      <c r="K266" s="73">
        <f t="shared" si="5"/>
        <v>0.1101694915</v>
      </c>
      <c r="L266" s="69">
        <v>94.48</v>
      </c>
      <c r="M266" s="69">
        <v>439.47</v>
      </c>
      <c r="N266" s="70">
        <v>14.0</v>
      </c>
      <c r="O266" s="72">
        <v>20537.0</v>
      </c>
      <c r="P266" s="73">
        <f t="shared" ref="P266:P267" si="187">L266/M266</f>
        <v>0.2149862334</v>
      </c>
      <c r="Q266" s="75">
        <f t="shared" si="7"/>
        <v>4.651460627</v>
      </c>
      <c r="R266" s="73">
        <f t="shared" si="8"/>
        <v>0.7640431857</v>
      </c>
      <c r="S266" s="76"/>
      <c r="T266" s="77"/>
      <c r="U266" s="2"/>
      <c r="V266" s="2"/>
      <c r="W266" s="2"/>
      <c r="X266" s="2"/>
      <c r="Y266" s="2"/>
      <c r="Z266" s="2"/>
    </row>
    <row r="267" collapsed="1">
      <c r="A267" s="78" t="s">
        <v>98</v>
      </c>
      <c r="B267" s="79"/>
      <c r="C267" s="80"/>
      <c r="D267" s="81">
        <f t="shared" ref="D267:F267" si="185">SUM(D260:D266)</f>
        <v>1617.32</v>
      </c>
      <c r="E267" s="82">
        <f t="shared" si="185"/>
        <v>74</v>
      </c>
      <c r="F267" s="82">
        <f t="shared" si="185"/>
        <v>64</v>
      </c>
      <c r="G267" s="83">
        <f t="shared" si="2"/>
        <v>1.15625</v>
      </c>
      <c r="H267" s="81">
        <f>average(H260:H266)</f>
        <v>24.28596133</v>
      </c>
      <c r="I267" s="84">
        <f>H267/G267</f>
        <v>21.00407467</v>
      </c>
      <c r="J267" s="85">
        <f>SUM(J260:J266)</f>
        <v>836</v>
      </c>
      <c r="K267" s="86">
        <f t="shared" si="5"/>
        <v>0.08851674641</v>
      </c>
      <c r="L267" s="81">
        <f t="shared" ref="L267:N267" si="186">SUM(L260:L266)</f>
        <v>191.89</v>
      </c>
      <c r="M267" s="81">
        <f t="shared" si="186"/>
        <v>851.18</v>
      </c>
      <c r="N267" s="87">
        <f t="shared" si="186"/>
        <v>32</v>
      </c>
      <c r="O267" s="85">
        <f>sum(O260:O266)</f>
        <v>44877</v>
      </c>
      <c r="P267" s="86">
        <f t="shared" si="187"/>
        <v>0.2254399774</v>
      </c>
      <c r="Q267" s="88">
        <f t="shared" si="7"/>
        <v>4.435770494</v>
      </c>
      <c r="R267" s="89">
        <f t="shared" si="8"/>
        <v>0.5262904064</v>
      </c>
      <c r="S267" s="80" t="str">
        <f>iferror((D267-#REF!)/D267,)</f>
        <v/>
      </c>
      <c r="T267" s="90" t="str">
        <f>iferror((F267-#REF!)/F267,)</f>
        <v/>
      </c>
      <c r="U267" s="2"/>
      <c r="V267" s="2"/>
      <c r="W267" s="2"/>
      <c r="X267" s="2"/>
      <c r="Y267" s="2"/>
      <c r="Z267" s="2"/>
    </row>
    <row r="268" hidden="1" outlineLevel="1">
      <c r="A268" s="56" t="str">
        <f t="shared" ref="A268:A274" si="188">iferror(if(B268&gt;0,month(B268)&amp;"-"&amp;year(B268),B268),)</f>
        <v>8-2025</v>
      </c>
      <c r="B268" s="57">
        <v>45872.0</v>
      </c>
      <c r="C268" s="58"/>
      <c r="D268" s="59">
        <v>378.44</v>
      </c>
      <c r="E268" s="60">
        <v>17.0</v>
      </c>
      <c r="F268" s="60">
        <v>14.0</v>
      </c>
      <c r="G268" s="61">
        <f t="shared" si="2"/>
        <v>1.214285714</v>
      </c>
      <c r="H268" s="59">
        <f t="shared" ref="H268:H274" si="189">D268/F268</f>
        <v>27.03142857</v>
      </c>
      <c r="I268" s="59">
        <f t="shared" ref="I268:I274" si="190">D268/E268</f>
        <v>22.26117647</v>
      </c>
      <c r="J268" s="62">
        <v>218.0</v>
      </c>
      <c r="K268" s="63">
        <f t="shared" si="5"/>
        <v>0.07798165138</v>
      </c>
      <c r="L268" s="59">
        <v>85.39</v>
      </c>
      <c r="M268" s="59">
        <v>341.43</v>
      </c>
      <c r="N268" s="60">
        <v>13.0</v>
      </c>
      <c r="O268" s="62">
        <v>20608.0</v>
      </c>
      <c r="P268" s="63">
        <v>0.4734</v>
      </c>
      <c r="Q268" s="64">
        <f t="shared" si="7"/>
        <v>3.998477573</v>
      </c>
      <c r="R268" s="63">
        <f t="shared" si="8"/>
        <v>0.902203784</v>
      </c>
      <c r="S268" s="65"/>
      <c r="T268" s="66"/>
      <c r="U268" s="2"/>
      <c r="V268" s="2"/>
      <c r="W268" s="2"/>
      <c r="X268" s="2"/>
      <c r="Y268" s="2"/>
      <c r="Z268" s="2"/>
    </row>
    <row r="269" hidden="1" outlineLevel="1">
      <c r="A269" s="67" t="str">
        <f t="shared" si="188"/>
        <v>8-2025</v>
      </c>
      <c r="B269" s="57">
        <v>45873.0</v>
      </c>
      <c r="C269" s="68"/>
      <c r="D269" s="69">
        <v>657.08</v>
      </c>
      <c r="E269" s="70">
        <v>28.0</v>
      </c>
      <c r="F269" s="70">
        <v>17.0</v>
      </c>
      <c r="G269" s="71">
        <f t="shared" si="2"/>
        <v>1.647058824</v>
      </c>
      <c r="H269" s="69">
        <f t="shared" si="189"/>
        <v>38.65176471</v>
      </c>
      <c r="I269" s="69">
        <f t="shared" si="190"/>
        <v>23.46714286</v>
      </c>
      <c r="J269" s="72">
        <v>231.0</v>
      </c>
      <c r="K269" s="73">
        <f t="shared" si="5"/>
        <v>0.1212121212</v>
      </c>
      <c r="L269" s="69">
        <v>76.63</v>
      </c>
      <c r="M269" s="74">
        <v>733.79</v>
      </c>
      <c r="N269" s="70">
        <v>15.0</v>
      </c>
      <c r="O269" s="72">
        <v>20642.0</v>
      </c>
      <c r="P269" s="73">
        <v>0.2985</v>
      </c>
      <c r="Q269" s="75">
        <f t="shared" si="7"/>
        <v>9.575753621</v>
      </c>
      <c r="R269" s="73">
        <f t="shared" si="8"/>
        <v>1.116743775</v>
      </c>
      <c r="S269" s="76"/>
      <c r="T269" s="77"/>
      <c r="U269" s="2"/>
      <c r="V269" s="2"/>
      <c r="W269" s="2"/>
      <c r="X269" s="2"/>
      <c r="Y269" s="2"/>
      <c r="Z269" s="2"/>
    </row>
    <row r="270" hidden="1" outlineLevel="1">
      <c r="A270" s="67" t="str">
        <f t="shared" si="188"/>
        <v>8-2025</v>
      </c>
      <c r="B270" s="57">
        <v>45874.0</v>
      </c>
      <c r="C270" s="68"/>
      <c r="D270" s="69">
        <v>647.23</v>
      </c>
      <c r="E270" s="70">
        <v>33.0</v>
      </c>
      <c r="F270" s="70">
        <v>14.0</v>
      </c>
      <c r="G270" s="71">
        <f t="shared" si="2"/>
        <v>2.357142857</v>
      </c>
      <c r="H270" s="69">
        <f t="shared" si="189"/>
        <v>46.23071429</v>
      </c>
      <c r="I270" s="69">
        <f t="shared" si="190"/>
        <v>19.6130303</v>
      </c>
      <c r="J270" s="72">
        <v>256.0</v>
      </c>
      <c r="K270" s="73">
        <f t="shared" si="5"/>
        <v>0.12890625</v>
      </c>
      <c r="L270" s="59">
        <v>80.18</v>
      </c>
      <c r="M270" s="59">
        <v>175.97</v>
      </c>
      <c r="N270" s="60">
        <v>8.0</v>
      </c>
      <c r="O270" s="72">
        <v>25502.0</v>
      </c>
      <c r="P270" s="73">
        <v>0.3486</v>
      </c>
      <c r="Q270" s="75">
        <f t="shared" si="7"/>
        <v>2.194686954</v>
      </c>
      <c r="R270" s="73">
        <f t="shared" si="8"/>
        <v>0.2718817113</v>
      </c>
      <c r="S270" s="76"/>
      <c r="T270" s="77"/>
      <c r="U270" s="2"/>
      <c r="V270" s="2"/>
      <c r="W270" s="2"/>
      <c r="X270" s="2"/>
      <c r="Y270" s="2"/>
      <c r="Z270" s="2"/>
    </row>
    <row r="271" hidden="1" outlineLevel="1">
      <c r="A271" s="67" t="str">
        <f t="shared" si="188"/>
        <v>8-2025</v>
      </c>
      <c r="B271" s="57">
        <v>45875.0</v>
      </c>
      <c r="C271" s="68"/>
      <c r="D271" s="69">
        <v>398.18</v>
      </c>
      <c r="E271" s="70">
        <v>18.0</v>
      </c>
      <c r="F271" s="70">
        <v>17.0</v>
      </c>
      <c r="G271" s="71">
        <f t="shared" si="2"/>
        <v>1.058823529</v>
      </c>
      <c r="H271" s="69">
        <f t="shared" si="189"/>
        <v>23.42235294</v>
      </c>
      <c r="I271" s="69">
        <f t="shared" si="190"/>
        <v>22.12111111</v>
      </c>
      <c r="J271" s="72">
        <v>214.0</v>
      </c>
      <c r="K271" s="73">
        <f t="shared" si="5"/>
        <v>0.08411214953</v>
      </c>
      <c r="L271" s="69">
        <v>75.22</v>
      </c>
      <c r="M271" s="69">
        <v>272.19</v>
      </c>
      <c r="N271" s="70">
        <v>11.0</v>
      </c>
      <c r="O271" s="72">
        <v>22276.0</v>
      </c>
      <c r="P271" s="73">
        <v>0.3572</v>
      </c>
      <c r="Q271" s="75">
        <f t="shared" si="7"/>
        <v>3.618585483</v>
      </c>
      <c r="R271" s="73">
        <f t="shared" si="8"/>
        <v>0.6835853132</v>
      </c>
      <c r="S271" s="76"/>
      <c r="T271" s="77"/>
      <c r="U271" s="2"/>
      <c r="V271" s="2"/>
      <c r="W271" s="2"/>
      <c r="X271" s="2"/>
      <c r="Y271" s="2"/>
      <c r="Z271" s="2"/>
    </row>
    <row r="272" hidden="1" outlineLevel="1">
      <c r="A272" s="67" t="str">
        <f t="shared" si="188"/>
        <v>8-2025</v>
      </c>
      <c r="B272" s="57">
        <v>45876.0</v>
      </c>
      <c r="C272" s="68"/>
      <c r="D272" s="69">
        <v>453.65</v>
      </c>
      <c r="E272" s="70">
        <v>20.0</v>
      </c>
      <c r="F272" s="70">
        <v>11.0</v>
      </c>
      <c r="G272" s="71">
        <f t="shared" si="2"/>
        <v>1.818181818</v>
      </c>
      <c r="H272" s="69">
        <f t="shared" si="189"/>
        <v>41.24090909</v>
      </c>
      <c r="I272" s="69">
        <f t="shared" si="190"/>
        <v>22.6825</v>
      </c>
      <c r="J272" s="72">
        <v>214.0</v>
      </c>
      <c r="K272" s="73">
        <f t="shared" si="5"/>
        <v>0.09345794393</v>
      </c>
      <c r="L272" s="69">
        <v>70.67</v>
      </c>
      <c r="M272" s="69">
        <v>257.47</v>
      </c>
      <c r="N272" s="70">
        <v>9.0</v>
      </c>
      <c r="O272" s="72">
        <v>21486.0</v>
      </c>
      <c r="P272" s="73">
        <v>0.3225</v>
      </c>
      <c r="Q272" s="75">
        <f t="shared" si="7"/>
        <v>3.643271544</v>
      </c>
      <c r="R272" s="73">
        <f t="shared" si="8"/>
        <v>0.5675520776</v>
      </c>
      <c r="S272" s="76"/>
      <c r="T272" s="77"/>
      <c r="U272" s="2"/>
      <c r="V272" s="2"/>
      <c r="W272" s="2"/>
      <c r="X272" s="2"/>
      <c r="Y272" s="2"/>
      <c r="Z272" s="2"/>
    </row>
    <row r="273" hidden="1" outlineLevel="1">
      <c r="A273" s="67" t="str">
        <f t="shared" si="188"/>
        <v>8-2025</v>
      </c>
      <c r="B273" s="57">
        <v>45877.0</v>
      </c>
      <c r="C273" s="68"/>
      <c r="D273" s="69">
        <v>280.23</v>
      </c>
      <c r="E273" s="70">
        <v>13.0</v>
      </c>
      <c r="F273" s="70">
        <v>10.0</v>
      </c>
      <c r="G273" s="71">
        <f t="shared" si="2"/>
        <v>1.3</v>
      </c>
      <c r="H273" s="69">
        <f t="shared" si="189"/>
        <v>28.023</v>
      </c>
      <c r="I273" s="69">
        <f t="shared" si="190"/>
        <v>21.55615385</v>
      </c>
      <c r="J273" s="72">
        <v>214.0</v>
      </c>
      <c r="K273" s="73">
        <f t="shared" si="5"/>
        <v>0.06074766355</v>
      </c>
      <c r="L273" s="69">
        <v>86.98</v>
      </c>
      <c r="M273" s="69">
        <v>241.71</v>
      </c>
      <c r="N273" s="70">
        <v>10.0</v>
      </c>
      <c r="O273" s="72">
        <v>22204.0</v>
      </c>
      <c r="P273" s="73">
        <v>0.5913</v>
      </c>
      <c r="Q273" s="75">
        <f t="shared" si="7"/>
        <v>2.778914693</v>
      </c>
      <c r="R273" s="73">
        <f t="shared" si="8"/>
        <v>0.8625414838</v>
      </c>
      <c r="S273" s="76"/>
      <c r="T273" s="77"/>
      <c r="U273" s="2"/>
      <c r="V273" s="2"/>
      <c r="W273" s="2"/>
      <c r="X273" s="2"/>
      <c r="Y273" s="2"/>
      <c r="Z273" s="2"/>
    </row>
    <row r="274" hidden="1" outlineLevel="1">
      <c r="A274" s="67" t="str">
        <f t="shared" si="188"/>
        <v>8-2025</v>
      </c>
      <c r="B274" s="57">
        <v>45878.0</v>
      </c>
      <c r="C274" s="68"/>
      <c r="D274" s="69">
        <v>296.23</v>
      </c>
      <c r="E274" s="70">
        <v>14.0</v>
      </c>
      <c r="F274" s="70">
        <v>12.0</v>
      </c>
      <c r="G274" s="71">
        <f t="shared" si="2"/>
        <v>1.166666667</v>
      </c>
      <c r="H274" s="69">
        <f t="shared" si="189"/>
        <v>24.68583333</v>
      </c>
      <c r="I274" s="69">
        <f t="shared" si="190"/>
        <v>21.15928571</v>
      </c>
      <c r="J274" s="72">
        <v>252.0</v>
      </c>
      <c r="K274" s="73">
        <f t="shared" si="5"/>
        <v>0.05555555556</v>
      </c>
      <c r="L274" s="69">
        <v>98.17</v>
      </c>
      <c r="M274" s="69">
        <v>158.22</v>
      </c>
      <c r="N274" s="70">
        <v>7.0</v>
      </c>
      <c r="O274" s="72">
        <v>26047.0</v>
      </c>
      <c r="P274" s="73">
        <f t="shared" ref="P274:P275" si="193">L274/M274</f>
        <v>0.6204651751</v>
      </c>
      <c r="Q274" s="75">
        <f t="shared" si="7"/>
        <v>1.611694</v>
      </c>
      <c r="R274" s="73">
        <f t="shared" si="8"/>
        <v>0.5341120076</v>
      </c>
      <c r="S274" s="76"/>
      <c r="T274" s="77"/>
      <c r="U274" s="2"/>
      <c r="V274" s="2"/>
      <c r="W274" s="2"/>
      <c r="X274" s="2"/>
      <c r="Y274" s="2"/>
      <c r="Z274" s="2"/>
    </row>
    <row r="275" collapsed="1">
      <c r="A275" s="78" t="s">
        <v>99</v>
      </c>
      <c r="B275" s="79"/>
      <c r="C275" s="80"/>
      <c r="D275" s="81">
        <f t="shared" ref="D275:F275" si="191">SUM(D268:D274)</f>
        <v>3111.04</v>
      </c>
      <c r="E275" s="82">
        <f t="shared" si="191"/>
        <v>143</v>
      </c>
      <c r="F275" s="82">
        <f t="shared" si="191"/>
        <v>95</v>
      </c>
      <c r="G275" s="83">
        <f t="shared" si="2"/>
        <v>1.505263158</v>
      </c>
      <c r="H275" s="81">
        <f>average(H268:H274)</f>
        <v>32.75514328</v>
      </c>
      <c r="I275" s="84">
        <f>H275/G275</f>
        <v>21.76040987</v>
      </c>
      <c r="J275" s="85">
        <f>SUM(J268:J274)</f>
        <v>1599</v>
      </c>
      <c r="K275" s="86">
        <f t="shared" si="5"/>
        <v>0.08943089431</v>
      </c>
      <c r="L275" s="81">
        <f t="shared" ref="L275:N275" si="192">SUM(L268:L274)</f>
        <v>573.24</v>
      </c>
      <c r="M275" s="81">
        <f t="shared" si="192"/>
        <v>2180.78</v>
      </c>
      <c r="N275" s="87">
        <f t="shared" si="192"/>
        <v>73</v>
      </c>
      <c r="O275" s="85">
        <f>sum(O268:O274)</f>
        <v>158765</v>
      </c>
      <c r="P275" s="86">
        <f t="shared" si="193"/>
        <v>0.2628600776</v>
      </c>
      <c r="Q275" s="88">
        <f t="shared" si="7"/>
        <v>3.804305352</v>
      </c>
      <c r="R275" s="89">
        <f t="shared" si="8"/>
        <v>0.7009810224</v>
      </c>
      <c r="S275" s="80" t="str">
        <f>iferror((D275-#REF!)/D275,)</f>
        <v/>
      </c>
      <c r="T275" s="90" t="str">
        <f>iferror((F275-#REF!)/F275,)</f>
        <v/>
      </c>
      <c r="U275" s="2"/>
      <c r="V275" s="2"/>
      <c r="W275" s="2"/>
      <c r="X275" s="2"/>
      <c r="Y275" s="2"/>
      <c r="Z275" s="2"/>
    </row>
    <row r="276" hidden="1" outlineLevel="1">
      <c r="A276" s="56" t="str">
        <f t="shared" ref="A276:A282" si="194">iferror(if(B276&gt;0,month(B276)&amp;"-"&amp;year(B276),B276),)</f>
        <v>8-2025</v>
      </c>
      <c r="B276" s="57">
        <v>45879.0</v>
      </c>
      <c r="C276" s="58"/>
      <c r="D276" s="59">
        <v>462.73</v>
      </c>
      <c r="E276" s="60">
        <v>22.0</v>
      </c>
      <c r="F276" s="60">
        <v>16.0</v>
      </c>
      <c r="G276" s="61">
        <f t="shared" si="2"/>
        <v>1.375</v>
      </c>
      <c r="H276" s="59">
        <f t="shared" ref="H276:H282" si="195">D276/F276</f>
        <v>28.920625</v>
      </c>
      <c r="I276" s="59">
        <f t="shared" ref="I276:I282" si="196">D276/E276</f>
        <v>21.03318182</v>
      </c>
      <c r="J276" s="62">
        <v>334.0</v>
      </c>
      <c r="K276" s="63">
        <f t="shared" si="5"/>
        <v>0.06586826347</v>
      </c>
      <c r="L276" s="59">
        <v>142.86</v>
      </c>
      <c r="M276" s="59">
        <v>435.97</v>
      </c>
      <c r="N276" s="60">
        <v>14.0</v>
      </c>
      <c r="O276" s="62">
        <v>29037.0</v>
      </c>
      <c r="P276" s="63">
        <v>0.4734</v>
      </c>
      <c r="Q276" s="64">
        <f t="shared" si="7"/>
        <v>3.051728965</v>
      </c>
      <c r="R276" s="63">
        <f t="shared" si="8"/>
        <v>0.9421692996</v>
      </c>
      <c r="S276" s="65"/>
      <c r="T276" s="66"/>
      <c r="U276" s="2"/>
      <c r="V276" s="2"/>
      <c r="W276" s="2"/>
      <c r="X276" s="2"/>
      <c r="Y276" s="2"/>
      <c r="Z276" s="2"/>
    </row>
    <row r="277" hidden="1" outlineLevel="1">
      <c r="A277" s="67" t="str">
        <f t="shared" si="194"/>
        <v>8-2025</v>
      </c>
      <c r="B277" s="57">
        <v>45880.0</v>
      </c>
      <c r="C277" s="68"/>
      <c r="D277" s="69">
        <v>411.86</v>
      </c>
      <c r="E277" s="70">
        <v>17.0</v>
      </c>
      <c r="F277" s="70">
        <v>11.0</v>
      </c>
      <c r="G277" s="71">
        <f t="shared" si="2"/>
        <v>1.545454545</v>
      </c>
      <c r="H277" s="69">
        <f t="shared" si="195"/>
        <v>37.44181818</v>
      </c>
      <c r="I277" s="69">
        <f t="shared" si="196"/>
        <v>24.22705882</v>
      </c>
      <c r="J277" s="72">
        <v>210.0</v>
      </c>
      <c r="K277" s="73">
        <f t="shared" si="5"/>
        <v>0.08095238095</v>
      </c>
      <c r="L277" s="69">
        <v>89.48</v>
      </c>
      <c r="M277" s="74">
        <v>473.86</v>
      </c>
      <c r="N277" s="70">
        <v>12.0</v>
      </c>
      <c r="O277" s="72">
        <v>26298.0</v>
      </c>
      <c r="P277" s="73">
        <v>0.2985</v>
      </c>
      <c r="Q277" s="75">
        <f t="shared" si="7"/>
        <v>5.295708538</v>
      </c>
      <c r="R277" s="73">
        <f t="shared" si="8"/>
        <v>1.15053659</v>
      </c>
      <c r="S277" s="76"/>
      <c r="T277" s="77"/>
      <c r="U277" s="2"/>
      <c r="V277" s="2"/>
      <c r="W277" s="2"/>
      <c r="X277" s="2"/>
      <c r="Y277" s="2"/>
      <c r="Z277" s="2"/>
    </row>
    <row r="278" hidden="1" outlineLevel="1">
      <c r="A278" s="67" t="str">
        <f t="shared" si="194"/>
        <v>8-2025</v>
      </c>
      <c r="B278" s="57">
        <v>45881.0</v>
      </c>
      <c r="C278" s="68"/>
      <c r="D278" s="69">
        <v>451.42</v>
      </c>
      <c r="E278" s="70">
        <v>20.0</v>
      </c>
      <c r="F278" s="70">
        <v>18.0</v>
      </c>
      <c r="G278" s="71">
        <f t="shared" si="2"/>
        <v>1.111111111</v>
      </c>
      <c r="H278" s="69">
        <f t="shared" si="195"/>
        <v>25.07888889</v>
      </c>
      <c r="I278" s="69">
        <f t="shared" si="196"/>
        <v>22.571</v>
      </c>
      <c r="J278" s="72">
        <v>242.0</v>
      </c>
      <c r="K278" s="73">
        <f t="shared" si="5"/>
        <v>0.0826446281</v>
      </c>
      <c r="L278" s="59">
        <v>105.38</v>
      </c>
      <c r="M278" s="59">
        <v>252.69</v>
      </c>
      <c r="N278" s="60">
        <v>11.0</v>
      </c>
      <c r="O278" s="72">
        <v>21301.0</v>
      </c>
      <c r="P278" s="73">
        <v>0.3486</v>
      </c>
      <c r="Q278" s="75">
        <f t="shared" si="7"/>
        <v>2.397893338</v>
      </c>
      <c r="R278" s="73">
        <f t="shared" si="8"/>
        <v>0.5597669576</v>
      </c>
      <c r="S278" s="76"/>
      <c r="T278" s="77"/>
      <c r="U278" s="2"/>
      <c r="V278" s="2"/>
      <c r="W278" s="2"/>
      <c r="X278" s="2"/>
      <c r="Y278" s="2"/>
      <c r="Z278" s="2"/>
    </row>
    <row r="279" hidden="1" outlineLevel="1">
      <c r="A279" s="67" t="str">
        <f t="shared" si="194"/>
        <v>8-2025</v>
      </c>
      <c r="B279" s="57">
        <v>45882.0</v>
      </c>
      <c r="C279" s="68"/>
      <c r="D279" s="69">
        <v>246.96</v>
      </c>
      <c r="E279" s="70">
        <v>11.0</v>
      </c>
      <c r="F279" s="70">
        <v>11.0</v>
      </c>
      <c r="G279" s="71">
        <f t="shared" si="2"/>
        <v>1</v>
      </c>
      <c r="H279" s="69">
        <f t="shared" si="195"/>
        <v>22.45090909</v>
      </c>
      <c r="I279" s="69">
        <f t="shared" si="196"/>
        <v>22.45090909</v>
      </c>
      <c r="J279" s="72">
        <v>238.0</v>
      </c>
      <c r="K279" s="73">
        <f t="shared" si="5"/>
        <v>0.04621848739</v>
      </c>
      <c r="L279" s="69">
        <v>77.56</v>
      </c>
      <c r="M279" s="69">
        <v>265.45</v>
      </c>
      <c r="N279" s="70">
        <v>12.0</v>
      </c>
      <c r="O279" s="72">
        <v>21846.0</v>
      </c>
      <c r="P279" s="73">
        <v>0.3572</v>
      </c>
      <c r="Q279" s="75">
        <f t="shared" si="7"/>
        <v>3.422511604</v>
      </c>
      <c r="R279" s="73">
        <f t="shared" si="8"/>
        <v>1.074870424</v>
      </c>
      <c r="S279" s="76"/>
      <c r="T279" s="77"/>
      <c r="U279" s="2"/>
      <c r="V279" s="2"/>
      <c r="W279" s="2"/>
      <c r="X279" s="2"/>
      <c r="Y279" s="2"/>
      <c r="Z279" s="2"/>
    </row>
    <row r="280" hidden="1" outlineLevel="1">
      <c r="A280" s="67" t="str">
        <f t="shared" si="194"/>
        <v>8-2025</v>
      </c>
      <c r="B280" s="57">
        <v>45883.0</v>
      </c>
      <c r="C280" s="68"/>
      <c r="D280" s="69">
        <v>216.48</v>
      </c>
      <c r="E280" s="70">
        <v>10.0</v>
      </c>
      <c r="F280" s="70">
        <v>10.0</v>
      </c>
      <c r="G280" s="71">
        <f t="shared" si="2"/>
        <v>1</v>
      </c>
      <c r="H280" s="69">
        <f t="shared" si="195"/>
        <v>21.648</v>
      </c>
      <c r="I280" s="69">
        <f t="shared" si="196"/>
        <v>21.648</v>
      </c>
      <c r="J280" s="72">
        <v>215.0</v>
      </c>
      <c r="K280" s="73">
        <f t="shared" si="5"/>
        <v>0.04651162791</v>
      </c>
      <c r="L280" s="69">
        <v>62.32</v>
      </c>
      <c r="M280" s="69">
        <v>152.73</v>
      </c>
      <c r="N280" s="70">
        <v>7.0</v>
      </c>
      <c r="O280" s="72">
        <v>20913.0</v>
      </c>
      <c r="P280" s="73">
        <v>0.3225</v>
      </c>
      <c r="Q280" s="75">
        <f t="shared" si="7"/>
        <v>2.450738126</v>
      </c>
      <c r="R280" s="73">
        <f t="shared" si="8"/>
        <v>0.7055155211</v>
      </c>
      <c r="S280" s="76"/>
      <c r="T280" s="77"/>
      <c r="U280" s="2"/>
      <c r="V280" s="2"/>
      <c r="W280" s="2"/>
      <c r="X280" s="2"/>
      <c r="Y280" s="2"/>
      <c r="Z280" s="2"/>
    </row>
    <row r="281" hidden="1" outlineLevel="1">
      <c r="A281" s="67" t="str">
        <f t="shared" si="194"/>
        <v>8-2025</v>
      </c>
      <c r="B281" s="57">
        <v>45884.0</v>
      </c>
      <c r="C281" s="68"/>
      <c r="D281" s="69">
        <v>175.98</v>
      </c>
      <c r="E281" s="70">
        <v>8.0</v>
      </c>
      <c r="F281" s="70">
        <v>8.0</v>
      </c>
      <c r="G281" s="71">
        <f t="shared" si="2"/>
        <v>1</v>
      </c>
      <c r="H281" s="69">
        <f t="shared" si="195"/>
        <v>21.9975</v>
      </c>
      <c r="I281" s="69">
        <f t="shared" si="196"/>
        <v>21.9975</v>
      </c>
      <c r="J281" s="72">
        <v>229.0</v>
      </c>
      <c r="K281" s="73">
        <f t="shared" si="5"/>
        <v>0.03493449782</v>
      </c>
      <c r="L281" s="69">
        <v>89.72</v>
      </c>
      <c r="M281" s="69">
        <v>158.23</v>
      </c>
      <c r="N281" s="70">
        <v>7.0</v>
      </c>
      <c r="O281" s="72">
        <v>23916.0</v>
      </c>
      <c r="P281" s="73">
        <v>0.5913</v>
      </c>
      <c r="Q281" s="75">
        <f t="shared" si="7"/>
        <v>1.76359786</v>
      </c>
      <c r="R281" s="73">
        <f t="shared" si="8"/>
        <v>0.8991362655</v>
      </c>
      <c r="S281" s="76"/>
      <c r="T281" s="77"/>
      <c r="U281" s="2"/>
      <c r="V281" s="2"/>
      <c r="W281" s="2"/>
      <c r="X281" s="2"/>
      <c r="Y281" s="2"/>
      <c r="Z281" s="2"/>
    </row>
    <row r="282" hidden="1" outlineLevel="1">
      <c r="A282" s="67" t="str">
        <f t="shared" si="194"/>
        <v>8-2025</v>
      </c>
      <c r="B282" s="57">
        <v>45885.0</v>
      </c>
      <c r="C282" s="68"/>
      <c r="D282" s="69">
        <v>436.15</v>
      </c>
      <c r="E282" s="70">
        <v>20.0</v>
      </c>
      <c r="F282" s="70">
        <v>19.0</v>
      </c>
      <c r="G282" s="71">
        <f t="shared" si="2"/>
        <v>1.052631579</v>
      </c>
      <c r="H282" s="69">
        <f t="shared" si="195"/>
        <v>22.95526316</v>
      </c>
      <c r="I282" s="69">
        <f t="shared" si="196"/>
        <v>21.8075</v>
      </c>
      <c r="J282" s="72">
        <v>251.0</v>
      </c>
      <c r="K282" s="73">
        <f t="shared" si="5"/>
        <v>0.0796812749</v>
      </c>
      <c r="L282" s="69">
        <v>82.16</v>
      </c>
      <c r="M282" s="69">
        <v>197.22</v>
      </c>
      <c r="N282" s="70">
        <v>9.0</v>
      </c>
      <c r="O282" s="72">
        <v>30384.0</v>
      </c>
      <c r="P282" s="73">
        <f t="shared" ref="P282:P283" si="199">L282/M282</f>
        <v>0.4165906095</v>
      </c>
      <c r="Q282" s="75">
        <f t="shared" si="7"/>
        <v>2.400438169</v>
      </c>
      <c r="R282" s="73">
        <f t="shared" si="8"/>
        <v>0.4521838817</v>
      </c>
      <c r="S282" s="76"/>
      <c r="T282" s="77"/>
      <c r="U282" s="2"/>
      <c r="V282" s="2"/>
      <c r="W282" s="2"/>
      <c r="X282" s="2"/>
      <c r="Y282" s="2"/>
      <c r="Z282" s="2"/>
    </row>
    <row r="283" collapsed="1">
      <c r="A283" s="78" t="s">
        <v>100</v>
      </c>
      <c r="B283" s="79"/>
      <c r="C283" s="80"/>
      <c r="D283" s="81">
        <f t="shared" ref="D283:F283" si="197">SUM(D276:D282)</f>
        <v>2401.58</v>
      </c>
      <c r="E283" s="82">
        <f t="shared" si="197"/>
        <v>108</v>
      </c>
      <c r="F283" s="82">
        <f t="shared" si="197"/>
        <v>93</v>
      </c>
      <c r="G283" s="83">
        <f t="shared" si="2"/>
        <v>1.161290323</v>
      </c>
      <c r="H283" s="81">
        <f>average(H276:H282)</f>
        <v>25.7847149</v>
      </c>
      <c r="I283" s="84">
        <f>H283/G283</f>
        <v>22.2035045</v>
      </c>
      <c r="J283" s="85">
        <f>SUM(J276:J282)</f>
        <v>1719</v>
      </c>
      <c r="K283" s="86">
        <f t="shared" si="5"/>
        <v>0.06282722513</v>
      </c>
      <c r="L283" s="81">
        <f t="shared" ref="L283:N283" si="198">SUM(L276:L282)</f>
        <v>649.48</v>
      </c>
      <c r="M283" s="81">
        <f t="shared" si="198"/>
        <v>1936.15</v>
      </c>
      <c r="N283" s="87">
        <f t="shared" si="198"/>
        <v>72</v>
      </c>
      <c r="O283" s="85">
        <f>sum(O276:O282)</f>
        <v>173695</v>
      </c>
      <c r="P283" s="86">
        <f t="shared" si="199"/>
        <v>0.3354492162</v>
      </c>
      <c r="Q283" s="88">
        <f t="shared" si="7"/>
        <v>2.981077169</v>
      </c>
      <c r="R283" s="89">
        <f t="shared" si="8"/>
        <v>0.8061984194</v>
      </c>
      <c r="S283" s="80" t="str">
        <f>iferror((D283-#REF!)/D283,)</f>
        <v/>
      </c>
      <c r="T283" s="90" t="str">
        <f>iferror((F283-#REF!)/F283,)</f>
        <v/>
      </c>
      <c r="U283" s="2"/>
      <c r="V283" s="2"/>
      <c r="W283" s="2"/>
      <c r="X283" s="2"/>
      <c r="Y283" s="2"/>
      <c r="Z283" s="2"/>
    </row>
    <row r="284" hidden="1" outlineLevel="1">
      <c r="A284" s="56" t="str">
        <f t="shared" ref="A284:A290" si="200">iferror(if(B284&gt;0,month(B284)&amp;"-"&amp;year(B284),B284),)</f>
        <v>8-2025</v>
      </c>
      <c r="B284" s="57">
        <v>45886.0</v>
      </c>
      <c r="C284" s="58"/>
      <c r="D284" s="59">
        <v>392.93</v>
      </c>
      <c r="E284" s="60">
        <v>18.0</v>
      </c>
      <c r="F284" s="60">
        <v>16.0</v>
      </c>
      <c r="G284" s="61">
        <f t="shared" si="2"/>
        <v>1.125</v>
      </c>
      <c r="H284" s="59">
        <f t="shared" ref="H284:H290" si="201">D284/F284</f>
        <v>24.558125</v>
      </c>
      <c r="I284" s="59">
        <f t="shared" ref="I284:I290" si="202">D284/E284</f>
        <v>21.82944444</v>
      </c>
      <c r="J284" s="62">
        <v>334.0</v>
      </c>
      <c r="K284" s="63">
        <f t="shared" si="5"/>
        <v>0.05389221557</v>
      </c>
      <c r="L284" s="59">
        <v>145.05</v>
      </c>
      <c r="M284" s="59">
        <v>448.4</v>
      </c>
      <c r="N284" s="60">
        <v>16.0</v>
      </c>
      <c r="O284" s="62">
        <v>35689.0</v>
      </c>
      <c r="P284" s="63">
        <v>0.4734</v>
      </c>
      <c r="Q284" s="64">
        <f t="shared" si="7"/>
        <v>3.091347811</v>
      </c>
      <c r="R284" s="63">
        <f t="shared" si="8"/>
        <v>1.141170183</v>
      </c>
      <c r="S284" s="65"/>
      <c r="T284" s="66"/>
      <c r="U284" s="2"/>
      <c r="V284" s="2"/>
      <c r="W284" s="2"/>
      <c r="X284" s="2"/>
      <c r="Y284" s="2"/>
      <c r="Z284" s="2"/>
    </row>
    <row r="285" hidden="1" outlineLevel="1">
      <c r="A285" s="67" t="str">
        <f t="shared" si="200"/>
        <v>8-2025</v>
      </c>
      <c r="B285" s="57">
        <v>45887.0</v>
      </c>
      <c r="C285" s="68"/>
      <c r="D285" s="69">
        <v>439.4</v>
      </c>
      <c r="E285" s="70">
        <v>20.0</v>
      </c>
      <c r="F285" s="70">
        <v>18.0</v>
      </c>
      <c r="G285" s="71">
        <f t="shared" si="2"/>
        <v>1.111111111</v>
      </c>
      <c r="H285" s="69">
        <f t="shared" si="201"/>
        <v>24.41111111</v>
      </c>
      <c r="I285" s="69">
        <f t="shared" si="202"/>
        <v>21.97</v>
      </c>
      <c r="J285" s="72">
        <v>258.0</v>
      </c>
      <c r="K285" s="73">
        <f t="shared" si="5"/>
        <v>0.07751937984</v>
      </c>
      <c r="L285" s="69">
        <v>103.79</v>
      </c>
      <c r="M285" s="74">
        <v>304.42</v>
      </c>
      <c r="N285" s="70">
        <v>13.0</v>
      </c>
      <c r="O285" s="72">
        <v>28223.0</v>
      </c>
      <c r="P285" s="73">
        <v>0.2985</v>
      </c>
      <c r="Q285" s="75">
        <f t="shared" si="7"/>
        <v>2.933037865</v>
      </c>
      <c r="R285" s="73">
        <f t="shared" si="8"/>
        <v>0.6928083751</v>
      </c>
      <c r="S285" s="76"/>
      <c r="T285" s="77"/>
      <c r="U285" s="2"/>
      <c r="V285" s="2"/>
      <c r="W285" s="2"/>
      <c r="X285" s="2"/>
      <c r="Y285" s="2"/>
      <c r="Z285" s="2"/>
    </row>
    <row r="286" hidden="1" outlineLevel="1">
      <c r="A286" s="67" t="str">
        <f t="shared" si="200"/>
        <v>8-2025</v>
      </c>
      <c r="B286" s="57">
        <v>45888.0</v>
      </c>
      <c r="C286" s="68"/>
      <c r="D286" s="69">
        <v>306.17</v>
      </c>
      <c r="E286" s="70">
        <v>14.0</v>
      </c>
      <c r="F286" s="70">
        <v>11.0</v>
      </c>
      <c r="G286" s="71">
        <f t="shared" si="2"/>
        <v>1.272727273</v>
      </c>
      <c r="H286" s="69">
        <f t="shared" si="201"/>
        <v>27.83363636</v>
      </c>
      <c r="I286" s="69">
        <f t="shared" si="202"/>
        <v>21.86928571</v>
      </c>
      <c r="J286" s="72">
        <v>180.0</v>
      </c>
      <c r="K286" s="73">
        <f t="shared" si="5"/>
        <v>0.07777777778</v>
      </c>
      <c r="L286" s="59">
        <v>71.63</v>
      </c>
      <c r="M286" s="59">
        <v>323.68</v>
      </c>
      <c r="N286" s="60">
        <v>12.0</v>
      </c>
      <c r="O286" s="72">
        <v>23316.0</v>
      </c>
      <c r="P286" s="73">
        <v>0.3486</v>
      </c>
      <c r="Q286" s="75">
        <f t="shared" si="7"/>
        <v>4.518777049</v>
      </c>
      <c r="R286" s="73">
        <f t="shared" si="8"/>
        <v>1.05719045</v>
      </c>
      <c r="S286" s="76"/>
      <c r="T286" s="77"/>
      <c r="U286" s="2"/>
      <c r="V286" s="2"/>
      <c r="W286" s="2"/>
      <c r="X286" s="2"/>
      <c r="Y286" s="2"/>
      <c r="Z286" s="2"/>
    </row>
    <row r="287" hidden="1" outlineLevel="1">
      <c r="A287" s="67" t="str">
        <f t="shared" si="200"/>
        <v>8-2025</v>
      </c>
      <c r="B287" s="57">
        <v>45889.0</v>
      </c>
      <c r="C287" s="68"/>
      <c r="D287" s="69">
        <v>589.67</v>
      </c>
      <c r="E287" s="70">
        <v>27.0</v>
      </c>
      <c r="F287" s="70">
        <v>23.0</v>
      </c>
      <c r="G287" s="71">
        <f t="shared" si="2"/>
        <v>1.173913043</v>
      </c>
      <c r="H287" s="69">
        <f t="shared" si="201"/>
        <v>25.63782609</v>
      </c>
      <c r="I287" s="69">
        <f t="shared" si="202"/>
        <v>21.83962963</v>
      </c>
      <c r="J287" s="72">
        <v>227.0</v>
      </c>
      <c r="K287" s="73">
        <f t="shared" si="5"/>
        <v>0.1189427313</v>
      </c>
      <c r="L287" s="69">
        <v>101.13</v>
      </c>
      <c r="M287" s="69">
        <v>388.95</v>
      </c>
      <c r="N287" s="70">
        <v>14.0</v>
      </c>
      <c r="O287" s="72">
        <v>24836.0</v>
      </c>
      <c r="P287" s="73">
        <v>0.3572</v>
      </c>
      <c r="Q287" s="75">
        <f t="shared" si="7"/>
        <v>3.846039751</v>
      </c>
      <c r="R287" s="73">
        <f t="shared" si="8"/>
        <v>0.6596062204</v>
      </c>
      <c r="S287" s="76"/>
      <c r="T287" s="77"/>
      <c r="U287" s="2"/>
      <c r="V287" s="2"/>
      <c r="W287" s="2"/>
      <c r="X287" s="2"/>
      <c r="Y287" s="2"/>
      <c r="Z287" s="2"/>
    </row>
    <row r="288" hidden="1" outlineLevel="1">
      <c r="A288" s="67" t="str">
        <f t="shared" si="200"/>
        <v>8-2025</v>
      </c>
      <c r="B288" s="57">
        <v>45890.0</v>
      </c>
      <c r="C288" s="68"/>
      <c r="D288" s="69">
        <v>536.19</v>
      </c>
      <c r="E288" s="70">
        <v>25.0</v>
      </c>
      <c r="F288" s="70">
        <v>22.0</v>
      </c>
      <c r="G288" s="71">
        <f t="shared" si="2"/>
        <v>1.136363636</v>
      </c>
      <c r="H288" s="69">
        <f t="shared" si="201"/>
        <v>24.37227273</v>
      </c>
      <c r="I288" s="69">
        <f t="shared" si="202"/>
        <v>21.4476</v>
      </c>
      <c r="J288" s="72">
        <v>344.0</v>
      </c>
      <c r="K288" s="73">
        <f t="shared" si="5"/>
        <v>0.0726744186</v>
      </c>
      <c r="L288" s="69">
        <v>180.53</v>
      </c>
      <c r="M288" s="69">
        <v>499.41</v>
      </c>
      <c r="N288" s="70">
        <v>18.0</v>
      </c>
      <c r="O288" s="72">
        <v>42813.0</v>
      </c>
      <c r="P288" s="73">
        <v>0.3225</v>
      </c>
      <c r="Q288" s="75">
        <f t="shared" si="7"/>
        <v>2.766354623</v>
      </c>
      <c r="R288" s="73">
        <f t="shared" si="8"/>
        <v>0.9314049124</v>
      </c>
      <c r="S288" s="76"/>
      <c r="T288" s="77"/>
      <c r="U288" s="2"/>
      <c r="V288" s="2"/>
      <c r="W288" s="2"/>
      <c r="X288" s="2"/>
      <c r="Y288" s="2"/>
      <c r="Z288" s="2"/>
    </row>
    <row r="289" hidden="1" outlineLevel="1">
      <c r="A289" s="67" t="str">
        <f t="shared" si="200"/>
        <v>8-2025</v>
      </c>
      <c r="B289" s="57">
        <v>45891.0</v>
      </c>
      <c r="C289" s="68"/>
      <c r="D289" s="69">
        <v>459.15</v>
      </c>
      <c r="E289" s="70">
        <v>20.0</v>
      </c>
      <c r="F289" s="70">
        <v>18.0</v>
      </c>
      <c r="G289" s="71">
        <f t="shared" si="2"/>
        <v>1.111111111</v>
      </c>
      <c r="H289" s="69">
        <f t="shared" si="201"/>
        <v>25.50833333</v>
      </c>
      <c r="I289" s="69">
        <f t="shared" si="202"/>
        <v>22.9575</v>
      </c>
      <c r="J289" s="72">
        <v>380.0</v>
      </c>
      <c r="K289" s="73">
        <f t="shared" si="5"/>
        <v>0.05263157895</v>
      </c>
      <c r="L289" s="69">
        <v>195.53</v>
      </c>
      <c r="M289" s="69">
        <v>303.47</v>
      </c>
      <c r="N289" s="70">
        <v>14.0</v>
      </c>
      <c r="O289" s="72">
        <v>47314.0</v>
      </c>
      <c r="P289" s="73">
        <v>0.5913</v>
      </c>
      <c r="Q289" s="75">
        <f t="shared" si="7"/>
        <v>1.55203805</v>
      </c>
      <c r="R289" s="73">
        <f t="shared" si="8"/>
        <v>0.6609386911</v>
      </c>
      <c r="S289" s="76"/>
      <c r="T289" s="77"/>
      <c r="U289" s="2"/>
      <c r="V289" s="2"/>
      <c r="W289" s="2"/>
      <c r="X289" s="2"/>
      <c r="Y289" s="2"/>
      <c r="Z289" s="2"/>
    </row>
    <row r="290" hidden="1" outlineLevel="1">
      <c r="A290" s="67" t="str">
        <f t="shared" si="200"/>
        <v>8-2025</v>
      </c>
      <c r="B290" s="57">
        <v>45892.0</v>
      </c>
      <c r="C290" s="68"/>
      <c r="D290" s="69">
        <v>345.42</v>
      </c>
      <c r="E290" s="70">
        <v>15.0</v>
      </c>
      <c r="F290" s="70">
        <v>15.0</v>
      </c>
      <c r="G290" s="71">
        <f t="shared" si="2"/>
        <v>1</v>
      </c>
      <c r="H290" s="69">
        <f t="shared" si="201"/>
        <v>23.028</v>
      </c>
      <c r="I290" s="69">
        <f t="shared" si="202"/>
        <v>23.028</v>
      </c>
      <c r="J290" s="72">
        <v>447.0</v>
      </c>
      <c r="K290" s="73">
        <f t="shared" si="5"/>
        <v>0.03355704698</v>
      </c>
      <c r="L290" s="69">
        <v>231.94</v>
      </c>
      <c r="M290" s="69">
        <v>256.68</v>
      </c>
      <c r="N290" s="70">
        <v>11.0</v>
      </c>
      <c r="O290" s="72">
        <v>67375.0</v>
      </c>
      <c r="P290" s="73">
        <f t="shared" ref="P290:P291" si="205">L290/M290</f>
        <v>0.9036153966</v>
      </c>
      <c r="Q290" s="75">
        <f t="shared" si="7"/>
        <v>1.106665517</v>
      </c>
      <c r="R290" s="73">
        <f t="shared" si="8"/>
        <v>0.7430953622</v>
      </c>
      <c r="S290" s="76"/>
      <c r="T290" s="77"/>
      <c r="U290" s="2"/>
      <c r="V290" s="2"/>
      <c r="W290" s="2"/>
      <c r="X290" s="2"/>
      <c r="Y290" s="2"/>
      <c r="Z290" s="2"/>
    </row>
    <row r="291" collapsed="1">
      <c r="A291" s="78" t="s">
        <v>101</v>
      </c>
      <c r="B291" s="79"/>
      <c r="C291" s="80"/>
      <c r="D291" s="81">
        <f t="shared" ref="D291:F291" si="203">SUM(D284:D290)</f>
        <v>3068.93</v>
      </c>
      <c r="E291" s="82">
        <f t="shared" si="203"/>
        <v>139</v>
      </c>
      <c r="F291" s="82">
        <f t="shared" si="203"/>
        <v>123</v>
      </c>
      <c r="G291" s="83">
        <f t="shared" si="2"/>
        <v>1.130081301</v>
      </c>
      <c r="H291" s="81">
        <f>average(H284:H290)</f>
        <v>25.04990066</v>
      </c>
      <c r="I291" s="84">
        <f>H291/G291</f>
        <v>22.16645886</v>
      </c>
      <c r="J291" s="85">
        <f>SUM(J284:J290)</f>
        <v>2170</v>
      </c>
      <c r="K291" s="86">
        <f t="shared" si="5"/>
        <v>0.06405529954</v>
      </c>
      <c r="L291" s="81">
        <f t="shared" ref="L291:N291" si="204">SUM(L284:L290)</f>
        <v>1029.6</v>
      </c>
      <c r="M291" s="81">
        <f t="shared" si="204"/>
        <v>2525.01</v>
      </c>
      <c r="N291" s="87">
        <f t="shared" si="204"/>
        <v>98</v>
      </c>
      <c r="O291" s="85">
        <f>sum(O284:O290)</f>
        <v>269566</v>
      </c>
      <c r="P291" s="86">
        <f t="shared" si="205"/>
        <v>0.4077607613</v>
      </c>
      <c r="Q291" s="88">
        <f t="shared" si="7"/>
        <v>2.452418415</v>
      </c>
      <c r="R291" s="89">
        <f t="shared" si="8"/>
        <v>0.8227655893</v>
      </c>
      <c r="S291" s="80" t="str">
        <f>iferror((D291-#REF!)/D291,)</f>
        <v/>
      </c>
      <c r="T291" s="90" t="str">
        <f>iferror((F291-#REF!)/F291,)</f>
        <v/>
      </c>
      <c r="U291" s="2"/>
      <c r="V291" s="2"/>
      <c r="W291" s="2"/>
      <c r="X291" s="2"/>
      <c r="Y291" s="2"/>
      <c r="Z291" s="2"/>
    </row>
    <row r="292" hidden="1" outlineLevel="1">
      <c r="A292" s="56" t="str">
        <f t="shared" ref="A292:A298" si="206">iferror(if(B292&gt;0,month(B292)&amp;"-"&amp;year(B292),B292),)</f>
        <v>8-2025</v>
      </c>
      <c r="B292" s="57">
        <v>45893.0</v>
      </c>
      <c r="C292" s="58"/>
      <c r="D292" s="59">
        <v>1472.13</v>
      </c>
      <c r="E292" s="60">
        <v>58.0</v>
      </c>
      <c r="F292" s="60">
        <v>56.0</v>
      </c>
      <c r="G292" s="61">
        <f t="shared" si="2"/>
        <v>1.035714286</v>
      </c>
      <c r="H292" s="59">
        <f t="shared" ref="H292:H298" si="207">D292/F292</f>
        <v>26.28803571</v>
      </c>
      <c r="I292" s="59">
        <f t="shared" ref="I292:I298" si="208">D292/E292</f>
        <v>25.38155172</v>
      </c>
      <c r="J292" s="62">
        <v>611.0</v>
      </c>
      <c r="K292" s="63">
        <f t="shared" si="5"/>
        <v>0.09492635025</v>
      </c>
      <c r="L292" s="59">
        <v>289.9</v>
      </c>
      <c r="M292" s="59">
        <v>798.09</v>
      </c>
      <c r="N292" s="60">
        <v>34.0</v>
      </c>
      <c r="O292" s="62">
        <v>89513.0</v>
      </c>
      <c r="P292" s="63">
        <v>0.4734</v>
      </c>
      <c r="Q292" s="64">
        <f t="shared" si="7"/>
        <v>2.752983788</v>
      </c>
      <c r="R292" s="63">
        <f t="shared" si="8"/>
        <v>0.5421328279</v>
      </c>
      <c r="S292" s="65"/>
      <c r="T292" s="66"/>
      <c r="U292" s="2"/>
      <c r="V292" s="2"/>
      <c r="W292" s="2"/>
      <c r="X292" s="2"/>
      <c r="Y292" s="2"/>
      <c r="Z292" s="2"/>
    </row>
    <row r="293" hidden="1" outlineLevel="1">
      <c r="A293" s="67" t="str">
        <f t="shared" si="206"/>
        <v>8-2025</v>
      </c>
      <c r="B293" s="57">
        <v>45894.0</v>
      </c>
      <c r="C293" s="68"/>
      <c r="D293" s="69">
        <v>762.57</v>
      </c>
      <c r="E293" s="70">
        <v>31.0</v>
      </c>
      <c r="F293" s="70">
        <v>29.0</v>
      </c>
      <c r="G293" s="71">
        <f t="shared" si="2"/>
        <v>1.068965517</v>
      </c>
      <c r="H293" s="69">
        <f t="shared" si="207"/>
        <v>26.29551724</v>
      </c>
      <c r="I293" s="69">
        <f t="shared" si="208"/>
        <v>24.59903226</v>
      </c>
      <c r="J293" s="72">
        <v>443.0</v>
      </c>
      <c r="K293" s="73">
        <f t="shared" si="5"/>
        <v>0.06997742664</v>
      </c>
      <c r="L293" s="69">
        <v>229.52</v>
      </c>
      <c r="M293" s="74">
        <v>409.42</v>
      </c>
      <c r="N293" s="70">
        <v>16.0</v>
      </c>
      <c r="O293" s="72">
        <v>50814.0</v>
      </c>
      <c r="P293" s="73">
        <v>0.2985</v>
      </c>
      <c r="Q293" s="75">
        <f t="shared" si="7"/>
        <v>1.78380969</v>
      </c>
      <c r="R293" s="73">
        <f t="shared" si="8"/>
        <v>0.5368949736</v>
      </c>
      <c r="S293" s="76"/>
      <c r="T293" s="77"/>
      <c r="U293" s="2"/>
      <c r="V293" s="2"/>
      <c r="W293" s="2"/>
      <c r="X293" s="2"/>
      <c r="Y293" s="2"/>
      <c r="Z293" s="2"/>
    </row>
    <row r="294" hidden="1" outlineLevel="1">
      <c r="A294" s="67" t="str">
        <f t="shared" si="206"/>
        <v>8-2025</v>
      </c>
      <c r="B294" s="57">
        <v>45895.0</v>
      </c>
      <c r="C294" s="68"/>
      <c r="D294" s="69">
        <v>702.82</v>
      </c>
      <c r="E294" s="70">
        <v>30.0</v>
      </c>
      <c r="F294" s="70">
        <v>28.0</v>
      </c>
      <c r="G294" s="71">
        <f t="shared" si="2"/>
        <v>1.071428571</v>
      </c>
      <c r="H294" s="69">
        <f t="shared" si="207"/>
        <v>25.10071429</v>
      </c>
      <c r="I294" s="69">
        <f t="shared" si="208"/>
        <v>23.42733333</v>
      </c>
      <c r="J294" s="72">
        <v>340.0</v>
      </c>
      <c r="K294" s="73">
        <f t="shared" si="5"/>
        <v>0.08823529412</v>
      </c>
      <c r="L294" s="59">
        <v>171.68</v>
      </c>
      <c r="M294" s="59">
        <v>418.12</v>
      </c>
      <c r="N294" s="60">
        <v>16.0</v>
      </c>
      <c r="O294" s="72">
        <v>45432.0</v>
      </c>
      <c r="P294" s="73">
        <v>0.3486</v>
      </c>
      <c r="Q294" s="75">
        <f t="shared" si="7"/>
        <v>2.435461323</v>
      </c>
      <c r="R294" s="73">
        <f t="shared" si="8"/>
        <v>0.5949176176</v>
      </c>
      <c r="S294" s="76"/>
      <c r="T294" s="77"/>
      <c r="U294" s="2"/>
      <c r="V294" s="2"/>
      <c r="W294" s="2"/>
      <c r="X294" s="2"/>
      <c r="Y294" s="2"/>
      <c r="Z294" s="2"/>
    </row>
    <row r="295" hidden="1" outlineLevel="1">
      <c r="A295" s="67" t="str">
        <f t="shared" si="206"/>
        <v>8-2025</v>
      </c>
      <c r="B295" s="57">
        <v>45896.0</v>
      </c>
      <c r="C295" s="68"/>
      <c r="D295" s="69">
        <v>692.31</v>
      </c>
      <c r="E295" s="70">
        <v>29.0</v>
      </c>
      <c r="F295" s="70">
        <v>28.0</v>
      </c>
      <c r="G295" s="71">
        <f t="shared" si="2"/>
        <v>1.035714286</v>
      </c>
      <c r="H295" s="69">
        <f t="shared" si="207"/>
        <v>24.72535714</v>
      </c>
      <c r="I295" s="69">
        <f t="shared" si="208"/>
        <v>23.87275862</v>
      </c>
      <c r="J295" s="72">
        <v>271.0</v>
      </c>
      <c r="K295" s="73">
        <f t="shared" si="5"/>
        <v>0.1070110701</v>
      </c>
      <c r="L295" s="69">
        <v>146.37</v>
      </c>
      <c r="M295" s="69">
        <v>487.35</v>
      </c>
      <c r="N295" s="70">
        <v>18.0</v>
      </c>
      <c r="O295" s="72">
        <v>38396.0</v>
      </c>
      <c r="P295" s="73">
        <v>0.3572</v>
      </c>
      <c r="Q295" s="75">
        <f t="shared" si="7"/>
        <v>3.329575733</v>
      </c>
      <c r="R295" s="73">
        <f t="shared" si="8"/>
        <v>0.7039476535</v>
      </c>
      <c r="S295" s="76"/>
      <c r="T295" s="77"/>
      <c r="U295" s="2"/>
      <c r="V295" s="2"/>
      <c r="W295" s="2"/>
      <c r="X295" s="2"/>
      <c r="Y295" s="2"/>
      <c r="Z295" s="2"/>
    </row>
    <row r="296" hidden="1" outlineLevel="1">
      <c r="A296" s="67" t="str">
        <f t="shared" si="206"/>
        <v>8-2025</v>
      </c>
      <c r="B296" s="57">
        <v>45897.0</v>
      </c>
      <c r="C296" s="68"/>
      <c r="D296" s="69">
        <v>434.13</v>
      </c>
      <c r="E296" s="70">
        <v>18.0</v>
      </c>
      <c r="F296" s="70">
        <v>15.0</v>
      </c>
      <c r="G296" s="71">
        <f t="shared" si="2"/>
        <v>1.2</v>
      </c>
      <c r="H296" s="69">
        <f t="shared" si="207"/>
        <v>28.942</v>
      </c>
      <c r="I296" s="69">
        <f t="shared" si="208"/>
        <v>24.11833333</v>
      </c>
      <c r="J296" s="72">
        <v>284.0</v>
      </c>
      <c r="K296" s="73">
        <f t="shared" si="5"/>
        <v>0.06338028169</v>
      </c>
      <c r="L296" s="69">
        <v>143.67</v>
      </c>
      <c r="M296" s="69">
        <v>351.42</v>
      </c>
      <c r="N296" s="70">
        <v>13.0</v>
      </c>
      <c r="O296" s="72">
        <v>33080.0</v>
      </c>
      <c r="P296" s="73">
        <v>0.3225</v>
      </c>
      <c r="Q296" s="75">
        <f t="shared" si="7"/>
        <v>2.446022134</v>
      </c>
      <c r="R296" s="73">
        <f t="shared" si="8"/>
        <v>0.809481031</v>
      </c>
      <c r="S296" s="76"/>
      <c r="T296" s="77"/>
      <c r="U296" s="2"/>
      <c r="V296" s="2"/>
      <c r="W296" s="2"/>
      <c r="X296" s="2"/>
      <c r="Y296" s="2"/>
      <c r="Z296" s="2"/>
    </row>
    <row r="297" hidden="1" outlineLevel="1">
      <c r="A297" s="67" t="str">
        <f t="shared" si="206"/>
        <v>8-2025</v>
      </c>
      <c r="B297" s="57">
        <v>45898.0</v>
      </c>
      <c r="C297" s="68"/>
      <c r="D297" s="69">
        <v>517.63</v>
      </c>
      <c r="E297" s="70">
        <v>22.0</v>
      </c>
      <c r="F297" s="70">
        <v>19.0</v>
      </c>
      <c r="G297" s="71">
        <f t="shared" si="2"/>
        <v>1.157894737</v>
      </c>
      <c r="H297" s="69">
        <f t="shared" si="207"/>
        <v>27.24368421</v>
      </c>
      <c r="I297" s="69">
        <f t="shared" si="208"/>
        <v>23.52863636</v>
      </c>
      <c r="J297" s="72">
        <v>249.0</v>
      </c>
      <c r="K297" s="73">
        <f t="shared" si="5"/>
        <v>0.08835341365</v>
      </c>
      <c r="L297" s="69">
        <v>116.84</v>
      </c>
      <c r="M297" s="69">
        <v>334.17</v>
      </c>
      <c r="N297" s="70">
        <v>12.0</v>
      </c>
      <c r="O297" s="72">
        <v>29092.0</v>
      </c>
      <c r="P297" s="73">
        <v>0.5913</v>
      </c>
      <c r="Q297" s="75">
        <f t="shared" si="7"/>
        <v>2.860065046</v>
      </c>
      <c r="R297" s="73">
        <f t="shared" si="8"/>
        <v>0.6455769565</v>
      </c>
      <c r="S297" s="76"/>
      <c r="T297" s="77"/>
      <c r="U297" s="2"/>
      <c r="V297" s="2"/>
      <c r="W297" s="2"/>
      <c r="X297" s="2"/>
      <c r="Y297" s="2"/>
      <c r="Z297" s="2"/>
    </row>
    <row r="298" hidden="1" outlineLevel="1">
      <c r="A298" s="67" t="str">
        <f t="shared" si="206"/>
        <v>8-2025</v>
      </c>
      <c r="B298" s="57">
        <v>45899.0</v>
      </c>
      <c r="C298" s="68"/>
      <c r="D298" s="69">
        <v>343.68</v>
      </c>
      <c r="E298" s="70">
        <v>15.0</v>
      </c>
      <c r="F298" s="70">
        <v>15.0</v>
      </c>
      <c r="G298" s="71">
        <f t="shared" si="2"/>
        <v>1</v>
      </c>
      <c r="H298" s="69">
        <f t="shared" si="207"/>
        <v>22.912</v>
      </c>
      <c r="I298" s="69">
        <f t="shared" si="208"/>
        <v>22.912</v>
      </c>
      <c r="J298" s="72">
        <v>275.0</v>
      </c>
      <c r="K298" s="73">
        <f t="shared" si="5"/>
        <v>0.05454545455</v>
      </c>
      <c r="L298" s="69">
        <v>137.36</v>
      </c>
      <c r="M298" s="69">
        <v>299.19</v>
      </c>
      <c r="N298" s="70">
        <v>13.0</v>
      </c>
      <c r="O298" s="72">
        <v>37771.0</v>
      </c>
      <c r="P298" s="73">
        <f t="shared" ref="P298:P299" si="211">L298/M298</f>
        <v>0.4591062536</v>
      </c>
      <c r="Q298" s="75">
        <f t="shared" si="7"/>
        <v>2.17814502</v>
      </c>
      <c r="R298" s="73">
        <f t="shared" si="8"/>
        <v>0.8705481844</v>
      </c>
      <c r="S298" s="76"/>
      <c r="T298" s="77"/>
      <c r="U298" s="2"/>
      <c r="V298" s="2"/>
      <c r="W298" s="2"/>
      <c r="X298" s="2"/>
      <c r="Y298" s="2"/>
      <c r="Z298" s="2"/>
    </row>
    <row r="299" collapsed="1">
      <c r="A299" s="78" t="s">
        <v>102</v>
      </c>
      <c r="B299" s="79"/>
      <c r="C299" s="80"/>
      <c r="D299" s="81">
        <f t="shared" ref="D299:F299" si="209">SUM(D292:D298)</f>
        <v>4925.27</v>
      </c>
      <c r="E299" s="82">
        <f t="shared" si="209"/>
        <v>203</v>
      </c>
      <c r="F299" s="82">
        <f t="shared" si="209"/>
        <v>190</v>
      </c>
      <c r="G299" s="83">
        <f t="shared" si="2"/>
        <v>1.068421053</v>
      </c>
      <c r="H299" s="81">
        <f>average(H292:H298)</f>
        <v>25.92961551</v>
      </c>
      <c r="I299" s="84">
        <f>H299/G299</f>
        <v>24.26909826</v>
      </c>
      <c r="J299" s="85">
        <f>SUM(J292:J298)</f>
        <v>2473</v>
      </c>
      <c r="K299" s="86">
        <f t="shared" si="5"/>
        <v>0.08208653457</v>
      </c>
      <c r="L299" s="81">
        <f t="shared" ref="L299:N299" si="210">SUM(L292:L298)</f>
        <v>1235.34</v>
      </c>
      <c r="M299" s="81">
        <f t="shared" si="210"/>
        <v>3097.76</v>
      </c>
      <c r="N299" s="87">
        <f t="shared" si="210"/>
        <v>122</v>
      </c>
      <c r="O299" s="85">
        <f>sum(O292:O298)</f>
        <v>324098</v>
      </c>
      <c r="P299" s="86">
        <f t="shared" si="211"/>
        <v>0.3987849285</v>
      </c>
      <c r="Q299" s="88">
        <f t="shared" si="7"/>
        <v>2.507617336</v>
      </c>
      <c r="R299" s="89">
        <f t="shared" si="8"/>
        <v>0.6289523214</v>
      </c>
      <c r="S299" s="80" t="str">
        <f>iferror((D299-#REF!)/D299,)</f>
        <v/>
      </c>
      <c r="T299" s="90" t="str">
        <f>iferror((F299-#REF!)/F299,)</f>
        <v/>
      </c>
      <c r="U299" s="2"/>
      <c r="V299" s="2"/>
      <c r="W299" s="2"/>
      <c r="X299" s="2"/>
      <c r="Y299" s="2"/>
      <c r="Z299" s="2"/>
    </row>
    <row r="300" hidden="1" outlineLevel="1">
      <c r="A300" s="56" t="str">
        <f t="shared" ref="A300:A306" si="212">iferror(if(B300&gt;0,month(B300)&amp;"-"&amp;year(B300),B300),)</f>
        <v>8-2025</v>
      </c>
      <c r="B300" s="57">
        <v>45900.0</v>
      </c>
      <c r="C300" s="58"/>
      <c r="D300" s="59">
        <v>360.66</v>
      </c>
      <c r="E300" s="60">
        <v>15.0</v>
      </c>
      <c r="F300" s="60">
        <v>14.0</v>
      </c>
      <c r="G300" s="61">
        <f t="shared" si="2"/>
        <v>1.071428571</v>
      </c>
      <c r="H300" s="59">
        <f t="shared" ref="H300:H306" si="213">D300/F300</f>
        <v>25.76142857</v>
      </c>
      <c r="I300" s="59">
        <f t="shared" ref="I300:I306" si="214">D300/E300</f>
        <v>24.044</v>
      </c>
      <c r="J300" s="62">
        <v>412.0</v>
      </c>
      <c r="K300" s="63">
        <f t="shared" si="5"/>
        <v>0.03640776699</v>
      </c>
      <c r="L300" s="59">
        <v>215.23</v>
      </c>
      <c r="M300" s="59">
        <v>318.15</v>
      </c>
      <c r="N300" s="60">
        <v>13.0</v>
      </c>
      <c r="O300" s="62">
        <v>42742.0</v>
      </c>
      <c r="P300" s="63">
        <v>0.4734</v>
      </c>
      <c r="Q300" s="64">
        <f t="shared" si="7"/>
        <v>1.478186126</v>
      </c>
      <c r="R300" s="63">
        <f t="shared" si="8"/>
        <v>0.8821327566</v>
      </c>
      <c r="S300" s="65"/>
      <c r="T300" s="66"/>
      <c r="U300" s="2"/>
      <c r="V300" s="2"/>
      <c r="W300" s="2"/>
      <c r="X300" s="2"/>
      <c r="Y300" s="2"/>
      <c r="Z300" s="2"/>
    </row>
    <row r="301" hidden="1" outlineLevel="1">
      <c r="A301" s="67" t="str">
        <f t="shared" si="212"/>
        <v>9-2025</v>
      </c>
      <c r="B301" s="57">
        <v>45901.0</v>
      </c>
      <c r="C301" s="68"/>
      <c r="D301" s="69">
        <v>405.68</v>
      </c>
      <c r="E301" s="70">
        <v>18.0</v>
      </c>
      <c r="F301" s="70">
        <v>17.0</v>
      </c>
      <c r="G301" s="71">
        <f t="shared" si="2"/>
        <v>1.058823529</v>
      </c>
      <c r="H301" s="69">
        <f t="shared" si="213"/>
        <v>23.86352941</v>
      </c>
      <c r="I301" s="69">
        <f t="shared" si="214"/>
        <v>22.53777778</v>
      </c>
      <c r="J301" s="72">
        <v>411.0</v>
      </c>
      <c r="K301" s="73">
        <f t="shared" si="5"/>
        <v>0.04379562044</v>
      </c>
      <c r="L301" s="69">
        <v>241.85</v>
      </c>
      <c r="M301" s="74">
        <v>293.7</v>
      </c>
      <c r="N301" s="70">
        <v>12.0</v>
      </c>
      <c r="O301" s="72">
        <v>46632.0</v>
      </c>
      <c r="P301" s="73">
        <v>0.2985</v>
      </c>
      <c r="Q301" s="75">
        <f t="shared" si="7"/>
        <v>1.214389084</v>
      </c>
      <c r="R301" s="73">
        <f t="shared" si="8"/>
        <v>0.7239696312</v>
      </c>
      <c r="S301" s="76"/>
      <c r="T301" s="77"/>
      <c r="U301" s="2"/>
      <c r="V301" s="2"/>
      <c r="W301" s="2"/>
      <c r="X301" s="2"/>
      <c r="Y301" s="2"/>
      <c r="Z301" s="2"/>
    </row>
    <row r="302" hidden="1" outlineLevel="1">
      <c r="A302" s="67" t="str">
        <f t="shared" si="212"/>
        <v>9-2025</v>
      </c>
      <c r="B302" s="57">
        <v>45902.0</v>
      </c>
      <c r="C302" s="68"/>
      <c r="D302" s="69">
        <v>452.43</v>
      </c>
      <c r="E302" s="70">
        <v>20.0</v>
      </c>
      <c r="F302" s="70">
        <v>20.0</v>
      </c>
      <c r="G302" s="71">
        <f t="shared" si="2"/>
        <v>1</v>
      </c>
      <c r="H302" s="69">
        <f t="shared" si="213"/>
        <v>22.6215</v>
      </c>
      <c r="I302" s="69">
        <f t="shared" si="214"/>
        <v>22.6215</v>
      </c>
      <c r="J302" s="72">
        <v>309.0</v>
      </c>
      <c r="K302" s="73">
        <f t="shared" si="5"/>
        <v>0.06472491909</v>
      </c>
      <c r="L302" s="59">
        <v>168.9</v>
      </c>
      <c r="M302" s="59">
        <v>328.44</v>
      </c>
      <c r="N302" s="60">
        <v>14.0</v>
      </c>
      <c r="O302" s="72">
        <v>33064.0</v>
      </c>
      <c r="P302" s="73">
        <v>0.3486</v>
      </c>
      <c r="Q302" s="75">
        <f t="shared" si="7"/>
        <v>1.944582593</v>
      </c>
      <c r="R302" s="73">
        <f t="shared" si="8"/>
        <v>0.7259465553</v>
      </c>
      <c r="S302" s="76"/>
      <c r="T302" s="77"/>
      <c r="U302" s="2"/>
      <c r="V302" s="2"/>
      <c r="W302" s="2"/>
      <c r="X302" s="2"/>
      <c r="Y302" s="2"/>
      <c r="Z302" s="2"/>
    </row>
    <row r="303" hidden="1" outlineLevel="1">
      <c r="A303" s="67" t="str">
        <f t="shared" si="212"/>
        <v>9-2025</v>
      </c>
      <c r="B303" s="57">
        <v>45903.0</v>
      </c>
      <c r="C303" s="68"/>
      <c r="D303" s="69">
        <v>728.85</v>
      </c>
      <c r="E303" s="70">
        <v>31.0</v>
      </c>
      <c r="F303" s="70">
        <v>28.0</v>
      </c>
      <c r="G303" s="71">
        <f t="shared" si="2"/>
        <v>1.107142857</v>
      </c>
      <c r="H303" s="69">
        <f t="shared" si="213"/>
        <v>26.03035714</v>
      </c>
      <c r="I303" s="69">
        <f t="shared" si="214"/>
        <v>23.51129032</v>
      </c>
      <c r="J303" s="72">
        <v>323.0</v>
      </c>
      <c r="K303" s="73">
        <f t="shared" si="5"/>
        <v>0.0959752322</v>
      </c>
      <c r="L303" s="69">
        <v>161.6</v>
      </c>
      <c r="M303" s="69">
        <v>394.17</v>
      </c>
      <c r="N303" s="70">
        <v>16.0</v>
      </c>
      <c r="O303" s="72">
        <v>30138.0</v>
      </c>
      <c r="P303" s="73">
        <v>0.3572</v>
      </c>
      <c r="Q303" s="75">
        <f t="shared" si="7"/>
        <v>2.439170792</v>
      </c>
      <c r="R303" s="73">
        <f t="shared" si="8"/>
        <v>0.5408108664</v>
      </c>
      <c r="S303" s="76"/>
      <c r="T303" s="77"/>
      <c r="U303" s="2"/>
      <c r="V303" s="2"/>
      <c r="W303" s="2"/>
      <c r="X303" s="2"/>
      <c r="Y303" s="2"/>
      <c r="Z303" s="2"/>
    </row>
    <row r="304" hidden="1" outlineLevel="1">
      <c r="A304" s="67" t="str">
        <f t="shared" si="212"/>
        <v>9-2025</v>
      </c>
      <c r="B304" s="57">
        <v>45904.0</v>
      </c>
      <c r="C304" s="68"/>
      <c r="D304" s="69">
        <v>403.16</v>
      </c>
      <c r="E304" s="70">
        <v>17.0</v>
      </c>
      <c r="F304" s="70">
        <v>15.0</v>
      </c>
      <c r="G304" s="71">
        <f t="shared" si="2"/>
        <v>1.133333333</v>
      </c>
      <c r="H304" s="69">
        <f t="shared" si="213"/>
        <v>26.87733333</v>
      </c>
      <c r="I304" s="69">
        <f t="shared" si="214"/>
        <v>23.71529412</v>
      </c>
      <c r="J304" s="72">
        <v>279.0</v>
      </c>
      <c r="K304" s="73">
        <f t="shared" si="5"/>
        <v>0.06093189964</v>
      </c>
      <c r="L304" s="69">
        <v>134.88</v>
      </c>
      <c r="M304" s="69">
        <v>262.44</v>
      </c>
      <c r="N304" s="70">
        <v>9.0</v>
      </c>
      <c r="O304" s="72">
        <v>31343.0</v>
      </c>
      <c r="P304" s="73">
        <v>0.3225</v>
      </c>
      <c r="Q304" s="75">
        <f t="shared" si="7"/>
        <v>1.945729537</v>
      </c>
      <c r="R304" s="73">
        <f t="shared" si="8"/>
        <v>0.6509574363</v>
      </c>
      <c r="S304" s="76"/>
      <c r="T304" s="77"/>
      <c r="U304" s="2"/>
      <c r="V304" s="2"/>
      <c r="W304" s="2"/>
      <c r="X304" s="2"/>
      <c r="Y304" s="2"/>
      <c r="Z304" s="2"/>
    </row>
    <row r="305" hidden="1" outlineLevel="1">
      <c r="A305" s="67" t="str">
        <f t="shared" si="212"/>
        <v>9-2025</v>
      </c>
      <c r="B305" s="57">
        <v>45905.0</v>
      </c>
      <c r="C305" s="68"/>
      <c r="D305" s="69">
        <v>454.64</v>
      </c>
      <c r="E305" s="70">
        <v>19.0</v>
      </c>
      <c r="F305" s="70">
        <v>17.0</v>
      </c>
      <c r="G305" s="71">
        <f t="shared" si="2"/>
        <v>1.117647059</v>
      </c>
      <c r="H305" s="69">
        <f t="shared" si="213"/>
        <v>26.74352941</v>
      </c>
      <c r="I305" s="69">
        <f t="shared" si="214"/>
        <v>23.92842105</v>
      </c>
      <c r="J305" s="72">
        <v>322.0</v>
      </c>
      <c r="K305" s="73">
        <f t="shared" si="5"/>
        <v>0.05900621118</v>
      </c>
      <c r="L305" s="69">
        <v>156.57</v>
      </c>
      <c r="M305" s="69">
        <v>398.38</v>
      </c>
      <c r="N305" s="70">
        <v>14.0</v>
      </c>
      <c r="O305" s="72">
        <v>32655.0</v>
      </c>
      <c r="P305" s="73">
        <v>0.5913</v>
      </c>
      <c r="Q305" s="75">
        <f t="shared" si="7"/>
        <v>2.544421026</v>
      </c>
      <c r="R305" s="73">
        <f t="shared" si="8"/>
        <v>0.8762537392</v>
      </c>
      <c r="S305" s="76"/>
      <c r="T305" s="77"/>
      <c r="U305" s="2"/>
      <c r="V305" s="2"/>
      <c r="W305" s="2"/>
      <c r="X305" s="2"/>
      <c r="Y305" s="2"/>
      <c r="Z305" s="2"/>
    </row>
    <row r="306" hidden="1" outlineLevel="1">
      <c r="A306" s="67" t="str">
        <f t="shared" si="212"/>
        <v>9-2025</v>
      </c>
      <c r="B306" s="57">
        <v>45906.0</v>
      </c>
      <c r="C306" s="68"/>
      <c r="D306" s="69">
        <v>672.6</v>
      </c>
      <c r="E306" s="70">
        <v>28.0</v>
      </c>
      <c r="F306" s="70">
        <v>27.0</v>
      </c>
      <c r="G306" s="71">
        <f t="shared" si="2"/>
        <v>1.037037037</v>
      </c>
      <c r="H306" s="69">
        <f t="shared" si="213"/>
        <v>24.91111111</v>
      </c>
      <c r="I306" s="69">
        <f t="shared" si="214"/>
        <v>24.02142857</v>
      </c>
      <c r="J306" s="72">
        <v>368.0</v>
      </c>
      <c r="K306" s="73">
        <f t="shared" si="5"/>
        <v>0.07608695652</v>
      </c>
      <c r="L306" s="69">
        <v>186.39</v>
      </c>
      <c r="M306" s="69">
        <v>608.36</v>
      </c>
      <c r="N306" s="70">
        <v>24.0</v>
      </c>
      <c r="O306" s="72">
        <v>36076.0</v>
      </c>
      <c r="P306" s="73">
        <f t="shared" ref="P306:P307" si="217">L306/M306</f>
        <v>0.3063810901</v>
      </c>
      <c r="Q306" s="75">
        <f t="shared" si="7"/>
        <v>3.263909008</v>
      </c>
      <c r="R306" s="73">
        <f t="shared" si="8"/>
        <v>0.9044900387</v>
      </c>
      <c r="S306" s="76"/>
      <c r="T306" s="77"/>
      <c r="U306" s="2"/>
      <c r="V306" s="2"/>
      <c r="W306" s="2"/>
      <c r="X306" s="2"/>
      <c r="Y306" s="2"/>
      <c r="Z306" s="2"/>
    </row>
    <row r="307" collapsed="1">
      <c r="A307" s="78" t="s">
        <v>103</v>
      </c>
      <c r="B307" s="79"/>
      <c r="C307" s="80"/>
      <c r="D307" s="81">
        <f t="shared" ref="D307:F307" si="215">SUM(D300:D306)</f>
        <v>3478.02</v>
      </c>
      <c r="E307" s="82">
        <f t="shared" si="215"/>
        <v>148</v>
      </c>
      <c r="F307" s="82">
        <f t="shared" si="215"/>
        <v>138</v>
      </c>
      <c r="G307" s="83">
        <f t="shared" si="2"/>
        <v>1.072463768</v>
      </c>
      <c r="H307" s="81">
        <f>average(H300:H306)</f>
        <v>25.25839843</v>
      </c>
      <c r="I307" s="84">
        <f>H307/G307</f>
        <v>23.55174988</v>
      </c>
      <c r="J307" s="85">
        <f>SUM(J300:J306)</f>
        <v>2424</v>
      </c>
      <c r="K307" s="86">
        <f t="shared" si="5"/>
        <v>0.06105610561</v>
      </c>
      <c r="L307" s="81">
        <f t="shared" ref="L307:N307" si="216">SUM(L300:L306)</f>
        <v>1265.42</v>
      </c>
      <c r="M307" s="81">
        <f t="shared" si="216"/>
        <v>2603.64</v>
      </c>
      <c r="N307" s="87">
        <f t="shared" si="216"/>
        <v>102</v>
      </c>
      <c r="O307" s="85">
        <f>sum(O300:O306)</f>
        <v>252650</v>
      </c>
      <c r="P307" s="86">
        <f t="shared" si="217"/>
        <v>0.4860195726</v>
      </c>
      <c r="Q307" s="88">
        <f t="shared" si="7"/>
        <v>2.057530306</v>
      </c>
      <c r="R307" s="89">
        <f t="shared" si="8"/>
        <v>0.7485983404</v>
      </c>
      <c r="S307" s="80" t="str">
        <f>iferror((D307-#REF!)/D307,)</f>
        <v/>
      </c>
      <c r="T307" s="90" t="str">
        <f>iferror((F307-#REF!)/F307,)</f>
        <v/>
      </c>
      <c r="U307" s="2"/>
      <c r="V307" s="2"/>
      <c r="W307" s="2"/>
      <c r="X307" s="2"/>
      <c r="Y307" s="2"/>
      <c r="Z307" s="2"/>
    </row>
    <row r="308" hidden="1" outlineLevel="1">
      <c r="A308" s="56" t="str">
        <f t="shared" ref="A308:A314" si="218">iferror(if(B308&gt;0,month(B308)&amp;"-"&amp;year(B308),B308),)</f>
        <v>9-2025</v>
      </c>
      <c r="B308" s="57">
        <v>45907.0</v>
      </c>
      <c r="C308" s="58"/>
      <c r="D308" s="59">
        <v>560.91</v>
      </c>
      <c r="E308" s="60">
        <v>24.0</v>
      </c>
      <c r="F308" s="60">
        <v>23.0</v>
      </c>
      <c r="G308" s="61">
        <f t="shared" si="2"/>
        <v>1.043478261</v>
      </c>
      <c r="H308" s="59">
        <f t="shared" ref="H308:H314" si="219">D308/F308</f>
        <v>24.3873913</v>
      </c>
      <c r="I308" s="59">
        <f t="shared" ref="I308:I314" si="220">D308/E308</f>
        <v>23.37125</v>
      </c>
      <c r="J308" s="62">
        <v>434.0</v>
      </c>
      <c r="K308" s="63">
        <f t="shared" si="5"/>
        <v>0.05529953917</v>
      </c>
      <c r="L308" s="59">
        <v>215.73</v>
      </c>
      <c r="M308" s="59">
        <v>531.41</v>
      </c>
      <c r="N308" s="60">
        <v>22.0</v>
      </c>
      <c r="O308" s="62">
        <v>46685.0</v>
      </c>
      <c r="P308" s="63">
        <v>0.4734</v>
      </c>
      <c r="Q308" s="64">
        <f t="shared" si="7"/>
        <v>2.46331062</v>
      </c>
      <c r="R308" s="63">
        <f t="shared" si="8"/>
        <v>0.9474068924</v>
      </c>
      <c r="S308" s="65"/>
      <c r="T308" s="66"/>
      <c r="U308" s="2"/>
      <c r="V308" s="2"/>
      <c r="W308" s="2"/>
      <c r="X308" s="2"/>
      <c r="Y308" s="2"/>
      <c r="Z308" s="2"/>
    </row>
    <row r="309" hidden="1" outlineLevel="1">
      <c r="A309" s="67" t="str">
        <f t="shared" si="218"/>
        <v>9-2025</v>
      </c>
      <c r="B309" s="57">
        <v>45908.0</v>
      </c>
      <c r="C309" s="68"/>
      <c r="D309" s="69">
        <v>488.35</v>
      </c>
      <c r="E309" s="70">
        <v>19.0</v>
      </c>
      <c r="F309" s="70">
        <v>19.0</v>
      </c>
      <c r="G309" s="71">
        <f t="shared" si="2"/>
        <v>1</v>
      </c>
      <c r="H309" s="69">
        <f t="shared" si="219"/>
        <v>25.70263158</v>
      </c>
      <c r="I309" s="69">
        <f t="shared" si="220"/>
        <v>25.70263158</v>
      </c>
      <c r="J309" s="72">
        <v>280.0</v>
      </c>
      <c r="K309" s="73">
        <f t="shared" si="5"/>
        <v>0.06785714286</v>
      </c>
      <c r="L309" s="69">
        <v>144.21</v>
      </c>
      <c r="M309" s="74">
        <v>356.64</v>
      </c>
      <c r="N309" s="70">
        <v>13.0</v>
      </c>
      <c r="O309" s="72">
        <v>30008.0</v>
      </c>
      <c r="P309" s="73">
        <v>0.2985</v>
      </c>
      <c r="Q309" s="75">
        <f t="shared" si="7"/>
        <v>2.473060121</v>
      </c>
      <c r="R309" s="73">
        <f t="shared" si="8"/>
        <v>0.7302958943</v>
      </c>
      <c r="S309" s="76"/>
      <c r="T309" s="77"/>
      <c r="U309" s="2"/>
      <c r="V309" s="2"/>
      <c r="W309" s="2"/>
      <c r="X309" s="2"/>
      <c r="Y309" s="2"/>
      <c r="Z309" s="2"/>
    </row>
    <row r="310" hidden="1" outlineLevel="1">
      <c r="A310" s="67" t="str">
        <f t="shared" si="218"/>
        <v>9-2025</v>
      </c>
      <c r="B310" s="57">
        <v>45909.0</v>
      </c>
      <c r="C310" s="68"/>
      <c r="D310" s="69">
        <v>749.36</v>
      </c>
      <c r="E310" s="70">
        <v>32.0</v>
      </c>
      <c r="F310" s="70">
        <v>27.0</v>
      </c>
      <c r="G310" s="71">
        <f t="shared" si="2"/>
        <v>1.185185185</v>
      </c>
      <c r="H310" s="69">
        <f t="shared" si="219"/>
        <v>27.75407407</v>
      </c>
      <c r="I310" s="69">
        <f t="shared" si="220"/>
        <v>23.4175</v>
      </c>
      <c r="J310" s="72">
        <v>269.0</v>
      </c>
      <c r="K310" s="73">
        <f t="shared" si="5"/>
        <v>0.1189591078</v>
      </c>
      <c r="L310" s="59">
        <v>122.99</v>
      </c>
      <c r="M310" s="59">
        <v>463.18</v>
      </c>
      <c r="N310" s="60">
        <v>16.0</v>
      </c>
      <c r="O310" s="72">
        <v>27515.0</v>
      </c>
      <c r="P310" s="73">
        <v>0.3486</v>
      </c>
      <c r="Q310" s="75">
        <f t="shared" si="7"/>
        <v>3.765997236</v>
      </c>
      <c r="R310" s="73">
        <f t="shared" si="8"/>
        <v>0.6181007793</v>
      </c>
      <c r="S310" s="76"/>
      <c r="T310" s="77"/>
      <c r="U310" s="2"/>
      <c r="V310" s="2"/>
      <c r="W310" s="2"/>
      <c r="X310" s="2"/>
      <c r="Y310" s="2"/>
      <c r="Z310" s="2"/>
    </row>
    <row r="311" hidden="1" outlineLevel="1">
      <c r="A311" s="67" t="str">
        <f t="shared" si="218"/>
        <v>9-2025</v>
      </c>
      <c r="B311" s="57">
        <v>45910.0</v>
      </c>
      <c r="C311" s="68"/>
      <c r="D311" s="69">
        <v>612.36</v>
      </c>
      <c r="E311" s="70">
        <v>25.0</v>
      </c>
      <c r="F311" s="70">
        <v>19.0</v>
      </c>
      <c r="G311" s="71">
        <f t="shared" si="2"/>
        <v>1.315789474</v>
      </c>
      <c r="H311" s="69">
        <f t="shared" si="219"/>
        <v>32.22947368</v>
      </c>
      <c r="I311" s="69">
        <f t="shared" si="220"/>
        <v>24.4944</v>
      </c>
      <c r="J311" s="72">
        <v>282.0</v>
      </c>
      <c r="K311" s="73">
        <f t="shared" si="5"/>
        <v>0.08865248227</v>
      </c>
      <c r="L311" s="69">
        <v>125.02</v>
      </c>
      <c r="M311" s="69">
        <v>455.63</v>
      </c>
      <c r="N311" s="70">
        <v>16.0</v>
      </c>
      <c r="O311" s="72">
        <v>26187.0</v>
      </c>
      <c r="P311" s="73">
        <v>0.3572</v>
      </c>
      <c r="Q311" s="75">
        <f t="shared" si="7"/>
        <v>3.644456887</v>
      </c>
      <c r="R311" s="73">
        <f t="shared" si="8"/>
        <v>0.7440557842</v>
      </c>
      <c r="S311" s="76"/>
      <c r="T311" s="77"/>
      <c r="U311" s="2"/>
      <c r="V311" s="2"/>
      <c r="W311" s="2"/>
      <c r="X311" s="2"/>
      <c r="Y311" s="2"/>
      <c r="Z311" s="2"/>
    </row>
    <row r="312" hidden="1" outlineLevel="1">
      <c r="A312" s="67" t="str">
        <f t="shared" si="218"/>
        <v>9-2025</v>
      </c>
      <c r="B312" s="57">
        <v>45911.0</v>
      </c>
      <c r="C312" s="68"/>
      <c r="D312" s="69">
        <v>456.88</v>
      </c>
      <c r="E312" s="70">
        <v>18.0</v>
      </c>
      <c r="F312" s="70">
        <v>17.0</v>
      </c>
      <c r="G312" s="71">
        <f t="shared" si="2"/>
        <v>1.058823529</v>
      </c>
      <c r="H312" s="69">
        <f t="shared" si="219"/>
        <v>26.87529412</v>
      </c>
      <c r="I312" s="69">
        <f t="shared" si="220"/>
        <v>25.38222222</v>
      </c>
      <c r="J312" s="72">
        <v>285.0</v>
      </c>
      <c r="K312" s="73">
        <f t="shared" si="5"/>
        <v>0.06315789474</v>
      </c>
      <c r="L312" s="69">
        <v>164.85</v>
      </c>
      <c r="M312" s="69">
        <v>206.69</v>
      </c>
      <c r="N312" s="70">
        <v>7.0</v>
      </c>
      <c r="O312" s="72">
        <v>27921.0</v>
      </c>
      <c r="P312" s="73">
        <v>0.3225</v>
      </c>
      <c r="Q312" s="75">
        <f t="shared" si="7"/>
        <v>1.253806491</v>
      </c>
      <c r="R312" s="73">
        <f t="shared" si="8"/>
        <v>0.4523945018</v>
      </c>
      <c r="S312" s="76"/>
      <c r="T312" s="77"/>
      <c r="U312" s="2"/>
      <c r="V312" s="2"/>
      <c r="W312" s="2"/>
      <c r="X312" s="2"/>
      <c r="Y312" s="2"/>
      <c r="Z312" s="2"/>
    </row>
    <row r="313" hidden="1" outlineLevel="1">
      <c r="A313" s="67" t="str">
        <f t="shared" si="218"/>
        <v>9-2025</v>
      </c>
      <c r="B313" s="57">
        <v>45912.0</v>
      </c>
      <c r="C313" s="68"/>
      <c r="D313" s="69">
        <v>423.15</v>
      </c>
      <c r="E313" s="70">
        <v>17.0</v>
      </c>
      <c r="F313" s="70">
        <v>14.0</v>
      </c>
      <c r="G313" s="71">
        <f t="shared" si="2"/>
        <v>1.214285714</v>
      </c>
      <c r="H313" s="69">
        <f t="shared" si="219"/>
        <v>30.225</v>
      </c>
      <c r="I313" s="69">
        <f t="shared" si="220"/>
        <v>24.89117647</v>
      </c>
      <c r="J313" s="72">
        <v>213.0</v>
      </c>
      <c r="K313" s="73">
        <f t="shared" si="5"/>
        <v>0.07981220657</v>
      </c>
      <c r="L313" s="69">
        <v>109.17</v>
      </c>
      <c r="M313" s="69">
        <v>297.18</v>
      </c>
      <c r="N313" s="70">
        <v>9.0</v>
      </c>
      <c r="O313" s="72">
        <v>22716.0</v>
      </c>
      <c r="P313" s="73">
        <v>0.5913</v>
      </c>
      <c r="Q313" s="75">
        <f t="shared" si="7"/>
        <v>2.722176422</v>
      </c>
      <c r="R313" s="73">
        <f t="shared" si="8"/>
        <v>0.7023041475</v>
      </c>
      <c r="S313" s="76"/>
      <c r="T313" s="77"/>
      <c r="U313" s="2"/>
      <c r="V313" s="2"/>
      <c r="W313" s="2"/>
      <c r="X313" s="2"/>
      <c r="Y313" s="2"/>
      <c r="Z313" s="2"/>
    </row>
    <row r="314" hidden="1" outlineLevel="1">
      <c r="A314" s="67" t="str">
        <f t="shared" si="218"/>
        <v>9-2025</v>
      </c>
      <c r="B314" s="57">
        <v>45913.0</v>
      </c>
      <c r="C314" s="68"/>
      <c r="D314" s="69">
        <v>693.81</v>
      </c>
      <c r="E314" s="70">
        <v>27.0</v>
      </c>
      <c r="F314" s="70">
        <v>24.0</v>
      </c>
      <c r="G314" s="71">
        <f t="shared" si="2"/>
        <v>1.125</v>
      </c>
      <c r="H314" s="69">
        <f t="shared" si="219"/>
        <v>28.90875</v>
      </c>
      <c r="I314" s="69">
        <f t="shared" si="220"/>
        <v>25.69666667</v>
      </c>
      <c r="J314" s="72">
        <v>341.0</v>
      </c>
      <c r="K314" s="73">
        <f t="shared" si="5"/>
        <v>0.07917888563</v>
      </c>
      <c r="L314" s="69">
        <v>173.07</v>
      </c>
      <c r="M314" s="69">
        <v>466.37</v>
      </c>
      <c r="N314" s="70">
        <v>17.0</v>
      </c>
      <c r="O314" s="72">
        <v>31810.0</v>
      </c>
      <c r="P314" s="73">
        <f t="shared" ref="P314:P315" si="223">L314/M314</f>
        <v>0.3711001994</v>
      </c>
      <c r="Q314" s="75">
        <f t="shared" si="7"/>
        <v>2.69469001</v>
      </c>
      <c r="R314" s="73">
        <f t="shared" si="8"/>
        <v>0.67218691</v>
      </c>
      <c r="S314" s="76"/>
      <c r="T314" s="77"/>
      <c r="U314" s="2"/>
      <c r="V314" s="2"/>
      <c r="W314" s="2"/>
      <c r="X314" s="2"/>
      <c r="Y314" s="2"/>
      <c r="Z314" s="2"/>
    </row>
    <row r="315" collapsed="1">
      <c r="A315" s="78" t="s">
        <v>104</v>
      </c>
      <c r="B315" s="79"/>
      <c r="C315" s="80"/>
      <c r="D315" s="81">
        <f t="shared" ref="D315:F315" si="221">SUM(D308:D314)</f>
        <v>3984.82</v>
      </c>
      <c r="E315" s="82">
        <f t="shared" si="221"/>
        <v>162</v>
      </c>
      <c r="F315" s="82">
        <f t="shared" si="221"/>
        <v>143</v>
      </c>
      <c r="G315" s="83">
        <f t="shared" si="2"/>
        <v>1.132867133</v>
      </c>
      <c r="H315" s="81">
        <f>average(H308:H314)</f>
        <v>28.01180211</v>
      </c>
      <c r="I315" s="84">
        <f>H315/G315</f>
        <v>24.72646729</v>
      </c>
      <c r="J315" s="85">
        <f>SUM(J308:J314)</f>
        <v>2104</v>
      </c>
      <c r="K315" s="86">
        <f t="shared" si="5"/>
        <v>0.07699619772</v>
      </c>
      <c r="L315" s="81">
        <f t="shared" ref="L315:N315" si="222">SUM(L308:L314)</f>
        <v>1055.04</v>
      </c>
      <c r="M315" s="81">
        <f t="shared" si="222"/>
        <v>2777.1</v>
      </c>
      <c r="N315" s="87">
        <f t="shared" si="222"/>
        <v>100</v>
      </c>
      <c r="O315" s="85">
        <f>sum(O308:O314)</f>
        <v>212842</v>
      </c>
      <c r="P315" s="86">
        <f t="shared" si="223"/>
        <v>0.3799070973</v>
      </c>
      <c r="Q315" s="88">
        <f t="shared" si="7"/>
        <v>2.632222475</v>
      </c>
      <c r="R315" s="89">
        <f t="shared" si="8"/>
        <v>0.6969198107</v>
      </c>
      <c r="S315" s="80" t="str">
        <f>iferror((D315-#REF!)/D315,)</f>
        <v/>
      </c>
      <c r="T315" s="90" t="str">
        <f>iferror((F315-#REF!)/F315,)</f>
        <v/>
      </c>
      <c r="U315" s="2"/>
      <c r="V315" s="2"/>
      <c r="W315" s="2"/>
      <c r="X315" s="2"/>
      <c r="Y315" s="2"/>
      <c r="Z315" s="2"/>
    </row>
    <row r="316" hidden="1" outlineLevel="1">
      <c r="A316" s="56" t="str">
        <f t="shared" ref="A316:A322" si="224">iferror(if(B316&gt;0,month(B316)&amp;"-"&amp;year(B316),B316),)</f>
        <v>9-2025</v>
      </c>
      <c r="B316" s="57">
        <v>45914.0</v>
      </c>
      <c r="C316" s="58"/>
      <c r="D316" s="59">
        <v>874.02</v>
      </c>
      <c r="E316" s="60">
        <v>35.0</v>
      </c>
      <c r="F316" s="60">
        <v>34.0</v>
      </c>
      <c r="G316" s="61">
        <f t="shared" si="2"/>
        <v>1.029411765</v>
      </c>
      <c r="H316" s="59">
        <f t="shared" ref="H316:H322" si="225">D316/F316</f>
        <v>25.70647059</v>
      </c>
      <c r="I316" s="59">
        <f t="shared" ref="I316:I322" si="226">D316/E316</f>
        <v>24.972</v>
      </c>
      <c r="J316" s="62">
        <v>389.0</v>
      </c>
      <c r="K316" s="63">
        <f t="shared" si="5"/>
        <v>0.08997429306</v>
      </c>
      <c r="L316" s="59">
        <v>197.28</v>
      </c>
      <c r="M316" s="59">
        <v>697.81</v>
      </c>
      <c r="N316" s="60">
        <v>27.0</v>
      </c>
      <c r="O316" s="62">
        <v>35981.0</v>
      </c>
      <c r="P316" s="63">
        <v>0.4734</v>
      </c>
      <c r="Q316" s="64">
        <f t="shared" si="7"/>
        <v>3.537155312</v>
      </c>
      <c r="R316" s="63">
        <f t="shared" si="8"/>
        <v>0.7983913412</v>
      </c>
      <c r="S316" s="65"/>
      <c r="T316" s="66"/>
      <c r="U316" s="2"/>
      <c r="V316" s="2"/>
      <c r="W316" s="2"/>
      <c r="X316" s="2"/>
      <c r="Y316" s="2"/>
      <c r="Z316" s="2"/>
    </row>
    <row r="317" hidden="1" outlineLevel="1">
      <c r="A317" s="67" t="str">
        <f t="shared" si="224"/>
        <v>9-2025</v>
      </c>
      <c r="B317" s="57">
        <v>45915.0</v>
      </c>
      <c r="C317" s="68"/>
      <c r="D317" s="69">
        <v>377.91</v>
      </c>
      <c r="E317" s="70">
        <v>16.0</v>
      </c>
      <c r="F317" s="70">
        <v>15.0</v>
      </c>
      <c r="G317" s="71">
        <f t="shared" si="2"/>
        <v>1.066666667</v>
      </c>
      <c r="H317" s="69">
        <f t="shared" si="225"/>
        <v>25.194</v>
      </c>
      <c r="I317" s="69">
        <f t="shared" si="226"/>
        <v>23.619375</v>
      </c>
      <c r="J317" s="72">
        <v>166.0</v>
      </c>
      <c r="K317" s="73">
        <f t="shared" si="5"/>
        <v>0.09638554217</v>
      </c>
      <c r="L317" s="69">
        <v>44.5</v>
      </c>
      <c r="M317" s="74">
        <v>144.46</v>
      </c>
      <c r="N317" s="70">
        <v>5.0</v>
      </c>
      <c r="O317" s="72">
        <v>10507.0</v>
      </c>
      <c r="P317" s="73">
        <v>0.2985</v>
      </c>
      <c r="Q317" s="75">
        <f t="shared" si="7"/>
        <v>3.246292135</v>
      </c>
      <c r="R317" s="73">
        <f t="shared" si="8"/>
        <v>0.3822603265</v>
      </c>
      <c r="S317" s="76"/>
      <c r="T317" s="77"/>
      <c r="U317" s="2"/>
      <c r="V317" s="2"/>
      <c r="W317" s="2"/>
      <c r="X317" s="2"/>
      <c r="Y317" s="2"/>
      <c r="Z317" s="2"/>
    </row>
    <row r="318" hidden="1" outlineLevel="1">
      <c r="A318" s="67" t="str">
        <f t="shared" si="224"/>
        <v>9-2025</v>
      </c>
      <c r="B318" s="57">
        <v>45916.0</v>
      </c>
      <c r="C318" s="68"/>
      <c r="D318" s="69">
        <v>807.51</v>
      </c>
      <c r="E318" s="70">
        <v>30.0</v>
      </c>
      <c r="F318" s="70">
        <v>25.0</v>
      </c>
      <c r="G318" s="71">
        <f t="shared" si="2"/>
        <v>1.2</v>
      </c>
      <c r="H318" s="69">
        <f t="shared" si="225"/>
        <v>32.3004</v>
      </c>
      <c r="I318" s="69">
        <f t="shared" si="226"/>
        <v>26.917</v>
      </c>
      <c r="J318" s="72">
        <v>238.0</v>
      </c>
      <c r="K318" s="73">
        <f t="shared" si="5"/>
        <v>0.1260504202</v>
      </c>
      <c r="L318" s="59">
        <v>110.3</v>
      </c>
      <c r="M318" s="59">
        <v>404.14</v>
      </c>
      <c r="N318" s="60">
        <v>13.0</v>
      </c>
      <c r="O318" s="72">
        <v>23843.0</v>
      </c>
      <c r="P318" s="73">
        <v>0.3486</v>
      </c>
      <c r="Q318" s="75">
        <f t="shared" si="7"/>
        <v>3.664007253</v>
      </c>
      <c r="R318" s="73">
        <f t="shared" si="8"/>
        <v>0.5004767743</v>
      </c>
      <c r="S318" s="76"/>
      <c r="T318" s="77"/>
      <c r="U318" s="2"/>
      <c r="V318" s="2"/>
      <c r="W318" s="2"/>
      <c r="X318" s="2"/>
      <c r="Y318" s="2"/>
      <c r="Z318" s="2"/>
    </row>
    <row r="319" hidden="1" outlineLevel="1">
      <c r="A319" s="67" t="str">
        <f t="shared" si="224"/>
        <v>9-2025</v>
      </c>
      <c r="B319" s="57">
        <v>45917.0</v>
      </c>
      <c r="C319" s="68"/>
      <c r="D319" s="69">
        <v>318.17</v>
      </c>
      <c r="E319" s="70">
        <v>13.0</v>
      </c>
      <c r="F319" s="70">
        <v>13.0</v>
      </c>
      <c r="G319" s="71">
        <f t="shared" si="2"/>
        <v>1</v>
      </c>
      <c r="H319" s="69">
        <f t="shared" si="225"/>
        <v>24.47461538</v>
      </c>
      <c r="I319" s="69">
        <f t="shared" si="226"/>
        <v>24.47461538</v>
      </c>
      <c r="J319" s="72">
        <v>184.0</v>
      </c>
      <c r="K319" s="73">
        <f t="shared" si="5"/>
        <v>0.07065217391</v>
      </c>
      <c r="L319" s="69">
        <v>86.51</v>
      </c>
      <c r="M319" s="69">
        <v>228.2</v>
      </c>
      <c r="N319" s="70">
        <v>9.0</v>
      </c>
      <c r="O319" s="72">
        <v>19236.0</v>
      </c>
      <c r="P319" s="73">
        <v>0.3572</v>
      </c>
      <c r="Q319" s="75">
        <f t="shared" si="7"/>
        <v>2.637845336</v>
      </c>
      <c r="R319" s="73">
        <f t="shared" si="8"/>
        <v>0.7172266398</v>
      </c>
      <c r="S319" s="76"/>
      <c r="T319" s="77"/>
      <c r="U319" s="2"/>
      <c r="V319" s="2"/>
      <c r="W319" s="2"/>
      <c r="X319" s="2"/>
      <c r="Y319" s="2"/>
      <c r="Z319" s="2"/>
    </row>
    <row r="320" hidden="1" outlineLevel="1">
      <c r="A320" s="67" t="str">
        <f t="shared" si="224"/>
        <v>9-2025</v>
      </c>
      <c r="B320" s="57">
        <v>45918.0</v>
      </c>
      <c r="C320" s="68"/>
      <c r="D320" s="69">
        <v>386.38</v>
      </c>
      <c r="E320" s="70">
        <v>14.0</v>
      </c>
      <c r="F320" s="70">
        <v>14.0</v>
      </c>
      <c r="G320" s="71">
        <f t="shared" si="2"/>
        <v>1</v>
      </c>
      <c r="H320" s="69">
        <f t="shared" si="225"/>
        <v>27.59857143</v>
      </c>
      <c r="I320" s="69">
        <f t="shared" si="226"/>
        <v>27.59857143</v>
      </c>
      <c r="J320" s="72">
        <v>249.0</v>
      </c>
      <c r="K320" s="73">
        <f t="shared" si="5"/>
        <v>0.0562248996</v>
      </c>
      <c r="L320" s="69">
        <v>137.3</v>
      </c>
      <c r="M320" s="69">
        <v>367.13</v>
      </c>
      <c r="N320" s="70">
        <v>13.0</v>
      </c>
      <c r="O320" s="72">
        <v>26967.0</v>
      </c>
      <c r="P320" s="73">
        <v>0.3225</v>
      </c>
      <c r="Q320" s="75">
        <f t="shared" si="7"/>
        <v>2.67392571</v>
      </c>
      <c r="R320" s="73">
        <f t="shared" si="8"/>
        <v>0.9501785807</v>
      </c>
      <c r="S320" s="76"/>
      <c r="T320" s="77"/>
      <c r="U320" s="2"/>
      <c r="V320" s="2"/>
      <c r="W320" s="2"/>
      <c r="X320" s="2"/>
      <c r="Y320" s="2"/>
      <c r="Z320" s="2"/>
    </row>
    <row r="321" hidden="1" outlineLevel="1">
      <c r="A321" s="67" t="str">
        <f t="shared" si="224"/>
        <v>9-2025</v>
      </c>
      <c r="B321" s="57">
        <v>45919.0</v>
      </c>
      <c r="C321" s="68"/>
      <c r="D321" s="69">
        <v>429.9</v>
      </c>
      <c r="E321" s="70">
        <v>17.0</v>
      </c>
      <c r="F321" s="70">
        <v>16.0</v>
      </c>
      <c r="G321" s="71">
        <f t="shared" si="2"/>
        <v>1.0625</v>
      </c>
      <c r="H321" s="69">
        <f t="shared" si="225"/>
        <v>26.86875</v>
      </c>
      <c r="I321" s="69">
        <f t="shared" si="226"/>
        <v>25.28823529</v>
      </c>
      <c r="J321" s="72">
        <v>213.0</v>
      </c>
      <c r="K321" s="73">
        <f t="shared" si="5"/>
        <v>0.07981220657</v>
      </c>
      <c r="L321" s="69">
        <v>99.59</v>
      </c>
      <c r="M321" s="69">
        <v>396.42</v>
      </c>
      <c r="N321" s="70">
        <v>14.0</v>
      </c>
      <c r="O321" s="72">
        <v>23435.0</v>
      </c>
      <c r="P321" s="73">
        <v>0.5913</v>
      </c>
      <c r="Q321" s="75">
        <f t="shared" si="7"/>
        <v>3.980520133</v>
      </c>
      <c r="R321" s="73">
        <f t="shared" si="8"/>
        <v>0.9221214236</v>
      </c>
      <c r="S321" s="76"/>
      <c r="T321" s="77"/>
      <c r="U321" s="2"/>
      <c r="V321" s="2"/>
      <c r="W321" s="2"/>
      <c r="X321" s="2"/>
      <c r="Y321" s="2"/>
      <c r="Z321" s="2"/>
    </row>
    <row r="322" hidden="1" outlineLevel="1">
      <c r="A322" s="67" t="str">
        <f t="shared" si="224"/>
        <v>9-2025</v>
      </c>
      <c r="B322" s="57">
        <v>45920.0</v>
      </c>
      <c r="C322" s="68"/>
      <c r="D322" s="69">
        <v>367.15</v>
      </c>
      <c r="E322" s="70">
        <v>15.0</v>
      </c>
      <c r="F322" s="70">
        <v>11.0</v>
      </c>
      <c r="G322" s="71">
        <f t="shared" si="2"/>
        <v>1.363636364</v>
      </c>
      <c r="H322" s="69">
        <f t="shared" si="225"/>
        <v>33.37727273</v>
      </c>
      <c r="I322" s="69">
        <f t="shared" si="226"/>
        <v>24.47666667</v>
      </c>
      <c r="J322" s="72">
        <v>101.0</v>
      </c>
      <c r="K322" s="73">
        <f t="shared" si="5"/>
        <v>0.1485148515</v>
      </c>
      <c r="L322" s="69">
        <v>0.0</v>
      </c>
      <c r="M322" s="69">
        <v>0.0</v>
      </c>
      <c r="N322" s="70">
        <v>0.0</v>
      </c>
      <c r="O322" s="72">
        <v>64.0</v>
      </c>
      <c r="P322" s="73" t="str">
        <f t="shared" ref="P322:P323" si="229">L322/M322</f>
        <v>#DIV/0!</v>
      </c>
      <c r="Q322" s="75" t="str">
        <f t="shared" si="7"/>
        <v>#DIV/0!</v>
      </c>
      <c r="R322" s="73">
        <f t="shared" si="8"/>
        <v>0</v>
      </c>
      <c r="S322" s="76"/>
      <c r="T322" s="77"/>
      <c r="U322" s="2"/>
      <c r="V322" s="2"/>
      <c r="W322" s="2"/>
      <c r="X322" s="2"/>
      <c r="Y322" s="2"/>
      <c r="Z322" s="2"/>
    </row>
    <row r="323" collapsed="1">
      <c r="A323" s="78" t="s">
        <v>105</v>
      </c>
      <c r="B323" s="79"/>
      <c r="C323" s="80"/>
      <c r="D323" s="81">
        <f t="shared" ref="D323:F323" si="227">SUM(D316:D322)</f>
        <v>3561.04</v>
      </c>
      <c r="E323" s="82">
        <f t="shared" si="227"/>
        <v>140</v>
      </c>
      <c r="F323" s="82">
        <f t="shared" si="227"/>
        <v>128</v>
      </c>
      <c r="G323" s="83">
        <f t="shared" si="2"/>
        <v>1.09375</v>
      </c>
      <c r="H323" s="81">
        <f>average(H316:H322)</f>
        <v>27.93144002</v>
      </c>
      <c r="I323" s="84">
        <f>H323/G323</f>
        <v>25.53731659</v>
      </c>
      <c r="J323" s="85">
        <f>SUM(J316:J322)</f>
        <v>1540</v>
      </c>
      <c r="K323" s="86">
        <f t="shared" si="5"/>
        <v>0.09090909091</v>
      </c>
      <c r="L323" s="81">
        <f t="shared" ref="L323:N323" si="228">SUM(L316:L322)</f>
        <v>675.48</v>
      </c>
      <c r="M323" s="81">
        <f t="shared" si="228"/>
        <v>2238.16</v>
      </c>
      <c r="N323" s="87">
        <f t="shared" si="228"/>
        <v>81</v>
      </c>
      <c r="O323" s="85">
        <f>sum(O316:O322)</f>
        <v>140033</v>
      </c>
      <c r="P323" s="86">
        <f t="shared" si="229"/>
        <v>0.3018014798</v>
      </c>
      <c r="Q323" s="88">
        <f t="shared" si="7"/>
        <v>3.313436371</v>
      </c>
      <c r="R323" s="89">
        <f t="shared" si="8"/>
        <v>0.6285130187</v>
      </c>
      <c r="S323" s="80" t="str">
        <f>iferror((D323-#REF!)/D323,)</f>
        <v/>
      </c>
      <c r="T323" s="90" t="str">
        <f>iferror((F323-#REF!)/F323,)</f>
        <v/>
      </c>
      <c r="U323" s="2"/>
      <c r="V323" s="2"/>
      <c r="W323" s="2"/>
      <c r="X323" s="2"/>
      <c r="Y323" s="2"/>
      <c r="Z323" s="2"/>
    </row>
    <row r="324" hidden="1" outlineLevel="1">
      <c r="A324" s="56" t="str">
        <f t="shared" ref="A324:A330" si="230">iferror(if(B324&gt;0,month(B324)&amp;"-"&amp;year(B324),B324),)</f>
        <v>9-2025</v>
      </c>
      <c r="B324" s="57">
        <v>45921.0</v>
      </c>
      <c r="C324" s="58"/>
      <c r="D324" s="59">
        <v>151.46</v>
      </c>
      <c r="E324" s="60">
        <v>6.0</v>
      </c>
      <c r="F324" s="60">
        <v>6.0</v>
      </c>
      <c r="G324" s="61">
        <f t="shared" si="2"/>
        <v>1</v>
      </c>
      <c r="H324" s="59">
        <f t="shared" ref="H324:H330" si="231">D324/F324</f>
        <v>25.24333333</v>
      </c>
      <c r="I324" s="59">
        <f t="shared" ref="I324:I330" si="232">D324/E324</f>
        <v>25.24333333</v>
      </c>
      <c r="J324" s="62">
        <v>70.0</v>
      </c>
      <c r="K324" s="63">
        <f t="shared" si="5"/>
        <v>0.08571428571</v>
      </c>
      <c r="L324" s="59">
        <v>0.0</v>
      </c>
      <c r="M324" s="59">
        <v>0.0</v>
      </c>
      <c r="N324" s="60">
        <v>0.0</v>
      </c>
      <c r="O324" s="62">
        <v>0.0</v>
      </c>
      <c r="P324" s="63">
        <v>0.4734</v>
      </c>
      <c r="Q324" s="64" t="str">
        <f t="shared" si="7"/>
        <v>#DIV/0!</v>
      </c>
      <c r="R324" s="63">
        <f t="shared" si="8"/>
        <v>0</v>
      </c>
      <c r="S324" s="65"/>
      <c r="T324" s="66"/>
      <c r="U324" s="2"/>
      <c r="V324" s="2"/>
      <c r="W324" s="2"/>
      <c r="X324" s="2"/>
      <c r="Y324" s="2"/>
      <c r="Z324" s="2"/>
    </row>
    <row r="325" hidden="1" outlineLevel="1">
      <c r="A325" s="67" t="str">
        <f t="shared" si="230"/>
        <v>9-2025</v>
      </c>
      <c r="B325" s="57">
        <v>45922.0</v>
      </c>
      <c r="C325" s="68"/>
      <c r="D325" s="69">
        <v>240.91</v>
      </c>
      <c r="E325" s="70">
        <v>9.0</v>
      </c>
      <c r="F325" s="70">
        <v>7.0</v>
      </c>
      <c r="G325" s="71">
        <f t="shared" si="2"/>
        <v>1.285714286</v>
      </c>
      <c r="H325" s="69">
        <f t="shared" si="231"/>
        <v>34.41571429</v>
      </c>
      <c r="I325" s="69">
        <f t="shared" si="232"/>
        <v>26.76777778</v>
      </c>
      <c r="J325" s="72">
        <v>109.0</v>
      </c>
      <c r="K325" s="73">
        <f t="shared" si="5"/>
        <v>0.08256880734</v>
      </c>
      <c r="L325" s="69">
        <v>21.34</v>
      </c>
      <c r="M325" s="74">
        <v>51.98</v>
      </c>
      <c r="N325" s="70">
        <v>2.0</v>
      </c>
      <c r="O325" s="72">
        <v>5619.0</v>
      </c>
      <c r="P325" s="73">
        <v>0.2985</v>
      </c>
      <c r="Q325" s="75">
        <f t="shared" si="7"/>
        <v>2.435801312</v>
      </c>
      <c r="R325" s="73">
        <f t="shared" si="8"/>
        <v>0.2157652235</v>
      </c>
      <c r="S325" s="76"/>
      <c r="T325" s="77"/>
      <c r="U325" s="2"/>
      <c r="V325" s="2"/>
      <c r="W325" s="2"/>
      <c r="X325" s="2"/>
      <c r="Y325" s="2"/>
      <c r="Z325" s="2"/>
    </row>
    <row r="326" hidden="1" outlineLevel="1">
      <c r="A326" s="67" t="str">
        <f t="shared" si="230"/>
        <v>9-2025</v>
      </c>
      <c r="B326" s="57">
        <v>45923.0</v>
      </c>
      <c r="C326" s="68"/>
      <c r="D326" s="69">
        <v>422.12</v>
      </c>
      <c r="E326" s="70">
        <v>17.0</v>
      </c>
      <c r="F326" s="70">
        <v>17.0</v>
      </c>
      <c r="G326" s="71">
        <f t="shared" si="2"/>
        <v>1</v>
      </c>
      <c r="H326" s="69">
        <f t="shared" si="231"/>
        <v>24.83058824</v>
      </c>
      <c r="I326" s="69">
        <f t="shared" si="232"/>
        <v>24.83058824</v>
      </c>
      <c r="J326" s="72">
        <v>208.0</v>
      </c>
      <c r="K326" s="73">
        <f t="shared" si="5"/>
        <v>0.08173076923</v>
      </c>
      <c r="L326" s="59">
        <v>116.52</v>
      </c>
      <c r="M326" s="59">
        <v>332.9</v>
      </c>
      <c r="N326" s="60">
        <v>13.0</v>
      </c>
      <c r="O326" s="72">
        <v>22297.0</v>
      </c>
      <c r="P326" s="73">
        <v>0.3486</v>
      </c>
      <c r="Q326" s="75">
        <f t="shared" si="7"/>
        <v>2.857020254</v>
      </c>
      <c r="R326" s="73">
        <f t="shared" si="8"/>
        <v>0.7886383019</v>
      </c>
      <c r="S326" s="76"/>
      <c r="T326" s="77"/>
      <c r="U326" s="2"/>
      <c r="V326" s="2"/>
      <c r="W326" s="2"/>
      <c r="X326" s="2"/>
      <c r="Y326" s="2"/>
      <c r="Z326" s="2"/>
    </row>
    <row r="327" hidden="1" outlineLevel="1">
      <c r="A327" s="67" t="str">
        <f t="shared" si="230"/>
        <v>9-2025</v>
      </c>
      <c r="B327" s="57">
        <v>45924.0</v>
      </c>
      <c r="C327" s="68"/>
      <c r="D327" s="69">
        <v>272.92</v>
      </c>
      <c r="E327" s="70">
        <v>11.0</v>
      </c>
      <c r="F327" s="70">
        <v>11.0</v>
      </c>
      <c r="G327" s="71">
        <f t="shared" si="2"/>
        <v>1</v>
      </c>
      <c r="H327" s="69">
        <f t="shared" si="231"/>
        <v>24.81090909</v>
      </c>
      <c r="I327" s="69">
        <f t="shared" si="232"/>
        <v>24.81090909</v>
      </c>
      <c r="J327" s="72">
        <v>227.0</v>
      </c>
      <c r="K327" s="73">
        <f t="shared" si="5"/>
        <v>0.04845814978</v>
      </c>
      <c r="L327" s="69">
        <v>124.37</v>
      </c>
      <c r="M327" s="69">
        <v>180.19</v>
      </c>
      <c r="N327" s="70">
        <v>7.0</v>
      </c>
      <c r="O327" s="72">
        <v>27566.0</v>
      </c>
      <c r="P327" s="73">
        <v>0.3572</v>
      </c>
      <c r="Q327" s="75">
        <f t="shared" si="7"/>
        <v>1.448822063</v>
      </c>
      <c r="R327" s="73">
        <f t="shared" si="8"/>
        <v>0.6602301041</v>
      </c>
      <c r="S327" s="76"/>
      <c r="T327" s="77"/>
      <c r="U327" s="2"/>
      <c r="V327" s="2"/>
      <c r="W327" s="2"/>
      <c r="X327" s="2"/>
      <c r="Y327" s="2"/>
      <c r="Z327" s="2"/>
    </row>
    <row r="328" hidden="1" outlineLevel="1">
      <c r="A328" s="67" t="str">
        <f t="shared" si="230"/>
        <v>9-2025</v>
      </c>
      <c r="B328" s="57">
        <v>45925.0</v>
      </c>
      <c r="C328" s="68"/>
      <c r="D328" s="69">
        <v>313.69</v>
      </c>
      <c r="E328" s="70">
        <v>13.0</v>
      </c>
      <c r="F328" s="70">
        <v>9.0</v>
      </c>
      <c r="G328" s="71">
        <f t="shared" si="2"/>
        <v>1.444444444</v>
      </c>
      <c r="H328" s="69">
        <f t="shared" si="231"/>
        <v>34.85444444</v>
      </c>
      <c r="I328" s="69">
        <f t="shared" si="232"/>
        <v>24.13</v>
      </c>
      <c r="J328" s="72">
        <v>260.0</v>
      </c>
      <c r="K328" s="73">
        <f t="shared" si="5"/>
        <v>0.05</v>
      </c>
      <c r="L328" s="69">
        <v>158.9</v>
      </c>
      <c r="M328" s="69">
        <v>263.45</v>
      </c>
      <c r="N328" s="70">
        <v>8.0</v>
      </c>
      <c r="O328" s="72">
        <v>25747.0</v>
      </c>
      <c r="P328" s="73">
        <v>0.3225</v>
      </c>
      <c r="Q328" s="75">
        <f t="shared" si="7"/>
        <v>1.657960982</v>
      </c>
      <c r="R328" s="73">
        <f t="shared" si="8"/>
        <v>0.8398418821</v>
      </c>
      <c r="S328" s="76"/>
      <c r="T328" s="77"/>
      <c r="U328" s="2"/>
      <c r="V328" s="2"/>
      <c r="W328" s="2"/>
      <c r="X328" s="2"/>
      <c r="Y328" s="2"/>
      <c r="Z328" s="2"/>
    </row>
    <row r="329" hidden="1" outlineLevel="1">
      <c r="A329" s="67" t="str">
        <f t="shared" si="230"/>
        <v>9-2025</v>
      </c>
      <c r="B329" s="57">
        <v>45926.0</v>
      </c>
      <c r="C329" s="68"/>
      <c r="D329" s="69">
        <v>386.15</v>
      </c>
      <c r="E329" s="70">
        <v>15.0</v>
      </c>
      <c r="F329" s="70">
        <v>13.0</v>
      </c>
      <c r="G329" s="71">
        <f t="shared" si="2"/>
        <v>1.153846154</v>
      </c>
      <c r="H329" s="69">
        <f t="shared" si="231"/>
        <v>29.70384615</v>
      </c>
      <c r="I329" s="69">
        <f t="shared" si="232"/>
        <v>25.74333333</v>
      </c>
      <c r="J329" s="72">
        <v>156.0</v>
      </c>
      <c r="K329" s="73">
        <f t="shared" si="5"/>
        <v>0.09615384615</v>
      </c>
      <c r="L329" s="69">
        <v>80.33</v>
      </c>
      <c r="M329" s="69">
        <v>369.9</v>
      </c>
      <c r="N329" s="70">
        <v>12.0</v>
      </c>
      <c r="O329" s="72">
        <v>15259.0</v>
      </c>
      <c r="P329" s="73">
        <v>0.5913</v>
      </c>
      <c r="Q329" s="75">
        <f t="shared" si="7"/>
        <v>4.604755384</v>
      </c>
      <c r="R329" s="73">
        <f t="shared" si="8"/>
        <v>0.9579179075</v>
      </c>
      <c r="S329" s="76"/>
      <c r="T329" s="77"/>
      <c r="U329" s="2"/>
      <c r="V329" s="2"/>
      <c r="W329" s="2"/>
      <c r="X329" s="2"/>
      <c r="Y329" s="2"/>
      <c r="Z329" s="2"/>
    </row>
    <row r="330" hidden="1" outlineLevel="1">
      <c r="A330" s="67" t="str">
        <f t="shared" si="230"/>
        <v>9-2025</v>
      </c>
      <c r="B330" s="57">
        <v>45927.0</v>
      </c>
      <c r="C330" s="68"/>
      <c r="D330" s="69">
        <v>498.4</v>
      </c>
      <c r="E330" s="70">
        <v>21.0</v>
      </c>
      <c r="F330" s="70">
        <v>13.0</v>
      </c>
      <c r="G330" s="71">
        <f t="shared" si="2"/>
        <v>1.615384615</v>
      </c>
      <c r="H330" s="69">
        <f t="shared" si="231"/>
        <v>38.33846154</v>
      </c>
      <c r="I330" s="69">
        <f t="shared" si="232"/>
        <v>23.73333333</v>
      </c>
      <c r="J330" s="72">
        <v>73.0</v>
      </c>
      <c r="K330" s="73">
        <f t="shared" si="5"/>
        <v>0.2876712329</v>
      </c>
      <c r="L330" s="69">
        <v>0.0</v>
      </c>
      <c r="M330" s="69">
        <v>0.0</v>
      </c>
      <c r="N330" s="70">
        <v>0.0</v>
      </c>
      <c r="O330" s="72">
        <v>0.0</v>
      </c>
      <c r="P330" s="73" t="str">
        <f t="shared" ref="P330:P331" si="235">L330/M330</f>
        <v>#DIV/0!</v>
      </c>
      <c r="Q330" s="75" t="str">
        <f t="shared" si="7"/>
        <v>#DIV/0!</v>
      </c>
      <c r="R330" s="73">
        <f t="shared" si="8"/>
        <v>0</v>
      </c>
      <c r="S330" s="76"/>
      <c r="T330" s="77"/>
      <c r="U330" s="2"/>
      <c r="V330" s="2"/>
      <c r="W330" s="2"/>
      <c r="X330" s="2"/>
      <c r="Y330" s="2"/>
      <c r="Z330" s="2"/>
    </row>
    <row r="331" collapsed="1">
      <c r="A331" s="78" t="s">
        <v>106</v>
      </c>
      <c r="B331" s="79"/>
      <c r="C331" s="80"/>
      <c r="D331" s="81">
        <f t="shared" ref="D331:F331" si="233">SUM(D324:D330)</f>
        <v>2285.65</v>
      </c>
      <c r="E331" s="82">
        <f t="shared" si="233"/>
        <v>92</v>
      </c>
      <c r="F331" s="82">
        <f t="shared" si="233"/>
        <v>76</v>
      </c>
      <c r="G331" s="83">
        <f t="shared" si="2"/>
        <v>1.210526316</v>
      </c>
      <c r="H331" s="81">
        <f>average(H324:H330)</f>
        <v>30.31389958</v>
      </c>
      <c r="I331" s="84">
        <f>H331/G331</f>
        <v>25.04191705</v>
      </c>
      <c r="J331" s="85">
        <f>SUM(J324:J330)</f>
        <v>1103</v>
      </c>
      <c r="K331" s="86">
        <f t="shared" si="5"/>
        <v>0.08340888486</v>
      </c>
      <c r="L331" s="81">
        <f t="shared" ref="L331:N331" si="234">SUM(L324:L330)</f>
        <v>501.46</v>
      </c>
      <c r="M331" s="81">
        <f t="shared" si="234"/>
        <v>1198.42</v>
      </c>
      <c r="N331" s="87">
        <f t="shared" si="234"/>
        <v>42</v>
      </c>
      <c r="O331" s="85">
        <f>sum(O324:O330)</f>
        <v>96488</v>
      </c>
      <c r="P331" s="86">
        <f t="shared" si="235"/>
        <v>0.4184342718</v>
      </c>
      <c r="Q331" s="88">
        <f t="shared" si="7"/>
        <v>2.389861604</v>
      </c>
      <c r="R331" s="89">
        <f t="shared" si="8"/>
        <v>0.5243234966</v>
      </c>
      <c r="S331" s="80" t="str">
        <f>iferror((D331-#REF!)/D331,)</f>
        <v/>
      </c>
      <c r="T331" s="90" t="str">
        <f>iferror((F331-#REF!)/F331,)</f>
        <v/>
      </c>
      <c r="U331" s="2"/>
      <c r="V331" s="2"/>
      <c r="W331" s="2"/>
      <c r="X331" s="2"/>
      <c r="Y331" s="2"/>
      <c r="Z331" s="2"/>
    </row>
    <row r="332" hidden="1" outlineLevel="1">
      <c r="A332" s="56" t="str">
        <f t="shared" ref="A332:A338" si="236">iferror(if(B332&gt;0,month(B332)&amp;"-"&amp;year(B332),B332),)</f>
        <v>9-2025</v>
      </c>
      <c r="B332" s="57">
        <v>45928.0</v>
      </c>
      <c r="C332" s="58"/>
      <c r="D332" s="59">
        <v>236.92</v>
      </c>
      <c r="E332" s="60">
        <v>9.0</v>
      </c>
      <c r="F332" s="60">
        <v>7.0</v>
      </c>
      <c r="G332" s="61">
        <f t="shared" si="2"/>
        <v>1.285714286</v>
      </c>
      <c r="H332" s="59">
        <f t="shared" ref="H332:H338" si="237">D332/F332</f>
        <v>33.84571429</v>
      </c>
      <c r="I332" s="59">
        <f t="shared" ref="I332:I338" si="238">D332/E332</f>
        <v>26.32444444</v>
      </c>
      <c r="J332" s="62">
        <v>90.0</v>
      </c>
      <c r="K332" s="63">
        <f t="shared" si="5"/>
        <v>0.1</v>
      </c>
      <c r="L332" s="59">
        <v>1.12</v>
      </c>
      <c r="M332" s="59">
        <v>0.0</v>
      </c>
      <c r="N332" s="60">
        <v>0.0</v>
      </c>
      <c r="O332" s="62">
        <v>857.0</v>
      </c>
      <c r="P332" s="63">
        <v>0.4734</v>
      </c>
      <c r="Q332" s="64">
        <f t="shared" si="7"/>
        <v>0</v>
      </c>
      <c r="R332" s="63">
        <f t="shared" si="8"/>
        <v>0</v>
      </c>
      <c r="S332" s="65"/>
      <c r="T332" s="66"/>
      <c r="U332" s="2"/>
      <c r="V332" s="2"/>
      <c r="W332" s="2"/>
      <c r="X332" s="2"/>
      <c r="Y332" s="2"/>
      <c r="Z332" s="2"/>
    </row>
    <row r="333" hidden="1" outlineLevel="1">
      <c r="A333" s="67" t="str">
        <f t="shared" si="236"/>
        <v>9-2025</v>
      </c>
      <c r="B333" s="57">
        <v>45929.0</v>
      </c>
      <c r="C333" s="68"/>
      <c r="D333" s="69">
        <v>191.71</v>
      </c>
      <c r="E333" s="70">
        <v>8.0</v>
      </c>
      <c r="F333" s="70">
        <v>6.0</v>
      </c>
      <c r="G333" s="71">
        <f t="shared" si="2"/>
        <v>1.333333333</v>
      </c>
      <c r="H333" s="69">
        <f t="shared" si="237"/>
        <v>31.95166667</v>
      </c>
      <c r="I333" s="69">
        <f t="shared" si="238"/>
        <v>23.96375</v>
      </c>
      <c r="J333" s="72">
        <v>112.0</v>
      </c>
      <c r="K333" s="73">
        <f t="shared" si="5"/>
        <v>0.07142857143</v>
      </c>
      <c r="L333" s="69">
        <v>30.73</v>
      </c>
      <c r="M333" s="74">
        <v>83.49</v>
      </c>
      <c r="N333" s="70">
        <v>3.0</v>
      </c>
      <c r="O333" s="72">
        <v>12059.0</v>
      </c>
      <c r="P333" s="73">
        <v>0.2985</v>
      </c>
      <c r="Q333" s="75">
        <f t="shared" si="7"/>
        <v>2.716889034</v>
      </c>
      <c r="R333" s="73">
        <f t="shared" si="8"/>
        <v>0.4355015388</v>
      </c>
      <c r="S333" s="76"/>
      <c r="T333" s="77"/>
      <c r="U333" s="2"/>
      <c r="V333" s="2"/>
      <c r="W333" s="2"/>
      <c r="X333" s="2"/>
      <c r="Y333" s="2"/>
      <c r="Z333" s="2"/>
    </row>
    <row r="334" hidden="1" outlineLevel="1">
      <c r="A334" s="67" t="str">
        <f t="shared" si="236"/>
        <v>9-2025</v>
      </c>
      <c r="B334" s="57">
        <v>45930.0</v>
      </c>
      <c r="C334" s="68"/>
      <c r="D334" s="69">
        <v>290.68</v>
      </c>
      <c r="E334" s="70">
        <v>12.0</v>
      </c>
      <c r="F334" s="70">
        <v>11.0</v>
      </c>
      <c r="G334" s="71">
        <f t="shared" si="2"/>
        <v>1.090909091</v>
      </c>
      <c r="H334" s="69">
        <f t="shared" si="237"/>
        <v>26.42545455</v>
      </c>
      <c r="I334" s="69">
        <f t="shared" si="238"/>
        <v>24.22333333</v>
      </c>
      <c r="J334" s="72">
        <v>178.0</v>
      </c>
      <c r="K334" s="73">
        <f t="shared" si="5"/>
        <v>0.06741573034</v>
      </c>
      <c r="L334" s="59">
        <v>85.3</v>
      </c>
      <c r="M334" s="59">
        <v>167.22</v>
      </c>
      <c r="N334" s="60">
        <v>6.0</v>
      </c>
      <c r="O334" s="72">
        <v>17685.0</v>
      </c>
      <c r="P334" s="73">
        <v>0.3486</v>
      </c>
      <c r="Q334" s="75">
        <f t="shared" si="7"/>
        <v>1.960375147</v>
      </c>
      <c r="R334" s="73">
        <f t="shared" si="8"/>
        <v>0.5752717765</v>
      </c>
      <c r="S334" s="76"/>
      <c r="T334" s="77"/>
      <c r="U334" s="2"/>
      <c r="V334" s="2"/>
      <c r="W334" s="2"/>
      <c r="X334" s="2"/>
      <c r="Y334" s="2"/>
      <c r="Z334" s="2"/>
    </row>
    <row r="335" hidden="1" outlineLevel="1">
      <c r="A335" s="67" t="str">
        <f t="shared" si="236"/>
        <v>10-2025</v>
      </c>
      <c r="B335" s="57">
        <v>45931.0</v>
      </c>
      <c r="C335" s="68"/>
      <c r="D335" s="69">
        <v>307.17</v>
      </c>
      <c r="E335" s="70">
        <v>12.0</v>
      </c>
      <c r="F335" s="70">
        <v>10.0</v>
      </c>
      <c r="G335" s="71">
        <f t="shared" si="2"/>
        <v>1.2</v>
      </c>
      <c r="H335" s="69">
        <f t="shared" si="237"/>
        <v>30.717</v>
      </c>
      <c r="I335" s="69">
        <f t="shared" si="238"/>
        <v>25.5975</v>
      </c>
      <c r="J335" s="72">
        <v>191.0</v>
      </c>
      <c r="K335" s="73">
        <f t="shared" si="5"/>
        <v>0.06282722513</v>
      </c>
      <c r="L335" s="69">
        <v>103.71</v>
      </c>
      <c r="M335" s="69">
        <v>326.14</v>
      </c>
      <c r="N335" s="70">
        <v>8.0</v>
      </c>
      <c r="O335" s="72">
        <v>24121.0</v>
      </c>
      <c r="P335" s="73">
        <v>0.3572</v>
      </c>
      <c r="Q335" s="75">
        <f t="shared" si="7"/>
        <v>3.144730499</v>
      </c>
      <c r="R335" s="73">
        <f t="shared" si="8"/>
        <v>1.061757333</v>
      </c>
      <c r="S335" s="76"/>
      <c r="T335" s="77"/>
      <c r="U335" s="2"/>
      <c r="V335" s="2"/>
      <c r="W335" s="2"/>
      <c r="X335" s="2"/>
      <c r="Y335" s="2"/>
      <c r="Z335" s="2"/>
    </row>
    <row r="336" hidden="1" outlineLevel="1">
      <c r="A336" s="67" t="str">
        <f t="shared" si="236"/>
        <v>10-2025</v>
      </c>
      <c r="B336" s="57">
        <v>45932.0</v>
      </c>
      <c r="C336" s="68"/>
      <c r="D336" s="69">
        <v>520.34</v>
      </c>
      <c r="E336" s="70">
        <v>20.0</v>
      </c>
      <c r="F336" s="70">
        <v>18.0</v>
      </c>
      <c r="G336" s="71">
        <f t="shared" si="2"/>
        <v>1.111111111</v>
      </c>
      <c r="H336" s="69">
        <f t="shared" si="237"/>
        <v>28.90777778</v>
      </c>
      <c r="I336" s="69">
        <f t="shared" si="238"/>
        <v>26.017</v>
      </c>
      <c r="J336" s="72">
        <v>237.0</v>
      </c>
      <c r="K336" s="73">
        <f t="shared" si="5"/>
        <v>0.08438818565</v>
      </c>
      <c r="L336" s="69">
        <v>132.07</v>
      </c>
      <c r="M336" s="69">
        <v>473.85</v>
      </c>
      <c r="N336" s="70">
        <v>16.0</v>
      </c>
      <c r="O336" s="72">
        <v>26422.0</v>
      </c>
      <c r="P336" s="73">
        <v>0.3225</v>
      </c>
      <c r="Q336" s="75">
        <f t="shared" si="7"/>
        <v>3.587870069</v>
      </c>
      <c r="R336" s="73">
        <f t="shared" si="8"/>
        <v>0.910654572</v>
      </c>
      <c r="S336" s="76"/>
      <c r="T336" s="77"/>
      <c r="U336" s="2"/>
      <c r="V336" s="2"/>
      <c r="W336" s="2"/>
      <c r="X336" s="2"/>
      <c r="Y336" s="2"/>
      <c r="Z336" s="2"/>
    </row>
    <row r="337" hidden="1" outlineLevel="1">
      <c r="A337" s="67" t="str">
        <f t="shared" si="236"/>
        <v>10-2025</v>
      </c>
      <c r="B337" s="57">
        <v>45933.0</v>
      </c>
      <c r="C337" s="68"/>
      <c r="D337" s="69">
        <v>617.57</v>
      </c>
      <c r="E337" s="70">
        <v>23.0</v>
      </c>
      <c r="F337" s="70">
        <v>21.0</v>
      </c>
      <c r="G337" s="71">
        <f t="shared" si="2"/>
        <v>1.095238095</v>
      </c>
      <c r="H337" s="69">
        <f t="shared" si="237"/>
        <v>29.40809524</v>
      </c>
      <c r="I337" s="69">
        <f t="shared" si="238"/>
        <v>26.85086957</v>
      </c>
      <c r="J337" s="72">
        <v>218.0</v>
      </c>
      <c r="K337" s="73">
        <f t="shared" si="5"/>
        <v>0.1055045872</v>
      </c>
      <c r="L337" s="69">
        <v>129.77</v>
      </c>
      <c r="M337" s="69">
        <v>439.12</v>
      </c>
      <c r="N337" s="70">
        <v>16.0</v>
      </c>
      <c r="O337" s="72">
        <v>22899.0</v>
      </c>
      <c r="P337" s="73">
        <v>0.5913</v>
      </c>
      <c r="Q337" s="75">
        <f t="shared" si="7"/>
        <v>3.383832935</v>
      </c>
      <c r="R337" s="73">
        <f t="shared" si="8"/>
        <v>0.7110449018</v>
      </c>
      <c r="S337" s="76"/>
      <c r="T337" s="77"/>
      <c r="U337" s="2"/>
      <c r="V337" s="2"/>
      <c r="W337" s="2"/>
      <c r="X337" s="2"/>
      <c r="Y337" s="2"/>
      <c r="Z337" s="2"/>
    </row>
    <row r="338" hidden="1" outlineLevel="1">
      <c r="A338" s="67" t="str">
        <f t="shared" si="236"/>
        <v>10-2025</v>
      </c>
      <c r="B338" s="57">
        <v>45934.0</v>
      </c>
      <c r="C338" s="68"/>
      <c r="D338" s="69">
        <v>370.63</v>
      </c>
      <c r="E338" s="70">
        <v>14.0</v>
      </c>
      <c r="F338" s="70">
        <v>14.0</v>
      </c>
      <c r="G338" s="71">
        <f t="shared" si="2"/>
        <v>1</v>
      </c>
      <c r="H338" s="69">
        <f t="shared" si="237"/>
        <v>26.47357143</v>
      </c>
      <c r="I338" s="69">
        <f t="shared" si="238"/>
        <v>26.47357143</v>
      </c>
      <c r="J338" s="72">
        <v>315.0</v>
      </c>
      <c r="K338" s="73">
        <f t="shared" si="5"/>
        <v>0.04444444444</v>
      </c>
      <c r="L338" s="69">
        <v>187.95</v>
      </c>
      <c r="M338" s="69">
        <v>364.89</v>
      </c>
      <c r="N338" s="70">
        <v>14.0</v>
      </c>
      <c r="O338" s="72">
        <v>29976.0</v>
      </c>
      <c r="P338" s="73">
        <f t="shared" ref="P338:P339" si="241">L338/M338</f>
        <v>0.5150867385</v>
      </c>
      <c r="Q338" s="75">
        <f t="shared" si="7"/>
        <v>1.941420591</v>
      </c>
      <c r="R338" s="73">
        <f t="shared" si="8"/>
        <v>0.9845128565</v>
      </c>
      <c r="S338" s="76"/>
      <c r="T338" s="77"/>
      <c r="U338" s="2"/>
      <c r="V338" s="2"/>
      <c r="W338" s="2"/>
      <c r="X338" s="2"/>
      <c r="Y338" s="2"/>
      <c r="Z338" s="2"/>
    </row>
    <row r="339" collapsed="1">
      <c r="A339" s="78" t="s">
        <v>107</v>
      </c>
      <c r="B339" s="79"/>
      <c r="C339" s="80"/>
      <c r="D339" s="81">
        <f t="shared" ref="D339:F339" si="239">SUM(D332:D338)</f>
        <v>2535.02</v>
      </c>
      <c r="E339" s="82">
        <f t="shared" si="239"/>
        <v>98</v>
      </c>
      <c r="F339" s="82">
        <f t="shared" si="239"/>
        <v>87</v>
      </c>
      <c r="G339" s="83">
        <f t="shared" si="2"/>
        <v>1.126436782</v>
      </c>
      <c r="H339" s="81">
        <f>average(H332:H338)</f>
        <v>29.67561142</v>
      </c>
      <c r="I339" s="84">
        <f>H339/G339</f>
        <v>26.34467544</v>
      </c>
      <c r="J339" s="85">
        <f>SUM(J332:J338)</f>
        <v>1341</v>
      </c>
      <c r="K339" s="86">
        <f t="shared" si="5"/>
        <v>0.0730797912</v>
      </c>
      <c r="L339" s="81">
        <f t="shared" ref="L339:N339" si="240">SUM(L332:L338)</f>
        <v>670.65</v>
      </c>
      <c r="M339" s="81">
        <f t="shared" si="240"/>
        <v>1854.71</v>
      </c>
      <c r="N339" s="87">
        <f t="shared" si="240"/>
        <v>63</v>
      </c>
      <c r="O339" s="85">
        <f>sum(O332:O338)</f>
        <v>134019</v>
      </c>
      <c r="P339" s="86">
        <f t="shared" si="241"/>
        <v>0.3615929175</v>
      </c>
      <c r="Q339" s="88">
        <f t="shared" si="7"/>
        <v>2.765540893</v>
      </c>
      <c r="R339" s="89">
        <f t="shared" si="8"/>
        <v>0.7316352534</v>
      </c>
      <c r="S339" s="80" t="str">
        <f>iferror((D339-#REF!)/D339,)</f>
        <v/>
      </c>
      <c r="T339" s="90" t="str">
        <f>iferror((F339-#REF!)/F339,)</f>
        <v/>
      </c>
      <c r="U339" s="2"/>
      <c r="V339" s="2"/>
      <c r="W339" s="2"/>
      <c r="X339" s="2"/>
      <c r="Y339" s="2"/>
      <c r="Z339" s="2"/>
    </row>
    <row r="340" hidden="1" outlineLevel="1">
      <c r="A340" s="56" t="str">
        <f t="shared" ref="A340:A346" si="242">iferror(if(B340&gt;0,month(B340)&amp;"-"&amp;year(B340),B340),)</f>
        <v>10-2025</v>
      </c>
      <c r="B340" s="57">
        <v>45935.0</v>
      </c>
      <c r="C340" s="58"/>
      <c r="D340" s="59">
        <v>741.76</v>
      </c>
      <c r="E340" s="60">
        <v>27.0</v>
      </c>
      <c r="F340" s="60">
        <v>23.0</v>
      </c>
      <c r="G340" s="61">
        <f t="shared" si="2"/>
        <v>1.173913043</v>
      </c>
      <c r="H340" s="59">
        <f t="shared" ref="H340:H346" si="243">D340/F340</f>
        <v>32.25043478</v>
      </c>
      <c r="I340" s="59">
        <f t="shared" ref="I340:I346" si="244">D340/E340</f>
        <v>27.47259259</v>
      </c>
      <c r="J340" s="62">
        <v>375.0</v>
      </c>
      <c r="K340" s="63">
        <f t="shared" si="5"/>
        <v>0.072</v>
      </c>
      <c r="L340" s="59">
        <v>260.67</v>
      </c>
      <c r="M340" s="59">
        <v>697.53</v>
      </c>
      <c r="N340" s="60">
        <v>22.0</v>
      </c>
      <c r="O340" s="62">
        <v>42420.0</v>
      </c>
      <c r="P340" s="63">
        <v>0.4734</v>
      </c>
      <c r="Q340" s="64">
        <f t="shared" si="7"/>
        <v>2.675912073</v>
      </c>
      <c r="R340" s="63">
        <f t="shared" si="8"/>
        <v>0.9403715487</v>
      </c>
      <c r="S340" s="65"/>
      <c r="T340" s="66"/>
      <c r="U340" s="2"/>
      <c r="V340" s="2"/>
      <c r="W340" s="2"/>
      <c r="X340" s="2"/>
      <c r="Y340" s="2"/>
      <c r="Z340" s="2"/>
    </row>
    <row r="341" hidden="1" outlineLevel="1">
      <c r="A341" s="67" t="str">
        <f t="shared" si="242"/>
        <v>10-2025</v>
      </c>
      <c r="B341" s="57">
        <v>45936.0</v>
      </c>
      <c r="C341" s="68"/>
      <c r="D341" s="69">
        <v>440.37</v>
      </c>
      <c r="E341" s="70">
        <v>17.0</v>
      </c>
      <c r="F341" s="70">
        <v>15.0</v>
      </c>
      <c r="G341" s="71">
        <f t="shared" si="2"/>
        <v>1.133333333</v>
      </c>
      <c r="H341" s="69">
        <f t="shared" si="243"/>
        <v>29.358</v>
      </c>
      <c r="I341" s="69">
        <f t="shared" si="244"/>
        <v>25.90411765</v>
      </c>
      <c r="J341" s="72">
        <v>320.0</v>
      </c>
      <c r="K341" s="73">
        <f t="shared" si="5"/>
        <v>0.053125</v>
      </c>
      <c r="L341" s="69">
        <v>214.66</v>
      </c>
      <c r="M341" s="74">
        <v>399.89</v>
      </c>
      <c r="N341" s="70">
        <v>13.0</v>
      </c>
      <c r="O341" s="72">
        <v>38333.0</v>
      </c>
      <c r="P341" s="73">
        <v>0.2985</v>
      </c>
      <c r="Q341" s="75">
        <f t="shared" si="7"/>
        <v>1.862899469</v>
      </c>
      <c r="R341" s="73">
        <f t="shared" si="8"/>
        <v>0.9080772986</v>
      </c>
      <c r="S341" s="76"/>
      <c r="T341" s="77"/>
      <c r="U341" s="2"/>
      <c r="V341" s="2"/>
      <c r="W341" s="2"/>
      <c r="X341" s="2"/>
      <c r="Y341" s="2"/>
      <c r="Z341" s="2"/>
    </row>
    <row r="342" hidden="1" outlineLevel="1">
      <c r="A342" s="67" t="str">
        <f t="shared" si="242"/>
        <v>10-2025</v>
      </c>
      <c r="B342" s="57">
        <v>45937.0</v>
      </c>
      <c r="C342" s="68"/>
      <c r="D342" s="69">
        <v>828.52</v>
      </c>
      <c r="E342" s="70">
        <v>31.0</v>
      </c>
      <c r="F342" s="70">
        <v>30.0</v>
      </c>
      <c r="G342" s="71">
        <f t="shared" si="2"/>
        <v>1.033333333</v>
      </c>
      <c r="H342" s="69">
        <f t="shared" si="243"/>
        <v>27.61733333</v>
      </c>
      <c r="I342" s="69">
        <f t="shared" si="244"/>
        <v>26.72645161</v>
      </c>
      <c r="J342" s="72">
        <v>373.0</v>
      </c>
      <c r="K342" s="73">
        <f t="shared" si="5"/>
        <v>0.08310991957</v>
      </c>
      <c r="L342" s="59">
        <v>246.86</v>
      </c>
      <c r="M342" s="59">
        <v>658.8</v>
      </c>
      <c r="N342" s="60">
        <v>23.0</v>
      </c>
      <c r="O342" s="72">
        <v>47941.0</v>
      </c>
      <c r="P342" s="73">
        <v>0.3486</v>
      </c>
      <c r="Q342" s="75">
        <f t="shared" si="7"/>
        <v>2.668719112</v>
      </c>
      <c r="R342" s="73">
        <f t="shared" si="8"/>
        <v>0.7951528026</v>
      </c>
      <c r="S342" s="76"/>
      <c r="T342" s="77"/>
      <c r="U342" s="2"/>
      <c r="V342" s="2"/>
      <c r="W342" s="2"/>
      <c r="X342" s="2"/>
      <c r="Y342" s="2"/>
      <c r="Z342" s="2"/>
    </row>
    <row r="343" hidden="1" outlineLevel="1">
      <c r="A343" s="67" t="str">
        <f t="shared" si="242"/>
        <v>10-2025</v>
      </c>
      <c r="B343" s="57">
        <v>45938.0</v>
      </c>
      <c r="C343" s="68"/>
      <c r="D343" s="69">
        <v>693.06</v>
      </c>
      <c r="E343" s="70">
        <v>26.0</v>
      </c>
      <c r="F343" s="70">
        <v>22.0</v>
      </c>
      <c r="G343" s="71">
        <f t="shared" si="2"/>
        <v>1.181818182</v>
      </c>
      <c r="H343" s="69">
        <f t="shared" si="243"/>
        <v>31.50272727</v>
      </c>
      <c r="I343" s="69">
        <f t="shared" si="244"/>
        <v>26.65615385</v>
      </c>
      <c r="J343" s="72">
        <v>397.0</v>
      </c>
      <c r="K343" s="73">
        <f t="shared" si="5"/>
        <v>0.06549118388</v>
      </c>
      <c r="L343" s="69">
        <v>264.96</v>
      </c>
      <c r="M343" s="69">
        <v>534.83</v>
      </c>
      <c r="N343" s="70">
        <v>19.0</v>
      </c>
      <c r="O343" s="72">
        <v>49940.0</v>
      </c>
      <c r="P343" s="73">
        <v>0.3572</v>
      </c>
      <c r="Q343" s="75">
        <f t="shared" si="7"/>
        <v>2.018531099</v>
      </c>
      <c r="R343" s="73">
        <f t="shared" si="8"/>
        <v>0.7716936485</v>
      </c>
      <c r="S343" s="76"/>
      <c r="T343" s="77"/>
      <c r="U343" s="2"/>
      <c r="V343" s="2"/>
      <c r="W343" s="2"/>
      <c r="X343" s="2"/>
      <c r="Y343" s="2"/>
      <c r="Z343" s="2"/>
    </row>
    <row r="344" hidden="1" outlineLevel="1">
      <c r="A344" s="67" t="str">
        <f t="shared" si="242"/>
        <v>10-2025</v>
      </c>
      <c r="B344" s="57">
        <v>45939.0</v>
      </c>
      <c r="C344" s="68"/>
      <c r="D344" s="69">
        <v>497.84</v>
      </c>
      <c r="E344" s="70">
        <v>19.0</v>
      </c>
      <c r="F344" s="70">
        <v>18.0</v>
      </c>
      <c r="G344" s="71">
        <f t="shared" si="2"/>
        <v>1.055555556</v>
      </c>
      <c r="H344" s="69">
        <f t="shared" si="243"/>
        <v>27.65777778</v>
      </c>
      <c r="I344" s="69">
        <f t="shared" si="244"/>
        <v>26.20210526</v>
      </c>
      <c r="J344" s="72">
        <v>267.0</v>
      </c>
      <c r="K344" s="73">
        <f t="shared" si="5"/>
        <v>0.07116104869</v>
      </c>
      <c r="L344" s="69">
        <v>159.49</v>
      </c>
      <c r="M344" s="69">
        <v>341.64</v>
      </c>
      <c r="N344" s="70">
        <v>12.0</v>
      </c>
      <c r="O344" s="72">
        <v>34008.0</v>
      </c>
      <c r="P344" s="73">
        <v>0.3225</v>
      </c>
      <c r="Q344" s="75">
        <f t="shared" si="7"/>
        <v>2.142077873</v>
      </c>
      <c r="R344" s="73">
        <f t="shared" si="8"/>
        <v>0.6862445766</v>
      </c>
      <c r="S344" s="76"/>
      <c r="T344" s="77"/>
      <c r="U344" s="2"/>
      <c r="V344" s="2"/>
      <c r="W344" s="2"/>
      <c r="X344" s="2"/>
      <c r="Y344" s="2"/>
      <c r="Z344" s="2"/>
    </row>
    <row r="345" hidden="1" outlineLevel="1">
      <c r="A345" s="67" t="str">
        <f t="shared" si="242"/>
        <v>10-2025</v>
      </c>
      <c r="B345" s="57">
        <v>45940.0</v>
      </c>
      <c r="C345" s="68"/>
      <c r="D345" s="69">
        <v>525.82</v>
      </c>
      <c r="E345" s="70">
        <v>18.0</v>
      </c>
      <c r="F345" s="70">
        <v>17.0</v>
      </c>
      <c r="G345" s="71">
        <f t="shared" si="2"/>
        <v>1.058823529</v>
      </c>
      <c r="H345" s="69">
        <f t="shared" si="243"/>
        <v>30.93058824</v>
      </c>
      <c r="I345" s="69">
        <f t="shared" si="244"/>
        <v>29.21222222</v>
      </c>
      <c r="J345" s="72">
        <v>298.0</v>
      </c>
      <c r="K345" s="73">
        <f t="shared" si="5"/>
        <v>0.06040268456</v>
      </c>
      <c r="L345" s="69">
        <v>177.13</v>
      </c>
      <c r="M345" s="69">
        <v>465.84</v>
      </c>
      <c r="N345" s="70">
        <v>15.0</v>
      </c>
      <c r="O345" s="72">
        <v>32971.0</v>
      </c>
      <c r="P345" s="73">
        <v>0.5913</v>
      </c>
      <c r="Q345" s="75">
        <f t="shared" si="7"/>
        <v>2.629932818</v>
      </c>
      <c r="R345" s="73">
        <f t="shared" si="8"/>
        <v>0.8859305466</v>
      </c>
      <c r="S345" s="76"/>
      <c r="T345" s="77"/>
      <c r="U345" s="2"/>
      <c r="V345" s="2"/>
      <c r="W345" s="2"/>
      <c r="X345" s="2"/>
      <c r="Y345" s="2"/>
      <c r="Z345" s="2"/>
    </row>
    <row r="346" hidden="1" outlineLevel="1">
      <c r="A346" s="67" t="str">
        <f t="shared" si="242"/>
        <v>10-2025</v>
      </c>
      <c r="B346" s="57">
        <v>45941.0</v>
      </c>
      <c r="C346" s="68"/>
      <c r="D346" s="69">
        <v>757.24</v>
      </c>
      <c r="E346" s="70">
        <v>27.0</v>
      </c>
      <c r="F346" s="70">
        <v>25.0</v>
      </c>
      <c r="G346" s="71">
        <f t="shared" si="2"/>
        <v>1.08</v>
      </c>
      <c r="H346" s="69">
        <f t="shared" si="243"/>
        <v>30.2896</v>
      </c>
      <c r="I346" s="69">
        <f t="shared" si="244"/>
        <v>28.04592593</v>
      </c>
      <c r="J346" s="72">
        <v>370.0</v>
      </c>
      <c r="K346" s="73">
        <f t="shared" si="5"/>
        <v>0.07297297297</v>
      </c>
      <c r="L346" s="69">
        <v>212.76</v>
      </c>
      <c r="M346" s="69">
        <v>694.26</v>
      </c>
      <c r="N346" s="70">
        <v>23.0</v>
      </c>
      <c r="O346" s="72">
        <v>41226.0</v>
      </c>
      <c r="P346" s="73">
        <f t="shared" ref="P346:P347" si="247">L346/M346</f>
        <v>0.3064557947</v>
      </c>
      <c r="Q346" s="75">
        <f t="shared" si="7"/>
        <v>3.263113367</v>
      </c>
      <c r="R346" s="73">
        <f t="shared" si="8"/>
        <v>0.9168295389</v>
      </c>
      <c r="S346" s="76"/>
      <c r="T346" s="77"/>
      <c r="U346" s="2"/>
      <c r="V346" s="2"/>
      <c r="W346" s="2"/>
      <c r="X346" s="2"/>
      <c r="Y346" s="2"/>
      <c r="Z346" s="2"/>
    </row>
    <row r="347" collapsed="1">
      <c r="A347" s="78" t="s">
        <v>108</v>
      </c>
      <c r="B347" s="79"/>
      <c r="C347" s="80"/>
      <c r="D347" s="81">
        <f t="shared" ref="D347:F347" si="245">SUM(D340:D346)</f>
        <v>4484.61</v>
      </c>
      <c r="E347" s="82">
        <f t="shared" si="245"/>
        <v>165</v>
      </c>
      <c r="F347" s="82">
        <f t="shared" si="245"/>
        <v>150</v>
      </c>
      <c r="G347" s="83">
        <f t="shared" si="2"/>
        <v>1.1</v>
      </c>
      <c r="H347" s="81">
        <f>average(H340:H346)</f>
        <v>29.9437802</v>
      </c>
      <c r="I347" s="84">
        <f>H347/G347</f>
        <v>27.22161836</v>
      </c>
      <c r="J347" s="85">
        <f>SUM(J340:J346)</f>
        <v>2400</v>
      </c>
      <c r="K347" s="86">
        <f t="shared" si="5"/>
        <v>0.06875</v>
      </c>
      <c r="L347" s="81">
        <f t="shared" ref="L347:N347" si="246">SUM(L340:L346)</f>
        <v>1536.53</v>
      </c>
      <c r="M347" s="81">
        <f t="shared" si="246"/>
        <v>3792.79</v>
      </c>
      <c r="N347" s="87">
        <f t="shared" si="246"/>
        <v>127</v>
      </c>
      <c r="O347" s="85">
        <f>sum(O340:O346)</f>
        <v>286839</v>
      </c>
      <c r="P347" s="86">
        <f t="shared" si="247"/>
        <v>0.4051186594</v>
      </c>
      <c r="Q347" s="88">
        <f t="shared" si="7"/>
        <v>2.468412592</v>
      </c>
      <c r="R347" s="89">
        <f t="shared" si="8"/>
        <v>0.8457346347</v>
      </c>
      <c r="S347" s="80" t="str">
        <f>iferror((D347-#REF!)/D347,)</f>
        <v/>
      </c>
      <c r="T347" s="90" t="str">
        <f>iferror((F347-#REF!)/F347,)</f>
        <v/>
      </c>
      <c r="U347" s="2"/>
      <c r="V347" s="2"/>
      <c r="W347" s="2"/>
      <c r="X347" s="2"/>
      <c r="Y347" s="2"/>
      <c r="Z347" s="2"/>
    </row>
    <row r="348" hidden="1" outlineLevel="1">
      <c r="A348" s="56" t="str">
        <f t="shared" ref="A348:A354" si="248">iferror(if(B348&gt;0,month(B348)&amp;"-"&amp;year(B348),B348),)</f>
        <v>10-2025</v>
      </c>
      <c r="B348" s="57">
        <v>45942.0</v>
      </c>
      <c r="C348" s="58"/>
      <c r="D348" s="59">
        <v>581.35</v>
      </c>
      <c r="E348" s="60">
        <v>24.0</v>
      </c>
      <c r="F348" s="60">
        <v>20.0</v>
      </c>
      <c r="G348" s="61">
        <f t="shared" si="2"/>
        <v>1.2</v>
      </c>
      <c r="H348" s="59">
        <f t="shared" ref="H348:H354" si="249">D348/F348</f>
        <v>29.0675</v>
      </c>
      <c r="I348" s="59">
        <f t="shared" ref="I348:I354" si="250">D348/E348</f>
        <v>24.22291667</v>
      </c>
      <c r="J348" s="62">
        <v>248.0</v>
      </c>
      <c r="K348" s="63">
        <f t="shared" si="5"/>
        <v>0.09677419355</v>
      </c>
      <c r="L348" s="59">
        <v>100.01</v>
      </c>
      <c r="M348" s="59">
        <v>297.15</v>
      </c>
      <c r="N348" s="60">
        <v>9.0</v>
      </c>
      <c r="O348" s="62">
        <v>15318.0</v>
      </c>
      <c r="P348" s="63">
        <v>0.4734</v>
      </c>
      <c r="Q348" s="64">
        <f t="shared" si="7"/>
        <v>2.97120288</v>
      </c>
      <c r="R348" s="63">
        <f t="shared" si="8"/>
        <v>0.5111378688</v>
      </c>
      <c r="S348" s="65"/>
      <c r="T348" s="66"/>
      <c r="U348" s="2"/>
      <c r="V348" s="2"/>
      <c r="W348" s="2"/>
      <c r="X348" s="2"/>
      <c r="Y348" s="2"/>
      <c r="Z348" s="2"/>
    </row>
    <row r="349" hidden="1" outlineLevel="1">
      <c r="A349" s="67" t="str">
        <f t="shared" si="248"/>
        <v>10-2025</v>
      </c>
      <c r="B349" s="57">
        <v>45943.0</v>
      </c>
      <c r="C349" s="68"/>
      <c r="D349" s="69">
        <v>327.14</v>
      </c>
      <c r="E349" s="70">
        <v>12.0</v>
      </c>
      <c r="F349" s="70">
        <v>10.0</v>
      </c>
      <c r="G349" s="71">
        <f t="shared" si="2"/>
        <v>1.2</v>
      </c>
      <c r="H349" s="69">
        <f t="shared" si="249"/>
        <v>32.714</v>
      </c>
      <c r="I349" s="69">
        <f t="shared" si="250"/>
        <v>27.26166667</v>
      </c>
      <c r="J349" s="72">
        <v>82.0</v>
      </c>
      <c r="K349" s="73">
        <f t="shared" si="5"/>
        <v>0.1463414634</v>
      </c>
      <c r="L349" s="69">
        <v>0.0</v>
      </c>
      <c r="M349" s="74">
        <v>0.0</v>
      </c>
      <c r="N349" s="70">
        <v>0.0</v>
      </c>
      <c r="O349" s="72">
        <v>0.0</v>
      </c>
      <c r="P349" s="73">
        <v>0.2985</v>
      </c>
      <c r="Q349" s="75" t="str">
        <f t="shared" si="7"/>
        <v>#DIV/0!</v>
      </c>
      <c r="R349" s="73">
        <f t="shared" si="8"/>
        <v>0</v>
      </c>
      <c r="S349" s="76"/>
      <c r="T349" s="77"/>
      <c r="U349" s="2"/>
      <c r="V349" s="2"/>
      <c r="W349" s="2"/>
      <c r="X349" s="2"/>
      <c r="Y349" s="2"/>
      <c r="Z349" s="2"/>
    </row>
    <row r="350" hidden="1" outlineLevel="1">
      <c r="A350" s="67" t="str">
        <f t="shared" si="248"/>
        <v>10-2025</v>
      </c>
      <c r="B350" s="57">
        <v>45944.0</v>
      </c>
      <c r="C350" s="68"/>
      <c r="D350" s="69">
        <v>431.87</v>
      </c>
      <c r="E350" s="70">
        <v>16.0</v>
      </c>
      <c r="F350" s="70">
        <v>15.0</v>
      </c>
      <c r="G350" s="71">
        <f t="shared" si="2"/>
        <v>1.066666667</v>
      </c>
      <c r="H350" s="69">
        <f t="shared" si="249"/>
        <v>28.79133333</v>
      </c>
      <c r="I350" s="69">
        <f t="shared" si="250"/>
        <v>26.991875</v>
      </c>
      <c r="J350" s="72">
        <v>125.0</v>
      </c>
      <c r="K350" s="73">
        <f t="shared" si="5"/>
        <v>0.128</v>
      </c>
      <c r="L350" s="59">
        <v>32.35</v>
      </c>
      <c r="M350" s="59">
        <v>168.2</v>
      </c>
      <c r="N350" s="60">
        <v>6.0</v>
      </c>
      <c r="O350" s="72">
        <v>7759.0</v>
      </c>
      <c r="P350" s="73">
        <v>0.3486</v>
      </c>
      <c r="Q350" s="75">
        <f t="shared" si="7"/>
        <v>5.199381762</v>
      </c>
      <c r="R350" s="73">
        <f t="shared" si="8"/>
        <v>0.3894690532</v>
      </c>
      <c r="S350" s="76"/>
      <c r="T350" s="77"/>
      <c r="U350" s="2"/>
      <c r="V350" s="2"/>
      <c r="W350" s="2"/>
      <c r="X350" s="2"/>
      <c r="Y350" s="2"/>
      <c r="Z350" s="2"/>
    </row>
    <row r="351" hidden="1" outlineLevel="1">
      <c r="A351" s="67" t="str">
        <f t="shared" si="248"/>
        <v>10-2025</v>
      </c>
      <c r="B351" s="57">
        <v>45945.0</v>
      </c>
      <c r="C351" s="68"/>
      <c r="D351" s="69">
        <v>396.38</v>
      </c>
      <c r="E351" s="70">
        <v>15.0</v>
      </c>
      <c r="F351" s="70">
        <v>12.0</v>
      </c>
      <c r="G351" s="71">
        <f t="shared" si="2"/>
        <v>1.25</v>
      </c>
      <c r="H351" s="69">
        <f t="shared" si="249"/>
        <v>33.03166667</v>
      </c>
      <c r="I351" s="69">
        <f t="shared" si="250"/>
        <v>26.42533333</v>
      </c>
      <c r="J351" s="72">
        <v>251.0</v>
      </c>
      <c r="K351" s="73">
        <f t="shared" si="5"/>
        <v>0.05976095618</v>
      </c>
      <c r="L351" s="69">
        <v>127.01</v>
      </c>
      <c r="M351" s="69">
        <v>453.36</v>
      </c>
      <c r="N351" s="70">
        <v>14.0</v>
      </c>
      <c r="O351" s="72">
        <v>29555.0</v>
      </c>
      <c r="P351" s="73">
        <v>0.3572</v>
      </c>
      <c r="Q351" s="75">
        <f t="shared" si="7"/>
        <v>3.569482718</v>
      </c>
      <c r="R351" s="73">
        <f t="shared" si="8"/>
        <v>1.143750946</v>
      </c>
      <c r="S351" s="76"/>
      <c r="T351" s="77"/>
      <c r="U351" s="2"/>
      <c r="V351" s="2"/>
      <c r="W351" s="2"/>
      <c r="X351" s="2"/>
      <c r="Y351" s="2"/>
      <c r="Z351" s="2"/>
    </row>
    <row r="352" hidden="1" outlineLevel="1">
      <c r="A352" s="67" t="str">
        <f t="shared" si="248"/>
        <v>10-2025</v>
      </c>
      <c r="B352" s="57">
        <v>45946.0</v>
      </c>
      <c r="C352" s="68"/>
      <c r="D352" s="69">
        <v>793.75</v>
      </c>
      <c r="E352" s="70">
        <v>31.0</v>
      </c>
      <c r="F352" s="70">
        <v>25.0</v>
      </c>
      <c r="G352" s="71">
        <f t="shared" si="2"/>
        <v>1.24</v>
      </c>
      <c r="H352" s="69">
        <f t="shared" si="249"/>
        <v>31.75</v>
      </c>
      <c r="I352" s="69">
        <f t="shared" si="250"/>
        <v>25.60483871</v>
      </c>
      <c r="J352" s="72">
        <v>313.0</v>
      </c>
      <c r="K352" s="73">
        <f t="shared" si="5"/>
        <v>0.09904153355</v>
      </c>
      <c r="L352" s="69">
        <v>189.5</v>
      </c>
      <c r="M352" s="69">
        <v>523.36</v>
      </c>
      <c r="N352" s="70">
        <v>18.0</v>
      </c>
      <c r="O352" s="72">
        <v>39623.0</v>
      </c>
      <c r="P352" s="73">
        <v>0.3225</v>
      </c>
      <c r="Q352" s="75">
        <f t="shared" si="7"/>
        <v>2.761794195</v>
      </c>
      <c r="R352" s="73">
        <f t="shared" si="8"/>
        <v>0.6593511811</v>
      </c>
      <c r="S352" s="76"/>
      <c r="T352" s="77"/>
      <c r="U352" s="2"/>
      <c r="V352" s="2"/>
      <c r="W352" s="2"/>
      <c r="X352" s="2"/>
      <c r="Y352" s="2"/>
      <c r="Z352" s="2"/>
    </row>
    <row r="353" hidden="1" outlineLevel="1">
      <c r="A353" s="67" t="str">
        <f t="shared" si="248"/>
        <v>10-2025</v>
      </c>
      <c r="B353" s="57">
        <v>45947.0</v>
      </c>
      <c r="C353" s="68"/>
      <c r="D353" s="69">
        <v>305.91</v>
      </c>
      <c r="E353" s="70">
        <v>11.0</v>
      </c>
      <c r="F353" s="70">
        <v>10.0</v>
      </c>
      <c r="G353" s="71">
        <f t="shared" si="2"/>
        <v>1.1</v>
      </c>
      <c r="H353" s="69">
        <f t="shared" si="249"/>
        <v>30.591</v>
      </c>
      <c r="I353" s="69">
        <f t="shared" si="250"/>
        <v>27.81</v>
      </c>
      <c r="J353" s="72">
        <v>297.0</v>
      </c>
      <c r="K353" s="73">
        <f t="shared" si="5"/>
        <v>0.03703703704</v>
      </c>
      <c r="L353" s="69">
        <v>161.15</v>
      </c>
      <c r="M353" s="69">
        <v>316.15</v>
      </c>
      <c r="N353" s="70">
        <v>11.0</v>
      </c>
      <c r="O353" s="72">
        <v>34792.0</v>
      </c>
      <c r="P353" s="73">
        <v>0.5913</v>
      </c>
      <c r="Q353" s="75">
        <f t="shared" si="7"/>
        <v>1.961836798</v>
      </c>
      <c r="R353" s="73">
        <f t="shared" si="8"/>
        <v>1.033473898</v>
      </c>
      <c r="S353" s="76"/>
      <c r="T353" s="77"/>
      <c r="U353" s="2"/>
      <c r="V353" s="2"/>
      <c r="W353" s="2"/>
      <c r="X353" s="2"/>
      <c r="Y353" s="2"/>
      <c r="Z353" s="2"/>
    </row>
    <row r="354" hidden="1" outlineLevel="1">
      <c r="A354" s="67" t="str">
        <f t="shared" si="248"/>
        <v>10-2025</v>
      </c>
      <c r="B354" s="57">
        <v>45948.0</v>
      </c>
      <c r="C354" s="68"/>
      <c r="D354" s="69">
        <v>258.42</v>
      </c>
      <c r="E354" s="70">
        <v>10.0</v>
      </c>
      <c r="F354" s="70">
        <v>10.0</v>
      </c>
      <c r="G354" s="71">
        <f t="shared" si="2"/>
        <v>1</v>
      </c>
      <c r="H354" s="69">
        <f t="shared" si="249"/>
        <v>25.842</v>
      </c>
      <c r="I354" s="69">
        <f t="shared" si="250"/>
        <v>25.842</v>
      </c>
      <c r="J354" s="72">
        <v>97.0</v>
      </c>
      <c r="K354" s="73">
        <f t="shared" si="5"/>
        <v>0.1030927835</v>
      </c>
      <c r="L354" s="69">
        <v>0.0</v>
      </c>
      <c r="M354" s="69">
        <v>0.0</v>
      </c>
      <c r="N354" s="70">
        <v>0.0</v>
      </c>
      <c r="O354" s="72">
        <v>0.0</v>
      </c>
      <c r="P354" s="73" t="str">
        <f t="shared" ref="P354:P355" si="253">L354/M354</f>
        <v>#DIV/0!</v>
      </c>
      <c r="Q354" s="75" t="str">
        <f t="shared" si="7"/>
        <v>#DIV/0!</v>
      </c>
      <c r="R354" s="73">
        <f t="shared" si="8"/>
        <v>0</v>
      </c>
      <c r="S354" s="76"/>
      <c r="T354" s="77"/>
      <c r="U354" s="2"/>
      <c r="V354" s="2"/>
      <c r="W354" s="2"/>
      <c r="X354" s="2"/>
      <c r="Y354" s="2"/>
      <c r="Z354" s="2"/>
    </row>
    <row r="355" collapsed="1">
      <c r="A355" s="78" t="s">
        <v>109</v>
      </c>
      <c r="B355" s="79"/>
      <c r="C355" s="80"/>
      <c r="D355" s="81">
        <f t="shared" ref="D355:F355" si="251">SUM(D348:D354)</f>
        <v>3094.82</v>
      </c>
      <c r="E355" s="82">
        <f t="shared" si="251"/>
        <v>119</v>
      </c>
      <c r="F355" s="82">
        <f t="shared" si="251"/>
        <v>102</v>
      </c>
      <c r="G355" s="83">
        <f t="shared" si="2"/>
        <v>1.166666667</v>
      </c>
      <c r="H355" s="81">
        <f>average(H348:H354)</f>
        <v>30.25535714</v>
      </c>
      <c r="I355" s="84">
        <f>H355/G355</f>
        <v>25.93316327</v>
      </c>
      <c r="J355" s="85">
        <f>SUM(J348:J354)</f>
        <v>1413</v>
      </c>
      <c r="K355" s="86">
        <f t="shared" si="5"/>
        <v>0.08421797594</v>
      </c>
      <c r="L355" s="81">
        <f t="shared" ref="L355:N355" si="252">SUM(L348:L354)</f>
        <v>610.02</v>
      </c>
      <c r="M355" s="81">
        <f t="shared" si="252"/>
        <v>1758.22</v>
      </c>
      <c r="N355" s="87">
        <f t="shared" si="252"/>
        <v>58</v>
      </c>
      <c r="O355" s="85">
        <f>sum(O348:O354)</f>
        <v>127047</v>
      </c>
      <c r="P355" s="86">
        <f t="shared" si="253"/>
        <v>0.3469531685</v>
      </c>
      <c r="Q355" s="88">
        <f t="shared" si="7"/>
        <v>2.882233369</v>
      </c>
      <c r="R355" s="89">
        <f t="shared" si="8"/>
        <v>0.5681170472</v>
      </c>
      <c r="S355" s="80" t="str">
        <f>iferror((D355-#REF!)/D355,)</f>
        <v/>
      </c>
      <c r="T355" s="90" t="str">
        <f>iferror((F355-#REF!)/F355,)</f>
        <v/>
      </c>
      <c r="U355" s="2"/>
      <c r="V355" s="2"/>
      <c r="W355" s="2"/>
      <c r="X355" s="2"/>
      <c r="Y355" s="2"/>
      <c r="Z355" s="2"/>
    </row>
    <row r="356" hidden="1" outlineLevel="1">
      <c r="A356" s="56" t="str">
        <f t="shared" ref="A356:A362" si="254">iferror(if(B356&gt;0,month(B356)&amp;"-"&amp;year(B356),B356),)</f>
        <v>10-2025</v>
      </c>
      <c r="B356" s="57">
        <v>45949.0</v>
      </c>
      <c r="C356" s="58"/>
      <c r="D356" s="59">
        <v>201.44</v>
      </c>
      <c r="E356" s="60">
        <v>8.0</v>
      </c>
      <c r="F356" s="60">
        <v>7.0</v>
      </c>
      <c r="G356" s="61">
        <f t="shared" si="2"/>
        <v>1.142857143</v>
      </c>
      <c r="H356" s="59">
        <f t="shared" ref="H356:H362" si="255">D356/F356</f>
        <v>28.77714286</v>
      </c>
      <c r="I356" s="59">
        <f t="shared" ref="I356:I362" si="256">D356/E356</f>
        <v>25.18</v>
      </c>
      <c r="J356" s="62">
        <v>85.0</v>
      </c>
      <c r="K356" s="63">
        <f t="shared" si="5"/>
        <v>0.09411764706</v>
      </c>
      <c r="L356" s="59">
        <v>0.0</v>
      </c>
      <c r="M356" s="59">
        <v>0.0</v>
      </c>
      <c r="N356" s="60">
        <v>0.0</v>
      </c>
      <c r="O356" s="62">
        <v>0.0</v>
      </c>
      <c r="P356" s="63">
        <v>0.4734</v>
      </c>
      <c r="Q356" s="64" t="str">
        <f t="shared" si="7"/>
        <v>#DIV/0!</v>
      </c>
      <c r="R356" s="63">
        <f t="shared" si="8"/>
        <v>0</v>
      </c>
      <c r="S356" s="65"/>
      <c r="T356" s="66"/>
      <c r="U356" s="2"/>
      <c r="V356" s="2"/>
      <c r="W356" s="2"/>
      <c r="X356" s="2"/>
      <c r="Y356" s="2"/>
      <c r="Z356" s="2"/>
    </row>
    <row r="357" hidden="1" outlineLevel="1">
      <c r="A357" s="67" t="str">
        <f t="shared" si="254"/>
        <v>10-2025</v>
      </c>
      <c r="B357" s="57">
        <v>45950.0</v>
      </c>
      <c r="C357" s="68"/>
      <c r="D357" s="69">
        <v>359.89</v>
      </c>
      <c r="E357" s="70">
        <v>14.0</v>
      </c>
      <c r="F357" s="70">
        <v>13.0</v>
      </c>
      <c r="G357" s="71">
        <f t="shared" si="2"/>
        <v>1.076923077</v>
      </c>
      <c r="H357" s="69">
        <f t="shared" si="255"/>
        <v>27.68384615</v>
      </c>
      <c r="I357" s="69">
        <f t="shared" si="256"/>
        <v>25.70642857</v>
      </c>
      <c r="J357" s="72">
        <v>115.0</v>
      </c>
      <c r="K357" s="73">
        <f t="shared" si="5"/>
        <v>0.1217391304</v>
      </c>
      <c r="L357" s="69">
        <v>46.49</v>
      </c>
      <c r="M357" s="74">
        <v>54.98</v>
      </c>
      <c r="N357" s="70">
        <v>2.0</v>
      </c>
      <c r="O357" s="72">
        <v>7065.0</v>
      </c>
      <c r="P357" s="73">
        <v>0.2985</v>
      </c>
      <c r="Q357" s="75">
        <f t="shared" si="7"/>
        <v>1.182619918</v>
      </c>
      <c r="R357" s="73">
        <f t="shared" si="8"/>
        <v>0.1527689016</v>
      </c>
      <c r="S357" s="76"/>
      <c r="T357" s="77"/>
      <c r="U357" s="2"/>
      <c r="V357" s="2"/>
      <c r="W357" s="2"/>
      <c r="X357" s="2"/>
      <c r="Y357" s="2"/>
      <c r="Z357" s="2"/>
    </row>
    <row r="358" hidden="1" outlineLevel="1">
      <c r="A358" s="67" t="str">
        <f t="shared" si="254"/>
        <v>10-2025</v>
      </c>
      <c r="B358" s="57">
        <v>45951.0</v>
      </c>
      <c r="C358" s="68"/>
      <c r="D358" s="69">
        <v>402.87</v>
      </c>
      <c r="E358" s="70">
        <v>15.0</v>
      </c>
      <c r="F358" s="70">
        <v>10.0</v>
      </c>
      <c r="G358" s="71">
        <f t="shared" si="2"/>
        <v>1.5</v>
      </c>
      <c r="H358" s="69">
        <f t="shared" si="255"/>
        <v>40.287</v>
      </c>
      <c r="I358" s="69">
        <f t="shared" si="256"/>
        <v>26.858</v>
      </c>
      <c r="J358" s="72">
        <v>234.0</v>
      </c>
      <c r="K358" s="73">
        <f t="shared" si="5"/>
        <v>0.0641025641</v>
      </c>
      <c r="L358" s="59">
        <v>113.92</v>
      </c>
      <c r="M358" s="59">
        <v>487.59</v>
      </c>
      <c r="N358" s="60">
        <v>14.0</v>
      </c>
      <c r="O358" s="72">
        <v>21933.0</v>
      </c>
      <c r="P358" s="73">
        <v>0.3486</v>
      </c>
      <c r="Q358" s="75">
        <f t="shared" si="7"/>
        <v>4.280108848</v>
      </c>
      <c r="R358" s="73">
        <f t="shared" si="8"/>
        <v>1.210291161</v>
      </c>
      <c r="S358" s="76"/>
      <c r="T358" s="77"/>
      <c r="U358" s="2"/>
      <c r="V358" s="2"/>
      <c r="W358" s="2"/>
      <c r="X358" s="2"/>
      <c r="Y358" s="2"/>
      <c r="Z358" s="2"/>
    </row>
    <row r="359" hidden="1" outlineLevel="1">
      <c r="A359" s="67" t="str">
        <f t="shared" si="254"/>
        <v>10-2025</v>
      </c>
      <c r="B359" s="57">
        <v>45952.0</v>
      </c>
      <c r="C359" s="68"/>
      <c r="D359" s="69">
        <v>517.32</v>
      </c>
      <c r="E359" s="70">
        <v>19.0</v>
      </c>
      <c r="F359" s="70">
        <v>16.0</v>
      </c>
      <c r="G359" s="71">
        <f t="shared" si="2"/>
        <v>1.1875</v>
      </c>
      <c r="H359" s="69">
        <f t="shared" si="255"/>
        <v>32.3325</v>
      </c>
      <c r="I359" s="69">
        <f t="shared" si="256"/>
        <v>27.22736842</v>
      </c>
      <c r="J359" s="72">
        <v>281.0</v>
      </c>
      <c r="K359" s="73">
        <f t="shared" si="5"/>
        <v>0.06761565836</v>
      </c>
      <c r="L359" s="69">
        <v>134.13</v>
      </c>
      <c r="M359" s="69">
        <v>368.37</v>
      </c>
      <c r="N359" s="70">
        <v>12.0</v>
      </c>
      <c r="O359" s="72">
        <v>34031.0</v>
      </c>
      <c r="P359" s="73">
        <v>0.3572</v>
      </c>
      <c r="Q359" s="75">
        <f t="shared" si="7"/>
        <v>2.746365466</v>
      </c>
      <c r="R359" s="73">
        <f t="shared" si="8"/>
        <v>0.7120737648</v>
      </c>
      <c r="S359" s="76"/>
      <c r="T359" s="77"/>
      <c r="U359" s="2"/>
      <c r="V359" s="2"/>
      <c r="W359" s="2"/>
      <c r="X359" s="2"/>
      <c r="Y359" s="2"/>
      <c r="Z359" s="2"/>
    </row>
    <row r="360" hidden="1" outlineLevel="1">
      <c r="A360" s="67" t="str">
        <f t="shared" si="254"/>
        <v>10-2025</v>
      </c>
      <c r="B360" s="57">
        <v>45953.0</v>
      </c>
      <c r="C360" s="68"/>
      <c r="D360" s="69">
        <v>347.89</v>
      </c>
      <c r="E360" s="70">
        <v>13.0</v>
      </c>
      <c r="F360" s="70">
        <v>13.0</v>
      </c>
      <c r="G360" s="71">
        <f t="shared" si="2"/>
        <v>1</v>
      </c>
      <c r="H360" s="69">
        <f t="shared" si="255"/>
        <v>26.76076923</v>
      </c>
      <c r="I360" s="69">
        <f t="shared" si="256"/>
        <v>26.76076923</v>
      </c>
      <c r="J360" s="72">
        <v>285.0</v>
      </c>
      <c r="K360" s="73">
        <f t="shared" si="5"/>
        <v>0.04561403509</v>
      </c>
      <c r="L360" s="69">
        <v>151.1</v>
      </c>
      <c r="M360" s="69">
        <v>350.89</v>
      </c>
      <c r="N360" s="70">
        <v>13.0</v>
      </c>
      <c r="O360" s="72">
        <v>42862.0</v>
      </c>
      <c r="P360" s="73">
        <v>0.3225</v>
      </c>
      <c r="Q360" s="75">
        <f t="shared" si="7"/>
        <v>2.322236929</v>
      </c>
      <c r="R360" s="73">
        <f t="shared" si="8"/>
        <v>1.008623415</v>
      </c>
      <c r="S360" s="76"/>
      <c r="T360" s="77"/>
      <c r="U360" s="2"/>
      <c r="V360" s="2"/>
      <c r="W360" s="2"/>
      <c r="X360" s="2"/>
      <c r="Y360" s="2"/>
      <c r="Z360" s="2"/>
    </row>
    <row r="361" hidden="1" outlineLevel="1">
      <c r="A361" s="67" t="str">
        <f t="shared" si="254"/>
        <v>10-2025</v>
      </c>
      <c r="B361" s="57">
        <v>45954.0</v>
      </c>
      <c r="C361" s="68"/>
      <c r="D361" s="69">
        <v>283.16</v>
      </c>
      <c r="E361" s="70">
        <v>10.0</v>
      </c>
      <c r="F361" s="70">
        <v>7.0</v>
      </c>
      <c r="G361" s="71">
        <f t="shared" si="2"/>
        <v>1.428571429</v>
      </c>
      <c r="H361" s="69">
        <f t="shared" si="255"/>
        <v>40.45142857</v>
      </c>
      <c r="I361" s="69">
        <f t="shared" si="256"/>
        <v>28.316</v>
      </c>
      <c r="J361" s="72">
        <v>112.0</v>
      </c>
      <c r="K361" s="73">
        <f t="shared" si="5"/>
        <v>0.08928571429</v>
      </c>
      <c r="L361" s="69">
        <v>15.86</v>
      </c>
      <c r="M361" s="69">
        <v>0.0</v>
      </c>
      <c r="N361" s="70">
        <v>0.0</v>
      </c>
      <c r="O361" s="72">
        <v>2399.0</v>
      </c>
      <c r="P361" s="73">
        <v>0.5913</v>
      </c>
      <c r="Q361" s="75">
        <f t="shared" si="7"/>
        <v>0</v>
      </c>
      <c r="R361" s="73">
        <f t="shared" si="8"/>
        <v>0</v>
      </c>
      <c r="S361" s="76"/>
      <c r="T361" s="77"/>
      <c r="U361" s="2"/>
      <c r="V361" s="2"/>
      <c r="W361" s="2"/>
      <c r="X361" s="2"/>
      <c r="Y361" s="2"/>
      <c r="Z361" s="2"/>
    </row>
    <row r="362" hidden="1" outlineLevel="1">
      <c r="A362" s="67" t="str">
        <f t="shared" si="254"/>
        <v>10-2025</v>
      </c>
      <c r="B362" s="57">
        <v>45955.0</v>
      </c>
      <c r="C362" s="68"/>
      <c r="D362" s="69">
        <v>310.41</v>
      </c>
      <c r="E362" s="70">
        <v>12.0</v>
      </c>
      <c r="F362" s="70">
        <v>11.0</v>
      </c>
      <c r="G362" s="71">
        <f t="shared" si="2"/>
        <v>1.090909091</v>
      </c>
      <c r="H362" s="69">
        <f t="shared" si="255"/>
        <v>28.21909091</v>
      </c>
      <c r="I362" s="69">
        <f t="shared" si="256"/>
        <v>25.8675</v>
      </c>
      <c r="J362" s="72">
        <v>94.0</v>
      </c>
      <c r="K362" s="73">
        <f t="shared" si="5"/>
        <v>0.1276595745</v>
      </c>
      <c r="L362" s="69">
        <v>0.0</v>
      </c>
      <c r="M362" s="69">
        <v>0.0</v>
      </c>
      <c r="N362" s="70">
        <v>0.0</v>
      </c>
      <c r="O362" s="72">
        <v>0.0</v>
      </c>
      <c r="P362" s="73" t="str">
        <f t="shared" ref="P362:P363" si="259">L362/M362</f>
        <v>#DIV/0!</v>
      </c>
      <c r="Q362" s="75" t="str">
        <f t="shared" si="7"/>
        <v>#DIV/0!</v>
      </c>
      <c r="R362" s="73">
        <f t="shared" si="8"/>
        <v>0</v>
      </c>
      <c r="S362" s="76"/>
      <c r="T362" s="77"/>
      <c r="U362" s="2"/>
      <c r="V362" s="2"/>
      <c r="W362" s="2"/>
      <c r="X362" s="2"/>
      <c r="Y362" s="2"/>
      <c r="Z362" s="2"/>
    </row>
    <row r="363" collapsed="1">
      <c r="A363" s="78" t="s">
        <v>110</v>
      </c>
      <c r="B363" s="79"/>
      <c r="C363" s="80"/>
      <c r="D363" s="81">
        <f t="shared" ref="D363:F363" si="257">SUM(D356:D362)</f>
        <v>2422.98</v>
      </c>
      <c r="E363" s="82">
        <f t="shared" si="257"/>
        <v>91</v>
      </c>
      <c r="F363" s="82">
        <f t="shared" si="257"/>
        <v>77</v>
      </c>
      <c r="G363" s="83">
        <f t="shared" si="2"/>
        <v>1.181818182</v>
      </c>
      <c r="H363" s="81">
        <f>average(H356:H362)</f>
        <v>32.0731111</v>
      </c>
      <c r="I363" s="84">
        <f>H363/G363</f>
        <v>27.13878632</v>
      </c>
      <c r="J363" s="85">
        <f>SUM(J356:J362)</f>
        <v>1206</v>
      </c>
      <c r="K363" s="86">
        <f t="shared" si="5"/>
        <v>0.07545605307</v>
      </c>
      <c r="L363" s="81">
        <f t="shared" ref="L363:N363" si="258">SUM(L356:L362)</f>
        <v>461.5</v>
      </c>
      <c r="M363" s="81">
        <f t="shared" si="258"/>
        <v>1261.83</v>
      </c>
      <c r="N363" s="87">
        <f t="shared" si="258"/>
        <v>41</v>
      </c>
      <c r="O363" s="85">
        <f>sum(O356:O362)</f>
        <v>108290</v>
      </c>
      <c r="P363" s="86">
        <f t="shared" si="259"/>
        <v>0.3657386494</v>
      </c>
      <c r="Q363" s="88">
        <f t="shared" si="7"/>
        <v>2.734192849</v>
      </c>
      <c r="R363" s="89">
        <f t="shared" si="8"/>
        <v>0.5207760691</v>
      </c>
      <c r="S363" s="80" t="str">
        <f>iferror((D363-#REF!)/D363,)</f>
        <v/>
      </c>
      <c r="T363" s="90" t="str">
        <f>iferror((F363-#REF!)/F363,)</f>
        <v/>
      </c>
      <c r="U363" s="2"/>
      <c r="V363" s="2"/>
      <c r="W363" s="2"/>
      <c r="X363" s="2"/>
      <c r="Y363" s="2"/>
      <c r="Z363" s="2"/>
    </row>
    <row r="364" hidden="1" outlineLevel="1">
      <c r="A364" s="56" t="str">
        <f t="shared" ref="A364:A370" si="260">iferror(if(B364&gt;0,month(B364)&amp;"-"&amp;year(B364),B364),)</f>
        <v>10-2025</v>
      </c>
      <c r="B364" s="57">
        <v>45956.0</v>
      </c>
      <c r="C364" s="58"/>
      <c r="D364" s="59">
        <v>348.89</v>
      </c>
      <c r="E364" s="60">
        <v>13.0</v>
      </c>
      <c r="F364" s="60">
        <v>13.0</v>
      </c>
      <c r="G364" s="61">
        <f t="shared" si="2"/>
        <v>1</v>
      </c>
      <c r="H364" s="59">
        <f t="shared" ref="H364:H370" si="261">D364/F364</f>
        <v>26.83769231</v>
      </c>
      <c r="I364" s="59">
        <f t="shared" ref="I364:I370" si="262">D364/E364</f>
        <v>26.83769231</v>
      </c>
      <c r="J364" s="62">
        <v>89.0</v>
      </c>
      <c r="K364" s="63">
        <f t="shared" si="5"/>
        <v>0.1460674157</v>
      </c>
      <c r="L364" s="59">
        <v>0.0</v>
      </c>
      <c r="M364" s="59">
        <v>0.0</v>
      </c>
      <c r="N364" s="60">
        <v>0.0</v>
      </c>
      <c r="O364" s="62">
        <v>0.0</v>
      </c>
      <c r="P364" s="63">
        <v>0.4734</v>
      </c>
      <c r="Q364" s="64" t="str">
        <f t="shared" si="7"/>
        <v>#DIV/0!</v>
      </c>
      <c r="R364" s="63">
        <f t="shared" si="8"/>
        <v>0</v>
      </c>
      <c r="S364" s="65"/>
      <c r="T364" s="66"/>
      <c r="U364" s="2"/>
      <c r="V364" s="2"/>
      <c r="W364" s="2"/>
      <c r="X364" s="2"/>
      <c r="Y364" s="2"/>
      <c r="Z364" s="2"/>
    </row>
    <row r="365" hidden="1" outlineLevel="1">
      <c r="A365" s="67" t="str">
        <f t="shared" si="260"/>
        <v>10-2025</v>
      </c>
      <c r="B365" s="57">
        <v>45957.0</v>
      </c>
      <c r="C365" s="68"/>
      <c r="D365" s="69">
        <v>318.66</v>
      </c>
      <c r="E365" s="70">
        <v>12.0</v>
      </c>
      <c r="F365" s="70">
        <v>11.0</v>
      </c>
      <c r="G365" s="71">
        <f t="shared" si="2"/>
        <v>1.090909091</v>
      </c>
      <c r="H365" s="69">
        <f t="shared" si="261"/>
        <v>28.96909091</v>
      </c>
      <c r="I365" s="69">
        <f t="shared" si="262"/>
        <v>26.555</v>
      </c>
      <c r="J365" s="72">
        <v>207.0</v>
      </c>
      <c r="K365" s="73">
        <f t="shared" si="5"/>
        <v>0.05797101449</v>
      </c>
      <c r="L365" s="69">
        <v>62.31</v>
      </c>
      <c r="M365" s="74">
        <v>111.22</v>
      </c>
      <c r="N365" s="70">
        <v>4.0</v>
      </c>
      <c r="O365" s="72">
        <v>12463.0</v>
      </c>
      <c r="P365" s="73">
        <v>0.2985</v>
      </c>
      <c r="Q365" s="75">
        <f t="shared" si="7"/>
        <v>1.784946237</v>
      </c>
      <c r="R365" s="73">
        <f t="shared" si="8"/>
        <v>0.3490240382</v>
      </c>
      <c r="S365" s="76"/>
      <c r="T365" s="77"/>
      <c r="U365" s="2"/>
      <c r="V365" s="2"/>
      <c r="W365" s="2"/>
      <c r="X365" s="2"/>
      <c r="Y365" s="2"/>
      <c r="Z365" s="2"/>
    </row>
    <row r="366" hidden="1" outlineLevel="1">
      <c r="A366" s="67" t="str">
        <f t="shared" si="260"/>
        <v>10-2025</v>
      </c>
      <c r="B366" s="57">
        <v>45958.0</v>
      </c>
      <c r="C366" s="68"/>
      <c r="D366" s="69">
        <v>607.55</v>
      </c>
      <c r="E366" s="70">
        <v>22.0</v>
      </c>
      <c r="F366" s="70">
        <v>21.0</v>
      </c>
      <c r="G366" s="71">
        <f t="shared" si="2"/>
        <v>1.047619048</v>
      </c>
      <c r="H366" s="69">
        <f t="shared" si="261"/>
        <v>28.93095238</v>
      </c>
      <c r="I366" s="69">
        <f t="shared" si="262"/>
        <v>27.61590909</v>
      </c>
      <c r="J366" s="72">
        <v>312.0</v>
      </c>
      <c r="K366" s="73">
        <f t="shared" si="5"/>
        <v>0.07051282051</v>
      </c>
      <c r="L366" s="59">
        <v>165.4</v>
      </c>
      <c r="M366" s="59">
        <v>495.59</v>
      </c>
      <c r="N366" s="60">
        <v>18.0</v>
      </c>
      <c r="O366" s="72">
        <v>44081.0</v>
      </c>
      <c r="P366" s="73">
        <v>0.3486</v>
      </c>
      <c r="Q366" s="75">
        <f t="shared" si="7"/>
        <v>2.996311971</v>
      </c>
      <c r="R366" s="73">
        <f t="shared" si="8"/>
        <v>0.8157188709</v>
      </c>
      <c r="S366" s="76"/>
      <c r="T366" s="77"/>
      <c r="U366" s="2"/>
      <c r="V366" s="2"/>
      <c r="W366" s="2"/>
      <c r="X366" s="2"/>
      <c r="Y366" s="2"/>
      <c r="Z366" s="2"/>
    </row>
    <row r="367" hidden="1" outlineLevel="1">
      <c r="A367" s="67" t="str">
        <f t="shared" si="260"/>
        <v>10-2025</v>
      </c>
      <c r="B367" s="57">
        <v>45959.0</v>
      </c>
      <c r="C367" s="68"/>
      <c r="D367" s="69">
        <v>671.28</v>
      </c>
      <c r="E367" s="70">
        <v>24.0</v>
      </c>
      <c r="F367" s="70">
        <v>22.0</v>
      </c>
      <c r="G367" s="71">
        <f t="shared" si="2"/>
        <v>1.090909091</v>
      </c>
      <c r="H367" s="69">
        <f t="shared" si="261"/>
        <v>30.51272727</v>
      </c>
      <c r="I367" s="69">
        <f t="shared" si="262"/>
        <v>27.97</v>
      </c>
      <c r="J367" s="72">
        <v>322.0</v>
      </c>
      <c r="K367" s="73">
        <f t="shared" si="5"/>
        <v>0.07453416149</v>
      </c>
      <c r="L367" s="69">
        <v>167.77</v>
      </c>
      <c r="M367" s="69">
        <v>690.03</v>
      </c>
      <c r="N367" s="70">
        <v>23.0</v>
      </c>
      <c r="O367" s="72">
        <v>47051.0</v>
      </c>
      <c r="P367" s="73">
        <v>0.3572</v>
      </c>
      <c r="Q367" s="75">
        <f t="shared" si="7"/>
        <v>4.112952256</v>
      </c>
      <c r="R367" s="73">
        <f t="shared" si="8"/>
        <v>1.027931713</v>
      </c>
      <c r="S367" s="76"/>
      <c r="T367" s="77"/>
      <c r="U367" s="2"/>
      <c r="V367" s="2"/>
      <c r="W367" s="2"/>
      <c r="X367" s="2"/>
      <c r="Y367" s="2"/>
      <c r="Z367" s="2"/>
    </row>
    <row r="368" hidden="1" outlineLevel="1">
      <c r="A368" s="67" t="str">
        <f t="shared" si="260"/>
        <v>10-2025</v>
      </c>
      <c r="B368" s="57">
        <v>45960.0</v>
      </c>
      <c r="C368" s="68"/>
      <c r="D368" s="69">
        <v>732.01</v>
      </c>
      <c r="E368" s="70">
        <v>27.0</v>
      </c>
      <c r="F368" s="70">
        <v>24.0</v>
      </c>
      <c r="G368" s="71">
        <f t="shared" si="2"/>
        <v>1.125</v>
      </c>
      <c r="H368" s="69">
        <f t="shared" si="261"/>
        <v>30.50041667</v>
      </c>
      <c r="I368" s="69">
        <f t="shared" si="262"/>
        <v>27.11148148</v>
      </c>
      <c r="J368" s="72">
        <v>299.0</v>
      </c>
      <c r="K368" s="73">
        <f t="shared" si="5"/>
        <v>0.09030100334</v>
      </c>
      <c r="L368" s="69">
        <v>177.16</v>
      </c>
      <c r="M368" s="69">
        <v>714.51</v>
      </c>
      <c r="N368" s="70">
        <v>25.0</v>
      </c>
      <c r="O368" s="72">
        <v>43263.0</v>
      </c>
      <c r="P368" s="73">
        <v>0.3225</v>
      </c>
      <c r="Q368" s="75">
        <f t="shared" si="7"/>
        <v>4.03313389</v>
      </c>
      <c r="R368" s="73">
        <f t="shared" si="8"/>
        <v>0.9760932228</v>
      </c>
      <c r="S368" s="76"/>
      <c r="T368" s="77"/>
      <c r="U368" s="2"/>
      <c r="V368" s="2"/>
      <c r="W368" s="2"/>
      <c r="X368" s="2"/>
      <c r="Y368" s="2"/>
      <c r="Z368" s="2"/>
    </row>
    <row r="369" hidden="1" outlineLevel="1">
      <c r="A369" s="67" t="str">
        <f t="shared" si="260"/>
        <v>10-2025</v>
      </c>
      <c r="B369" s="57">
        <v>45961.0</v>
      </c>
      <c r="C369" s="68"/>
      <c r="D369" s="69">
        <v>624.78</v>
      </c>
      <c r="E369" s="70">
        <v>22.0</v>
      </c>
      <c r="F369" s="70">
        <v>20.0</v>
      </c>
      <c r="G369" s="71">
        <f t="shared" si="2"/>
        <v>1.1</v>
      </c>
      <c r="H369" s="69">
        <f t="shared" si="261"/>
        <v>31.239</v>
      </c>
      <c r="I369" s="69">
        <f t="shared" si="262"/>
        <v>28.39909091</v>
      </c>
      <c r="J369" s="72">
        <v>299.0</v>
      </c>
      <c r="K369" s="73">
        <f t="shared" si="5"/>
        <v>0.07357859532</v>
      </c>
      <c r="L369" s="69">
        <v>157.97</v>
      </c>
      <c r="M369" s="69">
        <v>474.34</v>
      </c>
      <c r="N369" s="70">
        <v>16.0</v>
      </c>
      <c r="O369" s="72">
        <v>33515.0</v>
      </c>
      <c r="P369" s="73">
        <v>0.5913</v>
      </c>
      <c r="Q369" s="75">
        <f t="shared" si="7"/>
        <v>3.002722036</v>
      </c>
      <c r="R369" s="73">
        <f t="shared" si="8"/>
        <v>0.7592112424</v>
      </c>
      <c r="S369" s="76"/>
      <c r="T369" s="77"/>
      <c r="U369" s="2"/>
      <c r="V369" s="2"/>
      <c r="W369" s="2"/>
      <c r="X369" s="2"/>
      <c r="Y369" s="2"/>
      <c r="Z369" s="2"/>
    </row>
    <row r="370" hidden="1" outlineLevel="1">
      <c r="A370" s="67" t="str">
        <f t="shared" si="260"/>
        <v>11-2025</v>
      </c>
      <c r="B370" s="57">
        <v>45962.0</v>
      </c>
      <c r="C370" s="68"/>
      <c r="D370" s="69">
        <v>865.99</v>
      </c>
      <c r="E370" s="70">
        <v>32.0</v>
      </c>
      <c r="F370" s="70">
        <v>28.0</v>
      </c>
      <c r="G370" s="71">
        <f t="shared" si="2"/>
        <v>1.142857143</v>
      </c>
      <c r="H370" s="69">
        <f t="shared" si="261"/>
        <v>30.92821429</v>
      </c>
      <c r="I370" s="69">
        <f t="shared" si="262"/>
        <v>27.0621875</v>
      </c>
      <c r="J370" s="72">
        <v>462.0</v>
      </c>
      <c r="K370" s="73">
        <f t="shared" si="5"/>
        <v>0.06926406926</v>
      </c>
      <c r="L370" s="69">
        <v>286.27</v>
      </c>
      <c r="M370" s="69">
        <v>768.04</v>
      </c>
      <c r="N370" s="70">
        <v>26.0</v>
      </c>
      <c r="O370" s="72">
        <v>52209.0</v>
      </c>
      <c r="P370" s="73">
        <f t="shared" ref="P370:P371" si="265">L370/M370</f>
        <v>0.3727279829</v>
      </c>
      <c r="Q370" s="75">
        <f t="shared" si="7"/>
        <v>2.682921717</v>
      </c>
      <c r="R370" s="73">
        <f t="shared" si="8"/>
        <v>0.8868924583</v>
      </c>
      <c r="S370" s="76"/>
      <c r="T370" s="77"/>
      <c r="U370" s="2"/>
      <c r="V370" s="2"/>
      <c r="W370" s="2"/>
      <c r="X370" s="2"/>
      <c r="Y370" s="2"/>
      <c r="Z370" s="2"/>
    </row>
    <row r="371" collapsed="1">
      <c r="A371" s="78" t="s">
        <v>111</v>
      </c>
      <c r="B371" s="79"/>
      <c r="C371" s="80"/>
      <c r="D371" s="81">
        <f t="shared" ref="D371:F371" si="263">SUM(D364:D370)</f>
        <v>4169.16</v>
      </c>
      <c r="E371" s="82">
        <f t="shared" si="263"/>
        <v>152</v>
      </c>
      <c r="F371" s="82">
        <f t="shared" si="263"/>
        <v>139</v>
      </c>
      <c r="G371" s="83">
        <f t="shared" si="2"/>
        <v>1.09352518</v>
      </c>
      <c r="H371" s="81">
        <f>average(H364:H370)</f>
        <v>29.70258483</v>
      </c>
      <c r="I371" s="84">
        <f>H371/G371</f>
        <v>27.16223218</v>
      </c>
      <c r="J371" s="85">
        <f>SUM(J364:J370)</f>
        <v>1990</v>
      </c>
      <c r="K371" s="86">
        <f t="shared" si="5"/>
        <v>0.07638190955</v>
      </c>
      <c r="L371" s="81">
        <f t="shared" ref="L371:N371" si="264">SUM(L364:L370)</f>
        <v>1016.88</v>
      </c>
      <c r="M371" s="81">
        <f t="shared" si="264"/>
        <v>3253.73</v>
      </c>
      <c r="N371" s="87">
        <f t="shared" si="264"/>
        <v>112</v>
      </c>
      <c r="O371" s="85">
        <f>sum(O364:O370)</f>
        <v>232582</v>
      </c>
      <c r="P371" s="86">
        <f t="shared" si="265"/>
        <v>0.3125274685</v>
      </c>
      <c r="Q371" s="88">
        <f t="shared" si="7"/>
        <v>3.199718748</v>
      </c>
      <c r="R371" s="89">
        <f t="shared" si="8"/>
        <v>0.7804281918</v>
      </c>
      <c r="S371" s="80" t="str">
        <f>iferror((D371-#REF!)/D371,)</f>
        <v/>
      </c>
      <c r="T371" s="90" t="str">
        <f>iferror((F371-#REF!)/F371,)</f>
        <v/>
      </c>
      <c r="U371" s="2"/>
      <c r="V371" s="2"/>
      <c r="W371" s="2"/>
      <c r="X371" s="2"/>
      <c r="Y371" s="2"/>
      <c r="Z371" s="2"/>
    </row>
    <row r="372" hidden="1" outlineLevel="1">
      <c r="A372" s="56" t="str">
        <f t="shared" ref="A372:A378" si="266">iferror(if(B372&gt;0,month(B372)&amp;"-"&amp;year(B372),B372),)</f>
        <v>11-2025</v>
      </c>
      <c r="B372" s="57">
        <v>45963.0</v>
      </c>
      <c r="C372" s="58"/>
      <c r="D372" s="59">
        <v>1329.86</v>
      </c>
      <c r="E372" s="60">
        <v>50.0</v>
      </c>
      <c r="F372" s="60">
        <v>45.0</v>
      </c>
      <c r="G372" s="61">
        <f t="shared" si="2"/>
        <v>1.111111111</v>
      </c>
      <c r="H372" s="59">
        <f t="shared" ref="H372:H378" si="267">D372/F372</f>
        <v>29.55244444</v>
      </c>
      <c r="I372" s="59">
        <f t="shared" ref="I372:I378" si="268">D372/E372</f>
        <v>26.5972</v>
      </c>
      <c r="J372" s="62">
        <v>526.0</v>
      </c>
      <c r="K372" s="63">
        <f t="shared" si="5"/>
        <v>0.09505703422</v>
      </c>
      <c r="L372" s="59">
        <v>311.68</v>
      </c>
      <c r="M372" s="59">
        <v>1055.92</v>
      </c>
      <c r="N372" s="60">
        <v>35.0</v>
      </c>
      <c r="O372" s="62">
        <v>68287.0</v>
      </c>
      <c r="P372" s="63">
        <v>0.4734</v>
      </c>
      <c r="Q372" s="64">
        <f t="shared" si="7"/>
        <v>3.387833676</v>
      </c>
      <c r="R372" s="63">
        <f t="shared" si="8"/>
        <v>0.7940083919</v>
      </c>
      <c r="S372" s="65"/>
      <c r="T372" s="66"/>
      <c r="U372" s="2"/>
      <c r="V372" s="2"/>
      <c r="W372" s="2"/>
      <c r="X372" s="2"/>
      <c r="Y372" s="2"/>
      <c r="Z372" s="2"/>
    </row>
    <row r="373" hidden="1" outlineLevel="1">
      <c r="A373" s="67" t="str">
        <f t="shared" si="266"/>
        <v>11-2025</v>
      </c>
      <c r="B373" s="57">
        <v>45964.0</v>
      </c>
      <c r="C373" s="68"/>
      <c r="D373" s="69">
        <v>1306.33</v>
      </c>
      <c r="E373" s="70">
        <v>47.0</v>
      </c>
      <c r="F373" s="70">
        <v>42.0</v>
      </c>
      <c r="G373" s="71">
        <f t="shared" si="2"/>
        <v>1.119047619</v>
      </c>
      <c r="H373" s="69">
        <f t="shared" si="267"/>
        <v>31.10309524</v>
      </c>
      <c r="I373" s="69">
        <f t="shared" si="268"/>
        <v>27.79425532</v>
      </c>
      <c r="J373" s="72">
        <v>468.0</v>
      </c>
      <c r="K373" s="73">
        <f t="shared" si="5"/>
        <v>0.1004273504</v>
      </c>
      <c r="L373" s="69">
        <v>258.78</v>
      </c>
      <c r="M373" s="74">
        <v>1128.42</v>
      </c>
      <c r="N373" s="70">
        <v>39.0</v>
      </c>
      <c r="O373" s="72">
        <v>59322.0</v>
      </c>
      <c r="P373" s="73">
        <v>0.2985</v>
      </c>
      <c r="Q373" s="75">
        <f t="shared" si="7"/>
        <v>4.360537909</v>
      </c>
      <c r="R373" s="73">
        <f t="shared" si="8"/>
        <v>0.8638092978</v>
      </c>
      <c r="S373" s="76"/>
      <c r="T373" s="77"/>
      <c r="U373" s="2"/>
      <c r="V373" s="2"/>
      <c r="W373" s="2"/>
      <c r="X373" s="2"/>
      <c r="Y373" s="2"/>
      <c r="Z373" s="2"/>
    </row>
    <row r="374" hidden="1" outlineLevel="1">
      <c r="A374" s="67" t="str">
        <f t="shared" si="266"/>
        <v>11-2025</v>
      </c>
      <c r="B374" s="57">
        <v>45965.0</v>
      </c>
      <c r="C374" s="68"/>
      <c r="D374" s="69">
        <v>863.74</v>
      </c>
      <c r="E374" s="70">
        <v>31.0</v>
      </c>
      <c r="F374" s="70">
        <v>28.0</v>
      </c>
      <c r="G374" s="71">
        <f t="shared" si="2"/>
        <v>1.107142857</v>
      </c>
      <c r="H374" s="69">
        <f t="shared" si="267"/>
        <v>30.84785714</v>
      </c>
      <c r="I374" s="69">
        <f t="shared" si="268"/>
        <v>27.86258065</v>
      </c>
      <c r="J374" s="72">
        <v>402.0</v>
      </c>
      <c r="K374" s="73">
        <f t="shared" si="5"/>
        <v>0.07711442786</v>
      </c>
      <c r="L374" s="59">
        <v>239.99</v>
      </c>
      <c r="M374" s="59">
        <v>708.77</v>
      </c>
      <c r="N374" s="60">
        <v>22.0</v>
      </c>
      <c r="O374" s="72">
        <v>59613.0</v>
      </c>
      <c r="P374" s="73">
        <v>0.3486</v>
      </c>
      <c r="Q374" s="75">
        <f t="shared" si="7"/>
        <v>2.953331389</v>
      </c>
      <c r="R374" s="73">
        <f t="shared" si="8"/>
        <v>0.8205825827</v>
      </c>
      <c r="S374" s="76"/>
      <c r="T374" s="77"/>
      <c r="U374" s="2"/>
      <c r="V374" s="2"/>
      <c r="W374" s="2"/>
      <c r="X374" s="2"/>
      <c r="Y374" s="2"/>
      <c r="Z374" s="2"/>
    </row>
    <row r="375" hidden="1" outlineLevel="1">
      <c r="A375" s="67" t="str">
        <f t="shared" si="266"/>
        <v>11-2025</v>
      </c>
      <c r="B375" s="57">
        <v>45966.0</v>
      </c>
      <c r="C375" s="68"/>
      <c r="D375" s="69">
        <v>911.95</v>
      </c>
      <c r="E375" s="70">
        <v>33.0</v>
      </c>
      <c r="F375" s="70">
        <v>27.0</v>
      </c>
      <c r="G375" s="71">
        <f t="shared" si="2"/>
        <v>1.222222222</v>
      </c>
      <c r="H375" s="69">
        <f t="shared" si="267"/>
        <v>33.77592593</v>
      </c>
      <c r="I375" s="69">
        <f t="shared" si="268"/>
        <v>27.63484848</v>
      </c>
      <c r="J375" s="72">
        <v>387.0</v>
      </c>
      <c r="K375" s="73">
        <f t="shared" si="5"/>
        <v>0.08527131783</v>
      </c>
      <c r="L375" s="69">
        <v>216.96</v>
      </c>
      <c r="M375" s="69">
        <v>773.0</v>
      </c>
      <c r="N375" s="70">
        <v>23.0</v>
      </c>
      <c r="O375" s="72">
        <v>55081.0</v>
      </c>
      <c r="P375" s="73">
        <v>0.3572</v>
      </c>
      <c r="Q375" s="75">
        <f t="shared" si="7"/>
        <v>3.562868732</v>
      </c>
      <c r="R375" s="73">
        <f t="shared" si="8"/>
        <v>0.8476341905</v>
      </c>
      <c r="S375" s="76"/>
      <c r="T375" s="77"/>
      <c r="U375" s="2"/>
      <c r="V375" s="2"/>
      <c r="W375" s="2"/>
      <c r="X375" s="2"/>
      <c r="Y375" s="2"/>
      <c r="Z375" s="2"/>
    </row>
    <row r="376" hidden="1" outlineLevel="1">
      <c r="A376" s="67" t="str">
        <f t="shared" si="266"/>
        <v>11-2025</v>
      </c>
      <c r="B376" s="57">
        <v>45967.0</v>
      </c>
      <c r="C376" s="68"/>
      <c r="D376" s="69">
        <v>1001.46</v>
      </c>
      <c r="E376" s="70">
        <v>37.0</v>
      </c>
      <c r="F376" s="70">
        <v>32.0</v>
      </c>
      <c r="G376" s="71">
        <f t="shared" si="2"/>
        <v>1.15625</v>
      </c>
      <c r="H376" s="69">
        <f t="shared" si="267"/>
        <v>31.295625</v>
      </c>
      <c r="I376" s="69">
        <f t="shared" si="268"/>
        <v>27.06648649</v>
      </c>
      <c r="J376" s="72">
        <v>390.0</v>
      </c>
      <c r="K376" s="73">
        <f t="shared" si="5"/>
        <v>0.09487179487</v>
      </c>
      <c r="L376" s="69">
        <v>242.84</v>
      </c>
      <c r="M376" s="69">
        <v>651.05</v>
      </c>
      <c r="N376" s="70">
        <v>22.0</v>
      </c>
      <c r="O376" s="72">
        <v>47765.0</v>
      </c>
      <c r="P376" s="73">
        <v>0.3225</v>
      </c>
      <c r="Q376" s="75">
        <f t="shared" si="7"/>
        <v>2.680983364</v>
      </c>
      <c r="R376" s="73">
        <f t="shared" si="8"/>
        <v>0.6501008528</v>
      </c>
      <c r="S376" s="76"/>
      <c r="T376" s="77"/>
      <c r="U376" s="2"/>
      <c r="V376" s="2"/>
      <c r="W376" s="2"/>
      <c r="X376" s="2"/>
      <c r="Y376" s="2"/>
      <c r="Z376" s="2"/>
    </row>
    <row r="377" hidden="1" outlineLevel="1">
      <c r="A377" s="67" t="str">
        <f t="shared" si="266"/>
        <v>11-2025</v>
      </c>
      <c r="B377" s="57">
        <v>45968.0</v>
      </c>
      <c r="C377" s="68"/>
      <c r="D377" s="69">
        <v>881.71</v>
      </c>
      <c r="E377" s="70">
        <v>31.0</v>
      </c>
      <c r="F377" s="70">
        <v>30.0</v>
      </c>
      <c r="G377" s="71">
        <f t="shared" si="2"/>
        <v>1.033333333</v>
      </c>
      <c r="H377" s="69">
        <f t="shared" si="267"/>
        <v>29.39033333</v>
      </c>
      <c r="I377" s="69">
        <f t="shared" si="268"/>
        <v>28.44225806</v>
      </c>
      <c r="J377" s="72">
        <v>347.0</v>
      </c>
      <c r="K377" s="73">
        <f t="shared" si="5"/>
        <v>0.08933717579</v>
      </c>
      <c r="L377" s="69">
        <v>224.98</v>
      </c>
      <c r="M377" s="69">
        <v>831.73</v>
      </c>
      <c r="N377" s="70">
        <v>27.0</v>
      </c>
      <c r="O377" s="72">
        <v>46150.0</v>
      </c>
      <c r="P377" s="73">
        <v>0.5913</v>
      </c>
      <c r="Q377" s="75">
        <f t="shared" si="7"/>
        <v>3.696906392</v>
      </c>
      <c r="R377" s="73">
        <f t="shared" si="8"/>
        <v>0.9433146953</v>
      </c>
      <c r="S377" s="76"/>
      <c r="T377" s="77"/>
      <c r="U377" s="2"/>
      <c r="V377" s="2"/>
      <c r="W377" s="2"/>
      <c r="X377" s="2"/>
      <c r="Y377" s="2"/>
      <c r="Z377" s="2"/>
    </row>
    <row r="378" hidden="1" outlineLevel="1">
      <c r="A378" s="67" t="str">
        <f t="shared" si="266"/>
        <v>11-2025</v>
      </c>
      <c r="B378" s="57">
        <v>45969.0</v>
      </c>
      <c r="C378" s="68"/>
      <c r="D378" s="69">
        <v>1008.66</v>
      </c>
      <c r="E378" s="70">
        <v>36.0</v>
      </c>
      <c r="F378" s="70">
        <v>32.0</v>
      </c>
      <c r="G378" s="71">
        <f t="shared" si="2"/>
        <v>1.125</v>
      </c>
      <c r="H378" s="69">
        <f t="shared" si="267"/>
        <v>31.520625</v>
      </c>
      <c r="I378" s="69">
        <f t="shared" si="268"/>
        <v>28.01833333</v>
      </c>
      <c r="J378" s="72">
        <v>429.0</v>
      </c>
      <c r="K378" s="73">
        <f t="shared" si="5"/>
        <v>0.08391608392</v>
      </c>
      <c r="L378" s="69">
        <v>257.75</v>
      </c>
      <c r="M378" s="69">
        <v>607.29</v>
      </c>
      <c r="N378" s="70">
        <v>21.0</v>
      </c>
      <c r="O378" s="72">
        <v>55711.0</v>
      </c>
      <c r="P378" s="73">
        <f t="shared" ref="P378:P379" si="271">L378/M378</f>
        <v>0.4244265507</v>
      </c>
      <c r="Q378" s="75">
        <f t="shared" si="7"/>
        <v>2.356120272</v>
      </c>
      <c r="R378" s="73">
        <f t="shared" si="8"/>
        <v>0.6020760217</v>
      </c>
      <c r="S378" s="76"/>
      <c r="T378" s="77"/>
      <c r="U378" s="2"/>
      <c r="V378" s="2"/>
      <c r="W378" s="2"/>
      <c r="X378" s="2"/>
      <c r="Y378" s="2"/>
      <c r="Z378" s="2"/>
    </row>
    <row r="379" collapsed="1">
      <c r="A379" s="78" t="s">
        <v>112</v>
      </c>
      <c r="B379" s="79"/>
      <c r="C379" s="80"/>
      <c r="D379" s="81">
        <f t="shared" ref="D379:F379" si="269">SUM(D372:D378)</f>
        <v>7303.71</v>
      </c>
      <c r="E379" s="82">
        <f t="shared" si="269"/>
        <v>265</v>
      </c>
      <c r="F379" s="82">
        <f t="shared" si="269"/>
        <v>236</v>
      </c>
      <c r="G379" s="83">
        <f t="shared" si="2"/>
        <v>1.122881356</v>
      </c>
      <c r="H379" s="81">
        <f>average(H372:H378)</f>
        <v>31.06941515</v>
      </c>
      <c r="I379" s="84">
        <f>H379/G379</f>
        <v>27.66936595</v>
      </c>
      <c r="J379" s="85">
        <f>SUM(J372:J378)</f>
        <v>2949</v>
      </c>
      <c r="K379" s="86">
        <f t="shared" si="5"/>
        <v>0.08986096982</v>
      </c>
      <c r="L379" s="81">
        <f t="shared" ref="L379:N379" si="270">SUM(L372:L378)</f>
        <v>1752.98</v>
      </c>
      <c r="M379" s="81">
        <f t="shared" si="270"/>
        <v>5756.18</v>
      </c>
      <c r="N379" s="87">
        <f t="shared" si="270"/>
        <v>189</v>
      </c>
      <c r="O379" s="85">
        <f>sum(O372:O378)</f>
        <v>391929</v>
      </c>
      <c r="P379" s="86">
        <f t="shared" si="271"/>
        <v>0.304538774</v>
      </c>
      <c r="Q379" s="88">
        <f t="shared" si="7"/>
        <v>3.28365412</v>
      </c>
      <c r="R379" s="89">
        <f t="shared" si="8"/>
        <v>0.7881172719</v>
      </c>
      <c r="S379" s="80" t="str">
        <f>iferror((D379-#REF!)/D379,)</f>
        <v/>
      </c>
      <c r="T379" s="90" t="str">
        <f>iferror((F379-#REF!)/F379,)</f>
        <v/>
      </c>
      <c r="U379" s="2"/>
      <c r="V379" s="2"/>
      <c r="W379" s="2"/>
      <c r="X379" s="2"/>
      <c r="Y379" s="2"/>
      <c r="Z379" s="2"/>
    </row>
    <row r="380" hidden="1" outlineLevel="1">
      <c r="A380" s="56" t="str">
        <f t="shared" ref="A380:A386" si="272">iferror(if(B380&gt;0,month(B380)&amp;"-"&amp;year(B380),B380),)</f>
        <v>11-2025</v>
      </c>
      <c r="B380" s="57">
        <v>45970.0</v>
      </c>
      <c r="C380" s="58"/>
      <c r="D380" s="59">
        <v>1201.63</v>
      </c>
      <c r="E380" s="60">
        <v>44.0</v>
      </c>
      <c r="F380" s="60">
        <v>39.0</v>
      </c>
      <c r="G380" s="61">
        <f t="shared" si="2"/>
        <v>1.128205128</v>
      </c>
      <c r="H380" s="59">
        <f t="shared" ref="H380:H386" si="273">D380/F380</f>
        <v>30.81102564</v>
      </c>
      <c r="I380" s="59">
        <f t="shared" ref="I380:I386" si="274">D380/E380</f>
        <v>27.30977273</v>
      </c>
      <c r="J380" s="62">
        <v>589.0</v>
      </c>
      <c r="K380" s="63">
        <f t="shared" si="5"/>
        <v>0.07470288625</v>
      </c>
      <c r="L380" s="59">
        <v>372.17</v>
      </c>
      <c r="M380" s="59">
        <v>960.21</v>
      </c>
      <c r="N380" s="60">
        <v>32.0</v>
      </c>
      <c r="O380" s="62">
        <v>78711.0</v>
      </c>
      <c r="P380" s="63">
        <v>0.4734</v>
      </c>
      <c r="Q380" s="64">
        <f t="shared" si="7"/>
        <v>2.580030631</v>
      </c>
      <c r="R380" s="63">
        <f t="shared" si="8"/>
        <v>0.79908957</v>
      </c>
      <c r="S380" s="65"/>
      <c r="T380" s="66"/>
      <c r="U380" s="2"/>
      <c r="V380" s="2"/>
      <c r="W380" s="2"/>
      <c r="X380" s="2"/>
      <c r="Y380" s="2"/>
      <c r="Z380" s="2"/>
    </row>
    <row r="381" hidden="1" outlineLevel="1">
      <c r="A381" s="67" t="str">
        <f t="shared" si="272"/>
        <v>11-2025</v>
      </c>
      <c r="B381" s="57">
        <v>45971.0</v>
      </c>
      <c r="C381" s="68"/>
      <c r="D381" s="69">
        <v>898.68</v>
      </c>
      <c r="E381" s="70">
        <v>33.0</v>
      </c>
      <c r="F381" s="70">
        <v>28.0</v>
      </c>
      <c r="G381" s="71">
        <f t="shared" si="2"/>
        <v>1.178571429</v>
      </c>
      <c r="H381" s="69">
        <f t="shared" si="273"/>
        <v>32.09571429</v>
      </c>
      <c r="I381" s="69">
        <f t="shared" si="274"/>
        <v>27.23272727</v>
      </c>
      <c r="J381" s="72">
        <v>401.0</v>
      </c>
      <c r="K381" s="73">
        <f t="shared" si="5"/>
        <v>0.08229426434</v>
      </c>
      <c r="L381" s="69">
        <v>240.59</v>
      </c>
      <c r="M381" s="74">
        <v>673.76</v>
      </c>
      <c r="N381" s="70">
        <v>19.0</v>
      </c>
      <c r="O381" s="72">
        <v>56870.0</v>
      </c>
      <c r="P381" s="73">
        <v>0.2985</v>
      </c>
      <c r="Q381" s="75">
        <f t="shared" si="7"/>
        <v>2.800448896</v>
      </c>
      <c r="R381" s="73">
        <f t="shared" si="8"/>
        <v>0.7497218142</v>
      </c>
      <c r="S381" s="76"/>
      <c r="T381" s="77"/>
      <c r="U381" s="2"/>
      <c r="V381" s="2"/>
      <c r="W381" s="2"/>
      <c r="X381" s="2"/>
      <c r="Y381" s="2"/>
      <c r="Z381" s="2"/>
    </row>
    <row r="382" hidden="1" outlineLevel="1">
      <c r="A382" s="67" t="str">
        <f t="shared" si="272"/>
        <v>11-2025</v>
      </c>
      <c r="B382" s="57">
        <v>45972.0</v>
      </c>
      <c r="C382" s="68"/>
      <c r="D382" s="69">
        <v>850.96</v>
      </c>
      <c r="E382" s="70">
        <v>30.0</v>
      </c>
      <c r="F382" s="70">
        <v>27.0</v>
      </c>
      <c r="G382" s="71">
        <f t="shared" si="2"/>
        <v>1.111111111</v>
      </c>
      <c r="H382" s="69">
        <f t="shared" si="273"/>
        <v>31.51703704</v>
      </c>
      <c r="I382" s="69">
        <f t="shared" si="274"/>
        <v>28.36533333</v>
      </c>
      <c r="J382" s="72">
        <v>384.0</v>
      </c>
      <c r="K382" s="73">
        <f t="shared" si="5"/>
        <v>0.078125</v>
      </c>
      <c r="L382" s="59">
        <v>247.96</v>
      </c>
      <c r="M382" s="59">
        <v>601.55</v>
      </c>
      <c r="N382" s="60">
        <v>21.0</v>
      </c>
      <c r="O382" s="72">
        <v>47570.0</v>
      </c>
      <c r="P382" s="73">
        <v>0.3486</v>
      </c>
      <c r="Q382" s="75">
        <f t="shared" si="7"/>
        <v>2.425996128</v>
      </c>
      <c r="R382" s="73">
        <f t="shared" si="8"/>
        <v>0.7069074927</v>
      </c>
      <c r="S382" s="76"/>
      <c r="T382" s="77"/>
      <c r="U382" s="2"/>
      <c r="V382" s="2"/>
      <c r="W382" s="2"/>
      <c r="X382" s="2"/>
      <c r="Y382" s="2"/>
      <c r="Z382" s="2"/>
    </row>
    <row r="383" hidden="1" outlineLevel="1">
      <c r="A383" s="67" t="str">
        <f t="shared" si="272"/>
        <v>11-2025</v>
      </c>
      <c r="B383" s="57">
        <v>45973.0</v>
      </c>
      <c r="C383" s="68"/>
      <c r="D383" s="69">
        <v>624.8</v>
      </c>
      <c r="E383" s="70">
        <v>22.0</v>
      </c>
      <c r="F383" s="70">
        <v>21.0</v>
      </c>
      <c r="G383" s="71">
        <f t="shared" si="2"/>
        <v>1.047619048</v>
      </c>
      <c r="H383" s="69">
        <f t="shared" si="273"/>
        <v>29.75238095</v>
      </c>
      <c r="I383" s="69">
        <f t="shared" si="274"/>
        <v>28.4</v>
      </c>
      <c r="J383" s="72">
        <v>293.0</v>
      </c>
      <c r="K383" s="73">
        <f t="shared" si="5"/>
        <v>0.07508532423</v>
      </c>
      <c r="L383" s="69">
        <v>184.42</v>
      </c>
      <c r="M383" s="69">
        <v>367.38</v>
      </c>
      <c r="N383" s="70">
        <v>13.0</v>
      </c>
      <c r="O383" s="72">
        <v>41006.0</v>
      </c>
      <c r="P383" s="73">
        <v>0.3572</v>
      </c>
      <c r="Q383" s="75">
        <f t="shared" si="7"/>
        <v>1.992083288</v>
      </c>
      <c r="R383" s="73">
        <f t="shared" si="8"/>
        <v>0.5879961588</v>
      </c>
      <c r="S383" s="76"/>
      <c r="T383" s="77"/>
      <c r="U383" s="2"/>
      <c r="V383" s="2"/>
      <c r="W383" s="2"/>
      <c r="X383" s="2"/>
      <c r="Y383" s="2"/>
      <c r="Z383" s="2"/>
    </row>
    <row r="384" hidden="1" outlineLevel="1">
      <c r="A384" s="67" t="str">
        <f t="shared" si="272"/>
        <v>11-2025</v>
      </c>
      <c r="B384" s="57">
        <v>45974.0</v>
      </c>
      <c r="C384" s="68"/>
      <c r="D384" s="69">
        <v>647.56</v>
      </c>
      <c r="E384" s="70">
        <v>24.0</v>
      </c>
      <c r="F384" s="70">
        <v>24.0</v>
      </c>
      <c r="G384" s="71">
        <f t="shared" si="2"/>
        <v>1</v>
      </c>
      <c r="H384" s="69">
        <f t="shared" si="273"/>
        <v>26.98166667</v>
      </c>
      <c r="I384" s="69">
        <f t="shared" si="274"/>
        <v>26.98166667</v>
      </c>
      <c r="J384" s="72">
        <v>350.0</v>
      </c>
      <c r="K384" s="73">
        <f t="shared" si="5"/>
        <v>0.06857142857</v>
      </c>
      <c r="L384" s="69">
        <v>206.62</v>
      </c>
      <c r="M384" s="69">
        <v>593.83</v>
      </c>
      <c r="N384" s="70">
        <v>21.0</v>
      </c>
      <c r="O384" s="72">
        <v>41114.0</v>
      </c>
      <c r="P384" s="73">
        <v>0.3225</v>
      </c>
      <c r="Q384" s="75">
        <f t="shared" si="7"/>
        <v>2.87401994</v>
      </c>
      <c r="R384" s="73">
        <f t="shared" si="8"/>
        <v>0.9170269936</v>
      </c>
      <c r="S384" s="76"/>
      <c r="T384" s="77"/>
      <c r="U384" s="2"/>
      <c r="V384" s="2"/>
      <c r="W384" s="2"/>
      <c r="X384" s="2"/>
      <c r="Y384" s="2"/>
      <c r="Z384" s="2"/>
    </row>
    <row r="385" hidden="1" outlineLevel="1">
      <c r="A385" s="67" t="str">
        <f t="shared" si="272"/>
        <v>11-2025</v>
      </c>
      <c r="B385" s="57">
        <v>45975.0</v>
      </c>
      <c r="C385" s="68"/>
      <c r="D385" s="69">
        <v>843.25</v>
      </c>
      <c r="E385" s="70">
        <v>31.0</v>
      </c>
      <c r="F385" s="70">
        <v>28.0</v>
      </c>
      <c r="G385" s="71">
        <f t="shared" si="2"/>
        <v>1.107142857</v>
      </c>
      <c r="H385" s="69">
        <f t="shared" si="273"/>
        <v>30.11607143</v>
      </c>
      <c r="I385" s="69">
        <f t="shared" si="274"/>
        <v>27.2016129</v>
      </c>
      <c r="J385" s="72">
        <v>371.0</v>
      </c>
      <c r="K385" s="73">
        <f t="shared" si="5"/>
        <v>0.08355795148</v>
      </c>
      <c r="L385" s="69">
        <v>235.19</v>
      </c>
      <c r="M385" s="69">
        <v>525.84</v>
      </c>
      <c r="N385" s="70">
        <v>17.0</v>
      </c>
      <c r="O385" s="72">
        <v>44109.0</v>
      </c>
      <c r="P385" s="73">
        <v>0.5913</v>
      </c>
      <c r="Q385" s="75">
        <f t="shared" si="7"/>
        <v>2.235809346</v>
      </c>
      <c r="R385" s="73">
        <f t="shared" si="8"/>
        <v>0.623587311</v>
      </c>
      <c r="S385" s="76"/>
      <c r="T385" s="77"/>
      <c r="U385" s="2"/>
      <c r="V385" s="2"/>
      <c r="W385" s="2"/>
      <c r="X385" s="2"/>
      <c r="Y385" s="2"/>
      <c r="Z385" s="2"/>
    </row>
    <row r="386" hidden="1" outlineLevel="1">
      <c r="A386" s="67" t="str">
        <f t="shared" si="272"/>
        <v>11-2025</v>
      </c>
      <c r="B386" s="57">
        <v>45976.0</v>
      </c>
      <c r="C386" s="68"/>
      <c r="D386" s="69">
        <v>588.31</v>
      </c>
      <c r="E386" s="70">
        <v>20.0</v>
      </c>
      <c r="F386" s="70">
        <v>19.0</v>
      </c>
      <c r="G386" s="71">
        <f t="shared" si="2"/>
        <v>1.052631579</v>
      </c>
      <c r="H386" s="69">
        <f t="shared" si="273"/>
        <v>30.96368421</v>
      </c>
      <c r="I386" s="69">
        <f t="shared" si="274"/>
        <v>29.4155</v>
      </c>
      <c r="J386" s="72">
        <v>389.0</v>
      </c>
      <c r="K386" s="73">
        <f t="shared" si="5"/>
        <v>0.05141388175</v>
      </c>
      <c r="L386" s="69">
        <v>229.53</v>
      </c>
      <c r="M386" s="69">
        <v>466.35</v>
      </c>
      <c r="N386" s="70">
        <v>16.0</v>
      </c>
      <c r="O386" s="72">
        <v>49605.0</v>
      </c>
      <c r="P386" s="73">
        <f t="shared" ref="P386:P387" si="277">L386/M386</f>
        <v>0.492183982</v>
      </c>
      <c r="Q386" s="75">
        <f t="shared" si="7"/>
        <v>2.031760554</v>
      </c>
      <c r="R386" s="73">
        <f t="shared" si="8"/>
        <v>0.7926943278</v>
      </c>
      <c r="S386" s="76"/>
      <c r="T386" s="77"/>
      <c r="U386" s="2"/>
      <c r="V386" s="2"/>
      <c r="W386" s="2"/>
      <c r="X386" s="2"/>
      <c r="Y386" s="2"/>
      <c r="Z386" s="2"/>
    </row>
    <row r="387" collapsed="1">
      <c r="A387" s="78" t="s">
        <v>113</v>
      </c>
      <c r="B387" s="79"/>
      <c r="C387" s="80"/>
      <c r="D387" s="81">
        <f t="shared" ref="D387:F387" si="275">SUM(D380:D386)</f>
        <v>5655.19</v>
      </c>
      <c r="E387" s="82">
        <f t="shared" si="275"/>
        <v>204</v>
      </c>
      <c r="F387" s="82">
        <f t="shared" si="275"/>
        <v>186</v>
      </c>
      <c r="G387" s="83">
        <f t="shared" si="2"/>
        <v>1.096774194</v>
      </c>
      <c r="H387" s="81">
        <f>average(H380:H386)</f>
        <v>30.31965432</v>
      </c>
      <c r="I387" s="84">
        <f>H387/G387</f>
        <v>27.6443907</v>
      </c>
      <c r="J387" s="85">
        <f>SUM(J380:J386)</f>
        <v>2777</v>
      </c>
      <c r="K387" s="86">
        <f t="shared" si="5"/>
        <v>0.07346056896</v>
      </c>
      <c r="L387" s="81">
        <f t="shared" ref="L387:N387" si="276">SUM(L380:L386)</f>
        <v>1716.48</v>
      </c>
      <c r="M387" s="81">
        <f t="shared" si="276"/>
        <v>4188.92</v>
      </c>
      <c r="N387" s="87">
        <f t="shared" si="276"/>
        <v>139</v>
      </c>
      <c r="O387" s="85">
        <f>sum(O380:O386)</f>
        <v>358985</v>
      </c>
      <c r="P387" s="86">
        <f t="shared" si="277"/>
        <v>0.4097667179</v>
      </c>
      <c r="Q387" s="88">
        <f t="shared" si="7"/>
        <v>2.440412938</v>
      </c>
      <c r="R387" s="89">
        <f t="shared" si="8"/>
        <v>0.7407213551</v>
      </c>
      <c r="S387" s="80" t="str">
        <f>iferror((D387-#REF!)/D387,)</f>
        <v/>
      </c>
      <c r="T387" s="90" t="str">
        <f>iferror((F387-#REF!)/F387,)</f>
        <v/>
      </c>
      <c r="U387" s="2"/>
      <c r="V387" s="2"/>
      <c r="W387" s="2"/>
      <c r="X387" s="2"/>
      <c r="Y387" s="2"/>
      <c r="Z387" s="2"/>
    </row>
    <row r="388" hidden="1" outlineLevel="1">
      <c r="A388" s="56" t="str">
        <f t="shared" ref="A388:A394" si="278">iferror(if(B388&gt;0,month(B388)&amp;"-"&amp;year(B388),B388),)</f>
        <v>11-2025</v>
      </c>
      <c r="B388" s="57">
        <v>45977.0</v>
      </c>
      <c r="C388" s="58"/>
      <c r="D388" s="59">
        <v>806.77</v>
      </c>
      <c r="E388" s="60">
        <v>30.0</v>
      </c>
      <c r="F388" s="60">
        <v>28.0</v>
      </c>
      <c r="G388" s="61">
        <f t="shared" si="2"/>
        <v>1.071428571</v>
      </c>
      <c r="H388" s="59">
        <f t="shared" ref="H388:H394" si="279">D388/F388</f>
        <v>28.81321429</v>
      </c>
      <c r="I388" s="59">
        <f t="shared" ref="I388:I394" si="280">D388/E388</f>
        <v>26.89233333</v>
      </c>
      <c r="J388" s="62">
        <v>491.0</v>
      </c>
      <c r="K388" s="63">
        <f t="shared" si="5"/>
        <v>0.06109979633</v>
      </c>
      <c r="L388" s="59">
        <v>307.13</v>
      </c>
      <c r="M388" s="59">
        <v>518.85</v>
      </c>
      <c r="N388" s="60">
        <v>18.0</v>
      </c>
      <c r="O388" s="62">
        <v>61822.0</v>
      </c>
      <c r="P388" s="63">
        <v>0.4734</v>
      </c>
      <c r="Q388" s="64">
        <f t="shared" si="7"/>
        <v>1.689349787</v>
      </c>
      <c r="R388" s="63">
        <f t="shared" si="8"/>
        <v>0.6431200962</v>
      </c>
      <c r="S388" s="65"/>
      <c r="T388" s="66"/>
      <c r="U388" s="2"/>
      <c r="V388" s="2"/>
      <c r="W388" s="2"/>
      <c r="X388" s="2"/>
      <c r="Y388" s="2"/>
      <c r="Z388" s="2"/>
    </row>
    <row r="389" hidden="1" outlineLevel="1">
      <c r="A389" s="67" t="str">
        <f t="shared" si="278"/>
        <v>11-2025</v>
      </c>
      <c r="B389" s="57">
        <v>45978.0</v>
      </c>
      <c r="C389" s="68"/>
      <c r="D389" s="69">
        <v>545.88</v>
      </c>
      <c r="E389" s="70">
        <v>22.0</v>
      </c>
      <c r="F389" s="70">
        <v>18.0</v>
      </c>
      <c r="G389" s="71">
        <f t="shared" si="2"/>
        <v>1.222222222</v>
      </c>
      <c r="H389" s="69">
        <f t="shared" si="279"/>
        <v>30.32666667</v>
      </c>
      <c r="I389" s="69">
        <f t="shared" si="280"/>
        <v>24.81272727</v>
      </c>
      <c r="J389" s="72">
        <v>319.0</v>
      </c>
      <c r="K389" s="73">
        <f t="shared" si="5"/>
        <v>0.06896551724</v>
      </c>
      <c r="L389" s="69">
        <v>181.73</v>
      </c>
      <c r="M389" s="74">
        <v>269.2</v>
      </c>
      <c r="N389" s="70">
        <v>10.0</v>
      </c>
      <c r="O389" s="72">
        <v>47389.0</v>
      </c>
      <c r="P389" s="73">
        <v>0.2985</v>
      </c>
      <c r="Q389" s="75">
        <f t="shared" si="7"/>
        <v>1.481318439</v>
      </c>
      <c r="R389" s="73">
        <f t="shared" si="8"/>
        <v>0.4931486774</v>
      </c>
      <c r="S389" s="76"/>
      <c r="T389" s="77"/>
      <c r="U389" s="2"/>
      <c r="V389" s="2"/>
      <c r="W389" s="2"/>
      <c r="X389" s="2"/>
      <c r="Y389" s="2"/>
      <c r="Z389" s="2"/>
    </row>
    <row r="390" hidden="1" outlineLevel="1">
      <c r="A390" s="67" t="str">
        <f t="shared" si="278"/>
        <v>11-2025</v>
      </c>
      <c r="B390" s="57">
        <v>45979.0</v>
      </c>
      <c r="C390" s="68"/>
      <c r="D390" s="69">
        <v>823.51</v>
      </c>
      <c r="E390" s="70">
        <v>30.0</v>
      </c>
      <c r="F390" s="70">
        <v>26.0</v>
      </c>
      <c r="G390" s="71">
        <f t="shared" si="2"/>
        <v>1.153846154</v>
      </c>
      <c r="H390" s="69">
        <f t="shared" si="279"/>
        <v>31.67346154</v>
      </c>
      <c r="I390" s="69">
        <f t="shared" si="280"/>
        <v>27.45033333</v>
      </c>
      <c r="J390" s="72">
        <v>293.0</v>
      </c>
      <c r="K390" s="73">
        <f t="shared" si="5"/>
        <v>0.1023890785</v>
      </c>
      <c r="L390" s="59">
        <v>185.51</v>
      </c>
      <c r="M390" s="59">
        <v>426.87</v>
      </c>
      <c r="N390" s="60">
        <v>15.0</v>
      </c>
      <c r="O390" s="72">
        <v>41385.0</v>
      </c>
      <c r="P390" s="73">
        <v>0.3486</v>
      </c>
      <c r="Q390" s="75">
        <f t="shared" si="7"/>
        <v>2.301061937</v>
      </c>
      <c r="R390" s="73">
        <f t="shared" si="8"/>
        <v>0.5183543612</v>
      </c>
      <c r="S390" s="76"/>
      <c r="T390" s="77"/>
      <c r="U390" s="2"/>
      <c r="V390" s="2"/>
      <c r="W390" s="2"/>
      <c r="X390" s="2"/>
      <c r="Y390" s="2"/>
      <c r="Z390" s="2"/>
    </row>
    <row r="391" hidden="1" outlineLevel="1">
      <c r="A391" s="67" t="str">
        <f t="shared" si="278"/>
        <v>11-2025</v>
      </c>
      <c r="B391" s="57">
        <v>45980.0</v>
      </c>
      <c r="C391" s="68"/>
      <c r="D391" s="69">
        <v>392.65</v>
      </c>
      <c r="E391" s="70">
        <v>15.0</v>
      </c>
      <c r="F391" s="70">
        <v>14.0</v>
      </c>
      <c r="G391" s="71">
        <f t="shared" si="2"/>
        <v>1.071428571</v>
      </c>
      <c r="H391" s="69">
        <f t="shared" si="279"/>
        <v>28.04642857</v>
      </c>
      <c r="I391" s="69">
        <f t="shared" si="280"/>
        <v>26.17666667</v>
      </c>
      <c r="J391" s="72">
        <v>284.0</v>
      </c>
      <c r="K391" s="73">
        <f t="shared" si="5"/>
        <v>0.05281690141</v>
      </c>
      <c r="L391" s="69">
        <v>172.97</v>
      </c>
      <c r="M391" s="69">
        <v>297.67</v>
      </c>
      <c r="N391" s="70">
        <v>10.0</v>
      </c>
      <c r="O391" s="72">
        <v>31697.0</v>
      </c>
      <c r="P391" s="73">
        <v>0.3572</v>
      </c>
      <c r="Q391" s="75">
        <f t="shared" si="7"/>
        <v>1.720934266</v>
      </c>
      <c r="R391" s="73">
        <f t="shared" si="8"/>
        <v>0.7581051827</v>
      </c>
      <c r="S391" s="76"/>
      <c r="T391" s="77"/>
      <c r="U391" s="2"/>
      <c r="V391" s="2"/>
      <c r="W391" s="2"/>
      <c r="X391" s="2"/>
      <c r="Y391" s="2"/>
      <c r="Z391" s="2"/>
    </row>
    <row r="392" hidden="1" outlineLevel="1">
      <c r="A392" s="67" t="str">
        <f t="shared" si="278"/>
        <v>11-2025</v>
      </c>
      <c r="B392" s="57">
        <v>45981.0</v>
      </c>
      <c r="C392" s="68"/>
      <c r="D392" s="69">
        <v>417.13</v>
      </c>
      <c r="E392" s="70">
        <v>16.0</v>
      </c>
      <c r="F392" s="70">
        <v>14.0</v>
      </c>
      <c r="G392" s="71">
        <f t="shared" si="2"/>
        <v>1.142857143</v>
      </c>
      <c r="H392" s="69">
        <f t="shared" si="279"/>
        <v>29.795</v>
      </c>
      <c r="I392" s="69">
        <f t="shared" si="280"/>
        <v>26.070625</v>
      </c>
      <c r="J392" s="72">
        <v>246.0</v>
      </c>
      <c r="K392" s="73">
        <f t="shared" si="5"/>
        <v>0.06504065041</v>
      </c>
      <c r="L392" s="69">
        <v>127.43</v>
      </c>
      <c r="M392" s="69">
        <v>243.42</v>
      </c>
      <c r="N392" s="70">
        <v>7.0</v>
      </c>
      <c r="O392" s="72">
        <v>27903.0</v>
      </c>
      <c r="P392" s="73">
        <v>0.3225</v>
      </c>
      <c r="Q392" s="75">
        <f t="shared" si="7"/>
        <v>1.910225222</v>
      </c>
      <c r="R392" s="73">
        <f t="shared" si="8"/>
        <v>0.5835590823</v>
      </c>
      <c r="S392" s="76"/>
      <c r="T392" s="77"/>
      <c r="U392" s="2"/>
      <c r="V392" s="2"/>
      <c r="W392" s="2"/>
      <c r="X392" s="2"/>
      <c r="Y392" s="2"/>
      <c r="Z392" s="2"/>
    </row>
    <row r="393" hidden="1" outlineLevel="1">
      <c r="A393" s="67" t="str">
        <f t="shared" si="278"/>
        <v>11-2025</v>
      </c>
      <c r="B393" s="57">
        <v>45982.0</v>
      </c>
      <c r="C393" s="68"/>
      <c r="D393" s="69">
        <v>434.61</v>
      </c>
      <c r="E393" s="70">
        <v>16.0</v>
      </c>
      <c r="F393" s="70">
        <v>14.0</v>
      </c>
      <c r="G393" s="71">
        <f t="shared" si="2"/>
        <v>1.142857143</v>
      </c>
      <c r="H393" s="69">
        <f t="shared" si="279"/>
        <v>31.04357143</v>
      </c>
      <c r="I393" s="69">
        <f t="shared" si="280"/>
        <v>27.163125</v>
      </c>
      <c r="J393" s="72">
        <v>270.0</v>
      </c>
      <c r="K393" s="73">
        <f t="shared" si="5"/>
        <v>0.05925925926</v>
      </c>
      <c r="L393" s="69">
        <v>166.77</v>
      </c>
      <c r="M393" s="69">
        <v>421.36</v>
      </c>
      <c r="N393" s="70">
        <v>14.0</v>
      </c>
      <c r="O393" s="72">
        <v>34908.0</v>
      </c>
      <c r="P393" s="73">
        <v>0.5913</v>
      </c>
      <c r="Q393" s="75">
        <f t="shared" si="7"/>
        <v>2.526593512</v>
      </c>
      <c r="R393" s="73">
        <f t="shared" si="8"/>
        <v>0.9695128966</v>
      </c>
      <c r="S393" s="76"/>
      <c r="T393" s="77"/>
      <c r="U393" s="2"/>
      <c r="V393" s="2"/>
      <c r="W393" s="2"/>
      <c r="X393" s="2"/>
      <c r="Y393" s="2"/>
      <c r="Z393" s="2"/>
    </row>
    <row r="394" hidden="1" outlineLevel="1">
      <c r="A394" s="67" t="str">
        <f t="shared" si="278"/>
        <v>11-2025</v>
      </c>
      <c r="B394" s="57">
        <v>45983.0</v>
      </c>
      <c r="C394" s="68"/>
      <c r="D394" s="69">
        <v>897.2</v>
      </c>
      <c r="E394" s="70">
        <v>31.0</v>
      </c>
      <c r="F394" s="70">
        <v>27.0</v>
      </c>
      <c r="G394" s="71">
        <f t="shared" si="2"/>
        <v>1.148148148</v>
      </c>
      <c r="H394" s="69">
        <f t="shared" si="279"/>
        <v>33.22962963</v>
      </c>
      <c r="I394" s="69">
        <f t="shared" si="280"/>
        <v>28.94193548</v>
      </c>
      <c r="J394" s="72">
        <v>396.0</v>
      </c>
      <c r="K394" s="73">
        <f t="shared" si="5"/>
        <v>0.07828282828</v>
      </c>
      <c r="L394" s="69">
        <v>240.86</v>
      </c>
      <c r="M394" s="69">
        <v>579.8</v>
      </c>
      <c r="N394" s="70">
        <v>16.0</v>
      </c>
      <c r="O394" s="72">
        <v>55069.0</v>
      </c>
      <c r="P394" s="73">
        <f t="shared" ref="P394:P395" si="283">L394/M394</f>
        <v>0.41541911</v>
      </c>
      <c r="Q394" s="75">
        <f t="shared" si="7"/>
        <v>2.407207506</v>
      </c>
      <c r="R394" s="73">
        <f t="shared" si="8"/>
        <v>0.646232724</v>
      </c>
      <c r="S394" s="76"/>
      <c r="T394" s="77"/>
      <c r="U394" s="2"/>
      <c r="V394" s="2"/>
      <c r="W394" s="2"/>
      <c r="X394" s="2"/>
      <c r="Y394" s="2"/>
      <c r="Z394" s="2"/>
    </row>
    <row r="395" collapsed="1">
      <c r="A395" s="78" t="s">
        <v>114</v>
      </c>
      <c r="B395" s="79"/>
      <c r="C395" s="80"/>
      <c r="D395" s="81">
        <f t="shared" ref="D395:F395" si="281">SUM(D388:D394)</f>
        <v>4317.75</v>
      </c>
      <c r="E395" s="82">
        <f t="shared" si="281"/>
        <v>160</v>
      </c>
      <c r="F395" s="82">
        <f t="shared" si="281"/>
        <v>141</v>
      </c>
      <c r="G395" s="83">
        <f t="shared" si="2"/>
        <v>1.134751773</v>
      </c>
      <c r="H395" s="81">
        <f>average(H388:H394)</f>
        <v>30.41828173</v>
      </c>
      <c r="I395" s="84">
        <f>H395/G395</f>
        <v>26.80611078</v>
      </c>
      <c r="J395" s="85">
        <f>SUM(J388:J394)</f>
        <v>2299</v>
      </c>
      <c r="K395" s="86">
        <f t="shared" si="5"/>
        <v>0.06959547629</v>
      </c>
      <c r="L395" s="81">
        <f t="shared" ref="L395:N395" si="282">SUM(L388:L394)</f>
        <v>1382.4</v>
      </c>
      <c r="M395" s="81">
        <f t="shared" si="282"/>
        <v>2757.17</v>
      </c>
      <c r="N395" s="87">
        <f t="shared" si="282"/>
        <v>90</v>
      </c>
      <c r="O395" s="85">
        <f>sum(O388:O394)</f>
        <v>300173</v>
      </c>
      <c r="P395" s="86">
        <f t="shared" si="283"/>
        <v>0.5013836651</v>
      </c>
      <c r="Q395" s="88">
        <f t="shared" si="7"/>
        <v>1.994480613</v>
      </c>
      <c r="R395" s="89">
        <f t="shared" si="8"/>
        <v>0.638566383</v>
      </c>
      <c r="S395" s="80" t="str">
        <f>iferror((D395-#REF!)/D395,)</f>
        <v/>
      </c>
      <c r="T395" s="90" t="str">
        <f>iferror((F395-#REF!)/F395,)</f>
        <v/>
      </c>
      <c r="U395" s="2"/>
      <c r="V395" s="2"/>
      <c r="W395" s="2"/>
      <c r="X395" s="2"/>
      <c r="Y395" s="2"/>
      <c r="Z395" s="2"/>
    </row>
    <row r="396" hidden="1" outlineLevel="1">
      <c r="A396" s="56" t="str">
        <f t="shared" ref="A396:A402" si="284">iferror(if(B396&gt;0,month(B396)&amp;"-"&amp;year(B396),B396),)</f>
        <v>11-2025</v>
      </c>
      <c r="B396" s="57">
        <v>45984.0</v>
      </c>
      <c r="C396" s="58"/>
      <c r="D396" s="59">
        <v>1337.35</v>
      </c>
      <c r="E396" s="60">
        <v>47.0</v>
      </c>
      <c r="F396" s="60">
        <v>45.0</v>
      </c>
      <c r="G396" s="61">
        <f t="shared" si="2"/>
        <v>1.044444444</v>
      </c>
      <c r="H396" s="59">
        <f t="shared" ref="H396:H402" si="285">D396/F396</f>
        <v>29.71888889</v>
      </c>
      <c r="I396" s="59">
        <f t="shared" ref="I396:I402" si="286">D396/E396</f>
        <v>28.45425532</v>
      </c>
      <c r="J396" s="62">
        <v>467.0</v>
      </c>
      <c r="K396" s="63">
        <f t="shared" si="5"/>
        <v>0.1006423983</v>
      </c>
      <c r="L396" s="59">
        <v>281.02</v>
      </c>
      <c r="M396" s="59">
        <v>1061.68</v>
      </c>
      <c r="N396" s="60">
        <v>35.0</v>
      </c>
      <c r="O396" s="62">
        <v>66906.0</v>
      </c>
      <c r="P396" s="63">
        <v>0.4734</v>
      </c>
      <c r="Q396" s="64">
        <f t="shared" si="7"/>
        <v>3.777951747</v>
      </c>
      <c r="R396" s="63">
        <f t="shared" si="8"/>
        <v>0.7938684712</v>
      </c>
      <c r="S396" s="65"/>
      <c r="T396" s="66"/>
      <c r="U396" s="2"/>
      <c r="V396" s="2"/>
      <c r="W396" s="2"/>
      <c r="X396" s="2"/>
      <c r="Y396" s="2"/>
      <c r="Z396" s="2"/>
    </row>
    <row r="397" hidden="1" outlineLevel="1">
      <c r="A397" s="67" t="str">
        <f t="shared" si="284"/>
        <v>11-2025</v>
      </c>
      <c r="B397" s="57">
        <v>45985.0</v>
      </c>
      <c r="C397" s="68"/>
      <c r="D397" s="69">
        <v>817.75</v>
      </c>
      <c r="E397" s="70">
        <v>29.0</v>
      </c>
      <c r="F397" s="70">
        <v>28.0</v>
      </c>
      <c r="G397" s="71">
        <f t="shared" si="2"/>
        <v>1.035714286</v>
      </c>
      <c r="H397" s="69">
        <f t="shared" si="285"/>
        <v>29.20535714</v>
      </c>
      <c r="I397" s="69">
        <f t="shared" si="286"/>
        <v>28.19827586</v>
      </c>
      <c r="J397" s="72">
        <v>327.0</v>
      </c>
      <c r="K397" s="73">
        <f t="shared" si="5"/>
        <v>0.08868501529</v>
      </c>
      <c r="L397" s="69">
        <v>188.81</v>
      </c>
      <c r="M397" s="74">
        <v>713.53</v>
      </c>
      <c r="N397" s="70">
        <v>24.0</v>
      </c>
      <c r="O397" s="72">
        <v>47190.0</v>
      </c>
      <c r="P397" s="73">
        <v>0.2985</v>
      </c>
      <c r="Q397" s="75">
        <f t="shared" si="7"/>
        <v>3.779090091</v>
      </c>
      <c r="R397" s="73">
        <f t="shared" si="8"/>
        <v>0.8725527362</v>
      </c>
      <c r="S397" s="76"/>
      <c r="T397" s="77"/>
      <c r="U397" s="2"/>
      <c r="V397" s="2"/>
      <c r="W397" s="2"/>
      <c r="X397" s="2"/>
      <c r="Y397" s="2"/>
      <c r="Z397" s="2"/>
    </row>
    <row r="398" hidden="1" outlineLevel="1">
      <c r="A398" s="67" t="str">
        <f t="shared" si="284"/>
        <v>11-2025</v>
      </c>
      <c r="B398" s="57">
        <v>45986.0</v>
      </c>
      <c r="C398" s="68"/>
      <c r="D398" s="69">
        <v>929.94</v>
      </c>
      <c r="E398" s="70">
        <v>32.0</v>
      </c>
      <c r="F398" s="70">
        <v>24.0</v>
      </c>
      <c r="G398" s="71">
        <f t="shared" si="2"/>
        <v>1.333333333</v>
      </c>
      <c r="H398" s="69">
        <f t="shared" si="285"/>
        <v>38.7475</v>
      </c>
      <c r="I398" s="69">
        <f t="shared" si="286"/>
        <v>29.060625</v>
      </c>
      <c r="J398" s="72">
        <v>340.0</v>
      </c>
      <c r="K398" s="73">
        <f t="shared" si="5"/>
        <v>0.09411764706</v>
      </c>
      <c r="L398" s="59">
        <v>192.86</v>
      </c>
      <c r="M398" s="59">
        <v>404.38</v>
      </c>
      <c r="N398" s="60">
        <v>12.0</v>
      </c>
      <c r="O398" s="72">
        <v>47187.0</v>
      </c>
      <c r="P398" s="73">
        <v>0.3486</v>
      </c>
      <c r="Q398" s="75">
        <f t="shared" si="7"/>
        <v>2.096754122</v>
      </c>
      <c r="R398" s="73">
        <f t="shared" si="8"/>
        <v>0.4348452588</v>
      </c>
      <c r="S398" s="76"/>
      <c r="T398" s="77"/>
      <c r="U398" s="2"/>
      <c r="V398" s="2"/>
      <c r="W398" s="2"/>
      <c r="X398" s="2"/>
      <c r="Y398" s="2"/>
      <c r="Z398" s="2"/>
    </row>
    <row r="399" hidden="1" outlineLevel="1">
      <c r="A399" s="67" t="str">
        <f t="shared" si="284"/>
        <v>11-2025</v>
      </c>
      <c r="B399" s="57">
        <v>45987.0</v>
      </c>
      <c r="C399" s="68"/>
      <c r="D399" s="69">
        <v>336.39</v>
      </c>
      <c r="E399" s="70">
        <v>12.0</v>
      </c>
      <c r="F399" s="70">
        <v>11.0</v>
      </c>
      <c r="G399" s="71">
        <f t="shared" si="2"/>
        <v>1.090909091</v>
      </c>
      <c r="H399" s="69">
        <f t="shared" si="285"/>
        <v>30.58090909</v>
      </c>
      <c r="I399" s="69">
        <f t="shared" si="286"/>
        <v>28.0325</v>
      </c>
      <c r="J399" s="72">
        <v>280.0</v>
      </c>
      <c r="K399" s="73">
        <f t="shared" si="5"/>
        <v>0.04285714286</v>
      </c>
      <c r="L399" s="69">
        <v>171.8</v>
      </c>
      <c r="M399" s="69">
        <v>255.42</v>
      </c>
      <c r="N399" s="70">
        <v>9.0</v>
      </c>
      <c r="O399" s="72">
        <v>39260.0</v>
      </c>
      <c r="P399" s="73">
        <v>0.3572</v>
      </c>
      <c r="Q399" s="75">
        <f t="shared" si="7"/>
        <v>1.486728754</v>
      </c>
      <c r="R399" s="73">
        <f t="shared" si="8"/>
        <v>0.7592972443</v>
      </c>
      <c r="S399" s="76"/>
      <c r="T399" s="77"/>
      <c r="U399" s="2"/>
      <c r="V399" s="2"/>
      <c r="W399" s="2"/>
      <c r="X399" s="2"/>
      <c r="Y399" s="2"/>
      <c r="Z399" s="2"/>
    </row>
    <row r="400" hidden="1" outlineLevel="1">
      <c r="A400" s="67" t="str">
        <f t="shared" si="284"/>
        <v>11-2025</v>
      </c>
      <c r="B400" s="57">
        <v>45988.0</v>
      </c>
      <c r="C400" s="68"/>
      <c r="D400" s="69">
        <v>375.13</v>
      </c>
      <c r="E400" s="70">
        <v>13.0</v>
      </c>
      <c r="F400" s="70">
        <v>13.0</v>
      </c>
      <c r="G400" s="71">
        <f t="shared" si="2"/>
        <v>1</v>
      </c>
      <c r="H400" s="69">
        <f t="shared" si="285"/>
        <v>28.85615385</v>
      </c>
      <c r="I400" s="69">
        <f t="shared" si="286"/>
        <v>28.85615385</v>
      </c>
      <c r="J400" s="72">
        <v>273.0</v>
      </c>
      <c r="K400" s="73">
        <f t="shared" si="5"/>
        <v>0.04761904762</v>
      </c>
      <c r="L400" s="69">
        <v>176.26</v>
      </c>
      <c r="M400" s="69">
        <v>224.18</v>
      </c>
      <c r="N400" s="70">
        <v>8.0</v>
      </c>
      <c r="O400" s="72">
        <v>36986.0</v>
      </c>
      <c r="P400" s="73">
        <v>0.3225</v>
      </c>
      <c r="Q400" s="75">
        <f t="shared" si="7"/>
        <v>1.2718711</v>
      </c>
      <c r="R400" s="73">
        <f t="shared" si="8"/>
        <v>0.5976061632</v>
      </c>
      <c r="S400" s="76"/>
      <c r="T400" s="77"/>
      <c r="U400" s="2"/>
      <c r="V400" s="2"/>
      <c r="W400" s="2"/>
      <c r="X400" s="2"/>
      <c r="Y400" s="2"/>
      <c r="Z400" s="2"/>
    </row>
    <row r="401" hidden="1" outlineLevel="1">
      <c r="A401" s="67" t="str">
        <f t="shared" si="284"/>
        <v>11-2025</v>
      </c>
      <c r="B401" s="57">
        <v>45989.0</v>
      </c>
      <c r="C401" s="68"/>
      <c r="D401" s="69">
        <v>1019.2</v>
      </c>
      <c r="E401" s="70">
        <v>36.0</v>
      </c>
      <c r="F401" s="70">
        <v>35.0</v>
      </c>
      <c r="G401" s="71">
        <f t="shared" si="2"/>
        <v>1.028571429</v>
      </c>
      <c r="H401" s="69">
        <f t="shared" si="285"/>
        <v>29.12</v>
      </c>
      <c r="I401" s="69">
        <f t="shared" si="286"/>
        <v>28.31111111</v>
      </c>
      <c r="J401" s="72">
        <v>465.0</v>
      </c>
      <c r="K401" s="73">
        <f t="shared" si="5"/>
        <v>0.07741935484</v>
      </c>
      <c r="L401" s="69">
        <v>313.99</v>
      </c>
      <c r="M401" s="69">
        <v>906.99</v>
      </c>
      <c r="N401" s="70">
        <v>32.0</v>
      </c>
      <c r="O401" s="72">
        <v>73354.0</v>
      </c>
      <c r="P401" s="73">
        <v>0.5913</v>
      </c>
      <c r="Q401" s="75">
        <f t="shared" si="7"/>
        <v>2.888595178</v>
      </c>
      <c r="R401" s="73">
        <f t="shared" si="8"/>
        <v>0.8899038462</v>
      </c>
      <c r="S401" s="76"/>
      <c r="T401" s="77"/>
      <c r="U401" s="2"/>
      <c r="V401" s="2"/>
      <c r="W401" s="2"/>
      <c r="X401" s="2"/>
      <c r="Y401" s="2"/>
      <c r="Z401" s="2"/>
    </row>
    <row r="402" hidden="1" outlineLevel="1">
      <c r="A402" s="67" t="str">
        <f t="shared" si="284"/>
        <v>11-2025</v>
      </c>
      <c r="B402" s="57">
        <v>45990.0</v>
      </c>
      <c r="C402" s="68"/>
      <c r="D402" s="69">
        <v>523.14</v>
      </c>
      <c r="E402" s="70">
        <v>21.0</v>
      </c>
      <c r="F402" s="70">
        <v>18.0</v>
      </c>
      <c r="G402" s="71">
        <f t="shared" si="2"/>
        <v>1.166666667</v>
      </c>
      <c r="H402" s="69">
        <f t="shared" si="285"/>
        <v>29.06333333</v>
      </c>
      <c r="I402" s="69">
        <f t="shared" si="286"/>
        <v>24.91142857</v>
      </c>
      <c r="J402" s="72">
        <v>470.0</v>
      </c>
      <c r="K402" s="73">
        <f t="shared" si="5"/>
        <v>0.04468085106</v>
      </c>
      <c r="L402" s="69">
        <v>342.95</v>
      </c>
      <c r="M402" s="69">
        <v>536.87</v>
      </c>
      <c r="N402" s="70">
        <v>19.0</v>
      </c>
      <c r="O402" s="72">
        <v>75059.0</v>
      </c>
      <c r="P402" s="73">
        <f t="shared" ref="P402:P403" si="289">L402/M402</f>
        <v>0.6387952391</v>
      </c>
      <c r="Q402" s="75">
        <f t="shared" si="7"/>
        <v>1.565446858</v>
      </c>
      <c r="R402" s="73">
        <f t="shared" si="8"/>
        <v>1.026245365</v>
      </c>
      <c r="S402" s="76"/>
      <c r="T402" s="77"/>
      <c r="U402" s="2"/>
      <c r="V402" s="2"/>
      <c r="W402" s="2"/>
      <c r="X402" s="2"/>
      <c r="Y402" s="2"/>
      <c r="Z402" s="2"/>
    </row>
    <row r="403" collapsed="1">
      <c r="A403" s="78" t="s">
        <v>115</v>
      </c>
      <c r="B403" s="79"/>
      <c r="C403" s="80"/>
      <c r="D403" s="81">
        <f t="shared" ref="D403:F403" si="287">SUM(D396:D402)</f>
        <v>5338.9</v>
      </c>
      <c r="E403" s="82">
        <f t="shared" si="287"/>
        <v>190</v>
      </c>
      <c r="F403" s="82">
        <f t="shared" si="287"/>
        <v>174</v>
      </c>
      <c r="G403" s="83">
        <f t="shared" si="2"/>
        <v>1.091954023</v>
      </c>
      <c r="H403" s="81">
        <f>average(H396:H402)</f>
        <v>30.75602033</v>
      </c>
      <c r="I403" s="84">
        <f>H403/G403</f>
        <v>28.16603967</v>
      </c>
      <c r="J403" s="85">
        <f>SUM(J396:J402)</f>
        <v>2622</v>
      </c>
      <c r="K403" s="86">
        <f t="shared" si="5"/>
        <v>0.07246376812</v>
      </c>
      <c r="L403" s="81">
        <f t="shared" ref="L403:N403" si="288">SUM(L396:L402)</f>
        <v>1667.69</v>
      </c>
      <c r="M403" s="81">
        <f t="shared" si="288"/>
        <v>4103.05</v>
      </c>
      <c r="N403" s="87">
        <f t="shared" si="288"/>
        <v>139</v>
      </c>
      <c r="O403" s="85">
        <f>sum(O396:O402)</f>
        <v>385942</v>
      </c>
      <c r="P403" s="86">
        <f t="shared" si="289"/>
        <v>0.4064512984</v>
      </c>
      <c r="Q403" s="88">
        <f t="shared" si="7"/>
        <v>2.460319364</v>
      </c>
      <c r="R403" s="89">
        <f t="shared" si="8"/>
        <v>0.7685197325</v>
      </c>
      <c r="S403" s="80" t="str">
        <f>iferror((D403-#REF!)/D403,)</f>
        <v/>
      </c>
      <c r="T403" s="90" t="str">
        <f>iferror((F403-#REF!)/F403,)</f>
        <v/>
      </c>
      <c r="U403" s="2"/>
      <c r="V403" s="2"/>
      <c r="W403" s="2"/>
      <c r="X403" s="2"/>
      <c r="Y403" s="2"/>
      <c r="Z403" s="2"/>
    </row>
    <row r="404" hidden="1" outlineLevel="1">
      <c r="A404" s="56" t="str">
        <f t="shared" ref="A404:A410" si="290">iferror(if(B404&gt;0,month(B404)&amp;"-"&amp;year(B404),B404),)</f>
        <v>11-2025</v>
      </c>
      <c r="B404" s="57">
        <v>45991.0</v>
      </c>
      <c r="C404" s="58"/>
      <c r="D404" s="59">
        <v>909.94</v>
      </c>
      <c r="E404" s="60">
        <v>32.0</v>
      </c>
      <c r="F404" s="60">
        <v>32.0</v>
      </c>
      <c r="G404" s="61">
        <f t="shared" si="2"/>
        <v>1</v>
      </c>
      <c r="H404" s="59">
        <f t="shared" ref="H404:H410" si="291">D404/F404</f>
        <v>28.435625</v>
      </c>
      <c r="I404" s="59">
        <f t="shared" ref="I404:I410" si="292">D404/E404</f>
        <v>28.435625</v>
      </c>
      <c r="J404" s="62">
        <v>512.0</v>
      </c>
      <c r="K404" s="63">
        <f t="shared" si="5"/>
        <v>0.0625</v>
      </c>
      <c r="L404" s="59">
        <v>344.63</v>
      </c>
      <c r="M404" s="59">
        <v>643.28</v>
      </c>
      <c r="N404" s="60">
        <v>23.0</v>
      </c>
      <c r="O404" s="62">
        <v>75207.0</v>
      </c>
      <c r="P404" s="63">
        <v>0.4734</v>
      </c>
      <c r="Q404" s="64">
        <f t="shared" si="7"/>
        <v>1.866581551</v>
      </c>
      <c r="R404" s="63">
        <f t="shared" si="8"/>
        <v>0.7069477108</v>
      </c>
      <c r="S404" s="65"/>
      <c r="T404" s="66"/>
      <c r="U404" s="2"/>
      <c r="V404" s="2"/>
      <c r="W404" s="2"/>
      <c r="X404" s="2"/>
      <c r="Y404" s="2"/>
      <c r="Z404" s="2"/>
    </row>
    <row r="405" hidden="1" outlineLevel="1">
      <c r="A405" s="67" t="str">
        <f t="shared" si="290"/>
        <v>12-2025</v>
      </c>
      <c r="B405" s="57">
        <v>45992.0</v>
      </c>
      <c r="C405" s="68"/>
      <c r="D405" s="69">
        <v>983.22</v>
      </c>
      <c r="E405" s="70">
        <v>36.0</v>
      </c>
      <c r="F405" s="70">
        <v>34.0</v>
      </c>
      <c r="G405" s="71">
        <f t="shared" si="2"/>
        <v>1.058823529</v>
      </c>
      <c r="H405" s="69">
        <f t="shared" si="291"/>
        <v>28.91823529</v>
      </c>
      <c r="I405" s="69">
        <f t="shared" si="292"/>
        <v>27.31166667</v>
      </c>
      <c r="J405" s="72">
        <v>432.0</v>
      </c>
      <c r="K405" s="73">
        <f t="shared" si="5"/>
        <v>0.08333333333</v>
      </c>
      <c r="L405" s="69">
        <v>293.49</v>
      </c>
      <c r="M405" s="74">
        <v>897.75</v>
      </c>
      <c r="N405" s="70">
        <v>28.0</v>
      </c>
      <c r="O405" s="72">
        <v>67401.0</v>
      </c>
      <c r="P405" s="73">
        <v>0.2985</v>
      </c>
      <c r="Q405" s="75">
        <f t="shared" si="7"/>
        <v>3.058877645</v>
      </c>
      <c r="R405" s="73">
        <f t="shared" si="8"/>
        <v>0.913071337</v>
      </c>
      <c r="S405" s="76"/>
      <c r="T405" s="77"/>
      <c r="U405" s="2"/>
      <c r="V405" s="2"/>
      <c r="W405" s="2"/>
      <c r="X405" s="2"/>
      <c r="Y405" s="2"/>
      <c r="Z405" s="2"/>
    </row>
    <row r="406" hidden="1" outlineLevel="1">
      <c r="A406" s="67" t="str">
        <f t="shared" si="290"/>
        <v>12-2025</v>
      </c>
      <c r="B406" s="57">
        <v>45993.0</v>
      </c>
      <c r="C406" s="68"/>
      <c r="D406" s="69">
        <v>692.04</v>
      </c>
      <c r="E406" s="70">
        <v>26.0</v>
      </c>
      <c r="F406" s="70">
        <v>24.0</v>
      </c>
      <c r="G406" s="71">
        <f t="shared" si="2"/>
        <v>1.083333333</v>
      </c>
      <c r="H406" s="69">
        <f t="shared" si="291"/>
        <v>28.835</v>
      </c>
      <c r="I406" s="69">
        <f t="shared" si="292"/>
        <v>26.61692308</v>
      </c>
      <c r="J406" s="72">
        <v>391.0</v>
      </c>
      <c r="K406" s="73">
        <f t="shared" si="5"/>
        <v>0.06649616368</v>
      </c>
      <c r="L406" s="59">
        <v>275.27</v>
      </c>
      <c r="M406" s="59">
        <v>599.31</v>
      </c>
      <c r="N406" s="60">
        <v>18.0</v>
      </c>
      <c r="O406" s="72">
        <v>57047.0</v>
      </c>
      <c r="P406" s="73">
        <v>0.3486</v>
      </c>
      <c r="Q406" s="75">
        <f t="shared" si="7"/>
        <v>2.177171504</v>
      </c>
      <c r="R406" s="73">
        <f t="shared" si="8"/>
        <v>0.8660048552</v>
      </c>
      <c r="S406" s="76"/>
      <c r="T406" s="77"/>
      <c r="U406" s="2"/>
      <c r="V406" s="2"/>
      <c r="W406" s="2"/>
      <c r="X406" s="2"/>
      <c r="Y406" s="2"/>
      <c r="Z406" s="2"/>
    </row>
    <row r="407" hidden="1" outlineLevel="1">
      <c r="A407" s="67" t="str">
        <f t="shared" si="290"/>
        <v>12-2025</v>
      </c>
      <c r="B407" s="57">
        <v>45994.0</v>
      </c>
      <c r="C407" s="68"/>
      <c r="D407" s="69">
        <v>1022.19</v>
      </c>
      <c r="E407" s="70">
        <v>38.0</v>
      </c>
      <c r="F407" s="70">
        <v>27.0</v>
      </c>
      <c r="G407" s="71">
        <f t="shared" si="2"/>
        <v>1.407407407</v>
      </c>
      <c r="H407" s="69">
        <f t="shared" si="291"/>
        <v>37.85888889</v>
      </c>
      <c r="I407" s="69">
        <f t="shared" si="292"/>
        <v>26.89973684</v>
      </c>
      <c r="J407" s="72">
        <v>291.0</v>
      </c>
      <c r="K407" s="73">
        <f t="shared" si="5"/>
        <v>0.1305841924</v>
      </c>
      <c r="L407" s="69">
        <v>185.98</v>
      </c>
      <c r="M407" s="69">
        <v>612.81</v>
      </c>
      <c r="N407" s="70">
        <v>19.0</v>
      </c>
      <c r="O407" s="72">
        <v>34184.0</v>
      </c>
      <c r="P407" s="73">
        <v>0.3572</v>
      </c>
      <c r="Q407" s="75">
        <f t="shared" si="7"/>
        <v>3.295031724</v>
      </c>
      <c r="R407" s="73">
        <f t="shared" si="8"/>
        <v>0.599506941</v>
      </c>
      <c r="S407" s="76"/>
      <c r="T407" s="77"/>
      <c r="U407" s="2"/>
      <c r="V407" s="2"/>
      <c r="W407" s="2"/>
      <c r="X407" s="2"/>
      <c r="Y407" s="2"/>
      <c r="Z407" s="2"/>
    </row>
    <row r="408" hidden="1" outlineLevel="1">
      <c r="A408" s="67" t="str">
        <f t="shared" si="290"/>
        <v>12-2025</v>
      </c>
      <c r="B408" s="57">
        <v>45995.0</v>
      </c>
      <c r="C408" s="68"/>
      <c r="D408" s="69">
        <v>489.1</v>
      </c>
      <c r="E408" s="70">
        <v>18.0</v>
      </c>
      <c r="F408" s="70">
        <v>16.0</v>
      </c>
      <c r="G408" s="71">
        <f t="shared" si="2"/>
        <v>1.125</v>
      </c>
      <c r="H408" s="69">
        <f t="shared" si="291"/>
        <v>30.56875</v>
      </c>
      <c r="I408" s="69">
        <f t="shared" si="292"/>
        <v>27.17222222</v>
      </c>
      <c r="J408" s="72">
        <v>264.0</v>
      </c>
      <c r="K408" s="73">
        <f t="shared" si="5"/>
        <v>0.06818181818</v>
      </c>
      <c r="L408" s="69">
        <v>150.99</v>
      </c>
      <c r="M408" s="69">
        <v>245.68</v>
      </c>
      <c r="N408" s="70">
        <v>8.0</v>
      </c>
      <c r="O408" s="72">
        <v>34924.0</v>
      </c>
      <c r="P408" s="73">
        <v>0.3225</v>
      </c>
      <c r="Q408" s="75">
        <f t="shared" si="7"/>
        <v>1.627127624</v>
      </c>
      <c r="R408" s="73">
        <f t="shared" si="8"/>
        <v>0.502310366</v>
      </c>
      <c r="S408" s="76"/>
      <c r="T408" s="77"/>
      <c r="U408" s="2"/>
      <c r="V408" s="2"/>
      <c r="W408" s="2"/>
      <c r="X408" s="2"/>
      <c r="Y408" s="2"/>
      <c r="Z408" s="2"/>
    </row>
    <row r="409" hidden="1" outlineLevel="1">
      <c r="A409" s="67" t="str">
        <f t="shared" si="290"/>
        <v>12-2025</v>
      </c>
      <c r="B409" s="57">
        <v>45996.0</v>
      </c>
      <c r="C409" s="68"/>
      <c r="D409" s="69">
        <v>595.56</v>
      </c>
      <c r="E409" s="70">
        <v>21.0</v>
      </c>
      <c r="F409" s="70">
        <v>21.0</v>
      </c>
      <c r="G409" s="71">
        <f t="shared" si="2"/>
        <v>1</v>
      </c>
      <c r="H409" s="69">
        <f t="shared" si="291"/>
        <v>28.36</v>
      </c>
      <c r="I409" s="69">
        <f t="shared" si="292"/>
        <v>28.36</v>
      </c>
      <c r="J409" s="72">
        <v>306.0</v>
      </c>
      <c r="K409" s="73">
        <f t="shared" si="5"/>
        <v>0.06862745098</v>
      </c>
      <c r="L409" s="69">
        <v>199.18</v>
      </c>
      <c r="M409" s="69">
        <v>433.11</v>
      </c>
      <c r="N409" s="70">
        <v>15.0</v>
      </c>
      <c r="O409" s="72">
        <v>33084.0</v>
      </c>
      <c r="P409" s="73">
        <v>0.5913</v>
      </c>
      <c r="Q409" s="75">
        <f t="shared" si="7"/>
        <v>2.174465308</v>
      </c>
      <c r="R409" s="73">
        <f t="shared" si="8"/>
        <v>0.7272315132</v>
      </c>
      <c r="S409" s="76"/>
      <c r="T409" s="77"/>
      <c r="U409" s="2"/>
      <c r="V409" s="2"/>
      <c r="W409" s="2"/>
      <c r="X409" s="2"/>
      <c r="Y409" s="2"/>
      <c r="Z409" s="2"/>
    </row>
    <row r="410" hidden="1" outlineLevel="1">
      <c r="A410" s="67" t="str">
        <f t="shared" si="290"/>
        <v>12-2025</v>
      </c>
      <c r="B410" s="57">
        <v>45997.0</v>
      </c>
      <c r="C410" s="68"/>
      <c r="D410" s="69">
        <v>1053.66</v>
      </c>
      <c r="E410" s="70">
        <v>38.0</v>
      </c>
      <c r="F410" s="70">
        <v>31.0</v>
      </c>
      <c r="G410" s="71">
        <f t="shared" si="2"/>
        <v>1.225806452</v>
      </c>
      <c r="H410" s="69">
        <f t="shared" si="291"/>
        <v>33.98903226</v>
      </c>
      <c r="I410" s="69">
        <f t="shared" si="292"/>
        <v>27.72789474</v>
      </c>
      <c r="J410" s="72">
        <v>323.0</v>
      </c>
      <c r="K410" s="73">
        <f t="shared" si="5"/>
        <v>0.1176470588</v>
      </c>
      <c r="L410" s="69">
        <v>199.48</v>
      </c>
      <c r="M410" s="69">
        <v>583.81</v>
      </c>
      <c r="N410" s="70">
        <v>20.0</v>
      </c>
      <c r="O410" s="72">
        <v>45189.0</v>
      </c>
      <c r="P410" s="73">
        <f t="shared" ref="P410:P411" si="295">L410/M410</f>
        <v>0.3416865076</v>
      </c>
      <c r="Q410" s="75">
        <f t="shared" si="7"/>
        <v>2.926659314</v>
      </c>
      <c r="R410" s="73">
        <f t="shared" si="8"/>
        <v>0.5540781656</v>
      </c>
      <c r="S410" s="76"/>
      <c r="T410" s="77"/>
      <c r="U410" s="2"/>
      <c r="V410" s="2"/>
      <c r="W410" s="2"/>
      <c r="X410" s="2"/>
      <c r="Y410" s="2"/>
      <c r="Z410" s="2"/>
    </row>
    <row r="411" collapsed="1">
      <c r="A411" s="78" t="s">
        <v>116</v>
      </c>
      <c r="B411" s="79"/>
      <c r="C411" s="80"/>
      <c r="D411" s="81">
        <f t="shared" ref="D411:F411" si="293">SUM(D404:D410)</f>
        <v>5745.71</v>
      </c>
      <c r="E411" s="82">
        <f t="shared" si="293"/>
        <v>209</v>
      </c>
      <c r="F411" s="82">
        <f t="shared" si="293"/>
        <v>185</v>
      </c>
      <c r="G411" s="83">
        <f t="shared" si="2"/>
        <v>1.12972973</v>
      </c>
      <c r="H411" s="81">
        <f>average(H404:H410)</f>
        <v>30.99507592</v>
      </c>
      <c r="I411" s="84">
        <f>H411/G411</f>
        <v>27.43583275</v>
      </c>
      <c r="J411" s="85">
        <f>SUM(J404:J410)</f>
        <v>2519</v>
      </c>
      <c r="K411" s="86">
        <f t="shared" si="5"/>
        <v>0.08296943231</v>
      </c>
      <c r="L411" s="81">
        <f t="shared" ref="L411:N411" si="294">SUM(L404:L410)</f>
        <v>1649.02</v>
      </c>
      <c r="M411" s="81">
        <f t="shared" si="294"/>
        <v>4015.75</v>
      </c>
      <c r="N411" s="87">
        <f t="shared" si="294"/>
        <v>131</v>
      </c>
      <c r="O411" s="85">
        <f>sum(O404:O410)</f>
        <v>347036</v>
      </c>
      <c r="P411" s="86">
        <f t="shared" si="295"/>
        <v>0.4106381124</v>
      </c>
      <c r="Q411" s="88">
        <f t="shared" si="7"/>
        <v>2.43523426</v>
      </c>
      <c r="R411" s="89">
        <f t="shared" si="8"/>
        <v>0.698912754</v>
      </c>
      <c r="S411" s="80" t="str">
        <f>iferror((D411-#REF!)/D411,)</f>
        <v/>
      </c>
      <c r="T411" s="90" t="str">
        <f>iferror((F411-#REF!)/F411,)</f>
        <v/>
      </c>
      <c r="U411" s="2"/>
      <c r="V411" s="2"/>
      <c r="W411" s="2"/>
      <c r="X411" s="2"/>
      <c r="Y411" s="2"/>
      <c r="Z411" s="2"/>
    </row>
    <row r="412" hidden="1" outlineLevel="1">
      <c r="A412" s="56" t="str">
        <f t="shared" ref="A412:A418" si="296">iferror(if(B412&gt;0,month(B412)&amp;"-"&amp;year(B412),B412),)</f>
        <v>12-2025</v>
      </c>
      <c r="B412" s="57">
        <v>45998.0</v>
      </c>
      <c r="C412" s="58"/>
      <c r="D412" s="59">
        <v>1023.92</v>
      </c>
      <c r="E412" s="60">
        <v>37.0</v>
      </c>
      <c r="F412" s="60">
        <v>30.0</v>
      </c>
      <c r="G412" s="61">
        <f t="shared" si="2"/>
        <v>1.233333333</v>
      </c>
      <c r="H412" s="59">
        <f t="shared" ref="H412:H418" si="297">D412/F412</f>
        <v>34.13066667</v>
      </c>
      <c r="I412" s="59">
        <f t="shared" ref="I412:I418" si="298">D412/E412</f>
        <v>27.67351351</v>
      </c>
      <c r="J412" s="62">
        <v>459.0</v>
      </c>
      <c r="K412" s="63">
        <f t="shared" si="5"/>
        <v>0.08061002179</v>
      </c>
      <c r="L412" s="59">
        <v>302.94</v>
      </c>
      <c r="M412" s="59">
        <v>599.07</v>
      </c>
      <c r="N412" s="60">
        <v>20.0</v>
      </c>
      <c r="O412" s="62">
        <v>59609.0</v>
      </c>
      <c r="P412" s="63">
        <v>0.4734</v>
      </c>
      <c r="Q412" s="64">
        <f t="shared" si="7"/>
        <v>1.977520301</v>
      </c>
      <c r="R412" s="63">
        <f t="shared" si="8"/>
        <v>0.5850750059</v>
      </c>
      <c r="S412" s="65"/>
      <c r="T412" s="66"/>
      <c r="U412" s="2"/>
      <c r="V412" s="2"/>
      <c r="W412" s="2"/>
      <c r="X412" s="2"/>
      <c r="Y412" s="2"/>
      <c r="Z412" s="2"/>
    </row>
    <row r="413" hidden="1" outlineLevel="1">
      <c r="A413" s="67" t="str">
        <f t="shared" si="296"/>
        <v>12-2025</v>
      </c>
      <c r="B413" s="57">
        <v>45999.0</v>
      </c>
      <c r="C413" s="68"/>
      <c r="D413" s="69">
        <v>849.48</v>
      </c>
      <c r="E413" s="70">
        <v>29.0</v>
      </c>
      <c r="F413" s="70">
        <v>29.0</v>
      </c>
      <c r="G413" s="71">
        <f t="shared" si="2"/>
        <v>1</v>
      </c>
      <c r="H413" s="69">
        <f t="shared" si="297"/>
        <v>29.29241379</v>
      </c>
      <c r="I413" s="69">
        <f t="shared" si="298"/>
        <v>29.29241379</v>
      </c>
      <c r="J413" s="72">
        <v>349.0</v>
      </c>
      <c r="K413" s="73">
        <f t="shared" si="5"/>
        <v>0.08309455587</v>
      </c>
      <c r="L413" s="69">
        <v>205.24</v>
      </c>
      <c r="M413" s="74">
        <v>509.09</v>
      </c>
      <c r="N413" s="70">
        <v>17.0</v>
      </c>
      <c r="O413" s="72">
        <v>48093.0</v>
      </c>
      <c r="P413" s="73">
        <v>0.2985</v>
      </c>
      <c r="Q413" s="75">
        <f t="shared" si="7"/>
        <v>2.480461898</v>
      </c>
      <c r="R413" s="73">
        <f t="shared" si="8"/>
        <v>0.5992960399</v>
      </c>
      <c r="S413" s="76"/>
      <c r="T413" s="77"/>
      <c r="U413" s="2"/>
      <c r="V413" s="2"/>
      <c r="W413" s="2"/>
      <c r="X413" s="2"/>
      <c r="Y413" s="2"/>
      <c r="Z413" s="2"/>
    </row>
    <row r="414" hidden="1" outlineLevel="1">
      <c r="A414" s="67" t="str">
        <f t="shared" si="296"/>
        <v>12-2025</v>
      </c>
      <c r="B414" s="57">
        <v>46000.0</v>
      </c>
      <c r="C414" s="68"/>
      <c r="D414" s="69">
        <v>756.27</v>
      </c>
      <c r="E414" s="70">
        <v>27.0</v>
      </c>
      <c r="F414" s="70">
        <v>23.0</v>
      </c>
      <c r="G414" s="71">
        <f t="shared" si="2"/>
        <v>1.173913043</v>
      </c>
      <c r="H414" s="69">
        <f t="shared" si="297"/>
        <v>32.88130435</v>
      </c>
      <c r="I414" s="69">
        <f t="shared" si="298"/>
        <v>28.01</v>
      </c>
      <c r="J414" s="72">
        <v>278.0</v>
      </c>
      <c r="K414" s="73">
        <f t="shared" si="5"/>
        <v>0.09712230216</v>
      </c>
      <c r="L414" s="59">
        <v>169.45</v>
      </c>
      <c r="M414" s="59">
        <v>716.01</v>
      </c>
      <c r="N414" s="60">
        <v>17.0</v>
      </c>
      <c r="O414" s="72">
        <v>42438.0</v>
      </c>
      <c r="P414" s="73">
        <v>0.3486</v>
      </c>
      <c r="Q414" s="75">
        <f t="shared" si="7"/>
        <v>4.225494246</v>
      </c>
      <c r="R414" s="73">
        <f t="shared" si="8"/>
        <v>0.9467650442</v>
      </c>
      <c r="S414" s="76"/>
      <c r="T414" s="77"/>
      <c r="U414" s="2"/>
      <c r="V414" s="2"/>
      <c r="W414" s="2"/>
      <c r="X414" s="2"/>
      <c r="Y414" s="2"/>
      <c r="Z414" s="2"/>
    </row>
    <row r="415" hidden="1" outlineLevel="1">
      <c r="A415" s="67" t="str">
        <f t="shared" si="296"/>
        <v>12-2025</v>
      </c>
      <c r="B415" s="57">
        <v>46001.0</v>
      </c>
      <c r="C415" s="68"/>
      <c r="D415" s="69">
        <v>700.03</v>
      </c>
      <c r="E415" s="70">
        <v>25.0</v>
      </c>
      <c r="F415" s="70">
        <v>20.0</v>
      </c>
      <c r="G415" s="71">
        <f t="shared" si="2"/>
        <v>1.25</v>
      </c>
      <c r="H415" s="69">
        <f t="shared" si="297"/>
        <v>35.0015</v>
      </c>
      <c r="I415" s="69">
        <f t="shared" si="298"/>
        <v>28.0012</v>
      </c>
      <c r="J415" s="72">
        <v>244.0</v>
      </c>
      <c r="K415" s="73">
        <f t="shared" si="5"/>
        <v>0.1024590164</v>
      </c>
      <c r="L415" s="69">
        <v>138.81</v>
      </c>
      <c r="M415" s="69">
        <v>502.59</v>
      </c>
      <c r="N415" s="70">
        <v>13.0</v>
      </c>
      <c r="O415" s="72">
        <v>33508.0</v>
      </c>
      <c r="P415" s="73">
        <v>0.3572</v>
      </c>
      <c r="Q415" s="75">
        <f t="shared" si="7"/>
        <v>3.62070456</v>
      </c>
      <c r="R415" s="73">
        <f t="shared" si="8"/>
        <v>0.7179549448</v>
      </c>
      <c r="S415" s="76"/>
      <c r="T415" s="77"/>
      <c r="U415" s="2"/>
      <c r="V415" s="2"/>
      <c r="W415" s="2"/>
      <c r="X415" s="2"/>
      <c r="Y415" s="2"/>
      <c r="Z415" s="2"/>
    </row>
    <row r="416" hidden="1" outlineLevel="1">
      <c r="A416" s="67" t="str">
        <f t="shared" si="296"/>
        <v>12-2025</v>
      </c>
      <c r="B416" s="57">
        <v>46002.0</v>
      </c>
      <c r="C416" s="68"/>
      <c r="D416" s="69">
        <v>957.68</v>
      </c>
      <c r="E416" s="70">
        <v>35.0</v>
      </c>
      <c r="F416" s="70">
        <v>24.0</v>
      </c>
      <c r="G416" s="71">
        <f t="shared" si="2"/>
        <v>1.458333333</v>
      </c>
      <c r="H416" s="69">
        <f t="shared" si="297"/>
        <v>39.90333333</v>
      </c>
      <c r="I416" s="69">
        <f t="shared" si="298"/>
        <v>27.36228571</v>
      </c>
      <c r="J416" s="72">
        <v>293.0</v>
      </c>
      <c r="K416" s="73">
        <f t="shared" si="5"/>
        <v>0.1194539249</v>
      </c>
      <c r="L416" s="69">
        <v>172.87</v>
      </c>
      <c r="M416" s="69">
        <v>518.35</v>
      </c>
      <c r="N416" s="70">
        <v>17.0</v>
      </c>
      <c r="O416" s="72">
        <v>37514.0</v>
      </c>
      <c r="P416" s="73">
        <v>0.3225</v>
      </c>
      <c r="Q416" s="75">
        <f t="shared" si="7"/>
        <v>2.99849598</v>
      </c>
      <c r="R416" s="73">
        <f t="shared" si="8"/>
        <v>0.5412559519</v>
      </c>
      <c r="S416" s="76"/>
      <c r="T416" s="77"/>
      <c r="U416" s="2"/>
      <c r="V416" s="2"/>
      <c r="W416" s="2"/>
      <c r="X416" s="2"/>
      <c r="Y416" s="2"/>
      <c r="Z416" s="2"/>
    </row>
    <row r="417" hidden="1" outlineLevel="1">
      <c r="A417" s="67" t="str">
        <f t="shared" si="296"/>
        <v>12-2025</v>
      </c>
      <c r="B417" s="57">
        <v>46003.0</v>
      </c>
      <c r="C417" s="68"/>
      <c r="D417" s="69">
        <v>636.04</v>
      </c>
      <c r="E417" s="70">
        <v>22.0</v>
      </c>
      <c r="F417" s="70">
        <v>18.0</v>
      </c>
      <c r="G417" s="71">
        <f t="shared" si="2"/>
        <v>1.222222222</v>
      </c>
      <c r="H417" s="69">
        <f t="shared" si="297"/>
        <v>35.33555556</v>
      </c>
      <c r="I417" s="69">
        <f t="shared" si="298"/>
        <v>28.91090909</v>
      </c>
      <c r="J417" s="72">
        <v>301.0</v>
      </c>
      <c r="K417" s="73">
        <f t="shared" si="5"/>
        <v>0.073089701</v>
      </c>
      <c r="L417" s="69">
        <v>166.18</v>
      </c>
      <c r="M417" s="69">
        <v>400.12</v>
      </c>
      <c r="N417" s="70">
        <v>10.0</v>
      </c>
      <c r="O417" s="72">
        <v>36485.0</v>
      </c>
      <c r="P417" s="73">
        <v>0.5913</v>
      </c>
      <c r="Q417" s="75">
        <f t="shared" si="7"/>
        <v>2.407750632</v>
      </c>
      <c r="R417" s="73">
        <f t="shared" si="8"/>
        <v>0.6290799321</v>
      </c>
      <c r="S417" s="76"/>
      <c r="T417" s="77"/>
      <c r="U417" s="2"/>
      <c r="V417" s="2"/>
      <c r="W417" s="2"/>
      <c r="X417" s="2"/>
      <c r="Y417" s="2"/>
      <c r="Z417" s="2"/>
    </row>
    <row r="418" hidden="1" outlineLevel="1">
      <c r="A418" s="67" t="str">
        <f t="shared" si="296"/>
        <v>12-2025</v>
      </c>
      <c r="B418" s="57">
        <v>46004.0</v>
      </c>
      <c r="C418" s="68"/>
      <c r="D418" s="69">
        <v>916.47</v>
      </c>
      <c r="E418" s="70">
        <v>33.0</v>
      </c>
      <c r="F418" s="70">
        <v>30.0</v>
      </c>
      <c r="G418" s="71">
        <f t="shared" si="2"/>
        <v>1.1</v>
      </c>
      <c r="H418" s="69">
        <f t="shared" si="297"/>
        <v>30.549</v>
      </c>
      <c r="I418" s="69">
        <f t="shared" si="298"/>
        <v>27.77181818</v>
      </c>
      <c r="J418" s="72">
        <v>344.0</v>
      </c>
      <c r="K418" s="73">
        <f t="shared" si="5"/>
        <v>0.09593023256</v>
      </c>
      <c r="L418" s="69">
        <v>238.22</v>
      </c>
      <c r="M418" s="69">
        <v>786.75</v>
      </c>
      <c r="N418" s="70">
        <v>25.0</v>
      </c>
      <c r="O418" s="72">
        <v>42407.0</v>
      </c>
      <c r="P418" s="73">
        <f t="shared" ref="P418:P419" si="301">L418/M418</f>
        <v>0.3027899587</v>
      </c>
      <c r="Q418" s="75">
        <f t="shared" si="7"/>
        <v>3.302619427</v>
      </c>
      <c r="R418" s="73">
        <f t="shared" si="8"/>
        <v>0.8584569053</v>
      </c>
      <c r="S418" s="76"/>
      <c r="T418" s="77"/>
      <c r="U418" s="2"/>
      <c r="V418" s="2"/>
      <c r="W418" s="2"/>
      <c r="X418" s="2"/>
      <c r="Y418" s="2"/>
      <c r="Z418" s="2"/>
    </row>
    <row r="419" collapsed="1">
      <c r="A419" s="78" t="s">
        <v>117</v>
      </c>
      <c r="B419" s="79"/>
      <c r="C419" s="80"/>
      <c r="D419" s="81">
        <f t="shared" ref="D419:F419" si="299">SUM(D412:D418)</f>
        <v>5839.89</v>
      </c>
      <c r="E419" s="82">
        <f t="shared" si="299"/>
        <v>208</v>
      </c>
      <c r="F419" s="82">
        <f t="shared" si="299"/>
        <v>174</v>
      </c>
      <c r="G419" s="83">
        <f t="shared" si="2"/>
        <v>1.195402299</v>
      </c>
      <c r="H419" s="81">
        <f>average(H412:H418)</f>
        <v>33.8705391</v>
      </c>
      <c r="I419" s="84">
        <f>H419/G419</f>
        <v>28.33400867</v>
      </c>
      <c r="J419" s="85">
        <f>SUM(J412:J418)</f>
        <v>2268</v>
      </c>
      <c r="K419" s="86">
        <f t="shared" si="5"/>
        <v>0.09171075838</v>
      </c>
      <c r="L419" s="81">
        <f t="shared" ref="L419:N419" si="300">SUM(L412:L418)</f>
        <v>1393.71</v>
      </c>
      <c r="M419" s="81">
        <f t="shared" si="300"/>
        <v>4031.98</v>
      </c>
      <c r="N419" s="87">
        <f t="shared" si="300"/>
        <v>119</v>
      </c>
      <c r="O419" s="85">
        <f>sum(O412:O418)</f>
        <v>300054</v>
      </c>
      <c r="P419" s="86">
        <f t="shared" si="301"/>
        <v>0.345663917</v>
      </c>
      <c r="Q419" s="88">
        <f t="shared" si="7"/>
        <v>2.892983476</v>
      </c>
      <c r="R419" s="89">
        <f t="shared" si="8"/>
        <v>0.6904205387</v>
      </c>
      <c r="S419" s="80" t="str">
        <f>iferror((D419-#REF!)/D419,)</f>
        <v/>
      </c>
      <c r="T419" s="90" t="str">
        <f>iferror((F419-#REF!)/F419,)</f>
        <v/>
      </c>
      <c r="U419" s="2"/>
      <c r="V419" s="2"/>
      <c r="W419" s="2"/>
      <c r="X419" s="2"/>
      <c r="Y419" s="2"/>
      <c r="Z419" s="2"/>
    </row>
    <row r="420" hidden="1" outlineLevel="1">
      <c r="A420" s="56" t="str">
        <f t="shared" ref="A420:A426" si="302">iferror(if(B420&gt;0,month(B420)&amp;"-"&amp;year(B420),B420),)</f>
        <v>12-2025</v>
      </c>
      <c r="B420" s="57">
        <v>46005.0</v>
      </c>
      <c r="C420" s="58"/>
      <c r="D420" s="59">
        <v>1034.42</v>
      </c>
      <c r="E420" s="60">
        <v>36.0</v>
      </c>
      <c r="F420" s="60">
        <v>34.0</v>
      </c>
      <c r="G420" s="61">
        <f t="shared" si="2"/>
        <v>1.058823529</v>
      </c>
      <c r="H420" s="59">
        <f t="shared" ref="H420:H426" si="303">D420/F420</f>
        <v>30.42411765</v>
      </c>
      <c r="I420" s="59">
        <f t="shared" ref="I420:I426" si="304">D420/E420</f>
        <v>28.73388889</v>
      </c>
      <c r="J420" s="62">
        <v>429.0</v>
      </c>
      <c r="K420" s="63">
        <f t="shared" si="5"/>
        <v>0.08391608392</v>
      </c>
      <c r="L420" s="59">
        <v>292.49</v>
      </c>
      <c r="M420" s="59">
        <v>934.72</v>
      </c>
      <c r="N420" s="60">
        <v>30.0</v>
      </c>
      <c r="O420" s="62">
        <v>64675.0</v>
      </c>
      <c r="P420" s="63">
        <v>0.4734</v>
      </c>
      <c r="Q420" s="64">
        <f t="shared" si="7"/>
        <v>3.195733187</v>
      </c>
      <c r="R420" s="63">
        <f t="shared" si="8"/>
        <v>0.9036174861</v>
      </c>
      <c r="S420" s="65"/>
      <c r="T420" s="66"/>
      <c r="U420" s="2"/>
      <c r="V420" s="2"/>
      <c r="W420" s="2"/>
      <c r="X420" s="2"/>
      <c r="Y420" s="2"/>
      <c r="Z420" s="2"/>
    </row>
    <row r="421" hidden="1" outlineLevel="1">
      <c r="A421" s="67" t="str">
        <f t="shared" si="302"/>
        <v>12-2025</v>
      </c>
      <c r="B421" s="57">
        <v>46006.0</v>
      </c>
      <c r="C421" s="68"/>
      <c r="D421" s="69">
        <v>1076.18</v>
      </c>
      <c r="E421" s="70">
        <v>37.0</v>
      </c>
      <c r="F421" s="70">
        <v>35.0</v>
      </c>
      <c r="G421" s="71">
        <f t="shared" si="2"/>
        <v>1.057142857</v>
      </c>
      <c r="H421" s="69">
        <f t="shared" si="303"/>
        <v>30.748</v>
      </c>
      <c r="I421" s="69">
        <f t="shared" si="304"/>
        <v>29.08594595</v>
      </c>
      <c r="J421" s="72">
        <v>376.0</v>
      </c>
      <c r="K421" s="73">
        <f t="shared" si="5"/>
        <v>0.09840425532</v>
      </c>
      <c r="L421" s="69">
        <v>260.09</v>
      </c>
      <c r="M421" s="74">
        <v>933.47</v>
      </c>
      <c r="N421" s="70">
        <v>29.0</v>
      </c>
      <c r="O421" s="72">
        <v>52278.0</v>
      </c>
      <c r="P421" s="73">
        <v>0.2985</v>
      </c>
      <c r="Q421" s="75">
        <f t="shared" si="7"/>
        <v>3.589026875</v>
      </c>
      <c r="R421" s="73">
        <f t="shared" si="8"/>
        <v>0.867392072</v>
      </c>
      <c r="S421" s="76"/>
      <c r="T421" s="77"/>
      <c r="U421" s="2"/>
      <c r="V421" s="2"/>
      <c r="W421" s="2"/>
      <c r="X421" s="2"/>
      <c r="Y421" s="2"/>
      <c r="Z421" s="2"/>
    </row>
    <row r="422" hidden="1" outlineLevel="1">
      <c r="A422" s="67" t="str">
        <f t="shared" si="302"/>
        <v>12-2025</v>
      </c>
      <c r="B422" s="57">
        <v>46007.0</v>
      </c>
      <c r="C422" s="68"/>
      <c r="D422" s="69">
        <v>1213.14</v>
      </c>
      <c r="E422" s="70">
        <v>42.0</v>
      </c>
      <c r="F422" s="70">
        <v>39.0</v>
      </c>
      <c r="G422" s="71">
        <f t="shared" si="2"/>
        <v>1.076923077</v>
      </c>
      <c r="H422" s="69">
        <f t="shared" si="303"/>
        <v>31.10615385</v>
      </c>
      <c r="I422" s="69">
        <f t="shared" si="304"/>
        <v>28.88428571</v>
      </c>
      <c r="J422" s="72">
        <v>368.0</v>
      </c>
      <c r="K422" s="73">
        <f t="shared" si="5"/>
        <v>0.1141304348</v>
      </c>
      <c r="L422" s="59">
        <v>269.82</v>
      </c>
      <c r="M422" s="59">
        <v>842.49</v>
      </c>
      <c r="N422" s="60">
        <v>26.0</v>
      </c>
      <c r="O422" s="72">
        <v>58984.0</v>
      </c>
      <c r="P422" s="73">
        <v>0.3486</v>
      </c>
      <c r="Q422" s="75">
        <f t="shared" si="7"/>
        <v>3.122414943</v>
      </c>
      <c r="R422" s="73">
        <f t="shared" si="8"/>
        <v>0.6944705475</v>
      </c>
      <c r="S422" s="76"/>
      <c r="T422" s="77"/>
      <c r="U422" s="2"/>
      <c r="V422" s="2"/>
      <c r="W422" s="2"/>
      <c r="X422" s="2"/>
      <c r="Y422" s="2"/>
      <c r="Z422" s="2"/>
    </row>
    <row r="423" hidden="1" outlineLevel="1">
      <c r="A423" s="67" t="str">
        <f t="shared" si="302"/>
        <v>12-2025</v>
      </c>
      <c r="B423" s="57">
        <v>46008.0</v>
      </c>
      <c r="C423" s="68"/>
      <c r="D423" s="69">
        <v>661.82</v>
      </c>
      <c r="E423" s="70">
        <v>25.0</v>
      </c>
      <c r="F423" s="70">
        <v>18.0</v>
      </c>
      <c r="G423" s="71">
        <f t="shared" si="2"/>
        <v>1.388888889</v>
      </c>
      <c r="H423" s="69">
        <f t="shared" si="303"/>
        <v>36.76777778</v>
      </c>
      <c r="I423" s="69">
        <f t="shared" si="304"/>
        <v>26.4728</v>
      </c>
      <c r="J423" s="72">
        <v>351.0</v>
      </c>
      <c r="K423" s="73">
        <f t="shared" si="5"/>
        <v>0.07122507123</v>
      </c>
      <c r="L423" s="69">
        <v>254.91</v>
      </c>
      <c r="M423" s="69">
        <v>508.61</v>
      </c>
      <c r="N423" s="70">
        <v>13.0</v>
      </c>
      <c r="O423" s="72">
        <v>54850.0</v>
      </c>
      <c r="P423" s="73">
        <v>0.3572</v>
      </c>
      <c r="Q423" s="75">
        <f t="shared" si="7"/>
        <v>1.995253227</v>
      </c>
      <c r="R423" s="73">
        <f t="shared" si="8"/>
        <v>0.7685020096</v>
      </c>
      <c r="S423" s="76"/>
      <c r="T423" s="77"/>
      <c r="U423" s="2"/>
      <c r="V423" s="2"/>
      <c r="W423" s="2"/>
      <c r="X423" s="2"/>
      <c r="Y423" s="2"/>
      <c r="Z423" s="2"/>
    </row>
    <row r="424" hidden="1" outlineLevel="1">
      <c r="A424" s="67" t="str">
        <f t="shared" si="302"/>
        <v>12-2025</v>
      </c>
      <c r="B424" s="57">
        <v>46009.0</v>
      </c>
      <c r="C424" s="68"/>
      <c r="D424" s="69">
        <v>868.01</v>
      </c>
      <c r="E424" s="70">
        <v>30.0</v>
      </c>
      <c r="F424" s="70">
        <v>27.0</v>
      </c>
      <c r="G424" s="71">
        <f t="shared" si="2"/>
        <v>1.111111111</v>
      </c>
      <c r="H424" s="69">
        <f t="shared" si="303"/>
        <v>32.14851852</v>
      </c>
      <c r="I424" s="69">
        <f t="shared" si="304"/>
        <v>28.93366667</v>
      </c>
      <c r="J424" s="72">
        <v>327.0</v>
      </c>
      <c r="K424" s="73">
        <f t="shared" si="5"/>
        <v>0.09174311927</v>
      </c>
      <c r="L424" s="69">
        <v>252.96</v>
      </c>
      <c r="M424" s="69">
        <v>735.04</v>
      </c>
      <c r="N424" s="70">
        <v>19.0</v>
      </c>
      <c r="O424" s="72">
        <v>43410.0</v>
      </c>
      <c r="P424" s="73">
        <v>0.3225</v>
      </c>
      <c r="Q424" s="75">
        <f t="shared" si="7"/>
        <v>2.905755851</v>
      </c>
      <c r="R424" s="73">
        <f t="shared" si="8"/>
        <v>0.8468105206</v>
      </c>
      <c r="S424" s="76"/>
      <c r="T424" s="77"/>
      <c r="U424" s="2"/>
      <c r="V424" s="2"/>
      <c r="W424" s="2"/>
      <c r="X424" s="2"/>
      <c r="Y424" s="2"/>
      <c r="Z424" s="2"/>
    </row>
    <row r="425" hidden="1" outlineLevel="1">
      <c r="A425" s="67" t="str">
        <f t="shared" si="302"/>
        <v>12-2025</v>
      </c>
      <c r="B425" s="57">
        <v>46010.0</v>
      </c>
      <c r="C425" s="68"/>
      <c r="D425" s="69">
        <v>811.03</v>
      </c>
      <c r="E425" s="70">
        <v>29.0</v>
      </c>
      <c r="F425" s="70">
        <v>24.0</v>
      </c>
      <c r="G425" s="71">
        <f t="shared" si="2"/>
        <v>1.208333333</v>
      </c>
      <c r="H425" s="69">
        <f t="shared" si="303"/>
        <v>33.79291667</v>
      </c>
      <c r="I425" s="69">
        <f t="shared" si="304"/>
        <v>27.96655172</v>
      </c>
      <c r="J425" s="72">
        <v>288.0</v>
      </c>
      <c r="K425" s="73">
        <f t="shared" si="5"/>
        <v>0.1006944444</v>
      </c>
      <c r="L425" s="69">
        <v>220.16</v>
      </c>
      <c r="M425" s="69">
        <v>503.13</v>
      </c>
      <c r="N425" s="70">
        <v>17.0</v>
      </c>
      <c r="O425" s="72">
        <v>44180.0</v>
      </c>
      <c r="P425" s="73">
        <v>0.5913</v>
      </c>
      <c r="Q425" s="75">
        <f t="shared" si="7"/>
        <v>2.285292515</v>
      </c>
      <c r="R425" s="73">
        <f t="shared" si="8"/>
        <v>0.6203592962</v>
      </c>
      <c r="S425" s="76"/>
      <c r="T425" s="77"/>
      <c r="U425" s="2"/>
      <c r="V425" s="2"/>
      <c r="W425" s="2"/>
      <c r="X425" s="2"/>
      <c r="Y425" s="2"/>
      <c r="Z425" s="2"/>
    </row>
    <row r="426" hidden="1" outlineLevel="1">
      <c r="A426" s="67" t="str">
        <f t="shared" si="302"/>
        <v>12-2025</v>
      </c>
      <c r="B426" s="57">
        <v>46011.0</v>
      </c>
      <c r="C426" s="68"/>
      <c r="D426" s="69">
        <v>452.66</v>
      </c>
      <c r="E426" s="70">
        <v>18.0</v>
      </c>
      <c r="F426" s="70">
        <v>15.0</v>
      </c>
      <c r="G426" s="71">
        <f t="shared" si="2"/>
        <v>1.2</v>
      </c>
      <c r="H426" s="69">
        <f t="shared" si="303"/>
        <v>30.17733333</v>
      </c>
      <c r="I426" s="69">
        <f t="shared" si="304"/>
        <v>25.14777778</v>
      </c>
      <c r="J426" s="72">
        <v>338.0</v>
      </c>
      <c r="K426" s="73">
        <f t="shared" si="5"/>
        <v>0.05325443787</v>
      </c>
      <c r="L426" s="69">
        <v>248.79</v>
      </c>
      <c r="M426" s="69">
        <v>385.17</v>
      </c>
      <c r="N426" s="70">
        <v>12.0</v>
      </c>
      <c r="O426" s="72">
        <v>52215.0</v>
      </c>
      <c r="P426" s="73">
        <f t="shared" ref="P426:P427" si="307">L426/M426</f>
        <v>0.6459225796</v>
      </c>
      <c r="Q426" s="75">
        <f t="shared" si="7"/>
        <v>1.548173158</v>
      </c>
      <c r="R426" s="73">
        <f t="shared" si="8"/>
        <v>0.8509035479</v>
      </c>
      <c r="S426" s="76"/>
      <c r="T426" s="77"/>
      <c r="U426" s="2"/>
      <c r="V426" s="2"/>
      <c r="W426" s="2"/>
      <c r="X426" s="2"/>
      <c r="Y426" s="2"/>
      <c r="Z426" s="2"/>
    </row>
    <row r="427" collapsed="1">
      <c r="A427" s="78" t="s">
        <v>118</v>
      </c>
      <c r="B427" s="79"/>
      <c r="C427" s="80"/>
      <c r="D427" s="81">
        <f t="shared" ref="D427:F427" si="305">SUM(D420:D426)</f>
        <v>6117.26</v>
      </c>
      <c r="E427" s="82">
        <f t="shared" si="305"/>
        <v>217</v>
      </c>
      <c r="F427" s="82">
        <f t="shared" si="305"/>
        <v>192</v>
      </c>
      <c r="G427" s="83">
        <f t="shared" si="2"/>
        <v>1.130208333</v>
      </c>
      <c r="H427" s="81">
        <f>average(H420:H426)</f>
        <v>32.16640254</v>
      </c>
      <c r="I427" s="84">
        <f>H427/G427</f>
        <v>28.4605958</v>
      </c>
      <c r="J427" s="85">
        <f>SUM(J420:J426)</f>
        <v>2477</v>
      </c>
      <c r="K427" s="86">
        <f t="shared" si="5"/>
        <v>0.08760597497</v>
      </c>
      <c r="L427" s="81">
        <f t="shared" ref="L427:N427" si="306">SUM(L420:L426)</f>
        <v>1799.22</v>
      </c>
      <c r="M427" s="81">
        <f t="shared" si="306"/>
        <v>4842.63</v>
      </c>
      <c r="N427" s="87">
        <f t="shared" si="306"/>
        <v>146</v>
      </c>
      <c r="O427" s="85">
        <f>sum(O420:O426)</f>
        <v>370592</v>
      </c>
      <c r="P427" s="86">
        <f t="shared" si="307"/>
        <v>0.3715377801</v>
      </c>
      <c r="Q427" s="88">
        <f t="shared" si="7"/>
        <v>2.691516324</v>
      </c>
      <c r="R427" s="89">
        <f t="shared" si="8"/>
        <v>0.7916338361</v>
      </c>
      <c r="S427" s="80" t="str">
        <f>iferror((D427-#REF!)/D427,)</f>
        <v/>
      </c>
      <c r="T427" s="90" t="str">
        <f>iferror((F427-#REF!)/F427,)</f>
        <v/>
      </c>
      <c r="U427" s="2"/>
      <c r="V427" s="2"/>
      <c r="W427" s="2"/>
      <c r="X427" s="2"/>
      <c r="Y427" s="2"/>
      <c r="Z427" s="2"/>
    </row>
    <row r="428" hidden="1" outlineLevel="1">
      <c r="A428" s="56" t="str">
        <f t="shared" ref="A428:A434" si="308">iferror(if(B428&gt;0,month(B428)&amp;"-"&amp;year(B428),B428),)</f>
        <v>12-2025</v>
      </c>
      <c r="B428" s="57">
        <v>46012.0</v>
      </c>
      <c r="C428" s="58"/>
      <c r="D428" s="59">
        <v>502.61</v>
      </c>
      <c r="E428" s="60">
        <v>19.0</v>
      </c>
      <c r="F428" s="60">
        <v>18.0</v>
      </c>
      <c r="G428" s="61">
        <f t="shared" si="2"/>
        <v>1.055555556</v>
      </c>
      <c r="H428" s="59">
        <f t="shared" ref="H428:H434" si="309">D428/F428</f>
        <v>27.92277778</v>
      </c>
      <c r="I428" s="59">
        <f t="shared" ref="I428:I434" si="310">D428/E428</f>
        <v>26.45315789</v>
      </c>
      <c r="J428" s="62">
        <v>419.0</v>
      </c>
      <c r="K428" s="63">
        <f t="shared" si="5"/>
        <v>0.04534606205</v>
      </c>
      <c r="L428" s="59">
        <v>338.35</v>
      </c>
      <c r="M428" s="59">
        <v>496.61</v>
      </c>
      <c r="N428" s="60">
        <v>18.0</v>
      </c>
      <c r="O428" s="62">
        <v>56554.0</v>
      </c>
      <c r="P428" s="63">
        <v>0.4734</v>
      </c>
      <c r="Q428" s="64">
        <f t="shared" si="7"/>
        <v>1.467740505</v>
      </c>
      <c r="R428" s="63">
        <f t="shared" si="8"/>
        <v>0.9880623147</v>
      </c>
      <c r="S428" s="65"/>
      <c r="T428" s="66"/>
      <c r="U428" s="2"/>
      <c r="V428" s="2"/>
      <c r="W428" s="2"/>
      <c r="X428" s="2"/>
      <c r="Y428" s="2"/>
      <c r="Z428" s="2"/>
    </row>
    <row r="429" hidden="1" outlineLevel="1">
      <c r="A429" s="67" t="str">
        <f t="shared" si="308"/>
        <v>12-2025</v>
      </c>
      <c r="B429" s="57">
        <v>46013.0</v>
      </c>
      <c r="C429" s="68"/>
      <c r="D429" s="69">
        <v>446.38</v>
      </c>
      <c r="E429" s="70">
        <v>17.0</v>
      </c>
      <c r="F429" s="70">
        <v>15.0</v>
      </c>
      <c r="G429" s="71">
        <f t="shared" si="2"/>
        <v>1.133333333</v>
      </c>
      <c r="H429" s="69">
        <f t="shared" si="309"/>
        <v>29.75866667</v>
      </c>
      <c r="I429" s="69">
        <f t="shared" si="310"/>
        <v>26.25764706</v>
      </c>
      <c r="J429" s="72">
        <v>251.0</v>
      </c>
      <c r="K429" s="73">
        <f t="shared" si="5"/>
        <v>0.06772908367</v>
      </c>
      <c r="L429" s="69">
        <v>161.75</v>
      </c>
      <c r="M429" s="74">
        <v>374.65</v>
      </c>
      <c r="N429" s="70">
        <v>12.0</v>
      </c>
      <c r="O429" s="72">
        <v>39326.0</v>
      </c>
      <c r="P429" s="73">
        <v>0.2985</v>
      </c>
      <c r="Q429" s="75">
        <f t="shared" si="7"/>
        <v>2.316228748</v>
      </c>
      <c r="R429" s="73">
        <f t="shared" si="8"/>
        <v>0.8393073166</v>
      </c>
      <c r="S429" s="76"/>
      <c r="T429" s="77"/>
      <c r="U429" s="2"/>
      <c r="V429" s="2"/>
      <c r="W429" s="2"/>
      <c r="X429" s="2"/>
      <c r="Y429" s="2"/>
      <c r="Z429" s="2"/>
    </row>
    <row r="430" hidden="1" outlineLevel="1">
      <c r="A430" s="67" t="str">
        <f t="shared" si="308"/>
        <v>12-2025</v>
      </c>
      <c r="B430" s="57">
        <v>46014.0</v>
      </c>
      <c r="C430" s="68"/>
      <c r="D430" s="69">
        <v>350.63</v>
      </c>
      <c r="E430" s="70">
        <v>14.0</v>
      </c>
      <c r="F430" s="70">
        <v>11.0</v>
      </c>
      <c r="G430" s="71">
        <f t="shared" si="2"/>
        <v>1.272727273</v>
      </c>
      <c r="H430" s="69">
        <f t="shared" si="309"/>
        <v>31.87545455</v>
      </c>
      <c r="I430" s="69">
        <f t="shared" si="310"/>
        <v>25.045</v>
      </c>
      <c r="J430" s="72">
        <v>142.0</v>
      </c>
      <c r="K430" s="73">
        <f t="shared" si="5"/>
        <v>0.0985915493</v>
      </c>
      <c r="L430" s="59">
        <v>79.35</v>
      </c>
      <c r="M430" s="59">
        <v>214.18</v>
      </c>
      <c r="N430" s="60">
        <v>8.0</v>
      </c>
      <c r="O430" s="72">
        <v>21312.0</v>
      </c>
      <c r="P430" s="73">
        <v>0.3486</v>
      </c>
      <c r="Q430" s="75">
        <f t="shared" si="7"/>
        <v>2.699180844</v>
      </c>
      <c r="R430" s="73">
        <f t="shared" si="8"/>
        <v>0.6108433391</v>
      </c>
      <c r="S430" s="76"/>
      <c r="T430" s="77"/>
      <c r="U430" s="2"/>
      <c r="V430" s="2"/>
      <c r="W430" s="2"/>
      <c r="X430" s="2"/>
      <c r="Y430" s="2"/>
      <c r="Z430" s="2"/>
    </row>
    <row r="431" hidden="1" outlineLevel="1">
      <c r="A431" s="67" t="str">
        <f t="shared" si="308"/>
        <v>12-2025</v>
      </c>
      <c r="B431" s="57">
        <v>46015.0</v>
      </c>
      <c r="C431" s="68"/>
      <c r="D431" s="69">
        <v>156.2</v>
      </c>
      <c r="E431" s="70">
        <v>6.0</v>
      </c>
      <c r="F431" s="70">
        <v>5.0</v>
      </c>
      <c r="G431" s="71">
        <f t="shared" si="2"/>
        <v>1.2</v>
      </c>
      <c r="H431" s="69">
        <f t="shared" si="309"/>
        <v>31.24</v>
      </c>
      <c r="I431" s="69">
        <f t="shared" si="310"/>
        <v>26.03333333</v>
      </c>
      <c r="J431" s="72">
        <v>92.0</v>
      </c>
      <c r="K431" s="73">
        <f t="shared" si="5"/>
        <v>0.0652173913</v>
      </c>
      <c r="L431" s="69">
        <v>55.44</v>
      </c>
      <c r="M431" s="69">
        <v>102.22</v>
      </c>
      <c r="N431" s="70">
        <v>3.0</v>
      </c>
      <c r="O431" s="72">
        <v>12860.0</v>
      </c>
      <c r="P431" s="73">
        <v>0.3572</v>
      </c>
      <c r="Q431" s="75">
        <f t="shared" si="7"/>
        <v>1.843795094</v>
      </c>
      <c r="R431" s="73">
        <f t="shared" si="8"/>
        <v>0.6544174136</v>
      </c>
      <c r="S431" s="76"/>
      <c r="T431" s="77"/>
      <c r="U431" s="2"/>
      <c r="V431" s="2"/>
      <c r="W431" s="2"/>
      <c r="X431" s="2"/>
      <c r="Y431" s="2"/>
      <c r="Z431" s="2"/>
    </row>
    <row r="432" hidden="1" outlineLevel="1">
      <c r="A432" s="67" t="str">
        <f t="shared" si="308"/>
        <v>12-2025</v>
      </c>
      <c r="B432" s="57">
        <v>46016.0</v>
      </c>
      <c r="C432" s="68"/>
      <c r="D432" s="69">
        <v>121.72</v>
      </c>
      <c r="E432" s="70">
        <v>5.0</v>
      </c>
      <c r="F432" s="70">
        <v>5.0</v>
      </c>
      <c r="G432" s="71">
        <f t="shared" si="2"/>
        <v>1</v>
      </c>
      <c r="H432" s="69">
        <f t="shared" si="309"/>
        <v>24.344</v>
      </c>
      <c r="I432" s="69">
        <f t="shared" si="310"/>
        <v>24.344</v>
      </c>
      <c r="J432" s="72">
        <v>131.0</v>
      </c>
      <c r="K432" s="73">
        <f t="shared" si="5"/>
        <v>0.03816793893</v>
      </c>
      <c r="L432" s="69">
        <v>72.14</v>
      </c>
      <c r="M432" s="69">
        <v>123.47</v>
      </c>
      <c r="N432" s="70">
        <v>5.0</v>
      </c>
      <c r="O432" s="72">
        <v>19593.0</v>
      </c>
      <c r="P432" s="73">
        <v>0.3225</v>
      </c>
      <c r="Q432" s="75">
        <f t="shared" si="7"/>
        <v>1.71153313</v>
      </c>
      <c r="R432" s="73">
        <f t="shared" si="8"/>
        <v>1.014377259</v>
      </c>
      <c r="S432" s="76"/>
      <c r="T432" s="77"/>
      <c r="U432" s="2"/>
      <c r="V432" s="2"/>
      <c r="W432" s="2"/>
      <c r="X432" s="2"/>
      <c r="Y432" s="2"/>
      <c r="Z432" s="2"/>
    </row>
    <row r="433" hidden="1" outlineLevel="1">
      <c r="A433" s="67" t="str">
        <f t="shared" si="308"/>
        <v>12-2025</v>
      </c>
      <c r="B433" s="57">
        <v>46017.0</v>
      </c>
      <c r="C433" s="68"/>
      <c r="D433" s="69">
        <v>395.64</v>
      </c>
      <c r="E433" s="70">
        <v>16.0</v>
      </c>
      <c r="F433" s="70">
        <v>14.0</v>
      </c>
      <c r="G433" s="71">
        <f t="shared" si="2"/>
        <v>1.142857143</v>
      </c>
      <c r="H433" s="69">
        <f t="shared" si="309"/>
        <v>28.26</v>
      </c>
      <c r="I433" s="69">
        <f t="shared" si="310"/>
        <v>24.7275</v>
      </c>
      <c r="J433" s="72">
        <v>204.0</v>
      </c>
      <c r="K433" s="73">
        <f t="shared" si="5"/>
        <v>0.07843137255</v>
      </c>
      <c r="L433" s="69">
        <v>111.76</v>
      </c>
      <c r="M433" s="69">
        <v>302.91</v>
      </c>
      <c r="N433" s="70">
        <v>10.0</v>
      </c>
      <c r="O433" s="72">
        <v>30562.0</v>
      </c>
      <c r="P433" s="73">
        <v>0.5913</v>
      </c>
      <c r="Q433" s="75">
        <f t="shared" si="7"/>
        <v>2.710361489</v>
      </c>
      <c r="R433" s="73">
        <f t="shared" si="8"/>
        <v>0.7656202608</v>
      </c>
      <c r="S433" s="76"/>
      <c r="T433" s="77"/>
      <c r="U433" s="2"/>
      <c r="V433" s="2"/>
      <c r="W433" s="2"/>
      <c r="X433" s="2"/>
      <c r="Y433" s="2"/>
      <c r="Z433" s="2"/>
    </row>
    <row r="434" hidden="1" outlineLevel="1">
      <c r="A434" s="67" t="str">
        <f t="shared" si="308"/>
        <v>12-2025</v>
      </c>
      <c r="B434" s="57">
        <v>46018.0</v>
      </c>
      <c r="C434" s="68"/>
      <c r="D434" s="69">
        <v>511.09</v>
      </c>
      <c r="E434" s="70">
        <v>21.0</v>
      </c>
      <c r="F434" s="70">
        <v>17.0</v>
      </c>
      <c r="G434" s="71">
        <f t="shared" si="2"/>
        <v>1.235294118</v>
      </c>
      <c r="H434" s="69">
        <f t="shared" si="309"/>
        <v>30.06411765</v>
      </c>
      <c r="I434" s="69">
        <f t="shared" si="310"/>
        <v>24.33761905</v>
      </c>
      <c r="J434" s="72">
        <v>306.0</v>
      </c>
      <c r="K434" s="73">
        <f t="shared" si="5"/>
        <v>0.06862745098</v>
      </c>
      <c r="L434" s="69">
        <v>169.11</v>
      </c>
      <c r="M434" s="69">
        <v>528.08</v>
      </c>
      <c r="N434" s="70">
        <v>16.0</v>
      </c>
      <c r="O434" s="72">
        <v>40535.0</v>
      </c>
      <c r="P434" s="73">
        <f t="shared" ref="P434:P435" si="313">L434/M434</f>
        <v>0.3202355704</v>
      </c>
      <c r="Q434" s="75">
        <f t="shared" si="7"/>
        <v>3.1227012</v>
      </c>
      <c r="R434" s="73">
        <f t="shared" si="8"/>
        <v>1.033242677</v>
      </c>
      <c r="S434" s="76"/>
      <c r="T434" s="77"/>
      <c r="U434" s="2"/>
      <c r="V434" s="2"/>
      <c r="W434" s="2"/>
      <c r="X434" s="2"/>
      <c r="Y434" s="2"/>
      <c r="Z434" s="2"/>
    </row>
    <row r="435" collapsed="1">
      <c r="A435" s="78" t="s">
        <v>44</v>
      </c>
      <c r="B435" s="79"/>
      <c r="C435" s="80"/>
      <c r="D435" s="81">
        <f t="shared" ref="D435:F435" si="311">SUM(D428:D434)</f>
        <v>2484.27</v>
      </c>
      <c r="E435" s="82">
        <f t="shared" si="311"/>
        <v>98</v>
      </c>
      <c r="F435" s="82">
        <f t="shared" si="311"/>
        <v>85</v>
      </c>
      <c r="G435" s="83">
        <f t="shared" si="2"/>
        <v>1.152941176</v>
      </c>
      <c r="H435" s="81">
        <f>average(H428:H434)</f>
        <v>29.06643095</v>
      </c>
      <c r="I435" s="84">
        <f>H435/G435</f>
        <v>25.2106799</v>
      </c>
      <c r="J435" s="85">
        <f>SUM(J428:J434)</f>
        <v>1545</v>
      </c>
      <c r="K435" s="86">
        <f t="shared" si="5"/>
        <v>0.06343042071</v>
      </c>
      <c r="L435" s="81">
        <f t="shared" ref="L435:N435" si="312">SUM(L428:L434)</f>
        <v>987.9</v>
      </c>
      <c r="M435" s="81">
        <f t="shared" si="312"/>
        <v>2142.12</v>
      </c>
      <c r="N435" s="87">
        <f t="shared" si="312"/>
        <v>72</v>
      </c>
      <c r="O435" s="85">
        <f>sum(O428:O434)</f>
        <v>220742</v>
      </c>
      <c r="P435" s="86">
        <f t="shared" si="313"/>
        <v>0.4611786455</v>
      </c>
      <c r="Q435" s="88">
        <f t="shared" si="7"/>
        <v>2.168357121</v>
      </c>
      <c r="R435" s="89">
        <f t="shared" si="8"/>
        <v>0.8622734244</v>
      </c>
      <c r="S435" s="80" t="str">
        <f>iferror((D435-#REF!)/D435,)</f>
        <v/>
      </c>
      <c r="T435" s="90" t="str">
        <f>iferror((F435-#REF!)/F435,)</f>
        <v/>
      </c>
      <c r="U435" s="2"/>
      <c r="V435" s="2"/>
      <c r="W435" s="2"/>
      <c r="X435" s="2"/>
      <c r="Y435" s="2"/>
      <c r="Z435" s="2"/>
    </row>
    <row r="436" hidden="1" outlineLevel="1">
      <c r="A436" s="56" t="str">
        <f t="shared" ref="A436:A442" si="314">iferror(if(B436&gt;0,month(B436)&amp;"-"&amp;year(B436),B436),)</f>
        <v>12-2025</v>
      </c>
      <c r="B436" s="57">
        <v>46019.0</v>
      </c>
      <c r="C436" s="58"/>
      <c r="D436" s="59">
        <v>692.55</v>
      </c>
      <c r="E436" s="60">
        <v>28.0</v>
      </c>
      <c r="F436" s="60">
        <v>24.0</v>
      </c>
      <c r="G436" s="61">
        <f t="shared" si="2"/>
        <v>1.166666667</v>
      </c>
      <c r="H436" s="59">
        <f t="shared" ref="H436:H442" si="315">D436/F436</f>
        <v>28.85625</v>
      </c>
      <c r="I436" s="59">
        <f t="shared" ref="I436:I442" si="316">D436/E436</f>
        <v>24.73392857</v>
      </c>
      <c r="J436" s="62">
        <v>333.0</v>
      </c>
      <c r="K436" s="63">
        <f t="shared" si="5"/>
        <v>0.08408408408</v>
      </c>
      <c r="L436" s="59">
        <v>178.84</v>
      </c>
      <c r="M436" s="59">
        <v>518.84</v>
      </c>
      <c r="N436" s="60">
        <v>18.0</v>
      </c>
      <c r="O436" s="62">
        <v>46566.0</v>
      </c>
      <c r="P436" s="63">
        <v>0.4734</v>
      </c>
      <c r="Q436" s="64">
        <f t="shared" si="7"/>
        <v>2.901140684</v>
      </c>
      <c r="R436" s="63">
        <f t="shared" si="8"/>
        <v>0.7491733449</v>
      </c>
      <c r="S436" s="65"/>
      <c r="T436" s="66"/>
      <c r="U436" s="2"/>
      <c r="V436" s="2"/>
      <c r="W436" s="2"/>
      <c r="X436" s="2"/>
      <c r="Y436" s="2"/>
      <c r="Z436" s="2"/>
    </row>
    <row r="437" hidden="1" outlineLevel="1">
      <c r="A437" s="67" t="str">
        <f t="shared" si="314"/>
        <v>12-2025</v>
      </c>
      <c r="B437" s="57">
        <v>46020.0</v>
      </c>
      <c r="C437" s="68"/>
      <c r="D437" s="69">
        <v>535.37</v>
      </c>
      <c r="E437" s="70">
        <v>22.0</v>
      </c>
      <c r="F437" s="70">
        <v>19.0</v>
      </c>
      <c r="G437" s="71">
        <f t="shared" si="2"/>
        <v>1.157894737</v>
      </c>
      <c r="H437" s="69">
        <f t="shared" si="315"/>
        <v>28.17736842</v>
      </c>
      <c r="I437" s="69">
        <f t="shared" si="316"/>
        <v>24.335</v>
      </c>
      <c r="J437" s="72">
        <v>237.0</v>
      </c>
      <c r="K437" s="73">
        <f t="shared" si="5"/>
        <v>0.09282700422</v>
      </c>
      <c r="L437" s="69">
        <v>148.79</v>
      </c>
      <c r="M437" s="74">
        <v>398.42</v>
      </c>
      <c r="N437" s="70">
        <v>16.0</v>
      </c>
      <c r="O437" s="72">
        <v>43596.0</v>
      </c>
      <c r="P437" s="73">
        <v>0.2985</v>
      </c>
      <c r="Q437" s="75">
        <f t="shared" si="7"/>
        <v>2.677733719</v>
      </c>
      <c r="R437" s="73">
        <f t="shared" si="8"/>
        <v>0.744195603</v>
      </c>
      <c r="S437" s="76"/>
      <c r="T437" s="77"/>
      <c r="U437" s="2"/>
      <c r="V437" s="2"/>
      <c r="W437" s="2"/>
      <c r="X437" s="2"/>
      <c r="Y437" s="2"/>
      <c r="Z437" s="2"/>
    </row>
    <row r="438" hidden="1" outlineLevel="1">
      <c r="A438" s="67" t="str">
        <f t="shared" si="314"/>
        <v>12-2025</v>
      </c>
      <c r="B438" s="57">
        <v>46021.0</v>
      </c>
      <c r="C438" s="68"/>
      <c r="D438" s="69">
        <v>237.45</v>
      </c>
      <c r="E438" s="70">
        <v>10.0</v>
      </c>
      <c r="F438" s="70">
        <v>10.0</v>
      </c>
      <c r="G438" s="71">
        <f t="shared" si="2"/>
        <v>1</v>
      </c>
      <c r="H438" s="69">
        <f t="shared" si="315"/>
        <v>23.745</v>
      </c>
      <c r="I438" s="69">
        <f t="shared" si="316"/>
        <v>23.745</v>
      </c>
      <c r="J438" s="72">
        <v>248.0</v>
      </c>
      <c r="K438" s="73">
        <f t="shared" si="5"/>
        <v>0.04032258065</v>
      </c>
      <c r="L438" s="59">
        <v>161.78</v>
      </c>
      <c r="M438" s="59">
        <v>264.44</v>
      </c>
      <c r="N438" s="60">
        <v>11.0</v>
      </c>
      <c r="O438" s="72">
        <v>38124.0</v>
      </c>
      <c r="P438" s="73">
        <v>0.3486</v>
      </c>
      <c r="Q438" s="75">
        <f t="shared" si="7"/>
        <v>1.634565459</v>
      </c>
      <c r="R438" s="73">
        <f t="shared" si="8"/>
        <v>1.113666035</v>
      </c>
      <c r="S438" s="76"/>
      <c r="T438" s="77"/>
      <c r="U438" s="2"/>
      <c r="V438" s="2"/>
      <c r="W438" s="2"/>
      <c r="X438" s="2"/>
      <c r="Y438" s="2"/>
      <c r="Z438" s="2"/>
    </row>
    <row r="439" hidden="1" outlineLevel="1">
      <c r="A439" s="67" t="str">
        <f t="shared" si="314"/>
        <v>12-2025</v>
      </c>
      <c r="B439" s="57">
        <v>46022.0</v>
      </c>
      <c r="C439" s="68"/>
      <c r="D439" s="69">
        <v>446.14</v>
      </c>
      <c r="E439" s="70">
        <v>19.0</v>
      </c>
      <c r="F439" s="70">
        <v>17.0</v>
      </c>
      <c r="G439" s="71">
        <f t="shared" si="2"/>
        <v>1.117647059</v>
      </c>
      <c r="H439" s="69">
        <f t="shared" si="315"/>
        <v>26.24352941</v>
      </c>
      <c r="I439" s="69">
        <f t="shared" si="316"/>
        <v>23.48105263</v>
      </c>
      <c r="J439" s="72">
        <v>164.0</v>
      </c>
      <c r="K439" s="73">
        <f t="shared" si="5"/>
        <v>0.1158536585</v>
      </c>
      <c r="L439" s="69">
        <v>110.68</v>
      </c>
      <c r="M439" s="69">
        <v>369.17</v>
      </c>
      <c r="N439" s="70">
        <v>13.0</v>
      </c>
      <c r="O439" s="72">
        <v>23377.0</v>
      </c>
      <c r="P439" s="73">
        <v>0.3572</v>
      </c>
      <c r="Q439" s="75">
        <f t="shared" si="7"/>
        <v>3.33547163</v>
      </c>
      <c r="R439" s="73">
        <f t="shared" si="8"/>
        <v>0.8274756803</v>
      </c>
      <c r="S439" s="76"/>
      <c r="T439" s="77"/>
      <c r="U439" s="2"/>
      <c r="V439" s="2"/>
      <c r="W439" s="2"/>
      <c r="X439" s="2"/>
      <c r="Y439" s="2"/>
      <c r="Z439" s="2"/>
    </row>
    <row r="440" hidden="1" outlineLevel="1">
      <c r="A440" s="67" t="str">
        <f t="shared" si="314"/>
        <v>1-2026</v>
      </c>
      <c r="B440" s="57">
        <v>46023.0</v>
      </c>
      <c r="C440" s="68"/>
      <c r="D440" s="69">
        <v>351.66</v>
      </c>
      <c r="E440" s="70">
        <v>14.0</v>
      </c>
      <c r="F440" s="70">
        <v>13.0</v>
      </c>
      <c r="G440" s="71">
        <f t="shared" si="2"/>
        <v>1.076923077</v>
      </c>
      <c r="H440" s="69">
        <f t="shared" si="315"/>
        <v>27.05076923</v>
      </c>
      <c r="I440" s="69">
        <f t="shared" si="316"/>
        <v>25.11857143</v>
      </c>
      <c r="J440" s="72">
        <v>266.0</v>
      </c>
      <c r="K440" s="73">
        <f t="shared" si="5"/>
        <v>0.05263157895</v>
      </c>
      <c r="L440" s="69">
        <v>152.98</v>
      </c>
      <c r="M440" s="69">
        <v>339.66</v>
      </c>
      <c r="N440" s="70">
        <v>12.0</v>
      </c>
      <c r="O440" s="72">
        <v>37923.0</v>
      </c>
      <c r="P440" s="73">
        <v>0.3225</v>
      </c>
      <c r="Q440" s="75">
        <f t="shared" si="7"/>
        <v>2.220290234</v>
      </c>
      <c r="R440" s="73">
        <f t="shared" si="8"/>
        <v>0.9658761304</v>
      </c>
      <c r="S440" s="76"/>
      <c r="T440" s="77"/>
      <c r="U440" s="2"/>
      <c r="V440" s="2"/>
      <c r="W440" s="2"/>
      <c r="X440" s="2"/>
      <c r="Y440" s="2"/>
      <c r="Z440" s="2"/>
    </row>
    <row r="441" hidden="1" outlineLevel="1">
      <c r="A441" s="67" t="str">
        <f t="shared" si="314"/>
        <v>1-2026</v>
      </c>
      <c r="B441" s="57">
        <v>46024.0</v>
      </c>
      <c r="C441" s="68"/>
      <c r="D441" s="69">
        <v>826.01</v>
      </c>
      <c r="E441" s="70">
        <v>34.0</v>
      </c>
      <c r="F441" s="70">
        <v>27.0</v>
      </c>
      <c r="G441" s="71">
        <f t="shared" si="2"/>
        <v>1.259259259</v>
      </c>
      <c r="H441" s="69">
        <f t="shared" si="315"/>
        <v>30.59296296</v>
      </c>
      <c r="I441" s="69">
        <f t="shared" si="316"/>
        <v>24.29441176</v>
      </c>
      <c r="J441" s="72">
        <v>334.0</v>
      </c>
      <c r="K441" s="73">
        <f t="shared" si="5"/>
        <v>0.1017964072</v>
      </c>
      <c r="L441" s="69">
        <v>163.11</v>
      </c>
      <c r="M441" s="69">
        <v>554.1</v>
      </c>
      <c r="N441" s="70">
        <v>18.0</v>
      </c>
      <c r="O441" s="72">
        <v>45191.0</v>
      </c>
      <c r="P441" s="73">
        <v>0.5913</v>
      </c>
      <c r="Q441" s="75">
        <f t="shared" si="7"/>
        <v>3.397093986</v>
      </c>
      <c r="R441" s="73">
        <f t="shared" si="8"/>
        <v>0.6708151233</v>
      </c>
      <c r="S441" s="76"/>
      <c r="T441" s="77"/>
      <c r="U441" s="2"/>
      <c r="V441" s="2"/>
      <c r="W441" s="2"/>
      <c r="X441" s="2"/>
      <c r="Y441" s="2"/>
      <c r="Z441" s="2"/>
    </row>
    <row r="442" hidden="1" outlineLevel="1">
      <c r="A442" s="67" t="str">
        <f t="shared" si="314"/>
        <v>1-2026</v>
      </c>
      <c r="B442" s="57">
        <v>46025.0</v>
      </c>
      <c r="C442" s="68"/>
      <c r="D442" s="69">
        <v>629.08</v>
      </c>
      <c r="E442" s="70">
        <v>26.0</v>
      </c>
      <c r="F442" s="70">
        <v>21.0</v>
      </c>
      <c r="G442" s="71">
        <f t="shared" si="2"/>
        <v>1.238095238</v>
      </c>
      <c r="H442" s="69">
        <f t="shared" si="315"/>
        <v>29.95619048</v>
      </c>
      <c r="I442" s="69">
        <f t="shared" si="316"/>
        <v>24.19538462</v>
      </c>
      <c r="J442" s="72">
        <v>346.0</v>
      </c>
      <c r="K442" s="73">
        <f t="shared" si="5"/>
        <v>0.07514450867</v>
      </c>
      <c r="L442" s="69">
        <v>180.31</v>
      </c>
      <c r="M442" s="69">
        <v>480.88</v>
      </c>
      <c r="N442" s="70">
        <v>15.0</v>
      </c>
      <c r="O442" s="72">
        <v>55162.0</v>
      </c>
      <c r="P442" s="73">
        <f t="shared" ref="P442:P443" si="319">L442/M442</f>
        <v>0.3749584096</v>
      </c>
      <c r="Q442" s="75">
        <f t="shared" si="7"/>
        <v>2.666962454</v>
      </c>
      <c r="R442" s="73">
        <f t="shared" si="8"/>
        <v>0.7644178801</v>
      </c>
      <c r="S442" s="76"/>
      <c r="T442" s="77"/>
      <c r="U442" s="2"/>
      <c r="V442" s="2"/>
      <c r="W442" s="2"/>
      <c r="X442" s="2"/>
      <c r="Y442" s="2"/>
      <c r="Z442" s="2"/>
    </row>
    <row r="443" collapsed="1">
      <c r="A443" s="78" t="s">
        <v>45</v>
      </c>
      <c r="B443" s="79"/>
      <c r="C443" s="80"/>
      <c r="D443" s="81">
        <f t="shared" ref="D443:F443" si="317">SUM(D436:D442)</f>
        <v>3718.26</v>
      </c>
      <c r="E443" s="82">
        <f t="shared" si="317"/>
        <v>153</v>
      </c>
      <c r="F443" s="82">
        <f t="shared" si="317"/>
        <v>131</v>
      </c>
      <c r="G443" s="83">
        <f t="shared" si="2"/>
        <v>1.167938931</v>
      </c>
      <c r="H443" s="81">
        <f>average(H436:H442)</f>
        <v>27.80315293</v>
      </c>
      <c r="I443" s="84">
        <f>H443/G443</f>
        <v>23.80531395</v>
      </c>
      <c r="J443" s="85">
        <f>SUM(J436:J442)</f>
        <v>1928</v>
      </c>
      <c r="K443" s="86">
        <f t="shared" si="5"/>
        <v>0.07935684647</v>
      </c>
      <c r="L443" s="81">
        <f t="shared" ref="L443:N443" si="318">SUM(L436:L442)</f>
        <v>1096.49</v>
      </c>
      <c r="M443" s="81">
        <f t="shared" si="318"/>
        <v>2925.51</v>
      </c>
      <c r="N443" s="87">
        <f t="shared" si="318"/>
        <v>103</v>
      </c>
      <c r="O443" s="85">
        <f>sum(O436:O442)</f>
        <v>289939</v>
      </c>
      <c r="P443" s="86">
        <f t="shared" si="319"/>
        <v>0.3748030258</v>
      </c>
      <c r="Q443" s="88">
        <f t="shared" si="7"/>
        <v>2.668068108</v>
      </c>
      <c r="R443" s="89">
        <f t="shared" si="8"/>
        <v>0.7867954366</v>
      </c>
      <c r="S443" s="80" t="str">
        <f>iferror((D443-#REF!)/D443,)</f>
        <v/>
      </c>
      <c r="T443" s="90" t="str">
        <f>iferror((F443-#REF!)/F443,)</f>
        <v/>
      </c>
      <c r="U443" s="2"/>
      <c r="V443" s="2"/>
      <c r="W443" s="2"/>
      <c r="X443" s="2"/>
      <c r="Y443" s="2"/>
      <c r="Z443" s="2"/>
    </row>
    <row r="444" hidden="1" outlineLevel="1">
      <c r="A444" s="56" t="str">
        <f t="shared" ref="A444:A450" si="320">iferror(if(B444&gt;0,month(B444)&amp;"-"&amp;year(B444),B444),)</f>
        <v>1-2026</v>
      </c>
      <c r="B444" s="57">
        <v>46026.0</v>
      </c>
      <c r="C444" s="58"/>
      <c r="D444" s="59">
        <v>762.04</v>
      </c>
      <c r="E444" s="60">
        <v>31.0</v>
      </c>
      <c r="F444" s="60">
        <v>26.0</v>
      </c>
      <c r="G444" s="61">
        <f t="shared" si="2"/>
        <v>1.192307692</v>
      </c>
      <c r="H444" s="59">
        <f t="shared" ref="H444:H450" si="321">D444/F444</f>
        <v>29.30923077</v>
      </c>
      <c r="I444" s="59">
        <f t="shared" ref="I444:I450" si="322">D444/E444</f>
        <v>24.58193548</v>
      </c>
      <c r="J444" s="62">
        <v>341.0</v>
      </c>
      <c r="K444" s="63">
        <f t="shared" si="5"/>
        <v>0.09090909091</v>
      </c>
      <c r="L444" s="59">
        <v>207.48</v>
      </c>
      <c r="M444" s="59">
        <v>420.89</v>
      </c>
      <c r="N444" s="60">
        <v>17.0</v>
      </c>
      <c r="O444" s="62">
        <v>51056.0</v>
      </c>
      <c r="P444" s="63">
        <v>0.4734</v>
      </c>
      <c r="Q444" s="64">
        <f t="shared" si="7"/>
        <v>2.028581068</v>
      </c>
      <c r="R444" s="63">
        <f t="shared" si="8"/>
        <v>0.5523200882</v>
      </c>
      <c r="S444" s="65"/>
      <c r="T444" s="66"/>
      <c r="U444" s="2"/>
      <c r="V444" s="2"/>
      <c r="W444" s="2"/>
      <c r="X444" s="2"/>
      <c r="Y444" s="2"/>
      <c r="Z444" s="2"/>
    </row>
    <row r="445" hidden="1" outlineLevel="1">
      <c r="A445" s="67" t="str">
        <f t="shared" si="320"/>
        <v>1-2026</v>
      </c>
      <c r="B445" s="57">
        <v>46027.0</v>
      </c>
      <c r="C445" s="68"/>
      <c r="D445" s="69">
        <v>489.65</v>
      </c>
      <c r="E445" s="70">
        <v>21.0</v>
      </c>
      <c r="F445" s="70">
        <v>17.0</v>
      </c>
      <c r="G445" s="71">
        <f t="shared" si="2"/>
        <v>1.235294118</v>
      </c>
      <c r="H445" s="69">
        <f t="shared" si="321"/>
        <v>28.80294118</v>
      </c>
      <c r="I445" s="69">
        <f t="shared" si="322"/>
        <v>23.31666667</v>
      </c>
      <c r="J445" s="72">
        <v>171.0</v>
      </c>
      <c r="K445" s="73">
        <f t="shared" si="5"/>
        <v>0.1228070175</v>
      </c>
      <c r="L445" s="69">
        <v>119.24</v>
      </c>
      <c r="M445" s="74">
        <v>304.91</v>
      </c>
      <c r="N445" s="70">
        <v>11.0</v>
      </c>
      <c r="O445" s="72">
        <v>27683.0</v>
      </c>
      <c r="P445" s="73">
        <v>0.2985</v>
      </c>
      <c r="Q445" s="75">
        <f t="shared" si="7"/>
        <v>2.557111707</v>
      </c>
      <c r="R445" s="73">
        <f t="shared" si="8"/>
        <v>0.6227100991</v>
      </c>
      <c r="S445" s="76"/>
      <c r="T445" s="77"/>
      <c r="U445" s="2"/>
      <c r="V445" s="2"/>
      <c r="W445" s="2"/>
      <c r="X445" s="2"/>
      <c r="Y445" s="2"/>
      <c r="Z445" s="2"/>
    </row>
    <row r="446" hidden="1" outlineLevel="1">
      <c r="A446" s="67" t="str">
        <f t="shared" si="320"/>
        <v>1-2026</v>
      </c>
      <c r="B446" s="57">
        <v>46028.0</v>
      </c>
      <c r="C446" s="68"/>
      <c r="D446" s="69">
        <v>289.93</v>
      </c>
      <c r="E446" s="70">
        <v>12.0</v>
      </c>
      <c r="F446" s="70">
        <v>11.0</v>
      </c>
      <c r="G446" s="71">
        <f t="shared" si="2"/>
        <v>1.090909091</v>
      </c>
      <c r="H446" s="69">
        <f t="shared" si="321"/>
        <v>26.35727273</v>
      </c>
      <c r="I446" s="69">
        <f t="shared" si="322"/>
        <v>24.16083333</v>
      </c>
      <c r="J446" s="72">
        <v>180.0</v>
      </c>
      <c r="K446" s="73">
        <f t="shared" si="5"/>
        <v>0.06666666667</v>
      </c>
      <c r="L446" s="59">
        <v>102.52</v>
      </c>
      <c r="M446" s="59">
        <v>208.43</v>
      </c>
      <c r="N446" s="60">
        <v>7.0</v>
      </c>
      <c r="O446" s="72">
        <v>22973.0</v>
      </c>
      <c r="P446" s="73">
        <v>0.3486</v>
      </c>
      <c r="Q446" s="75">
        <f t="shared" si="7"/>
        <v>2.033066719</v>
      </c>
      <c r="R446" s="73">
        <f t="shared" si="8"/>
        <v>0.718897665</v>
      </c>
      <c r="S446" s="76"/>
      <c r="T446" s="77"/>
      <c r="U446" s="2"/>
      <c r="V446" s="2"/>
      <c r="W446" s="2"/>
      <c r="X446" s="2"/>
      <c r="Y446" s="2"/>
      <c r="Z446" s="2"/>
    </row>
    <row r="447" hidden="1" outlineLevel="1">
      <c r="A447" s="67" t="str">
        <f t="shared" si="320"/>
        <v>1-2026</v>
      </c>
      <c r="B447" s="57">
        <v>46029.0</v>
      </c>
      <c r="C447" s="68"/>
      <c r="D447" s="69">
        <v>461.64</v>
      </c>
      <c r="E447" s="70">
        <v>19.0</v>
      </c>
      <c r="F447" s="70">
        <v>17.0</v>
      </c>
      <c r="G447" s="71">
        <f t="shared" si="2"/>
        <v>1.117647059</v>
      </c>
      <c r="H447" s="69">
        <f t="shared" si="321"/>
        <v>27.15529412</v>
      </c>
      <c r="I447" s="69">
        <f t="shared" si="322"/>
        <v>24.29684211</v>
      </c>
      <c r="J447" s="72">
        <v>237.0</v>
      </c>
      <c r="K447" s="73">
        <f t="shared" si="5"/>
        <v>0.08016877637</v>
      </c>
      <c r="L447" s="69">
        <v>116.33</v>
      </c>
      <c r="M447" s="69">
        <v>305.44</v>
      </c>
      <c r="N447" s="70">
        <v>11.0</v>
      </c>
      <c r="O447" s="72">
        <v>33258.0</v>
      </c>
      <c r="P447" s="73">
        <v>0.3572</v>
      </c>
      <c r="Q447" s="75">
        <f t="shared" si="7"/>
        <v>2.625633972</v>
      </c>
      <c r="R447" s="73">
        <f t="shared" si="8"/>
        <v>0.6616411056</v>
      </c>
      <c r="S447" s="76"/>
      <c r="T447" s="77"/>
      <c r="U447" s="2"/>
      <c r="V447" s="2"/>
      <c r="W447" s="2"/>
      <c r="X447" s="2"/>
      <c r="Y447" s="2"/>
      <c r="Z447" s="2"/>
    </row>
    <row r="448" hidden="1" outlineLevel="1">
      <c r="A448" s="67" t="str">
        <f t="shared" si="320"/>
        <v>1-2026</v>
      </c>
      <c r="B448" s="57">
        <v>46030.0</v>
      </c>
      <c r="C448" s="68"/>
      <c r="D448" s="69">
        <v>380.14</v>
      </c>
      <c r="E448" s="70">
        <v>15.0</v>
      </c>
      <c r="F448" s="70">
        <v>14.0</v>
      </c>
      <c r="G448" s="71">
        <f t="shared" si="2"/>
        <v>1.071428571</v>
      </c>
      <c r="H448" s="69">
        <f t="shared" si="321"/>
        <v>27.15285714</v>
      </c>
      <c r="I448" s="69">
        <f t="shared" si="322"/>
        <v>25.34266667</v>
      </c>
      <c r="J448" s="72">
        <v>215.0</v>
      </c>
      <c r="K448" s="73">
        <f t="shared" si="5"/>
        <v>0.06976744186</v>
      </c>
      <c r="L448" s="69">
        <v>124.96</v>
      </c>
      <c r="M448" s="69">
        <v>318.67</v>
      </c>
      <c r="N448" s="70">
        <v>12.0</v>
      </c>
      <c r="O448" s="72">
        <v>33413.0</v>
      </c>
      <c r="P448" s="73">
        <v>0.3225</v>
      </c>
      <c r="Q448" s="75">
        <f t="shared" si="7"/>
        <v>2.550176056</v>
      </c>
      <c r="R448" s="73">
        <f t="shared" si="8"/>
        <v>0.8382964171</v>
      </c>
      <c r="S448" s="76"/>
      <c r="T448" s="77"/>
      <c r="U448" s="2"/>
      <c r="V448" s="2"/>
      <c r="W448" s="2"/>
      <c r="X448" s="2"/>
      <c r="Y448" s="2"/>
      <c r="Z448" s="2"/>
    </row>
    <row r="449" hidden="1" outlineLevel="1">
      <c r="A449" s="67" t="str">
        <f t="shared" si="320"/>
        <v>1-2026</v>
      </c>
      <c r="B449" s="57">
        <v>46031.0</v>
      </c>
      <c r="C449" s="68"/>
      <c r="D449" s="69">
        <v>261.72</v>
      </c>
      <c r="E449" s="70">
        <v>12.0</v>
      </c>
      <c r="F449" s="70">
        <v>11.0</v>
      </c>
      <c r="G449" s="71">
        <f t="shared" si="2"/>
        <v>1.090909091</v>
      </c>
      <c r="H449" s="69">
        <f t="shared" si="321"/>
        <v>23.79272727</v>
      </c>
      <c r="I449" s="69">
        <f t="shared" si="322"/>
        <v>21.81</v>
      </c>
      <c r="J449" s="72">
        <v>194.0</v>
      </c>
      <c r="K449" s="73">
        <f t="shared" si="5"/>
        <v>0.0618556701</v>
      </c>
      <c r="L449" s="69">
        <v>119.53</v>
      </c>
      <c r="M449" s="69">
        <v>169.96</v>
      </c>
      <c r="N449" s="70">
        <v>7.0</v>
      </c>
      <c r="O449" s="72">
        <v>28475.0</v>
      </c>
      <c r="P449" s="73">
        <v>0.5913</v>
      </c>
      <c r="Q449" s="75">
        <f t="shared" si="7"/>
        <v>1.421902451</v>
      </c>
      <c r="R449" s="73">
        <f t="shared" si="8"/>
        <v>0.6493963014</v>
      </c>
      <c r="S449" s="76"/>
      <c r="T449" s="77"/>
      <c r="U449" s="2"/>
      <c r="V449" s="2"/>
      <c r="W449" s="2"/>
      <c r="X449" s="2"/>
      <c r="Y449" s="2"/>
      <c r="Z449" s="2"/>
    </row>
    <row r="450" hidden="1" outlineLevel="1">
      <c r="A450" s="67" t="str">
        <f t="shared" si="320"/>
        <v>1-2026</v>
      </c>
      <c r="B450" s="57">
        <v>46032.0</v>
      </c>
      <c r="C450" s="68"/>
      <c r="D450" s="69">
        <v>546.9</v>
      </c>
      <c r="E450" s="70">
        <v>23.0</v>
      </c>
      <c r="F450" s="70">
        <v>19.0</v>
      </c>
      <c r="G450" s="71">
        <f t="shared" si="2"/>
        <v>1.210526316</v>
      </c>
      <c r="H450" s="69">
        <f t="shared" si="321"/>
        <v>28.78421053</v>
      </c>
      <c r="I450" s="69">
        <f t="shared" si="322"/>
        <v>23.77826087</v>
      </c>
      <c r="J450" s="72">
        <v>237.0</v>
      </c>
      <c r="K450" s="73">
        <f t="shared" si="5"/>
        <v>0.0970464135</v>
      </c>
      <c r="L450" s="69">
        <v>140.4</v>
      </c>
      <c r="M450" s="69">
        <v>299.21</v>
      </c>
      <c r="N450" s="70">
        <v>10.0</v>
      </c>
      <c r="O450" s="72">
        <v>43374.0</v>
      </c>
      <c r="P450" s="73">
        <f t="shared" ref="P450:P451" si="325">L450/M450</f>
        <v>0.4692356539</v>
      </c>
      <c r="Q450" s="75">
        <f t="shared" si="7"/>
        <v>2.131125356</v>
      </c>
      <c r="R450" s="73">
        <f t="shared" si="8"/>
        <v>0.5471018468</v>
      </c>
      <c r="S450" s="76"/>
      <c r="T450" s="77"/>
      <c r="U450" s="2"/>
      <c r="V450" s="2"/>
      <c r="W450" s="2"/>
      <c r="X450" s="2"/>
      <c r="Y450" s="2"/>
      <c r="Z450" s="2"/>
    </row>
    <row r="451" collapsed="1">
      <c r="A451" s="78" t="s">
        <v>46</v>
      </c>
      <c r="B451" s="79"/>
      <c r="C451" s="80"/>
      <c r="D451" s="81">
        <f t="shared" ref="D451:F451" si="323">SUM(D444:D450)</f>
        <v>3192.02</v>
      </c>
      <c r="E451" s="82">
        <f t="shared" si="323"/>
        <v>133</v>
      </c>
      <c r="F451" s="82">
        <f t="shared" si="323"/>
        <v>115</v>
      </c>
      <c r="G451" s="83">
        <f t="shared" si="2"/>
        <v>1.156521739</v>
      </c>
      <c r="H451" s="81">
        <f>average(H444:H450)</f>
        <v>27.33636196</v>
      </c>
      <c r="I451" s="84">
        <f>H451/G451</f>
        <v>23.63670395</v>
      </c>
      <c r="J451" s="85">
        <f>SUM(J444:J450)</f>
        <v>1575</v>
      </c>
      <c r="K451" s="86">
        <f t="shared" si="5"/>
        <v>0.08444444444</v>
      </c>
      <c r="L451" s="81">
        <f t="shared" ref="L451:N451" si="324">SUM(L444:L450)</f>
        <v>930.46</v>
      </c>
      <c r="M451" s="81">
        <f t="shared" si="324"/>
        <v>2027.51</v>
      </c>
      <c r="N451" s="87">
        <f t="shared" si="324"/>
        <v>75</v>
      </c>
      <c r="O451" s="85">
        <f>sum(O444:O450)</f>
        <v>240232</v>
      </c>
      <c r="P451" s="86">
        <f t="shared" si="325"/>
        <v>0.4589175886</v>
      </c>
      <c r="Q451" s="88">
        <f t="shared" si="7"/>
        <v>2.179040475</v>
      </c>
      <c r="R451" s="89">
        <f t="shared" si="8"/>
        <v>0.6351808573</v>
      </c>
      <c r="S451" s="80" t="str">
        <f>iferror((D451-#REF!)/D451,)</f>
        <v/>
      </c>
      <c r="T451" s="90" t="str">
        <f>iferror((F451-#REF!)/F451,)</f>
        <v/>
      </c>
      <c r="U451" s="2"/>
      <c r="V451" s="2"/>
      <c r="W451" s="2"/>
      <c r="X451" s="2"/>
      <c r="Y451" s="2"/>
      <c r="Z451" s="2"/>
    </row>
    <row r="452">
      <c r="A452" s="36" t="str">
        <f t="shared" ref="A452:A458" si="326">iferror(if(B452&gt;0,month(B452)&amp;"-"&amp;year(B452),B452),)</f>
        <v>1-2026</v>
      </c>
      <c r="B452" s="91">
        <v>46033.0</v>
      </c>
      <c r="C452" s="38"/>
      <c r="D452" s="92">
        <v>311.18</v>
      </c>
      <c r="E452" s="93">
        <v>13.0</v>
      </c>
      <c r="F452" s="93">
        <v>12.0</v>
      </c>
      <c r="G452" s="41">
        <f t="shared" si="2"/>
        <v>1.083333333</v>
      </c>
      <c r="H452" s="39">
        <f t="shared" ref="H452:H458" si="327">D452/F452</f>
        <v>25.93166667</v>
      </c>
      <c r="I452" s="39">
        <f t="shared" ref="I452:I458" si="328">D452/E452</f>
        <v>23.93692308</v>
      </c>
      <c r="J452" s="94">
        <v>293.0</v>
      </c>
      <c r="K452" s="43">
        <f t="shared" si="5"/>
        <v>0.04436860068</v>
      </c>
      <c r="L452" s="92">
        <v>174.79</v>
      </c>
      <c r="M452" s="92">
        <v>357.67</v>
      </c>
      <c r="N452" s="93">
        <v>14.0</v>
      </c>
      <c r="O452" s="94">
        <v>59672.0</v>
      </c>
      <c r="P452" s="95">
        <v>0.4734</v>
      </c>
      <c r="Q452" s="44">
        <f t="shared" si="7"/>
        <v>2.046284112</v>
      </c>
      <c r="R452" s="43">
        <f t="shared" si="8"/>
        <v>1.149399062</v>
      </c>
      <c r="S452" s="45"/>
      <c r="T452" s="46"/>
      <c r="U452" s="9"/>
      <c r="V452" s="9"/>
      <c r="W452" s="9"/>
      <c r="X452" s="9"/>
      <c r="Y452" s="9"/>
      <c r="Z452" s="9"/>
    </row>
    <row r="453">
      <c r="A453" s="47" t="str">
        <f t="shared" si="326"/>
        <v>1-2026</v>
      </c>
      <c r="B453" s="91">
        <v>46034.0</v>
      </c>
      <c r="C453" s="48"/>
      <c r="D453" s="96">
        <v>216.45</v>
      </c>
      <c r="E453" s="97">
        <v>9.0</v>
      </c>
      <c r="F453" s="97">
        <v>9.0</v>
      </c>
      <c r="G453" s="51">
        <f t="shared" si="2"/>
        <v>1</v>
      </c>
      <c r="H453" s="49">
        <f t="shared" si="327"/>
        <v>24.05</v>
      </c>
      <c r="I453" s="49">
        <f t="shared" si="328"/>
        <v>24.05</v>
      </c>
      <c r="J453" s="98">
        <v>250.0</v>
      </c>
      <c r="K453" s="53">
        <f t="shared" si="5"/>
        <v>0.036</v>
      </c>
      <c r="L453" s="96">
        <v>139.87</v>
      </c>
      <c r="M453" s="99">
        <v>180.22</v>
      </c>
      <c r="N453" s="97">
        <v>7.0</v>
      </c>
      <c r="O453" s="98">
        <v>37838.0</v>
      </c>
      <c r="P453" s="100">
        <v>0.2985</v>
      </c>
      <c r="Q453" s="55">
        <f t="shared" si="7"/>
        <v>1.288482162</v>
      </c>
      <c r="R453" s="53">
        <f t="shared" si="8"/>
        <v>0.8326172326</v>
      </c>
      <c r="S453" s="19"/>
      <c r="T453" s="28"/>
      <c r="U453" s="9"/>
      <c r="V453" s="9"/>
      <c r="W453" s="9"/>
      <c r="X453" s="9"/>
      <c r="Y453" s="9"/>
      <c r="Z453" s="9"/>
    </row>
    <row r="454">
      <c r="A454" s="47" t="str">
        <f t="shared" si="326"/>
        <v>1-2026</v>
      </c>
      <c r="B454" s="91">
        <v>46035.0</v>
      </c>
      <c r="C454" s="48"/>
      <c r="D454" s="96">
        <v>329.9</v>
      </c>
      <c r="E454" s="97">
        <v>13.0</v>
      </c>
      <c r="F454" s="97">
        <v>11.0</v>
      </c>
      <c r="G454" s="51">
        <f t="shared" si="2"/>
        <v>1.181818182</v>
      </c>
      <c r="H454" s="49">
        <f t="shared" si="327"/>
        <v>29.99090909</v>
      </c>
      <c r="I454" s="49">
        <f t="shared" si="328"/>
        <v>25.37692308</v>
      </c>
      <c r="J454" s="98">
        <v>219.0</v>
      </c>
      <c r="K454" s="53">
        <f t="shared" si="5"/>
        <v>0.05936073059</v>
      </c>
      <c r="L454" s="92">
        <v>125.02</v>
      </c>
      <c r="M454" s="92">
        <v>185.71</v>
      </c>
      <c r="N454" s="93">
        <v>7.0</v>
      </c>
      <c r="O454" s="98">
        <v>24238.0</v>
      </c>
      <c r="P454" s="100">
        <v>0.3486</v>
      </c>
      <c r="Q454" s="55">
        <f t="shared" si="7"/>
        <v>1.485442329</v>
      </c>
      <c r="R454" s="53">
        <f t="shared" si="8"/>
        <v>0.56292816</v>
      </c>
      <c r="S454" s="19"/>
      <c r="T454" s="28"/>
      <c r="U454" s="9"/>
      <c r="V454" s="9"/>
      <c r="W454" s="9"/>
      <c r="X454" s="9"/>
      <c r="Y454" s="9"/>
      <c r="Z454" s="9"/>
    </row>
    <row r="455">
      <c r="A455" s="47" t="str">
        <f t="shared" si="326"/>
        <v>1-2026</v>
      </c>
      <c r="B455" s="91">
        <v>46036.0</v>
      </c>
      <c r="C455" s="48"/>
      <c r="D455" s="96">
        <v>199.72</v>
      </c>
      <c r="E455" s="97">
        <v>9.0</v>
      </c>
      <c r="F455" s="97">
        <v>8.0</v>
      </c>
      <c r="G455" s="51">
        <f t="shared" si="2"/>
        <v>1.125</v>
      </c>
      <c r="H455" s="49">
        <f t="shared" si="327"/>
        <v>24.965</v>
      </c>
      <c r="I455" s="49">
        <f t="shared" si="328"/>
        <v>22.19111111</v>
      </c>
      <c r="J455" s="98">
        <v>165.0</v>
      </c>
      <c r="K455" s="53">
        <f t="shared" si="5"/>
        <v>0.05454545455</v>
      </c>
      <c r="L455" s="96">
        <v>95.85</v>
      </c>
      <c r="M455" s="96">
        <v>119.97</v>
      </c>
      <c r="N455" s="97">
        <v>5.0</v>
      </c>
      <c r="O455" s="98">
        <v>25542.0</v>
      </c>
      <c r="P455" s="100">
        <v>0.3572</v>
      </c>
      <c r="Q455" s="55">
        <f t="shared" si="7"/>
        <v>1.251643192</v>
      </c>
      <c r="R455" s="53">
        <f t="shared" si="8"/>
        <v>0.6006909674</v>
      </c>
      <c r="S455" s="19"/>
      <c r="T455" s="28"/>
      <c r="U455" s="9"/>
      <c r="V455" s="9"/>
      <c r="W455" s="9"/>
      <c r="X455" s="9"/>
      <c r="Y455" s="9"/>
      <c r="Z455" s="9"/>
    </row>
    <row r="456">
      <c r="A456" s="47" t="str">
        <f t="shared" si="326"/>
        <v>1-2026</v>
      </c>
      <c r="B456" s="91">
        <v>46037.0</v>
      </c>
      <c r="C456" s="48"/>
      <c r="D456" s="96">
        <v>307.19</v>
      </c>
      <c r="E456" s="97">
        <v>13.0</v>
      </c>
      <c r="F456" s="97">
        <v>12.0</v>
      </c>
      <c r="G456" s="51">
        <f t="shared" si="2"/>
        <v>1.083333333</v>
      </c>
      <c r="H456" s="49">
        <f t="shared" si="327"/>
        <v>25.59916667</v>
      </c>
      <c r="I456" s="49">
        <f t="shared" si="328"/>
        <v>23.63</v>
      </c>
      <c r="J456" s="98">
        <v>225.0</v>
      </c>
      <c r="K456" s="53">
        <f t="shared" si="5"/>
        <v>0.05777777778</v>
      </c>
      <c r="L456" s="96">
        <v>104.39</v>
      </c>
      <c r="M456" s="96">
        <v>237.7</v>
      </c>
      <c r="N456" s="97">
        <v>9.0</v>
      </c>
      <c r="O456" s="98">
        <v>21331.0</v>
      </c>
      <c r="P456" s="100">
        <v>0.3225</v>
      </c>
      <c r="Q456" s="55">
        <f t="shared" si="7"/>
        <v>2.27703803</v>
      </c>
      <c r="R456" s="53">
        <f t="shared" si="8"/>
        <v>0.7737882093</v>
      </c>
      <c r="S456" s="19"/>
      <c r="T456" s="28"/>
      <c r="U456" s="9"/>
      <c r="V456" s="9"/>
      <c r="W456" s="9"/>
      <c r="X456" s="9"/>
      <c r="Y456" s="9"/>
      <c r="Z456" s="9"/>
    </row>
    <row r="457">
      <c r="A457" s="47" t="str">
        <f t="shared" si="326"/>
        <v>1-2026</v>
      </c>
      <c r="B457" s="91">
        <v>46038.0</v>
      </c>
      <c r="C457" s="48"/>
      <c r="D457" s="96">
        <v>396.42</v>
      </c>
      <c r="E457" s="97">
        <v>17.0</v>
      </c>
      <c r="F457" s="97">
        <v>15.0</v>
      </c>
      <c r="G457" s="51">
        <f t="shared" si="2"/>
        <v>1.133333333</v>
      </c>
      <c r="H457" s="49">
        <f t="shared" si="327"/>
        <v>26.428</v>
      </c>
      <c r="I457" s="49">
        <f t="shared" si="328"/>
        <v>23.31882353</v>
      </c>
      <c r="J457" s="98">
        <v>170.0</v>
      </c>
      <c r="K457" s="53">
        <f t="shared" si="5"/>
        <v>0.1</v>
      </c>
      <c r="L457" s="96">
        <v>81.74</v>
      </c>
      <c r="M457" s="96">
        <v>181.97</v>
      </c>
      <c r="N457" s="97">
        <v>6.0</v>
      </c>
      <c r="O457" s="98">
        <v>18135.0</v>
      </c>
      <c r="P457" s="100">
        <v>0.5913</v>
      </c>
      <c r="Q457" s="55">
        <f t="shared" si="7"/>
        <v>2.22620504</v>
      </c>
      <c r="R457" s="53">
        <f t="shared" si="8"/>
        <v>0.4590333485</v>
      </c>
      <c r="S457" s="19"/>
      <c r="T457" s="28"/>
      <c r="U457" s="9"/>
      <c r="V457" s="9"/>
      <c r="W457" s="9"/>
      <c r="X457" s="9"/>
      <c r="Y457" s="9"/>
      <c r="Z457" s="9"/>
    </row>
    <row r="458" ht="15.0" customHeight="1">
      <c r="A458" s="47" t="str">
        <f t="shared" si="326"/>
        <v>1-2026</v>
      </c>
      <c r="B458" s="91">
        <v>46039.0</v>
      </c>
      <c r="C458" s="48"/>
      <c r="D458" s="96">
        <v>239.45</v>
      </c>
      <c r="E458" s="97">
        <v>10.0</v>
      </c>
      <c r="F458" s="97">
        <v>10.0</v>
      </c>
      <c r="G458" s="51">
        <f t="shared" si="2"/>
        <v>1</v>
      </c>
      <c r="H458" s="49">
        <f t="shared" si="327"/>
        <v>23.945</v>
      </c>
      <c r="I458" s="49">
        <f t="shared" si="328"/>
        <v>23.945</v>
      </c>
      <c r="J458" s="98">
        <v>178.0</v>
      </c>
      <c r="K458" s="53">
        <f t="shared" si="5"/>
        <v>0.05617977528</v>
      </c>
      <c r="L458" s="96">
        <v>104.57</v>
      </c>
      <c r="M458" s="96">
        <v>285.94</v>
      </c>
      <c r="N458" s="97">
        <v>12.0</v>
      </c>
      <c r="O458" s="98">
        <v>20160.0</v>
      </c>
      <c r="P458" s="53">
        <f t="shared" ref="P458:P459" si="331">L458/M458</f>
        <v>0.3657060922</v>
      </c>
      <c r="Q458" s="55">
        <f t="shared" si="7"/>
        <v>2.734436263</v>
      </c>
      <c r="R458" s="53">
        <f t="shared" si="8"/>
        <v>1.194153268</v>
      </c>
      <c r="S458" s="19"/>
      <c r="T458" s="28"/>
      <c r="U458" s="9"/>
      <c r="V458" s="9"/>
      <c r="W458" s="9"/>
      <c r="X458" s="9"/>
      <c r="Y458" s="9"/>
      <c r="Z458" s="9"/>
    </row>
    <row r="459">
      <c r="A459" s="101" t="s">
        <v>55</v>
      </c>
      <c r="B459" s="102"/>
      <c r="C459" s="103"/>
      <c r="D459" s="104">
        <f t="shared" ref="D459:F459" si="329">SUM(D452:D458)</f>
        <v>2000.31</v>
      </c>
      <c r="E459" s="105">
        <f t="shared" si="329"/>
        <v>84</v>
      </c>
      <c r="F459" s="105">
        <f t="shared" si="329"/>
        <v>77</v>
      </c>
      <c r="G459" s="106">
        <f t="shared" si="2"/>
        <v>1.090909091</v>
      </c>
      <c r="H459" s="104">
        <f>average(H452:H458)</f>
        <v>25.84424892</v>
      </c>
      <c r="I459" s="107">
        <f>H459/G459</f>
        <v>23.69056151</v>
      </c>
      <c r="J459" s="108">
        <f>SUM(J452:J458)</f>
        <v>1500</v>
      </c>
      <c r="K459" s="109">
        <f t="shared" si="5"/>
        <v>0.056</v>
      </c>
      <c r="L459" s="104">
        <f t="shared" ref="L459:N459" si="330">SUM(L452:L458)</f>
        <v>826.23</v>
      </c>
      <c r="M459" s="104">
        <f t="shared" si="330"/>
        <v>1549.18</v>
      </c>
      <c r="N459" s="110">
        <f t="shared" si="330"/>
        <v>60</v>
      </c>
      <c r="O459" s="111">
        <f>sum(O452:O458)</f>
        <v>206916</v>
      </c>
      <c r="P459" s="109">
        <f t="shared" si="331"/>
        <v>0.5333337637</v>
      </c>
      <c r="Q459" s="112">
        <f t="shared" si="7"/>
        <v>1.874998487</v>
      </c>
      <c r="R459" s="113">
        <f t="shared" si="8"/>
        <v>0.7744699572</v>
      </c>
      <c r="S459" s="103" t="str">
        <f>iferror((D459-#REF!)/D459,)</f>
        <v/>
      </c>
      <c r="T459" s="114" t="str">
        <f>iferror((F459-#REF!)/F459,)</f>
        <v/>
      </c>
      <c r="U459" s="9"/>
      <c r="V459" s="9"/>
      <c r="W459" s="10"/>
      <c r="X459" s="10"/>
      <c r="Y459" s="10"/>
      <c r="Z459" s="10"/>
    </row>
    <row r="460">
      <c r="A460" s="36" t="str">
        <f t="shared" ref="A460:A466" si="332">iferror(if(B460&gt;0,month(B460)&amp;"-"&amp;year(B460),B460),)</f>
        <v>1-2026</v>
      </c>
      <c r="B460" s="91">
        <v>46040.0</v>
      </c>
      <c r="C460" s="38"/>
      <c r="D460" s="92">
        <v>766.55</v>
      </c>
      <c r="E460" s="93">
        <v>31.0</v>
      </c>
      <c r="F460" s="93">
        <v>27.0</v>
      </c>
      <c r="G460" s="41">
        <f t="shared" si="2"/>
        <v>1.148148148</v>
      </c>
      <c r="H460" s="39">
        <f t="shared" ref="H460:H466" si="333">D460/F460</f>
        <v>28.39074074</v>
      </c>
      <c r="I460" s="39">
        <f t="shared" ref="I460:I466" si="334">D460/E460</f>
        <v>24.72741935</v>
      </c>
      <c r="J460" s="94">
        <v>258.0</v>
      </c>
      <c r="K460" s="43">
        <f t="shared" si="5"/>
        <v>0.1201550388</v>
      </c>
      <c r="L460" s="92">
        <v>138.96</v>
      </c>
      <c r="M460" s="92">
        <v>475.4</v>
      </c>
      <c r="N460" s="93">
        <v>17.0</v>
      </c>
      <c r="O460" s="94">
        <v>28491.0</v>
      </c>
      <c r="P460" s="95">
        <v>0.4734</v>
      </c>
      <c r="Q460" s="44">
        <f t="shared" si="7"/>
        <v>3.421128382</v>
      </c>
      <c r="R460" s="43">
        <f t="shared" si="8"/>
        <v>0.6201813319</v>
      </c>
      <c r="S460" s="45"/>
      <c r="T460" s="46"/>
      <c r="U460" s="9"/>
      <c r="V460" s="9"/>
      <c r="W460" s="9"/>
      <c r="X460" s="9"/>
      <c r="Y460" s="9"/>
      <c r="Z460" s="9"/>
    </row>
    <row r="461">
      <c r="A461" s="47" t="str">
        <f t="shared" si="332"/>
        <v>1-2026</v>
      </c>
      <c r="B461" s="91">
        <v>46041.0</v>
      </c>
      <c r="C461" s="48"/>
      <c r="D461" s="96">
        <v>387.43</v>
      </c>
      <c r="E461" s="97">
        <v>17.0</v>
      </c>
      <c r="F461" s="97">
        <v>16.0</v>
      </c>
      <c r="G461" s="51">
        <f t="shared" si="2"/>
        <v>1.0625</v>
      </c>
      <c r="H461" s="49">
        <f t="shared" si="333"/>
        <v>24.214375</v>
      </c>
      <c r="I461" s="49">
        <f t="shared" si="334"/>
        <v>22.79</v>
      </c>
      <c r="J461" s="98">
        <v>219.0</v>
      </c>
      <c r="K461" s="53">
        <f t="shared" si="5"/>
        <v>0.07762557078</v>
      </c>
      <c r="L461" s="96">
        <v>108.61</v>
      </c>
      <c r="M461" s="99">
        <v>219.22</v>
      </c>
      <c r="N461" s="97">
        <v>10.0</v>
      </c>
      <c r="O461" s="98">
        <v>25914.0</v>
      </c>
      <c r="P461" s="100">
        <v>0.2985</v>
      </c>
      <c r="Q461" s="55">
        <f t="shared" si="7"/>
        <v>2.018414511</v>
      </c>
      <c r="R461" s="53">
        <f t="shared" si="8"/>
        <v>0.5658312469</v>
      </c>
      <c r="S461" s="19"/>
      <c r="T461" s="28"/>
      <c r="U461" s="9"/>
      <c r="V461" s="9"/>
      <c r="W461" s="9"/>
      <c r="X461" s="9"/>
      <c r="Y461" s="9"/>
      <c r="Z461" s="9"/>
    </row>
    <row r="462">
      <c r="A462" s="47" t="str">
        <f t="shared" si="332"/>
        <v>1-2026</v>
      </c>
      <c r="B462" s="91">
        <v>46042.0</v>
      </c>
      <c r="C462" s="48"/>
      <c r="D462" s="96">
        <v>268.68</v>
      </c>
      <c r="E462" s="97">
        <v>11.0</v>
      </c>
      <c r="F462" s="97">
        <v>10.0</v>
      </c>
      <c r="G462" s="51">
        <f t="shared" si="2"/>
        <v>1.1</v>
      </c>
      <c r="H462" s="49">
        <f t="shared" si="333"/>
        <v>26.868</v>
      </c>
      <c r="I462" s="49">
        <f t="shared" si="334"/>
        <v>24.42545455</v>
      </c>
      <c r="J462" s="98">
        <v>190.0</v>
      </c>
      <c r="K462" s="53">
        <f t="shared" si="5"/>
        <v>0.05789473684</v>
      </c>
      <c r="L462" s="92">
        <v>94.48</v>
      </c>
      <c r="M462" s="92">
        <v>247.96</v>
      </c>
      <c r="N462" s="93">
        <v>10.0</v>
      </c>
      <c r="O462" s="98">
        <v>19986.0</v>
      </c>
      <c r="P462" s="100">
        <v>0.3486</v>
      </c>
      <c r="Q462" s="55">
        <f t="shared" si="7"/>
        <v>2.624470787</v>
      </c>
      <c r="R462" s="53">
        <f t="shared" si="8"/>
        <v>0.9228822391</v>
      </c>
      <c r="S462" s="19"/>
      <c r="T462" s="28"/>
      <c r="U462" s="9"/>
      <c r="V462" s="9"/>
      <c r="W462" s="9"/>
      <c r="X462" s="9"/>
      <c r="Y462" s="9"/>
      <c r="Z462" s="9"/>
    </row>
    <row r="463">
      <c r="A463" s="47" t="str">
        <f t="shared" si="332"/>
        <v>1-2026</v>
      </c>
      <c r="B463" s="91">
        <v>46043.0</v>
      </c>
      <c r="C463" s="48"/>
      <c r="D463" s="96">
        <v>475.38</v>
      </c>
      <c r="E463" s="97">
        <v>19.0</v>
      </c>
      <c r="F463" s="97">
        <v>17.0</v>
      </c>
      <c r="G463" s="51">
        <f t="shared" si="2"/>
        <v>1.117647059</v>
      </c>
      <c r="H463" s="49">
        <f t="shared" si="333"/>
        <v>27.96352941</v>
      </c>
      <c r="I463" s="49">
        <f t="shared" si="334"/>
        <v>25.02</v>
      </c>
      <c r="J463" s="98">
        <v>236.0</v>
      </c>
      <c r="K463" s="53">
        <f t="shared" si="5"/>
        <v>0.08050847458</v>
      </c>
      <c r="L463" s="96">
        <v>119.79</v>
      </c>
      <c r="M463" s="96">
        <v>230.2</v>
      </c>
      <c r="N463" s="97">
        <v>8.0</v>
      </c>
      <c r="O463" s="98">
        <v>24705.0</v>
      </c>
      <c r="P463" s="100">
        <v>0.3572</v>
      </c>
      <c r="Q463" s="55">
        <f t="shared" si="7"/>
        <v>1.921696302</v>
      </c>
      <c r="R463" s="53">
        <f t="shared" si="8"/>
        <v>0.4842441836</v>
      </c>
      <c r="S463" s="19"/>
      <c r="T463" s="28"/>
      <c r="U463" s="9"/>
      <c r="V463" s="9"/>
      <c r="W463" s="9"/>
      <c r="X463" s="9"/>
      <c r="Y463" s="9"/>
      <c r="Z463" s="9"/>
    </row>
    <row r="464">
      <c r="A464" s="47" t="str">
        <f t="shared" si="332"/>
        <v>1-2026</v>
      </c>
      <c r="B464" s="91">
        <v>46044.0</v>
      </c>
      <c r="C464" s="48"/>
      <c r="D464" s="96">
        <v>303.69</v>
      </c>
      <c r="E464" s="97">
        <v>13.0</v>
      </c>
      <c r="F464" s="97">
        <v>12.0</v>
      </c>
      <c r="G464" s="51">
        <f t="shared" si="2"/>
        <v>1.083333333</v>
      </c>
      <c r="H464" s="49">
        <f t="shared" si="333"/>
        <v>25.3075</v>
      </c>
      <c r="I464" s="49">
        <f t="shared" si="334"/>
        <v>23.36076923</v>
      </c>
      <c r="J464" s="98">
        <v>266.0</v>
      </c>
      <c r="K464" s="53">
        <f t="shared" si="5"/>
        <v>0.04887218045</v>
      </c>
      <c r="L464" s="96">
        <v>132.87</v>
      </c>
      <c r="M464" s="96">
        <v>216.45</v>
      </c>
      <c r="N464" s="97">
        <v>9.0</v>
      </c>
      <c r="O464" s="98">
        <v>29515.0</v>
      </c>
      <c r="P464" s="100">
        <v>0.3225</v>
      </c>
      <c r="Q464" s="55">
        <f t="shared" si="7"/>
        <v>1.6290359</v>
      </c>
      <c r="R464" s="53">
        <f t="shared" si="8"/>
        <v>0.7127333794</v>
      </c>
      <c r="S464" s="19"/>
      <c r="T464" s="28"/>
      <c r="U464" s="9"/>
      <c r="V464" s="9"/>
      <c r="W464" s="9"/>
      <c r="X464" s="9"/>
      <c r="Y464" s="9"/>
      <c r="Z464" s="9"/>
    </row>
    <row r="465">
      <c r="A465" s="47" t="str">
        <f t="shared" si="332"/>
        <v>1-2026</v>
      </c>
      <c r="B465" s="91">
        <v>46045.0</v>
      </c>
      <c r="C465" s="48"/>
      <c r="D465" s="96">
        <v>583.09</v>
      </c>
      <c r="E465" s="97">
        <v>21.0</v>
      </c>
      <c r="F465" s="97">
        <v>17.0</v>
      </c>
      <c r="G465" s="51">
        <f t="shared" si="2"/>
        <v>1.235294118</v>
      </c>
      <c r="H465" s="49">
        <f t="shared" si="333"/>
        <v>34.29941176</v>
      </c>
      <c r="I465" s="49">
        <f t="shared" si="334"/>
        <v>27.76619048</v>
      </c>
      <c r="J465" s="98">
        <v>275.0</v>
      </c>
      <c r="K465" s="53">
        <f t="shared" si="5"/>
        <v>0.07636363636</v>
      </c>
      <c r="L465" s="96">
        <v>126.43</v>
      </c>
      <c r="M465" s="96">
        <v>323.19</v>
      </c>
      <c r="N465" s="97">
        <v>8.0</v>
      </c>
      <c r="O465" s="98">
        <v>29579.0</v>
      </c>
      <c r="P465" s="100">
        <v>0.5913</v>
      </c>
      <c r="Q465" s="55">
        <f t="shared" si="7"/>
        <v>2.5562762</v>
      </c>
      <c r="R465" s="53">
        <f t="shared" si="8"/>
        <v>0.5542712103</v>
      </c>
      <c r="S465" s="19"/>
      <c r="T465" s="28"/>
      <c r="U465" s="9"/>
      <c r="V465" s="9"/>
      <c r="W465" s="9"/>
      <c r="X465" s="9"/>
      <c r="Y465" s="9"/>
      <c r="Z465" s="9"/>
    </row>
    <row r="466" ht="15.0" customHeight="1">
      <c r="A466" s="47" t="str">
        <f t="shared" si="332"/>
        <v>1-2026</v>
      </c>
      <c r="B466" s="91">
        <v>46046.0</v>
      </c>
      <c r="C466" s="48"/>
      <c r="D466" s="96">
        <v>369.14</v>
      </c>
      <c r="E466" s="97">
        <v>14.0</v>
      </c>
      <c r="F466" s="97">
        <v>12.0</v>
      </c>
      <c r="G466" s="51">
        <f t="shared" si="2"/>
        <v>1.166666667</v>
      </c>
      <c r="H466" s="49">
        <f t="shared" si="333"/>
        <v>30.76166667</v>
      </c>
      <c r="I466" s="49">
        <f t="shared" si="334"/>
        <v>26.36714286</v>
      </c>
      <c r="J466" s="98">
        <v>309.0</v>
      </c>
      <c r="K466" s="53">
        <f t="shared" si="5"/>
        <v>0.04530744337</v>
      </c>
      <c r="L466" s="96">
        <v>153.56</v>
      </c>
      <c r="M466" s="96">
        <v>390.13</v>
      </c>
      <c r="N466" s="97">
        <v>13.0</v>
      </c>
      <c r="O466" s="98">
        <v>35861.0</v>
      </c>
      <c r="P466" s="53">
        <f t="shared" ref="P466:P467" si="337">L466/M466</f>
        <v>0.3936123856</v>
      </c>
      <c r="Q466" s="55">
        <f t="shared" si="7"/>
        <v>2.540570461</v>
      </c>
      <c r="R466" s="53">
        <f t="shared" si="8"/>
        <v>1.056861895</v>
      </c>
      <c r="S466" s="19"/>
      <c r="T466" s="28"/>
      <c r="U466" s="9"/>
      <c r="V466" s="9"/>
      <c r="W466" s="9"/>
      <c r="X466" s="9"/>
      <c r="Y466" s="9"/>
      <c r="Z466" s="9"/>
    </row>
    <row r="467">
      <c r="A467" s="110" t="s">
        <v>56</v>
      </c>
      <c r="B467" s="102"/>
      <c r="C467" s="103"/>
      <c r="D467" s="104">
        <f t="shared" ref="D467:F467" si="335">SUM(D460:D466)</f>
        <v>3153.96</v>
      </c>
      <c r="E467" s="110">
        <f t="shared" si="335"/>
        <v>126</v>
      </c>
      <c r="F467" s="110">
        <f t="shared" si="335"/>
        <v>111</v>
      </c>
      <c r="G467" s="106">
        <f t="shared" si="2"/>
        <v>1.135135135</v>
      </c>
      <c r="H467" s="104">
        <f>average(H460:H466)</f>
        <v>28.25788908</v>
      </c>
      <c r="I467" s="107">
        <f>H467/G467</f>
        <v>24.89385467</v>
      </c>
      <c r="J467" s="108">
        <f>SUM(J460:J466)</f>
        <v>1753</v>
      </c>
      <c r="K467" s="109">
        <f t="shared" si="5"/>
        <v>0.07187678266</v>
      </c>
      <c r="L467" s="104">
        <f t="shared" ref="L467:N467" si="336">SUM(L460:L466)</f>
        <v>874.7</v>
      </c>
      <c r="M467" s="104">
        <f t="shared" si="336"/>
        <v>2102.55</v>
      </c>
      <c r="N467" s="110">
        <f t="shared" si="336"/>
        <v>75</v>
      </c>
      <c r="O467" s="111">
        <f>sum(O460:O466)</f>
        <v>194051</v>
      </c>
      <c r="P467" s="109">
        <f t="shared" si="337"/>
        <v>0.416018644</v>
      </c>
      <c r="Q467" s="112">
        <f t="shared" si="7"/>
        <v>2.403738425</v>
      </c>
      <c r="R467" s="113">
        <f t="shared" si="8"/>
        <v>0.6666381311</v>
      </c>
      <c r="S467" s="103" t="str">
        <f>iferror((D467-#REF!)/D467,)</f>
        <v/>
      </c>
      <c r="T467" s="114" t="str">
        <f>iferror((F467-#REF!)/F467,)</f>
        <v/>
      </c>
      <c r="U467" s="9"/>
      <c r="V467" s="9"/>
      <c r="W467" s="10"/>
      <c r="X467" s="10"/>
      <c r="Y467" s="10"/>
      <c r="Z467" s="10"/>
    </row>
    <row r="468">
      <c r="A468" s="9"/>
      <c r="B468" s="9"/>
      <c r="C468" s="9"/>
      <c r="D468" s="9"/>
      <c r="E468" s="9"/>
      <c r="F468" s="9"/>
      <c r="G468" s="9"/>
      <c r="H468" s="9"/>
      <c r="I468" s="9"/>
      <c r="J468" s="9"/>
      <c r="K468" s="9"/>
      <c r="L468" s="115"/>
      <c r="M468" s="115"/>
      <c r="N468" s="115"/>
      <c r="O468" s="115"/>
      <c r="P468" s="9"/>
      <c r="Q468" s="9"/>
      <c r="R468" s="9"/>
      <c r="S468" s="9"/>
      <c r="T468" s="9"/>
      <c r="U468" s="9"/>
      <c r="V468" s="9"/>
      <c r="W468" s="10"/>
      <c r="X468" s="10"/>
      <c r="Y468" s="10"/>
      <c r="Z468" s="10"/>
    </row>
    <row r="469">
      <c r="A469" s="9"/>
      <c r="B469" s="9"/>
      <c r="C469" s="9"/>
      <c r="D469" s="9"/>
      <c r="E469" s="9"/>
      <c r="F469" s="9"/>
      <c r="G469" s="9"/>
      <c r="H469" s="9"/>
      <c r="I469" s="9"/>
      <c r="J469" s="9"/>
      <c r="K469" s="9"/>
      <c r="L469" s="115"/>
      <c r="M469" s="115"/>
      <c r="N469" s="115"/>
      <c r="O469" s="115"/>
      <c r="P469" s="9"/>
      <c r="Q469" s="9"/>
      <c r="R469" s="9"/>
      <c r="S469" s="9"/>
      <c r="T469" s="9"/>
      <c r="U469" s="9"/>
      <c r="V469" s="9"/>
      <c r="W469" s="10"/>
      <c r="X469" s="10"/>
      <c r="Y469" s="10"/>
      <c r="Z469" s="10"/>
    </row>
    <row r="470">
      <c r="A470" s="9"/>
      <c r="B470" s="9"/>
      <c r="C470" s="9"/>
      <c r="D470" s="9"/>
      <c r="E470" s="9"/>
      <c r="F470" s="9"/>
      <c r="G470" s="9"/>
      <c r="H470" s="9"/>
      <c r="I470" s="9"/>
      <c r="J470" s="9"/>
      <c r="K470" s="9"/>
      <c r="L470" s="115"/>
      <c r="M470" s="115"/>
      <c r="N470" s="115"/>
      <c r="O470" s="115"/>
      <c r="P470" s="9"/>
      <c r="Q470" s="9"/>
      <c r="R470" s="9"/>
      <c r="S470" s="9"/>
      <c r="T470" s="9"/>
      <c r="U470" s="9"/>
      <c r="V470" s="9"/>
      <c r="W470" s="10"/>
      <c r="X470" s="10"/>
      <c r="Y470" s="10"/>
      <c r="Z470" s="10"/>
    </row>
    <row r="471">
      <c r="A471" s="9"/>
      <c r="B471" s="9"/>
      <c r="C471" s="9"/>
      <c r="D471" s="9"/>
      <c r="E471" s="9"/>
      <c r="F471" s="9"/>
      <c r="G471" s="9"/>
      <c r="H471" s="9"/>
      <c r="I471" s="9"/>
      <c r="J471" s="9"/>
      <c r="K471" s="9"/>
      <c r="L471" s="115"/>
      <c r="M471" s="115"/>
      <c r="N471" s="115"/>
      <c r="O471" s="115"/>
      <c r="P471" s="9"/>
      <c r="Q471" s="9"/>
      <c r="R471" s="9"/>
      <c r="S471" s="9"/>
      <c r="T471" s="9"/>
      <c r="U471" s="9"/>
      <c r="V471" s="9"/>
      <c r="W471" s="10"/>
      <c r="X471" s="10"/>
      <c r="Y471" s="10"/>
      <c r="Z471" s="10"/>
    </row>
    <row r="472">
      <c r="A472" s="9"/>
      <c r="B472" s="9"/>
      <c r="C472" s="9"/>
      <c r="D472" s="9"/>
      <c r="E472" s="9"/>
      <c r="F472" s="9"/>
      <c r="G472" s="9"/>
      <c r="H472" s="9"/>
      <c r="I472" s="9"/>
      <c r="J472" s="9"/>
      <c r="K472" s="9"/>
      <c r="L472" s="115"/>
      <c r="M472" s="115"/>
      <c r="N472" s="115"/>
      <c r="O472" s="115"/>
      <c r="P472" s="9"/>
      <c r="Q472" s="9"/>
      <c r="R472" s="9"/>
      <c r="S472" s="9"/>
      <c r="T472" s="9"/>
      <c r="U472" s="9"/>
      <c r="V472" s="9"/>
      <c r="W472" s="10"/>
      <c r="X472" s="10"/>
      <c r="Y472" s="10"/>
      <c r="Z472" s="10"/>
    </row>
    <row r="473">
      <c r="A473" s="9"/>
      <c r="B473" s="9"/>
      <c r="C473" s="9"/>
      <c r="D473" s="9"/>
      <c r="E473" s="9"/>
      <c r="F473" s="9"/>
      <c r="G473" s="9"/>
      <c r="H473" s="9"/>
      <c r="I473" s="9"/>
      <c r="J473" s="9"/>
      <c r="K473" s="9"/>
      <c r="L473" s="115"/>
      <c r="M473" s="115"/>
      <c r="N473" s="115"/>
      <c r="O473" s="115"/>
      <c r="P473" s="9"/>
      <c r="Q473" s="9"/>
      <c r="R473" s="9"/>
      <c r="S473" s="9"/>
      <c r="T473" s="9"/>
      <c r="U473" s="9"/>
      <c r="V473" s="9"/>
      <c r="W473" s="10"/>
      <c r="X473" s="10"/>
      <c r="Y473" s="10"/>
      <c r="Z473" s="10"/>
    </row>
    <row r="474">
      <c r="A474" s="9"/>
      <c r="B474" s="9"/>
      <c r="C474" s="9"/>
      <c r="D474" s="9"/>
      <c r="E474" s="9"/>
      <c r="F474" s="9"/>
      <c r="G474" s="9"/>
      <c r="H474" s="9"/>
      <c r="I474" s="9"/>
      <c r="J474" s="9"/>
      <c r="K474" s="9"/>
      <c r="L474" s="115"/>
      <c r="M474" s="115"/>
      <c r="N474" s="115"/>
      <c r="O474" s="115"/>
      <c r="P474" s="9"/>
      <c r="Q474" s="9"/>
      <c r="R474" s="9"/>
      <c r="S474" s="9"/>
      <c r="T474" s="9"/>
      <c r="U474" s="9"/>
      <c r="V474" s="9"/>
      <c r="W474" s="10"/>
      <c r="X474" s="10"/>
      <c r="Y474" s="10"/>
      <c r="Z474" s="10"/>
    </row>
    <row r="475">
      <c r="A475" s="9"/>
      <c r="B475" s="9"/>
      <c r="C475" s="9"/>
      <c r="D475" s="9"/>
      <c r="E475" s="9"/>
      <c r="F475" s="9"/>
      <c r="G475" s="9"/>
      <c r="H475" s="9"/>
      <c r="I475" s="9"/>
      <c r="J475" s="9"/>
      <c r="K475" s="9"/>
      <c r="L475" s="115"/>
      <c r="M475" s="115"/>
      <c r="N475" s="115"/>
      <c r="O475" s="115"/>
      <c r="P475" s="9"/>
      <c r="Q475" s="9"/>
      <c r="R475" s="9"/>
      <c r="S475" s="9"/>
      <c r="T475" s="9"/>
      <c r="U475" s="9"/>
      <c r="V475" s="9"/>
      <c r="W475" s="10"/>
      <c r="X475" s="10"/>
      <c r="Y475" s="10"/>
      <c r="Z475" s="10"/>
    </row>
    <row r="476">
      <c r="A476" s="9"/>
      <c r="B476" s="9"/>
      <c r="C476" s="9"/>
      <c r="D476" s="9"/>
      <c r="E476" s="9"/>
      <c r="F476" s="9"/>
      <c r="G476" s="9"/>
      <c r="H476" s="9"/>
      <c r="I476" s="9"/>
      <c r="J476" s="9"/>
      <c r="K476" s="9"/>
      <c r="L476" s="115"/>
      <c r="M476" s="115"/>
      <c r="N476" s="115"/>
      <c r="O476" s="115"/>
      <c r="P476" s="9"/>
      <c r="Q476" s="9"/>
      <c r="R476" s="9"/>
      <c r="S476" s="9"/>
      <c r="T476" s="9"/>
      <c r="U476" s="9"/>
      <c r="V476" s="9"/>
      <c r="W476" s="10"/>
      <c r="X476" s="10"/>
      <c r="Y476" s="10"/>
      <c r="Z476" s="10"/>
    </row>
    <row r="477">
      <c r="A477" s="9"/>
      <c r="B477" s="9"/>
      <c r="C477" s="9"/>
      <c r="D477" s="9"/>
      <c r="E477" s="9"/>
      <c r="F477" s="9"/>
      <c r="G477" s="9"/>
      <c r="H477" s="9"/>
      <c r="I477" s="9"/>
      <c r="J477" s="9"/>
      <c r="K477" s="9"/>
      <c r="L477" s="115"/>
      <c r="M477" s="115"/>
      <c r="N477" s="115"/>
      <c r="O477" s="115"/>
      <c r="P477" s="9"/>
      <c r="Q477" s="9"/>
      <c r="R477" s="9"/>
      <c r="S477" s="9"/>
      <c r="T477" s="9"/>
      <c r="U477" s="9"/>
      <c r="V477" s="9"/>
      <c r="W477" s="10"/>
      <c r="X477" s="10"/>
      <c r="Y477" s="10"/>
      <c r="Z477" s="10"/>
    </row>
    <row r="478">
      <c r="A478" s="9"/>
      <c r="B478" s="9"/>
      <c r="C478" s="9"/>
      <c r="D478" s="9"/>
      <c r="E478" s="9"/>
      <c r="F478" s="9"/>
      <c r="G478" s="9"/>
      <c r="H478" s="9"/>
      <c r="I478" s="9"/>
      <c r="J478" s="9"/>
      <c r="K478" s="9"/>
      <c r="L478" s="115"/>
      <c r="M478" s="115"/>
      <c r="N478" s="115"/>
      <c r="O478" s="115"/>
      <c r="P478" s="9"/>
      <c r="Q478" s="9"/>
      <c r="R478" s="9"/>
      <c r="S478" s="9"/>
      <c r="T478" s="9"/>
      <c r="U478" s="9"/>
      <c r="V478" s="9"/>
      <c r="W478" s="10"/>
      <c r="X478" s="10"/>
      <c r="Y478" s="10"/>
      <c r="Z478" s="10"/>
    </row>
    <row r="479">
      <c r="A479" s="9"/>
      <c r="B479" s="9"/>
      <c r="C479" s="9"/>
      <c r="D479" s="9"/>
      <c r="E479" s="9"/>
      <c r="F479" s="9"/>
      <c r="G479" s="9"/>
      <c r="H479" s="9"/>
      <c r="I479" s="9"/>
      <c r="J479" s="9"/>
      <c r="K479" s="9"/>
      <c r="L479" s="115"/>
      <c r="M479" s="115"/>
      <c r="N479" s="115"/>
      <c r="O479" s="115"/>
      <c r="P479" s="9"/>
      <c r="Q479" s="9"/>
      <c r="R479" s="9"/>
      <c r="S479" s="9"/>
      <c r="T479" s="9"/>
      <c r="U479" s="9"/>
      <c r="V479" s="9"/>
      <c r="W479" s="10"/>
      <c r="X479" s="10"/>
      <c r="Y479" s="10"/>
      <c r="Z479" s="10"/>
    </row>
    <row r="480">
      <c r="A480" s="9"/>
      <c r="B480" s="9"/>
      <c r="C480" s="9"/>
      <c r="D480" s="9"/>
      <c r="E480" s="9"/>
      <c r="F480" s="9"/>
      <c r="G480" s="9"/>
      <c r="H480" s="9"/>
      <c r="I480" s="9"/>
      <c r="J480" s="9"/>
      <c r="K480" s="9"/>
      <c r="L480" s="115"/>
      <c r="M480" s="115"/>
      <c r="N480" s="115"/>
      <c r="O480" s="115"/>
      <c r="P480" s="9"/>
      <c r="Q480" s="9"/>
      <c r="R480" s="9"/>
      <c r="S480" s="9"/>
      <c r="T480" s="9"/>
      <c r="U480" s="9"/>
      <c r="V480" s="9"/>
      <c r="W480" s="10"/>
      <c r="X480" s="10"/>
      <c r="Y480" s="10"/>
      <c r="Z480" s="10"/>
    </row>
    <row r="481">
      <c r="A481" s="9"/>
      <c r="B481" s="9"/>
      <c r="C481" s="9"/>
      <c r="D481" s="9"/>
      <c r="E481" s="9"/>
      <c r="F481" s="9"/>
      <c r="G481" s="9"/>
      <c r="H481" s="9"/>
      <c r="I481" s="9"/>
      <c r="J481" s="9"/>
      <c r="K481" s="9"/>
      <c r="L481" s="115"/>
      <c r="M481" s="115"/>
      <c r="N481" s="115"/>
      <c r="O481" s="115"/>
      <c r="P481" s="9"/>
      <c r="Q481" s="9"/>
      <c r="R481" s="9"/>
      <c r="S481" s="9"/>
      <c r="T481" s="9"/>
      <c r="U481" s="9"/>
      <c r="V481" s="9"/>
      <c r="W481" s="10"/>
      <c r="X481" s="10"/>
      <c r="Y481" s="10"/>
      <c r="Z481" s="10"/>
    </row>
    <row r="482">
      <c r="A482" s="9"/>
      <c r="B482" s="9"/>
      <c r="C482" s="9"/>
      <c r="D482" s="9"/>
      <c r="E482" s="9"/>
      <c r="F482" s="9"/>
      <c r="G482" s="9"/>
      <c r="H482" s="9"/>
      <c r="I482" s="9"/>
      <c r="J482" s="9"/>
      <c r="K482" s="9"/>
      <c r="L482" s="115"/>
      <c r="M482" s="115"/>
      <c r="N482" s="115"/>
      <c r="O482" s="115"/>
      <c r="P482" s="9"/>
      <c r="Q482" s="9"/>
      <c r="R482" s="9"/>
      <c r="S482" s="9"/>
      <c r="T482" s="9"/>
      <c r="U482" s="9"/>
      <c r="V482" s="9"/>
      <c r="W482" s="10"/>
      <c r="X482" s="10"/>
      <c r="Y482" s="10"/>
      <c r="Z482" s="10"/>
    </row>
    <row r="483">
      <c r="A483" s="9"/>
      <c r="B483" s="9"/>
      <c r="C483" s="9"/>
      <c r="D483" s="9"/>
      <c r="E483" s="9"/>
      <c r="F483" s="9"/>
      <c r="G483" s="9"/>
      <c r="H483" s="9"/>
      <c r="I483" s="9"/>
      <c r="J483" s="9"/>
      <c r="K483" s="9"/>
      <c r="L483" s="115"/>
      <c r="M483" s="115"/>
      <c r="N483" s="115"/>
      <c r="O483" s="115"/>
      <c r="P483" s="9"/>
      <c r="Q483" s="9"/>
      <c r="R483" s="9"/>
      <c r="S483" s="9"/>
      <c r="T483" s="9"/>
      <c r="U483" s="9"/>
      <c r="V483" s="9"/>
      <c r="W483" s="10"/>
      <c r="X483" s="10"/>
      <c r="Y483" s="10"/>
      <c r="Z483" s="10"/>
    </row>
    <row r="484">
      <c r="A484" s="9"/>
      <c r="B484" s="9"/>
      <c r="C484" s="9"/>
      <c r="D484" s="9"/>
      <c r="E484" s="9"/>
      <c r="F484" s="9"/>
      <c r="G484" s="9"/>
      <c r="H484" s="9"/>
      <c r="I484" s="9"/>
      <c r="J484" s="9"/>
      <c r="K484" s="9"/>
      <c r="L484" s="115"/>
      <c r="M484" s="115"/>
      <c r="N484" s="115"/>
      <c r="O484" s="115"/>
      <c r="P484" s="9"/>
      <c r="Q484" s="9"/>
      <c r="R484" s="9"/>
      <c r="S484" s="9"/>
      <c r="T484" s="9"/>
      <c r="U484" s="9"/>
      <c r="V484" s="9"/>
      <c r="W484" s="10"/>
      <c r="X484" s="10"/>
      <c r="Y484" s="10"/>
      <c r="Z484" s="10"/>
    </row>
    <row r="485">
      <c r="A485" s="9"/>
      <c r="B485" s="9"/>
      <c r="C485" s="9"/>
      <c r="D485" s="9"/>
      <c r="E485" s="9"/>
      <c r="F485" s="9"/>
      <c r="G485" s="9"/>
      <c r="H485" s="9"/>
      <c r="I485" s="9"/>
      <c r="J485" s="9"/>
      <c r="K485" s="9"/>
      <c r="L485" s="115"/>
      <c r="M485" s="115"/>
      <c r="N485" s="115"/>
      <c r="O485" s="115"/>
      <c r="P485" s="9"/>
      <c r="Q485" s="9"/>
      <c r="R485" s="9"/>
      <c r="S485" s="9"/>
      <c r="T485" s="9"/>
      <c r="U485" s="9"/>
      <c r="V485" s="9"/>
      <c r="W485" s="10"/>
      <c r="X485" s="10"/>
      <c r="Y485" s="10"/>
      <c r="Z485" s="10"/>
    </row>
    <row r="486">
      <c r="A486" s="9"/>
      <c r="B486" s="9"/>
      <c r="C486" s="9"/>
      <c r="D486" s="9"/>
      <c r="E486" s="9"/>
      <c r="F486" s="9"/>
      <c r="G486" s="9"/>
      <c r="H486" s="9"/>
      <c r="I486" s="9"/>
      <c r="J486" s="9"/>
      <c r="K486" s="9"/>
      <c r="L486" s="115"/>
      <c r="M486" s="115"/>
      <c r="N486" s="115"/>
      <c r="O486" s="115"/>
      <c r="P486" s="9"/>
      <c r="Q486" s="9"/>
      <c r="R486" s="9"/>
      <c r="S486" s="9"/>
      <c r="T486" s="9"/>
      <c r="U486" s="9"/>
      <c r="V486" s="9"/>
      <c r="W486" s="10"/>
      <c r="X486" s="10"/>
      <c r="Y486" s="10"/>
      <c r="Z486" s="10"/>
    </row>
    <row r="487">
      <c r="A487" s="9"/>
      <c r="B487" s="9"/>
      <c r="C487" s="9"/>
      <c r="D487" s="9"/>
      <c r="E487" s="9"/>
      <c r="F487" s="9"/>
      <c r="G487" s="9"/>
      <c r="H487" s="9"/>
      <c r="I487" s="9"/>
      <c r="J487" s="9"/>
      <c r="K487" s="9"/>
      <c r="L487" s="115"/>
      <c r="M487" s="115"/>
      <c r="N487" s="115"/>
      <c r="O487" s="115"/>
      <c r="P487" s="9"/>
      <c r="Q487" s="9"/>
      <c r="R487" s="9"/>
      <c r="S487" s="9"/>
      <c r="T487" s="9"/>
      <c r="U487" s="9"/>
      <c r="V487" s="9"/>
      <c r="W487" s="10"/>
      <c r="X487" s="10"/>
      <c r="Y487" s="10"/>
      <c r="Z487" s="10"/>
    </row>
    <row r="488">
      <c r="A488" s="9"/>
      <c r="B488" s="9"/>
      <c r="C488" s="9"/>
      <c r="D488" s="9"/>
      <c r="E488" s="9"/>
      <c r="F488" s="9"/>
      <c r="G488" s="9"/>
      <c r="H488" s="9"/>
      <c r="I488" s="9"/>
      <c r="J488" s="9"/>
      <c r="K488" s="9"/>
      <c r="L488" s="115"/>
      <c r="M488" s="115"/>
      <c r="N488" s="115"/>
      <c r="O488" s="115"/>
      <c r="P488" s="9"/>
      <c r="Q488" s="9"/>
      <c r="R488" s="9"/>
      <c r="S488" s="9"/>
      <c r="T488" s="9"/>
      <c r="U488" s="9"/>
      <c r="V488" s="9"/>
      <c r="W488" s="10"/>
      <c r="X488" s="10"/>
      <c r="Y488" s="10"/>
      <c r="Z488" s="10"/>
    </row>
    <row r="489">
      <c r="A489" s="9"/>
      <c r="B489" s="9"/>
      <c r="C489" s="9"/>
      <c r="D489" s="9"/>
      <c r="E489" s="9"/>
      <c r="F489" s="9"/>
      <c r="G489" s="9"/>
      <c r="H489" s="9"/>
      <c r="I489" s="9"/>
      <c r="J489" s="9"/>
      <c r="K489" s="9"/>
      <c r="L489" s="115"/>
      <c r="M489" s="115"/>
      <c r="N489" s="115"/>
      <c r="O489" s="115"/>
      <c r="P489" s="9"/>
      <c r="Q489" s="9"/>
      <c r="R489" s="9"/>
      <c r="S489" s="9"/>
      <c r="T489" s="9"/>
      <c r="U489" s="9"/>
      <c r="V489" s="9"/>
      <c r="W489" s="10"/>
      <c r="X489" s="10"/>
      <c r="Y489" s="10"/>
      <c r="Z489" s="10"/>
    </row>
    <row r="490">
      <c r="A490" s="9"/>
      <c r="B490" s="9"/>
      <c r="C490" s="9"/>
      <c r="D490" s="9"/>
      <c r="E490" s="9"/>
      <c r="F490" s="9"/>
      <c r="G490" s="9"/>
      <c r="H490" s="9"/>
      <c r="I490" s="9"/>
      <c r="J490" s="9"/>
      <c r="K490" s="9"/>
      <c r="L490" s="115"/>
      <c r="M490" s="115"/>
      <c r="N490" s="115"/>
      <c r="O490" s="115"/>
      <c r="P490" s="9"/>
      <c r="Q490" s="9"/>
      <c r="R490" s="9"/>
      <c r="S490" s="9"/>
      <c r="T490" s="9"/>
      <c r="U490" s="9"/>
      <c r="V490" s="9"/>
      <c r="W490" s="10"/>
      <c r="X490" s="10"/>
      <c r="Y490" s="10"/>
      <c r="Z490" s="10"/>
    </row>
    <row r="491">
      <c r="A491" s="9"/>
      <c r="B491" s="9"/>
      <c r="C491" s="9"/>
      <c r="D491" s="9"/>
      <c r="E491" s="9"/>
      <c r="F491" s="9"/>
      <c r="G491" s="9"/>
      <c r="H491" s="9"/>
      <c r="I491" s="9"/>
      <c r="J491" s="9"/>
      <c r="K491" s="9"/>
      <c r="L491" s="115"/>
      <c r="M491" s="115"/>
      <c r="N491" s="115"/>
      <c r="O491" s="115"/>
      <c r="P491" s="9"/>
      <c r="Q491" s="9"/>
      <c r="R491" s="9"/>
      <c r="S491" s="9"/>
      <c r="T491" s="9"/>
      <c r="U491" s="9"/>
      <c r="V491" s="9"/>
      <c r="W491" s="10"/>
      <c r="X491" s="10"/>
      <c r="Y491" s="10"/>
      <c r="Z491" s="10"/>
    </row>
    <row r="492">
      <c r="A492" s="9"/>
      <c r="B492" s="9"/>
      <c r="C492" s="9"/>
      <c r="D492" s="9"/>
      <c r="E492" s="9"/>
      <c r="F492" s="9"/>
      <c r="G492" s="9"/>
      <c r="H492" s="9"/>
      <c r="I492" s="9"/>
      <c r="J492" s="9"/>
      <c r="K492" s="9"/>
      <c r="L492" s="115"/>
      <c r="M492" s="115"/>
      <c r="N492" s="115"/>
      <c r="O492" s="115"/>
      <c r="P492" s="9"/>
      <c r="Q492" s="9"/>
      <c r="R492" s="9"/>
      <c r="S492" s="9"/>
      <c r="T492" s="9"/>
      <c r="U492" s="9"/>
      <c r="V492" s="9"/>
      <c r="W492" s="10"/>
      <c r="X492" s="10"/>
      <c r="Y492" s="10"/>
      <c r="Z492" s="10"/>
    </row>
    <row r="493">
      <c r="A493" s="9"/>
      <c r="B493" s="9"/>
      <c r="C493" s="9"/>
      <c r="D493" s="9"/>
      <c r="E493" s="9"/>
      <c r="F493" s="9"/>
      <c r="G493" s="9"/>
      <c r="H493" s="9"/>
      <c r="I493" s="9"/>
      <c r="J493" s="9"/>
      <c r="K493" s="9"/>
      <c r="L493" s="115"/>
      <c r="M493" s="115"/>
      <c r="N493" s="115"/>
      <c r="O493" s="115"/>
      <c r="P493" s="9"/>
      <c r="Q493" s="9"/>
      <c r="R493" s="9"/>
      <c r="S493" s="9"/>
      <c r="T493" s="9"/>
      <c r="U493" s="9"/>
      <c r="V493" s="9"/>
      <c r="W493" s="10"/>
      <c r="X493" s="10"/>
      <c r="Y493" s="10"/>
      <c r="Z493" s="10"/>
    </row>
    <row r="494">
      <c r="A494" s="9"/>
      <c r="B494" s="9"/>
      <c r="C494" s="9"/>
      <c r="D494" s="9"/>
      <c r="E494" s="9"/>
      <c r="F494" s="9"/>
      <c r="G494" s="9"/>
      <c r="H494" s="9"/>
      <c r="I494" s="9"/>
      <c r="J494" s="9"/>
      <c r="K494" s="9"/>
      <c r="L494" s="115"/>
      <c r="M494" s="115"/>
      <c r="N494" s="115"/>
      <c r="O494" s="115"/>
      <c r="P494" s="9"/>
      <c r="Q494" s="9"/>
      <c r="R494" s="9"/>
      <c r="S494" s="9"/>
      <c r="T494" s="9"/>
      <c r="U494" s="9"/>
      <c r="V494" s="9"/>
      <c r="W494" s="10"/>
      <c r="X494" s="10"/>
      <c r="Y494" s="10"/>
      <c r="Z494" s="10"/>
    </row>
    <row r="495">
      <c r="A495" s="9"/>
      <c r="B495" s="9"/>
      <c r="C495" s="9"/>
      <c r="D495" s="9"/>
      <c r="E495" s="9"/>
      <c r="F495" s="9"/>
      <c r="G495" s="9"/>
      <c r="H495" s="9"/>
      <c r="I495" s="9"/>
      <c r="J495" s="9"/>
      <c r="K495" s="9"/>
      <c r="L495" s="115"/>
      <c r="M495" s="115"/>
      <c r="N495" s="115"/>
      <c r="O495" s="115"/>
      <c r="P495" s="9"/>
      <c r="Q495" s="9"/>
      <c r="R495" s="9"/>
      <c r="S495" s="9"/>
      <c r="T495" s="9"/>
      <c r="U495" s="9"/>
      <c r="V495" s="9"/>
      <c r="W495" s="10"/>
      <c r="X495" s="10"/>
      <c r="Y495" s="10"/>
      <c r="Z495" s="10"/>
    </row>
    <row r="496">
      <c r="A496" s="9"/>
      <c r="B496" s="9"/>
      <c r="C496" s="9"/>
      <c r="D496" s="9"/>
      <c r="E496" s="9"/>
      <c r="F496" s="9"/>
      <c r="G496" s="9"/>
      <c r="H496" s="9"/>
      <c r="I496" s="9"/>
      <c r="J496" s="9"/>
      <c r="K496" s="9"/>
      <c r="L496" s="115"/>
      <c r="M496" s="115"/>
      <c r="N496" s="115"/>
      <c r="O496" s="115"/>
      <c r="P496" s="9"/>
      <c r="Q496" s="9"/>
      <c r="R496" s="9"/>
      <c r="S496" s="9"/>
      <c r="T496" s="9"/>
      <c r="U496" s="9"/>
      <c r="V496" s="9"/>
      <c r="W496" s="10"/>
      <c r="X496" s="10"/>
      <c r="Y496" s="10"/>
      <c r="Z496" s="10"/>
    </row>
    <row r="497">
      <c r="A497" s="9"/>
      <c r="B497" s="9"/>
      <c r="C497" s="9"/>
      <c r="D497" s="9"/>
      <c r="E497" s="9"/>
      <c r="F497" s="9"/>
      <c r="G497" s="9"/>
      <c r="H497" s="9"/>
      <c r="I497" s="9"/>
      <c r="J497" s="9"/>
      <c r="K497" s="9"/>
      <c r="L497" s="115"/>
      <c r="M497" s="115"/>
      <c r="N497" s="115"/>
      <c r="O497" s="115"/>
      <c r="P497" s="9"/>
      <c r="Q497" s="9"/>
      <c r="R497" s="9"/>
      <c r="S497" s="9"/>
      <c r="T497" s="9"/>
      <c r="U497" s="9"/>
      <c r="V497" s="9"/>
      <c r="W497" s="10"/>
      <c r="X497" s="10"/>
      <c r="Y497" s="10"/>
      <c r="Z497" s="10"/>
    </row>
    <row r="498">
      <c r="A498" s="9"/>
      <c r="B498" s="9"/>
      <c r="C498" s="9"/>
      <c r="D498" s="9"/>
      <c r="E498" s="9"/>
      <c r="F498" s="9"/>
      <c r="G498" s="9"/>
      <c r="H498" s="9"/>
      <c r="I498" s="9"/>
      <c r="J498" s="9"/>
      <c r="K498" s="9"/>
      <c r="L498" s="115"/>
      <c r="M498" s="115"/>
      <c r="N498" s="115"/>
      <c r="O498" s="115"/>
      <c r="P498" s="9"/>
      <c r="Q498" s="9"/>
      <c r="R498" s="9"/>
      <c r="S498" s="9"/>
      <c r="T498" s="9"/>
      <c r="U498" s="9"/>
      <c r="V498" s="9"/>
      <c r="W498" s="10"/>
      <c r="X498" s="10"/>
      <c r="Y498" s="10"/>
      <c r="Z498" s="10"/>
    </row>
    <row r="499">
      <c r="A499" s="9"/>
      <c r="B499" s="9"/>
      <c r="C499" s="9"/>
      <c r="D499" s="9"/>
      <c r="E499" s="9"/>
      <c r="F499" s="9"/>
      <c r="G499" s="9"/>
      <c r="H499" s="9"/>
      <c r="I499" s="9"/>
      <c r="J499" s="9"/>
      <c r="K499" s="9"/>
      <c r="L499" s="115"/>
      <c r="M499" s="115"/>
      <c r="N499" s="115"/>
      <c r="O499" s="115"/>
      <c r="P499" s="9"/>
      <c r="Q499" s="9"/>
      <c r="R499" s="9"/>
      <c r="S499" s="9"/>
      <c r="T499" s="9"/>
      <c r="U499" s="9"/>
      <c r="V499" s="9"/>
      <c r="W499" s="10"/>
      <c r="X499" s="10"/>
      <c r="Y499" s="10"/>
      <c r="Z499" s="10"/>
    </row>
    <row r="500">
      <c r="A500" s="9"/>
      <c r="B500" s="9"/>
      <c r="C500" s="9"/>
      <c r="D500" s="9"/>
      <c r="E500" s="9"/>
      <c r="F500" s="9"/>
      <c r="G500" s="9"/>
      <c r="H500" s="9"/>
      <c r="I500" s="9"/>
      <c r="J500" s="9"/>
      <c r="K500" s="9"/>
      <c r="L500" s="115"/>
      <c r="M500" s="115"/>
      <c r="N500" s="115"/>
      <c r="O500" s="115"/>
      <c r="P500" s="9"/>
      <c r="Q500" s="9"/>
      <c r="R500" s="9"/>
      <c r="S500" s="9"/>
      <c r="T500" s="9"/>
      <c r="U500" s="9"/>
      <c r="V500" s="9"/>
      <c r="W500" s="10"/>
      <c r="X500" s="10"/>
      <c r="Y500" s="10"/>
      <c r="Z500" s="10"/>
    </row>
    <row r="501">
      <c r="A501" s="9"/>
      <c r="B501" s="9"/>
      <c r="C501" s="9"/>
      <c r="D501" s="9"/>
      <c r="E501" s="9"/>
      <c r="F501" s="9"/>
      <c r="G501" s="9"/>
      <c r="H501" s="9"/>
      <c r="I501" s="9"/>
      <c r="J501" s="9"/>
      <c r="K501" s="9"/>
      <c r="L501" s="115"/>
      <c r="M501" s="115"/>
      <c r="N501" s="115"/>
      <c r="O501" s="115"/>
      <c r="P501" s="9"/>
      <c r="Q501" s="9"/>
      <c r="R501" s="9"/>
      <c r="S501" s="9"/>
      <c r="T501" s="9"/>
      <c r="U501" s="9"/>
      <c r="V501" s="9"/>
      <c r="W501" s="10"/>
      <c r="X501" s="10"/>
      <c r="Y501" s="10"/>
      <c r="Z501" s="10"/>
    </row>
    <row r="502">
      <c r="A502" s="9"/>
      <c r="B502" s="9"/>
      <c r="C502" s="9"/>
      <c r="D502" s="9"/>
      <c r="E502" s="9"/>
      <c r="F502" s="9"/>
      <c r="G502" s="9"/>
      <c r="H502" s="9"/>
      <c r="I502" s="9"/>
      <c r="J502" s="9"/>
      <c r="K502" s="9"/>
      <c r="L502" s="115"/>
      <c r="M502" s="115"/>
      <c r="N502" s="115"/>
      <c r="O502" s="115"/>
      <c r="P502" s="9"/>
      <c r="Q502" s="9"/>
      <c r="R502" s="9"/>
      <c r="S502" s="9"/>
      <c r="T502" s="9"/>
      <c r="U502" s="9"/>
      <c r="V502" s="9"/>
      <c r="W502" s="10"/>
      <c r="X502" s="10"/>
      <c r="Y502" s="10"/>
      <c r="Z502" s="10"/>
    </row>
    <row r="503">
      <c r="A503" s="9"/>
      <c r="B503" s="9"/>
      <c r="C503" s="9"/>
      <c r="D503" s="9"/>
      <c r="E503" s="9"/>
      <c r="F503" s="9"/>
      <c r="G503" s="9"/>
      <c r="H503" s="9"/>
      <c r="I503" s="9"/>
      <c r="J503" s="9"/>
      <c r="K503" s="9"/>
      <c r="L503" s="115"/>
      <c r="M503" s="115"/>
      <c r="N503" s="115"/>
      <c r="O503" s="115"/>
      <c r="P503" s="9"/>
      <c r="Q503" s="9"/>
      <c r="R503" s="9"/>
      <c r="S503" s="9"/>
      <c r="T503" s="9"/>
      <c r="U503" s="9"/>
      <c r="V503" s="9"/>
      <c r="W503" s="10"/>
      <c r="X503" s="10"/>
      <c r="Y503" s="10"/>
      <c r="Z503" s="10"/>
    </row>
    <row r="504">
      <c r="A504" s="9"/>
      <c r="B504" s="9"/>
      <c r="C504" s="9"/>
      <c r="D504" s="9"/>
      <c r="E504" s="9"/>
      <c r="F504" s="9"/>
      <c r="G504" s="9"/>
      <c r="H504" s="9"/>
      <c r="I504" s="9"/>
      <c r="J504" s="9"/>
      <c r="K504" s="9"/>
      <c r="L504" s="115"/>
      <c r="M504" s="115"/>
      <c r="N504" s="115"/>
      <c r="O504" s="115"/>
      <c r="P504" s="9"/>
      <c r="Q504" s="9"/>
      <c r="R504" s="9"/>
      <c r="S504" s="9"/>
      <c r="T504" s="9"/>
      <c r="U504" s="9"/>
      <c r="V504" s="9"/>
      <c r="W504" s="10"/>
      <c r="X504" s="10"/>
      <c r="Y504" s="10"/>
      <c r="Z504" s="10"/>
    </row>
    <row r="505">
      <c r="A505" s="9"/>
      <c r="B505" s="9"/>
      <c r="C505" s="9"/>
      <c r="D505" s="9"/>
      <c r="E505" s="9"/>
      <c r="F505" s="9"/>
      <c r="G505" s="9"/>
      <c r="H505" s="9"/>
      <c r="I505" s="9"/>
      <c r="J505" s="9"/>
      <c r="K505" s="9"/>
      <c r="L505" s="115"/>
      <c r="M505" s="115"/>
      <c r="N505" s="115"/>
      <c r="O505" s="115"/>
      <c r="P505" s="9"/>
      <c r="Q505" s="9"/>
      <c r="R505" s="9"/>
      <c r="S505" s="9"/>
      <c r="T505" s="9"/>
      <c r="U505" s="9"/>
      <c r="V505" s="9"/>
      <c r="W505" s="10"/>
      <c r="X505" s="10"/>
      <c r="Y505" s="10"/>
      <c r="Z505" s="10"/>
    </row>
    <row r="506">
      <c r="A506" s="9"/>
      <c r="B506" s="9"/>
      <c r="C506" s="9"/>
      <c r="D506" s="9"/>
      <c r="E506" s="9"/>
      <c r="F506" s="9"/>
      <c r="G506" s="9"/>
      <c r="H506" s="9"/>
      <c r="I506" s="9"/>
      <c r="J506" s="9"/>
      <c r="K506" s="9"/>
      <c r="L506" s="115"/>
      <c r="M506" s="115"/>
      <c r="N506" s="115"/>
      <c r="O506" s="115"/>
      <c r="P506" s="9"/>
      <c r="Q506" s="9"/>
      <c r="R506" s="9"/>
      <c r="S506" s="9"/>
      <c r="T506" s="9"/>
      <c r="U506" s="9"/>
      <c r="V506" s="9"/>
      <c r="W506" s="10"/>
      <c r="X506" s="10"/>
      <c r="Y506" s="10"/>
      <c r="Z506" s="10"/>
    </row>
    <row r="507">
      <c r="A507" s="9"/>
      <c r="B507" s="9"/>
      <c r="C507" s="9"/>
      <c r="D507" s="9"/>
      <c r="E507" s="9"/>
      <c r="F507" s="9"/>
      <c r="G507" s="9"/>
      <c r="H507" s="9"/>
      <c r="I507" s="9"/>
      <c r="J507" s="9"/>
      <c r="K507" s="9"/>
      <c r="L507" s="115"/>
      <c r="M507" s="115"/>
      <c r="N507" s="115"/>
      <c r="O507" s="115"/>
      <c r="P507" s="9"/>
      <c r="Q507" s="9"/>
      <c r="R507" s="9"/>
      <c r="S507" s="9"/>
      <c r="T507" s="9"/>
      <c r="U507" s="9"/>
      <c r="V507" s="9"/>
      <c r="W507" s="10"/>
      <c r="X507" s="10"/>
      <c r="Y507" s="10"/>
      <c r="Z507" s="10"/>
    </row>
    <row r="508">
      <c r="A508" s="9"/>
      <c r="B508" s="9"/>
      <c r="C508" s="9"/>
      <c r="D508" s="9"/>
      <c r="E508" s="9"/>
      <c r="F508" s="9"/>
      <c r="G508" s="9"/>
      <c r="H508" s="9"/>
      <c r="I508" s="9"/>
      <c r="J508" s="9"/>
      <c r="K508" s="9"/>
      <c r="L508" s="115"/>
      <c r="M508" s="115"/>
      <c r="N508" s="115"/>
      <c r="O508" s="115"/>
      <c r="P508" s="9"/>
      <c r="Q508" s="9"/>
      <c r="R508" s="9"/>
      <c r="S508" s="9"/>
      <c r="T508" s="9"/>
      <c r="U508" s="9"/>
      <c r="V508" s="9"/>
      <c r="W508" s="10"/>
      <c r="X508" s="10"/>
      <c r="Y508" s="10"/>
      <c r="Z508" s="10"/>
    </row>
    <row r="509">
      <c r="A509" s="9"/>
      <c r="B509" s="9"/>
      <c r="C509" s="9"/>
      <c r="D509" s="9"/>
      <c r="E509" s="9"/>
      <c r="F509" s="9"/>
      <c r="G509" s="9"/>
      <c r="H509" s="9"/>
      <c r="I509" s="9"/>
      <c r="J509" s="9"/>
      <c r="K509" s="9"/>
      <c r="L509" s="115"/>
      <c r="M509" s="115"/>
      <c r="N509" s="115"/>
      <c r="O509" s="115"/>
      <c r="P509" s="9"/>
      <c r="Q509" s="9"/>
      <c r="R509" s="9"/>
      <c r="S509" s="9"/>
      <c r="T509" s="9"/>
      <c r="U509" s="9"/>
      <c r="V509" s="9"/>
      <c r="W509" s="10"/>
      <c r="X509" s="10"/>
      <c r="Y509" s="10"/>
      <c r="Z509" s="10"/>
    </row>
    <row r="510">
      <c r="A510" s="9"/>
      <c r="B510" s="9"/>
      <c r="C510" s="9"/>
      <c r="D510" s="9"/>
      <c r="E510" s="9"/>
      <c r="F510" s="9"/>
      <c r="G510" s="9"/>
      <c r="H510" s="9"/>
      <c r="I510" s="9"/>
      <c r="J510" s="9"/>
      <c r="K510" s="9"/>
      <c r="L510" s="115"/>
      <c r="M510" s="115"/>
      <c r="N510" s="115"/>
      <c r="O510" s="115"/>
      <c r="P510" s="9"/>
      <c r="Q510" s="9"/>
      <c r="R510" s="9"/>
      <c r="S510" s="9"/>
      <c r="T510" s="9"/>
      <c r="U510" s="9"/>
      <c r="V510" s="9"/>
      <c r="W510" s="10"/>
      <c r="X510" s="10"/>
      <c r="Y510" s="10"/>
      <c r="Z510" s="10"/>
    </row>
    <row r="511">
      <c r="A511" s="9"/>
      <c r="B511" s="9"/>
      <c r="C511" s="9"/>
      <c r="D511" s="9"/>
      <c r="E511" s="9"/>
      <c r="F511" s="9"/>
      <c r="G511" s="9"/>
      <c r="H511" s="9"/>
      <c r="I511" s="9"/>
      <c r="J511" s="9"/>
      <c r="K511" s="9"/>
      <c r="L511" s="115"/>
      <c r="M511" s="115"/>
      <c r="N511" s="115"/>
      <c r="O511" s="115"/>
      <c r="P511" s="9"/>
      <c r="Q511" s="9"/>
      <c r="R511" s="9"/>
      <c r="S511" s="9"/>
      <c r="T511" s="9"/>
      <c r="U511" s="9"/>
      <c r="V511" s="9"/>
      <c r="W511" s="10"/>
      <c r="X511" s="10"/>
      <c r="Y511" s="10"/>
      <c r="Z511" s="10"/>
    </row>
    <row r="512">
      <c r="A512" s="9"/>
      <c r="B512" s="9"/>
      <c r="C512" s="9"/>
      <c r="D512" s="9"/>
      <c r="E512" s="9"/>
      <c r="F512" s="9"/>
      <c r="G512" s="9"/>
      <c r="H512" s="9"/>
      <c r="I512" s="9"/>
      <c r="J512" s="9"/>
      <c r="K512" s="9"/>
      <c r="L512" s="115"/>
      <c r="M512" s="115"/>
      <c r="N512" s="115"/>
      <c r="O512" s="115"/>
      <c r="P512" s="9"/>
      <c r="Q512" s="9"/>
      <c r="R512" s="9"/>
      <c r="S512" s="9"/>
      <c r="T512" s="9"/>
      <c r="U512" s="9"/>
      <c r="V512" s="9"/>
      <c r="W512" s="10"/>
      <c r="X512" s="10"/>
      <c r="Y512" s="10"/>
      <c r="Z512" s="10"/>
    </row>
    <row r="513">
      <c r="A513" s="9"/>
      <c r="B513" s="9"/>
      <c r="C513" s="9"/>
      <c r="D513" s="9"/>
      <c r="E513" s="9"/>
      <c r="F513" s="9"/>
      <c r="G513" s="9"/>
      <c r="H513" s="9"/>
      <c r="I513" s="9"/>
      <c r="J513" s="9"/>
      <c r="K513" s="9"/>
      <c r="L513" s="115"/>
      <c r="M513" s="115"/>
      <c r="N513" s="115"/>
      <c r="O513" s="115"/>
      <c r="P513" s="9"/>
      <c r="Q513" s="9"/>
      <c r="R513" s="9"/>
      <c r="S513" s="9"/>
      <c r="T513" s="9"/>
      <c r="U513" s="9"/>
      <c r="V513" s="9"/>
      <c r="W513" s="10"/>
      <c r="X513" s="10"/>
      <c r="Y513" s="10"/>
      <c r="Z513" s="10"/>
    </row>
    <row r="514">
      <c r="A514" s="9"/>
      <c r="B514" s="9"/>
      <c r="C514" s="9"/>
      <c r="D514" s="9"/>
      <c r="E514" s="9"/>
      <c r="F514" s="9"/>
      <c r="G514" s="9"/>
      <c r="H514" s="9"/>
      <c r="I514" s="9"/>
      <c r="J514" s="9"/>
      <c r="K514" s="9"/>
      <c r="L514" s="115"/>
      <c r="M514" s="115"/>
      <c r="N514" s="115"/>
      <c r="O514" s="115"/>
      <c r="P514" s="9"/>
      <c r="Q514" s="9"/>
      <c r="R514" s="9"/>
      <c r="S514" s="9"/>
      <c r="T514" s="9"/>
      <c r="U514" s="9"/>
      <c r="V514" s="9"/>
      <c r="W514" s="10"/>
      <c r="X514" s="10"/>
      <c r="Y514" s="10"/>
      <c r="Z514" s="10"/>
    </row>
    <row r="515">
      <c r="A515" s="9"/>
      <c r="B515" s="9"/>
      <c r="C515" s="9"/>
      <c r="D515" s="9"/>
      <c r="E515" s="9"/>
      <c r="F515" s="9"/>
      <c r="G515" s="9"/>
      <c r="H515" s="9"/>
      <c r="I515" s="9"/>
      <c r="J515" s="9"/>
      <c r="K515" s="9"/>
      <c r="L515" s="115"/>
      <c r="M515" s="115"/>
      <c r="N515" s="115"/>
      <c r="O515" s="115"/>
      <c r="P515" s="9"/>
      <c r="Q515" s="9"/>
      <c r="R515" s="9"/>
      <c r="S515" s="9"/>
      <c r="T515" s="9"/>
      <c r="U515" s="9"/>
      <c r="V515" s="9"/>
      <c r="W515" s="10"/>
      <c r="X515" s="10"/>
      <c r="Y515" s="10"/>
      <c r="Z515" s="10"/>
    </row>
    <row r="516">
      <c r="A516" s="9"/>
      <c r="B516" s="9"/>
      <c r="C516" s="9"/>
      <c r="D516" s="9"/>
      <c r="E516" s="9"/>
      <c r="F516" s="9"/>
      <c r="G516" s="9"/>
      <c r="H516" s="9"/>
      <c r="I516" s="9"/>
      <c r="J516" s="9"/>
      <c r="K516" s="9"/>
      <c r="L516" s="115"/>
      <c r="M516" s="115"/>
      <c r="N516" s="115"/>
      <c r="O516" s="115"/>
      <c r="P516" s="9"/>
      <c r="Q516" s="9"/>
      <c r="R516" s="9"/>
      <c r="S516" s="9"/>
      <c r="T516" s="9"/>
      <c r="U516" s="9"/>
      <c r="V516" s="9"/>
      <c r="W516" s="10"/>
      <c r="X516" s="10"/>
      <c r="Y516" s="10"/>
      <c r="Z516" s="10"/>
    </row>
    <row r="517">
      <c r="A517" s="9"/>
      <c r="B517" s="9"/>
      <c r="C517" s="9"/>
      <c r="D517" s="9"/>
      <c r="E517" s="9"/>
      <c r="F517" s="9"/>
      <c r="G517" s="9"/>
      <c r="H517" s="9"/>
      <c r="I517" s="9"/>
      <c r="J517" s="9"/>
      <c r="K517" s="9"/>
      <c r="L517" s="115"/>
      <c r="M517" s="115"/>
      <c r="N517" s="115"/>
      <c r="O517" s="115"/>
      <c r="P517" s="9"/>
      <c r="Q517" s="9"/>
      <c r="R517" s="9"/>
      <c r="S517" s="9"/>
      <c r="T517" s="9"/>
      <c r="U517" s="9"/>
      <c r="V517" s="9"/>
      <c r="W517" s="10"/>
      <c r="X517" s="10"/>
      <c r="Y517" s="10"/>
      <c r="Z517" s="10"/>
    </row>
    <row r="518">
      <c r="A518" s="9"/>
      <c r="B518" s="9"/>
      <c r="C518" s="9"/>
      <c r="D518" s="9"/>
      <c r="E518" s="9"/>
      <c r="F518" s="9"/>
      <c r="G518" s="9"/>
      <c r="H518" s="9"/>
      <c r="I518" s="9"/>
      <c r="J518" s="9"/>
      <c r="K518" s="9"/>
      <c r="L518" s="115"/>
      <c r="M518" s="115"/>
      <c r="N518" s="115"/>
      <c r="O518" s="115"/>
      <c r="P518" s="9"/>
      <c r="Q518" s="9"/>
      <c r="R518" s="9"/>
      <c r="S518" s="9"/>
      <c r="T518" s="9"/>
      <c r="U518" s="9"/>
      <c r="V518" s="9"/>
      <c r="W518" s="10"/>
      <c r="X518" s="10"/>
      <c r="Y518" s="10"/>
      <c r="Z518" s="10"/>
    </row>
    <row r="519">
      <c r="A519" s="9"/>
      <c r="B519" s="9"/>
      <c r="C519" s="9"/>
      <c r="D519" s="9"/>
      <c r="E519" s="9"/>
      <c r="F519" s="9"/>
      <c r="G519" s="9"/>
      <c r="H519" s="9"/>
      <c r="I519" s="9"/>
      <c r="J519" s="9"/>
      <c r="K519" s="9"/>
      <c r="L519" s="115"/>
      <c r="M519" s="115"/>
      <c r="N519" s="115"/>
      <c r="O519" s="115"/>
      <c r="P519" s="9"/>
      <c r="Q519" s="9"/>
      <c r="R519" s="9"/>
      <c r="S519" s="9"/>
      <c r="T519" s="9"/>
      <c r="U519" s="9"/>
      <c r="V519" s="9"/>
      <c r="W519" s="10"/>
      <c r="X519" s="10"/>
      <c r="Y519" s="10"/>
      <c r="Z519" s="10"/>
    </row>
    <row r="520">
      <c r="A520" s="9"/>
      <c r="B520" s="9"/>
      <c r="C520" s="9"/>
      <c r="D520" s="9"/>
      <c r="E520" s="9"/>
      <c r="F520" s="9"/>
      <c r="G520" s="9"/>
      <c r="H520" s="9"/>
      <c r="I520" s="9"/>
      <c r="J520" s="9"/>
      <c r="K520" s="9"/>
      <c r="L520" s="115"/>
      <c r="M520" s="115"/>
      <c r="N520" s="115"/>
      <c r="O520" s="115"/>
      <c r="P520" s="9"/>
      <c r="Q520" s="9"/>
      <c r="R520" s="9"/>
      <c r="S520" s="9"/>
      <c r="T520" s="9"/>
      <c r="U520" s="9"/>
      <c r="V520" s="9"/>
      <c r="W520" s="10"/>
      <c r="X520" s="10"/>
      <c r="Y520" s="10"/>
      <c r="Z520" s="10"/>
    </row>
    <row r="521">
      <c r="A521" s="9"/>
      <c r="B521" s="9"/>
      <c r="C521" s="9"/>
      <c r="D521" s="9"/>
      <c r="E521" s="9"/>
      <c r="F521" s="9"/>
      <c r="G521" s="9"/>
      <c r="H521" s="9"/>
      <c r="I521" s="9"/>
      <c r="J521" s="9"/>
      <c r="K521" s="9"/>
      <c r="L521" s="115"/>
      <c r="M521" s="115"/>
      <c r="N521" s="115"/>
      <c r="O521" s="115"/>
      <c r="P521" s="9"/>
      <c r="Q521" s="9"/>
      <c r="R521" s="9"/>
      <c r="S521" s="9"/>
      <c r="T521" s="9"/>
      <c r="U521" s="9"/>
      <c r="V521" s="9"/>
      <c r="W521" s="10"/>
      <c r="X521" s="10"/>
      <c r="Y521" s="10"/>
      <c r="Z521" s="10"/>
    </row>
    <row r="522">
      <c r="A522" s="9"/>
      <c r="B522" s="9"/>
      <c r="C522" s="9"/>
      <c r="D522" s="9"/>
      <c r="E522" s="9"/>
      <c r="F522" s="9"/>
      <c r="G522" s="9"/>
      <c r="H522" s="9"/>
      <c r="I522" s="9"/>
      <c r="J522" s="9"/>
      <c r="K522" s="9"/>
      <c r="L522" s="115"/>
      <c r="M522" s="115"/>
      <c r="N522" s="115"/>
      <c r="O522" s="115"/>
      <c r="P522" s="9"/>
      <c r="Q522" s="9"/>
      <c r="R522" s="9"/>
      <c r="S522" s="9"/>
      <c r="T522" s="9"/>
      <c r="U522" s="9"/>
      <c r="V522" s="9"/>
      <c r="W522" s="10"/>
      <c r="X522" s="10"/>
      <c r="Y522" s="10"/>
      <c r="Z522" s="10"/>
    </row>
    <row r="523">
      <c r="A523" s="9"/>
      <c r="B523" s="9"/>
      <c r="C523" s="9"/>
      <c r="D523" s="9"/>
      <c r="E523" s="9"/>
      <c r="F523" s="9"/>
      <c r="G523" s="9"/>
      <c r="H523" s="9"/>
      <c r="I523" s="9"/>
      <c r="J523" s="9"/>
      <c r="K523" s="9"/>
      <c r="L523" s="115"/>
      <c r="M523" s="115"/>
      <c r="N523" s="115"/>
      <c r="O523" s="115"/>
      <c r="P523" s="9"/>
      <c r="Q523" s="9"/>
      <c r="R523" s="9"/>
      <c r="S523" s="9"/>
      <c r="T523" s="9"/>
      <c r="U523" s="9"/>
      <c r="V523" s="9"/>
      <c r="W523" s="10"/>
      <c r="X523" s="10"/>
      <c r="Y523" s="10"/>
      <c r="Z523" s="10"/>
    </row>
    <row r="524">
      <c r="A524" s="9"/>
      <c r="B524" s="9"/>
      <c r="C524" s="9"/>
      <c r="D524" s="9"/>
      <c r="E524" s="9"/>
      <c r="F524" s="9"/>
      <c r="G524" s="9"/>
      <c r="H524" s="9"/>
      <c r="I524" s="9"/>
      <c r="J524" s="9"/>
      <c r="K524" s="9"/>
      <c r="L524" s="115"/>
      <c r="M524" s="115"/>
      <c r="N524" s="115"/>
      <c r="O524" s="115"/>
      <c r="P524" s="9"/>
      <c r="Q524" s="9"/>
      <c r="R524" s="9"/>
      <c r="S524" s="9"/>
      <c r="T524" s="9"/>
      <c r="U524" s="9"/>
      <c r="V524" s="9"/>
      <c r="W524" s="10"/>
      <c r="X524" s="10"/>
      <c r="Y524" s="10"/>
      <c r="Z524" s="10"/>
    </row>
    <row r="525">
      <c r="A525" s="9"/>
      <c r="B525" s="9"/>
      <c r="C525" s="9"/>
      <c r="D525" s="9"/>
      <c r="E525" s="9"/>
      <c r="F525" s="9"/>
      <c r="G525" s="9"/>
      <c r="H525" s="9"/>
      <c r="I525" s="9"/>
      <c r="J525" s="9"/>
      <c r="K525" s="9"/>
      <c r="L525" s="115"/>
      <c r="M525" s="115"/>
      <c r="N525" s="115"/>
      <c r="O525" s="115"/>
      <c r="P525" s="9"/>
      <c r="Q525" s="9"/>
      <c r="R525" s="9"/>
      <c r="S525" s="9"/>
      <c r="T525" s="9"/>
      <c r="U525" s="9"/>
      <c r="V525" s="9"/>
      <c r="W525" s="10"/>
      <c r="X525" s="10"/>
      <c r="Y525" s="10"/>
      <c r="Z525" s="10"/>
    </row>
    <row r="526">
      <c r="A526" s="9"/>
      <c r="B526" s="9"/>
      <c r="C526" s="9"/>
      <c r="D526" s="9"/>
      <c r="E526" s="9"/>
      <c r="F526" s="9"/>
      <c r="G526" s="9"/>
      <c r="H526" s="9"/>
      <c r="I526" s="9"/>
      <c r="J526" s="9"/>
      <c r="K526" s="9"/>
      <c r="L526" s="115"/>
      <c r="M526" s="115"/>
      <c r="N526" s="115"/>
      <c r="O526" s="115"/>
      <c r="P526" s="9"/>
      <c r="Q526" s="9"/>
      <c r="R526" s="9"/>
      <c r="S526" s="9"/>
      <c r="T526" s="9"/>
      <c r="U526" s="9"/>
      <c r="V526" s="9"/>
      <c r="W526" s="10"/>
      <c r="X526" s="10"/>
      <c r="Y526" s="10"/>
      <c r="Z526" s="10"/>
    </row>
    <row r="527">
      <c r="A527" s="9"/>
      <c r="B527" s="9"/>
      <c r="C527" s="9"/>
      <c r="D527" s="9"/>
      <c r="E527" s="9"/>
      <c r="F527" s="9"/>
      <c r="G527" s="9"/>
      <c r="H527" s="9"/>
      <c r="I527" s="9"/>
      <c r="J527" s="9"/>
      <c r="K527" s="9"/>
      <c r="L527" s="115"/>
      <c r="M527" s="115"/>
      <c r="N527" s="115"/>
      <c r="O527" s="115"/>
      <c r="P527" s="9"/>
      <c r="Q527" s="9"/>
      <c r="R527" s="9"/>
      <c r="S527" s="9"/>
      <c r="T527" s="9"/>
      <c r="U527" s="9"/>
      <c r="V527" s="9"/>
      <c r="W527" s="10"/>
      <c r="X527" s="10"/>
      <c r="Y527" s="10"/>
      <c r="Z527" s="10"/>
    </row>
    <row r="528">
      <c r="A528" s="9"/>
      <c r="B528" s="9"/>
      <c r="C528" s="9"/>
      <c r="D528" s="9"/>
      <c r="E528" s="9"/>
      <c r="F528" s="9"/>
      <c r="G528" s="9"/>
      <c r="H528" s="9"/>
      <c r="I528" s="9"/>
      <c r="J528" s="9"/>
      <c r="K528" s="9"/>
      <c r="L528" s="115"/>
      <c r="M528" s="115"/>
      <c r="N528" s="115"/>
      <c r="O528" s="115"/>
      <c r="P528" s="9"/>
      <c r="Q528" s="9"/>
      <c r="R528" s="9"/>
      <c r="S528" s="9"/>
      <c r="T528" s="9"/>
      <c r="U528" s="9"/>
      <c r="V528" s="9"/>
      <c r="W528" s="10"/>
      <c r="X528" s="10"/>
      <c r="Y528" s="10"/>
      <c r="Z528" s="10"/>
    </row>
    <row r="529">
      <c r="A529" s="9"/>
      <c r="B529" s="9"/>
      <c r="C529" s="9"/>
      <c r="D529" s="9"/>
      <c r="E529" s="9"/>
      <c r="F529" s="9"/>
      <c r="G529" s="9"/>
      <c r="H529" s="9"/>
      <c r="I529" s="9"/>
      <c r="J529" s="9"/>
      <c r="K529" s="9"/>
      <c r="L529" s="115"/>
      <c r="M529" s="115"/>
      <c r="N529" s="115"/>
      <c r="O529" s="115"/>
      <c r="P529" s="9"/>
      <c r="Q529" s="9"/>
      <c r="R529" s="9"/>
      <c r="S529" s="9"/>
      <c r="T529" s="9"/>
      <c r="U529" s="9"/>
      <c r="V529" s="9"/>
      <c r="W529" s="10"/>
      <c r="X529" s="10"/>
      <c r="Y529" s="10"/>
      <c r="Z529" s="10"/>
    </row>
    <row r="530">
      <c r="A530" s="9"/>
      <c r="B530" s="9"/>
      <c r="C530" s="9"/>
      <c r="D530" s="9"/>
      <c r="E530" s="9"/>
      <c r="F530" s="9"/>
      <c r="G530" s="9"/>
      <c r="H530" s="9"/>
      <c r="I530" s="9"/>
      <c r="J530" s="9"/>
      <c r="K530" s="9"/>
      <c r="L530" s="115"/>
      <c r="M530" s="115"/>
      <c r="N530" s="115"/>
      <c r="O530" s="115"/>
      <c r="P530" s="9"/>
      <c r="Q530" s="9"/>
      <c r="R530" s="9"/>
      <c r="S530" s="9"/>
      <c r="T530" s="9"/>
      <c r="U530" s="9"/>
      <c r="V530" s="9"/>
      <c r="W530" s="10"/>
      <c r="X530" s="10"/>
      <c r="Y530" s="10"/>
      <c r="Z530" s="10"/>
    </row>
    <row r="531">
      <c r="A531" s="9"/>
      <c r="B531" s="9"/>
      <c r="C531" s="9"/>
      <c r="D531" s="9"/>
      <c r="E531" s="9"/>
      <c r="F531" s="9"/>
      <c r="G531" s="9"/>
      <c r="H531" s="9"/>
      <c r="I531" s="9"/>
      <c r="J531" s="9"/>
      <c r="K531" s="9"/>
      <c r="L531" s="115"/>
      <c r="M531" s="115"/>
      <c r="N531" s="115"/>
      <c r="O531" s="115"/>
      <c r="P531" s="9"/>
      <c r="Q531" s="9"/>
      <c r="R531" s="9"/>
      <c r="S531" s="9"/>
      <c r="T531" s="9"/>
      <c r="U531" s="9"/>
      <c r="V531" s="9"/>
      <c r="W531" s="10"/>
      <c r="X531" s="10"/>
      <c r="Y531" s="10"/>
      <c r="Z531" s="10"/>
    </row>
    <row r="532">
      <c r="A532" s="9"/>
      <c r="B532" s="9"/>
      <c r="C532" s="9"/>
      <c r="D532" s="9"/>
      <c r="E532" s="9"/>
      <c r="F532" s="9"/>
      <c r="G532" s="9"/>
      <c r="H532" s="9"/>
      <c r="I532" s="9"/>
      <c r="J532" s="9"/>
      <c r="K532" s="9"/>
      <c r="L532" s="115"/>
      <c r="M532" s="115"/>
      <c r="N532" s="115"/>
      <c r="O532" s="115"/>
      <c r="P532" s="9"/>
      <c r="Q532" s="9"/>
      <c r="R532" s="9"/>
      <c r="S532" s="9"/>
      <c r="T532" s="9"/>
      <c r="U532" s="9"/>
      <c r="V532" s="9"/>
      <c r="W532" s="10"/>
      <c r="X532" s="10"/>
      <c r="Y532" s="10"/>
      <c r="Z532" s="10"/>
    </row>
    <row r="533">
      <c r="A533" s="9"/>
      <c r="B533" s="9"/>
      <c r="C533" s="9"/>
      <c r="D533" s="9"/>
      <c r="E533" s="9"/>
      <c r="F533" s="9"/>
      <c r="G533" s="9"/>
      <c r="H533" s="9"/>
      <c r="I533" s="9"/>
      <c r="J533" s="9"/>
      <c r="K533" s="9"/>
      <c r="L533" s="115"/>
      <c r="M533" s="115"/>
      <c r="N533" s="115"/>
      <c r="O533" s="115"/>
      <c r="P533" s="9"/>
      <c r="Q533" s="9"/>
      <c r="R533" s="9"/>
      <c r="S533" s="9"/>
      <c r="T533" s="9"/>
      <c r="U533" s="9"/>
      <c r="V533" s="9"/>
      <c r="W533" s="10"/>
      <c r="X533" s="10"/>
      <c r="Y533" s="10"/>
      <c r="Z533" s="10"/>
    </row>
    <row r="534">
      <c r="A534" s="9"/>
      <c r="B534" s="9"/>
      <c r="C534" s="9"/>
      <c r="D534" s="9"/>
      <c r="E534" s="9"/>
      <c r="F534" s="9"/>
      <c r="G534" s="9"/>
      <c r="H534" s="9"/>
      <c r="I534" s="9"/>
      <c r="J534" s="9"/>
      <c r="K534" s="9"/>
      <c r="L534" s="115"/>
      <c r="M534" s="115"/>
      <c r="N534" s="115"/>
      <c r="O534" s="115"/>
      <c r="P534" s="9"/>
      <c r="Q534" s="9"/>
      <c r="R534" s="9"/>
      <c r="S534" s="9"/>
      <c r="T534" s="9"/>
      <c r="U534" s="9"/>
      <c r="V534" s="9"/>
      <c r="W534" s="10"/>
      <c r="X534" s="10"/>
      <c r="Y534" s="10"/>
      <c r="Z534" s="10"/>
    </row>
    <row r="535">
      <c r="A535" s="9"/>
      <c r="B535" s="9"/>
      <c r="C535" s="9"/>
      <c r="D535" s="9"/>
      <c r="E535" s="9"/>
      <c r="F535" s="9"/>
      <c r="G535" s="9"/>
      <c r="H535" s="9"/>
      <c r="I535" s="9"/>
      <c r="J535" s="9"/>
      <c r="K535" s="9"/>
      <c r="L535" s="115"/>
      <c r="M535" s="115"/>
      <c r="N535" s="115"/>
      <c r="O535" s="115"/>
      <c r="P535" s="9"/>
      <c r="Q535" s="9"/>
      <c r="R535" s="9"/>
      <c r="S535" s="9"/>
      <c r="T535" s="9"/>
      <c r="U535" s="9"/>
      <c r="V535" s="9"/>
      <c r="W535" s="10"/>
      <c r="X535" s="10"/>
      <c r="Y535" s="10"/>
      <c r="Z535" s="10"/>
    </row>
    <row r="536">
      <c r="A536" s="9"/>
      <c r="B536" s="9"/>
      <c r="C536" s="9"/>
      <c r="D536" s="9"/>
      <c r="E536" s="9"/>
      <c r="F536" s="9"/>
      <c r="G536" s="9"/>
      <c r="H536" s="9"/>
      <c r="I536" s="9"/>
      <c r="J536" s="9"/>
      <c r="K536" s="9"/>
      <c r="L536" s="115"/>
      <c r="M536" s="115"/>
      <c r="N536" s="115"/>
      <c r="O536" s="115"/>
      <c r="P536" s="9"/>
      <c r="Q536" s="9"/>
      <c r="R536" s="9"/>
      <c r="S536" s="9"/>
      <c r="T536" s="9"/>
      <c r="U536" s="9"/>
      <c r="V536" s="9"/>
      <c r="W536" s="10"/>
      <c r="X536" s="10"/>
      <c r="Y536" s="10"/>
      <c r="Z536" s="10"/>
    </row>
    <row r="537">
      <c r="A537" s="9"/>
      <c r="B537" s="9"/>
      <c r="C537" s="9"/>
      <c r="D537" s="9"/>
      <c r="E537" s="9"/>
      <c r="F537" s="9"/>
      <c r="G537" s="9"/>
      <c r="H537" s="9"/>
      <c r="I537" s="9"/>
      <c r="J537" s="9"/>
      <c r="K537" s="9"/>
      <c r="L537" s="115"/>
      <c r="M537" s="115"/>
      <c r="N537" s="115"/>
      <c r="O537" s="115"/>
      <c r="P537" s="9"/>
      <c r="Q537" s="9"/>
      <c r="R537" s="9"/>
      <c r="S537" s="9"/>
      <c r="T537" s="9"/>
      <c r="U537" s="9"/>
      <c r="V537" s="9"/>
      <c r="W537" s="10"/>
      <c r="X537" s="10"/>
      <c r="Y537" s="10"/>
      <c r="Z537" s="10"/>
    </row>
    <row r="538">
      <c r="A538" s="9"/>
      <c r="B538" s="9"/>
      <c r="C538" s="9"/>
      <c r="D538" s="9"/>
      <c r="E538" s="9"/>
      <c r="F538" s="9"/>
      <c r="G538" s="9"/>
      <c r="H538" s="9"/>
      <c r="I538" s="9"/>
      <c r="J538" s="9"/>
      <c r="K538" s="9"/>
      <c r="L538" s="115"/>
      <c r="M538" s="115"/>
      <c r="N538" s="115"/>
      <c r="O538" s="115"/>
      <c r="P538" s="9"/>
      <c r="Q538" s="9"/>
      <c r="R538" s="9"/>
      <c r="S538" s="9"/>
      <c r="T538" s="9"/>
      <c r="U538" s="9"/>
      <c r="V538" s="9"/>
      <c r="W538" s="10"/>
      <c r="X538" s="10"/>
      <c r="Y538" s="10"/>
      <c r="Z538" s="10"/>
    </row>
    <row r="539">
      <c r="A539" s="9"/>
      <c r="B539" s="9"/>
      <c r="C539" s="9"/>
      <c r="D539" s="9"/>
      <c r="E539" s="9"/>
      <c r="F539" s="9"/>
      <c r="G539" s="9"/>
      <c r="H539" s="9"/>
      <c r="I539" s="9"/>
      <c r="J539" s="9"/>
      <c r="K539" s="9"/>
      <c r="L539" s="115"/>
      <c r="M539" s="115"/>
      <c r="N539" s="115"/>
      <c r="O539" s="115"/>
      <c r="P539" s="9"/>
      <c r="Q539" s="9"/>
      <c r="R539" s="9"/>
      <c r="S539" s="9"/>
      <c r="T539" s="9"/>
      <c r="U539" s="9"/>
      <c r="V539" s="9"/>
      <c r="W539" s="10"/>
      <c r="X539" s="10"/>
      <c r="Y539" s="10"/>
      <c r="Z539" s="10"/>
    </row>
    <row r="540">
      <c r="A540" s="9"/>
      <c r="B540" s="9"/>
      <c r="C540" s="9"/>
      <c r="D540" s="9"/>
      <c r="E540" s="9"/>
      <c r="F540" s="9"/>
      <c r="G540" s="9"/>
      <c r="H540" s="9"/>
      <c r="I540" s="9"/>
      <c r="J540" s="9"/>
      <c r="K540" s="9"/>
      <c r="L540" s="115"/>
      <c r="M540" s="115"/>
      <c r="N540" s="115"/>
      <c r="O540" s="115"/>
      <c r="P540" s="9"/>
      <c r="Q540" s="9"/>
      <c r="R540" s="9"/>
      <c r="S540" s="9"/>
      <c r="T540" s="9"/>
      <c r="U540" s="9"/>
      <c r="V540" s="9"/>
      <c r="W540" s="10"/>
      <c r="X540" s="10"/>
      <c r="Y540" s="10"/>
      <c r="Z540" s="10"/>
    </row>
    <row r="541">
      <c r="A541" s="9"/>
      <c r="B541" s="9"/>
      <c r="C541" s="9"/>
      <c r="D541" s="9"/>
      <c r="E541" s="9"/>
      <c r="F541" s="9"/>
      <c r="G541" s="9"/>
      <c r="H541" s="9"/>
      <c r="I541" s="9"/>
      <c r="J541" s="9"/>
      <c r="K541" s="9"/>
      <c r="L541" s="115"/>
      <c r="M541" s="115"/>
      <c r="N541" s="115"/>
      <c r="O541" s="115"/>
      <c r="P541" s="9"/>
      <c r="Q541" s="9"/>
      <c r="R541" s="9"/>
      <c r="S541" s="9"/>
      <c r="T541" s="9"/>
      <c r="U541" s="9"/>
      <c r="V541" s="9"/>
      <c r="W541" s="10"/>
      <c r="X541" s="10"/>
      <c r="Y541" s="10"/>
      <c r="Z541" s="10"/>
    </row>
    <row r="542">
      <c r="A542" s="9"/>
      <c r="B542" s="9"/>
      <c r="C542" s="9"/>
      <c r="D542" s="9"/>
      <c r="E542" s="9"/>
      <c r="F542" s="9"/>
      <c r="G542" s="9"/>
      <c r="H542" s="9"/>
      <c r="I542" s="9"/>
      <c r="J542" s="9"/>
      <c r="K542" s="9"/>
      <c r="L542" s="115"/>
      <c r="M542" s="115"/>
      <c r="N542" s="115"/>
      <c r="O542" s="115"/>
      <c r="P542" s="9"/>
      <c r="Q542" s="9"/>
      <c r="R542" s="9"/>
      <c r="S542" s="9"/>
      <c r="T542" s="9"/>
      <c r="U542" s="9"/>
      <c r="V542" s="9"/>
      <c r="W542" s="10"/>
      <c r="X542" s="10"/>
      <c r="Y542" s="10"/>
      <c r="Z542" s="10"/>
    </row>
    <row r="543">
      <c r="A543" s="9"/>
      <c r="B543" s="9"/>
      <c r="C543" s="9"/>
      <c r="D543" s="9"/>
      <c r="E543" s="9"/>
      <c r="F543" s="9"/>
      <c r="G543" s="9"/>
      <c r="H543" s="9"/>
      <c r="I543" s="9"/>
      <c r="J543" s="9"/>
      <c r="K543" s="9"/>
      <c r="L543" s="115"/>
      <c r="M543" s="115"/>
      <c r="N543" s="115"/>
      <c r="O543" s="115"/>
      <c r="P543" s="9"/>
      <c r="Q543" s="9"/>
      <c r="R543" s="9"/>
      <c r="S543" s="9"/>
      <c r="T543" s="9"/>
      <c r="U543" s="9"/>
      <c r="V543" s="9"/>
      <c r="W543" s="10"/>
      <c r="X543" s="10"/>
      <c r="Y543" s="10"/>
      <c r="Z543" s="10"/>
    </row>
    <row r="544">
      <c r="A544" s="9"/>
      <c r="B544" s="9"/>
      <c r="C544" s="9"/>
      <c r="D544" s="9"/>
      <c r="E544" s="9"/>
      <c r="F544" s="9"/>
      <c r="G544" s="9"/>
      <c r="H544" s="9"/>
      <c r="I544" s="9"/>
      <c r="J544" s="9"/>
      <c r="K544" s="9"/>
      <c r="L544" s="115"/>
      <c r="M544" s="115"/>
      <c r="N544" s="115"/>
      <c r="O544" s="115"/>
      <c r="P544" s="9"/>
      <c r="Q544" s="9"/>
      <c r="R544" s="9"/>
      <c r="S544" s="9"/>
      <c r="T544" s="9"/>
      <c r="U544" s="9"/>
      <c r="V544" s="9"/>
      <c r="W544" s="10"/>
      <c r="X544" s="10"/>
      <c r="Y544" s="10"/>
      <c r="Z544" s="10"/>
    </row>
    <row r="545">
      <c r="A545" s="9"/>
      <c r="B545" s="9"/>
      <c r="C545" s="9"/>
      <c r="D545" s="9"/>
      <c r="E545" s="9"/>
      <c r="F545" s="9"/>
      <c r="G545" s="9"/>
      <c r="H545" s="9"/>
      <c r="I545" s="9"/>
      <c r="J545" s="9"/>
      <c r="K545" s="9"/>
      <c r="L545" s="115"/>
      <c r="M545" s="115"/>
      <c r="N545" s="115"/>
      <c r="O545" s="115"/>
      <c r="P545" s="9"/>
      <c r="Q545" s="9"/>
      <c r="R545" s="9"/>
      <c r="S545" s="9"/>
      <c r="T545" s="9"/>
      <c r="U545" s="9"/>
      <c r="V545" s="9"/>
      <c r="W545" s="10"/>
      <c r="X545" s="10"/>
      <c r="Y545" s="10"/>
      <c r="Z545" s="10"/>
    </row>
    <row r="546">
      <c r="A546" s="9"/>
      <c r="B546" s="9"/>
      <c r="C546" s="9"/>
      <c r="D546" s="9"/>
      <c r="E546" s="9"/>
      <c r="F546" s="9"/>
      <c r="G546" s="9"/>
      <c r="H546" s="9"/>
      <c r="I546" s="9"/>
      <c r="J546" s="9"/>
      <c r="K546" s="9"/>
      <c r="L546" s="115"/>
      <c r="M546" s="115"/>
      <c r="N546" s="115"/>
      <c r="O546" s="115"/>
      <c r="P546" s="9"/>
      <c r="Q546" s="9"/>
      <c r="R546" s="9"/>
      <c r="S546" s="9"/>
      <c r="T546" s="9"/>
      <c r="U546" s="9"/>
      <c r="V546" s="9"/>
      <c r="W546" s="10"/>
      <c r="X546" s="10"/>
      <c r="Y546" s="10"/>
      <c r="Z546" s="10"/>
    </row>
    <row r="547">
      <c r="A547" s="9"/>
      <c r="B547" s="9"/>
      <c r="C547" s="9"/>
      <c r="D547" s="9"/>
      <c r="E547" s="9"/>
      <c r="F547" s="9"/>
      <c r="G547" s="9"/>
      <c r="H547" s="9"/>
      <c r="I547" s="9"/>
      <c r="J547" s="9"/>
      <c r="K547" s="9"/>
      <c r="L547" s="115"/>
      <c r="M547" s="115"/>
      <c r="N547" s="115"/>
      <c r="O547" s="115"/>
      <c r="P547" s="9"/>
      <c r="Q547" s="9"/>
      <c r="R547" s="9"/>
      <c r="S547" s="9"/>
      <c r="T547" s="9"/>
      <c r="U547" s="9"/>
      <c r="V547" s="9"/>
      <c r="W547" s="10"/>
      <c r="X547" s="10"/>
      <c r="Y547" s="10"/>
      <c r="Z547" s="10"/>
    </row>
    <row r="548">
      <c r="A548" s="9"/>
      <c r="B548" s="9"/>
      <c r="C548" s="9"/>
      <c r="D548" s="9"/>
      <c r="E548" s="9"/>
      <c r="F548" s="9"/>
      <c r="G548" s="9"/>
      <c r="H548" s="9"/>
      <c r="I548" s="9"/>
      <c r="J548" s="9"/>
      <c r="K548" s="9"/>
      <c r="L548" s="115"/>
      <c r="M548" s="115"/>
      <c r="N548" s="115"/>
      <c r="O548" s="115"/>
      <c r="P548" s="9"/>
      <c r="Q548" s="9"/>
      <c r="R548" s="9"/>
      <c r="S548" s="9"/>
      <c r="T548" s="9"/>
      <c r="U548" s="9"/>
      <c r="V548" s="9"/>
      <c r="W548" s="10"/>
      <c r="X548" s="10"/>
      <c r="Y548" s="10"/>
      <c r="Z548" s="10"/>
    </row>
    <row r="549">
      <c r="A549" s="9"/>
      <c r="B549" s="9"/>
      <c r="C549" s="9"/>
      <c r="D549" s="9"/>
      <c r="E549" s="9"/>
      <c r="F549" s="9"/>
      <c r="G549" s="9"/>
      <c r="H549" s="9"/>
      <c r="I549" s="9"/>
      <c r="J549" s="9"/>
      <c r="K549" s="9"/>
      <c r="L549" s="115"/>
      <c r="M549" s="115"/>
      <c r="N549" s="115"/>
      <c r="O549" s="115"/>
      <c r="P549" s="9"/>
      <c r="Q549" s="9"/>
      <c r="R549" s="9"/>
      <c r="S549" s="9"/>
      <c r="T549" s="9"/>
      <c r="U549" s="9"/>
      <c r="V549" s="9"/>
      <c r="W549" s="10"/>
      <c r="X549" s="10"/>
      <c r="Y549" s="10"/>
      <c r="Z549" s="10"/>
    </row>
    <row r="550">
      <c r="A550" s="9"/>
      <c r="B550" s="9"/>
      <c r="C550" s="9"/>
      <c r="D550" s="9"/>
      <c r="E550" s="9"/>
      <c r="F550" s="9"/>
      <c r="G550" s="9"/>
      <c r="H550" s="9"/>
      <c r="I550" s="9"/>
      <c r="J550" s="9"/>
      <c r="K550" s="9"/>
      <c r="L550" s="115"/>
      <c r="M550" s="115"/>
      <c r="N550" s="115"/>
      <c r="O550" s="115"/>
      <c r="P550" s="9"/>
      <c r="Q550" s="9"/>
      <c r="R550" s="9"/>
      <c r="S550" s="9"/>
      <c r="T550" s="9"/>
      <c r="U550" s="9"/>
      <c r="V550" s="9"/>
      <c r="W550" s="10"/>
      <c r="X550" s="10"/>
      <c r="Y550" s="10"/>
      <c r="Z550" s="10"/>
    </row>
    <row r="551">
      <c r="A551" s="9"/>
      <c r="B551" s="9"/>
      <c r="C551" s="9"/>
      <c r="D551" s="9"/>
      <c r="E551" s="9"/>
      <c r="F551" s="9"/>
      <c r="G551" s="9"/>
      <c r="H551" s="9"/>
      <c r="I551" s="9"/>
      <c r="J551" s="9"/>
      <c r="K551" s="9"/>
      <c r="L551" s="115"/>
      <c r="M551" s="115"/>
      <c r="N551" s="115"/>
      <c r="O551" s="115"/>
      <c r="P551" s="9"/>
      <c r="Q551" s="9"/>
      <c r="R551" s="9"/>
      <c r="S551" s="9"/>
      <c r="T551" s="9"/>
      <c r="U551" s="9"/>
      <c r="V551" s="9"/>
      <c r="W551" s="10"/>
      <c r="X551" s="10"/>
      <c r="Y551" s="10"/>
      <c r="Z551" s="10"/>
    </row>
    <row r="552">
      <c r="A552" s="9"/>
      <c r="B552" s="9"/>
      <c r="C552" s="9"/>
      <c r="D552" s="9"/>
      <c r="E552" s="9"/>
      <c r="F552" s="9"/>
      <c r="G552" s="9"/>
      <c r="H552" s="9"/>
      <c r="I552" s="9"/>
      <c r="J552" s="9"/>
      <c r="K552" s="9"/>
      <c r="L552" s="115"/>
      <c r="M552" s="115"/>
      <c r="N552" s="115"/>
      <c r="O552" s="115"/>
      <c r="P552" s="9"/>
      <c r="Q552" s="9"/>
      <c r="R552" s="9"/>
      <c r="S552" s="9"/>
      <c r="T552" s="9"/>
      <c r="U552" s="9"/>
      <c r="V552" s="9"/>
      <c r="W552" s="10"/>
      <c r="X552" s="10"/>
      <c r="Y552" s="10"/>
      <c r="Z552" s="10"/>
    </row>
    <row r="553">
      <c r="A553" s="9"/>
      <c r="B553" s="9"/>
      <c r="C553" s="9"/>
      <c r="D553" s="9"/>
      <c r="E553" s="9"/>
      <c r="F553" s="9"/>
      <c r="G553" s="9"/>
      <c r="H553" s="9"/>
      <c r="I553" s="9"/>
      <c r="J553" s="9"/>
      <c r="K553" s="9"/>
      <c r="L553" s="115"/>
      <c r="M553" s="115"/>
      <c r="N553" s="115"/>
      <c r="O553" s="115"/>
      <c r="P553" s="9"/>
      <c r="Q553" s="9"/>
      <c r="R553" s="9"/>
      <c r="S553" s="9"/>
      <c r="T553" s="9"/>
      <c r="U553" s="9"/>
      <c r="V553" s="9"/>
      <c r="W553" s="10"/>
      <c r="X553" s="10"/>
      <c r="Y553" s="10"/>
      <c r="Z553" s="10"/>
    </row>
    <row r="554">
      <c r="A554" s="9"/>
      <c r="B554" s="9"/>
      <c r="C554" s="9"/>
      <c r="D554" s="9"/>
      <c r="E554" s="9"/>
      <c r="F554" s="9"/>
      <c r="G554" s="9"/>
      <c r="H554" s="9"/>
      <c r="I554" s="9"/>
      <c r="J554" s="9"/>
      <c r="K554" s="9"/>
      <c r="L554" s="115"/>
      <c r="M554" s="115"/>
      <c r="N554" s="115"/>
      <c r="O554" s="115"/>
      <c r="P554" s="9"/>
      <c r="Q554" s="9"/>
      <c r="R554" s="9"/>
      <c r="S554" s="9"/>
      <c r="T554" s="9"/>
      <c r="U554" s="9"/>
      <c r="V554" s="9"/>
      <c r="W554" s="10"/>
      <c r="X554" s="10"/>
      <c r="Y554" s="10"/>
      <c r="Z554" s="10"/>
    </row>
    <row r="555">
      <c r="A555" s="9"/>
      <c r="B555" s="9"/>
      <c r="C555" s="9"/>
      <c r="D555" s="9"/>
      <c r="E555" s="9"/>
      <c r="F555" s="9"/>
      <c r="G555" s="9"/>
      <c r="H555" s="9"/>
      <c r="I555" s="9"/>
      <c r="J555" s="9"/>
      <c r="K555" s="9"/>
      <c r="L555" s="115"/>
      <c r="M555" s="115"/>
      <c r="N555" s="115"/>
      <c r="O555" s="115"/>
      <c r="P555" s="9"/>
      <c r="Q555" s="9"/>
      <c r="R555" s="9"/>
      <c r="S555" s="9"/>
      <c r="T555" s="9"/>
      <c r="U555" s="9"/>
      <c r="V555" s="9"/>
      <c r="W555" s="10"/>
      <c r="X555" s="10"/>
      <c r="Y555" s="10"/>
      <c r="Z555" s="10"/>
    </row>
    <row r="556">
      <c r="A556" s="9"/>
      <c r="B556" s="9"/>
      <c r="C556" s="9"/>
      <c r="D556" s="9"/>
      <c r="E556" s="9"/>
      <c r="F556" s="9"/>
      <c r="G556" s="9"/>
      <c r="H556" s="9"/>
      <c r="I556" s="9"/>
      <c r="J556" s="9"/>
      <c r="K556" s="9"/>
      <c r="L556" s="115"/>
      <c r="M556" s="115"/>
      <c r="N556" s="115"/>
      <c r="O556" s="115"/>
      <c r="P556" s="9"/>
      <c r="Q556" s="9"/>
      <c r="R556" s="9"/>
      <c r="S556" s="9"/>
      <c r="T556" s="9"/>
      <c r="U556" s="9"/>
      <c r="V556" s="9"/>
      <c r="W556" s="10"/>
      <c r="X556" s="10"/>
      <c r="Y556" s="10"/>
      <c r="Z556" s="10"/>
    </row>
    <row r="557">
      <c r="A557" s="9"/>
      <c r="B557" s="9"/>
      <c r="C557" s="9"/>
      <c r="D557" s="9"/>
      <c r="E557" s="9"/>
      <c r="F557" s="9"/>
      <c r="G557" s="9"/>
      <c r="H557" s="9"/>
      <c r="I557" s="9"/>
      <c r="J557" s="9"/>
      <c r="K557" s="9"/>
      <c r="L557" s="115"/>
      <c r="M557" s="115"/>
      <c r="N557" s="115"/>
      <c r="O557" s="115"/>
      <c r="P557" s="9"/>
      <c r="Q557" s="9"/>
      <c r="R557" s="9"/>
      <c r="S557" s="9"/>
      <c r="T557" s="9"/>
      <c r="U557" s="9"/>
      <c r="V557" s="9"/>
      <c r="W557" s="10"/>
      <c r="X557" s="10"/>
      <c r="Y557" s="10"/>
      <c r="Z557" s="10"/>
    </row>
    <row r="558">
      <c r="A558" s="9"/>
      <c r="B558" s="9"/>
      <c r="C558" s="9"/>
      <c r="D558" s="9"/>
      <c r="E558" s="9"/>
      <c r="F558" s="9"/>
      <c r="G558" s="9"/>
      <c r="H558" s="9"/>
      <c r="I558" s="9"/>
      <c r="J558" s="9"/>
      <c r="K558" s="9"/>
      <c r="L558" s="115"/>
      <c r="M558" s="115"/>
      <c r="N558" s="115"/>
      <c r="O558" s="115"/>
      <c r="P558" s="9"/>
      <c r="Q558" s="9"/>
      <c r="R558" s="9"/>
      <c r="S558" s="9"/>
      <c r="T558" s="9"/>
      <c r="U558" s="9"/>
      <c r="V558" s="9"/>
      <c r="W558" s="10"/>
      <c r="X558" s="10"/>
      <c r="Y558" s="10"/>
      <c r="Z558" s="10"/>
    </row>
    <row r="559">
      <c r="A559" s="9"/>
      <c r="B559" s="9"/>
      <c r="C559" s="9"/>
      <c r="D559" s="9"/>
      <c r="E559" s="9"/>
      <c r="F559" s="9"/>
      <c r="G559" s="9"/>
      <c r="H559" s="9"/>
      <c r="I559" s="9"/>
      <c r="J559" s="9"/>
      <c r="K559" s="9"/>
      <c r="L559" s="115"/>
      <c r="M559" s="115"/>
      <c r="N559" s="115"/>
      <c r="O559" s="115"/>
      <c r="P559" s="9"/>
      <c r="Q559" s="9"/>
      <c r="R559" s="9"/>
      <c r="S559" s="9"/>
      <c r="T559" s="9"/>
      <c r="U559" s="9"/>
      <c r="V559" s="9"/>
      <c r="W559" s="10"/>
      <c r="X559" s="10"/>
      <c r="Y559" s="10"/>
      <c r="Z559" s="10"/>
    </row>
    <row r="560">
      <c r="A560" s="9"/>
      <c r="B560" s="9"/>
      <c r="C560" s="9"/>
      <c r="D560" s="9"/>
      <c r="E560" s="9"/>
      <c r="F560" s="9"/>
      <c r="G560" s="9"/>
      <c r="H560" s="9"/>
      <c r="I560" s="9"/>
      <c r="J560" s="9"/>
      <c r="K560" s="9"/>
      <c r="L560" s="115"/>
      <c r="M560" s="115"/>
      <c r="N560" s="115"/>
      <c r="O560" s="115"/>
      <c r="P560" s="9"/>
      <c r="Q560" s="9"/>
      <c r="R560" s="9"/>
      <c r="S560" s="9"/>
      <c r="T560" s="9"/>
      <c r="U560" s="9"/>
      <c r="V560" s="9"/>
      <c r="W560" s="10"/>
      <c r="X560" s="10"/>
      <c r="Y560" s="10"/>
      <c r="Z560" s="10"/>
    </row>
    <row r="561">
      <c r="A561" s="9"/>
      <c r="B561" s="9"/>
      <c r="C561" s="9"/>
      <c r="D561" s="9"/>
      <c r="E561" s="9"/>
      <c r="F561" s="9"/>
      <c r="G561" s="9"/>
      <c r="H561" s="9"/>
      <c r="I561" s="9"/>
      <c r="J561" s="9"/>
      <c r="K561" s="9"/>
      <c r="L561" s="115"/>
      <c r="M561" s="115"/>
      <c r="N561" s="115"/>
      <c r="O561" s="115"/>
      <c r="P561" s="9"/>
      <c r="Q561" s="9"/>
      <c r="R561" s="9"/>
      <c r="S561" s="9"/>
      <c r="T561" s="9"/>
      <c r="U561" s="9"/>
      <c r="V561" s="9"/>
      <c r="W561" s="10"/>
      <c r="X561" s="10"/>
      <c r="Y561" s="10"/>
      <c r="Z561" s="10"/>
    </row>
    <row r="562">
      <c r="A562" s="9"/>
      <c r="B562" s="9"/>
      <c r="C562" s="9"/>
      <c r="D562" s="9"/>
      <c r="E562" s="9"/>
      <c r="F562" s="9"/>
      <c r="G562" s="9"/>
      <c r="H562" s="9"/>
      <c r="I562" s="9"/>
      <c r="J562" s="9"/>
      <c r="K562" s="9"/>
      <c r="L562" s="115"/>
      <c r="M562" s="115"/>
      <c r="N562" s="115"/>
      <c r="O562" s="115"/>
      <c r="P562" s="9"/>
      <c r="Q562" s="9"/>
      <c r="R562" s="9"/>
      <c r="S562" s="9"/>
      <c r="T562" s="9"/>
      <c r="U562" s="9"/>
      <c r="V562" s="9"/>
      <c r="W562" s="10"/>
      <c r="X562" s="10"/>
      <c r="Y562" s="10"/>
      <c r="Z562" s="10"/>
    </row>
    <row r="563">
      <c r="A563" s="9"/>
      <c r="B563" s="9"/>
      <c r="C563" s="9"/>
      <c r="D563" s="9"/>
      <c r="E563" s="9"/>
      <c r="F563" s="9"/>
      <c r="G563" s="9"/>
      <c r="H563" s="9"/>
      <c r="I563" s="9"/>
      <c r="J563" s="9"/>
      <c r="K563" s="9"/>
      <c r="L563" s="115"/>
      <c r="M563" s="115"/>
      <c r="N563" s="115"/>
      <c r="O563" s="115"/>
      <c r="P563" s="9"/>
      <c r="Q563" s="9"/>
      <c r="R563" s="9"/>
      <c r="S563" s="9"/>
      <c r="T563" s="9"/>
      <c r="U563" s="9"/>
      <c r="V563" s="9"/>
      <c r="W563" s="10"/>
      <c r="X563" s="10"/>
      <c r="Y563" s="10"/>
      <c r="Z563" s="10"/>
    </row>
    <row r="564">
      <c r="A564" s="9"/>
      <c r="B564" s="9"/>
      <c r="C564" s="9"/>
      <c r="D564" s="9"/>
      <c r="E564" s="9"/>
      <c r="F564" s="9"/>
      <c r="G564" s="9"/>
      <c r="H564" s="9"/>
      <c r="I564" s="9"/>
      <c r="J564" s="9"/>
      <c r="K564" s="9"/>
      <c r="L564" s="115"/>
      <c r="M564" s="115"/>
      <c r="N564" s="115"/>
      <c r="O564" s="115"/>
      <c r="P564" s="9"/>
      <c r="Q564" s="9"/>
      <c r="R564" s="9"/>
      <c r="S564" s="9"/>
      <c r="T564" s="9"/>
      <c r="U564" s="9"/>
      <c r="V564" s="9"/>
      <c r="W564" s="10"/>
      <c r="X564" s="10"/>
      <c r="Y564" s="10"/>
      <c r="Z564" s="10"/>
    </row>
    <row r="565">
      <c r="A565" s="9"/>
      <c r="B565" s="9"/>
      <c r="C565" s="9"/>
      <c r="D565" s="9"/>
      <c r="E565" s="9"/>
      <c r="F565" s="9"/>
      <c r="G565" s="9"/>
      <c r="H565" s="9"/>
      <c r="I565" s="9"/>
      <c r="J565" s="9"/>
      <c r="K565" s="9"/>
      <c r="L565" s="115"/>
      <c r="M565" s="115"/>
      <c r="N565" s="115"/>
      <c r="O565" s="115"/>
      <c r="P565" s="9"/>
      <c r="Q565" s="9"/>
      <c r="R565" s="9"/>
      <c r="S565" s="9"/>
      <c r="T565" s="9"/>
      <c r="U565" s="9"/>
      <c r="V565" s="9"/>
      <c r="W565" s="10"/>
      <c r="X565" s="10"/>
      <c r="Y565" s="10"/>
      <c r="Z565" s="10"/>
    </row>
    <row r="566">
      <c r="A566" s="9"/>
      <c r="B566" s="9"/>
      <c r="C566" s="9"/>
      <c r="D566" s="9"/>
      <c r="E566" s="9"/>
      <c r="F566" s="9"/>
      <c r="G566" s="9"/>
      <c r="H566" s="9"/>
      <c r="I566" s="9"/>
      <c r="J566" s="9"/>
      <c r="K566" s="9"/>
      <c r="L566" s="115"/>
      <c r="M566" s="115"/>
      <c r="N566" s="115"/>
      <c r="O566" s="115"/>
      <c r="P566" s="9"/>
      <c r="Q566" s="9"/>
      <c r="R566" s="9"/>
      <c r="S566" s="9"/>
      <c r="T566" s="9"/>
      <c r="U566" s="9"/>
      <c r="V566" s="9"/>
      <c r="W566" s="10"/>
      <c r="X566" s="10"/>
      <c r="Y566" s="10"/>
      <c r="Z566" s="10"/>
    </row>
    <row r="567">
      <c r="A567" s="9"/>
      <c r="B567" s="9"/>
      <c r="C567" s="9"/>
      <c r="D567" s="9"/>
      <c r="E567" s="9"/>
      <c r="F567" s="9"/>
      <c r="G567" s="9"/>
      <c r="H567" s="9"/>
      <c r="I567" s="9"/>
      <c r="J567" s="9"/>
      <c r="K567" s="9"/>
      <c r="L567" s="115"/>
      <c r="M567" s="115"/>
      <c r="N567" s="115"/>
      <c r="O567" s="115"/>
      <c r="P567" s="9"/>
      <c r="Q567" s="9"/>
      <c r="R567" s="9"/>
      <c r="S567" s="9"/>
      <c r="T567" s="9"/>
      <c r="U567" s="9"/>
      <c r="V567" s="9"/>
      <c r="W567" s="10"/>
      <c r="X567" s="10"/>
      <c r="Y567" s="10"/>
      <c r="Z567" s="10"/>
    </row>
    <row r="568">
      <c r="A568" s="9"/>
      <c r="B568" s="9"/>
      <c r="C568" s="9"/>
      <c r="D568" s="9"/>
      <c r="E568" s="9"/>
      <c r="F568" s="9"/>
      <c r="G568" s="9"/>
      <c r="H568" s="9"/>
      <c r="I568" s="9"/>
      <c r="J568" s="9"/>
      <c r="K568" s="9"/>
      <c r="L568" s="115"/>
      <c r="M568" s="115"/>
      <c r="N568" s="115"/>
      <c r="O568" s="115"/>
      <c r="P568" s="9"/>
      <c r="Q568" s="9"/>
      <c r="R568" s="9"/>
      <c r="S568" s="9"/>
      <c r="T568" s="9"/>
      <c r="U568" s="9"/>
      <c r="V568" s="9"/>
      <c r="W568" s="10"/>
      <c r="X568" s="10"/>
      <c r="Y568" s="10"/>
      <c r="Z568" s="10"/>
    </row>
    <row r="569">
      <c r="A569" s="9"/>
      <c r="B569" s="9"/>
      <c r="C569" s="9"/>
      <c r="D569" s="9"/>
      <c r="E569" s="9"/>
      <c r="F569" s="9"/>
      <c r="G569" s="9"/>
      <c r="H569" s="9"/>
      <c r="I569" s="9"/>
      <c r="J569" s="9"/>
      <c r="K569" s="9"/>
      <c r="L569" s="115"/>
      <c r="M569" s="115"/>
      <c r="N569" s="115"/>
      <c r="O569" s="115"/>
      <c r="P569" s="9"/>
      <c r="Q569" s="9"/>
      <c r="R569" s="9"/>
      <c r="S569" s="9"/>
      <c r="T569" s="9"/>
      <c r="U569" s="9"/>
      <c r="V569" s="9"/>
      <c r="W569" s="10"/>
      <c r="X569" s="10"/>
      <c r="Y569" s="10"/>
      <c r="Z569" s="10"/>
    </row>
    <row r="570">
      <c r="A570" s="9"/>
      <c r="B570" s="9"/>
      <c r="C570" s="9"/>
      <c r="D570" s="9"/>
      <c r="E570" s="9"/>
      <c r="F570" s="9"/>
      <c r="G570" s="9"/>
      <c r="H570" s="9"/>
      <c r="I570" s="9"/>
      <c r="J570" s="9"/>
      <c r="K570" s="9"/>
      <c r="L570" s="115"/>
      <c r="M570" s="115"/>
      <c r="N570" s="115"/>
      <c r="O570" s="115"/>
      <c r="P570" s="9"/>
      <c r="Q570" s="9"/>
      <c r="R570" s="9"/>
      <c r="S570" s="9"/>
      <c r="T570" s="9"/>
      <c r="U570" s="9"/>
      <c r="V570" s="9"/>
      <c r="W570" s="10"/>
      <c r="X570" s="10"/>
      <c r="Y570" s="10"/>
      <c r="Z570" s="10"/>
    </row>
    <row r="571">
      <c r="A571" s="9"/>
      <c r="B571" s="9"/>
      <c r="C571" s="9"/>
      <c r="D571" s="9"/>
      <c r="E571" s="9"/>
      <c r="F571" s="9"/>
      <c r="G571" s="9"/>
      <c r="H571" s="9"/>
      <c r="I571" s="9"/>
      <c r="J571" s="9"/>
      <c r="K571" s="9"/>
      <c r="L571" s="115"/>
      <c r="M571" s="115"/>
      <c r="N571" s="115"/>
      <c r="O571" s="115"/>
      <c r="P571" s="9"/>
      <c r="Q571" s="9"/>
      <c r="R571" s="9"/>
      <c r="S571" s="9"/>
      <c r="T571" s="9"/>
      <c r="U571" s="9"/>
      <c r="V571" s="9"/>
      <c r="W571" s="10"/>
      <c r="X571" s="10"/>
      <c r="Y571" s="10"/>
      <c r="Z571" s="10"/>
    </row>
    <row r="572">
      <c r="A572" s="9"/>
      <c r="B572" s="9"/>
      <c r="C572" s="9"/>
      <c r="D572" s="9"/>
      <c r="E572" s="9"/>
      <c r="F572" s="9"/>
      <c r="G572" s="9"/>
      <c r="H572" s="9"/>
      <c r="I572" s="9"/>
      <c r="J572" s="9"/>
      <c r="K572" s="9"/>
      <c r="L572" s="115"/>
      <c r="M572" s="115"/>
      <c r="N572" s="115"/>
      <c r="O572" s="115"/>
      <c r="P572" s="9"/>
      <c r="Q572" s="9"/>
      <c r="R572" s="9"/>
      <c r="S572" s="9"/>
      <c r="T572" s="9"/>
      <c r="U572" s="9"/>
      <c r="V572" s="9"/>
      <c r="W572" s="10"/>
      <c r="X572" s="10"/>
      <c r="Y572" s="10"/>
      <c r="Z572" s="10"/>
    </row>
    <row r="573">
      <c r="A573" s="9"/>
      <c r="B573" s="9"/>
      <c r="C573" s="9"/>
      <c r="D573" s="9"/>
      <c r="E573" s="9"/>
      <c r="F573" s="9"/>
      <c r="G573" s="9"/>
      <c r="H573" s="9"/>
      <c r="I573" s="9"/>
      <c r="J573" s="9"/>
      <c r="K573" s="9"/>
      <c r="L573" s="115"/>
      <c r="M573" s="115"/>
      <c r="N573" s="115"/>
      <c r="O573" s="115"/>
      <c r="P573" s="9"/>
      <c r="Q573" s="9"/>
      <c r="R573" s="9"/>
      <c r="S573" s="9"/>
      <c r="T573" s="9"/>
      <c r="U573" s="9"/>
      <c r="V573" s="9"/>
      <c r="W573" s="10"/>
      <c r="X573" s="10"/>
      <c r="Y573" s="10"/>
      <c r="Z573" s="10"/>
    </row>
    <row r="574">
      <c r="A574" s="9"/>
      <c r="B574" s="9"/>
      <c r="C574" s="9"/>
      <c r="D574" s="9"/>
      <c r="E574" s="9"/>
      <c r="F574" s="9"/>
      <c r="G574" s="9"/>
      <c r="H574" s="9"/>
      <c r="I574" s="9"/>
      <c r="J574" s="9"/>
      <c r="K574" s="9"/>
      <c r="L574" s="115"/>
      <c r="M574" s="115"/>
      <c r="N574" s="115"/>
      <c r="O574" s="115"/>
      <c r="P574" s="9"/>
      <c r="Q574" s="9"/>
      <c r="R574" s="9"/>
      <c r="S574" s="9"/>
      <c r="T574" s="9"/>
      <c r="U574" s="9"/>
      <c r="V574" s="9"/>
      <c r="W574" s="10"/>
      <c r="X574" s="10"/>
      <c r="Y574" s="10"/>
      <c r="Z574" s="10"/>
    </row>
    <row r="575">
      <c r="A575" s="9"/>
      <c r="B575" s="9"/>
      <c r="C575" s="9"/>
      <c r="D575" s="9"/>
      <c r="E575" s="9"/>
      <c r="F575" s="9"/>
      <c r="G575" s="9"/>
      <c r="H575" s="9"/>
      <c r="I575" s="9"/>
      <c r="J575" s="9"/>
      <c r="K575" s="9"/>
      <c r="L575" s="115"/>
      <c r="M575" s="115"/>
      <c r="N575" s="115"/>
      <c r="O575" s="115"/>
      <c r="P575" s="9"/>
      <c r="Q575" s="9"/>
      <c r="R575" s="9"/>
      <c r="S575" s="9"/>
      <c r="T575" s="9"/>
      <c r="U575" s="9"/>
      <c r="V575" s="9"/>
      <c r="W575" s="10"/>
      <c r="X575" s="10"/>
      <c r="Y575" s="10"/>
      <c r="Z575" s="10"/>
    </row>
    <row r="576">
      <c r="A576" s="9"/>
      <c r="B576" s="9"/>
      <c r="C576" s="9"/>
      <c r="D576" s="9"/>
      <c r="E576" s="9"/>
      <c r="F576" s="9"/>
      <c r="G576" s="9"/>
      <c r="H576" s="9"/>
      <c r="I576" s="9"/>
      <c r="J576" s="9"/>
      <c r="K576" s="9"/>
      <c r="L576" s="115"/>
      <c r="M576" s="115"/>
      <c r="N576" s="115"/>
      <c r="O576" s="115"/>
      <c r="P576" s="9"/>
      <c r="Q576" s="9"/>
      <c r="R576" s="9"/>
      <c r="S576" s="9"/>
      <c r="T576" s="9"/>
      <c r="U576" s="9"/>
      <c r="V576" s="9"/>
      <c r="W576" s="10"/>
      <c r="X576" s="10"/>
      <c r="Y576" s="10"/>
      <c r="Z576" s="10"/>
    </row>
    <row r="577">
      <c r="A577" s="9"/>
      <c r="B577" s="9"/>
      <c r="C577" s="9"/>
      <c r="D577" s="9"/>
      <c r="E577" s="9"/>
      <c r="F577" s="9"/>
      <c r="G577" s="9"/>
      <c r="H577" s="9"/>
      <c r="I577" s="9"/>
      <c r="J577" s="9"/>
      <c r="K577" s="9"/>
      <c r="L577" s="115"/>
      <c r="M577" s="115"/>
      <c r="N577" s="115"/>
      <c r="O577" s="115"/>
      <c r="P577" s="9"/>
      <c r="Q577" s="9"/>
      <c r="R577" s="9"/>
      <c r="S577" s="9"/>
      <c r="T577" s="9"/>
      <c r="U577" s="9"/>
      <c r="V577" s="9"/>
      <c r="W577" s="10"/>
      <c r="X577" s="10"/>
      <c r="Y577" s="10"/>
      <c r="Z577" s="10"/>
    </row>
    <row r="578">
      <c r="A578" s="9"/>
      <c r="B578" s="9"/>
      <c r="C578" s="9"/>
      <c r="D578" s="9"/>
      <c r="E578" s="9"/>
      <c r="F578" s="9"/>
      <c r="G578" s="9"/>
      <c r="H578" s="9"/>
      <c r="I578" s="9"/>
      <c r="J578" s="9"/>
      <c r="K578" s="9"/>
      <c r="L578" s="115"/>
      <c r="M578" s="115"/>
      <c r="N578" s="115"/>
      <c r="O578" s="115"/>
      <c r="P578" s="9"/>
      <c r="Q578" s="9"/>
      <c r="R578" s="9"/>
      <c r="S578" s="9"/>
      <c r="T578" s="9"/>
      <c r="U578" s="9"/>
      <c r="V578" s="9"/>
      <c r="W578" s="10"/>
      <c r="X578" s="10"/>
      <c r="Y578" s="10"/>
      <c r="Z578" s="10"/>
    </row>
    <row r="579">
      <c r="A579" s="9"/>
      <c r="B579" s="9"/>
      <c r="C579" s="9"/>
      <c r="D579" s="9"/>
      <c r="E579" s="9"/>
      <c r="F579" s="9"/>
      <c r="G579" s="9"/>
      <c r="H579" s="9"/>
      <c r="I579" s="9"/>
      <c r="J579" s="9"/>
      <c r="K579" s="9"/>
      <c r="L579" s="115"/>
      <c r="M579" s="115"/>
      <c r="N579" s="115"/>
      <c r="O579" s="115"/>
      <c r="P579" s="9"/>
      <c r="Q579" s="9"/>
      <c r="R579" s="9"/>
      <c r="S579" s="9"/>
      <c r="T579" s="9"/>
      <c r="U579" s="9"/>
      <c r="V579" s="9"/>
      <c r="W579" s="10"/>
      <c r="X579" s="10"/>
      <c r="Y579" s="10"/>
      <c r="Z579" s="10"/>
    </row>
    <row r="580">
      <c r="A580" s="9"/>
      <c r="B580" s="9"/>
      <c r="C580" s="9"/>
      <c r="D580" s="9"/>
      <c r="E580" s="9"/>
      <c r="F580" s="9"/>
      <c r="G580" s="9"/>
      <c r="H580" s="9"/>
      <c r="I580" s="9"/>
      <c r="J580" s="9"/>
      <c r="K580" s="9"/>
      <c r="L580" s="115"/>
      <c r="M580" s="115"/>
      <c r="N580" s="115"/>
      <c r="O580" s="115"/>
      <c r="P580" s="9"/>
      <c r="Q580" s="9"/>
      <c r="R580" s="9"/>
      <c r="S580" s="9"/>
      <c r="T580" s="9"/>
      <c r="U580" s="9"/>
      <c r="V580" s="9"/>
      <c r="W580" s="10"/>
      <c r="X580" s="10"/>
      <c r="Y580" s="10"/>
      <c r="Z580" s="10"/>
    </row>
    <row r="581">
      <c r="A581" s="9"/>
      <c r="B581" s="9"/>
      <c r="C581" s="9"/>
      <c r="D581" s="9"/>
      <c r="E581" s="9"/>
      <c r="F581" s="9"/>
      <c r="G581" s="9"/>
      <c r="H581" s="9"/>
      <c r="I581" s="9"/>
      <c r="J581" s="9"/>
      <c r="K581" s="9"/>
      <c r="L581" s="115"/>
      <c r="M581" s="115"/>
      <c r="N581" s="115"/>
      <c r="O581" s="115"/>
      <c r="P581" s="9"/>
      <c r="Q581" s="9"/>
      <c r="R581" s="9"/>
      <c r="S581" s="9"/>
      <c r="T581" s="9"/>
      <c r="U581" s="9"/>
      <c r="V581" s="9"/>
      <c r="W581" s="10"/>
      <c r="X581" s="10"/>
      <c r="Y581" s="10"/>
      <c r="Z581" s="10"/>
    </row>
    <row r="582">
      <c r="A582" s="9"/>
      <c r="B582" s="9"/>
      <c r="C582" s="9"/>
      <c r="D582" s="9"/>
      <c r="E582" s="9"/>
      <c r="F582" s="9"/>
      <c r="G582" s="9"/>
      <c r="H582" s="9"/>
      <c r="I582" s="9"/>
      <c r="J582" s="9"/>
      <c r="K582" s="9"/>
      <c r="L582" s="115"/>
      <c r="M582" s="115"/>
      <c r="N582" s="115"/>
      <c r="O582" s="115"/>
      <c r="P582" s="9"/>
      <c r="Q582" s="9"/>
      <c r="R582" s="9"/>
      <c r="S582" s="9"/>
      <c r="T582" s="9"/>
      <c r="U582" s="9"/>
      <c r="V582" s="9"/>
      <c r="W582" s="10"/>
      <c r="X582" s="10"/>
      <c r="Y582" s="10"/>
      <c r="Z582" s="10"/>
    </row>
    <row r="583">
      <c r="A583" s="9"/>
      <c r="B583" s="9"/>
      <c r="C583" s="9"/>
      <c r="D583" s="9"/>
      <c r="E583" s="9"/>
      <c r="F583" s="9"/>
      <c r="G583" s="9"/>
      <c r="H583" s="9"/>
      <c r="I583" s="9"/>
      <c r="J583" s="9"/>
      <c r="K583" s="9"/>
      <c r="L583" s="115"/>
      <c r="M583" s="115"/>
      <c r="N583" s="115"/>
      <c r="O583" s="115"/>
      <c r="P583" s="9"/>
      <c r="Q583" s="9"/>
      <c r="R583" s="9"/>
      <c r="S583" s="9"/>
      <c r="T583" s="9"/>
      <c r="U583" s="9"/>
      <c r="V583" s="9"/>
      <c r="W583" s="10"/>
      <c r="X583" s="10"/>
      <c r="Y583" s="10"/>
      <c r="Z583" s="10"/>
    </row>
    <row r="584">
      <c r="A584" s="9"/>
      <c r="B584" s="9"/>
      <c r="C584" s="9"/>
      <c r="D584" s="9"/>
      <c r="E584" s="9"/>
      <c r="F584" s="9"/>
      <c r="G584" s="9"/>
      <c r="H584" s="9"/>
      <c r="I584" s="9"/>
      <c r="J584" s="9"/>
      <c r="K584" s="9"/>
      <c r="L584" s="115"/>
      <c r="M584" s="115"/>
      <c r="N584" s="115"/>
      <c r="O584" s="115"/>
      <c r="P584" s="9"/>
      <c r="Q584" s="9"/>
      <c r="R584" s="9"/>
      <c r="S584" s="9"/>
      <c r="T584" s="9"/>
      <c r="U584" s="9"/>
      <c r="V584" s="9"/>
      <c r="W584" s="10"/>
      <c r="X584" s="10"/>
      <c r="Y584" s="10"/>
      <c r="Z584" s="10"/>
    </row>
    <row r="585">
      <c r="A585" s="9"/>
      <c r="B585" s="9"/>
      <c r="C585" s="9"/>
      <c r="D585" s="9"/>
      <c r="E585" s="9"/>
      <c r="F585" s="9"/>
      <c r="G585" s="9"/>
      <c r="H585" s="9"/>
      <c r="I585" s="9"/>
      <c r="J585" s="9"/>
      <c r="K585" s="9"/>
      <c r="L585" s="115"/>
      <c r="M585" s="115"/>
      <c r="N585" s="115"/>
      <c r="O585" s="115"/>
      <c r="P585" s="9"/>
      <c r="Q585" s="9"/>
      <c r="R585" s="9"/>
      <c r="S585" s="9"/>
      <c r="T585" s="9"/>
      <c r="U585" s="9"/>
      <c r="V585" s="9"/>
      <c r="W585" s="10"/>
      <c r="X585" s="10"/>
      <c r="Y585" s="10"/>
      <c r="Z585" s="10"/>
    </row>
    <row r="586">
      <c r="A586" s="9"/>
      <c r="B586" s="9"/>
      <c r="C586" s="9"/>
      <c r="D586" s="9"/>
      <c r="E586" s="9"/>
      <c r="F586" s="9"/>
      <c r="G586" s="9"/>
      <c r="H586" s="9"/>
      <c r="I586" s="9"/>
      <c r="J586" s="9"/>
      <c r="K586" s="9"/>
      <c r="L586" s="115"/>
      <c r="M586" s="115"/>
      <c r="N586" s="115"/>
      <c r="O586" s="115"/>
      <c r="P586" s="9"/>
      <c r="Q586" s="9"/>
      <c r="R586" s="9"/>
      <c r="S586" s="9"/>
      <c r="T586" s="9"/>
      <c r="U586" s="9"/>
      <c r="V586" s="9"/>
      <c r="W586" s="10"/>
      <c r="X586" s="10"/>
      <c r="Y586" s="10"/>
      <c r="Z586" s="10"/>
    </row>
    <row r="587">
      <c r="A587" s="9"/>
      <c r="B587" s="9"/>
      <c r="C587" s="9"/>
      <c r="D587" s="9"/>
      <c r="E587" s="9"/>
      <c r="F587" s="9"/>
      <c r="G587" s="9"/>
      <c r="H587" s="9"/>
      <c r="I587" s="9"/>
      <c r="J587" s="9"/>
      <c r="K587" s="9"/>
      <c r="L587" s="115"/>
      <c r="M587" s="115"/>
      <c r="N587" s="115"/>
      <c r="O587" s="115"/>
      <c r="P587" s="9"/>
      <c r="Q587" s="9"/>
      <c r="R587" s="9"/>
      <c r="S587" s="9"/>
      <c r="T587" s="9"/>
      <c r="U587" s="9"/>
      <c r="V587" s="9"/>
      <c r="W587" s="10"/>
      <c r="X587" s="10"/>
      <c r="Y587" s="10"/>
      <c r="Z587" s="10"/>
    </row>
    <row r="588">
      <c r="A588" s="9"/>
      <c r="B588" s="9"/>
      <c r="C588" s="9"/>
      <c r="D588" s="9"/>
      <c r="E588" s="9"/>
      <c r="F588" s="9"/>
      <c r="G588" s="9"/>
      <c r="H588" s="9"/>
      <c r="I588" s="9"/>
      <c r="J588" s="9"/>
      <c r="K588" s="9"/>
      <c r="L588" s="115"/>
      <c r="M588" s="115"/>
      <c r="N588" s="115"/>
      <c r="O588" s="115"/>
      <c r="P588" s="9"/>
      <c r="Q588" s="9"/>
      <c r="R588" s="9"/>
      <c r="S588" s="9"/>
      <c r="T588" s="9"/>
      <c r="U588" s="9"/>
      <c r="V588" s="9"/>
      <c r="W588" s="10"/>
      <c r="X588" s="10"/>
      <c r="Y588" s="10"/>
      <c r="Z588" s="10"/>
    </row>
    <row r="589">
      <c r="A589" s="9"/>
      <c r="B589" s="9"/>
      <c r="C589" s="9"/>
      <c r="D589" s="9"/>
      <c r="E589" s="9"/>
      <c r="F589" s="9"/>
      <c r="G589" s="9"/>
      <c r="H589" s="9"/>
      <c r="I589" s="9"/>
      <c r="J589" s="9"/>
      <c r="K589" s="9"/>
      <c r="L589" s="115"/>
      <c r="M589" s="115"/>
      <c r="N589" s="115"/>
      <c r="O589" s="115"/>
      <c r="P589" s="9"/>
      <c r="Q589" s="9"/>
      <c r="R589" s="9"/>
      <c r="S589" s="9"/>
      <c r="T589" s="9"/>
      <c r="U589" s="9"/>
      <c r="V589" s="9"/>
      <c r="W589" s="10"/>
      <c r="X589" s="10"/>
      <c r="Y589" s="10"/>
      <c r="Z589" s="10"/>
    </row>
    <row r="590">
      <c r="A590" s="9"/>
      <c r="B590" s="9"/>
      <c r="C590" s="9"/>
      <c r="D590" s="9"/>
      <c r="E590" s="9"/>
      <c r="F590" s="9"/>
      <c r="G590" s="9"/>
      <c r="H590" s="9"/>
      <c r="I590" s="9"/>
      <c r="J590" s="9"/>
      <c r="K590" s="9"/>
      <c r="L590" s="115"/>
      <c r="M590" s="115"/>
      <c r="N590" s="115"/>
      <c r="O590" s="115"/>
      <c r="P590" s="9"/>
      <c r="Q590" s="9"/>
      <c r="R590" s="9"/>
      <c r="S590" s="9"/>
      <c r="T590" s="9"/>
      <c r="U590" s="9"/>
      <c r="V590" s="9"/>
      <c r="W590" s="10"/>
      <c r="X590" s="10"/>
      <c r="Y590" s="10"/>
      <c r="Z590" s="10"/>
    </row>
    <row r="591">
      <c r="A591" s="9"/>
      <c r="B591" s="9"/>
      <c r="C591" s="9"/>
      <c r="D591" s="9"/>
      <c r="E591" s="9"/>
      <c r="F591" s="9"/>
      <c r="G591" s="9"/>
      <c r="H591" s="9"/>
      <c r="I591" s="9"/>
      <c r="J591" s="9"/>
      <c r="K591" s="9"/>
      <c r="L591" s="115"/>
      <c r="M591" s="115"/>
      <c r="N591" s="115"/>
      <c r="O591" s="115"/>
      <c r="P591" s="9"/>
      <c r="Q591" s="9"/>
      <c r="R591" s="9"/>
      <c r="S591" s="9"/>
      <c r="T591" s="9"/>
      <c r="U591" s="9"/>
      <c r="V591" s="9"/>
      <c r="W591" s="10"/>
      <c r="X591" s="10"/>
      <c r="Y591" s="10"/>
      <c r="Z591" s="10"/>
    </row>
    <row r="592">
      <c r="A592" s="9"/>
      <c r="B592" s="9"/>
      <c r="C592" s="9"/>
      <c r="D592" s="9"/>
      <c r="E592" s="9"/>
      <c r="F592" s="9"/>
      <c r="G592" s="9"/>
      <c r="H592" s="9"/>
      <c r="I592" s="9"/>
      <c r="J592" s="9"/>
      <c r="K592" s="9"/>
      <c r="L592" s="115"/>
      <c r="M592" s="115"/>
      <c r="N592" s="115"/>
      <c r="O592" s="115"/>
      <c r="P592" s="9"/>
      <c r="Q592" s="9"/>
      <c r="R592" s="9"/>
      <c r="S592" s="9"/>
      <c r="T592" s="9"/>
      <c r="U592" s="9"/>
      <c r="V592" s="9"/>
      <c r="W592" s="10"/>
      <c r="X592" s="10"/>
      <c r="Y592" s="10"/>
      <c r="Z592" s="10"/>
    </row>
    <row r="593">
      <c r="A593" s="9"/>
      <c r="B593" s="9"/>
      <c r="C593" s="9"/>
      <c r="D593" s="9"/>
      <c r="E593" s="9"/>
      <c r="F593" s="9"/>
      <c r="G593" s="9"/>
      <c r="H593" s="9"/>
      <c r="I593" s="9"/>
      <c r="J593" s="9"/>
      <c r="K593" s="9"/>
      <c r="L593" s="115"/>
      <c r="M593" s="115"/>
      <c r="N593" s="115"/>
      <c r="O593" s="115"/>
      <c r="P593" s="9"/>
      <c r="Q593" s="9"/>
      <c r="R593" s="9"/>
      <c r="S593" s="9"/>
      <c r="T593" s="9"/>
      <c r="U593" s="9"/>
      <c r="V593" s="9"/>
      <c r="W593" s="10"/>
      <c r="X593" s="10"/>
      <c r="Y593" s="10"/>
      <c r="Z593" s="10"/>
    </row>
    <row r="594">
      <c r="A594" s="9"/>
      <c r="B594" s="9"/>
      <c r="C594" s="9"/>
      <c r="D594" s="9"/>
      <c r="E594" s="9"/>
      <c r="F594" s="9"/>
      <c r="G594" s="9"/>
      <c r="H594" s="9"/>
      <c r="I594" s="9"/>
      <c r="J594" s="9"/>
      <c r="K594" s="9"/>
      <c r="L594" s="115"/>
      <c r="M594" s="115"/>
      <c r="N594" s="115"/>
      <c r="O594" s="115"/>
      <c r="P594" s="9"/>
      <c r="Q594" s="9"/>
      <c r="R594" s="9"/>
      <c r="S594" s="9"/>
      <c r="T594" s="9"/>
      <c r="U594" s="9"/>
      <c r="V594" s="9"/>
      <c r="W594" s="10"/>
      <c r="X594" s="10"/>
      <c r="Y594" s="10"/>
      <c r="Z594" s="10"/>
    </row>
    <row r="595">
      <c r="A595" s="9"/>
      <c r="B595" s="9"/>
      <c r="C595" s="9"/>
      <c r="D595" s="9"/>
      <c r="E595" s="9"/>
      <c r="F595" s="9"/>
      <c r="G595" s="9"/>
      <c r="H595" s="9"/>
      <c r="I595" s="9"/>
      <c r="J595" s="9"/>
      <c r="K595" s="9"/>
      <c r="L595" s="115"/>
      <c r="M595" s="115"/>
      <c r="N595" s="115"/>
      <c r="O595" s="115"/>
      <c r="P595" s="9"/>
      <c r="Q595" s="9"/>
      <c r="R595" s="9"/>
      <c r="S595" s="9"/>
      <c r="T595" s="9"/>
      <c r="U595" s="9"/>
      <c r="V595" s="9"/>
      <c r="W595" s="10"/>
      <c r="X595" s="10"/>
      <c r="Y595" s="10"/>
      <c r="Z595" s="10"/>
    </row>
    <row r="596">
      <c r="A596" s="9"/>
      <c r="B596" s="9"/>
      <c r="C596" s="9"/>
      <c r="D596" s="9"/>
      <c r="E596" s="9"/>
      <c r="F596" s="9"/>
      <c r="G596" s="9"/>
      <c r="H596" s="9"/>
      <c r="I596" s="9"/>
      <c r="J596" s="9"/>
      <c r="K596" s="9"/>
      <c r="L596" s="115"/>
      <c r="M596" s="115"/>
      <c r="N596" s="115"/>
      <c r="O596" s="115"/>
      <c r="P596" s="9"/>
      <c r="Q596" s="9"/>
      <c r="R596" s="9"/>
      <c r="S596" s="9"/>
      <c r="T596" s="9"/>
      <c r="U596" s="9"/>
      <c r="V596" s="9"/>
      <c r="W596" s="10"/>
      <c r="X596" s="10"/>
      <c r="Y596" s="10"/>
      <c r="Z596" s="10"/>
    </row>
    <row r="597">
      <c r="A597" s="9"/>
      <c r="B597" s="9"/>
      <c r="C597" s="9"/>
      <c r="D597" s="9"/>
      <c r="E597" s="9"/>
      <c r="F597" s="9"/>
      <c r="G597" s="9"/>
      <c r="H597" s="9"/>
      <c r="I597" s="9"/>
      <c r="J597" s="9"/>
      <c r="K597" s="9"/>
      <c r="L597" s="115"/>
      <c r="M597" s="115"/>
      <c r="N597" s="115"/>
      <c r="O597" s="115"/>
      <c r="P597" s="9"/>
      <c r="Q597" s="9"/>
      <c r="R597" s="9"/>
      <c r="S597" s="9"/>
      <c r="T597" s="9"/>
      <c r="U597" s="9"/>
      <c r="V597" s="9"/>
      <c r="W597" s="10"/>
      <c r="X597" s="10"/>
      <c r="Y597" s="10"/>
      <c r="Z597" s="10"/>
    </row>
    <row r="598">
      <c r="A598" s="9"/>
      <c r="B598" s="9"/>
      <c r="C598" s="9"/>
      <c r="D598" s="9"/>
      <c r="E598" s="9"/>
      <c r="F598" s="9"/>
      <c r="G598" s="9"/>
      <c r="H598" s="9"/>
      <c r="I598" s="9"/>
      <c r="J598" s="9"/>
      <c r="K598" s="9"/>
      <c r="L598" s="115"/>
      <c r="M598" s="115"/>
      <c r="N598" s="115"/>
      <c r="O598" s="115"/>
      <c r="P598" s="9"/>
      <c r="Q598" s="9"/>
      <c r="R598" s="9"/>
      <c r="S598" s="9"/>
      <c r="T598" s="9"/>
      <c r="U598" s="9"/>
      <c r="V598" s="9"/>
      <c r="W598" s="10"/>
      <c r="X598" s="10"/>
      <c r="Y598" s="10"/>
      <c r="Z598" s="10"/>
    </row>
    <row r="599">
      <c r="A599" s="9"/>
      <c r="B599" s="9"/>
      <c r="C599" s="9"/>
      <c r="D599" s="9"/>
      <c r="E599" s="9"/>
      <c r="F599" s="9"/>
      <c r="G599" s="9"/>
      <c r="H599" s="9"/>
      <c r="I599" s="9"/>
      <c r="J599" s="9"/>
      <c r="K599" s="9"/>
      <c r="L599" s="115"/>
      <c r="M599" s="115"/>
      <c r="N599" s="115"/>
      <c r="O599" s="115"/>
      <c r="P599" s="9"/>
      <c r="Q599" s="9"/>
      <c r="R599" s="9"/>
      <c r="S599" s="9"/>
      <c r="T599" s="9"/>
      <c r="U599" s="9"/>
      <c r="V599" s="9"/>
      <c r="W599" s="10"/>
      <c r="X599" s="10"/>
      <c r="Y599" s="10"/>
      <c r="Z599" s="10"/>
    </row>
    <row r="600">
      <c r="A600" s="9"/>
      <c r="B600" s="9"/>
      <c r="C600" s="9"/>
      <c r="D600" s="9"/>
      <c r="E600" s="9"/>
      <c r="F600" s="9"/>
      <c r="G600" s="9"/>
      <c r="H600" s="9"/>
      <c r="I600" s="9"/>
      <c r="J600" s="9"/>
      <c r="K600" s="9"/>
      <c r="L600" s="115"/>
      <c r="M600" s="115"/>
      <c r="N600" s="115"/>
      <c r="O600" s="115"/>
      <c r="P600" s="9"/>
      <c r="Q600" s="9"/>
      <c r="R600" s="9"/>
      <c r="S600" s="9"/>
      <c r="T600" s="9"/>
      <c r="U600" s="9"/>
      <c r="V600" s="9"/>
      <c r="W600" s="10"/>
      <c r="X600" s="10"/>
      <c r="Y600" s="10"/>
      <c r="Z600" s="10"/>
    </row>
    <row r="601">
      <c r="A601" s="9"/>
      <c r="B601" s="9"/>
      <c r="C601" s="9"/>
      <c r="D601" s="9"/>
      <c r="E601" s="9"/>
      <c r="F601" s="9"/>
      <c r="G601" s="9"/>
      <c r="H601" s="9"/>
      <c r="I601" s="9"/>
      <c r="J601" s="9"/>
      <c r="K601" s="9"/>
      <c r="L601" s="115"/>
      <c r="M601" s="115"/>
      <c r="N601" s="115"/>
      <c r="O601" s="115"/>
      <c r="P601" s="9"/>
      <c r="Q601" s="9"/>
      <c r="R601" s="9"/>
      <c r="S601" s="9"/>
      <c r="T601" s="9"/>
      <c r="U601" s="9"/>
      <c r="V601" s="9"/>
      <c r="W601" s="10"/>
      <c r="X601" s="10"/>
      <c r="Y601" s="10"/>
      <c r="Z601" s="10"/>
    </row>
    <row r="602">
      <c r="A602" s="9"/>
      <c r="B602" s="9"/>
      <c r="C602" s="9"/>
      <c r="D602" s="9"/>
      <c r="E602" s="9"/>
      <c r="F602" s="9"/>
      <c r="G602" s="9"/>
      <c r="H602" s="9"/>
      <c r="I602" s="9"/>
      <c r="J602" s="9"/>
      <c r="K602" s="9"/>
      <c r="L602" s="115"/>
      <c r="M602" s="115"/>
      <c r="N602" s="115"/>
      <c r="O602" s="115"/>
      <c r="P602" s="9"/>
      <c r="Q602" s="9"/>
      <c r="R602" s="9"/>
      <c r="S602" s="9"/>
      <c r="T602" s="9"/>
      <c r="U602" s="9"/>
      <c r="V602" s="9"/>
      <c r="W602" s="10"/>
      <c r="X602" s="10"/>
      <c r="Y602" s="10"/>
      <c r="Z602" s="10"/>
    </row>
    <row r="603">
      <c r="A603" s="9"/>
      <c r="B603" s="9"/>
      <c r="C603" s="9"/>
      <c r="D603" s="9"/>
      <c r="E603" s="9"/>
      <c r="F603" s="9"/>
      <c r="G603" s="9"/>
      <c r="H603" s="9"/>
      <c r="I603" s="9"/>
      <c r="J603" s="9"/>
      <c r="K603" s="9"/>
      <c r="L603" s="115"/>
      <c r="M603" s="115"/>
      <c r="N603" s="115"/>
      <c r="O603" s="115"/>
      <c r="P603" s="9"/>
      <c r="Q603" s="9"/>
      <c r="R603" s="9"/>
      <c r="S603" s="9"/>
      <c r="T603" s="9"/>
      <c r="U603" s="9"/>
      <c r="V603" s="9"/>
      <c r="W603" s="10"/>
      <c r="X603" s="10"/>
      <c r="Y603" s="10"/>
      <c r="Z603" s="10"/>
    </row>
    <row r="604">
      <c r="A604" s="9"/>
      <c r="B604" s="9"/>
      <c r="C604" s="9"/>
      <c r="D604" s="9"/>
      <c r="E604" s="9"/>
      <c r="F604" s="9"/>
      <c r="G604" s="9"/>
      <c r="H604" s="9"/>
      <c r="I604" s="9"/>
      <c r="J604" s="9"/>
      <c r="K604" s="9"/>
      <c r="L604" s="115"/>
      <c r="M604" s="115"/>
      <c r="N604" s="115"/>
      <c r="O604" s="115"/>
      <c r="P604" s="9"/>
      <c r="Q604" s="9"/>
      <c r="R604" s="9"/>
      <c r="S604" s="9"/>
      <c r="T604" s="9"/>
      <c r="U604" s="9"/>
      <c r="V604" s="9"/>
      <c r="W604" s="10"/>
      <c r="X604" s="10"/>
      <c r="Y604" s="10"/>
      <c r="Z604" s="10"/>
    </row>
    <row r="605">
      <c r="A605" s="9"/>
      <c r="B605" s="9"/>
      <c r="C605" s="9"/>
      <c r="D605" s="9"/>
      <c r="E605" s="9"/>
      <c r="F605" s="9"/>
      <c r="G605" s="9"/>
      <c r="H605" s="9"/>
      <c r="I605" s="9"/>
      <c r="J605" s="9"/>
      <c r="K605" s="9"/>
      <c r="L605" s="115"/>
      <c r="M605" s="115"/>
      <c r="N605" s="115"/>
      <c r="O605" s="115"/>
      <c r="P605" s="9"/>
      <c r="Q605" s="9"/>
      <c r="R605" s="9"/>
      <c r="S605" s="9"/>
      <c r="T605" s="9"/>
      <c r="U605" s="9"/>
      <c r="V605" s="9"/>
      <c r="W605" s="10"/>
      <c r="X605" s="10"/>
      <c r="Y605" s="10"/>
      <c r="Z605" s="10"/>
    </row>
    <row r="606">
      <c r="A606" s="9"/>
      <c r="B606" s="9"/>
      <c r="C606" s="9"/>
      <c r="D606" s="9"/>
      <c r="E606" s="9"/>
      <c r="F606" s="9"/>
      <c r="G606" s="9"/>
      <c r="H606" s="9"/>
      <c r="I606" s="9"/>
      <c r="J606" s="9"/>
      <c r="K606" s="9"/>
      <c r="L606" s="115"/>
      <c r="M606" s="115"/>
      <c r="N606" s="115"/>
      <c r="O606" s="115"/>
      <c r="P606" s="9"/>
      <c r="Q606" s="9"/>
      <c r="R606" s="9"/>
      <c r="S606" s="9"/>
      <c r="T606" s="9"/>
      <c r="U606" s="9"/>
      <c r="V606" s="9"/>
      <c r="W606" s="10"/>
      <c r="X606" s="10"/>
      <c r="Y606" s="10"/>
      <c r="Z606" s="10"/>
    </row>
    <row r="607">
      <c r="A607" s="9"/>
      <c r="B607" s="9"/>
      <c r="C607" s="9"/>
      <c r="D607" s="9"/>
      <c r="E607" s="9"/>
      <c r="F607" s="9"/>
      <c r="G607" s="9"/>
      <c r="H607" s="9"/>
      <c r="I607" s="9"/>
      <c r="J607" s="9"/>
      <c r="K607" s="9"/>
      <c r="L607" s="115"/>
      <c r="M607" s="115"/>
      <c r="N607" s="115"/>
      <c r="O607" s="115"/>
      <c r="P607" s="9"/>
      <c r="Q607" s="9"/>
      <c r="R607" s="9"/>
      <c r="S607" s="9"/>
      <c r="T607" s="9"/>
      <c r="U607" s="9"/>
      <c r="V607" s="9"/>
      <c r="W607" s="10"/>
      <c r="X607" s="10"/>
      <c r="Y607" s="10"/>
      <c r="Z607" s="10"/>
    </row>
    <row r="608">
      <c r="A608" s="9"/>
      <c r="B608" s="9"/>
      <c r="C608" s="9"/>
      <c r="D608" s="9"/>
      <c r="E608" s="9"/>
      <c r="F608" s="9"/>
      <c r="G608" s="9"/>
      <c r="H608" s="9"/>
      <c r="I608" s="9"/>
      <c r="J608" s="9"/>
      <c r="K608" s="9"/>
      <c r="L608" s="115"/>
      <c r="M608" s="115"/>
      <c r="N608" s="115"/>
      <c r="O608" s="115"/>
      <c r="P608" s="9"/>
      <c r="Q608" s="9"/>
      <c r="R608" s="9"/>
      <c r="S608" s="9"/>
      <c r="T608" s="9"/>
      <c r="U608" s="9"/>
      <c r="V608" s="9"/>
      <c r="W608" s="10"/>
      <c r="X608" s="10"/>
      <c r="Y608" s="10"/>
      <c r="Z608" s="10"/>
    </row>
    <row r="609">
      <c r="A609" s="9"/>
      <c r="B609" s="9"/>
      <c r="C609" s="9"/>
      <c r="D609" s="9"/>
      <c r="E609" s="9"/>
      <c r="F609" s="9"/>
      <c r="G609" s="9"/>
      <c r="H609" s="9"/>
      <c r="I609" s="9"/>
      <c r="J609" s="9"/>
      <c r="K609" s="9"/>
      <c r="L609" s="115"/>
      <c r="M609" s="115"/>
      <c r="N609" s="115"/>
      <c r="O609" s="115"/>
      <c r="P609" s="9"/>
      <c r="Q609" s="9"/>
      <c r="R609" s="9"/>
      <c r="S609" s="9"/>
      <c r="T609" s="9"/>
      <c r="U609" s="9"/>
      <c r="V609" s="9"/>
      <c r="W609" s="10"/>
      <c r="X609" s="10"/>
      <c r="Y609" s="10"/>
      <c r="Z609" s="10"/>
    </row>
    <row r="610">
      <c r="A610" s="9"/>
      <c r="B610" s="9"/>
      <c r="C610" s="9"/>
      <c r="D610" s="9"/>
      <c r="E610" s="9"/>
      <c r="F610" s="9"/>
      <c r="G610" s="9"/>
      <c r="H610" s="9"/>
      <c r="I610" s="9"/>
      <c r="J610" s="9"/>
      <c r="K610" s="9"/>
      <c r="L610" s="115"/>
      <c r="M610" s="115"/>
      <c r="N610" s="115"/>
      <c r="O610" s="115"/>
      <c r="P610" s="9"/>
      <c r="Q610" s="9"/>
      <c r="R610" s="9"/>
      <c r="S610" s="9"/>
      <c r="T610" s="9"/>
      <c r="U610" s="9"/>
      <c r="V610" s="9"/>
      <c r="W610" s="10"/>
      <c r="X610" s="10"/>
      <c r="Y610" s="10"/>
      <c r="Z610" s="10"/>
    </row>
    <row r="611">
      <c r="A611" s="9"/>
      <c r="B611" s="9"/>
      <c r="C611" s="9"/>
      <c r="D611" s="9"/>
      <c r="E611" s="9"/>
      <c r="F611" s="9"/>
      <c r="G611" s="9"/>
      <c r="H611" s="9"/>
      <c r="I611" s="9"/>
      <c r="J611" s="9"/>
      <c r="K611" s="9"/>
      <c r="L611" s="115"/>
      <c r="M611" s="115"/>
      <c r="N611" s="115"/>
      <c r="O611" s="115"/>
      <c r="P611" s="9"/>
      <c r="Q611" s="9"/>
      <c r="R611" s="9"/>
      <c r="S611" s="9"/>
      <c r="T611" s="9"/>
      <c r="U611" s="9"/>
      <c r="V611" s="9"/>
      <c r="W611" s="10"/>
      <c r="X611" s="10"/>
      <c r="Y611" s="10"/>
      <c r="Z611" s="10"/>
    </row>
    <row r="612">
      <c r="A612" s="9"/>
      <c r="B612" s="9"/>
      <c r="C612" s="9"/>
      <c r="D612" s="9"/>
      <c r="E612" s="9"/>
      <c r="F612" s="9"/>
      <c r="G612" s="9"/>
      <c r="H612" s="9"/>
      <c r="I612" s="9"/>
      <c r="J612" s="9"/>
      <c r="K612" s="9"/>
      <c r="L612" s="115"/>
      <c r="M612" s="115"/>
      <c r="N612" s="115"/>
      <c r="O612" s="115"/>
      <c r="P612" s="9"/>
      <c r="Q612" s="9"/>
      <c r="R612" s="9"/>
      <c r="S612" s="9"/>
      <c r="T612" s="9"/>
      <c r="U612" s="9"/>
      <c r="V612" s="9"/>
      <c r="W612" s="10"/>
      <c r="X612" s="10"/>
      <c r="Y612" s="10"/>
      <c r="Z612" s="10"/>
    </row>
    <row r="613">
      <c r="A613" s="9"/>
      <c r="B613" s="9"/>
      <c r="C613" s="9"/>
      <c r="D613" s="9"/>
      <c r="E613" s="9"/>
      <c r="F613" s="9"/>
      <c r="G613" s="9"/>
      <c r="H613" s="9"/>
      <c r="I613" s="9"/>
      <c r="J613" s="9"/>
      <c r="K613" s="9"/>
      <c r="L613" s="115"/>
      <c r="M613" s="115"/>
      <c r="N613" s="115"/>
      <c r="O613" s="115"/>
      <c r="P613" s="9"/>
      <c r="Q613" s="9"/>
      <c r="R613" s="9"/>
      <c r="S613" s="9"/>
      <c r="T613" s="9"/>
      <c r="U613" s="9"/>
      <c r="V613" s="9"/>
      <c r="W613" s="10"/>
      <c r="X613" s="10"/>
      <c r="Y613" s="10"/>
      <c r="Z613" s="10"/>
    </row>
    <row r="614">
      <c r="A614" s="9"/>
      <c r="B614" s="9"/>
      <c r="C614" s="9"/>
      <c r="D614" s="9"/>
      <c r="E614" s="9"/>
      <c r="F614" s="9"/>
      <c r="G614" s="9"/>
      <c r="H614" s="9"/>
      <c r="I614" s="9"/>
      <c r="J614" s="9"/>
      <c r="K614" s="9"/>
      <c r="L614" s="115"/>
      <c r="M614" s="115"/>
      <c r="N614" s="115"/>
      <c r="O614" s="115"/>
      <c r="P614" s="9"/>
      <c r="Q614" s="9"/>
      <c r="R614" s="9"/>
      <c r="S614" s="9"/>
      <c r="T614" s="9"/>
      <c r="U614" s="9"/>
      <c r="V614" s="9"/>
      <c r="W614" s="10"/>
      <c r="X614" s="10"/>
      <c r="Y614" s="10"/>
      <c r="Z614" s="10"/>
    </row>
    <row r="615">
      <c r="A615" s="9"/>
      <c r="B615" s="9"/>
      <c r="C615" s="9"/>
      <c r="D615" s="9"/>
      <c r="E615" s="9"/>
      <c r="F615" s="9"/>
      <c r="G615" s="9"/>
      <c r="H615" s="9"/>
      <c r="I615" s="9"/>
      <c r="J615" s="9"/>
      <c r="K615" s="9"/>
      <c r="L615" s="115"/>
      <c r="M615" s="115"/>
      <c r="N615" s="115"/>
      <c r="O615" s="115"/>
      <c r="P615" s="9"/>
      <c r="Q615" s="9"/>
      <c r="R615" s="9"/>
      <c r="S615" s="9"/>
      <c r="T615" s="9"/>
      <c r="U615" s="9"/>
      <c r="V615" s="9"/>
      <c r="W615" s="10"/>
      <c r="X615" s="10"/>
      <c r="Y615" s="10"/>
      <c r="Z615" s="10"/>
    </row>
    <row r="616">
      <c r="A616" s="9"/>
      <c r="B616" s="9"/>
      <c r="C616" s="9"/>
      <c r="D616" s="9"/>
      <c r="E616" s="9"/>
      <c r="F616" s="9"/>
      <c r="G616" s="9"/>
      <c r="H616" s="9"/>
      <c r="I616" s="9"/>
      <c r="J616" s="9"/>
      <c r="K616" s="9"/>
      <c r="L616" s="115"/>
      <c r="M616" s="115"/>
      <c r="N616" s="115"/>
      <c r="O616" s="115"/>
      <c r="P616" s="9"/>
      <c r="Q616" s="9"/>
      <c r="R616" s="9"/>
      <c r="S616" s="9"/>
      <c r="T616" s="9"/>
      <c r="U616" s="9"/>
      <c r="V616" s="9"/>
      <c r="W616" s="10"/>
      <c r="X616" s="10"/>
      <c r="Y616" s="10"/>
      <c r="Z616" s="10"/>
    </row>
    <row r="617">
      <c r="A617" s="9"/>
      <c r="B617" s="9"/>
      <c r="C617" s="9"/>
      <c r="D617" s="9"/>
      <c r="E617" s="9"/>
      <c r="F617" s="9"/>
      <c r="G617" s="9"/>
      <c r="H617" s="9"/>
      <c r="I617" s="9"/>
      <c r="J617" s="9"/>
      <c r="K617" s="9"/>
      <c r="L617" s="115"/>
      <c r="M617" s="115"/>
      <c r="N617" s="115"/>
      <c r="O617" s="115"/>
      <c r="P617" s="9"/>
      <c r="Q617" s="9"/>
      <c r="R617" s="9"/>
      <c r="S617" s="9"/>
      <c r="T617" s="9"/>
      <c r="U617" s="9"/>
      <c r="V617" s="9"/>
      <c r="W617" s="10"/>
      <c r="X617" s="10"/>
      <c r="Y617" s="10"/>
      <c r="Z617" s="10"/>
    </row>
    <row r="618">
      <c r="A618" s="9"/>
      <c r="B618" s="9"/>
      <c r="C618" s="9"/>
      <c r="D618" s="9"/>
      <c r="E618" s="9"/>
      <c r="F618" s="9"/>
      <c r="G618" s="9"/>
      <c r="H618" s="9"/>
      <c r="I618" s="9"/>
      <c r="J618" s="9"/>
      <c r="K618" s="9"/>
      <c r="L618" s="115"/>
      <c r="M618" s="115"/>
      <c r="N618" s="115"/>
      <c r="O618" s="115"/>
      <c r="P618" s="9"/>
      <c r="Q618" s="9"/>
      <c r="R618" s="9"/>
      <c r="S618" s="9"/>
      <c r="T618" s="9"/>
      <c r="U618" s="9"/>
      <c r="V618" s="9"/>
      <c r="W618" s="10"/>
      <c r="X618" s="10"/>
      <c r="Y618" s="10"/>
      <c r="Z618" s="10"/>
    </row>
    <row r="619">
      <c r="A619" s="9"/>
      <c r="B619" s="9"/>
      <c r="C619" s="9"/>
      <c r="D619" s="9"/>
      <c r="E619" s="9"/>
      <c r="F619" s="9"/>
      <c r="G619" s="9"/>
      <c r="H619" s="9"/>
      <c r="I619" s="9"/>
      <c r="J619" s="9"/>
      <c r="K619" s="9"/>
      <c r="L619" s="115"/>
      <c r="M619" s="115"/>
      <c r="N619" s="115"/>
      <c r="O619" s="115"/>
      <c r="P619" s="9"/>
      <c r="Q619" s="9"/>
      <c r="R619" s="9"/>
      <c r="S619" s="9"/>
      <c r="T619" s="9"/>
      <c r="U619" s="9"/>
      <c r="V619" s="9"/>
      <c r="W619" s="10"/>
      <c r="X619" s="10"/>
      <c r="Y619" s="10"/>
      <c r="Z619" s="10"/>
    </row>
    <row r="620">
      <c r="A620" s="9"/>
      <c r="B620" s="9"/>
      <c r="C620" s="9"/>
      <c r="D620" s="9"/>
      <c r="E620" s="9"/>
      <c r="F620" s="9"/>
      <c r="G620" s="9"/>
      <c r="H620" s="9"/>
      <c r="I620" s="9"/>
      <c r="J620" s="9"/>
      <c r="K620" s="9"/>
      <c r="L620" s="115"/>
      <c r="M620" s="115"/>
      <c r="N620" s="115"/>
      <c r="O620" s="115"/>
      <c r="P620" s="9"/>
      <c r="Q620" s="9"/>
      <c r="R620" s="9"/>
      <c r="S620" s="9"/>
      <c r="T620" s="9"/>
      <c r="U620" s="9"/>
      <c r="V620" s="9"/>
      <c r="W620" s="10"/>
      <c r="X620" s="10"/>
      <c r="Y620" s="10"/>
      <c r="Z620" s="10"/>
    </row>
    <row r="621">
      <c r="A621" s="9"/>
      <c r="B621" s="9"/>
      <c r="C621" s="9"/>
      <c r="D621" s="9"/>
      <c r="E621" s="9"/>
      <c r="F621" s="9"/>
      <c r="G621" s="9"/>
      <c r="H621" s="9"/>
      <c r="I621" s="9"/>
      <c r="J621" s="9"/>
      <c r="K621" s="9"/>
      <c r="L621" s="115"/>
      <c r="M621" s="115"/>
      <c r="N621" s="115"/>
      <c r="O621" s="115"/>
      <c r="P621" s="9"/>
      <c r="Q621" s="9"/>
      <c r="R621" s="9"/>
      <c r="S621" s="9"/>
      <c r="T621" s="9"/>
      <c r="U621" s="9"/>
      <c r="V621" s="9"/>
      <c r="W621" s="10"/>
      <c r="X621" s="10"/>
      <c r="Y621" s="10"/>
      <c r="Z621" s="10"/>
    </row>
    <row r="622">
      <c r="A622" s="9"/>
      <c r="B622" s="9"/>
      <c r="C622" s="9"/>
      <c r="D622" s="9"/>
      <c r="E622" s="9"/>
      <c r="F622" s="9"/>
      <c r="G622" s="9"/>
      <c r="H622" s="9"/>
      <c r="I622" s="9"/>
      <c r="J622" s="9"/>
      <c r="K622" s="9"/>
      <c r="L622" s="115"/>
      <c r="M622" s="115"/>
      <c r="N622" s="115"/>
      <c r="O622" s="115"/>
      <c r="P622" s="9"/>
      <c r="Q622" s="9"/>
      <c r="R622" s="9"/>
      <c r="S622" s="9"/>
      <c r="T622" s="9"/>
      <c r="U622" s="9"/>
      <c r="V622" s="9"/>
      <c r="W622" s="10"/>
      <c r="X622" s="10"/>
      <c r="Y622" s="10"/>
      <c r="Z622" s="10"/>
    </row>
    <row r="623">
      <c r="A623" s="9"/>
      <c r="B623" s="9"/>
      <c r="C623" s="9"/>
      <c r="D623" s="9"/>
      <c r="E623" s="9"/>
      <c r="F623" s="9"/>
      <c r="G623" s="9"/>
      <c r="H623" s="9"/>
      <c r="I623" s="9"/>
      <c r="J623" s="9"/>
      <c r="K623" s="9"/>
      <c r="L623" s="115"/>
      <c r="M623" s="115"/>
      <c r="N623" s="115"/>
      <c r="O623" s="115"/>
      <c r="P623" s="9"/>
      <c r="Q623" s="9"/>
      <c r="R623" s="9"/>
      <c r="S623" s="9"/>
      <c r="T623" s="9"/>
      <c r="U623" s="9"/>
      <c r="V623" s="9"/>
      <c r="W623" s="10"/>
      <c r="X623" s="10"/>
      <c r="Y623" s="10"/>
      <c r="Z623" s="10"/>
    </row>
    <row r="624">
      <c r="A624" s="9"/>
      <c r="B624" s="9"/>
      <c r="C624" s="9"/>
      <c r="D624" s="9"/>
      <c r="E624" s="9"/>
      <c r="F624" s="9"/>
      <c r="G624" s="9"/>
      <c r="H624" s="9"/>
      <c r="I624" s="9"/>
      <c r="J624" s="9"/>
      <c r="K624" s="9"/>
      <c r="L624" s="115"/>
      <c r="M624" s="115"/>
      <c r="N624" s="115"/>
      <c r="O624" s="115"/>
      <c r="P624" s="9"/>
      <c r="Q624" s="9"/>
      <c r="R624" s="9"/>
      <c r="S624" s="9"/>
      <c r="T624" s="9"/>
      <c r="U624" s="9"/>
      <c r="V624" s="9"/>
      <c r="W624" s="10"/>
      <c r="X624" s="10"/>
      <c r="Y624" s="10"/>
      <c r="Z624" s="10"/>
    </row>
    <row r="625">
      <c r="A625" s="9"/>
      <c r="B625" s="9"/>
      <c r="C625" s="9"/>
      <c r="D625" s="9"/>
      <c r="E625" s="9"/>
      <c r="F625" s="9"/>
      <c r="G625" s="9"/>
      <c r="H625" s="9"/>
      <c r="I625" s="9"/>
      <c r="J625" s="9"/>
      <c r="K625" s="9"/>
      <c r="L625" s="115"/>
      <c r="M625" s="115"/>
      <c r="N625" s="115"/>
      <c r="O625" s="115"/>
      <c r="P625" s="9"/>
      <c r="Q625" s="9"/>
      <c r="R625" s="9"/>
      <c r="S625" s="9"/>
      <c r="T625" s="9"/>
      <c r="U625" s="9"/>
      <c r="V625" s="9"/>
      <c r="W625" s="10"/>
      <c r="X625" s="10"/>
      <c r="Y625" s="10"/>
      <c r="Z625" s="10"/>
    </row>
    <row r="626">
      <c r="A626" s="9"/>
      <c r="B626" s="9"/>
      <c r="C626" s="9"/>
      <c r="D626" s="9"/>
      <c r="E626" s="9"/>
      <c r="F626" s="9"/>
      <c r="G626" s="9"/>
      <c r="H626" s="9"/>
      <c r="I626" s="9"/>
      <c r="J626" s="9"/>
      <c r="K626" s="9"/>
      <c r="L626" s="115"/>
      <c r="M626" s="115"/>
      <c r="N626" s="115"/>
      <c r="O626" s="115"/>
      <c r="P626" s="9"/>
      <c r="Q626" s="9"/>
      <c r="R626" s="9"/>
      <c r="S626" s="9"/>
      <c r="T626" s="9"/>
      <c r="U626" s="9"/>
      <c r="V626" s="9"/>
      <c r="W626" s="10"/>
      <c r="X626" s="10"/>
      <c r="Y626" s="10"/>
      <c r="Z626" s="10"/>
    </row>
    <row r="627">
      <c r="A627" s="9"/>
      <c r="B627" s="9"/>
      <c r="C627" s="9"/>
      <c r="D627" s="9"/>
      <c r="E627" s="9"/>
      <c r="F627" s="9"/>
      <c r="G627" s="9"/>
      <c r="H627" s="9"/>
      <c r="I627" s="9"/>
      <c r="J627" s="9"/>
      <c r="K627" s="9"/>
      <c r="L627" s="115"/>
      <c r="M627" s="115"/>
      <c r="N627" s="115"/>
      <c r="O627" s="115"/>
      <c r="P627" s="9"/>
      <c r="Q627" s="9"/>
      <c r="R627" s="9"/>
      <c r="S627" s="9"/>
      <c r="T627" s="9"/>
      <c r="U627" s="9"/>
      <c r="V627" s="9"/>
      <c r="W627" s="10"/>
      <c r="X627" s="10"/>
      <c r="Y627" s="10"/>
      <c r="Z627" s="10"/>
    </row>
    <row r="628">
      <c r="A628" s="9"/>
      <c r="B628" s="9"/>
      <c r="C628" s="9"/>
      <c r="D628" s="9"/>
      <c r="E628" s="9"/>
      <c r="F628" s="9"/>
      <c r="G628" s="9"/>
      <c r="H628" s="9"/>
      <c r="I628" s="9"/>
      <c r="J628" s="9"/>
      <c r="K628" s="9"/>
      <c r="L628" s="115"/>
      <c r="M628" s="115"/>
      <c r="N628" s="115"/>
      <c r="O628" s="115"/>
      <c r="P628" s="9"/>
      <c r="Q628" s="9"/>
      <c r="R628" s="9"/>
      <c r="S628" s="9"/>
      <c r="T628" s="9"/>
      <c r="U628" s="9"/>
      <c r="V628" s="9"/>
      <c r="W628" s="10"/>
      <c r="X628" s="10"/>
      <c r="Y628" s="10"/>
      <c r="Z628" s="10"/>
    </row>
    <row r="629">
      <c r="A629" s="9"/>
      <c r="B629" s="9"/>
      <c r="C629" s="9"/>
      <c r="D629" s="9"/>
      <c r="E629" s="9"/>
      <c r="F629" s="9"/>
      <c r="G629" s="9"/>
      <c r="H629" s="9"/>
      <c r="I629" s="9"/>
      <c r="J629" s="9"/>
      <c r="K629" s="9"/>
      <c r="L629" s="115"/>
      <c r="M629" s="115"/>
      <c r="N629" s="115"/>
      <c r="O629" s="115"/>
      <c r="P629" s="9"/>
      <c r="Q629" s="9"/>
      <c r="R629" s="9"/>
      <c r="S629" s="9"/>
      <c r="T629" s="9"/>
      <c r="U629" s="9"/>
      <c r="V629" s="9"/>
      <c r="W629" s="10"/>
      <c r="X629" s="10"/>
      <c r="Y629" s="10"/>
      <c r="Z629" s="10"/>
    </row>
    <row r="630">
      <c r="A630" s="9"/>
      <c r="B630" s="9"/>
      <c r="C630" s="9"/>
      <c r="D630" s="9"/>
      <c r="E630" s="9"/>
      <c r="F630" s="9"/>
      <c r="G630" s="9"/>
      <c r="H630" s="9"/>
      <c r="I630" s="9"/>
      <c r="J630" s="9"/>
      <c r="K630" s="9"/>
      <c r="L630" s="115"/>
      <c r="M630" s="115"/>
      <c r="N630" s="115"/>
      <c r="O630" s="115"/>
      <c r="P630" s="9"/>
      <c r="Q630" s="9"/>
      <c r="R630" s="9"/>
      <c r="S630" s="9"/>
      <c r="T630" s="9"/>
      <c r="U630" s="9"/>
      <c r="V630" s="9"/>
      <c r="W630" s="10"/>
      <c r="X630" s="10"/>
      <c r="Y630" s="10"/>
      <c r="Z630" s="10"/>
    </row>
    <row r="631">
      <c r="A631" s="9"/>
      <c r="B631" s="9"/>
      <c r="C631" s="9"/>
      <c r="D631" s="9"/>
      <c r="E631" s="9"/>
      <c r="F631" s="9"/>
      <c r="G631" s="9"/>
      <c r="H631" s="9"/>
      <c r="I631" s="9"/>
      <c r="J631" s="9"/>
      <c r="K631" s="9"/>
      <c r="L631" s="115"/>
      <c r="M631" s="115"/>
      <c r="N631" s="115"/>
      <c r="O631" s="115"/>
      <c r="P631" s="9"/>
      <c r="Q631" s="9"/>
      <c r="R631" s="9"/>
      <c r="S631" s="9"/>
      <c r="T631" s="9"/>
      <c r="U631" s="9"/>
      <c r="V631" s="9"/>
      <c r="W631" s="10"/>
      <c r="X631" s="10"/>
      <c r="Y631" s="10"/>
      <c r="Z631" s="10"/>
    </row>
    <row r="632">
      <c r="A632" s="9"/>
      <c r="B632" s="9"/>
      <c r="C632" s="9"/>
      <c r="D632" s="9"/>
      <c r="E632" s="9"/>
      <c r="F632" s="9"/>
      <c r="G632" s="9"/>
      <c r="H632" s="9"/>
      <c r="I632" s="9"/>
      <c r="J632" s="9"/>
      <c r="K632" s="9"/>
      <c r="L632" s="115"/>
      <c r="M632" s="115"/>
      <c r="N632" s="115"/>
      <c r="O632" s="115"/>
      <c r="P632" s="9"/>
      <c r="Q632" s="9"/>
      <c r="R632" s="9"/>
      <c r="S632" s="9"/>
      <c r="T632" s="9"/>
      <c r="U632" s="9"/>
      <c r="V632" s="9"/>
      <c r="W632" s="10"/>
      <c r="X632" s="10"/>
      <c r="Y632" s="10"/>
      <c r="Z632" s="10"/>
    </row>
    <row r="633">
      <c r="A633" s="9"/>
      <c r="B633" s="9"/>
      <c r="C633" s="9"/>
      <c r="D633" s="9"/>
      <c r="E633" s="9"/>
      <c r="F633" s="9"/>
      <c r="G633" s="9"/>
      <c r="H633" s="9"/>
      <c r="I633" s="9"/>
      <c r="J633" s="9"/>
      <c r="K633" s="9"/>
      <c r="L633" s="115"/>
      <c r="M633" s="115"/>
      <c r="N633" s="115"/>
      <c r="O633" s="115"/>
      <c r="P633" s="9"/>
      <c r="Q633" s="9"/>
      <c r="R633" s="9"/>
      <c r="S633" s="9"/>
      <c r="T633" s="9"/>
      <c r="U633" s="9"/>
      <c r="V633" s="9"/>
      <c r="W633" s="10"/>
      <c r="X633" s="10"/>
      <c r="Y633" s="10"/>
      <c r="Z633" s="10"/>
    </row>
    <row r="634">
      <c r="A634" s="9"/>
      <c r="B634" s="9"/>
      <c r="C634" s="9"/>
      <c r="D634" s="9"/>
      <c r="E634" s="9"/>
      <c r="F634" s="9"/>
      <c r="G634" s="9"/>
      <c r="H634" s="9"/>
      <c r="I634" s="9"/>
      <c r="J634" s="9"/>
      <c r="K634" s="9"/>
      <c r="L634" s="115"/>
      <c r="M634" s="115"/>
      <c r="N634" s="115"/>
      <c r="O634" s="115"/>
      <c r="P634" s="9"/>
      <c r="Q634" s="9"/>
      <c r="R634" s="9"/>
      <c r="S634" s="9"/>
      <c r="T634" s="9"/>
      <c r="U634" s="9"/>
      <c r="V634" s="9"/>
      <c r="W634" s="10"/>
      <c r="X634" s="10"/>
      <c r="Y634" s="10"/>
      <c r="Z634" s="10"/>
    </row>
    <row r="635">
      <c r="A635" s="9"/>
      <c r="B635" s="9"/>
      <c r="C635" s="9"/>
      <c r="D635" s="9"/>
      <c r="E635" s="9"/>
      <c r="F635" s="9"/>
      <c r="G635" s="9"/>
      <c r="H635" s="9"/>
      <c r="I635" s="9"/>
      <c r="J635" s="9"/>
      <c r="K635" s="9"/>
      <c r="L635" s="115"/>
      <c r="M635" s="115"/>
      <c r="N635" s="115"/>
      <c r="O635" s="115"/>
      <c r="P635" s="9"/>
      <c r="Q635" s="9"/>
      <c r="R635" s="9"/>
      <c r="S635" s="9"/>
      <c r="T635" s="9"/>
      <c r="U635" s="9"/>
      <c r="V635" s="9"/>
      <c r="W635" s="10"/>
      <c r="X635" s="10"/>
      <c r="Y635" s="10"/>
      <c r="Z635" s="10"/>
    </row>
    <row r="636">
      <c r="A636" s="9"/>
      <c r="B636" s="9"/>
      <c r="C636" s="9"/>
      <c r="D636" s="9"/>
      <c r="E636" s="9"/>
      <c r="F636" s="9"/>
      <c r="G636" s="9"/>
      <c r="H636" s="9"/>
      <c r="I636" s="9"/>
      <c r="J636" s="9"/>
      <c r="K636" s="9"/>
      <c r="L636" s="115"/>
      <c r="M636" s="115"/>
      <c r="N636" s="115"/>
      <c r="O636" s="115"/>
      <c r="P636" s="9"/>
      <c r="Q636" s="9"/>
      <c r="R636" s="9"/>
      <c r="S636" s="9"/>
      <c r="T636" s="9"/>
      <c r="U636" s="9"/>
      <c r="V636" s="9"/>
      <c r="W636" s="10"/>
      <c r="X636" s="10"/>
      <c r="Y636" s="10"/>
      <c r="Z636" s="10"/>
    </row>
    <row r="637">
      <c r="A637" s="9"/>
      <c r="B637" s="9"/>
      <c r="C637" s="9"/>
      <c r="D637" s="9"/>
      <c r="E637" s="9"/>
      <c r="F637" s="9"/>
      <c r="G637" s="9"/>
      <c r="H637" s="9"/>
      <c r="I637" s="9"/>
      <c r="J637" s="9"/>
      <c r="K637" s="9"/>
      <c r="L637" s="115"/>
      <c r="M637" s="115"/>
      <c r="N637" s="115"/>
      <c r="O637" s="115"/>
      <c r="P637" s="9"/>
      <c r="Q637" s="9"/>
      <c r="R637" s="9"/>
      <c r="S637" s="9"/>
      <c r="T637" s="9"/>
      <c r="U637" s="9"/>
      <c r="V637" s="9"/>
      <c r="W637" s="10"/>
      <c r="X637" s="10"/>
      <c r="Y637" s="10"/>
      <c r="Z637" s="10"/>
    </row>
    <row r="638">
      <c r="A638" s="9"/>
      <c r="B638" s="9"/>
      <c r="C638" s="9"/>
      <c r="D638" s="9"/>
      <c r="E638" s="9"/>
      <c r="F638" s="9"/>
      <c r="G638" s="9"/>
      <c r="H638" s="9"/>
      <c r="I638" s="9"/>
      <c r="J638" s="9"/>
      <c r="K638" s="9"/>
      <c r="L638" s="115"/>
      <c r="M638" s="115"/>
      <c r="N638" s="115"/>
      <c r="O638" s="115"/>
      <c r="P638" s="9"/>
      <c r="Q638" s="9"/>
      <c r="R638" s="9"/>
      <c r="S638" s="9"/>
      <c r="T638" s="9"/>
      <c r="U638" s="9"/>
      <c r="V638" s="9"/>
      <c r="W638" s="10"/>
      <c r="X638" s="10"/>
      <c r="Y638" s="10"/>
      <c r="Z638" s="10"/>
    </row>
    <row r="639">
      <c r="A639" s="9"/>
      <c r="B639" s="9"/>
      <c r="C639" s="9"/>
      <c r="D639" s="9"/>
      <c r="E639" s="9"/>
      <c r="F639" s="9"/>
      <c r="G639" s="9"/>
      <c r="H639" s="9"/>
      <c r="I639" s="9"/>
      <c r="J639" s="9"/>
      <c r="K639" s="9"/>
      <c r="L639" s="115"/>
      <c r="M639" s="115"/>
      <c r="N639" s="115"/>
      <c r="O639" s="115"/>
      <c r="P639" s="9"/>
      <c r="Q639" s="9"/>
      <c r="R639" s="9"/>
      <c r="S639" s="9"/>
      <c r="T639" s="9"/>
      <c r="U639" s="9"/>
      <c r="V639" s="9"/>
      <c r="W639" s="10"/>
      <c r="X639" s="10"/>
      <c r="Y639" s="10"/>
      <c r="Z639" s="10"/>
    </row>
    <row r="640">
      <c r="A640" s="9"/>
      <c r="B640" s="9"/>
      <c r="C640" s="9"/>
      <c r="D640" s="9"/>
      <c r="E640" s="9"/>
      <c r="F640" s="9"/>
      <c r="G640" s="9"/>
      <c r="H640" s="9"/>
      <c r="I640" s="9"/>
      <c r="J640" s="9"/>
      <c r="K640" s="9"/>
      <c r="L640" s="115"/>
      <c r="M640" s="115"/>
      <c r="N640" s="115"/>
      <c r="O640" s="115"/>
      <c r="P640" s="9"/>
      <c r="Q640" s="9"/>
      <c r="R640" s="9"/>
      <c r="S640" s="9"/>
      <c r="T640" s="9"/>
      <c r="U640" s="9"/>
      <c r="V640" s="9"/>
      <c r="W640" s="10"/>
      <c r="X640" s="10"/>
      <c r="Y640" s="10"/>
      <c r="Z640" s="10"/>
    </row>
    <row r="641">
      <c r="A641" s="9"/>
      <c r="B641" s="9"/>
      <c r="C641" s="9"/>
      <c r="D641" s="9"/>
      <c r="E641" s="9"/>
      <c r="F641" s="9"/>
      <c r="G641" s="9"/>
      <c r="H641" s="9"/>
      <c r="I641" s="9"/>
      <c r="J641" s="9"/>
      <c r="K641" s="9"/>
      <c r="L641" s="115"/>
      <c r="M641" s="115"/>
      <c r="N641" s="115"/>
      <c r="O641" s="115"/>
      <c r="P641" s="9"/>
      <c r="Q641" s="9"/>
      <c r="R641" s="9"/>
      <c r="S641" s="9"/>
      <c r="T641" s="9"/>
      <c r="U641" s="9"/>
      <c r="V641" s="9"/>
      <c r="W641" s="10"/>
      <c r="X641" s="10"/>
      <c r="Y641" s="10"/>
      <c r="Z641" s="10"/>
    </row>
    <row r="642">
      <c r="A642" s="9"/>
      <c r="B642" s="9"/>
      <c r="C642" s="9"/>
      <c r="D642" s="9"/>
      <c r="E642" s="9"/>
      <c r="F642" s="9"/>
      <c r="G642" s="9"/>
      <c r="H642" s="9"/>
      <c r="I642" s="9"/>
      <c r="J642" s="9"/>
      <c r="K642" s="9"/>
      <c r="L642" s="115"/>
      <c r="M642" s="115"/>
      <c r="N642" s="115"/>
      <c r="O642" s="115"/>
      <c r="P642" s="9"/>
      <c r="Q642" s="9"/>
      <c r="R642" s="9"/>
      <c r="S642" s="9"/>
      <c r="T642" s="9"/>
      <c r="U642" s="9"/>
      <c r="V642" s="9"/>
      <c r="W642" s="10"/>
      <c r="X642" s="10"/>
      <c r="Y642" s="10"/>
      <c r="Z642" s="10"/>
    </row>
    <row r="643">
      <c r="A643" s="9"/>
      <c r="B643" s="9"/>
      <c r="C643" s="9"/>
      <c r="D643" s="9"/>
      <c r="E643" s="9"/>
      <c r="F643" s="9"/>
      <c r="G643" s="9"/>
      <c r="H643" s="9"/>
      <c r="I643" s="9"/>
      <c r="J643" s="9"/>
      <c r="K643" s="9"/>
      <c r="L643" s="115"/>
      <c r="M643" s="115"/>
      <c r="N643" s="115"/>
      <c r="O643" s="115"/>
      <c r="P643" s="9"/>
      <c r="Q643" s="9"/>
      <c r="R643" s="9"/>
      <c r="S643" s="9"/>
      <c r="T643" s="9"/>
      <c r="U643" s="9"/>
      <c r="V643" s="9"/>
      <c r="W643" s="10"/>
      <c r="X643" s="10"/>
      <c r="Y643" s="10"/>
      <c r="Z643" s="10"/>
    </row>
    <row r="644">
      <c r="A644" s="9"/>
      <c r="B644" s="9"/>
      <c r="C644" s="9"/>
      <c r="D644" s="9"/>
      <c r="E644" s="9"/>
      <c r="F644" s="9"/>
      <c r="G644" s="9"/>
      <c r="H644" s="9"/>
      <c r="I644" s="9"/>
      <c r="J644" s="9"/>
      <c r="K644" s="9"/>
      <c r="L644" s="115"/>
      <c r="M644" s="115"/>
      <c r="N644" s="115"/>
      <c r="O644" s="115"/>
      <c r="P644" s="9"/>
      <c r="Q644" s="9"/>
      <c r="R644" s="9"/>
      <c r="S644" s="9"/>
      <c r="T644" s="9"/>
      <c r="U644" s="9"/>
      <c r="V644" s="9"/>
      <c r="W644" s="10"/>
      <c r="X644" s="10"/>
      <c r="Y644" s="10"/>
      <c r="Z644" s="10"/>
    </row>
    <row r="645">
      <c r="A645" s="9"/>
      <c r="B645" s="9"/>
      <c r="C645" s="9"/>
      <c r="D645" s="9"/>
      <c r="E645" s="9"/>
      <c r="F645" s="9"/>
      <c r="G645" s="9"/>
      <c r="H645" s="9"/>
      <c r="I645" s="9"/>
      <c r="J645" s="9"/>
      <c r="K645" s="9"/>
      <c r="L645" s="115"/>
      <c r="M645" s="115"/>
      <c r="N645" s="115"/>
      <c r="O645" s="115"/>
      <c r="P645" s="9"/>
      <c r="Q645" s="9"/>
      <c r="R645" s="9"/>
      <c r="S645" s="9"/>
      <c r="T645" s="9"/>
      <c r="U645" s="9"/>
      <c r="V645" s="9"/>
      <c r="W645" s="10"/>
      <c r="X645" s="10"/>
      <c r="Y645" s="10"/>
      <c r="Z645" s="10"/>
    </row>
    <row r="646">
      <c r="A646" s="9"/>
      <c r="B646" s="9"/>
      <c r="C646" s="9"/>
      <c r="D646" s="9"/>
      <c r="E646" s="9"/>
      <c r="F646" s="9"/>
      <c r="G646" s="9"/>
      <c r="H646" s="9"/>
      <c r="I646" s="9"/>
      <c r="J646" s="9"/>
      <c r="K646" s="9"/>
      <c r="L646" s="115"/>
      <c r="M646" s="115"/>
      <c r="N646" s="115"/>
      <c r="O646" s="115"/>
      <c r="P646" s="9"/>
      <c r="Q646" s="9"/>
      <c r="R646" s="9"/>
      <c r="S646" s="9"/>
      <c r="T646" s="9"/>
      <c r="U646" s="9"/>
      <c r="V646" s="9"/>
      <c r="W646" s="10"/>
      <c r="X646" s="10"/>
      <c r="Y646" s="10"/>
      <c r="Z646" s="10"/>
    </row>
    <row r="647">
      <c r="A647" s="9"/>
      <c r="B647" s="9"/>
      <c r="C647" s="9"/>
      <c r="D647" s="9"/>
      <c r="E647" s="9"/>
      <c r="F647" s="9"/>
      <c r="G647" s="9"/>
      <c r="H647" s="9"/>
      <c r="I647" s="9"/>
      <c r="J647" s="9"/>
      <c r="K647" s="9"/>
      <c r="L647" s="115"/>
      <c r="M647" s="115"/>
      <c r="N647" s="115"/>
      <c r="O647" s="115"/>
      <c r="P647" s="9"/>
      <c r="Q647" s="9"/>
      <c r="R647" s="9"/>
      <c r="S647" s="9"/>
      <c r="T647" s="9"/>
      <c r="U647" s="9"/>
      <c r="V647" s="9"/>
      <c r="W647" s="10"/>
      <c r="X647" s="10"/>
      <c r="Y647" s="10"/>
      <c r="Z647" s="10"/>
    </row>
    <row r="648">
      <c r="A648" s="9"/>
      <c r="B648" s="9"/>
      <c r="C648" s="9"/>
      <c r="D648" s="9"/>
      <c r="E648" s="9"/>
      <c r="F648" s="9"/>
      <c r="G648" s="9"/>
      <c r="H648" s="9"/>
      <c r="I648" s="9"/>
      <c r="J648" s="9"/>
      <c r="K648" s="9"/>
      <c r="L648" s="115"/>
      <c r="M648" s="115"/>
      <c r="N648" s="115"/>
      <c r="O648" s="115"/>
      <c r="P648" s="9"/>
      <c r="Q648" s="9"/>
      <c r="R648" s="9"/>
      <c r="S648" s="9"/>
      <c r="T648" s="9"/>
      <c r="U648" s="9"/>
      <c r="V648" s="9"/>
      <c r="W648" s="10"/>
      <c r="X648" s="10"/>
      <c r="Y648" s="10"/>
      <c r="Z648" s="10"/>
    </row>
    <row r="649">
      <c r="A649" s="9"/>
      <c r="B649" s="9"/>
      <c r="C649" s="9"/>
      <c r="D649" s="9"/>
      <c r="E649" s="9"/>
      <c r="F649" s="9"/>
      <c r="G649" s="9"/>
      <c r="H649" s="9"/>
      <c r="I649" s="9"/>
      <c r="J649" s="9"/>
      <c r="K649" s="9"/>
      <c r="L649" s="115"/>
      <c r="M649" s="115"/>
      <c r="N649" s="115"/>
      <c r="O649" s="115"/>
      <c r="P649" s="9"/>
      <c r="Q649" s="9"/>
      <c r="R649" s="9"/>
      <c r="S649" s="9"/>
      <c r="T649" s="9"/>
      <c r="U649" s="9"/>
      <c r="V649" s="9"/>
      <c r="W649" s="10"/>
      <c r="X649" s="10"/>
      <c r="Y649" s="10"/>
      <c r="Z649" s="10"/>
    </row>
    <row r="650">
      <c r="A650" s="9"/>
      <c r="B650" s="9"/>
      <c r="C650" s="9"/>
      <c r="D650" s="9"/>
      <c r="E650" s="9"/>
      <c r="F650" s="9"/>
      <c r="G650" s="9"/>
      <c r="H650" s="9"/>
      <c r="I650" s="9"/>
      <c r="J650" s="9"/>
      <c r="K650" s="9"/>
      <c r="L650" s="115"/>
      <c r="M650" s="115"/>
      <c r="N650" s="115"/>
      <c r="O650" s="115"/>
      <c r="P650" s="9"/>
      <c r="Q650" s="9"/>
      <c r="R650" s="9"/>
      <c r="S650" s="9"/>
      <c r="T650" s="9"/>
      <c r="U650" s="9"/>
      <c r="V650" s="9"/>
      <c r="W650" s="10"/>
      <c r="X650" s="10"/>
      <c r="Y650" s="10"/>
      <c r="Z650" s="10"/>
    </row>
    <row r="651">
      <c r="A651" s="9"/>
      <c r="B651" s="9"/>
      <c r="C651" s="9"/>
      <c r="D651" s="9"/>
      <c r="E651" s="9"/>
      <c r="F651" s="9"/>
      <c r="G651" s="9"/>
      <c r="H651" s="9"/>
      <c r="I651" s="9"/>
      <c r="J651" s="9"/>
      <c r="K651" s="9"/>
      <c r="L651" s="115"/>
      <c r="M651" s="115"/>
      <c r="N651" s="115"/>
      <c r="O651" s="115"/>
      <c r="P651" s="9"/>
      <c r="Q651" s="9"/>
      <c r="R651" s="9"/>
      <c r="S651" s="9"/>
      <c r="T651" s="9"/>
      <c r="U651" s="9"/>
      <c r="V651" s="9"/>
      <c r="W651" s="10"/>
      <c r="X651" s="10"/>
      <c r="Y651" s="10"/>
      <c r="Z651" s="10"/>
    </row>
    <row r="652">
      <c r="A652" s="9"/>
      <c r="B652" s="9"/>
      <c r="C652" s="9"/>
      <c r="D652" s="9"/>
      <c r="E652" s="9"/>
      <c r="F652" s="9"/>
      <c r="G652" s="9"/>
      <c r="H652" s="9"/>
      <c r="I652" s="9"/>
      <c r="J652" s="9"/>
      <c r="K652" s="9"/>
      <c r="L652" s="115"/>
      <c r="M652" s="115"/>
      <c r="N652" s="115"/>
      <c r="O652" s="115"/>
      <c r="P652" s="9"/>
      <c r="Q652" s="9"/>
      <c r="R652" s="9"/>
      <c r="S652" s="9"/>
      <c r="T652" s="9"/>
      <c r="U652" s="9"/>
      <c r="V652" s="9"/>
      <c r="W652" s="10"/>
      <c r="X652" s="10"/>
      <c r="Y652" s="10"/>
      <c r="Z652" s="10"/>
    </row>
    <row r="653">
      <c r="A653" s="9"/>
      <c r="B653" s="9"/>
      <c r="C653" s="9"/>
      <c r="D653" s="9"/>
      <c r="E653" s="9"/>
      <c r="F653" s="9"/>
      <c r="G653" s="9"/>
      <c r="H653" s="9"/>
      <c r="I653" s="9"/>
      <c r="J653" s="9"/>
      <c r="K653" s="9"/>
      <c r="L653" s="115"/>
      <c r="M653" s="115"/>
      <c r="N653" s="115"/>
      <c r="O653" s="115"/>
      <c r="P653" s="9"/>
      <c r="Q653" s="9"/>
      <c r="R653" s="9"/>
      <c r="S653" s="9"/>
      <c r="T653" s="9"/>
      <c r="U653" s="9"/>
      <c r="V653" s="9"/>
      <c r="W653" s="10"/>
      <c r="X653" s="10"/>
      <c r="Y653" s="10"/>
      <c r="Z653" s="10"/>
    </row>
    <row r="654">
      <c r="A654" s="9"/>
      <c r="B654" s="9"/>
      <c r="C654" s="9"/>
      <c r="D654" s="9"/>
      <c r="E654" s="9"/>
      <c r="F654" s="9"/>
      <c r="G654" s="9"/>
      <c r="H654" s="9"/>
      <c r="I654" s="9"/>
      <c r="J654" s="9"/>
      <c r="K654" s="9"/>
      <c r="L654" s="115"/>
      <c r="M654" s="115"/>
      <c r="N654" s="115"/>
      <c r="O654" s="115"/>
      <c r="P654" s="9"/>
      <c r="Q654" s="9"/>
      <c r="R654" s="9"/>
      <c r="S654" s="9"/>
      <c r="T654" s="9"/>
      <c r="U654" s="9"/>
      <c r="V654" s="9"/>
      <c r="W654" s="10"/>
      <c r="X654" s="10"/>
      <c r="Y654" s="10"/>
      <c r="Z654" s="10"/>
    </row>
    <row r="655">
      <c r="A655" s="9"/>
      <c r="B655" s="9"/>
      <c r="C655" s="9"/>
      <c r="D655" s="9"/>
      <c r="E655" s="9"/>
      <c r="F655" s="9"/>
      <c r="G655" s="9"/>
      <c r="H655" s="9"/>
      <c r="I655" s="9"/>
      <c r="J655" s="9"/>
      <c r="K655" s="9"/>
      <c r="L655" s="115"/>
      <c r="M655" s="115"/>
      <c r="N655" s="115"/>
      <c r="O655" s="115"/>
      <c r="P655" s="9"/>
      <c r="Q655" s="9"/>
      <c r="R655" s="9"/>
      <c r="S655" s="9"/>
      <c r="T655" s="9"/>
      <c r="U655" s="9"/>
      <c r="V655" s="9"/>
      <c r="W655" s="10"/>
      <c r="X655" s="10"/>
      <c r="Y655" s="10"/>
      <c r="Z655" s="10"/>
    </row>
    <row r="656">
      <c r="A656" s="9"/>
      <c r="B656" s="9"/>
      <c r="C656" s="9"/>
      <c r="D656" s="9"/>
      <c r="E656" s="9"/>
      <c r="F656" s="9"/>
      <c r="G656" s="9"/>
      <c r="H656" s="9"/>
      <c r="I656" s="9"/>
      <c r="J656" s="9"/>
      <c r="K656" s="9"/>
      <c r="L656" s="115"/>
      <c r="M656" s="115"/>
      <c r="N656" s="115"/>
      <c r="O656" s="115"/>
      <c r="P656" s="9"/>
      <c r="Q656" s="9"/>
      <c r="R656" s="9"/>
      <c r="S656" s="9"/>
      <c r="T656" s="9"/>
      <c r="U656" s="9"/>
      <c r="V656" s="9"/>
      <c r="W656" s="10"/>
      <c r="X656" s="10"/>
      <c r="Y656" s="10"/>
      <c r="Z656" s="10"/>
    </row>
    <row r="657">
      <c r="A657" s="9"/>
      <c r="B657" s="9"/>
      <c r="C657" s="9"/>
      <c r="D657" s="9"/>
      <c r="E657" s="9"/>
      <c r="F657" s="9"/>
      <c r="G657" s="9"/>
      <c r="H657" s="9"/>
      <c r="I657" s="9"/>
      <c r="J657" s="9"/>
      <c r="K657" s="9"/>
      <c r="L657" s="115"/>
      <c r="M657" s="115"/>
      <c r="N657" s="115"/>
      <c r="O657" s="115"/>
      <c r="P657" s="9"/>
      <c r="Q657" s="9"/>
      <c r="R657" s="9"/>
      <c r="S657" s="9"/>
      <c r="T657" s="9"/>
      <c r="U657" s="9"/>
      <c r="V657" s="9"/>
      <c r="W657" s="10"/>
      <c r="X657" s="10"/>
      <c r="Y657" s="10"/>
      <c r="Z657" s="10"/>
    </row>
    <row r="658">
      <c r="A658" s="9"/>
      <c r="B658" s="9"/>
      <c r="C658" s="9"/>
      <c r="D658" s="9"/>
      <c r="E658" s="9"/>
      <c r="F658" s="9"/>
      <c r="G658" s="9"/>
      <c r="H658" s="9"/>
      <c r="I658" s="9"/>
      <c r="J658" s="9"/>
      <c r="K658" s="9"/>
      <c r="L658" s="115"/>
      <c r="M658" s="115"/>
      <c r="N658" s="115"/>
      <c r="O658" s="115"/>
      <c r="P658" s="9"/>
      <c r="Q658" s="9"/>
      <c r="R658" s="9"/>
      <c r="S658" s="9"/>
      <c r="T658" s="9"/>
      <c r="U658" s="9"/>
      <c r="V658" s="9"/>
      <c r="W658" s="10"/>
      <c r="X658" s="10"/>
      <c r="Y658" s="10"/>
      <c r="Z658" s="10"/>
    </row>
    <row r="659">
      <c r="A659" s="9"/>
      <c r="B659" s="9"/>
      <c r="C659" s="9"/>
      <c r="D659" s="9"/>
      <c r="E659" s="9"/>
      <c r="F659" s="9"/>
      <c r="G659" s="9"/>
      <c r="H659" s="9"/>
      <c r="I659" s="9"/>
      <c r="J659" s="9"/>
      <c r="K659" s="9"/>
      <c r="L659" s="115"/>
      <c r="M659" s="115"/>
      <c r="N659" s="115"/>
      <c r="O659" s="115"/>
      <c r="P659" s="9"/>
      <c r="Q659" s="9"/>
      <c r="R659" s="9"/>
      <c r="S659" s="9"/>
      <c r="T659" s="9"/>
      <c r="U659" s="9"/>
      <c r="V659" s="9"/>
      <c r="W659" s="10"/>
      <c r="X659" s="10"/>
      <c r="Y659" s="10"/>
      <c r="Z659" s="10"/>
    </row>
    <row r="660">
      <c r="A660" s="9"/>
      <c r="B660" s="9"/>
      <c r="C660" s="9"/>
      <c r="D660" s="9"/>
      <c r="E660" s="9"/>
      <c r="F660" s="9"/>
      <c r="G660" s="9"/>
      <c r="H660" s="9"/>
      <c r="I660" s="9"/>
      <c r="J660" s="9"/>
      <c r="K660" s="9"/>
      <c r="L660" s="115"/>
      <c r="M660" s="115"/>
      <c r="N660" s="115"/>
      <c r="O660" s="115"/>
      <c r="P660" s="9"/>
      <c r="Q660" s="9"/>
      <c r="R660" s="9"/>
      <c r="S660" s="9"/>
      <c r="T660" s="9"/>
      <c r="U660" s="9"/>
      <c r="V660" s="9"/>
      <c r="W660" s="10"/>
      <c r="X660" s="10"/>
      <c r="Y660" s="10"/>
      <c r="Z660" s="10"/>
    </row>
    <row r="661">
      <c r="A661" s="9"/>
      <c r="B661" s="9"/>
      <c r="C661" s="9"/>
      <c r="D661" s="9"/>
      <c r="E661" s="9"/>
      <c r="F661" s="9"/>
      <c r="G661" s="9"/>
      <c r="H661" s="9"/>
      <c r="I661" s="9"/>
      <c r="J661" s="9"/>
      <c r="K661" s="9"/>
      <c r="L661" s="115"/>
      <c r="M661" s="115"/>
      <c r="N661" s="115"/>
      <c r="O661" s="115"/>
      <c r="P661" s="9"/>
      <c r="Q661" s="9"/>
      <c r="R661" s="9"/>
      <c r="S661" s="9"/>
      <c r="T661" s="9"/>
      <c r="U661" s="9"/>
      <c r="V661" s="9"/>
      <c r="W661" s="10"/>
      <c r="X661" s="10"/>
      <c r="Y661" s="10"/>
      <c r="Z661" s="10"/>
    </row>
    <row r="662">
      <c r="A662" s="9"/>
      <c r="B662" s="9"/>
      <c r="C662" s="9"/>
      <c r="D662" s="9"/>
      <c r="E662" s="9"/>
      <c r="F662" s="9"/>
      <c r="G662" s="9"/>
      <c r="H662" s="9"/>
      <c r="I662" s="9"/>
      <c r="J662" s="9"/>
      <c r="K662" s="9"/>
      <c r="L662" s="115"/>
      <c r="M662" s="115"/>
      <c r="N662" s="115"/>
      <c r="O662" s="115"/>
      <c r="P662" s="9"/>
      <c r="Q662" s="9"/>
      <c r="R662" s="9"/>
      <c r="S662" s="9"/>
      <c r="T662" s="9"/>
      <c r="U662" s="9"/>
      <c r="V662" s="9"/>
      <c r="W662" s="10"/>
      <c r="X662" s="10"/>
      <c r="Y662" s="10"/>
      <c r="Z662" s="10"/>
    </row>
    <row r="663">
      <c r="A663" s="9"/>
      <c r="B663" s="9"/>
      <c r="C663" s="9"/>
      <c r="D663" s="9"/>
      <c r="E663" s="9"/>
      <c r="F663" s="9"/>
      <c r="G663" s="9"/>
      <c r="H663" s="9"/>
      <c r="I663" s="9"/>
      <c r="J663" s="9"/>
      <c r="K663" s="9"/>
      <c r="L663" s="115"/>
      <c r="M663" s="115"/>
      <c r="N663" s="115"/>
      <c r="O663" s="115"/>
      <c r="P663" s="9"/>
      <c r="Q663" s="9"/>
      <c r="R663" s="9"/>
      <c r="S663" s="9"/>
      <c r="T663" s="9"/>
      <c r="U663" s="9"/>
      <c r="V663" s="9"/>
      <c r="W663" s="10"/>
      <c r="X663" s="10"/>
      <c r="Y663" s="10"/>
      <c r="Z663" s="10"/>
    </row>
    <row r="664">
      <c r="A664" s="9"/>
      <c r="B664" s="9"/>
      <c r="C664" s="9"/>
      <c r="D664" s="9"/>
      <c r="E664" s="9"/>
      <c r="F664" s="9"/>
      <c r="G664" s="9"/>
      <c r="H664" s="9"/>
      <c r="I664" s="9"/>
      <c r="J664" s="9"/>
      <c r="K664" s="9"/>
      <c r="L664" s="115"/>
      <c r="M664" s="115"/>
      <c r="N664" s="115"/>
      <c r="O664" s="115"/>
      <c r="P664" s="9"/>
      <c r="Q664" s="9"/>
      <c r="R664" s="9"/>
      <c r="S664" s="9"/>
      <c r="T664" s="9"/>
      <c r="U664" s="9"/>
      <c r="V664" s="9"/>
      <c r="W664" s="10"/>
      <c r="X664" s="10"/>
      <c r="Y664" s="10"/>
      <c r="Z664" s="10"/>
    </row>
    <row r="665">
      <c r="A665" s="9"/>
      <c r="B665" s="9"/>
      <c r="C665" s="9"/>
      <c r="D665" s="9"/>
      <c r="E665" s="9"/>
      <c r="F665" s="9"/>
      <c r="G665" s="9"/>
      <c r="H665" s="9"/>
      <c r="I665" s="9"/>
      <c r="J665" s="9"/>
      <c r="K665" s="9"/>
      <c r="L665" s="115"/>
      <c r="M665" s="115"/>
      <c r="N665" s="115"/>
      <c r="O665" s="115"/>
      <c r="P665" s="9"/>
      <c r="Q665" s="9"/>
      <c r="R665" s="9"/>
      <c r="S665" s="9"/>
      <c r="T665" s="9"/>
      <c r="U665" s="9"/>
      <c r="V665" s="9"/>
      <c r="W665" s="10"/>
      <c r="X665" s="10"/>
      <c r="Y665" s="10"/>
      <c r="Z665" s="10"/>
    </row>
    <row r="666">
      <c r="A666" s="9"/>
      <c r="B666" s="9"/>
      <c r="C666" s="9"/>
      <c r="D666" s="9"/>
      <c r="E666" s="9"/>
      <c r="F666" s="9"/>
      <c r="G666" s="9"/>
      <c r="H666" s="9"/>
      <c r="I666" s="9"/>
      <c r="J666" s="9"/>
      <c r="K666" s="9"/>
      <c r="L666" s="115"/>
      <c r="M666" s="115"/>
      <c r="N666" s="115"/>
      <c r="O666" s="115"/>
      <c r="P666" s="9"/>
      <c r="Q666" s="9"/>
      <c r="R666" s="9"/>
      <c r="S666" s="9"/>
      <c r="T666" s="9"/>
      <c r="U666" s="9"/>
      <c r="V666" s="9"/>
      <c r="W666" s="10"/>
      <c r="X666" s="10"/>
      <c r="Y666" s="10"/>
      <c r="Z666" s="10"/>
    </row>
    <row r="667">
      <c r="A667" s="9"/>
      <c r="B667" s="9"/>
      <c r="C667" s="9"/>
      <c r="D667" s="9"/>
      <c r="E667" s="9"/>
      <c r="F667" s="9"/>
      <c r="G667" s="9"/>
      <c r="H667" s="9"/>
      <c r="I667" s="9"/>
      <c r="J667" s="9"/>
      <c r="K667" s="9"/>
      <c r="L667" s="115"/>
      <c r="M667" s="115"/>
      <c r="N667" s="115"/>
      <c r="O667" s="115"/>
      <c r="P667" s="9"/>
      <c r="Q667" s="9"/>
      <c r="R667" s="9"/>
      <c r="S667" s="9"/>
      <c r="T667" s="9"/>
      <c r="U667" s="9"/>
      <c r="V667" s="9"/>
      <c r="W667" s="10"/>
      <c r="X667" s="10"/>
      <c r="Y667" s="10"/>
      <c r="Z667" s="10"/>
    </row>
    <row r="668">
      <c r="A668" s="9"/>
      <c r="B668" s="9"/>
      <c r="C668" s="9"/>
      <c r="D668" s="9"/>
      <c r="E668" s="9"/>
      <c r="F668" s="9"/>
      <c r="G668" s="9"/>
      <c r="H668" s="9"/>
      <c r="I668" s="9"/>
      <c r="J668" s="9"/>
      <c r="K668" s="9"/>
      <c r="L668" s="115"/>
      <c r="M668" s="115"/>
      <c r="N668" s="115"/>
      <c r="O668" s="115"/>
      <c r="P668" s="9"/>
      <c r="Q668" s="9"/>
      <c r="R668" s="9"/>
      <c r="S668" s="9"/>
      <c r="T668" s="9"/>
      <c r="U668" s="9"/>
      <c r="V668" s="9"/>
      <c r="W668" s="10"/>
      <c r="X668" s="10"/>
      <c r="Y668" s="10"/>
      <c r="Z668" s="10"/>
    </row>
    <row r="669">
      <c r="A669" s="9"/>
      <c r="B669" s="9"/>
      <c r="C669" s="9"/>
      <c r="D669" s="9"/>
      <c r="E669" s="9"/>
      <c r="F669" s="9"/>
      <c r="G669" s="9"/>
      <c r="H669" s="9"/>
      <c r="I669" s="9"/>
      <c r="J669" s="9"/>
      <c r="K669" s="9"/>
      <c r="L669" s="115"/>
      <c r="M669" s="115"/>
      <c r="N669" s="115"/>
      <c r="O669" s="115"/>
      <c r="P669" s="9"/>
      <c r="Q669" s="9"/>
      <c r="R669" s="9"/>
      <c r="S669" s="9"/>
      <c r="T669" s="9"/>
      <c r="U669" s="9"/>
      <c r="V669" s="9"/>
      <c r="W669" s="10"/>
      <c r="X669" s="10"/>
      <c r="Y669" s="10"/>
      <c r="Z669" s="10"/>
    </row>
    <row r="670">
      <c r="A670" s="9"/>
      <c r="B670" s="9"/>
      <c r="C670" s="9"/>
      <c r="D670" s="9"/>
      <c r="E670" s="9"/>
      <c r="F670" s="9"/>
      <c r="G670" s="9"/>
      <c r="H670" s="9"/>
      <c r="I670" s="9"/>
      <c r="J670" s="9"/>
      <c r="K670" s="9"/>
      <c r="L670" s="115"/>
      <c r="M670" s="115"/>
      <c r="N670" s="115"/>
      <c r="O670" s="115"/>
      <c r="P670" s="9"/>
      <c r="Q670" s="9"/>
      <c r="R670" s="9"/>
      <c r="S670" s="9"/>
      <c r="T670" s="9"/>
      <c r="U670" s="9"/>
      <c r="V670" s="9"/>
      <c r="W670" s="10"/>
      <c r="X670" s="10"/>
      <c r="Y670" s="10"/>
      <c r="Z670" s="10"/>
    </row>
    <row r="671">
      <c r="A671" s="9"/>
      <c r="B671" s="9"/>
      <c r="C671" s="9"/>
      <c r="D671" s="9"/>
      <c r="E671" s="9"/>
      <c r="F671" s="9"/>
      <c r="G671" s="9"/>
      <c r="H671" s="9"/>
      <c r="I671" s="9"/>
      <c r="J671" s="9"/>
      <c r="K671" s="9"/>
      <c r="L671" s="115"/>
      <c r="M671" s="115"/>
      <c r="N671" s="115"/>
      <c r="O671" s="115"/>
      <c r="P671" s="9"/>
      <c r="Q671" s="9"/>
      <c r="R671" s="9"/>
      <c r="S671" s="9"/>
      <c r="T671" s="9"/>
      <c r="U671" s="9"/>
      <c r="V671" s="9"/>
      <c r="W671" s="10"/>
      <c r="X671" s="10"/>
      <c r="Y671" s="10"/>
      <c r="Z671" s="10"/>
    </row>
    <row r="672">
      <c r="A672" s="9"/>
      <c r="B672" s="9"/>
      <c r="C672" s="9"/>
      <c r="D672" s="9"/>
      <c r="E672" s="9"/>
      <c r="F672" s="9"/>
      <c r="G672" s="9"/>
      <c r="H672" s="9"/>
      <c r="I672" s="9"/>
      <c r="J672" s="9"/>
      <c r="K672" s="9"/>
      <c r="L672" s="115"/>
      <c r="M672" s="115"/>
      <c r="N672" s="115"/>
      <c r="O672" s="115"/>
      <c r="P672" s="9"/>
      <c r="Q672" s="9"/>
      <c r="R672" s="9"/>
      <c r="S672" s="9"/>
      <c r="T672" s="9"/>
      <c r="U672" s="9"/>
      <c r="V672" s="9"/>
      <c r="W672" s="10"/>
      <c r="X672" s="10"/>
      <c r="Y672" s="10"/>
      <c r="Z672" s="10"/>
    </row>
    <row r="673">
      <c r="A673" s="9"/>
      <c r="B673" s="9"/>
      <c r="C673" s="9"/>
      <c r="D673" s="9"/>
      <c r="E673" s="9"/>
      <c r="F673" s="9"/>
      <c r="G673" s="9"/>
      <c r="H673" s="9"/>
      <c r="I673" s="9"/>
      <c r="J673" s="9"/>
      <c r="K673" s="9"/>
      <c r="L673" s="115"/>
      <c r="M673" s="115"/>
      <c r="N673" s="115"/>
      <c r="O673" s="115"/>
      <c r="P673" s="9"/>
      <c r="Q673" s="9"/>
      <c r="R673" s="9"/>
      <c r="S673" s="9"/>
      <c r="T673" s="9"/>
      <c r="U673" s="9"/>
      <c r="V673" s="9"/>
      <c r="W673" s="10"/>
      <c r="X673" s="10"/>
      <c r="Y673" s="10"/>
      <c r="Z673" s="10"/>
    </row>
    <row r="674">
      <c r="A674" s="9"/>
      <c r="B674" s="9"/>
      <c r="C674" s="9"/>
      <c r="D674" s="9"/>
      <c r="E674" s="9"/>
      <c r="F674" s="9"/>
      <c r="G674" s="9"/>
      <c r="H674" s="9"/>
      <c r="I674" s="9"/>
      <c r="J674" s="9"/>
      <c r="K674" s="9"/>
      <c r="L674" s="115"/>
      <c r="M674" s="115"/>
      <c r="N674" s="115"/>
      <c r="O674" s="115"/>
      <c r="P674" s="9"/>
      <c r="Q674" s="9"/>
      <c r="R674" s="9"/>
      <c r="S674" s="9"/>
      <c r="T674" s="9"/>
      <c r="U674" s="9"/>
      <c r="V674" s="9"/>
      <c r="W674" s="10"/>
      <c r="X674" s="10"/>
      <c r="Y674" s="10"/>
      <c r="Z674" s="10"/>
    </row>
    <row r="675">
      <c r="A675" s="9"/>
      <c r="B675" s="9"/>
      <c r="C675" s="9"/>
      <c r="D675" s="9"/>
      <c r="E675" s="9"/>
      <c r="F675" s="9"/>
      <c r="G675" s="9"/>
      <c r="H675" s="9"/>
      <c r="I675" s="9"/>
      <c r="J675" s="9"/>
      <c r="K675" s="9"/>
      <c r="L675" s="115"/>
      <c r="M675" s="115"/>
      <c r="N675" s="115"/>
      <c r="O675" s="115"/>
      <c r="P675" s="9"/>
      <c r="Q675" s="9"/>
      <c r="R675" s="9"/>
      <c r="S675" s="9"/>
      <c r="T675" s="9"/>
      <c r="U675" s="9"/>
      <c r="V675" s="9"/>
      <c r="W675" s="10"/>
      <c r="X675" s="10"/>
      <c r="Y675" s="10"/>
      <c r="Z675" s="10"/>
    </row>
    <row r="676">
      <c r="A676" s="9"/>
      <c r="B676" s="9"/>
      <c r="C676" s="9"/>
      <c r="D676" s="9"/>
      <c r="E676" s="9"/>
      <c r="F676" s="9"/>
      <c r="G676" s="9"/>
      <c r="H676" s="9"/>
      <c r="I676" s="9"/>
      <c r="J676" s="9"/>
      <c r="K676" s="9"/>
      <c r="L676" s="115"/>
      <c r="M676" s="115"/>
      <c r="N676" s="115"/>
      <c r="O676" s="115"/>
      <c r="P676" s="9"/>
      <c r="Q676" s="9"/>
      <c r="R676" s="9"/>
      <c r="S676" s="9"/>
      <c r="T676" s="9"/>
      <c r="U676" s="9"/>
      <c r="V676" s="9"/>
      <c r="W676" s="10"/>
      <c r="X676" s="10"/>
      <c r="Y676" s="10"/>
      <c r="Z676" s="10"/>
    </row>
    <row r="677">
      <c r="A677" s="9"/>
      <c r="B677" s="9"/>
      <c r="C677" s="9"/>
      <c r="D677" s="9"/>
      <c r="E677" s="9"/>
      <c r="F677" s="9"/>
      <c r="G677" s="9"/>
      <c r="H677" s="9"/>
      <c r="I677" s="9"/>
      <c r="J677" s="9"/>
      <c r="K677" s="9"/>
      <c r="L677" s="115"/>
      <c r="M677" s="115"/>
      <c r="N677" s="115"/>
      <c r="O677" s="115"/>
      <c r="P677" s="9"/>
      <c r="Q677" s="9"/>
      <c r="R677" s="9"/>
      <c r="S677" s="9"/>
      <c r="T677" s="9"/>
      <c r="U677" s="9"/>
      <c r="V677" s="9"/>
      <c r="W677" s="10"/>
      <c r="X677" s="10"/>
      <c r="Y677" s="10"/>
      <c r="Z677" s="10"/>
    </row>
    <row r="678">
      <c r="A678" s="9"/>
      <c r="B678" s="9"/>
      <c r="C678" s="9"/>
      <c r="D678" s="9"/>
      <c r="E678" s="9"/>
      <c r="F678" s="9"/>
      <c r="G678" s="9"/>
      <c r="H678" s="9"/>
      <c r="I678" s="9"/>
      <c r="J678" s="9"/>
      <c r="K678" s="9"/>
      <c r="L678" s="115"/>
      <c r="M678" s="115"/>
      <c r="N678" s="115"/>
      <c r="O678" s="115"/>
      <c r="P678" s="9"/>
      <c r="Q678" s="9"/>
      <c r="R678" s="9"/>
      <c r="S678" s="9"/>
      <c r="T678" s="9"/>
      <c r="U678" s="9"/>
      <c r="V678" s="9"/>
      <c r="W678" s="10"/>
      <c r="X678" s="10"/>
      <c r="Y678" s="10"/>
      <c r="Z678" s="10"/>
    </row>
    <row r="679">
      <c r="A679" s="9"/>
      <c r="B679" s="9"/>
      <c r="C679" s="9"/>
      <c r="D679" s="9"/>
      <c r="E679" s="9"/>
      <c r="F679" s="9"/>
      <c r="G679" s="9"/>
      <c r="H679" s="9"/>
      <c r="I679" s="9"/>
      <c r="J679" s="9"/>
      <c r="K679" s="9"/>
      <c r="L679" s="115"/>
      <c r="M679" s="115"/>
      <c r="N679" s="115"/>
      <c r="O679" s="115"/>
      <c r="P679" s="9"/>
      <c r="Q679" s="9"/>
      <c r="R679" s="9"/>
      <c r="S679" s="9"/>
      <c r="T679" s="9"/>
      <c r="U679" s="9"/>
      <c r="V679" s="9"/>
      <c r="W679" s="10"/>
      <c r="X679" s="10"/>
      <c r="Y679" s="10"/>
      <c r="Z679" s="10"/>
    </row>
    <row r="680">
      <c r="A680" s="9"/>
      <c r="B680" s="9"/>
      <c r="C680" s="9"/>
      <c r="D680" s="9"/>
      <c r="E680" s="9"/>
      <c r="F680" s="9"/>
      <c r="G680" s="9"/>
      <c r="H680" s="9"/>
      <c r="I680" s="9"/>
      <c r="J680" s="9"/>
      <c r="K680" s="9"/>
      <c r="L680" s="115"/>
      <c r="M680" s="115"/>
      <c r="N680" s="115"/>
      <c r="O680" s="115"/>
      <c r="P680" s="9"/>
      <c r="Q680" s="9"/>
      <c r="R680" s="9"/>
      <c r="S680" s="9"/>
      <c r="T680" s="9"/>
      <c r="U680" s="9"/>
      <c r="V680" s="9"/>
      <c r="W680" s="10"/>
      <c r="X680" s="10"/>
      <c r="Y680" s="10"/>
      <c r="Z680" s="10"/>
    </row>
    <row r="681">
      <c r="A681" s="9"/>
      <c r="B681" s="9"/>
      <c r="C681" s="9"/>
      <c r="D681" s="9"/>
      <c r="E681" s="9"/>
      <c r="F681" s="9"/>
      <c r="G681" s="9"/>
      <c r="H681" s="9"/>
      <c r="I681" s="9"/>
      <c r="J681" s="9"/>
      <c r="K681" s="9"/>
      <c r="L681" s="115"/>
      <c r="M681" s="115"/>
      <c r="N681" s="115"/>
      <c r="O681" s="115"/>
      <c r="P681" s="9"/>
      <c r="Q681" s="9"/>
      <c r="R681" s="9"/>
      <c r="S681" s="9"/>
      <c r="T681" s="9"/>
      <c r="U681" s="9"/>
      <c r="V681" s="9"/>
      <c r="W681" s="10"/>
      <c r="X681" s="10"/>
      <c r="Y681" s="10"/>
      <c r="Z681" s="10"/>
    </row>
    <row r="682">
      <c r="A682" s="9"/>
      <c r="B682" s="9"/>
      <c r="C682" s="9"/>
      <c r="D682" s="9"/>
      <c r="E682" s="9"/>
      <c r="F682" s="9"/>
      <c r="G682" s="9"/>
      <c r="H682" s="9"/>
      <c r="I682" s="9"/>
      <c r="J682" s="9"/>
      <c r="K682" s="9"/>
      <c r="L682" s="115"/>
      <c r="M682" s="115"/>
      <c r="N682" s="115"/>
      <c r="O682" s="115"/>
      <c r="P682" s="9"/>
      <c r="Q682" s="9"/>
      <c r="R682" s="9"/>
      <c r="S682" s="9"/>
      <c r="T682" s="9"/>
      <c r="U682" s="9"/>
      <c r="V682" s="9"/>
      <c r="W682" s="10"/>
      <c r="X682" s="10"/>
      <c r="Y682" s="10"/>
      <c r="Z682" s="10"/>
    </row>
    <row r="683">
      <c r="A683" s="9"/>
      <c r="B683" s="9"/>
      <c r="C683" s="9"/>
      <c r="D683" s="9"/>
      <c r="E683" s="9"/>
      <c r="F683" s="9"/>
      <c r="G683" s="9"/>
      <c r="H683" s="9"/>
      <c r="I683" s="9"/>
      <c r="J683" s="9"/>
      <c r="K683" s="9"/>
      <c r="L683" s="115"/>
      <c r="M683" s="115"/>
      <c r="N683" s="115"/>
      <c r="O683" s="115"/>
      <c r="P683" s="9"/>
      <c r="Q683" s="9"/>
      <c r="R683" s="9"/>
      <c r="S683" s="9"/>
      <c r="T683" s="9"/>
      <c r="U683" s="9"/>
      <c r="V683" s="9"/>
      <c r="W683" s="10"/>
      <c r="X683" s="10"/>
      <c r="Y683" s="10"/>
      <c r="Z683" s="10"/>
    </row>
    <row r="684">
      <c r="A684" s="9"/>
      <c r="B684" s="9"/>
      <c r="C684" s="9"/>
      <c r="D684" s="9"/>
      <c r="E684" s="9"/>
      <c r="F684" s="9"/>
      <c r="G684" s="9"/>
      <c r="H684" s="9"/>
      <c r="I684" s="9"/>
      <c r="J684" s="9"/>
      <c r="K684" s="9"/>
      <c r="L684" s="115"/>
      <c r="M684" s="115"/>
      <c r="N684" s="115"/>
      <c r="O684" s="115"/>
      <c r="P684" s="9"/>
      <c r="Q684" s="9"/>
      <c r="R684" s="9"/>
      <c r="S684" s="9"/>
      <c r="T684" s="9"/>
      <c r="U684" s="9"/>
      <c r="V684" s="9"/>
      <c r="W684" s="10"/>
      <c r="X684" s="10"/>
      <c r="Y684" s="10"/>
      <c r="Z684" s="10"/>
    </row>
    <row r="685">
      <c r="A685" s="9"/>
      <c r="B685" s="9"/>
      <c r="C685" s="9"/>
      <c r="D685" s="9"/>
      <c r="E685" s="9"/>
      <c r="F685" s="9"/>
      <c r="G685" s="9"/>
      <c r="H685" s="9"/>
      <c r="I685" s="9"/>
      <c r="J685" s="9"/>
      <c r="K685" s="9"/>
      <c r="L685" s="115"/>
      <c r="M685" s="115"/>
      <c r="N685" s="115"/>
      <c r="O685" s="115"/>
      <c r="P685" s="9"/>
      <c r="Q685" s="9"/>
      <c r="R685" s="9"/>
      <c r="S685" s="9"/>
      <c r="T685" s="9"/>
      <c r="U685" s="9"/>
      <c r="V685" s="9"/>
      <c r="W685" s="10"/>
      <c r="X685" s="10"/>
      <c r="Y685" s="10"/>
      <c r="Z685" s="10"/>
    </row>
    <row r="686">
      <c r="A686" s="9"/>
      <c r="B686" s="9"/>
      <c r="C686" s="9"/>
      <c r="D686" s="9"/>
      <c r="E686" s="9"/>
      <c r="F686" s="9"/>
      <c r="G686" s="9"/>
      <c r="H686" s="9"/>
      <c r="I686" s="9"/>
      <c r="J686" s="9"/>
      <c r="K686" s="9"/>
      <c r="L686" s="115"/>
      <c r="M686" s="115"/>
      <c r="N686" s="115"/>
      <c r="O686" s="115"/>
      <c r="P686" s="9"/>
      <c r="Q686" s="9"/>
      <c r="R686" s="9"/>
      <c r="S686" s="9"/>
      <c r="T686" s="9"/>
      <c r="U686" s="9"/>
      <c r="V686" s="9"/>
      <c r="W686" s="10"/>
      <c r="X686" s="10"/>
      <c r="Y686" s="10"/>
      <c r="Z686" s="10"/>
    </row>
    <row r="687">
      <c r="A687" s="9"/>
      <c r="B687" s="9"/>
      <c r="C687" s="9"/>
      <c r="D687" s="9"/>
      <c r="E687" s="9"/>
      <c r="F687" s="9"/>
      <c r="G687" s="9"/>
      <c r="H687" s="9"/>
      <c r="I687" s="9"/>
      <c r="J687" s="9"/>
      <c r="K687" s="9"/>
      <c r="L687" s="115"/>
      <c r="M687" s="115"/>
      <c r="N687" s="115"/>
      <c r="O687" s="115"/>
      <c r="P687" s="9"/>
      <c r="Q687" s="9"/>
      <c r="R687" s="9"/>
      <c r="S687" s="9"/>
      <c r="T687" s="9"/>
      <c r="U687" s="9"/>
      <c r="V687" s="9"/>
      <c r="W687" s="10"/>
      <c r="X687" s="10"/>
      <c r="Y687" s="10"/>
      <c r="Z687" s="10"/>
    </row>
    <row r="688">
      <c r="A688" s="9"/>
      <c r="B688" s="9"/>
      <c r="C688" s="9"/>
      <c r="D688" s="9"/>
      <c r="E688" s="9"/>
      <c r="F688" s="9"/>
      <c r="G688" s="9"/>
      <c r="H688" s="9"/>
      <c r="I688" s="9"/>
      <c r="J688" s="9"/>
      <c r="K688" s="9"/>
      <c r="L688" s="115"/>
      <c r="M688" s="115"/>
      <c r="N688" s="115"/>
      <c r="O688" s="115"/>
      <c r="P688" s="9"/>
      <c r="Q688" s="9"/>
      <c r="R688" s="9"/>
      <c r="S688" s="9"/>
      <c r="T688" s="9"/>
      <c r="U688" s="9"/>
      <c r="V688" s="9"/>
      <c r="W688" s="10"/>
      <c r="X688" s="10"/>
      <c r="Y688" s="10"/>
      <c r="Z688" s="10"/>
    </row>
    <row r="689">
      <c r="A689" s="9"/>
      <c r="B689" s="9"/>
      <c r="C689" s="9"/>
      <c r="D689" s="9"/>
      <c r="E689" s="9"/>
      <c r="F689" s="9"/>
      <c r="G689" s="9"/>
      <c r="H689" s="9"/>
      <c r="I689" s="9"/>
      <c r="J689" s="9"/>
      <c r="K689" s="9"/>
      <c r="L689" s="115"/>
      <c r="M689" s="115"/>
      <c r="N689" s="115"/>
      <c r="O689" s="115"/>
      <c r="P689" s="9"/>
      <c r="Q689" s="9"/>
      <c r="R689" s="9"/>
      <c r="S689" s="9"/>
      <c r="T689" s="9"/>
      <c r="U689" s="9"/>
      <c r="V689" s="9"/>
      <c r="W689" s="10"/>
      <c r="X689" s="10"/>
      <c r="Y689" s="10"/>
      <c r="Z689" s="10"/>
    </row>
    <row r="690">
      <c r="A690" s="9"/>
      <c r="B690" s="9"/>
      <c r="C690" s="9"/>
      <c r="D690" s="9"/>
      <c r="E690" s="9"/>
      <c r="F690" s="9"/>
      <c r="G690" s="9"/>
      <c r="H690" s="9"/>
      <c r="I690" s="9"/>
      <c r="J690" s="9"/>
      <c r="K690" s="9"/>
      <c r="L690" s="115"/>
      <c r="M690" s="115"/>
      <c r="N690" s="115"/>
      <c r="O690" s="115"/>
      <c r="P690" s="9"/>
      <c r="Q690" s="9"/>
      <c r="R690" s="9"/>
      <c r="S690" s="9"/>
      <c r="T690" s="9"/>
      <c r="U690" s="9"/>
      <c r="V690" s="9"/>
      <c r="W690" s="10"/>
      <c r="X690" s="10"/>
      <c r="Y690" s="10"/>
      <c r="Z690" s="10"/>
    </row>
    <row r="691">
      <c r="A691" s="9"/>
      <c r="B691" s="9"/>
      <c r="C691" s="9"/>
      <c r="D691" s="9"/>
      <c r="E691" s="9"/>
      <c r="F691" s="9"/>
      <c r="G691" s="9"/>
      <c r="H691" s="9"/>
      <c r="I691" s="9"/>
      <c r="J691" s="9"/>
      <c r="K691" s="9"/>
      <c r="L691" s="115"/>
      <c r="M691" s="115"/>
      <c r="N691" s="115"/>
      <c r="O691" s="115"/>
      <c r="P691" s="9"/>
      <c r="Q691" s="9"/>
      <c r="R691" s="9"/>
      <c r="S691" s="9"/>
      <c r="T691" s="9"/>
      <c r="U691" s="9"/>
      <c r="V691" s="9"/>
      <c r="W691" s="10"/>
      <c r="X691" s="10"/>
      <c r="Y691" s="10"/>
      <c r="Z691" s="10"/>
    </row>
    <row r="692">
      <c r="A692" s="9"/>
      <c r="B692" s="9"/>
      <c r="C692" s="9"/>
      <c r="D692" s="9"/>
      <c r="E692" s="9"/>
      <c r="F692" s="9"/>
      <c r="G692" s="9"/>
      <c r="H692" s="9"/>
      <c r="I692" s="9"/>
      <c r="J692" s="9"/>
      <c r="K692" s="9"/>
      <c r="L692" s="115"/>
      <c r="M692" s="115"/>
      <c r="N692" s="115"/>
      <c r="O692" s="115"/>
      <c r="P692" s="9"/>
      <c r="Q692" s="9"/>
      <c r="R692" s="9"/>
      <c r="S692" s="9"/>
      <c r="T692" s="9"/>
      <c r="U692" s="9"/>
      <c r="V692" s="9"/>
      <c r="W692" s="10"/>
      <c r="X692" s="10"/>
      <c r="Y692" s="10"/>
      <c r="Z692" s="10"/>
    </row>
    <row r="693">
      <c r="A693" s="9"/>
      <c r="B693" s="9"/>
      <c r="C693" s="9"/>
      <c r="D693" s="9"/>
      <c r="E693" s="9"/>
      <c r="F693" s="9"/>
      <c r="G693" s="9"/>
      <c r="H693" s="9"/>
      <c r="I693" s="9"/>
      <c r="J693" s="9"/>
      <c r="K693" s="9"/>
      <c r="L693" s="115"/>
      <c r="M693" s="115"/>
      <c r="N693" s="115"/>
      <c r="O693" s="115"/>
      <c r="P693" s="9"/>
      <c r="Q693" s="9"/>
      <c r="R693" s="9"/>
      <c r="S693" s="9"/>
      <c r="T693" s="9"/>
      <c r="U693" s="9"/>
      <c r="V693" s="9"/>
      <c r="W693" s="10"/>
      <c r="X693" s="10"/>
      <c r="Y693" s="10"/>
      <c r="Z693" s="10"/>
    </row>
    <row r="694">
      <c r="A694" s="9"/>
      <c r="B694" s="9"/>
      <c r="C694" s="9"/>
      <c r="D694" s="9"/>
      <c r="E694" s="9"/>
      <c r="F694" s="9"/>
      <c r="G694" s="9"/>
      <c r="H694" s="9"/>
      <c r="I694" s="9"/>
      <c r="J694" s="9"/>
      <c r="K694" s="9"/>
      <c r="L694" s="115"/>
      <c r="M694" s="115"/>
      <c r="N694" s="115"/>
      <c r="O694" s="115"/>
      <c r="P694" s="9"/>
      <c r="Q694" s="9"/>
      <c r="R694" s="9"/>
      <c r="S694" s="9"/>
      <c r="T694" s="9"/>
      <c r="U694" s="9"/>
      <c r="V694" s="9"/>
      <c r="W694" s="10"/>
      <c r="X694" s="10"/>
      <c r="Y694" s="10"/>
      <c r="Z694" s="10"/>
    </row>
    <row r="695">
      <c r="A695" s="9"/>
      <c r="B695" s="9"/>
      <c r="C695" s="9"/>
      <c r="D695" s="9"/>
      <c r="E695" s="9"/>
      <c r="F695" s="9"/>
      <c r="G695" s="9"/>
      <c r="H695" s="9"/>
      <c r="I695" s="9"/>
      <c r="J695" s="9"/>
      <c r="K695" s="9"/>
      <c r="L695" s="115"/>
      <c r="M695" s="115"/>
      <c r="N695" s="115"/>
      <c r="O695" s="115"/>
      <c r="P695" s="9"/>
      <c r="Q695" s="9"/>
      <c r="R695" s="9"/>
      <c r="S695" s="9"/>
      <c r="T695" s="9"/>
      <c r="U695" s="9"/>
      <c r="V695" s="9"/>
      <c r="W695" s="10"/>
      <c r="X695" s="10"/>
      <c r="Y695" s="10"/>
      <c r="Z695" s="10"/>
    </row>
    <row r="696">
      <c r="A696" s="9"/>
      <c r="B696" s="9"/>
      <c r="C696" s="9"/>
      <c r="D696" s="9"/>
      <c r="E696" s="9"/>
      <c r="F696" s="9"/>
      <c r="G696" s="9"/>
      <c r="H696" s="9"/>
      <c r="I696" s="9"/>
      <c r="J696" s="9"/>
      <c r="K696" s="9"/>
      <c r="L696" s="115"/>
      <c r="M696" s="115"/>
      <c r="N696" s="115"/>
      <c r="O696" s="115"/>
      <c r="P696" s="9"/>
      <c r="Q696" s="9"/>
      <c r="R696" s="9"/>
      <c r="S696" s="9"/>
      <c r="T696" s="9"/>
      <c r="U696" s="9"/>
      <c r="V696" s="9"/>
      <c r="W696" s="10"/>
      <c r="X696" s="10"/>
      <c r="Y696" s="10"/>
      <c r="Z696" s="10"/>
    </row>
    <row r="697">
      <c r="A697" s="9"/>
      <c r="B697" s="9"/>
      <c r="C697" s="9"/>
      <c r="D697" s="9"/>
      <c r="E697" s="9"/>
      <c r="F697" s="9"/>
      <c r="G697" s="9"/>
      <c r="H697" s="9"/>
      <c r="I697" s="9"/>
      <c r="J697" s="9"/>
      <c r="K697" s="9"/>
      <c r="L697" s="115"/>
      <c r="M697" s="115"/>
      <c r="N697" s="115"/>
      <c r="O697" s="115"/>
      <c r="P697" s="9"/>
      <c r="Q697" s="9"/>
      <c r="R697" s="9"/>
      <c r="S697" s="9"/>
      <c r="T697" s="9"/>
      <c r="U697" s="9"/>
      <c r="V697" s="9"/>
      <c r="W697" s="10"/>
      <c r="X697" s="10"/>
      <c r="Y697" s="10"/>
      <c r="Z697" s="10"/>
    </row>
    <row r="698">
      <c r="A698" s="9"/>
      <c r="B698" s="9"/>
      <c r="C698" s="9"/>
      <c r="D698" s="9"/>
      <c r="E698" s="9"/>
      <c r="F698" s="9"/>
      <c r="G698" s="9"/>
      <c r="H698" s="9"/>
      <c r="I698" s="9"/>
      <c r="J698" s="9"/>
      <c r="K698" s="9"/>
      <c r="L698" s="115"/>
      <c r="M698" s="115"/>
      <c r="N698" s="115"/>
      <c r="O698" s="115"/>
      <c r="P698" s="9"/>
      <c r="Q698" s="9"/>
      <c r="R698" s="9"/>
      <c r="S698" s="9"/>
      <c r="T698" s="9"/>
      <c r="U698" s="9"/>
      <c r="V698" s="9"/>
      <c r="W698" s="10"/>
      <c r="X698" s="10"/>
      <c r="Y698" s="10"/>
      <c r="Z698" s="10"/>
    </row>
    <row r="699">
      <c r="A699" s="9"/>
      <c r="B699" s="9"/>
      <c r="C699" s="9"/>
      <c r="D699" s="9"/>
      <c r="E699" s="9"/>
      <c r="F699" s="9"/>
      <c r="G699" s="9"/>
      <c r="H699" s="9"/>
      <c r="I699" s="9"/>
      <c r="J699" s="9"/>
      <c r="K699" s="9"/>
      <c r="L699" s="115"/>
      <c r="M699" s="115"/>
      <c r="N699" s="115"/>
      <c r="O699" s="115"/>
      <c r="P699" s="9"/>
      <c r="Q699" s="9"/>
      <c r="R699" s="9"/>
      <c r="S699" s="9"/>
      <c r="T699" s="9"/>
      <c r="U699" s="9"/>
      <c r="V699" s="9"/>
      <c r="W699" s="10"/>
      <c r="X699" s="10"/>
      <c r="Y699" s="10"/>
      <c r="Z699" s="10"/>
    </row>
    <row r="700">
      <c r="A700" s="9"/>
      <c r="B700" s="9"/>
      <c r="C700" s="9"/>
      <c r="D700" s="9"/>
      <c r="E700" s="9"/>
      <c r="F700" s="9"/>
      <c r="G700" s="9"/>
      <c r="H700" s="9"/>
      <c r="I700" s="9"/>
      <c r="J700" s="9"/>
      <c r="K700" s="9"/>
      <c r="L700" s="115"/>
      <c r="M700" s="115"/>
      <c r="N700" s="115"/>
      <c r="O700" s="115"/>
      <c r="P700" s="9"/>
      <c r="Q700" s="9"/>
      <c r="R700" s="9"/>
      <c r="S700" s="9"/>
      <c r="T700" s="9"/>
      <c r="U700" s="9"/>
      <c r="V700" s="9"/>
      <c r="W700" s="10"/>
      <c r="X700" s="10"/>
      <c r="Y700" s="10"/>
      <c r="Z700" s="10"/>
    </row>
    <row r="701">
      <c r="A701" s="9"/>
      <c r="B701" s="9"/>
      <c r="C701" s="9"/>
      <c r="D701" s="9"/>
      <c r="E701" s="9"/>
      <c r="F701" s="9"/>
      <c r="G701" s="9"/>
      <c r="H701" s="9"/>
      <c r="I701" s="9"/>
      <c r="J701" s="9"/>
      <c r="K701" s="9"/>
      <c r="L701" s="115"/>
      <c r="M701" s="115"/>
      <c r="N701" s="115"/>
      <c r="O701" s="115"/>
      <c r="P701" s="9"/>
      <c r="Q701" s="9"/>
      <c r="R701" s="9"/>
      <c r="S701" s="9"/>
      <c r="T701" s="9"/>
      <c r="U701" s="9"/>
      <c r="V701" s="9"/>
      <c r="W701" s="10"/>
      <c r="X701" s="10"/>
      <c r="Y701" s="10"/>
      <c r="Z701" s="10"/>
    </row>
    <row r="702">
      <c r="A702" s="9"/>
      <c r="B702" s="9"/>
      <c r="C702" s="9"/>
      <c r="D702" s="9"/>
      <c r="E702" s="9"/>
      <c r="F702" s="9"/>
      <c r="G702" s="9"/>
      <c r="H702" s="9"/>
      <c r="I702" s="9"/>
      <c r="J702" s="9"/>
      <c r="K702" s="9"/>
      <c r="L702" s="115"/>
      <c r="M702" s="115"/>
      <c r="N702" s="115"/>
      <c r="O702" s="115"/>
      <c r="P702" s="9"/>
      <c r="Q702" s="9"/>
      <c r="R702" s="9"/>
      <c r="S702" s="9"/>
      <c r="T702" s="9"/>
      <c r="U702" s="9"/>
      <c r="V702" s="9"/>
      <c r="W702" s="10"/>
      <c r="X702" s="10"/>
      <c r="Y702" s="10"/>
      <c r="Z702" s="10"/>
    </row>
    <row r="703">
      <c r="A703" s="9"/>
      <c r="B703" s="9"/>
      <c r="C703" s="9"/>
      <c r="D703" s="9"/>
      <c r="E703" s="9"/>
      <c r="F703" s="9"/>
      <c r="G703" s="9"/>
      <c r="H703" s="9"/>
      <c r="I703" s="9"/>
      <c r="J703" s="9"/>
      <c r="K703" s="9"/>
      <c r="L703" s="115"/>
      <c r="M703" s="115"/>
      <c r="N703" s="115"/>
      <c r="O703" s="115"/>
      <c r="P703" s="9"/>
      <c r="Q703" s="9"/>
      <c r="R703" s="9"/>
      <c r="S703" s="9"/>
      <c r="T703" s="9"/>
      <c r="U703" s="9"/>
      <c r="V703" s="9"/>
      <c r="W703" s="10"/>
      <c r="X703" s="10"/>
      <c r="Y703" s="10"/>
      <c r="Z703" s="10"/>
    </row>
    <row r="704">
      <c r="A704" s="9"/>
      <c r="B704" s="9"/>
      <c r="C704" s="9"/>
      <c r="D704" s="9"/>
      <c r="E704" s="9"/>
      <c r="F704" s="9"/>
      <c r="G704" s="9"/>
      <c r="H704" s="9"/>
      <c r="I704" s="9"/>
      <c r="J704" s="9"/>
      <c r="K704" s="9"/>
      <c r="L704" s="115"/>
      <c r="M704" s="115"/>
      <c r="N704" s="115"/>
      <c r="O704" s="115"/>
      <c r="P704" s="9"/>
      <c r="Q704" s="9"/>
      <c r="R704" s="9"/>
      <c r="S704" s="9"/>
      <c r="T704" s="9"/>
      <c r="U704" s="9"/>
      <c r="V704" s="9"/>
      <c r="W704" s="10"/>
      <c r="X704" s="10"/>
      <c r="Y704" s="10"/>
      <c r="Z704" s="10"/>
    </row>
    <row r="705">
      <c r="A705" s="9"/>
      <c r="B705" s="9"/>
      <c r="C705" s="9"/>
      <c r="D705" s="9"/>
      <c r="E705" s="9"/>
      <c r="F705" s="9"/>
      <c r="G705" s="9"/>
      <c r="H705" s="9"/>
      <c r="I705" s="9"/>
      <c r="J705" s="9"/>
      <c r="K705" s="9"/>
      <c r="L705" s="115"/>
      <c r="M705" s="115"/>
      <c r="N705" s="115"/>
      <c r="O705" s="115"/>
      <c r="P705" s="9"/>
      <c r="Q705" s="9"/>
      <c r="R705" s="9"/>
      <c r="S705" s="9"/>
      <c r="T705" s="9"/>
      <c r="U705" s="9"/>
      <c r="V705" s="9"/>
      <c r="W705" s="10"/>
      <c r="X705" s="10"/>
      <c r="Y705" s="10"/>
      <c r="Z705" s="10"/>
    </row>
    <row r="706">
      <c r="A706" s="9"/>
      <c r="B706" s="9"/>
      <c r="C706" s="9"/>
      <c r="D706" s="9"/>
      <c r="E706" s="9"/>
      <c r="F706" s="9"/>
      <c r="G706" s="9"/>
      <c r="H706" s="9"/>
      <c r="I706" s="9"/>
      <c r="J706" s="9"/>
      <c r="K706" s="9"/>
      <c r="L706" s="115"/>
      <c r="M706" s="115"/>
      <c r="N706" s="115"/>
      <c r="O706" s="115"/>
      <c r="P706" s="9"/>
      <c r="Q706" s="9"/>
      <c r="R706" s="9"/>
      <c r="S706" s="9"/>
      <c r="T706" s="9"/>
      <c r="U706" s="9"/>
      <c r="V706" s="9"/>
      <c r="W706" s="10"/>
      <c r="X706" s="10"/>
      <c r="Y706" s="10"/>
      <c r="Z706" s="10"/>
    </row>
    <row r="707">
      <c r="A707" s="9"/>
      <c r="B707" s="9"/>
      <c r="C707" s="9"/>
      <c r="D707" s="9"/>
      <c r="E707" s="9"/>
      <c r="F707" s="9"/>
      <c r="G707" s="9"/>
      <c r="H707" s="9"/>
      <c r="I707" s="9"/>
      <c r="J707" s="9"/>
      <c r="K707" s="9"/>
      <c r="L707" s="115"/>
      <c r="M707" s="115"/>
      <c r="N707" s="115"/>
      <c r="O707" s="115"/>
      <c r="P707" s="9"/>
      <c r="Q707" s="9"/>
      <c r="R707" s="9"/>
      <c r="S707" s="9"/>
      <c r="T707" s="9"/>
      <c r="U707" s="9"/>
      <c r="V707" s="9"/>
      <c r="W707" s="10"/>
      <c r="X707" s="10"/>
      <c r="Y707" s="10"/>
      <c r="Z707" s="10"/>
    </row>
    <row r="708">
      <c r="A708" s="9"/>
      <c r="B708" s="9"/>
      <c r="C708" s="9"/>
      <c r="D708" s="9"/>
      <c r="E708" s="9"/>
      <c r="F708" s="9"/>
      <c r="G708" s="9"/>
      <c r="H708" s="9"/>
      <c r="I708" s="9"/>
      <c r="J708" s="9"/>
      <c r="K708" s="9"/>
      <c r="L708" s="115"/>
      <c r="M708" s="115"/>
      <c r="N708" s="115"/>
      <c r="O708" s="115"/>
      <c r="P708" s="9"/>
      <c r="Q708" s="9"/>
      <c r="R708" s="9"/>
      <c r="S708" s="9"/>
      <c r="T708" s="9"/>
      <c r="U708" s="9"/>
      <c r="V708" s="9"/>
      <c r="W708" s="10"/>
      <c r="X708" s="10"/>
      <c r="Y708" s="10"/>
      <c r="Z708" s="10"/>
    </row>
    <row r="709">
      <c r="A709" s="9"/>
      <c r="B709" s="9"/>
      <c r="C709" s="9"/>
      <c r="D709" s="9"/>
      <c r="E709" s="9"/>
      <c r="F709" s="9"/>
      <c r="G709" s="9"/>
      <c r="H709" s="9"/>
      <c r="I709" s="9"/>
      <c r="J709" s="9"/>
      <c r="K709" s="9"/>
      <c r="L709" s="115"/>
      <c r="M709" s="115"/>
      <c r="N709" s="115"/>
      <c r="O709" s="115"/>
      <c r="P709" s="9"/>
      <c r="Q709" s="9"/>
      <c r="R709" s="9"/>
      <c r="S709" s="9"/>
      <c r="T709" s="9"/>
      <c r="U709" s="9"/>
      <c r="V709" s="9"/>
      <c r="W709" s="10"/>
      <c r="X709" s="10"/>
      <c r="Y709" s="10"/>
      <c r="Z709" s="10"/>
    </row>
    <row r="710">
      <c r="A710" s="9"/>
      <c r="B710" s="9"/>
      <c r="C710" s="9"/>
      <c r="D710" s="9"/>
      <c r="E710" s="9"/>
      <c r="F710" s="9"/>
      <c r="G710" s="9"/>
      <c r="H710" s="9"/>
      <c r="I710" s="9"/>
      <c r="J710" s="9"/>
      <c r="K710" s="9"/>
      <c r="L710" s="115"/>
      <c r="M710" s="115"/>
      <c r="N710" s="115"/>
      <c r="O710" s="115"/>
      <c r="P710" s="9"/>
      <c r="Q710" s="9"/>
      <c r="R710" s="9"/>
      <c r="S710" s="9"/>
      <c r="T710" s="9"/>
      <c r="U710" s="9"/>
      <c r="V710" s="9"/>
      <c r="W710" s="10"/>
      <c r="X710" s="10"/>
      <c r="Y710" s="10"/>
      <c r="Z710" s="10"/>
    </row>
    <row r="711">
      <c r="A711" s="9"/>
      <c r="B711" s="9"/>
      <c r="C711" s="9"/>
      <c r="D711" s="9"/>
      <c r="E711" s="9"/>
      <c r="F711" s="9"/>
      <c r="G711" s="9"/>
      <c r="H711" s="9"/>
      <c r="I711" s="9"/>
      <c r="J711" s="9"/>
      <c r="K711" s="9"/>
      <c r="L711" s="115"/>
      <c r="M711" s="115"/>
      <c r="N711" s="115"/>
      <c r="O711" s="115"/>
      <c r="P711" s="9"/>
      <c r="Q711" s="9"/>
      <c r="R711" s="9"/>
      <c r="S711" s="9"/>
      <c r="T711" s="9"/>
      <c r="U711" s="9"/>
      <c r="V711" s="9"/>
      <c r="W711" s="10"/>
      <c r="X711" s="10"/>
      <c r="Y711" s="10"/>
      <c r="Z711" s="10"/>
    </row>
    <row r="712">
      <c r="A712" s="9"/>
      <c r="B712" s="9"/>
      <c r="C712" s="9"/>
      <c r="D712" s="9"/>
      <c r="E712" s="9"/>
      <c r="F712" s="9"/>
      <c r="G712" s="9"/>
      <c r="H712" s="9"/>
      <c r="I712" s="9"/>
      <c r="J712" s="9"/>
      <c r="K712" s="9"/>
      <c r="L712" s="115"/>
      <c r="M712" s="115"/>
      <c r="N712" s="115"/>
      <c r="O712" s="115"/>
      <c r="P712" s="9"/>
      <c r="Q712" s="9"/>
      <c r="R712" s="9"/>
      <c r="S712" s="9"/>
      <c r="T712" s="9"/>
      <c r="U712" s="9"/>
      <c r="V712" s="9"/>
      <c r="W712" s="10"/>
      <c r="X712" s="10"/>
      <c r="Y712" s="10"/>
      <c r="Z712" s="10"/>
    </row>
    <row r="713">
      <c r="A713" s="9"/>
      <c r="B713" s="9"/>
      <c r="C713" s="9"/>
      <c r="D713" s="9"/>
      <c r="E713" s="9"/>
      <c r="F713" s="9"/>
      <c r="G713" s="9"/>
      <c r="H713" s="9"/>
      <c r="I713" s="9"/>
      <c r="J713" s="9"/>
      <c r="K713" s="9"/>
      <c r="L713" s="115"/>
      <c r="M713" s="115"/>
      <c r="N713" s="115"/>
      <c r="O713" s="115"/>
      <c r="P713" s="9"/>
      <c r="Q713" s="9"/>
      <c r="R713" s="9"/>
      <c r="S713" s="9"/>
      <c r="T713" s="9"/>
      <c r="U713" s="9"/>
      <c r="V713" s="9"/>
      <c r="W713" s="10"/>
      <c r="X713" s="10"/>
      <c r="Y713" s="10"/>
      <c r="Z713" s="10"/>
    </row>
    <row r="714">
      <c r="A714" s="9"/>
      <c r="B714" s="9"/>
      <c r="C714" s="9"/>
      <c r="D714" s="9"/>
      <c r="E714" s="9"/>
      <c r="F714" s="9"/>
      <c r="G714" s="9"/>
      <c r="H714" s="9"/>
      <c r="I714" s="9"/>
      <c r="J714" s="9"/>
      <c r="K714" s="9"/>
      <c r="L714" s="115"/>
      <c r="M714" s="115"/>
      <c r="N714" s="115"/>
      <c r="O714" s="115"/>
      <c r="P714" s="9"/>
      <c r="Q714" s="9"/>
      <c r="R714" s="9"/>
      <c r="S714" s="9"/>
      <c r="T714" s="9"/>
      <c r="U714" s="9"/>
      <c r="V714" s="9"/>
      <c r="W714" s="10"/>
      <c r="X714" s="10"/>
      <c r="Y714" s="10"/>
      <c r="Z714" s="10"/>
    </row>
    <row r="715">
      <c r="A715" s="9"/>
      <c r="B715" s="9"/>
      <c r="C715" s="9"/>
      <c r="D715" s="9"/>
      <c r="E715" s="9"/>
      <c r="F715" s="9"/>
      <c r="G715" s="9"/>
      <c r="H715" s="9"/>
      <c r="I715" s="9"/>
      <c r="J715" s="9"/>
      <c r="K715" s="9"/>
      <c r="L715" s="115"/>
      <c r="M715" s="115"/>
      <c r="N715" s="115"/>
      <c r="O715" s="115"/>
      <c r="P715" s="9"/>
      <c r="Q715" s="9"/>
      <c r="R715" s="9"/>
      <c r="S715" s="9"/>
      <c r="T715" s="9"/>
      <c r="U715" s="9"/>
      <c r="V715" s="9"/>
      <c r="W715" s="10"/>
      <c r="X715" s="10"/>
      <c r="Y715" s="10"/>
      <c r="Z715" s="10"/>
    </row>
    <row r="716">
      <c r="A716" s="9"/>
      <c r="B716" s="9"/>
      <c r="C716" s="9"/>
      <c r="D716" s="9"/>
      <c r="E716" s="9"/>
      <c r="F716" s="9"/>
      <c r="G716" s="9"/>
      <c r="H716" s="9"/>
      <c r="I716" s="9"/>
      <c r="J716" s="9"/>
      <c r="K716" s="9"/>
      <c r="L716" s="115"/>
      <c r="M716" s="115"/>
      <c r="N716" s="115"/>
      <c r="O716" s="115"/>
      <c r="P716" s="9"/>
      <c r="Q716" s="9"/>
      <c r="R716" s="9"/>
      <c r="S716" s="9"/>
      <c r="T716" s="9"/>
      <c r="U716" s="9"/>
      <c r="V716" s="9"/>
      <c r="W716" s="10"/>
      <c r="X716" s="10"/>
      <c r="Y716" s="10"/>
      <c r="Z716" s="10"/>
    </row>
    <row r="717">
      <c r="A717" s="9"/>
      <c r="B717" s="9"/>
      <c r="C717" s="9"/>
      <c r="D717" s="9"/>
      <c r="E717" s="9"/>
      <c r="F717" s="9"/>
      <c r="G717" s="9"/>
      <c r="H717" s="9"/>
      <c r="I717" s="9"/>
      <c r="J717" s="9"/>
      <c r="K717" s="9"/>
      <c r="L717" s="115"/>
      <c r="M717" s="115"/>
      <c r="N717" s="115"/>
      <c r="O717" s="115"/>
      <c r="P717" s="9"/>
      <c r="Q717" s="9"/>
      <c r="R717" s="9"/>
      <c r="S717" s="9"/>
      <c r="T717" s="9"/>
      <c r="U717" s="9"/>
      <c r="V717" s="9"/>
      <c r="W717" s="10"/>
      <c r="X717" s="10"/>
      <c r="Y717" s="10"/>
      <c r="Z717" s="10"/>
    </row>
    <row r="718">
      <c r="A718" s="9"/>
      <c r="B718" s="9"/>
      <c r="C718" s="9"/>
      <c r="D718" s="9"/>
      <c r="E718" s="9"/>
      <c r="F718" s="9"/>
      <c r="G718" s="9"/>
      <c r="H718" s="9"/>
      <c r="I718" s="9"/>
      <c r="J718" s="9"/>
      <c r="K718" s="9"/>
      <c r="L718" s="115"/>
      <c r="M718" s="115"/>
      <c r="N718" s="115"/>
      <c r="O718" s="115"/>
      <c r="P718" s="9"/>
      <c r="Q718" s="9"/>
      <c r="R718" s="9"/>
      <c r="S718" s="9"/>
      <c r="T718" s="9"/>
      <c r="U718" s="9"/>
      <c r="V718" s="9"/>
      <c r="W718" s="10"/>
      <c r="X718" s="10"/>
      <c r="Y718" s="10"/>
      <c r="Z718" s="10"/>
    </row>
    <row r="719">
      <c r="A719" s="9"/>
      <c r="B719" s="9"/>
      <c r="C719" s="9"/>
      <c r="D719" s="9"/>
      <c r="E719" s="9"/>
      <c r="F719" s="9"/>
      <c r="G719" s="9"/>
      <c r="H719" s="9"/>
      <c r="I719" s="9"/>
      <c r="J719" s="9"/>
      <c r="K719" s="9"/>
      <c r="L719" s="115"/>
      <c r="M719" s="115"/>
      <c r="N719" s="115"/>
      <c r="O719" s="115"/>
      <c r="P719" s="9"/>
      <c r="Q719" s="9"/>
      <c r="R719" s="9"/>
      <c r="S719" s="9"/>
      <c r="T719" s="9"/>
      <c r="U719" s="9"/>
      <c r="V719" s="9"/>
      <c r="W719" s="10"/>
      <c r="X719" s="10"/>
      <c r="Y719" s="10"/>
      <c r="Z719" s="10"/>
    </row>
    <row r="720">
      <c r="A720" s="9"/>
      <c r="B720" s="9"/>
      <c r="C720" s="9"/>
      <c r="D720" s="9"/>
      <c r="E720" s="9"/>
      <c r="F720" s="9"/>
      <c r="G720" s="9"/>
      <c r="H720" s="9"/>
      <c r="I720" s="9"/>
      <c r="J720" s="9"/>
      <c r="K720" s="9"/>
      <c r="L720" s="115"/>
      <c r="M720" s="115"/>
      <c r="N720" s="115"/>
      <c r="O720" s="115"/>
      <c r="P720" s="9"/>
      <c r="Q720" s="9"/>
      <c r="R720" s="9"/>
      <c r="S720" s="9"/>
      <c r="T720" s="9"/>
      <c r="U720" s="9"/>
      <c r="V720" s="9"/>
      <c r="W720" s="10"/>
      <c r="X720" s="10"/>
      <c r="Y720" s="10"/>
      <c r="Z720" s="10"/>
    </row>
    <row r="721">
      <c r="A721" s="9"/>
      <c r="B721" s="9"/>
      <c r="C721" s="9"/>
      <c r="D721" s="9"/>
      <c r="E721" s="9"/>
      <c r="F721" s="9"/>
      <c r="G721" s="9"/>
      <c r="H721" s="9"/>
      <c r="I721" s="9"/>
      <c r="J721" s="9"/>
      <c r="K721" s="9"/>
      <c r="L721" s="115"/>
      <c r="M721" s="115"/>
      <c r="N721" s="115"/>
      <c r="O721" s="115"/>
      <c r="P721" s="9"/>
      <c r="Q721" s="9"/>
      <c r="R721" s="9"/>
      <c r="S721" s="9"/>
      <c r="T721" s="9"/>
      <c r="U721" s="9"/>
      <c r="V721" s="9"/>
      <c r="W721" s="10"/>
      <c r="X721" s="10"/>
      <c r="Y721" s="10"/>
      <c r="Z721" s="10"/>
    </row>
    <row r="722">
      <c r="A722" s="9"/>
      <c r="B722" s="9"/>
      <c r="C722" s="9"/>
      <c r="D722" s="9"/>
      <c r="E722" s="9"/>
      <c r="F722" s="9"/>
      <c r="G722" s="9"/>
      <c r="H722" s="9"/>
      <c r="I722" s="9"/>
      <c r="J722" s="9"/>
      <c r="K722" s="9"/>
      <c r="L722" s="115"/>
      <c r="M722" s="115"/>
      <c r="N722" s="115"/>
      <c r="O722" s="115"/>
      <c r="P722" s="9"/>
      <c r="Q722" s="9"/>
      <c r="R722" s="9"/>
      <c r="S722" s="9"/>
      <c r="T722" s="9"/>
      <c r="U722" s="9"/>
      <c r="V722" s="9"/>
      <c r="W722" s="10"/>
      <c r="X722" s="10"/>
      <c r="Y722" s="10"/>
      <c r="Z722" s="10"/>
    </row>
    <row r="723">
      <c r="A723" s="9"/>
      <c r="B723" s="9"/>
      <c r="C723" s="9"/>
      <c r="D723" s="9"/>
      <c r="E723" s="9"/>
      <c r="F723" s="9"/>
      <c r="G723" s="9"/>
      <c r="H723" s="9"/>
      <c r="I723" s="9"/>
      <c r="J723" s="9"/>
      <c r="K723" s="9"/>
      <c r="L723" s="115"/>
      <c r="M723" s="115"/>
      <c r="N723" s="115"/>
      <c r="O723" s="115"/>
      <c r="P723" s="9"/>
      <c r="Q723" s="9"/>
      <c r="R723" s="9"/>
      <c r="S723" s="9"/>
      <c r="T723" s="9"/>
      <c r="U723" s="9"/>
      <c r="V723" s="9"/>
      <c r="W723" s="10"/>
      <c r="X723" s="10"/>
      <c r="Y723" s="10"/>
      <c r="Z723" s="10"/>
    </row>
    <row r="724">
      <c r="A724" s="9"/>
      <c r="B724" s="9"/>
      <c r="C724" s="9"/>
      <c r="D724" s="9"/>
      <c r="E724" s="9"/>
      <c r="F724" s="9"/>
      <c r="G724" s="9"/>
      <c r="H724" s="9"/>
      <c r="I724" s="9"/>
      <c r="J724" s="9"/>
      <c r="K724" s="9"/>
      <c r="L724" s="115"/>
      <c r="M724" s="115"/>
      <c r="N724" s="115"/>
      <c r="O724" s="115"/>
      <c r="P724" s="9"/>
      <c r="Q724" s="9"/>
      <c r="R724" s="9"/>
      <c r="S724" s="9"/>
      <c r="T724" s="9"/>
      <c r="U724" s="9"/>
      <c r="V724" s="9"/>
      <c r="W724" s="10"/>
      <c r="X724" s="10"/>
      <c r="Y724" s="10"/>
      <c r="Z724" s="10"/>
    </row>
    <row r="725">
      <c r="A725" s="9"/>
      <c r="B725" s="9"/>
      <c r="C725" s="9"/>
      <c r="D725" s="9"/>
      <c r="E725" s="9"/>
      <c r="F725" s="9"/>
      <c r="G725" s="9"/>
      <c r="H725" s="9"/>
      <c r="I725" s="9"/>
      <c r="J725" s="9"/>
      <c r="K725" s="9"/>
      <c r="L725" s="115"/>
      <c r="M725" s="115"/>
      <c r="N725" s="115"/>
      <c r="O725" s="115"/>
      <c r="P725" s="9"/>
      <c r="Q725" s="9"/>
      <c r="R725" s="9"/>
      <c r="S725" s="9"/>
      <c r="T725" s="9"/>
      <c r="U725" s="9"/>
      <c r="V725" s="9"/>
      <c r="W725" s="10"/>
      <c r="X725" s="10"/>
      <c r="Y725" s="10"/>
      <c r="Z725" s="10"/>
    </row>
    <row r="726">
      <c r="A726" s="9"/>
      <c r="B726" s="9"/>
      <c r="C726" s="9"/>
      <c r="D726" s="9"/>
      <c r="E726" s="9"/>
      <c r="F726" s="9"/>
      <c r="G726" s="9"/>
      <c r="H726" s="9"/>
      <c r="I726" s="9"/>
      <c r="J726" s="9"/>
      <c r="K726" s="9"/>
      <c r="L726" s="115"/>
      <c r="M726" s="115"/>
      <c r="N726" s="115"/>
      <c r="O726" s="115"/>
      <c r="P726" s="9"/>
      <c r="Q726" s="9"/>
      <c r="R726" s="9"/>
      <c r="S726" s="9"/>
      <c r="T726" s="9"/>
      <c r="U726" s="9"/>
      <c r="V726" s="9"/>
      <c r="W726" s="10"/>
      <c r="X726" s="10"/>
      <c r="Y726" s="10"/>
      <c r="Z726" s="10"/>
    </row>
    <row r="727">
      <c r="A727" s="9"/>
      <c r="B727" s="9"/>
      <c r="C727" s="9"/>
      <c r="D727" s="9"/>
      <c r="E727" s="9"/>
      <c r="F727" s="9"/>
      <c r="G727" s="9"/>
      <c r="H727" s="9"/>
      <c r="I727" s="9"/>
      <c r="J727" s="9"/>
      <c r="K727" s="9"/>
      <c r="L727" s="115"/>
      <c r="M727" s="115"/>
      <c r="N727" s="115"/>
      <c r="O727" s="115"/>
      <c r="P727" s="9"/>
      <c r="Q727" s="9"/>
      <c r="R727" s="9"/>
      <c r="S727" s="9"/>
      <c r="T727" s="9"/>
      <c r="U727" s="9"/>
      <c r="V727" s="9"/>
      <c r="W727" s="10"/>
      <c r="X727" s="10"/>
      <c r="Y727" s="10"/>
      <c r="Z727" s="10"/>
    </row>
    <row r="728">
      <c r="A728" s="9"/>
      <c r="B728" s="9"/>
      <c r="C728" s="9"/>
      <c r="D728" s="9"/>
      <c r="E728" s="9"/>
      <c r="F728" s="9"/>
      <c r="G728" s="9"/>
      <c r="H728" s="9"/>
      <c r="I728" s="9"/>
      <c r="J728" s="9"/>
      <c r="K728" s="9"/>
      <c r="L728" s="115"/>
      <c r="M728" s="115"/>
      <c r="N728" s="115"/>
      <c r="O728" s="115"/>
      <c r="P728" s="9"/>
      <c r="Q728" s="9"/>
      <c r="R728" s="9"/>
      <c r="S728" s="9"/>
      <c r="T728" s="9"/>
      <c r="U728" s="9"/>
      <c r="V728" s="9"/>
      <c r="W728" s="10"/>
      <c r="X728" s="10"/>
      <c r="Y728" s="10"/>
      <c r="Z728" s="10"/>
    </row>
    <row r="729">
      <c r="A729" s="9"/>
      <c r="B729" s="9"/>
      <c r="C729" s="9"/>
      <c r="D729" s="9"/>
      <c r="E729" s="9"/>
      <c r="F729" s="9"/>
      <c r="G729" s="9"/>
      <c r="H729" s="9"/>
      <c r="I729" s="9"/>
      <c r="J729" s="9"/>
      <c r="K729" s="9"/>
      <c r="L729" s="115"/>
      <c r="M729" s="115"/>
      <c r="N729" s="115"/>
      <c r="O729" s="115"/>
      <c r="P729" s="9"/>
      <c r="Q729" s="9"/>
      <c r="R729" s="9"/>
      <c r="S729" s="9"/>
      <c r="T729" s="9"/>
      <c r="U729" s="9"/>
      <c r="V729" s="9"/>
      <c r="W729" s="10"/>
      <c r="X729" s="10"/>
      <c r="Y729" s="10"/>
      <c r="Z729" s="10"/>
    </row>
    <row r="730">
      <c r="A730" s="9"/>
      <c r="B730" s="9"/>
      <c r="C730" s="9"/>
      <c r="D730" s="9"/>
      <c r="E730" s="9"/>
      <c r="F730" s="9"/>
      <c r="G730" s="9"/>
      <c r="H730" s="9"/>
      <c r="I730" s="9"/>
      <c r="J730" s="9"/>
      <c r="K730" s="9"/>
      <c r="L730" s="115"/>
      <c r="M730" s="115"/>
      <c r="N730" s="115"/>
      <c r="O730" s="115"/>
      <c r="P730" s="9"/>
      <c r="Q730" s="9"/>
      <c r="R730" s="9"/>
      <c r="S730" s="9"/>
      <c r="T730" s="9"/>
      <c r="U730" s="9"/>
      <c r="V730" s="9"/>
      <c r="W730" s="10"/>
      <c r="X730" s="10"/>
      <c r="Y730" s="10"/>
      <c r="Z730" s="10"/>
    </row>
    <row r="731">
      <c r="A731" s="9"/>
      <c r="B731" s="9"/>
      <c r="C731" s="9"/>
      <c r="D731" s="9"/>
      <c r="E731" s="9"/>
      <c r="F731" s="9"/>
      <c r="G731" s="9"/>
      <c r="H731" s="9"/>
      <c r="I731" s="9"/>
      <c r="J731" s="9"/>
      <c r="K731" s="9"/>
      <c r="L731" s="115"/>
      <c r="M731" s="115"/>
      <c r="N731" s="115"/>
      <c r="O731" s="115"/>
      <c r="P731" s="9"/>
      <c r="Q731" s="9"/>
      <c r="R731" s="9"/>
      <c r="S731" s="9"/>
      <c r="T731" s="9"/>
      <c r="U731" s="9"/>
      <c r="V731" s="9"/>
      <c r="W731" s="10"/>
      <c r="X731" s="10"/>
      <c r="Y731" s="10"/>
      <c r="Z731" s="10"/>
    </row>
    <row r="732">
      <c r="A732" s="9"/>
      <c r="B732" s="9"/>
      <c r="C732" s="9"/>
      <c r="D732" s="9"/>
      <c r="E732" s="9"/>
      <c r="F732" s="9"/>
      <c r="G732" s="9"/>
      <c r="H732" s="9"/>
      <c r="I732" s="9"/>
      <c r="J732" s="9"/>
      <c r="K732" s="9"/>
      <c r="L732" s="115"/>
      <c r="M732" s="115"/>
      <c r="N732" s="115"/>
      <c r="O732" s="115"/>
      <c r="P732" s="9"/>
      <c r="Q732" s="9"/>
      <c r="R732" s="9"/>
      <c r="S732" s="9"/>
      <c r="T732" s="9"/>
      <c r="U732" s="9"/>
      <c r="V732" s="9"/>
      <c r="W732" s="10"/>
      <c r="X732" s="10"/>
      <c r="Y732" s="10"/>
      <c r="Z732" s="10"/>
    </row>
    <row r="733">
      <c r="A733" s="9"/>
      <c r="B733" s="9"/>
      <c r="C733" s="9"/>
      <c r="D733" s="9"/>
      <c r="E733" s="9"/>
      <c r="F733" s="9"/>
      <c r="G733" s="9"/>
      <c r="H733" s="9"/>
      <c r="I733" s="9"/>
      <c r="J733" s="9"/>
      <c r="K733" s="9"/>
      <c r="L733" s="115"/>
      <c r="M733" s="115"/>
      <c r="N733" s="115"/>
      <c r="O733" s="115"/>
      <c r="P733" s="9"/>
      <c r="Q733" s="9"/>
      <c r="R733" s="9"/>
      <c r="S733" s="9"/>
      <c r="T733" s="9"/>
      <c r="U733" s="9"/>
      <c r="V733" s="9"/>
      <c r="W733" s="10"/>
      <c r="X733" s="10"/>
      <c r="Y733" s="10"/>
      <c r="Z733" s="10"/>
    </row>
    <row r="734">
      <c r="A734" s="9"/>
      <c r="B734" s="9"/>
      <c r="C734" s="9"/>
      <c r="D734" s="9"/>
      <c r="E734" s="9"/>
      <c r="F734" s="9"/>
      <c r="G734" s="9"/>
      <c r="H734" s="9"/>
      <c r="I734" s="9"/>
      <c r="J734" s="9"/>
      <c r="K734" s="9"/>
      <c r="L734" s="115"/>
      <c r="M734" s="115"/>
      <c r="N734" s="115"/>
      <c r="O734" s="115"/>
      <c r="P734" s="9"/>
      <c r="Q734" s="9"/>
      <c r="R734" s="9"/>
      <c r="S734" s="9"/>
      <c r="T734" s="9"/>
      <c r="U734" s="9"/>
      <c r="V734" s="9"/>
      <c r="W734" s="10"/>
      <c r="X734" s="10"/>
      <c r="Y734" s="10"/>
      <c r="Z734" s="10"/>
    </row>
    <row r="735">
      <c r="A735" s="9"/>
      <c r="B735" s="9"/>
      <c r="C735" s="9"/>
      <c r="D735" s="9"/>
      <c r="E735" s="9"/>
      <c r="F735" s="9"/>
      <c r="G735" s="9"/>
      <c r="H735" s="9"/>
      <c r="I735" s="9"/>
      <c r="J735" s="9"/>
      <c r="K735" s="9"/>
      <c r="L735" s="115"/>
      <c r="M735" s="115"/>
      <c r="N735" s="115"/>
      <c r="O735" s="115"/>
      <c r="P735" s="9"/>
      <c r="Q735" s="9"/>
      <c r="R735" s="9"/>
      <c r="S735" s="9"/>
      <c r="T735" s="9"/>
      <c r="U735" s="9"/>
      <c r="V735" s="9"/>
      <c r="W735" s="10"/>
      <c r="X735" s="10"/>
      <c r="Y735" s="10"/>
      <c r="Z735" s="10"/>
    </row>
    <row r="736">
      <c r="A736" s="9"/>
      <c r="B736" s="9"/>
      <c r="C736" s="9"/>
      <c r="D736" s="9"/>
      <c r="E736" s="9"/>
      <c r="F736" s="9"/>
      <c r="G736" s="9"/>
      <c r="H736" s="9"/>
      <c r="I736" s="9"/>
      <c r="J736" s="9"/>
      <c r="K736" s="9"/>
      <c r="L736" s="115"/>
      <c r="M736" s="115"/>
      <c r="N736" s="115"/>
      <c r="O736" s="115"/>
      <c r="P736" s="9"/>
      <c r="Q736" s="9"/>
      <c r="R736" s="9"/>
      <c r="S736" s="9"/>
      <c r="T736" s="9"/>
      <c r="U736" s="9"/>
      <c r="V736" s="9"/>
      <c r="W736" s="10"/>
      <c r="X736" s="10"/>
      <c r="Y736" s="10"/>
      <c r="Z736" s="10"/>
    </row>
    <row r="737">
      <c r="A737" s="9"/>
      <c r="B737" s="9"/>
      <c r="C737" s="9"/>
      <c r="D737" s="9"/>
      <c r="E737" s="9"/>
      <c r="F737" s="9"/>
      <c r="G737" s="9"/>
      <c r="H737" s="9"/>
      <c r="I737" s="9"/>
      <c r="J737" s="9"/>
      <c r="K737" s="9"/>
      <c r="L737" s="115"/>
      <c r="M737" s="115"/>
      <c r="N737" s="115"/>
      <c r="O737" s="115"/>
      <c r="P737" s="9"/>
      <c r="Q737" s="9"/>
      <c r="R737" s="9"/>
      <c r="S737" s="9"/>
      <c r="T737" s="9"/>
      <c r="U737" s="9"/>
      <c r="V737" s="9"/>
      <c r="W737" s="10"/>
      <c r="X737" s="10"/>
      <c r="Y737" s="10"/>
      <c r="Z737" s="10"/>
    </row>
    <row r="738">
      <c r="A738" s="9"/>
      <c r="B738" s="9"/>
      <c r="C738" s="9"/>
      <c r="D738" s="9"/>
      <c r="E738" s="9"/>
      <c r="F738" s="9"/>
      <c r="G738" s="9"/>
      <c r="H738" s="9"/>
      <c r="I738" s="9"/>
      <c r="J738" s="9"/>
      <c r="K738" s="9"/>
      <c r="L738" s="115"/>
      <c r="M738" s="115"/>
      <c r="N738" s="115"/>
      <c r="O738" s="115"/>
      <c r="P738" s="9"/>
      <c r="Q738" s="9"/>
      <c r="R738" s="9"/>
      <c r="S738" s="9"/>
      <c r="T738" s="9"/>
      <c r="U738" s="9"/>
      <c r="V738" s="9"/>
      <c r="W738" s="10"/>
      <c r="X738" s="10"/>
      <c r="Y738" s="10"/>
      <c r="Z738" s="10"/>
    </row>
    <row r="739">
      <c r="A739" s="9"/>
      <c r="B739" s="9"/>
      <c r="C739" s="9"/>
      <c r="D739" s="9"/>
      <c r="E739" s="9"/>
      <c r="F739" s="9"/>
      <c r="G739" s="9"/>
      <c r="H739" s="9"/>
      <c r="I739" s="9"/>
      <c r="J739" s="9"/>
      <c r="K739" s="9"/>
      <c r="L739" s="115"/>
      <c r="M739" s="115"/>
      <c r="N739" s="115"/>
      <c r="O739" s="115"/>
      <c r="P739" s="9"/>
      <c r="Q739" s="9"/>
      <c r="R739" s="9"/>
      <c r="S739" s="9"/>
      <c r="T739" s="9"/>
      <c r="U739" s="9"/>
      <c r="V739" s="9"/>
      <c r="W739" s="10"/>
      <c r="X739" s="10"/>
      <c r="Y739" s="10"/>
      <c r="Z739" s="10"/>
    </row>
    <row r="740">
      <c r="A740" s="9"/>
      <c r="B740" s="9"/>
      <c r="C740" s="9"/>
      <c r="D740" s="9"/>
      <c r="E740" s="9"/>
      <c r="F740" s="9"/>
      <c r="G740" s="9"/>
      <c r="H740" s="9"/>
      <c r="I740" s="9"/>
      <c r="J740" s="9"/>
      <c r="K740" s="9"/>
      <c r="L740" s="115"/>
      <c r="M740" s="115"/>
      <c r="N740" s="115"/>
      <c r="O740" s="115"/>
      <c r="P740" s="9"/>
      <c r="Q740" s="9"/>
      <c r="R740" s="9"/>
      <c r="S740" s="9"/>
      <c r="T740" s="9"/>
      <c r="U740" s="9"/>
      <c r="V740" s="9"/>
      <c r="W740" s="10"/>
      <c r="X740" s="10"/>
      <c r="Y740" s="10"/>
      <c r="Z740" s="10"/>
    </row>
    <row r="741">
      <c r="A741" s="9"/>
      <c r="B741" s="9"/>
      <c r="C741" s="9"/>
      <c r="D741" s="9"/>
      <c r="E741" s="9"/>
      <c r="F741" s="9"/>
      <c r="G741" s="9"/>
      <c r="H741" s="9"/>
      <c r="I741" s="9"/>
      <c r="J741" s="9"/>
      <c r="K741" s="9"/>
      <c r="L741" s="115"/>
      <c r="M741" s="115"/>
      <c r="N741" s="115"/>
      <c r="O741" s="115"/>
      <c r="P741" s="9"/>
      <c r="Q741" s="9"/>
      <c r="R741" s="9"/>
      <c r="S741" s="9"/>
      <c r="T741" s="9"/>
      <c r="U741" s="9"/>
      <c r="V741" s="9"/>
      <c r="W741" s="10"/>
      <c r="X741" s="10"/>
      <c r="Y741" s="10"/>
      <c r="Z741" s="10"/>
    </row>
    <row r="742">
      <c r="A742" s="9"/>
      <c r="B742" s="9"/>
      <c r="C742" s="9"/>
      <c r="D742" s="9"/>
      <c r="E742" s="9"/>
      <c r="F742" s="9"/>
      <c r="G742" s="9"/>
      <c r="H742" s="9"/>
      <c r="I742" s="9"/>
      <c r="J742" s="9"/>
      <c r="K742" s="9"/>
      <c r="L742" s="115"/>
      <c r="M742" s="115"/>
      <c r="N742" s="115"/>
      <c r="O742" s="115"/>
      <c r="P742" s="9"/>
      <c r="Q742" s="9"/>
      <c r="R742" s="9"/>
      <c r="S742" s="9"/>
      <c r="T742" s="9"/>
      <c r="U742" s="9"/>
      <c r="V742" s="9"/>
      <c r="W742" s="10"/>
      <c r="X742" s="10"/>
      <c r="Y742" s="10"/>
      <c r="Z742" s="10"/>
    </row>
    <row r="743">
      <c r="A743" s="9"/>
      <c r="B743" s="9"/>
      <c r="C743" s="9"/>
      <c r="D743" s="9"/>
      <c r="E743" s="9"/>
      <c r="F743" s="9"/>
      <c r="G743" s="9"/>
      <c r="H743" s="9"/>
      <c r="I743" s="9"/>
      <c r="J743" s="9"/>
      <c r="K743" s="9"/>
      <c r="L743" s="115"/>
      <c r="M743" s="115"/>
      <c r="N743" s="115"/>
      <c r="O743" s="115"/>
      <c r="P743" s="9"/>
      <c r="Q743" s="9"/>
      <c r="R743" s="9"/>
      <c r="S743" s="9"/>
      <c r="T743" s="9"/>
      <c r="U743" s="9"/>
      <c r="V743" s="9"/>
      <c r="W743" s="10"/>
      <c r="X743" s="10"/>
      <c r="Y743" s="10"/>
      <c r="Z743" s="10"/>
    </row>
    <row r="744">
      <c r="A744" s="9"/>
      <c r="B744" s="9"/>
      <c r="C744" s="9"/>
      <c r="D744" s="9"/>
      <c r="E744" s="9"/>
      <c r="F744" s="9"/>
      <c r="G744" s="9"/>
      <c r="H744" s="9"/>
      <c r="I744" s="9"/>
      <c r="J744" s="9"/>
      <c r="K744" s="9"/>
      <c r="L744" s="115"/>
      <c r="M744" s="115"/>
      <c r="N744" s="115"/>
      <c r="O744" s="115"/>
      <c r="P744" s="9"/>
      <c r="Q744" s="9"/>
      <c r="R744" s="9"/>
      <c r="S744" s="9"/>
      <c r="T744" s="9"/>
      <c r="U744" s="9"/>
      <c r="V744" s="9"/>
      <c r="W744" s="10"/>
      <c r="X744" s="10"/>
      <c r="Y744" s="10"/>
      <c r="Z744" s="10"/>
    </row>
    <row r="745">
      <c r="A745" s="9"/>
      <c r="B745" s="9"/>
      <c r="C745" s="9"/>
      <c r="D745" s="9"/>
      <c r="E745" s="9"/>
      <c r="F745" s="9"/>
      <c r="G745" s="9"/>
      <c r="H745" s="9"/>
      <c r="I745" s="9"/>
      <c r="J745" s="9"/>
      <c r="K745" s="9"/>
      <c r="L745" s="115"/>
      <c r="M745" s="115"/>
      <c r="N745" s="115"/>
      <c r="O745" s="115"/>
      <c r="P745" s="9"/>
      <c r="Q745" s="9"/>
      <c r="R745" s="9"/>
      <c r="S745" s="9"/>
      <c r="T745" s="9"/>
      <c r="U745" s="9"/>
      <c r="V745" s="9"/>
      <c r="W745" s="10"/>
      <c r="X745" s="10"/>
      <c r="Y745" s="10"/>
      <c r="Z745" s="10"/>
    </row>
    <row r="746">
      <c r="A746" s="9"/>
      <c r="B746" s="9"/>
      <c r="C746" s="9"/>
      <c r="D746" s="9"/>
      <c r="E746" s="9"/>
      <c r="F746" s="9"/>
      <c r="G746" s="9"/>
      <c r="H746" s="9"/>
      <c r="I746" s="9"/>
      <c r="J746" s="9"/>
      <c r="K746" s="9"/>
      <c r="L746" s="115"/>
      <c r="M746" s="115"/>
      <c r="N746" s="115"/>
      <c r="O746" s="115"/>
      <c r="P746" s="9"/>
      <c r="Q746" s="9"/>
      <c r="R746" s="9"/>
      <c r="S746" s="9"/>
      <c r="T746" s="9"/>
      <c r="U746" s="9"/>
      <c r="V746" s="9"/>
      <c r="W746" s="10"/>
      <c r="X746" s="10"/>
      <c r="Y746" s="10"/>
      <c r="Z746" s="10"/>
    </row>
    <row r="747">
      <c r="A747" s="9"/>
      <c r="B747" s="9"/>
      <c r="C747" s="9"/>
      <c r="D747" s="9"/>
      <c r="E747" s="9"/>
      <c r="F747" s="9"/>
      <c r="G747" s="9"/>
      <c r="H747" s="9"/>
      <c r="I747" s="9"/>
      <c r="J747" s="9"/>
      <c r="K747" s="9"/>
      <c r="L747" s="115"/>
      <c r="M747" s="115"/>
      <c r="N747" s="115"/>
      <c r="O747" s="115"/>
      <c r="P747" s="9"/>
      <c r="Q747" s="9"/>
      <c r="R747" s="9"/>
      <c r="S747" s="9"/>
      <c r="T747" s="9"/>
      <c r="U747" s="9"/>
      <c r="V747" s="9"/>
      <c r="W747" s="10"/>
      <c r="X747" s="10"/>
      <c r="Y747" s="10"/>
      <c r="Z747" s="10"/>
    </row>
    <row r="748">
      <c r="A748" s="9"/>
      <c r="B748" s="9"/>
      <c r="C748" s="9"/>
      <c r="D748" s="9"/>
      <c r="E748" s="9"/>
      <c r="F748" s="9"/>
      <c r="G748" s="9"/>
      <c r="H748" s="9"/>
      <c r="I748" s="9"/>
      <c r="J748" s="9"/>
      <c r="K748" s="9"/>
      <c r="L748" s="115"/>
      <c r="M748" s="115"/>
      <c r="N748" s="115"/>
      <c r="O748" s="115"/>
      <c r="P748" s="9"/>
      <c r="Q748" s="9"/>
      <c r="R748" s="9"/>
      <c r="S748" s="9"/>
      <c r="T748" s="9"/>
      <c r="U748" s="9"/>
      <c r="V748" s="9"/>
      <c r="W748" s="10"/>
      <c r="X748" s="10"/>
      <c r="Y748" s="10"/>
      <c r="Z748" s="10"/>
    </row>
    <row r="749">
      <c r="A749" s="9"/>
      <c r="B749" s="9"/>
      <c r="C749" s="9"/>
      <c r="D749" s="9"/>
      <c r="E749" s="9"/>
      <c r="F749" s="9"/>
      <c r="G749" s="9"/>
      <c r="H749" s="9"/>
      <c r="I749" s="9"/>
      <c r="J749" s="9"/>
      <c r="K749" s="9"/>
      <c r="L749" s="115"/>
      <c r="M749" s="115"/>
      <c r="N749" s="115"/>
      <c r="O749" s="115"/>
      <c r="P749" s="9"/>
      <c r="Q749" s="9"/>
      <c r="R749" s="9"/>
      <c r="S749" s="9"/>
      <c r="T749" s="9"/>
      <c r="U749" s="9"/>
      <c r="V749" s="9"/>
      <c r="W749" s="10"/>
      <c r="X749" s="10"/>
      <c r="Y749" s="10"/>
      <c r="Z749" s="10"/>
    </row>
    <row r="750">
      <c r="A750" s="9"/>
      <c r="B750" s="9"/>
      <c r="C750" s="9"/>
      <c r="D750" s="9"/>
      <c r="E750" s="9"/>
      <c r="F750" s="9"/>
      <c r="G750" s="9"/>
      <c r="H750" s="9"/>
      <c r="I750" s="9"/>
      <c r="J750" s="9"/>
      <c r="K750" s="9"/>
      <c r="L750" s="115"/>
      <c r="M750" s="115"/>
      <c r="N750" s="115"/>
      <c r="O750" s="115"/>
      <c r="P750" s="9"/>
      <c r="Q750" s="9"/>
      <c r="R750" s="9"/>
      <c r="S750" s="9"/>
      <c r="T750" s="9"/>
      <c r="U750" s="9"/>
      <c r="V750" s="9"/>
      <c r="W750" s="10"/>
      <c r="X750" s="10"/>
      <c r="Y750" s="10"/>
      <c r="Z750" s="10"/>
    </row>
    <row r="751">
      <c r="A751" s="9"/>
      <c r="B751" s="9"/>
      <c r="C751" s="9"/>
      <c r="D751" s="9"/>
      <c r="E751" s="9"/>
      <c r="F751" s="9"/>
      <c r="G751" s="9"/>
      <c r="H751" s="9"/>
      <c r="I751" s="9"/>
      <c r="J751" s="9"/>
      <c r="K751" s="9"/>
      <c r="L751" s="115"/>
      <c r="M751" s="115"/>
      <c r="N751" s="115"/>
      <c r="O751" s="115"/>
      <c r="P751" s="9"/>
      <c r="Q751" s="9"/>
      <c r="R751" s="9"/>
      <c r="S751" s="9"/>
      <c r="T751" s="9"/>
      <c r="U751" s="9"/>
      <c r="V751" s="9"/>
      <c r="W751" s="10"/>
      <c r="X751" s="10"/>
      <c r="Y751" s="10"/>
      <c r="Z751" s="10"/>
    </row>
    <row r="752">
      <c r="A752" s="9"/>
      <c r="B752" s="9"/>
      <c r="C752" s="9"/>
      <c r="D752" s="9"/>
      <c r="E752" s="9"/>
      <c r="F752" s="9"/>
      <c r="G752" s="9"/>
      <c r="H752" s="9"/>
      <c r="I752" s="9"/>
      <c r="J752" s="9"/>
      <c r="K752" s="9"/>
      <c r="L752" s="115"/>
      <c r="M752" s="115"/>
      <c r="N752" s="115"/>
      <c r="O752" s="115"/>
      <c r="P752" s="9"/>
      <c r="Q752" s="9"/>
      <c r="R752" s="9"/>
      <c r="S752" s="9"/>
      <c r="T752" s="9"/>
      <c r="U752" s="9"/>
      <c r="V752" s="9"/>
      <c r="W752" s="10"/>
      <c r="X752" s="10"/>
      <c r="Y752" s="10"/>
      <c r="Z752" s="10"/>
    </row>
    <row r="753">
      <c r="A753" s="9"/>
      <c r="B753" s="9"/>
      <c r="C753" s="9"/>
      <c r="D753" s="9"/>
      <c r="E753" s="9"/>
      <c r="F753" s="9"/>
      <c r="G753" s="9"/>
      <c r="H753" s="9"/>
      <c r="I753" s="9"/>
      <c r="J753" s="9"/>
      <c r="K753" s="9"/>
      <c r="L753" s="115"/>
      <c r="M753" s="115"/>
      <c r="N753" s="115"/>
      <c r="O753" s="115"/>
      <c r="P753" s="9"/>
      <c r="Q753" s="9"/>
      <c r="R753" s="9"/>
      <c r="S753" s="9"/>
      <c r="T753" s="9"/>
      <c r="U753" s="9"/>
      <c r="V753" s="9"/>
      <c r="W753" s="10"/>
      <c r="X753" s="10"/>
      <c r="Y753" s="10"/>
      <c r="Z753" s="10"/>
    </row>
    <row r="754">
      <c r="A754" s="9"/>
      <c r="B754" s="9"/>
      <c r="C754" s="9"/>
      <c r="D754" s="9"/>
      <c r="E754" s="9"/>
      <c r="F754" s="9"/>
      <c r="G754" s="9"/>
      <c r="H754" s="9"/>
      <c r="I754" s="9"/>
      <c r="J754" s="9"/>
      <c r="K754" s="9"/>
      <c r="L754" s="115"/>
      <c r="M754" s="115"/>
      <c r="N754" s="115"/>
      <c r="O754" s="115"/>
      <c r="P754" s="9"/>
      <c r="Q754" s="9"/>
      <c r="R754" s="9"/>
      <c r="S754" s="9"/>
      <c r="T754" s="9"/>
      <c r="U754" s="9"/>
      <c r="V754" s="9"/>
      <c r="W754" s="10"/>
      <c r="X754" s="10"/>
      <c r="Y754" s="10"/>
      <c r="Z754" s="10"/>
    </row>
    <row r="755">
      <c r="A755" s="9"/>
      <c r="B755" s="9"/>
      <c r="C755" s="9"/>
      <c r="D755" s="9"/>
      <c r="E755" s="9"/>
      <c r="F755" s="9"/>
      <c r="G755" s="9"/>
      <c r="H755" s="9"/>
      <c r="I755" s="9"/>
      <c r="J755" s="9"/>
      <c r="K755" s="9"/>
      <c r="L755" s="115"/>
      <c r="M755" s="115"/>
      <c r="N755" s="115"/>
      <c r="O755" s="115"/>
      <c r="P755" s="9"/>
      <c r="Q755" s="9"/>
      <c r="R755" s="9"/>
      <c r="S755" s="9"/>
      <c r="T755" s="9"/>
      <c r="U755" s="9"/>
      <c r="V755" s="9"/>
      <c r="W755" s="10"/>
      <c r="X755" s="10"/>
      <c r="Y755" s="10"/>
      <c r="Z755" s="10"/>
    </row>
    <row r="756">
      <c r="A756" s="9"/>
      <c r="B756" s="9"/>
      <c r="C756" s="9"/>
      <c r="D756" s="9"/>
      <c r="E756" s="9"/>
      <c r="F756" s="9"/>
      <c r="G756" s="9"/>
      <c r="H756" s="9"/>
      <c r="I756" s="9"/>
      <c r="J756" s="9"/>
      <c r="K756" s="9"/>
      <c r="L756" s="115"/>
      <c r="M756" s="115"/>
      <c r="N756" s="115"/>
      <c r="O756" s="115"/>
      <c r="P756" s="9"/>
      <c r="Q756" s="9"/>
      <c r="R756" s="9"/>
      <c r="S756" s="9"/>
      <c r="T756" s="9"/>
      <c r="U756" s="9"/>
      <c r="V756" s="9"/>
      <c r="W756" s="10"/>
      <c r="X756" s="10"/>
      <c r="Y756" s="10"/>
      <c r="Z756" s="10"/>
    </row>
    <row r="757">
      <c r="A757" s="9"/>
      <c r="B757" s="9"/>
      <c r="C757" s="9"/>
      <c r="D757" s="9"/>
      <c r="E757" s="9"/>
      <c r="F757" s="9"/>
      <c r="G757" s="9"/>
      <c r="H757" s="9"/>
      <c r="I757" s="9"/>
      <c r="J757" s="9"/>
      <c r="K757" s="9"/>
      <c r="L757" s="115"/>
      <c r="M757" s="115"/>
      <c r="N757" s="115"/>
      <c r="O757" s="115"/>
      <c r="P757" s="9"/>
      <c r="Q757" s="9"/>
      <c r="R757" s="9"/>
      <c r="S757" s="9"/>
      <c r="T757" s="9"/>
      <c r="U757" s="9"/>
      <c r="V757" s="9"/>
      <c r="W757" s="10"/>
      <c r="X757" s="10"/>
      <c r="Y757" s="10"/>
      <c r="Z757" s="10"/>
    </row>
    <row r="758">
      <c r="A758" s="9"/>
      <c r="B758" s="9"/>
      <c r="C758" s="9"/>
      <c r="D758" s="9"/>
      <c r="E758" s="9"/>
      <c r="F758" s="9"/>
      <c r="G758" s="9"/>
      <c r="H758" s="9"/>
      <c r="I758" s="9"/>
      <c r="J758" s="9"/>
      <c r="K758" s="9"/>
      <c r="L758" s="115"/>
      <c r="M758" s="115"/>
      <c r="N758" s="115"/>
      <c r="O758" s="115"/>
      <c r="P758" s="9"/>
      <c r="Q758" s="9"/>
      <c r="R758" s="9"/>
      <c r="S758" s="9"/>
      <c r="T758" s="9"/>
      <c r="U758" s="9"/>
      <c r="V758" s="9"/>
      <c r="W758" s="10"/>
      <c r="X758" s="10"/>
      <c r="Y758" s="10"/>
      <c r="Z758" s="10"/>
    </row>
    <row r="759">
      <c r="A759" s="9"/>
      <c r="B759" s="9"/>
      <c r="C759" s="9"/>
      <c r="D759" s="9"/>
      <c r="E759" s="9"/>
      <c r="F759" s="9"/>
      <c r="G759" s="9"/>
      <c r="H759" s="9"/>
      <c r="I759" s="9"/>
      <c r="J759" s="9"/>
      <c r="K759" s="9"/>
      <c r="L759" s="115"/>
      <c r="M759" s="115"/>
      <c r="N759" s="115"/>
      <c r="O759" s="115"/>
      <c r="P759" s="9"/>
      <c r="Q759" s="9"/>
      <c r="R759" s="9"/>
      <c r="S759" s="9"/>
      <c r="T759" s="9"/>
      <c r="U759" s="9"/>
      <c r="V759" s="9"/>
      <c r="W759" s="10"/>
      <c r="X759" s="10"/>
      <c r="Y759" s="10"/>
      <c r="Z759" s="10"/>
    </row>
    <row r="760">
      <c r="A760" s="9"/>
      <c r="B760" s="9"/>
      <c r="C760" s="9"/>
      <c r="D760" s="9"/>
      <c r="E760" s="9"/>
      <c r="F760" s="9"/>
      <c r="G760" s="9"/>
      <c r="H760" s="9"/>
      <c r="I760" s="9"/>
      <c r="J760" s="9"/>
      <c r="K760" s="9"/>
      <c r="L760" s="115"/>
      <c r="M760" s="115"/>
      <c r="N760" s="115"/>
      <c r="O760" s="115"/>
      <c r="P760" s="9"/>
      <c r="Q760" s="9"/>
      <c r="R760" s="9"/>
      <c r="S760" s="9"/>
      <c r="T760" s="9"/>
      <c r="U760" s="9"/>
      <c r="V760" s="9"/>
      <c r="W760" s="10"/>
      <c r="X760" s="10"/>
      <c r="Y760" s="10"/>
      <c r="Z760" s="10"/>
    </row>
    <row r="761">
      <c r="A761" s="9"/>
      <c r="B761" s="9"/>
      <c r="C761" s="9"/>
      <c r="D761" s="9"/>
      <c r="E761" s="9"/>
      <c r="F761" s="9"/>
      <c r="G761" s="9"/>
      <c r="H761" s="9"/>
      <c r="I761" s="9"/>
      <c r="J761" s="9"/>
      <c r="K761" s="9"/>
      <c r="L761" s="115"/>
      <c r="M761" s="115"/>
      <c r="N761" s="115"/>
      <c r="O761" s="115"/>
      <c r="P761" s="9"/>
      <c r="Q761" s="9"/>
      <c r="R761" s="9"/>
      <c r="S761" s="9"/>
      <c r="T761" s="9"/>
      <c r="U761" s="9"/>
      <c r="V761" s="9"/>
      <c r="W761" s="10"/>
      <c r="X761" s="10"/>
      <c r="Y761" s="10"/>
      <c r="Z761" s="10"/>
    </row>
    <row r="762">
      <c r="A762" s="9"/>
      <c r="B762" s="9"/>
      <c r="C762" s="9"/>
      <c r="D762" s="9"/>
      <c r="E762" s="9"/>
      <c r="F762" s="9"/>
      <c r="G762" s="9"/>
      <c r="H762" s="9"/>
      <c r="I762" s="9"/>
      <c r="J762" s="9"/>
      <c r="K762" s="9"/>
      <c r="L762" s="115"/>
      <c r="M762" s="115"/>
      <c r="N762" s="115"/>
      <c r="O762" s="115"/>
      <c r="P762" s="9"/>
      <c r="Q762" s="9"/>
      <c r="R762" s="9"/>
      <c r="S762" s="9"/>
      <c r="T762" s="9"/>
      <c r="U762" s="9"/>
      <c r="V762" s="9"/>
      <c r="W762" s="10"/>
      <c r="X762" s="10"/>
      <c r="Y762" s="10"/>
      <c r="Z762" s="10"/>
    </row>
    <row r="763">
      <c r="A763" s="9"/>
      <c r="B763" s="9"/>
      <c r="C763" s="9"/>
      <c r="D763" s="9"/>
      <c r="E763" s="9"/>
      <c r="F763" s="9"/>
      <c r="G763" s="9"/>
      <c r="H763" s="9"/>
      <c r="I763" s="9"/>
      <c r="J763" s="9"/>
      <c r="K763" s="9"/>
      <c r="L763" s="115"/>
      <c r="M763" s="115"/>
      <c r="N763" s="115"/>
      <c r="O763" s="115"/>
      <c r="P763" s="9"/>
      <c r="Q763" s="9"/>
      <c r="R763" s="9"/>
      <c r="S763" s="9"/>
      <c r="T763" s="9"/>
      <c r="U763" s="9"/>
      <c r="V763" s="9"/>
      <c r="W763" s="10"/>
      <c r="X763" s="10"/>
      <c r="Y763" s="10"/>
      <c r="Z763" s="10"/>
    </row>
    <row r="764">
      <c r="A764" s="9"/>
      <c r="B764" s="9"/>
      <c r="C764" s="9"/>
      <c r="D764" s="9"/>
      <c r="E764" s="9"/>
      <c r="F764" s="9"/>
      <c r="G764" s="9"/>
      <c r="H764" s="9"/>
      <c r="I764" s="9"/>
      <c r="J764" s="9"/>
      <c r="K764" s="9"/>
      <c r="L764" s="115"/>
      <c r="M764" s="115"/>
      <c r="N764" s="115"/>
      <c r="O764" s="115"/>
      <c r="P764" s="9"/>
      <c r="Q764" s="9"/>
      <c r="R764" s="9"/>
      <c r="S764" s="9"/>
      <c r="T764" s="9"/>
      <c r="U764" s="9"/>
      <c r="V764" s="9"/>
      <c r="W764" s="10"/>
      <c r="X764" s="10"/>
      <c r="Y764" s="10"/>
      <c r="Z764" s="10"/>
    </row>
    <row r="765">
      <c r="A765" s="9"/>
      <c r="B765" s="9"/>
      <c r="C765" s="9"/>
      <c r="D765" s="9"/>
      <c r="E765" s="9"/>
      <c r="F765" s="9"/>
      <c r="G765" s="9"/>
      <c r="H765" s="9"/>
      <c r="I765" s="9"/>
      <c r="J765" s="9"/>
      <c r="K765" s="9"/>
      <c r="L765" s="115"/>
      <c r="M765" s="115"/>
      <c r="N765" s="115"/>
      <c r="O765" s="115"/>
      <c r="P765" s="9"/>
      <c r="Q765" s="9"/>
      <c r="R765" s="9"/>
      <c r="S765" s="9"/>
      <c r="T765" s="9"/>
      <c r="U765" s="9"/>
      <c r="V765" s="9"/>
      <c r="W765" s="10"/>
      <c r="X765" s="10"/>
      <c r="Y765" s="10"/>
      <c r="Z765" s="10"/>
    </row>
    <row r="766">
      <c r="A766" s="9"/>
      <c r="B766" s="9"/>
      <c r="C766" s="9"/>
      <c r="D766" s="9"/>
      <c r="E766" s="9"/>
      <c r="F766" s="9"/>
      <c r="G766" s="9"/>
      <c r="H766" s="9"/>
      <c r="I766" s="9"/>
      <c r="J766" s="9"/>
      <c r="K766" s="9"/>
      <c r="L766" s="115"/>
      <c r="M766" s="115"/>
      <c r="N766" s="115"/>
      <c r="O766" s="115"/>
      <c r="P766" s="9"/>
      <c r="Q766" s="9"/>
      <c r="R766" s="9"/>
      <c r="S766" s="9"/>
      <c r="T766" s="9"/>
      <c r="U766" s="9"/>
      <c r="V766" s="9"/>
      <c r="W766" s="10"/>
      <c r="X766" s="10"/>
      <c r="Y766" s="10"/>
      <c r="Z766" s="10"/>
    </row>
    <row r="767">
      <c r="A767" s="9"/>
      <c r="B767" s="9"/>
      <c r="C767" s="9"/>
      <c r="D767" s="9"/>
      <c r="E767" s="9"/>
      <c r="F767" s="9"/>
      <c r="G767" s="9"/>
      <c r="H767" s="9"/>
      <c r="I767" s="9"/>
      <c r="J767" s="9"/>
      <c r="K767" s="9"/>
      <c r="L767" s="115"/>
      <c r="M767" s="115"/>
      <c r="N767" s="115"/>
      <c r="O767" s="115"/>
      <c r="P767" s="9"/>
      <c r="Q767" s="9"/>
      <c r="R767" s="9"/>
      <c r="S767" s="9"/>
      <c r="T767" s="9"/>
      <c r="U767" s="9"/>
      <c r="V767" s="9"/>
      <c r="W767" s="10"/>
      <c r="X767" s="10"/>
      <c r="Y767" s="10"/>
      <c r="Z767" s="10"/>
    </row>
    <row r="768">
      <c r="A768" s="9"/>
      <c r="B768" s="9"/>
      <c r="C768" s="9"/>
      <c r="D768" s="9"/>
      <c r="E768" s="9"/>
      <c r="F768" s="9"/>
      <c r="G768" s="9"/>
      <c r="H768" s="9"/>
      <c r="I768" s="9"/>
      <c r="J768" s="9"/>
      <c r="K768" s="9"/>
      <c r="L768" s="115"/>
      <c r="M768" s="115"/>
      <c r="N768" s="115"/>
      <c r="O768" s="115"/>
      <c r="P768" s="9"/>
      <c r="Q768" s="9"/>
      <c r="R768" s="9"/>
      <c r="S768" s="9"/>
      <c r="T768" s="9"/>
      <c r="U768" s="9"/>
      <c r="V768" s="9"/>
      <c r="W768" s="10"/>
      <c r="X768" s="10"/>
      <c r="Y768" s="10"/>
      <c r="Z768" s="10"/>
    </row>
    <row r="769">
      <c r="A769" s="9"/>
      <c r="B769" s="9"/>
      <c r="C769" s="9"/>
      <c r="D769" s="9"/>
      <c r="E769" s="9"/>
      <c r="F769" s="9"/>
      <c r="G769" s="9"/>
      <c r="H769" s="9"/>
      <c r="I769" s="9"/>
      <c r="J769" s="9"/>
      <c r="K769" s="9"/>
      <c r="L769" s="115"/>
      <c r="M769" s="115"/>
      <c r="N769" s="115"/>
      <c r="O769" s="115"/>
      <c r="P769" s="9"/>
      <c r="Q769" s="9"/>
      <c r="R769" s="9"/>
      <c r="S769" s="9"/>
      <c r="T769" s="9"/>
      <c r="U769" s="9"/>
      <c r="V769" s="9"/>
      <c r="W769" s="10"/>
      <c r="X769" s="10"/>
      <c r="Y769" s="10"/>
      <c r="Z769" s="10"/>
    </row>
    <row r="770">
      <c r="A770" s="9"/>
      <c r="B770" s="9"/>
      <c r="C770" s="9"/>
      <c r="D770" s="9"/>
      <c r="E770" s="9"/>
      <c r="F770" s="9"/>
      <c r="G770" s="9"/>
      <c r="H770" s="9"/>
      <c r="I770" s="9"/>
      <c r="J770" s="9"/>
      <c r="K770" s="9"/>
      <c r="L770" s="115"/>
      <c r="M770" s="115"/>
      <c r="N770" s="115"/>
      <c r="O770" s="115"/>
      <c r="P770" s="9"/>
      <c r="Q770" s="9"/>
      <c r="R770" s="9"/>
      <c r="S770" s="9"/>
      <c r="T770" s="9"/>
      <c r="U770" s="9"/>
      <c r="V770" s="9"/>
      <c r="W770" s="10"/>
      <c r="X770" s="10"/>
      <c r="Y770" s="10"/>
      <c r="Z770" s="10"/>
    </row>
    <row r="771">
      <c r="A771" s="9"/>
      <c r="B771" s="9"/>
      <c r="C771" s="9"/>
      <c r="D771" s="9"/>
      <c r="E771" s="9"/>
      <c r="F771" s="9"/>
      <c r="G771" s="9"/>
      <c r="H771" s="9"/>
      <c r="I771" s="9"/>
      <c r="J771" s="9"/>
      <c r="K771" s="9"/>
      <c r="L771" s="115"/>
      <c r="M771" s="115"/>
      <c r="N771" s="115"/>
      <c r="O771" s="115"/>
      <c r="P771" s="9"/>
      <c r="Q771" s="9"/>
      <c r="R771" s="9"/>
      <c r="S771" s="9"/>
      <c r="T771" s="9"/>
      <c r="U771" s="9"/>
      <c r="V771" s="9"/>
      <c r="W771" s="10"/>
      <c r="X771" s="10"/>
      <c r="Y771" s="10"/>
      <c r="Z771" s="10"/>
    </row>
    <row r="772">
      <c r="A772" s="9"/>
      <c r="B772" s="9"/>
      <c r="C772" s="9"/>
      <c r="D772" s="9"/>
      <c r="E772" s="9"/>
      <c r="F772" s="9"/>
      <c r="G772" s="9"/>
      <c r="H772" s="9"/>
      <c r="I772" s="9"/>
      <c r="J772" s="9"/>
      <c r="K772" s="9"/>
      <c r="L772" s="115"/>
      <c r="M772" s="115"/>
      <c r="N772" s="115"/>
      <c r="O772" s="115"/>
      <c r="P772" s="9"/>
      <c r="Q772" s="9"/>
      <c r="R772" s="9"/>
      <c r="S772" s="9"/>
      <c r="T772" s="9"/>
      <c r="U772" s="9"/>
      <c r="V772" s="9"/>
      <c r="W772" s="10"/>
      <c r="X772" s="10"/>
      <c r="Y772" s="10"/>
      <c r="Z772" s="10"/>
    </row>
    <row r="773">
      <c r="A773" s="9"/>
      <c r="B773" s="9"/>
      <c r="C773" s="9"/>
      <c r="D773" s="9"/>
      <c r="E773" s="9"/>
      <c r="F773" s="9"/>
      <c r="G773" s="9"/>
      <c r="H773" s="9"/>
      <c r="I773" s="9"/>
      <c r="J773" s="9"/>
      <c r="K773" s="9"/>
      <c r="L773" s="115"/>
      <c r="M773" s="115"/>
      <c r="N773" s="115"/>
      <c r="O773" s="115"/>
      <c r="P773" s="9"/>
      <c r="Q773" s="9"/>
      <c r="R773" s="9"/>
      <c r="S773" s="9"/>
      <c r="T773" s="9"/>
      <c r="U773" s="9"/>
      <c r="V773" s="9"/>
      <c r="W773" s="10"/>
      <c r="X773" s="10"/>
      <c r="Y773" s="10"/>
      <c r="Z773" s="10"/>
    </row>
    <row r="774">
      <c r="A774" s="9"/>
      <c r="B774" s="9"/>
      <c r="C774" s="9"/>
      <c r="D774" s="9"/>
      <c r="E774" s="9"/>
      <c r="F774" s="9"/>
      <c r="G774" s="9"/>
      <c r="H774" s="9"/>
      <c r="I774" s="9"/>
      <c r="J774" s="9"/>
      <c r="K774" s="9"/>
      <c r="L774" s="115"/>
      <c r="M774" s="115"/>
      <c r="N774" s="115"/>
      <c r="O774" s="115"/>
      <c r="P774" s="9"/>
      <c r="Q774" s="9"/>
      <c r="R774" s="9"/>
      <c r="S774" s="9"/>
      <c r="T774" s="9"/>
      <c r="U774" s="9"/>
      <c r="V774" s="9"/>
      <c r="W774" s="10"/>
      <c r="X774" s="10"/>
      <c r="Y774" s="10"/>
      <c r="Z774" s="10"/>
    </row>
    <row r="775">
      <c r="A775" s="9"/>
      <c r="B775" s="9"/>
      <c r="C775" s="9"/>
      <c r="D775" s="9"/>
      <c r="E775" s="9"/>
      <c r="F775" s="9"/>
      <c r="G775" s="9"/>
      <c r="H775" s="9"/>
      <c r="I775" s="9"/>
      <c r="J775" s="9"/>
      <c r="K775" s="9"/>
      <c r="L775" s="115"/>
      <c r="M775" s="115"/>
      <c r="N775" s="115"/>
      <c r="O775" s="115"/>
      <c r="P775" s="9"/>
      <c r="Q775" s="9"/>
      <c r="R775" s="9"/>
      <c r="S775" s="9"/>
      <c r="T775" s="9"/>
      <c r="U775" s="9"/>
      <c r="V775" s="9"/>
      <c r="W775" s="10"/>
      <c r="X775" s="10"/>
      <c r="Y775" s="10"/>
      <c r="Z775" s="10"/>
    </row>
    <row r="776">
      <c r="A776" s="9"/>
      <c r="B776" s="9"/>
      <c r="C776" s="9"/>
      <c r="D776" s="9"/>
      <c r="E776" s="9"/>
      <c r="F776" s="9"/>
      <c r="G776" s="9"/>
      <c r="H776" s="9"/>
      <c r="I776" s="9"/>
      <c r="J776" s="9"/>
      <c r="K776" s="9"/>
      <c r="L776" s="115"/>
      <c r="M776" s="115"/>
      <c r="N776" s="115"/>
      <c r="O776" s="115"/>
      <c r="P776" s="9"/>
      <c r="Q776" s="9"/>
      <c r="R776" s="9"/>
      <c r="S776" s="9"/>
      <c r="T776" s="9"/>
      <c r="U776" s="9"/>
      <c r="V776" s="9"/>
      <c r="W776" s="10"/>
      <c r="X776" s="10"/>
      <c r="Y776" s="10"/>
      <c r="Z776" s="10"/>
    </row>
    <row r="777">
      <c r="A777" s="9"/>
      <c r="B777" s="9"/>
      <c r="C777" s="9"/>
      <c r="D777" s="9"/>
      <c r="E777" s="9"/>
      <c r="F777" s="9"/>
      <c r="G777" s="9"/>
      <c r="H777" s="9"/>
      <c r="I777" s="9"/>
      <c r="J777" s="9"/>
      <c r="K777" s="9"/>
      <c r="L777" s="115"/>
      <c r="M777" s="115"/>
      <c r="N777" s="115"/>
      <c r="O777" s="115"/>
      <c r="P777" s="9"/>
      <c r="Q777" s="9"/>
      <c r="R777" s="9"/>
      <c r="S777" s="9"/>
      <c r="T777" s="9"/>
      <c r="U777" s="9"/>
      <c r="V777" s="9"/>
      <c r="W777" s="10"/>
      <c r="X777" s="10"/>
      <c r="Y777" s="10"/>
      <c r="Z777" s="10"/>
    </row>
    <row r="778">
      <c r="A778" s="9"/>
      <c r="B778" s="9"/>
      <c r="C778" s="9"/>
      <c r="D778" s="9"/>
      <c r="E778" s="9"/>
      <c r="F778" s="9"/>
      <c r="G778" s="9"/>
      <c r="H778" s="9"/>
      <c r="I778" s="9"/>
      <c r="J778" s="9"/>
      <c r="K778" s="9"/>
      <c r="L778" s="115"/>
      <c r="M778" s="115"/>
      <c r="N778" s="115"/>
      <c r="O778" s="115"/>
      <c r="P778" s="9"/>
      <c r="Q778" s="9"/>
      <c r="R778" s="9"/>
      <c r="S778" s="9"/>
      <c r="T778" s="9"/>
      <c r="U778" s="9"/>
      <c r="V778" s="9"/>
      <c r="W778" s="10"/>
      <c r="X778" s="10"/>
      <c r="Y778" s="10"/>
      <c r="Z778" s="10"/>
    </row>
    <row r="779">
      <c r="A779" s="9"/>
      <c r="B779" s="9"/>
      <c r="C779" s="9"/>
      <c r="D779" s="9"/>
      <c r="E779" s="9"/>
      <c r="F779" s="9"/>
      <c r="G779" s="9"/>
      <c r="H779" s="9"/>
      <c r="I779" s="9"/>
      <c r="J779" s="9"/>
      <c r="K779" s="9"/>
      <c r="L779" s="115"/>
      <c r="M779" s="115"/>
      <c r="N779" s="115"/>
      <c r="O779" s="115"/>
      <c r="P779" s="9"/>
      <c r="Q779" s="9"/>
      <c r="R779" s="9"/>
      <c r="S779" s="9"/>
      <c r="T779" s="9"/>
      <c r="U779" s="9"/>
      <c r="V779" s="9"/>
      <c r="W779" s="10"/>
      <c r="X779" s="10"/>
      <c r="Y779" s="10"/>
      <c r="Z779" s="10"/>
    </row>
    <row r="780">
      <c r="A780" s="9"/>
      <c r="B780" s="9"/>
      <c r="C780" s="9"/>
      <c r="D780" s="9"/>
      <c r="E780" s="9"/>
      <c r="F780" s="9"/>
      <c r="G780" s="9"/>
      <c r="H780" s="9"/>
      <c r="I780" s="9"/>
      <c r="J780" s="9"/>
      <c r="K780" s="9"/>
      <c r="L780" s="115"/>
      <c r="M780" s="115"/>
      <c r="N780" s="115"/>
      <c r="O780" s="115"/>
      <c r="P780" s="9"/>
      <c r="Q780" s="9"/>
      <c r="R780" s="9"/>
      <c r="S780" s="9"/>
      <c r="T780" s="9"/>
      <c r="U780" s="9"/>
      <c r="V780" s="9"/>
      <c r="W780" s="10"/>
      <c r="X780" s="10"/>
      <c r="Y780" s="10"/>
      <c r="Z780" s="10"/>
    </row>
    <row r="781">
      <c r="A781" s="9"/>
      <c r="B781" s="9"/>
      <c r="C781" s="9"/>
      <c r="D781" s="9"/>
      <c r="E781" s="9"/>
      <c r="F781" s="9"/>
      <c r="G781" s="9"/>
      <c r="H781" s="9"/>
      <c r="I781" s="9"/>
      <c r="J781" s="9"/>
      <c r="K781" s="9"/>
      <c r="L781" s="115"/>
      <c r="M781" s="115"/>
      <c r="N781" s="115"/>
      <c r="O781" s="115"/>
      <c r="P781" s="9"/>
      <c r="Q781" s="9"/>
      <c r="R781" s="9"/>
      <c r="S781" s="9"/>
      <c r="T781" s="9"/>
      <c r="U781" s="9"/>
      <c r="V781" s="9"/>
      <c r="W781" s="10"/>
      <c r="X781" s="10"/>
      <c r="Y781" s="10"/>
      <c r="Z781" s="10"/>
    </row>
    <row r="782">
      <c r="A782" s="9"/>
      <c r="B782" s="9"/>
      <c r="C782" s="9"/>
      <c r="D782" s="9"/>
      <c r="E782" s="9"/>
      <c r="F782" s="9"/>
      <c r="G782" s="9"/>
      <c r="H782" s="9"/>
      <c r="I782" s="9"/>
      <c r="J782" s="9"/>
      <c r="K782" s="9"/>
      <c r="L782" s="115"/>
      <c r="M782" s="115"/>
      <c r="N782" s="115"/>
      <c r="O782" s="115"/>
      <c r="P782" s="9"/>
      <c r="Q782" s="9"/>
      <c r="R782" s="9"/>
      <c r="S782" s="9"/>
      <c r="T782" s="9"/>
      <c r="U782" s="9"/>
      <c r="V782" s="9"/>
      <c r="W782" s="10"/>
      <c r="X782" s="10"/>
      <c r="Y782" s="10"/>
      <c r="Z782" s="10"/>
    </row>
    <row r="783">
      <c r="A783" s="9"/>
      <c r="B783" s="9"/>
      <c r="C783" s="9"/>
      <c r="D783" s="9"/>
      <c r="E783" s="9"/>
      <c r="F783" s="9"/>
      <c r="G783" s="9"/>
      <c r="H783" s="9"/>
      <c r="I783" s="9"/>
      <c r="J783" s="9"/>
      <c r="K783" s="9"/>
      <c r="L783" s="115"/>
      <c r="M783" s="115"/>
      <c r="N783" s="115"/>
      <c r="O783" s="115"/>
      <c r="P783" s="9"/>
      <c r="Q783" s="9"/>
      <c r="R783" s="9"/>
      <c r="S783" s="9"/>
      <c r="T783" s="9"/>
      <c r="U783" s="9"/>
      <c r="V783" s="9"/>
      <c r="W783" s="10"/>
      <c r="X783" s="10"/>
      <c r="Y783" s="10"/>
      <c r="Z783" s="10"/>
    </row>
    <row r="784">
      <c r="A784" s="9"/>
      <c r="B784" s="9"/>
      <c r="C784" s="9"/>
      <c r="D784" s="9"/>
      <c r="E784" s="9"/>
      <c r="F784" s="9"/>
      <c r="G784" s="9"/>
      <c r="H784" s="9"/>
      <c r="I784" s="9"/>
      <c r="J784" s="9"/>
      <c r="K784" s="9"/>
      <c r="L784" s="115"/>
      <c r="M784" s="115"/>
      <c r="N784" s="115"/>
      <c r="O784" s="115"/>
      <c r="P784" s="9"/>
      <c r="Q784" s="9"/>
      <c r="R784" s="9"/>
      <c r="S784" s="9"/>
      <c r="T784" s="9"/>
      <c r="U784" s="9"/>
      <c r="V784" s="9"/>
      <c r="W784" s="10"/>
      <c r="X784" s="10"/>
      <c r="Y784" s="10"/>
      <c r="Z784" s="10"/>
    </row>
    <row r="785">
      <c r="A785" s="9"/>
      <c r="B785" s="9"/>
      <c r="C785" s="9"/>
      <c r="D785" s="9"/>
      <c r="E785" s="9"/>
      <c r="F785" s="9"/>
      <c r="G785" s="9"/>
      <c r="H785" s="9"/>
      <c r="I785" s="9"/>
      <c r="J785" s="9"/>
      <c r="K785" s="9"/>
      <c r="L785" s="115"/>
      <c r="M785" s="115"/>
      <c r="N785" s="115"/>
      <c r="O785" s="115"/>
      <c r="P785" s="9"/>
      <c r="Q785" s="9"/>
      <c r="R785" s="9"/>
      <c r="S785" s="9"/>
      <c r="T785" s="9"/>
      <c r="U785" s="9"/>
      <c r="V785" s="9"/>
      <c r="W785" s="10"/>
      <c r="X785" s="10"/>
      <c r="Y785" s="10"/>
      <c r="Z785" s="10"/>
    </row>
    <row r="786">
      <c r="A786" s="9"/>
      <c r="B786" s="9"/>
      <c r="C786" s="9"/>
      <c r="D786" s="9"/>
      <c r="E786" s="9"/>
      <c r="F786" s="9"/>
      <c r="G786" s="9"/>
      <c r="H786" s="9"/>
      <c r="I786" s="9"/>
      <c r="J786" s="9"/>
      <c r="K786" s="9"/>
      <c r="L786" s="115"/>
      <c r="M786" s="115"/>
      <c r="N786" s="115"/>
      <c r="O786" s="115"/>
      <c r="P786" s="9"/>
      <c r="Q786" s="9"/>
      <c r="R786" s="9"/>
      <c r="S786" s="9"/>
      <c r="T786" s="9"/>
      <c r="U786" s="9"/>
      <c r="V786" s="9"/>
      <c r="W786" s="10"/>
      <c r="X786" s="10"/>
      <c r="Y786" s="10"/>
      <c r="Z786" s="10"/>
    </row>
    <row r="787">
      <c r="A787" s="9"/>
      <c r="B787" s="9"/>
      <c r="C787" s="9"/>
      <c r="D787" s="9"/>
      <c r="E787" s="9"/>
      <c r="F787" s="9"/>
      <c r="G787" s="9"/>
      <c r="H787" s="9"/>
      <c r="I787" s="9"/>
      <c r="J787" s="9"/>
      <c r="K787" s="9"/>
      <c r="L787" s="115"/>
      <c r="M787" s="115"/>
      <c r="N787" s="115"/>
      <c r="O787" s="115"/>
      <c r="P787" s="9"/>
      <c r="Q787" s="9"/>
      <c r="R787" s="9"/>
      <c r="S787" s="9"/>
      <c r="T787" s="9"/>
      <c r="U787" s="9"/>
      <c r="V787" s="9"/>
      <c r="W787" s="10"/>
      <c r="X787" s="10"/>
      <c r="Y787" s="10"/>
      <c r="Z787" s="10"/>
    </row>
    <row r="788">
      <c r="A788" s="9"/>
      <c r="B788" s="9"/>
      <c r="C788" s="9"/>
      <c r="D788" s="9"/>
      <c r="E788" s="9"/>
      <c r="F788" s="9"/>
      <c r="G788" s="9"/>
      <c r="H788" s="9"/>
      <c r="I788" s="9"/>
      <c r="J788" s="9"/>
      <c r="K788" s="9"/>
      <c r="L788" s="115"/>
      <c r="M788" s="115"/>
      <c r="N788" s="115"/>
      <c r="O788" s="115"/>
      <c r="P788" s="9"/>
      <c r="Q788" s="9"/>
      <c r="R788" s="9"/>
      <c r="S788" s="9"/>
      <c r="T788" s="9"/>
      <c r="U788" s="9"/>
      <c r="V788" s="9"/>
      <c r="W788" s="10"/>
      <c r="X788" s="10"/>
      <c r="Y788" s="10"/>
      <c r="Z788" s="10"/>
    </row>
    <row r="789">
      <c r="A789" s="9"/>
      <c r="B789" s="9"/>
      <c r="C789" s="9"/>
      <c r="D789" s="9"/>
      <c r="E789" s="9"/>
      <c r="F789" s="9"/>
      <c r="G789" s="9"/>
      <c r="H789" s="9"/>
      <c r="I789" s="9"/>
      <c r="J789" s="9"/>
      <c r="K789" s="9"/>
      <c r="L789" s="115"/>
      <c r="M789" s="115"/>
      <c r="N789" s="115"/>
      <c r="O789" s="115"/>
      <c r="P789" s="9"/>
      <c r="Q789" s="9"/>
      <c r="R789" s="9"/>
      <c r="S789" s="9"/>
      <c r="T789" s="9"/>
      <c r="U789" s="9"/>
      <c r="V789" s="9"/>
      <c r="W789" s="10"/>
      <c r="X789" s="10"/>
      <c r="Y789" s="10"/>
      <c r="Z789" s="10"/>
    </row>
    <row r="790">
      <c r="A790" s="9"/>
      <c r="B790" s="9"/>
      <c r="C790" s="9"/>
      <c r="D790" s="9"/>
      <c r="E790" s="9"/>
      <c r="F790" s="9"/>
      <c r="G790" s="9"/>
      <c r="H790" s="9"/>
      <c r="I790" s="9"/>
      <c r="J790" s="9"/>
      <c r="K790" s="9"/>
      <c r="L790" s="115"/>
      <c r="M790" s="115"/>
      <c r="N790" s="115"/>
      <c r="O790" s="115"/>
      <c r="P790" s="9"/>
      <c r="Q790" s="9"/>
      <c r="R790" s="9"/>
      <c r="S790" s="9"/>
      <c r="T790" s="9"/>
      <c r="U790" s="9"/>
      <c r="V790" s="9"/>
      <c r="W790" s="10"/>
      <c r="X790" s="10"/>
      <c r="Y790" s="10"/>
      <c r="Z790" s="10"/>
    </row>
    <row r="791">
      <c r="A791" s="9"/>
      <c r="B791" s="9"/>
      <c r="C791" s="9"/>
      <c r="D791" s="9"/>
      <c r="E791" s="9"/>
      <c r="F791" s="9"/>
      <c r="G791" s="9"/>
      <c r="H791" s="9"/>
      <c r="I791" s="9"/>
      <c r="J791" s="9"/>
      <c r="K791" s="9"/>
      <c r="L791" s="115"/>
      <c r="M791" s="115"/>
      <c r="N791" s="115"/>
      <c r="O791" s="115"/>
      <c r="P791" s="9"/>
      <c r="Q791" s="9"/>
      <c r="R791" s="9"/>
      <c r="S791" s="9"/>
      <c r="T791" s="9"/>
      <c r="U791" s="9"/>
      <c r="V791" s="9"/>
      <c r="W791" s="10"/>
      <c r="X791" s="10"/>
      <c r="Y791" s="10"/>
      <c r="Z791" s="10"/>
    </row>
    <row r="792">
      <c r="A792" s="9"/>
      <c r="B792" s="9"/>
      <c r="C792" s="9"/>
      <c r="D792" s="9"/>
      <c r="E792" s="9"/>
      <c r="F792" s="9"/>
      <c r="G792" s="9"/>
      <c r="H792" s="9"/>
      <c r="I792" s="9"/>
      <c r="J792" s="9"/>
      <c r="K792" s="9"/>
      <c r="L792" s="115"/>
      <c r="M792" s="115"/>
      <c r="N792" s="115"/>
      <c r="O792" s="115"/>
      <c r="P792" s="9"/>
      <c r="Q792" s="9"/>
      <c r="R792" s="9"/>
      <c r="S792" s="9"/>
      <c r="T792" s="9"/>
      <c r="U792" s="9"/>
      <c r="V792" s="9"/>
      <c r="W792" s="10"/>
      <c r="X792" s="10"/>
      <c r="Y792" s="10"/>
      <c r="Z792" s="10"/>
    </row>
    <row r="793">
      <c r="A793" s="9"/>
      <c r="B793" s="9"/>
      <c r="C793" s="9"/>
      <c r="D793" s="9"/>
      <c r="E793" s="9"/>
      <c r="F793" s="9"/>
      <c r="G793" s="9"/>
      <c r="H793" s="9"/>
      <c r="I793" s="9"/>
      <c r="J793" s="9"/>
      <c r="K793" s="9"/>
      <c r="L793" s="115"/>
      <c r="M793" s="115"/>
      <c r="N793" s="115"/>
      <c r="O793" s="115"/>
      <c r="P793" s="9"/>
      <c r="Q793" s="9"/>
      <c r="R793" s="9"/>
      <c r="S793" s="9"/>
      <c r="T793" s="9"/>
      <c r="U793" s="9"/>
      <c r="V793" s="9"/>
      <c r="W793" s="10"/>
      <c r="X793" s="10"/>
      <c r="Y793" s="10"/>
      <c r="Z793" s="10"/>
    </row>
    <row r="794">
      <c r="A794" s="9"/>
      <c r="B794" s="9"/>
      <c r="C794" s="9"/>
      <c r="D794" s="9"/>
      <c r="E794" s="9"/>
      <c r="F794" s="9"/>
      <c r="G794" s="9"/>
      <c r="H794" s="9"/>
      <c r="I794" s="9"/>
      <c r="J794" s="9"/>
      <c r="K794" s="9"/>
      <c r="L794" s="115"/>
      <c r="M794" s="115"/>
      <c r="N794" s="115"/>
      <c r="O794" s="115"/>
      <c r="P794" s="9"/>
      <c r="Q794" s="9"/>
      <c r="R794" s="9"/>
      <c r="S794" s="9"/>
      <c r="T794" s="9"/>
      <c r="U794" s="9"/>
      <c r="V794" s="9"/>
      <c r="W794" s="10"/>
      <c r="X794" s="10"/>
      <c r="Y794" s="10"/>
      <c r="Z794" s="10"/>
    </row>
    <row r="795">
      <c r="A795" s="9"/>
      <c r="B795" s="9"/>
      <c r="C795" s="9"/>
      <c r="D795" s="9"/>
      <c r="E795" s="9"/>
      <c r="F795" s="9"/>
      <c r="G795" s="9"/>
      <c r="H795" s="9"/>
      <c r="I795" s="9"/>
      <c r="J795" s="9"/>
      <c r="K795" s="9"/>
      <c r="L795" s="115"/>
      <c r="M795" s="115"/>
      <c r="N795" s="115"/>
      <c r="O795" s="115"/>
      <c r="P795" s="9"/>
      <c r="Q795" s="9"/>
      <c r="R795" s="9"/>
      <c r="S795" s="9"/>
      <c r="T795" s="9"/>
      <c r="U795" s="9"/>
      <c r="V795" s="9"/>
      <c r="W795" s="10"/>
      <c r="X795" s="10"/>
      <c r="Y795" s="10"/>
      <c r="Z795" s="10"/>
    </row>
    <row r="796">
      <c r="A796" s="9"/>
      <c r="B796" s="9"/>
      <c r="C796" s="9"/>
      <c r="D796" s="9"/>
      <c r="E796" s="9"/>
      <c r="F796" s="9"/>
      <c r="G796" s="9"/>
      <c r="H796" s="9"/>
      <c r="I796" s="9"/>
      <c r="J796" s="9"/>
      <c r="K796" s="9"/>
      <c r="L796" s="115"/>
      <c r="M796" s="115"/>
      <c r="N796" s="115"/>
      <c r="O796" s="115"/>
      <c r="P796" s="9"/>
      <c r="Q796" s="9"/>
      <c r="R796" s="9"/>
      <c r="S796" s="9"/>
      <c r="T796" s="9"/>
      <c r="U796" s="9"/>
      <c r="V796" s="9"/>
      <c r="W796" s="10"/>
      <c r="X796" s="10"/>
      <c r="Y796" s="10"/>
      <c r="Z796" s="10"/>
    </row>
    <row r="797">
      <c r="A797" s="9"/>
      <c r="B797" s="9"/>
      <c r="C797" s="9"/>
      <c r="D797" s="9"/>
      <c r="E797" s="9"/>
      <c r="F797" s="9"/>
      <c r="G797" s="9"/>
      <c r="H797" s="9"/>
      <c r="I797" s="9"/>
      <c r="J797" s="9"/>
      <c r="K797" s="9"/>
      <c r="L797" s="115"/>
      <c r="M797" s="115"/>
      <c r="N797" s="115"/>
      <c r="O797" s="115"/>
      <c r="P797" s="9"/>
      <c r="Q797" s="9"/>
      <c r="R797" s="9"/>
      <c r="S797" s="9"/>
      <c r="T797" s="9"/>
      <c r="U797" s="9"/>
      <c r="V797" s="9"/>
      <c r="W797" s="10"/>
      <c r="X797" s="10"/>
      <c r="Y797" s="10"/>
      <c r="Z797" s="10"/>
    </row>
    <row r="798">
      <c r="A798" s="9"/>
      <c r="B798" s="9"/>
      <c r="C798" s="9"/>
      <c r="D798" s="9"/>
      <c r="E798" s="9"/>
      <c r="F798" s="9"/>
      <c r="G798" s="9"/>
      <c r="H798" s="9"/>
      <c r="I798" s="9"/>
      <c r="J798" s="9"/>
      <c r="K798" s="9"/>
      <c r="L798" s="115"/>
      <c r="M798" s="115"/>
      <c r="N798" s="115"/>
      <c r="O798" s="115"/>
      <c r="P798" s="9"/>
      <c r="Q798" s="9"/>
      <c r="R798" s="9"/>
      <c r="S798" s="9"/>
      <c r="T798" s="9"/>
      <c r="U798" s="9"/>
      <c r="V798" s="9"/>
      <c r="W798" s="10"/>
      <c r="X798" s="10"/>
      <c r="Y798" s="10"/>
      <c r="Z798" s="10"/>
    </row>
    <row r="799">
      <c r="A799" s="9"/>
      <c r="B799" s="9"/>
      <c r="C799" s="9"/>
      <c r="D799" s="9"/>
      <c r="E799" s="9"/>
      <c r="F799" s="9"/>
      <c r="G799" s="9"/>
      <c r="H799" s="9"/>
      <c r="I799" s="9"/>
      <c r="J799" s="9"/>
      <c r="K799" s="9"/>
      <c r="L799" s="115"/>
      <c r="M799" s="115"/>
      <c r="N799" s="115"/>
      <c r="O799" s="115"/>
      <c r="P799" s="9"/>
      <c r="Q799" s="9"/>
      <c r="R799" s="9"/>
      <c r="S799" s="9"/>
      <c r="T799" s="9"/>
      <c r="U799" s="9"/>
      <c r="V799" s="9"/>
      <c r="W799" s="10"/>
      <c r="X799" s="10"/>
      <c r="Y799" s="10"/>
      <c r="Z799" s="10"/>
    </row>
    <row r="800">
      <c r="A800" s="9"/>
      <c r="B800" s="9"/>
      <c r="C800" s="9"/>
      <c r="D800" s="9"/>
      <c r="E800" s="9"/>
      <c r="F800" s="9"/>
      <c r="G800" s="9"/>
      <c r="H800" s="9"/>
      <c r="I800" s="9"/>
      <c r="J800" s="9"/>
      <c r="K800" s="9"/>
      <c r="L800" s="115"/>
      <c r="M800" s="115"/>
      <c r="N800" s="115"/>
      <c r="O800" s="115"/>
      <c r="P800" s="9"/>
      <c r="Q800" s="9"/>
      <c r="R800" s="9"/>
      <c r="S800" s="9"/>
      <c r="T800" s="9"/>
      <c r="U800" s="9"/>
      <c r="V800" s="9"/>
      <c r="W800" s="10"/>
      <c r="X800" s="10"/>
      <c r="Y800" s="10"/>
      <c r="Z800" s="10"/>
    </row>
    <row r="801">
      <c r="A801" s="9"/>
      <c r="B801" s="9"/>
      <c r="C801" s="9"/>
      <c r="D801" s="9"/>
      <c r="E801" s="9"/>
      <c r="F801" s="9"/>
      <c r="G801" s="9"/>
      <c r="H801" s="9"/>
      <c r="I801" s="9"/>
      <c r="J801" s="9"/>
      <c r="K801" s="9"/>
      <c r="L801" s="115"/>
      <c r="M801" s="115"/>
      <c r="N801" s="115"/>
      <c r="O801" s="115"/>
      <c r="P801" s="9"/>
      <c r="Q801" s="9"/>
      <c r="R801" s="9"/>
      <c r="S801" s="9"/>
      <c r="T801" s="9"/>
      <c r="U801" s="9"/>
      <c r="V801" s="9"/>
      <c r="W801" s="10"/>
      <c r="X801" s="10"/>
      <c r="Y801" s="10"/>
      <c r="Z801" s="10"/>
    </row>
    <row r="802">
      <c r="A802" s="9"/>
      <c r="B802" s="9"/>
      <c r="C802" s="9"/>
      <c r="D802" s="9"/>
      <c r="E802" s="9"/>
      <c r="F802" s="9"/>
      <c r="G802" s="9"/>
      <c r="H802" s="9"/>
      <c r="I802" s="9"/>
      <c r="J802" s="9"/>
      <c r="K802" s="9"/>
      <c r="L802" s="115"/>
      <c r="M802" s="115"/>
      <c r="N802" s="115"/>
      <c r="O802" s="115"/>
      <c r="P802" s="9"/>
      <c r="Q802" s="9"/>
      <c r="R802" s="9"/>
      <c r="S802" s="9"/>
      <c r="T802" s="9"/>
      <c r="U802" s="9"/>
      <c r="V802" s="9"/>
      <c r="W802" s="10"/>
      <c r="X802" s="10"/>
      <c r="Y802" s="10"/>
      <c r="Z802" s="10"/>
    </row>
    <row r="803">
      <c r="A803" s="9"/>
      <c r="B803" s="9"/>
      <c r="C803" s="9"/>
      <c r="D803" s="9"/>
      <c r="E803" s="9"/>
      <c r="F803" s="9"/>
      <c r="G803" s="9"/>
      <c r="H803" s="9"/>
      <c r="I803" s="9"/>
      <c r="J803" s="9"/>
      <c r="K803" s="9"/>
      <c r="L803" s="115"/>
      <c r="M803" s="115"/>
      <c r="N803" s="115"/>
      <c r="O803" s="115"/>
      <c r="P803" s="9"/>
      <c r="Q803" s="9"/>
      <c r="R803" s="9"/>
      <c r="S803" s="9"/>
      <c r="T803" s="9"/>
      <c r="U803" s="9"/>
      <c r="V803" s="9"/>
      <c r="W803" s="10"/>
      <c r="X803" s="10"/>
      <c r="Y803" s="10"/>
      <c r="Z803" s="10"/>
    </row>
    <row r="804">
      <c r="A804" s="9"/>
      <c r="B804" s="9"/>
      <c r="C804" s="9"/>
      <c r="D804" s="9"/>
      <c r="E804" s="9"/>
      <c r="F804" s="9"/>
      <c r="G804" s="9"/>
      <c r="H804" s="9"/>
      <c r="I804" s="9"/>
      <c r="J804" s="9"/>
      <c r="K804" s="9"/>
      <c r="L804" s="115"/>
      <c r="M804" s="115"/>
      <c r="N804" s="115"/>
      <c r="O804" s="115"/>
      <c r="P804" s="9"/>
      <c r="Q804" s="9"/>
      <c r="R804" s="9"/>
      <c r="S804" s="9"/>
      <c r="T804" s="9"/>
      <c r="U804" s="9"/>
      <c r="V804" s="9"/>
      <c r="W804" s="10"/>
      <c r="X804" s="10"/>
      <c r="Y804" s="10"/>
      <c r="Z804" s="10"/>
    </row>
    <row r="805">
      <c r="A805" s="9"/>
      <c r="B805" s="9"/>
      <c r="C805" s="9"/>
      <c r="D805" s="9"/>
      <c r="E805" s="9"/>
      <c r="F805" s="9"/>
      <c r="G805" s="9"/>
      <c r="H805" s="9"/>
      <c r="I805" s="9"/>
      <c r="J805" s="9"/>
      <c r="K805" s="9"/>
      <c r="L805" s="115"/>
      <c r="M805" s="115"/>
      <c r="N805" s="115"/>
      <c r="O805" s="115"/>
      <c r="P805" s="9"/>
      <c r="Q805" s="9"/>
      <c r="R805" s="9"/>
      <c r="S805" s="9"/>
      <c r="T805" s="9"/>
      <c r="U805" s="9"/>
      <c r="V805" s="9"/>
      <c r="W805" s="10"/>
      <c r="X805" s="10"/>
      <c r="Y805" s="10"/>
      <c r="Z805" s="10"/>
    </row>
    <row r="806">
      <c r="A806" s="9"/>
      <c r="B806" s="9"/>
      <c r="C806" s="9"/>
      <c r="D806" s="9"/>
      <c r="E806" s="9"/>
      <c r="F806" s="9"/>
      <c r="G806" s="9"/>
      <c r="H806" s="9"/>
      <c r="I806" s="9"/>
      <c r="J806" s="9"/>
      <c r="K806" s="9"/>
      <c r="L806" s="115"/>
      <c r="M806" s="115"/>
      <c r="N806" s="115"/>
      <c r="O806" s="115"/>
      <c r="P806" s="9"/>
      <c r="Q806" s="9"/>
      <c r="R806" s="9"/>
      <c r="S806" s="9"/>
      <c r="T806" s="9"/>
      <c r="U806" s="9"/>
      <c r="V806" s="9"/>
      <c r="W806" s="10"/>
      <c r="X806" s="10"/>
      <c r="Y806" s="10"/>
      <c r="Z806" s="10"/>
    </row>
    <row r="807">
      <c r="A807" s="9"/>
      <c r="B807" s="9"/>
      <c r="C807" s="9"/>
      <c r="D807" s="9"/>
      <c r="E807" s="9"/>
      <c r="F807" s="9"/>
      <c r="G807" s="9"/>
      <c r="H807" s="9"/>
      <c r="I807" s="9"/>
      <c r="J807" s="9"/>
      <c r="K807" s="9"/>
      <c r="L807" s="115"/>
      <c r="M807" s="115"/>
      <c r="N807" s="115"/>
      <c r="O807" s="115"/>
      <c r="P807" s="9"/>
      <c r="Q807" s="9"/>
      <c r="R807" s="9"/>
      <c r="S807" s="9"/>
      <c r="T807" s="9"/>
      <c r="U807" s="9"/>
      <c r="V807" s="9"/>
      <c r="W807" s="10"/>
      <c r="X807" s="10"/>
      <c r="Y807" s="10"/>
      <c r="Z807" s="10"/>
    </row>
    <row r="808">
      <c r="A808" s="9"/>
      <c r="B808" s="9"/>
      <c r="C808" s="9"/>
      <c r="D808" s="9"/>
      <c r="E808" s="9"/>
      <c r="F808" s="9"/>
      <c r="G808" s="9"/>
      <c r="H808" s="9"/>
      <c r="I808" s="9"/>
      <c r="J808" s="9"/>
      <c r="K808" s="9"/>
      <c r="L808" s="115"/>
      <c r="M808" s="115"/>
      <c r="N808" s="115"/>
      <c r="O808" s="115"/>
      <c r="P808" s="9"/>
      <c r="Q808" s="9"/>
      <c r="R808" s="9"/>
      <c r="S808" s="9"/>
      <c r="T808" s="9"/>
      <c r="U808" s="9"/>
      <c r="V808" s="9"/>
      <c r="W808" s="10"/>
      <c r="X808" s="10"/>
      <c r="Y808" s="10"/>
      <c r="Z808" s="10"/>
    </row>
    <row r="809">
      <c r="A809" s="9"/>
      <c r="B809" s="9"/>
      <c r="C809" s="9"/>
      <c r="D809" s="9"/>
      <c r="E809" s="9"/>
      <c r="F809" s="9"/>
      <c r="G809" s="9"/>
      <c r="H809" s="9"/>
      <c r="I809" s="9"/>
      <c r="J809" s="9"/>
      <c r="K809" s="9"/>
      <c r="L809" s="115"/>
      <c r="M809" s="115"/>
      <c r="N809" s="115"/>
      <c r="O809" s="115"/>
      <c r="P809" s="9"/>
      <c r="Q809" s="9"/>
      <c r="R809" s="9"/>
      <c r="S809" s="9"/>
      <c r="T809" s="9"/>
      <c r="U809" s="9"/>
      <c r="V809" s="9"/>
      <c r="W809" s="10"/>
      <c r="X809" s="10"/>
      <c r="Y809" s="10"/>
      <c r="Z809" s="10"/>
    </row>
    <row r="810">
      <c r="A810" s="9"/>
      <c r="B810" s="9"/>
      <c r="C810" s="9"/>
      <c r="D810" s="9"/>
      <c r="E810" s="9"/>
      <c r="F810" s="9"/>
      <c r="G810" s="9"/>
      <c r="H810" s="9"/>
      <c r="I810" s="9"/>
      <c r="J810" s="9"/>
      <c r="K810" s="9"/>
      <c r="L810" s="115"/>
      <c r="M810" s="115"/>
      <c r="N810" s="115"/>
      <c r="O810" s="115"/>
      <c r="P810" s="9"/>
      <c r="Q810" s="9"/>
      <c r="R810" s="9"/>
      <c r="S810" s="9"/>
      <c r="T810" s="9"/>
      <c r="U810" s="9"/>
      <c r="V810" s="9"/>
      <c r="W810" s="10"/>
      <c r="X810" s="10"/>
      <c r="Y810" s="10"/>
      <c r="Z810" s="10"/>
    </row>
    <row r="811">
      <c r="A811" s="9"/>
      <c r="B811" s="9"/>
      <c r="C811" s="9"/>
      <c r="D811" s="9"/>
      <c r="E811" s="9"/>
      <c r="F811" s="9"/>
      <c r="G811" s="9"/>
      <c r="H811" s="9"/>
      <c r="I811" s="9"/>
      <c r="J811" s="9"/>
      <c r="K811" s="9"/>
      <c r="L811" s="115"/>
      <c r="M811" s="115"/>
      <c r="N811" s="115"/>
      <c r="O811" s="115"/>
      <c r="P811" s="9"/>
      <c r="Q811" s="9"/>
      <c r="R811" s="9"/>
      <c r="S811" s="9"/>
      <c r="T811" s="9"/>
      <c r="U811" s="9"/>
      <c r="V811" s="9"/>
      <c r="W811" s="10"/>
      <c r="X811" s="10"/>
      <c r="Y811" s="10"/>
      <c r="Z811" s="10"/>
    </row>
    <row r="812">
      <c r="A812" s="9"/>
      <c r="B812" s="9"/>
      <c r="C812" s="9"/>
      <c r="D812" s="9"/>
      <c r="E812" s="9"/>
      <c r="F812" s="9"/>
      <c r="G812" s="9"/>
      <c r="H812" s="9"/>
      <c r="I812" s="9"/>
      <c r="J812" s="9"/>
      <c r="K812" s="9"/>
      <c r="L812" s="115"/>
      <c r="M812" s="115"/>
      <c r="N812" s="115"/>
      <c r="O812" s="115"/>
      <c r="P812" s="9"/>
      <c r="Q812" s="9"/>
      <c r="R812" s="9"/>
      <c r="S812" s="9"/>
      <c r="T812" s="9"/>
      <c r="U812" s="9"/>
      <c r="V812" s="9"/>
      <c r="W812" s="10"/>
      <c r="X812" s="10"/>
      <c r="Y812" s="10"/>
      <c r="Z812" s="10"/>
    </row>
    <row r="813">
      <c r="A813" s="9"/>
      <c r="B813" s="9"/>
      <c r="C813" s="9"/>
      <c r="D813" s="9"/>
      <c r="E813" s="9"/>
      <c r="F813" s="9"/>
      <c r="G813" s="9"/>
      <c r="H813" s="9"/>
      <c r="I813" s="9"/>
      <c r="J813" s="9"/>
      <c r="K813" s="9"/>
      <c r="L813" s="115"/>
      <c r="M813" s="115"/>
      <c r="N813" s="115"/>
      <c r="O813" s="115"/>
      <c r="P813" s="9"/>
      <c r="Q813" s="9"/>
      <c r="R813" s="9"/>
      <c r="S813" s="9"/>
      <c r="T813" s="9"/>
      <c r="U813" s="9"/>
      <c r="V813" s="9"/>
      <c r="W813" s="10"/>
      <c r="X813" s="10"/>
      <c r="Y813" s="10"/>
      <c r="Z813" s="10"/>
    </row>
    <row r="814">
      <c r="A814" s="9"/>
      <c r="B814" s="9"/>
      <c r="C814" s="9"/>
      <c r="D814" s="9"/>
      <c r="E814" s="9"/>
      <c r="F814" s="9"/>
      <c r="G814" s="9"/>
      <c r="H814" s="9"/>
      <c r="I814" s="9"/>
      <c r="J814" s="9"/>
      <c r="K814" s="9"/>
      <c r="L814" s="115"/>
      <c r="M814" s="115"/>
      <c r="N814" s="115"/>
      <c r="O814" s="115"/>
      <c r="P814" s="9"/>
      <c r="Q814" s="9"/>
      <c r="R814" s="9"/>
      <c r="S814" s="9"/>
      <c r="T814" s="9"/>
      <c r="U814" s="9"/>
      <c r="V814" s="9"/>
      <c r="W814" s="10"/>
      <c r="X814" s="10"/>
      <c r="Y814" s="10"/>
      <c r="Z814" s="10"/>
    </row>
    <row r="815">
      <c r="A815" s="9"/>
      <c r="B815" s="9"/>
      <c r="C815" s="9"/>
      <c r="D815" s="9"/>
      <c r="E815" s="9"/>
      <c r="F815" s="9"/>
      <c r="G815" s="9"/>
      <c r="H815" s="9"/>
      <c r="I815" s="9"/>
      <c r="J815" s="9"/>
      <c r="K815" s="9"/>
      <c r="L815" s="115"/>
      <c r="M815" s="115"/>
      <c r="N815" s="115"/>
      <c r="O815" s="115"/>
      <c r="P815" s="9"/>
      <c r="Q815" s="9"/>
      <c r="R815" s="9"/>
      <c r="S815" s="9"/>
      <c r="T815" s="9"/>
      <c r="U815" s="9"/>
      <c r="V815" s="9"/>
      <c r="W815" s="10"/>
      <c r="X815" s="10"/>
      <c r="Y815" s="10"/>
      <c r="Z815" s="10"/>
    </row>
    <row r="816">
      <c r="A816" s="9"/>
      <c r="B816" s="9"/>
      <c r="C816" s="9"/>
      <c r="D816" s="9"/>
      <c r="E816" s="9"/>
      <c r="F816" s="9"/>
      <c r="G816" s="9"/>
      <c r="H816" s="9"/>
      <c r="I816" s="9"/>
      <c r="J816" s="9"/>
      <c r="K816" s="9"/>
      <c r="L816" s="115"/>
      <c r="M816" s="115"/>
      <c r="N816" s="115"/>
      <c r="O816" s="115"/>
      <c r="P816" s="9"/>
      <c r="Q816" s="9"/>
      <c r="R816" s="9"/>
      <c r="S816" s="9"/>
      <c r="T816" s="9"/>
      <c r="U816" s="9"/>
      <c r="V816" s="9"/>
      <c r="W816" s="10"/>
      <c r="X816" s="10"/>
      <c r="Y816" s="10"/>
      <c r="Z816" s="10"/>
    </row>
    <row r="817">
      <c r="A817" s="9"/>
      <c r="B817" s="9"/>
      <c r="C817" s="9"/>
      <c r="D817" s="9"/>
      <c r="E817" s="9"/>
      <c r="F817" s="9"/>
      <c r="G817" s="9"/>
      <c r="H817" s="9"/>
      <c r="I817" s="9"/>
      <c r="J817" s="9"/>
      <c r="K817" s="9"/>
      <c r="L817" s="115"/>
      <c r="M817" s="115"/>
      <c r="N817" s="115"/>
      <c r="O817" s="115"/>
      <c r="P817" s="9"/>
      <c r="Q817" s="9"/>
      <c r="R817" s="9"/>
      <c r="S817" s="9"/>
      <c r="T817" s="9"/>
      <c r="U817" s="9"/>
      <c r="V817" s="9"/>
      <c r="W817" s="10"/>
      <c r="X817" s="10"/>
      <c r="Y817" s="10"/>
      <c r="Z817" s="10"/>
    </row>
    <row r="818">
      <c r="A818" s="9"/>
      <c r="B818" s="9"/>
      <c r="C818" s="9"/>
      <c r="D818" s="9"/>
      <c r="E818" s="9"/>
      <c r="F818" s="9"/>
      <c r="G818" s="9"/>
      <c r="H818" s="9"/>
      <c r="I818" s="9"/>
      <c r="J818" s="9"/>
      <c r="K818" s="9"/>
      <c r="L818" s="115"/>
      <c r="M818" s="115"/>
      <c r="N818" s="115"/>
      <c r="O818" s="115"/>
      <c r="P818" s="9"/>
      <c r="Q818" s="9"/>
      <c r="R818" s="9"/>
      <c r="S818" s="9"/>
      <c r="T818" s="9"/>
      <c r="U818" s="9"/>
      <c r="V818" s="9"/>
      <c r="W818" s="10"/>
      <c r="X818" s="10"/>
      <c r="Y818" s="10"/>
      <c r="Z818" s="10"/>
    </row>
    <row r="819">
      <c r="A819" s="9"/>
      <c r="B819" s="9"/>
      <c r="C819" s="9"/>
      <c r="D819" s="9"/>
      <c r="E819" s="9"/>
      <c r="F819" s="9"/>
      <c r="G819" s="9"/>
      <c r="H819" s="9"/>
      <c r="I819" s="9"/>
      <c r="J819" s="9"/>
      <c r="K819" s="9"/>
      <c r="L819" s="115"/>
      <c r="M819" s="115"/>
      <c r="N819" s="115"/>
      <c r="O819" s="115"/>
      <c r="P819" s="9"/>
      <c r="Q819" s="9"/>
      <c r="R819" s="9"/>
      <c r="S819" s="9"/>
      <c r="T819" s="9"/>
      <c r="U819" s="9"/>
      <c r="V819" s="9"/>
      <c r="W819" s="10"/>
      <c r="X819" s="10"/>
      <c r="Y819" s="10"/>
      <c r="Z819" s="10"/>
    </row>
    <row r="820">
      <c r="A820" s="9"/>
      <c r="B820" s="9"/>
      <c r="C820" s="9"/>
      <c r="D820" s="9"/>
      <c r="E820" s="9"/>
      <c r="F820" s="9"/>
      <c r="G820" s="9"/>
      <c r="H820" s="9"/>
      <c r="I820" s="9"/>
      <c r="J820" s="9"/>
      <c r="K820" s="9"/>
      <c r="L820" s="115"/>
      <c r="M820" s="115"/>
      <c r="N820" s="115"/>
      <c r="O820" s="115"/>
      <c r="P820" s="9"/>
      <c r="Q820" s="9"/>
      <c r="R820" s="9"/>
      <c r="S820" s="9"/>
      <c r="T820" s="9"/>
      <c r="U820" s="9"/>
      <c r="V820" s="9"/>
      <c r="W820" s="10"/>
      <c r="X820" s="10"/>
      <c r="Y820" s="10"/>
      <c r="Z820" s="10"/>
    </row>
    <row r="821">
      <c r="A821" s="9"/>
      <c r="B821" s="9"/>
      <c r="C821" s="9"/>
      <c r="D821" s="9"/>
      <c r="E821" s="9"/>
      <c r="F821" s="9"/>
      <c r="G821" s="9"/>
      <c r="H821" s="9"/>
      <c r="I821" s="9"/>
      <c r="J821" s="9"/>
      <c r="K821" s="9"/>
      <c r="L821" s="115"/>
      <c r="M821" s="115"/>
      <c r="N821" s="115"/>
      <c r="O821" s="115"/>
      <c r="P821" s="9"/>
      <c r="Q821" s="9"/>
      <c r="R821" s="9"/>
      <c r="S821" s="9"/>
      <c r="T821" s="9"/>
      <c r="U821" s="9"/>
      <c r="V821" s="9"/>
      <c r="W821" s="10"/>
      <c r="X821" s="10"/>
      <c r="Y821" s="10"/>
      <c r="Z821" s="10"/>
    </row>
    <row r="822">
      <c r="A822" s="9"/>
      <c r="B822" s="9"/>
      <c r="C822" s="9"/>
      <c r="D822" s="9"/>
      <c r="E822" s="9"/>
      <c r="F822" s="9"/>
      <c r="G822" s="9"/>
      <c r="H822" s="9"/>
      <c r="I822" s="9"/>
      <c r="J822" s="9"/>
      <c r="K822" s="9"/>
      <c r="L822" s="115"/>
      <c r="M822" s="115"/>
      <c r="N822" s="115"/>
      <c r="O822" s="115"/>
      <c r="P822" s="9"/>
      <c r="Q822" s="9"/>
      <c r="R822" s="9"/>
      <c r="S822" s="9"/>
      <c r="T822" s="9"/>
      <c r="U822" s="9"/>
      <c r="V822" s="9"/>
      <c r="W822" s="10"/>
      <c r="X822" s="10"/>
      <c r="Y822" s="10"/>
      <c r="Z822" s="10"/>
    </row>
    <row r="823">
      <c r="A823" s="9"/>
      <c r="B823" s="9"/>
      <c r="C823" s="9"/>
      <c r="D823" s="9"/>
      <c r="E823" s="9"/>
      <c r="F823" s="9"/>
      <c r="G823" s="9"/>
      <c r="H823" s="9"/>
      <c r="I823" s="9"/>
      <c r="J823" s="9"/>
      <c r="K823" s="9"/>
      <c r="L823" s="115"/>
      <c r="M823" s="115"/>
      <c r="N823" s="115"/>
      <c r="O823" s="115"/>
      <c r="P823" s="9"/>
      <c r="Q823" s="9"/>
      <c r="R823" s="9"/>
      <c r="S823" s="9"/>
      <c r="T823" s="9"/>
      <c r="U823" s="9"/>
      <c r="V823" s="9"/>
      <c r="W823" s="10"/>
      <c r="X823" s="10"/>
      <c r="Y823" s="10"/>
      <c r="Z823" s="10"/>
    </row>
    <row r="824">
      <c r="A824" s="9"/>
      <c r="B824" s="9"/>
      <c r="C824" s="9"/>
      <c r="D824" s="9"/>
      <c r="E824" s="9"/>
      <c r="F824" s="9"/>
      <c r="G824" s="9"/>
      <c r="H824" s="9"/>
      <c r="I824" s="9"/>
      <c r="J824" s="9"/>
      <c r="K824" s="9"/>
      <c r="L824" s="115"/>
      <c r="M824" s="115"/>
      <c r="N824" s="115"/>
      <c r="O824" s="115"/>
      <c r="P824" s="9"/>
      <c r="Q824" s="9"/>
      <c r="R824" s="9"/>
      <c r="S824" s="9"/>
      <c r="T824" s="9"/>
      <c r="U824" s="9"/>
      <c r="V824" s="9"/>
      <c r="W824" s="10"/>
      <c r="X824" s="10"/>
      <c r="Y824" s="10"/>
      <c r="Z824" s="10"/>
    </row>
    <row r="825">
      <c r="A825" s="9"/>
      <c r="B825" s="9"/>
      <c r="C825" s="9"/>
      <c r="D825" s="9"/>
      <c r="E825" s="9"/>
      <c r="F825" s="9"/>
      <c r="G825" s="9"/>
      <c r="H825" s="9"/>
      <c r="I825" s="9"/>
      <c r="J825" s="9"/>
      <c r="K825" s="9"/>
      <c r="L825" s="115"/>
      <c r="M825" s="115"/>
      <c r="N825" s="115"/>
      <c r="O825" s="115"/>
      <c r="P825" s="9"/>
      <c r="Q825" s="9"/>
      <c r="R825" s="9"/>
      <c r="S825" s="9"/>
      <c r="T825" s="9"/>
      <c r="U825" s="9"/>
      <c r="V825" s="9"/>
      <c r="W825" s="10"/>
      <c r="X825" s="10"/>
      <c r="Y825" s="10"/>
      <c r="Z825" s="10"/>
    </row>
    <row r="826">
      <c r="A826" s="9"/>
      <c r="B826" s="9"/>
      <c r="C826" s="9"/>
      <c r="D826" s="9"/>
      <c r="E826" s="9"/>
      <c r="F826" s="9"/>
      <c r="G826" s="9"/>
      <c r="H826" s="9"/>
      <c r="I826" s="9"/>
      <c r="J826" s="9"/>
      <c r="K826" s="9"/>
      <c r="L826" s="115"/>
      <c r="M826" s="115"/>
      <c r="N826" s="115"/>
      <c r="O826" s="115"/>
      <c r="P826" s="9"/>
      <c r="Q826" s="9"/>
      <c r="R826" s="9"/>
      <c r="S826" s="9"/>
      <c r="T826" s="9"/>
      <c r="U826" s="9"/>
      <c r="V826" s="9"/>
      <c r="W826" s="10"/>
      <c r="X826" s="10"/>
      <c r="Y826" s="10"/>
      <c r="Z826" s="10"/>
    </row>
    <row r="827">
      <c r="A827" s="9"/>
      <c r="B827" s="9"/>
      <c r="C827" s="9"/>
      <c r="D827" s="9"/>
      <c r="E827" s="9"/>
      <c r="F827" s="9"/>
      <c r="G827" s="9"/>
      <c r="H827" s="9"/>
      <c r="I827" s="9"/>
      <c r="J827" s="9"/>
      <c r="K827" s="9"/>
      <c r="L827" s="115"/>
      <c r="M827" s="115"/>
      <c r="N827" s="115"/>
      <c r="O827" s="115"/>
      <c r="P827" s="9"/>
      <c r="Q827" s="9"/>
      <c r="R827" s="9"/>
      <c r="S827" s="9"/>
      <c r="T827" s="9"/>
      <c r="U827" s="9"/>
      <c r="V827" s="9"/>
      <c r="W827" s="10"/>
      <c r="X827" s="10"/>
      <c r="Y827" s="10"/>
      <c r="Z827" s="10"/>
    </row>
    <row r="828">
      <c r="A828" s="9"/>
      <c r="B828" s="9"/>
      <c r="C828" s="9"/>
      <c r="D828" s="9"/>
      <c r="E828" s="9"/>
      <c r="F828" s="9"/>
      <c r="G828" s="9"/>
      <c r="H828" s="9"/>
      <c r="I828" s="9"/>
      <c r="J828" s="9"/>
      <c r="K828" s="9"/>
      <c r="L828" s="115"/>
      <c r="M828" s="115"/>
      <c r="N828" s="115"/>
      <c r="O828" s="115"/>
      <c r="P828" s="9"/>
      <c r="Q828" s="9"/>
      <c r="R828" s="9"/>
      <c r="S828" s="9"/>
      <c r="T828" s="9"/>
      <c r="U828" s="9"/>
      <c r="V828" s="9"/>
      <c r="W828" s="10"/>
      <c r="X828" s="10"/>
      <c r="Y828" s="10"/>
      <c r="Z828" s="10"/>
    </row>
    <row r="829">
      <c r="A829" s="9"/>
      <c r="B829" s="9"/>
      <c r="C829" s="9"/>
      <c r="D829" s="9"/>
      <c r="E829" s="9"/>
      <c r="F829" s="9"/>
      <c r="G829" s="9"/>
      <c r="H829" s="9"/>
      <c r="I829" s="9"/>
      <c r="J829" s="9"/>
      <c r="K829" s="9"/>
      <c r="L829" s="115"/>
      <c r="M829" s="115"/>
      <c r="N829" s="115"/>
      <c r="O829" s="115"/>
      <c r="P829" s="9"/>
      <c r="Q829" s="9"/>
      <c r="R829" s="9"/>
      <c r="S829" s="9"/>
      <c r="T829" s="9"/>
      <c r="U829" s="9"/>
      <c r="V829" s="9"/>
      <c r="W829" s="10"/>
      <c r="X829" s="10"/>
      <c r="Y829" s="10"/>
      <c r="Z829" s="10"/>
    </row>
    <row r="830">
      <c r="A830" s="9"/>
      <c r="B830" s="9"/>
      <c r="C830" s="9"/>
      <c r="D830" s="9"/>
      <c r="E830" s="9"/>
      <c r="F830" s="9"/>
      <c r="G830" s="9"/>
      <c r="H830" s="9"/>
      <c r="I830" s="9"/>
      <c r="J830" s="9"/>
      <c r="K830" s="9"/>
      <c r="L830" s="115"/>
      <c r="M830" s="115"/>
      <c r="N830" s="115"/>
      <c r="O830" s="115"/>
      <c r="P830" s="9"/>
      <c r="Q830" s="9"/>
      <c r="R830" s="9"/>
      <c r="S830" s="9"/>
      <c r="T830" s="9"/>
      <c r="U830" s="9"/>
      <c r="V830" s="9"/>
      <c r="W830" s="10"/>
      <c r="X830" s="10"/>
      <c r="Y830" s="10"/>
      <c r="Z830" s="10"/>
    </row>
    <row r="831">
      <c r="A831" s="9"/>
      <c r="B831" s="9"/>
      <c r="C831" s="9"/>
      <c r="D831" s="9"/>
      <c r="E831" s="9"/>
      <c r="F831" s="9"/>
      <c r="G831" s="9"/>
      <c r="H831" s="9"/>
      <c r="I831" s="9"/>
      <c r="J831" s="9"/>
      <c r="K831" s="9"/>
      <c r="L831" s="115"/>
      <c r="M831" s="115"/>
      <c r="N831" s="115"/>
      <c r="O831" s="115"/>
      <c r="P831" s="9"/>
      <c r="Q831" s="9"/>
      <c r="R831" s="9"/>
      <c r="S831" s="9"/>
      <c r="T831" s="9"/>
      <c r="U831" s="9"/>
      <c r="V831" s="9"/>
      <c r="W831" s="10"/>
      <c r="X831" s="10"/>
      <c r="Y831" s="10"/>
      <c r="Z831" s="10"/>
    </row>
    <row r="832">
      <c r="A832" s="9"/>
      <c r="B832" s="9"/>
      <c r="C832" s="9"/>
      <c r="D832" s="9"/>
      <c r="E832" s="9"/>
      <c r="F832" s="9"/>
      <c r="G832" s="9"/>
      <c r="H832" s="9"/>
      <c r="I832" s="9"/>
      <c r="J832" s="9"/>
      <c r="K832" s="9"/>
      <c r="L832" s="115"/>
      <c r="M832" s="115"/>
      <c r="N832" s="115"/>
      <c r="O832" s="115"/>
      <c r="P832" s="9"/>
      <c r="Q832" s="9"/>
      <c r="R832" s="9"/>
      <c r="S832" s="9"/>
      <c r="T832" s="9"/>
      <c r="U832" s="9"/>
      <c r="V832" s="9"/>
      <c r="W832" s="10"/>
      <c r="X832" s="10"/>
      <c r="Y832" s="10"/>
      <c r="Z832" s="10"/>
    </row>
    <row r="833">
      <c r="A833" s="9"/>
      <c r="B833" s="9"/>
      <c r="C833" s="9"/>
      <c r="D833" s="9"/>
      <c r="E833" s="9"/>
      <c r="F833" s="9"/>
      <c r="G833" s="9"/>
      <c r="H833" s="9"/>
      <c r="I833" s="9"/>
      <c r="J833" s="9"/>
      <c r="K833" s="9"/>
      <c r="L833" s="115"/>
      <c r="M833" s="115"/>
      <c r="N833" s="115"/>
      <c r="O833" s="115"/>
      <c r="P833" s="9"/>
      <c r="Q833" s="9"/>
      <c r="R833" s="9"/>
      <c r="S833" s="9"/>
      <c r="T833" s="9"/>
      <c r="U833" s="9"/>
      <c r="V833" s="9"/>
      <c r="W833" s="10"/>
      <c r="X833" s="10"/>
      <c r="Y833" s="10"/>
      <c r="Z833" s="10"/>
    </row>
    <row r="834">
      <c r="A834" s="9"/>
      <c r="B834" s="9"/>
      <c r="C834" s="9"/>
      <c r="D834" s="9"/>
      <c r="E834" s="9"/>
      <c r="F834" s="9"/>
      <c r="G834" s="9"/>
      <c r="H834" s="9"/>
      <c r="I834" s="9"/>
      <c r="J834" s="9"/>
      <c r="K834" s="9"/>
      <c r="L834" s="115"/>
      <c r="M834" s="115"/>
      <c r="N834" s="115"/>
      <c r="O834" s="115"/>
      <c r="P834" s="9"/>
      <c r="Q834" s="9"/>
      <c r="R834" s="9"/>
      <c r="S834" s="9"/>
      <c r="T834" s="9"/>
      <c r="U834" s="9"/>
      <c r="V834" s="9"/>
      <c r="W834" s="10"/>
      <c r="X834" s="10"/>
      <c r="Y834" s="10"/>
      <c r="Z834" s="10"/>
    </row>
    <row r="835">
      <c r="A835" s="9"/>
      <c r="B835" s="9"/>
      <c r="C835" s="9"/>
      <c r="D835" s="9"/>
      <c r="E835" s="9"/>
      <c r="F835" s="9"/>
      <c r="G835" s="9"/>
      <c r="H835" s="9"/>
      <c r="I835" s="9"/>
      <c r="J835" s="9"/>
      <c r="K835" s="9"/>
      <c r="L835" s="115"/>
      <c r="M835" s="115"/>
      <c r="N835" s="115"/>
      <c r="O835" s="115"/>
      <c r="P835" s="9"/>
      <c r="Q835" s="9"/>
      <c r="R835" s="9"/>
      <c r="S835" s="9"/>
      <c r="T835" s="9"/>
      <c r="U835" s="9"/>
      <c r="V835" s="9"/>
      <c r="W835" s="10"/>
      <c r="X835" s="10"/>
      <c r="Y835" s="10"/>
      <c r="Z835" s="10"/>
    </row>
    <row r="836">
      <c r="A836" s="9"/>
      <c r="B836" s="9"/>
      <c r="C836" s="9"/>
      <c r="D836" s="9"/>
      <c r="E836" s="9"/>
      <c r="F836" s="9"/>
      <c r="G836" s="9"/>
      <c r="H836" s="9"/>
      <c r="I836" s="9"/>
      <c r="J836" s="9"/>
      <c r="K836" s="9"/>
      <c r="L836" s="115"/>
      <c r="M836" s="115"/>
      <c r="N836" s="115"/>
      <c r="O836" s="115"/>
      <c r="P836" s="9"/>
      <c r="Q836" s="9"/>
      <c r="R836" s="9"/>
      <c r="S836" s="9"/>
      <c r="T836" s="9"/>
      <c r="U836" s="9"/>
      <c r="V836" s="9"/>
      <c r="W836" s="10"/>
      <c r="X836" s="10"/>
      <c r="Y836" s="10"/>
      <c r="Z836" s="10"/>
    </row>
    <row r="837">
      <c r="A837" s="9"/>
      <c r="B837" s="9"/>
      <c r="C837" s="9"/>
      <c r="D837" s="9"/>
      <c r="E837" s="9"/>
      <c r="F837" s="9"/>
      <c r="G837" s="9"/>
      <c r="H837" s="9"/>
      <c r="I837" s="9"/>
      <c r="J837" s="9"/>
      <c r="K837" s="9"/>
      <c r="L837" s="115"/>
      <c r="M837" s="115"/>
      <c r="N837" s="115"/>
      <c r="O837" s="115"/>
      <c r="P837" s="9"/>
      <c r="Q837" s="9"/>
      <c r="R837" s="9"/>
      <c r="S837" s="9"/>
      <c r="T837" s="9"/>
      <c r="U837" s="9"/>
      <c r="V837" s="9"/>
      <c r="W837" s="10"/>
      <c r="X837" s="10"/>
      <c r="Y837" s="10"/>
      <c r="Z837" s="10"/>
    </row>
    <row r="838">
      <c r="A838" s="9"/>
      <c r="B838" s="9"/>
      <c r="C838" s="9"/>
      <c r="D838" s="9"/>
      <c r="E838" s="9"/>
      <c r="F838" s="9"/>
      <c r="G838" s="9"/>
      <c r="H838" s="9"/>
      <c r="I838" s="9"/>
      <c r="J838" s="9"/>
      <c r="K838" s="9"/>
      <c r="L838" s="115"/>
      <c r="M838" s="115"/>
      <c r="N838" s="115"/>
      <c r="O838" s="115"/>
      <c r="P838" s="9"/>
      <c r="Q838" s="9"/>
      <c r="R838" s="9"/>
      <c r="S838" s="9"/>
      <c r="T838" s="9"/>
      <c r="U838" s="9"/>
      <c r="V838" s="9"/>
      <c r="W838" s="10"/>
      <c r="X838" s="10"/>
      <c r="Y838" s="10"/>
      <c r="Z838" s="10"/>
    </row>
    <row r="839">
      <c r="A839" s="9"/>
      <c r="B839" s="9"/>
      <c r="C839" s="9"/>
      <c r="D839" s="9"/>
      <c r="E839" s="9"/>
      <c r="F839" s="9"/>
      <c r="G839" s="9"/>
      <c r="H839" s="9"/>
      <c r="I839" s="9"/>
      <c r="J839" s="9"/>
      <c r="K839" s="9"/>
      <c r="L839" s="115"/>
      <c r="M839" s="115"/>
      <c r="N839" s="115"/>
      <c r="O839" s="115"/>
      <c r="P839" s="9"/>
      <c r="Q839" s="9"/>
      <c r="R839" s="9"/>
      <c r="S839" s="9"/>
      <c r="T839" s="9"/>
      <c r="U839" s="9"/>
      <c r="V839" s="9"/>
      <c r="W839" s="10"/>
      <c r="X839" s="10"/>
      <c r="Y839" s="10"/>
      <c r="Z839" s="10"/>
    </row>
    <row r="840">
      <c r="A840" s="9"/>
      <c r="B840" s="9"/>
      <c r="C840" s="9"/>
      <c r="D840" s="9"/>
      <c r="E840" s="9"/>
      <c r="F840" s="9"/>
      <c r="G840" s="9"/>
      <c r="H840" s="9"/>
      <c r="I840" s="9"/>
      <c r="J840" s="9"/>
      <c r="K840" s="9"/>
      <c r="L840" s="115"/>
      <c r="M840" s="115"/>
      <c r="N840" s="115"/>
      <c r="O840" s="115"/>
      <c r="P840" s="9"/>
      <c r="Q840" s="9"/>
      <c r="R840" s="9"/>
      <c r="S840" s="9"/>
      <c r="T840" s="9"/>
      <c r="U840" s="9"/>
      <c r="V840" s="9"/>
      <c r="W840" s="10"/>
      <c r="X840" s="10"/>
      <c r="Y840" s="10"/>
      <c r="Z840" s="10"/>
    </row>
    <row r="841">
      <c r="A841" s="9"/>
      <c r="B841" s="9"/>
      <c r="C841" s="9"/>
      <c r="D841" s="9"/>
      <c r="E841" s="9"/>
      <c r="F841" s="9"/>
      <c r="G841" s="9"/>
      <c r="H841" s="9"/>
      <c r="I841" s="9"/>
      <c r="J841" s="9"/>
      <c r="K841" s="9"/>
      <c r="L841" s="115"/>
      <c r="M841" s="115"/>
      <c r="N841" s="115"/>
      <c r="O841" s="115"/>
      <c r="P841" s="9"/>
      <c r="Q841" s="9"/>
      <c r="R841" s="9"/>
      <c r="S841" s="9"/>
      <c r="T841" s="9"/>
      <c r="U841" s="9"/>
      <c r="V841" s="9"/>
      <c r="W841" s="10"/>
      <c r="X841" s="10"/>
      <c r="Y841" s="10"/>
      <c r="Z841" s="10"/>
    </row>
    <row r="842">
      <c r="A842" s="9"/>
      <c r="B842" s="9"/>
      <c r="C842" s="9"/>
      <c r="D842" s="9"/>
      <c r="E842" s="9"/>
      <c r="F842" s="9"/>
      <c r="G842" s="9"/>
      <c r="H842" s="9"/>
      <c r="I842" s="9"/>
      <c r="J842" s="9"/>
      <c r="K842" s="9"/>
      <c r="L842" s="115"/>
      <c r="M842" s="115"/>
      <c r="N842" s="115"/>
      <c r="O842" s="115"/>
      <c r="P842" s="9"/>
      <c r="Q842" s="9"/>
      <c r="R842" s="9"/>
      <c r="S842" s="9"/>
      <c r="T842" s="9"/>
      <c r="U842" s="9"/>
      <c r="V842" s="9"/>
      <c r="W842" s="10"/>
      <c r="X842" s="10"/>
      <c r="Y842" s="10"/>
      <c r="Z842" s="10"/>
    </row>
    <row r="843">
      <c r="A843" s="9"/>
      <c r="B843" s="9"/>
      <c r="C843" s="9"/>
      <c r="D843" s="9"/>
      <c r="E843" s="9"/>
      <c r="F843" s="9"/>
      <c r="G843" s="9"/>
      <c r="H843" s="9"/>
      <c r="I843" s="9"/>
      <c r="J843" s="9"/>
      <c r="K843" s="9"/>
      <c r="L843" s="115"/>
      <c r="M843" s="115"/>
      <c r="N843" s="115"/>
      <c r="O843" s="115"/>
      <c r="P843" s="9"/>
      <c r="Q843" s="9"/>
      <c r="R843" s="9"/>
      <c r="S843" s="9"/>
      <c r="T843" s="9"/>
      <c r="U843" s="9"/>
      <c r="V843" s="9"/>
      <c r="W843" s="10"/>
      <c r="X843" s="10"/>
      <c r="Y843" s="10"/>
      <c r="Z843" s="10"/>
    </row>
    <row r="844">
      <c r="A844" s="9"/>
      <c r="B844" s="9"/>
      <c r="C844" s="9"/>
      <c r="D844" s="9"/>
      <c r="E844" s="9"/>
      <c r="F844" s="9"/>
      <c r="G844" s="9"/>
      <c r="H844" s="9"/>
      <c r="I844" s="9"/>
      <c r="J844" s="9"/>
      <c r="K844" s="9"/>
      <c r="L844" s="115"/>
      <c r="M844" s="115"/>
      <c r="N844" s="115"/>
      <c r="O844" s="115"/>
      <c r="P844" s="9"/>
      <c r="Q844" s="9"/>
      <c r="R844" s="9"/>
      <c r="S844" s="9"/>
      <c r="T844" s="9"/>
      <c r="U844" s="9"/>
      <c r="V844" s="9"/>
      <c r="W844" s="10"/>
      <c r="X844" s="10"/>
      <c r="Y844" s="10"/>
      <c r="Z844" s="10"/>
    </row>
    <row r="845">
      <c r="A845" s="9"/>
      <c r="B845" s="9"/>
      <c r="C845" s="9"/>
      <c r="D845" s="9"/>
      <c r="E845" s="9"/>
      <c r="F845" s="9"/>
      <c r="G845" s="9"/>
      <c r="H845" s="9"/>
      <c r="I845" s="9"/>
      <c r="J845" s="9"/>
      <c r="K845" s="9"/>
      <c r="L845" s="115"/>
      <c r="M845" s="115"/>
      <c r="N845" s="115"/>
      <c r="O845" s="115"/>
      <c r="P845" s="9"/>
      <c r="Q845" s="9"/>
      <c r="R845" s="9"/>
      <c r="S845" s="9"/>
      <c r="T845" s="9"/>
      <c r="U845" s="9"/>
      <c r="V845" s="9"/>
      <c r="W845" s="10"/>
      <c r="X845" s="10"/>
      <c r="Y845" s="10"/>
      <c r="Z845" s="10"/>
    </row>
    <row r="846">
      <c r="A846" s="9"/>
      <c r="B846" s="9"/>
      <c r="C846" s="9"/>
      <c r="D846" s="9"/>
      <c r="E846" s="9"/>
      <c r="F846" s="9"/>
      <c r="G846" s="9"/>
      <c r="H846" s="9"/>
      <c r="I846" s="9"/>
      <c r="J846" s="9"/>
      <c r="K846" s="9"/>
      <c r="L846" s="115"/>
      <c r="M846" s="115"/>
      <c r="N846" s="115"/>
      <c r="O846" s="115"/>
      <c r="P846" s="9"/>
      <c r="Q846" s="9"/>
      <c r="R846" s="9"/>
      <c r="S846" s="9"/>
      <c r="T846" s="9"/>
      <c r="U846" s="9"/>
      <c r="V846" s="9"/>
      <c r="W846" s="10"/>
      <c r="X846" s="10"/>
      <c r="Y846" s="10"/>
      <c r="Z846" s="10"/>
    </row>
    <row r="847">
      <c r="A847" s="9"/>
      <c r="B847" s="9"/>
      <c r="C847" s="9"/>
      <c r="D847" s="9"/>
      <c r="E847" s="9"/>
      <c r="F847" s="9"/>
      <c r="G847" s="9"/>
      <c r="H847" s="9"/>
      <c r="I847" s="9"/>
      <c r="J847" s="9"/>
      <c r="K847" s="9"/>
      <c r="L847" s="115"/>
      <c r="M847" s="115"/>
      <c r="N847" s="115"/>
      <c r="O847" s="115"/>
      <c r="P847" s="9"/>
      <c r="Q847" s="9"/>
      <c r="R847" s="9"/>
      <c r="S847" s="9"/>
      <c r="T847" s="9"/>
      <c r="U847" s="9"/>
      <c r="V847" s="9"/>
      <c r="W847" s="10"/>
      <c r="X847" s="10"/>
      <c r="Y847" s="10"/>
      <c r="Z847" s="10"/>
    </row>
    <row r="848">
      <c r="A848" s="9"/>
      <c r="B848" s="9"/>
      <c r="C848" s="9"/>
      <c r="D848" s="9"/>
      <c r="E848" s="9"/>
      <c r="F848" s="9"/>
      <c r="G848" s="9"/>
      <c r="H848" s="9"/>
      <c r="I848" s="9"/>
      <c r="J848" s="9"/>
      <c r="K848" s="9"/>
      <c r="L848" s="115"/>
      <c r="M848" s="115"/>
      <c r="N848" s="115"/>
      <c r="O848" s="115"/>
      <c r="P848" s="9"/>
      <c r="Q848" s="9"/>
      <c r="R848" s="9"/>
      <c r="S848" s="9"/>
      <c r="T848" s="9"/>
      <c r="U848" s="9"/>
      <c r="V848" s="9"/>
      <c r="W848" s="10"/>
      <c r="X848" s="10"/>
      <c r="Y848" s="10"/>
      <c r="Z848" s="10"/>
    </row>
    <row r="849">
      <c r="A849" s="9"/>
      <c r="B849" s="9"/>
      <c r="C849" s="9"/>
      <c r="D849" s="9"/>
      <c r="E849" s="9"/>
      <c r="F849" s="9"/>
      <c r="G849" s="9"/>
      <c r="H849" s="9"/>
      <c r="I849" s="9"/>
      <c r="J849" s="9"/>
      <c r="K849" s="9"/>
      <c r="L849" s="115"/>
      <c r="M849" s="115"/>
      <c r="N849" s="115"/>
      <c r="O849" s="115"/>
      <c r="P849" s="9"/>
      <c r="Q849" s="9"/>
      <c r="R849" s="9"/>
      <c r="S849" s="9"/>
      <c r="T849" s="9"/>
      <c r="U849" s="9"/>
      <c r="V849" s="9"/>
      <c r="W849" s="10"/>
      <c r="X849" s="10"/>
      <c r="Y849" s="10"/>
      <c r="Z849" s="10"/>
    </row>
    <row r="850">
      <c r="A850" s="9"/>
      <c r="B850" s="9"/>
      <c r="C850" s="9"/>
      <c r="D850" s="9"/>
      <c r="E850" s="9"/>
      <c r="F850" s="9"/>
      <c r="G850" s="9"/>
      <c r="H850" s="9"/>
      <c r="I850" s="9"/>
      <c r="J850" s="9"/>
      <c r="K850" s="9"/>
      <c r="L850" s="115"/>
      <c r="M850" s="115"/>
      <c r="N850" s="115"/>
      <c r="O850" s="115"/>
      <c r="P850" s="9"/>
      <c r="Q850" s="9"/>
      <c r="R850" s="9"/>
      <c r="S850" s="9"/>
      <c r="T850" s="9"/>
      <c r="U850" s="9"/>
      <c r="V850" s="9"/>
      <c r="W850" s="10"/>
      <c r="X850" s="10"/>
      <c r="Y850" s="10"/>
      <c r="Z850" s="10"/>
    </row>
    <row r="851">
      <c r="A851" s="9"/>
      <c r="B851" s="9"/>
      <c r="C851" s="9"/>
      <c r="D851" s="9"/>
      <c r="E851" s="9"/>
      <c r="F851" s="9"/>
      <c r="G851" s="9"/>
      <c r="H851" s="9"/>
      <c r="I851" s="9"/>
      <c r="J851" s="9"/>
      <c r="K851" s="9"/>
      <c r="L851" s="115"/>
      <c r="M851" s="115"/>
      <c r="N851" s="115"/>
      <c r="O851" s="115"/>
      <c r="P851" s="9"/>
      <c r="Q851" s="9"/>
      <c r="R851" s="9"/>
      <c r="S851" s="9"/>
      <c r="T851" s="9"/>
      <c r="U851" s="9"/>
      <c r="V851" s="9"/>
      <c r="W851" s="10"/>
      <c r="X851" s="10"/>
      <c r="Y851" s="10"/>
      <c r="Z851" s="10"/>
    </row>
    <row r="852">
      <c r="A852" s="9"/>
      <c r="B852" s="9"/>
      <c r="C852" s="9"/>
      <c r="D852" s="9"/>
      <c r="E852" s="9"/>
      <c r="F852" s="9"/>
      <c r="G852" s="9"/>
      <c r="H852" s="9"/>
      <c r="I852" s="9"/>
      <c r="J852" s="9"/>
      <c r="K852" s="9"/>
      <c r="L852" s="115"/>
      <c r="M852" s="115"/>
      <c r="N852" s="115"/>
      <c r="O852" s="115"/>
      <c r="P852" s="9"/>
      <c r="Q852" s="9"/>
      <c r="R852" s="9"/>
      <c r="S852" s="9"/>
      <c r="T852" s="9"/>
      <c r="U852" s="9"/>
      <c r="V852" s="9"/>
      <c r="W852" s="10"/>
      <c r="X852" s="10"/>
      <c r="Y852" s="10"/>
      <c r="Z852" s="10"/>
    </row>
    <row r="853">
      <c r="A853" s="9"/>
      <c r="B853" s="9"/>
      <c r="C853" s="9"/>
      <c r="D853" s="9"/>
      <c r="E853" s="9"/>
      <c r="F853" s="9"/>
      <c r="G853" s="9"/>
      <c r="H853" s="9"/>
      <c r="I853" s="9"/>
      <c r="J853" s="9"/>
      <c r="K853" s="9"/>
      <c r="L853" s="115"/>
      <c r="M853" s="115"/>
      <c r="N853" s="115"/>
      <c r="O853" s="115"/>
      <c r="P853" s="9"/>
      <c r="Q853" s="9"/>
      <c r="R853" s="9"/>
      <c r="S853" s="9"/>
      <c r="T853" s="9"/>
      <c r="U853" s="9"/>
      <c r="V853" s="9"/>
      <c r="W853" s="10"/>
      <c r="X853" s="10"/>
      <c r="Y853" s="10"/>
      <c r="Z853" s="10"/>
    </row>
    <row r="854">
      <c r="A854" s="9"/>
      <c r="B854" s="9"/>
      <c r="C854" s="9"/>
      <c r="D854" s="9"/>
      <c r="E854" s="9"/>
      <c r="F854" s="9"/>
      <c r="G854" s="9"/>
      <c r="H854" s="9"/>
      <c r="I854" s="9"/>
      <c r="J854" s="9"/>
      <c r="K854" s="9"/>
      <c r="L854" s="115"/>
      <c r="M854" s="115"/>
      <c r="N854" s="115"/>
      <c r="O854" s="115"/>
      <c r="P854" s="9"/>
      <c r="Q854" s="9"/>
      <c r="R854" s="9"/>
      <c r="S854" s="9"/>
      <c r="T854" s="9"/>
      <c r="U854" s="9"/>
      <c r="V854" s="9"/>
      <c r="W854" s="10"/>
      <c r="X854" s="10"/>
      <c r="Y854" s="10"/>
      <c r="Z854" s="10"/>
    </row>
    <row r="855">
      <c r="A855" s="9"/>
      <c r="B855" s="9"/>
      <c r="C855" s="9"/>
      <c r="D855" s="9"/>
      <c r="E855" s="9"/>
      <c r="F855" s="9"/>
      <c r="G855" s="9"/>
      <c r="H855" s="9"/>
      <c r="I855" s="9"/>
      <c r="J855" s="9"/>
      <c r="K855" s="9"/>
      <c r="L855" s="115"/>
      <c r="M855" s="115"/>
      <c r="N855" s="115"/>
      <c r="O855" s="115"/>
      <c r="P855" s="9"/>
      <c r="Q855" s="9"/>
      <c r="R855" s="9"/>
      <c r="S855" s="9"/>
      <c r="T855" s="9"/>
      <c r="U855" s="9"/>
      <c r="V855" s="9"/>
      <c r="W855" s="10"/>
      <c r="X855" s="10"/>
      <c r="Y855" s="10"/>
      <c r="Z855" s="10"/>
    </row>
    <row r="856">
      <c r="A856" s="9"/>
      <c r="B856" s="9"/>
      <c r="C856" s="9"/>
      <c r="D856" s="9"/>
      <c r="E856" s="9"/>
      <c r="F856" s="9"/>
      <c r="G856" s="9"/>
      <c r="H856" s="9"/>
      <c r="I856" s="9"/>
      <c r="J856" s="9"/>
      <c r="K856" s="9"/>
      <c r="L856" s="115"/>
      <c r="M856" s="115"/>
      <c r="N856" s="115"/>
      <c r="O856" s="115"/>
      <c r="P856" s="9"/>
      <c r="Q856" s="9"/>
      <c r="R856" s="9"/>
      <c r="S856" s="9"/>
      <c r="T856" s="9"/>
      <c r="U856" s="9"/>
      <c r="V856" s="9"/>
      <c r="W856" s="10"/>
      <c r="X856" s="10"/>
      <c r="Y856" s="10"/>
      <c r="Z856" s="10"/>
    </row>
    <row r="857">
      <c r="A857" s="9"/>
      <c r="B857" s="9"/>
      <c r="C857" s="9"/>
      <c r="D857" s="9"/>
      <c r="E857" s="9"/>
      <c r="F857" s="9"/>
      <c r="G857" s="9"/>
      <c r="H857" s="9"/>
      <c r="I857" s="9"/>
      <c r="J857" s="9"/>
      <c r="K857" s="9"/>
      <c r="L857" s="115"/>
      <c r="M857" s="115"/>
      <c r="N857" s="115"/>
      <c r="O857" s="115"/>
      <c r="P857" s="9"/>
      <c r="Q857" s="9"/>
      <c r="R857" s="9"/>
      <c r="S857" s="9"/>
      <c r="T857" s="9"/>
      <c r="U857" s="9"/>
      <c r="V857" s="9"/>
      <c r="W857" s="10"/>
      <c r="X857" s="10"/>
      <c r="Y857" s="10"/>
      <c r="Z857" s="10"/>
    </row>
    <row r="858">
      <c r="A858" s="9"/>
      <c r="B858" s="9"/>
      <c r="C858" s="9"/>
      <c r="D858" s="9"/>
      <c r="E858" s="9"/>
      <c r="F858" s="9"/>
      <c r="G858" s="9"/>
      <c r="H858" s="9"/>
      <c r="I858" s="9"/>
      <c r="J858" s="9"/>
      <c r="K858" s="9"/>
      <c r="L858" s="115"/>
      <c r="M858" s="115"/>
      <c r="N858" s="115"/>
      <c r="O858" s="115"/>
      <c r="P858" s="9"/>
      <c r="Q858" s="9"/>
      <c r="R858" s="9"/>
      <c r="S858" s="9"/>
      <c r="T858" s="9"/>
      <c r="U858" s="9"/>
      <c r="V858" s="9"/>
      <c r="W858" s="10"/>
      <c r="X858" s="10"/>
      <c r="Y858" s="10"/>
      <c r="Z858" s="10"/>
    </row>
    <row r="859">
      <c r="A859" s="9"/>
      <c r="B859" s="9"/>
      <c r="C859" s="9"/>
      <c r="D859" s="9"/>
      <c r="E859" s="9"/>
      <c r="F859" s="9"/>
      <c r="G859" s="9"/>
      <c r="H859" s="9"/>
      <c r="I859" s="9"/>
      <c r="J859" s="9"/>
      <c r="K859" s="9"/>
      <c r="L859" s="115"/>
      <c r="M859" s="115"/>
      <c r="N859" s="115"/>
      <c r="O859" s="115"/>
      <c r="P859" s="9"/>
      <c r="Q859" s="9"/>
      <c r="R859" s="9"/>
      <c r="S859" s="9"/>
      <c r="T859" s="9"/>
      <c r="U859" s="9"/>
      <c r="V859" s="9"/>
      <c r="W859" s="10"/>
      <c r="X859" s="10"/>
      <c r="Y859" s="10"/>
      <c r="Z859" s="10"/>
    </row>
    <row r="860">
      <c r="A860" s="9"/>
      <c r="B860" s="9"/>
      <c r="C860" s="9"/>
      <c r="D860" s="9"/>
      <c r="E860" s="9"/>
      <c r="F860" s="9"/>
      <c r="G860" s="9"/>
      <c r="H860" s="9"/>
      <c r="I860" s="9"/>
      <c r="J860" s="9"/>
      <c r="K860" s="9"/>
      <c r="L860" s="115"/>
      <c r="M860" s="115"/>
      <c r="N860" s="115"/>
      <c r="O860" s="115"/>
      <c r="P860" s="9"/>
      <c r="Q860" s="9"/>
      <c r="R860" s="9"/>
      <c r="S860" s="9"/>
      <c r="T860" s="9"/>
      <c r="U860" s="9"/>
      <c r="V860" s="9"/>
      <c r="W860" s="10"/>
      <c r="X860" s="10"/>
      <c r="Y860" s="10"/>
      <c r="Z860" s="10"/>
    </row>
    <row r="861">
      <c r="A861" s="9"/>
      <c r="B861" s="9"/>
      <c r="C861" s="9"/>
      <c r="D861" s="9"/>
      <c r="E861" s="9"/>
      <c r="F861" s="9"/>
      <c r="G861" s="9"/>
      <c r="H861" s="9"/>
      <c r="I861" s="9"/>
      <c r="J861" s="9"/>
      <c r="K861" s="9"/>
      <c r="L861" s="115"/>
      <c r="M861" s="115"/>
      <c r="N861" s="115"/>
      <c r="O861" s="115"/>
      <c r="P861" s="9"/>
      <c r="Q861" s="9"/>
      <c r="R861" s="9"/>
      <c r="S861" s="9"/>
      <c r="T861" s="9"/>
      <c r="U861" s="9"/>
      <c r="V861" s="9"/>
      <c r="W861" s="10"/>
      <c r="X861" s="10"/>
      <c r="Y861" s="10"/>
      <c r="Z861" s="10"/>
    </row>
    <row r="862">
      <c r="A862" s="9"/>
      <c r="B862" s="9"/>
      <c r="C862" s="9"/>
      <c r="D862" s="9"/>
      <c r="E862" s="9"/>
      <c r="F862" s="9"/>
      <c r="G862" s="9"/>
      <c r="H862" s="9"/>
      <c r="I862" s="9"/>
      <c r="J862" s="9"/>
      <c r="K862" s="9"/>
      <c r="L862" s="115"/>
      <c r="M862" s="115"/>
      <c r="N862" s="115"/>
      <c r="O862" s="115"/>
      <c r="P862" s="9"/>
      <c r="Q862" s="9"/>
      <c r="R862" s="9"/>
      <c r="S862" s="9"/>
      <c r="T862" s="9"/>
      <c r="U862" s="9"/>
      <c r="V862" s="9"/>
      <c r="W862" s="10"/>
      <c r="X862" s="10"/>
      <c r="Y862" s="10"/>
      <c r="Z862" s="10"/>
    </row>
    <row r="863">
      <c r="A863" s="9"/>
      <c r="B863" s="9"/>
      <c r="C863" s="9"/>
      <c r="D863" s="9"/>
      <c r="E863" s="9"/>
      <c r="F863" s="9"/>
      <c r="G863" s="9"/>
      <c r="H863" s="9"/>
      <c r="I863" s="9"/>
      <c r="J863" s="9"/>
      <c r="K863" s="9"/>
      <c r="L863" s="115"/>
      <c r="M863" s="115"/>
      <c r="N863" s="115"/>
      <c r="O863" s="115"/>
      <c r="P863" s="9"/>
      <c r="Q863" s="9"/>
      <c r="R863" s="9"/>
      <c r="S863" s="9"/>
      <c r="T863" s="9"/>
      <c r="U863" s="9"/>
      <c r="V863" s="9"/>
      <c r="W863" s="10"/>
      <c r="X863" s="10"/>
      <c r="Y863" s="10"/>
      <c r="Z863" s="10"/>
    </row>
    <row r="864">
      <c r="A864" s="9"/>
      <c r="B864" s="9"/>
      <c r="C864" s="9"/>
      <c r="D864" s="9"/>
      <c r="E864" s="9"/>
      <c r="F864" s="9"/>
      <c r="G864" s="9"/>
      <c r="H864" s="9"/>
      <c r="I864" s="9"/>
      <c r="J864" s="9"/>
      <c r="K864" s="9"/>
      <c r="L864" s="115"/>
      <c r="M864" s="115"/>
      <c r="N864" s="115"/>
      <c r="O864" s="115"/>
      <c r="P864" s="9"/>
      <c r="Q864" s="9"/>
      <c r="R864" s="9"/>
      <c r="S864" s="9"/>
      <c r="T864" s="9"/>
      <c r="U864" s="9"/>
      <c r="V864" s="9"/>
      <c r="W864" s="10"/>
      <c r="X864" s="10"/>
      <c r="Y864" s="10"/>
      <c r="Z864" s="10"/>
    </row>
    <row r="865">
      <c r="A865" s="9"/>
      <c r="B865" s="9"/>
      <c r="C865" s="9"/>
      <c r="D865" s="9"/>
      <c r="E865" s="9"/>
      <c r="F865" s="9"/>
      <c r="G865" s="9"/>
      <c r="H865" s="9"/>
      <c r="I865" s="9"/>
      <c r="J865" s="9"/>
      <c r="K865" s="9"/>
      <c r="L865" s="115"/>
      <c r="M865" s="115"/>
      <c r="N865" s="115"/>
      <c r="O865" s="115"/>
      <c r="P865" s="9"/>
      <c r="Q865" s="9"/>
      <c r="R865" s="9"/>
      <c r="S865" s="9"/>
      <c r="T865" s="9"/>
      <c r="U865" s="9"/>
      <c r="V865" s="9"/>
      <c r="W865" s="10"/>
      <c r="X865" s="10"/>
      <c r="Y865" s="10"/>
      <c r="Z865" s="10"/>
    </row>
    <row r="866">
      <c r="A866" s="9"/>
      <c r="B866" s="9"/>
      <c r="C866" s="9"/>
      <c r="D866" s="9"/>
      <c r="E866" s="9"/>
      <c r="F866" s="9"/>
      <c r="G866" s="9"/>
      <c r="H866" s="9"/>
      <c r="I866" s="9"/>
      <c r="J866" s="9"/>
      <c r="K866" s="9"/>
      <c r="L866" s="115"/>
      <c r="M866" s="115"/>
      <c r="N866" s="115"/>
      <c r="O866" s="115"/>
      <c r="P866" s="9"/>
      <c r="Q866" s="9"/>
      <c r="R866" s="9"/>
      <c r="S866" s="9"/>
      <c r="T866" s="9"/>
      <c r="U866" s="9"/>
      <c r="V866" s="9"/>
      <c r="W866" s="10"/>
      <c r="X866" s="10"/>
      <c r="Y866" s="10"/>
      <c r="Z866" s="10"/>
    </row>
    <row r="867">
      <c r="A867" s="9"/>
      <c r="B867" s="9"/>
      <c r="C867" s="9"/>
      <c r="D867" s="9"/>
      <c r="E867" s="9"/>
      <c r="F867" s="9"/>
      <c r="G867" s="9"/>
      <c r="H867" s="9"/>
      <c r="I867" s="9"/>
      <c r="J867" s="9"/>
      <c r="K867" s="9"/>
      <c r="L867" s="115"/>
      <c r="M867" s="115"/>
      <c r="N867" s="115"/>
      <c r="O867" s="115"/>
      <c r="P867" s="9"/>
      <c r="Q867" s="9"/>
      <c r="R867" s="9"/>
      <c r="S867" s="9"/>
      <c r="T867" s="9"/>
      <c r="U867" s="9"/>
      <c r="V867" s="9"/>
      <c r="W867" s="10"/>
      <c r="X867" s="10"/>
      <c r="Y867" s="10"/>
      <c r="Z867" s="10"/>
    </row>
    <row r="868">
      <c r="A868" s="9"/>
      <c r="B868" s="9"/>
      <c r="C868" s="9"/>
      <c r="D868" s="9"/>
      <c r="E868" s="9"/>
      <c r="F868" s="9"/>
      <c r="G868" s="9"/>
      <c r="H868" s="9"/>
      <c r="I868" s="9"/>
      <c r="J868" s="9"/>
      <c r="K868" s="9"/>
      <c r="L868" s="115"/>
      <c r="M868" s="115"/>
      <c r="N868" s="115"/>
      <c r="O868" s="115"/>
      <c r="P868" s="9"/>
      <c r="Q868" s="9"/>
      <c r="R868" s="9"/>
      <c r="S868" s="9"/>
      <c r="T868" s="9"/>
      <c r="U868" s="9"/>
      <c r="V868" s="9"/>
      <c r="W868" s="10"/>
      <c r="X868" s="10"/>
      <c r="Y868" s="10"/>
      <c r="Z868" s="10"/>
    </row>
    <row r="869">
      <c r="A869" s="9"/>
      <c r="B869" s="9"/>
      <c r="C869" s="9"/>
      <c r="D869" s="9"/>
      <c r="E869" s="9"/>
      <c r="F869" s="9"/>
      <c r="G869" s="9"/>
      <c r="H869" s="9"/>
      <c r="I869" s="9"/>
      <c r="J869" s="9"/>
      <c r="K869" s="9"/>
      <c r="L869" s="115"/>
      <c r="M869" s="115"/>
      <c r="N869" s="115"/>
      <c r="O869" s="115"/>
      <c r="P869" s="9"/>
      <c r="Q869" s="9"/>
      <c r="R869" s="9"/>
      <c r="S869" s="9"/>
      <c r="T869" s="9"/>
      <c r="U869" s="9"/>
      <c r="V869" s="9"/>
      <c r="W869" s="10"/>
      <c r="X869" s="10"/>
      <c r="Y869" s="10"/>
      <c r="Z869" s="10"/>
    </row>
    <row r="870">
      <c r="A870" s="9"/>
      <c r="B870" s="9"/>
      <c r="C870" s="9"/>
      <c r="D870" s="9"/>
      <c r="E870" s="9"/>
      <c r="F870" s="9"/>
      <c r="G870" s="9"/>
      <c r="H870" s="9"/>
      <c r="I870" s="9"/>
      <c r="J870" s="9"/>
      <c r="K870" s="9"/>
      <c r="L870" s="115"/>
      <c r="M870" s="115"/>
      <c r="N870" s="115"/>
      <c r="O870" s="115"/>
      <c r="P870" s="9"/>
      <c r="Q870" s="9"/>
      <c r="R870" s="9"/>
      <c r="S870" s="9"/>
      <c r="T870" s="9"/>
      <c r="U870" s="9"/>
      <c r="V870" s="9"/>
      <c r="W870" s="10"/>
      <c r="X870" s="10"/>
      <c r="Y870" s="10"/>
      <c r="Z870" s="10"/>
    </row>
    <row r="871">
      <c r="A871" s="9"/>
      <c r="B871" s="9"/>
      <c r="C871" s="9"/>
      <c r="D871" s="9"/>
      <c r="E871" s="9"/>
      <c r="F871" s="9"/>
      <c r="G871" s="9"/>
      <c r="H871" s="9"/>
      <c r="I871" s="9"/>
      <c r="J871" s="9"/>
      <c r="K871" s="9"/>
      <c r="L871" s="115"/>
      <c r="M871" s="115"/>
      <c r="N871" s="115"/>
      <c r="O871" s="115"/>
      <c r="P871" s="9"/>
      <c r="Q871" s="9"/>
      <c r="R871" s="9"/>
      <c r="S871" s="9"/>
      <c r="T871" s="9"/>
      <c r="U871" s="9"/>
      <c r="V871" s="9"/>
      <c r="W871" s="10"/>
      <c r="X871" s="10"/>
      <c r="Y871" s="10"/>
      <c r="Z871" s="10"/>
    </row>
    <row r="872">
      <c r="A872" s="9"/>
      <c r="B872" s="9"/>
      <c r="C872" s="9"/>
      <c r="D872" s="9"/>
      <c r="E872" s="9"/>
      <c r="F872" s="9"/>
      <c r="G872" s="9"/>
      <c r="H872" s="9"/>
      <c r="I872" s="9"/>
      <c r="J872" s="9"/>
      <c r="K872" s="9"/>
      <c r="L872" s="115"/>
      <c r="M872" s="115"/>
      <c r="N872" s="115"/>
      <c r="O872" s="115"/>
      <c r="P872" s="9"/>
      <c r="Q872" s="9"/>
      <c r="R872" s="9"/>
      <c r="S872" s="9"/>
      <c r="T872" s="9"/>
      <c r="U872" s="9"/>
      <c r="V872" s="9"/>
      <c r="W872" s="10"/>
      <c r="X872" s="10"/>
      <c r="Y872" s="10"/>
      <c r="Z872" s="10"/>
    </row>
    <row r="873">
      <c r="A873" s="9"/>
      <c r="B873" s="9"/>
      <c r="C873" s="9"/>
      <c r="D873" s="9"/>
      <c r="E873" s="9"/>
      <c r="F873" s="9"/>
      <c r="G873" s="9"/>
      <c r="H873" s="9"/>
      <c r="I873" s="9"/>
      <c r="J873" s="9"/>
      <c r="K873" s="9"/>
      <c r="L873" s="115"/>
      <c r="M873" s="115"/>
      <c r="N873" s="115"/>
      <c r="O873" s="115"/>
      <c r="P873" s="9"/>
      <c r="Q873" s="9"/>
      <c r="R873" s="9"/>
      <c r="S873" s="9"/>
      <c r="T873" s="9"/>
      <c r="U873" s="9"/>
      <c r="V873" s="9"/>
      <c r="W873" s="10"/>
      <c r="X873" s="10"/>
      <c r="Y873" s="10"/>
      <c r="Z873" s="10"/>
    </row>
    <row r="874">
      <c r="A874" s="9"/>
      <c r="B874" s="9"/>
      <c r="C874" s="9"/>
      <c r="D874" s="9"/>
      <c r="E874" s="9"/>
      <c r="F874" s="9"/>
      <c r="G874" s="9"/>
      <c r="H874" s="9"/>
      <c r="I874" s="9"/>
      <c r="J874" s="9"/>
      <c r="K874" s="9"/>
      <c r="L874" s="115"/>
      <c r="M874" s="115"/>
      <c r="N874" s="115"/>
      <c r="O874" s="115"/>
      <c r="P874" s="9"/>
      <c r="Q874" s="9"/>
      <c r="R874" s="9"/>
      <c r="S874" s="9"/>
      <c r="T874" s="9"/>
      <c r="U874" s="9"/>
      <c r="V874" s="9"/>
      <c r="W874" s="10"/>
      <c r="X874" s="10"/>
      <c r="Y874" s="10"/>
      <c r="Z874" s="10"/>
    </row>
    <row r="875">
      <c r="A875" s="9"/>
      <c r="B875" s="9"/>
      <c r="C875" s="9"/>
      <c r="D875" s="9"/>
      <c r="E875" s="9"/>
      <c r="F875" s="9"/>
      <c r="G875" s="9"/>
      <c r="H875" s="9"/>
      <c r="I875" s="9"/>
      <c r="J875" s="9"/>
      <c r="K875" s="9"/>
      <c r="L875" s="115"/>
      <c r="M875" s="115"/>
      <c r="N875" s="115"/>
      <c r="O875" s="115"/>
      <c r="P875" s="9"/>
      <c r="Q875" s="9"/>
      <c r="R875" s="9"/>
      <c r="S875" s="9"/>
      <c r="T875" s="9"/>
      <c r="U875" s="9"/>
      <c r="V875" s="9"/>
      <c r="W875" s="10"/>
      <c r="X875" s="10"/>
      <c r="Y875" s="10"/>
      <c r="Z875" s="10"/>
    </row>
    <row r="876">
      <c r="A876" s="9"/>
      <c r="B876" s="9"/>
      <c r="C876" s="9"/>
      <c r="D876" s="9"/>
      <c r="E876" s="9"/>
      <c r="F876" s="9"/>
      <c r="G876" s="9"/>
      <c r="H876" s="9"/>
      <c r="I876" s="9"/>
      <c r="J876" s="9"/>
      <c r="K876" s="9"/>
      <c r="L876" s="115"/>
      <c r="M876" s="115"/>
      <c r="N876" s="115"/>
      <c r="O876" s="115"/>
      <c r="P876" s="9"/>
      <c r="Q876" s="9"/>
      <c r="R876" s="9"/>
      <c r="S876" s="9"/>
      <c r="T876" s="9"/>
      <c r="U876" s="9"/>
      <c r="V876" s="9"/>
      <c r="W876" s="10"/>
      <c r="X876" s="10"/>
      <c r="Y876" s="10"/>
      <c r="Z876" s="10"/>
    </row>
    <row r="877">
      <c r="A877" s="9"/>
      <c r="B877" s="9"/>
      <c r="C877" s="9"/>
      <c r="D877" s="9"/>
      <c r="E877" s="9"/>
      <c r="F877" s="9"/>
      <c r="G877" s="9"/>
      <c r="H877" s="9"/>
      <c r="I877" s="9"/>
      <c r="J877" s="9"/>
      <c r="K877" s="9"/>
      <c r="L877" s="115"/>
      <c r="M877" s="115"/>
      <c r="N877" s="115"/>
      <c r="O877" s="115"/>
      <c r="P877" s="9"/>
      <c r="Q877" s="9"/>
      <c r="R877" s="9"/>
      <c r="S877" s="9"/>
      <c r="T877" s="9"/>
      <c r="U877" s="9"/>
      <c r="V877" s="9"/>
      <c r="W877" s="10"/>
      <c r="X877" s="10"/>
      <c r="Y877" s="10"/>
      <c r="Z877" s="10"/>
    </row>
    <row r="878">
      <c r="A878" s="9"/>
      <c r="B878" s="9"/>
      <c r="C878" s="9"/>
      <c r="D878" s="9"/>
      <c r="E878" s="9"/>
      <c r="F878" s="9"/>
      <c r="G878" s="9"/>
      <c r="H878" s="9"/>
      <c r="I878" s="9"/>
      <c r="J878" s="9"/>
      <c r="K878" s="9"/>
      <c r="L878" s="115"/>
      <c r="M878" s="115"/>
      <c r="N878" s="115"/>
      <c r="O878" s="115"/>
      <c r="P878" s="9"/>
      <c r="Q878" s="9"/>
      <c r="R878" s="9"/>
      <c r="S878" s="9"/>
      <c r="T878" s="9"/>
      <c r="U878" s="9"/>
      <c r="V878" s="9"/>
      <c r="W878" s="10"/>
      <c r="X878" s="10"/>
      <c r="Y878" s="10"/>
      <c r="Z878" s="10"/>
    </row>
    <row r="879">
      <c r="A879" s="9"/>
      <c r="B879" s="9"/>
      <c r="C879" s="9"/>
      <c r="D879" s="9"/>
      <c r="E879" s="9"/>
      <c r="F879" s="9"/>
      <c r="G879" s="9"/>
      <c r="H879" s="9"/>
      <c r="I879" s="9"/>
      <c r="J879" s="9"/>
      <c r="K879" s="9"/>
      <c r="L879" s="115"/>
      <c r="M879" s="115"/>
      <c r="N879" s="115"/>
      <c r="O879" s="115"/>
      <c r="P879" s="9"/>
      <c r="Q879" s="9"/>
      <c r="R879" s="9"/>
      <c r="S879" s="9"/>
      <c r="T879" s="9"/>
      <c r="U879" s="9"/>
      <c r="V879" s="9"/>
      <c r="W879" s="10"/>
      <c r="X879" s="10"/>
      <c r="Y879" s="10"/>
      <c r="Z879" s="10"/>
    </row>
    <row r="880">
      <c r="A880" s="9"/>
      <c r="B880" s="9"/>
      <c r="C880" s="9"/>
      <c r="D880" s="9"/>
      <c r="E880" s="9"/>
      <c r="F880" s="9"/>
      <c r="G880" s="9"/>
      <c r="H880" s="9"/>
      <c r="I880" s="9"/>
      <c r="J880" s="9"/>
      <c r="K880" s="9"/>
      <c r="L880" s="115"/>
      <c r="M880" s="115"/>
      <c r="N880" s="115"/>
      <c r="O880" s="115"/>
      <c r="P880" s="9"/>
      <c r="Q880" s="9"/>
      <c r="R880" s="9"/>
      <c r="S880" s="9"/>
      <c r="T880" s="9"/>
      <c r="U880" s="9"/>
      <c r="V880" s="9"/>
      <c r="W880" s="10"/>
      <c r="X880" s="10"/>
      <c r="Y880" s="10"/>
      <c r="Z880" s="10"/>
    </row>
    <row r="881">
      <c r="A881" s="9"/>
      <c r="B881" s="9"/>
      <c r="C881" s="9"/>
      <c r="D881" s="9"/>
      <c r="E881" s="9"/>
      <c r="F881" s="9"/>
      <c r="G881" s="9"/>
      <c r="H881" s="9"/>
      <c r="I881" s="9"/>
      <c r="J881" s="9"/>
      <c r="K881" s="9"/>
      <c r="L881" s="115"/>
      <c r="M881" s="115"/>
      <c r="N881" s="115"/>
      <c r="O881" s="115"/>
      <c r="P881" s="9"/>
      <c r="Q881" s="9"/>
      <c r="R881" s="9"/>
      <c r="S881" s="9"/>
      <c r="T881" s="9"/>
      <c r="U881" s="9"/>
      <c r="V881" s="9"/>
      <c r="W881" s="10"/>
      <c r="X881" s="10"/>
      <c r="Y881" s="10"/>
      <c r="Z881" s="10"/>
    </row>
    <row r="882">
      <c r="A882" s="9"/>
      <c r="B882" s="9"/>
      <c r="C882" s="9"/>
      <c r="D882" s="9"/>
      <c r="E882" s="9"/>
      <c r="F882" s="9"/>
      <c r="G882" s="9"/>
      <c r="H882" s="9"/>
      <c r="I882" s="9"/>
      <c r="J882" s="9"/>
      <c r="K882" s="9"/>
      <c r="L882" s="115"/>
      <c r="M882" s="115"/>
      <c r="N882" s="115"/>
      <c r="O882" s="115"/>
      <c r="P882" s="9"/>
      <c r="Q882" s="9"/>
      <c r="R882" s="9"/>
      <c r="S882" s="9"/>
      <c r="T882" s="9"/>
      <c r="U882" s="9"/>
      <c r="V882" s="9"/>
      <c r="W882" s="10"/>
      <c r="X882" s="10"/>
      <c r="Y882" s="10"/>
      <c r="Z882" s="10"/>
    </row>
    <row r="883">
      <c r="A883" s="9"/>
      <c r="B883" s="9"/>
      <c r="C883" s="9"/>
      <c r="D883" s="9"/>
      <c r="E883" s="9"/>
      <c r="F883" s="9"/>
      <c r="G883" s="9"/>
      <c r="H883" s="9"/>
      <c r="I883" s="9"/>
      <c r="J883" s="9"/>
      <c r="K883" s="9"/>
      <c r="L883" s="115"/>
      <c r="M883" s="115"/>
      <c r="N883" s="115"/>
      <c r="O883" s="115"/>
      <c r="P883" s="9"/>
      <c r="Q883" s="9"/>
      <c r="R883" s="9"/>
      <c r="S883" s="9"/>
      <c r="T883" s="9"/>
      <c r="U883" s="9"/>
      <c r="V883" s="9"/>
      <c r="W883" s="10"/>
      <c r="X883" s="10"/>
      <c r="Y883" s="10"/>
      <c r="Z883" s="10"/>
    </row>
    <row r="884">
      <c r="A884" s="9"/>
      <c r="B884" s="9"/>
      <c r="C884" s="9"/>
      <c r="D884" s="9"/>
      <c r="E884" s="9"/>
      <c r="F884" s="9"/>
      <c r="G884" s="9"/>
      <c r="H884" s="9"/>
      <c r="I884" s="9"/>
      <c r="J884" s="9"/>
      <c r="K884" s="9"/>
      <c r="L884" s="115"/>
      <c r="M884" s="115"/>
      <c r="N884" s="115"/>
      <c r="O884" s="115"/>
      <c r="P884" s="9"/>
      <c r="Q884" s="9"/>
      <c r="R884" s="9"/>
      <c r="S884" s="9"/>
      <c r="T884" s="9"/>
      <c r="U884" s="9"/>
      <c r="V884" s="9"/>
      <c r="W884" s="10"/>
      <c r="X884" s="10"/>
      <c r="Y884" s="10"/>
      <c r="Z884" s="10"/>
    </row>
    <row r="885">
      <c r="A885" s="9"/>
      <c r="B885" s="9"/>
      <c r="C885" s="9"/>
      <c r="D885" s="9"/>
      <c r="E885" s="9"/>
      <c r="F885" s="9"/>
      <c r="G885" s="9"/>
      <c r="H885" s="9"/>
      <c r="I885" s="9"/>
      <c r="J885" s="9"/>
      <c r="K885" s="9"/>
      <c r="L885" s="115"/>
      <c r="M885" s="115"/>
      <c r="N885" s="115"/>
      <c r="O885" s="115"/>
      <c r="P885" s="9"/>
      <c r="Q885" s="9"/>
      <c r="R885" s="9"/>
      <c r="S885" s="9"/>
      <c r="T885" s="9"/>
      <c r="U885" s="9"/>
      <c r="V885" s="9"/>
      <c r="W885" s="10"/>
      <c r="X885" s="10"/>
      <c r="Y885" s="10"/>
      <c r="Z885" s="10"/>
    </row>
    <row r="886">
      <c r="A886" s="9"/>
      <c r="B886" s="9"/>
      <c r="C886" s="9"/>
      <c r="D886" s="9"/>
      <c r="E886" s="9"/>
      <c r="F886" s="9"/>
      <c r="G886" s="9"/>
      <c r="H886" s="9"/>
      <c r="I886" s="9"/>
      <c r="J886" s="9"/>
      <c r="K886" s="9"/>
      <c r="L886" s="115"/>
      <c r="M886" s="115"/>
      <c r="N886" s="115"/>
      <c r="O886" s="115"/>
      <c r="P886" s="9"/>
      <c r="Q886" s="9"/>
      <c r="R886" s="9"/>
      <c r="S886" s="9"/>
      <c r="T886" s="9"/>
      <c r="U886" s="9"/>
      <c r="V886" s="9"/>
      <c r="W886" s="10"/>
      <c r="X886" s="10"/>
      <c r="Y886" s="10"/>
      <c r="Z886" s="10"/>
    </row>
    <row r="887">
      <c r="A887" s="9"/>
      <c r="B887" s="9"/>
      <c r="C887" s="9"/>
      <c r="D887" s="9"/>
      <c r="E887" s="9"/>
      <c r="F887" s="9"/>
      <c r="G887" s="9"/>
      <c r="H887" s="9"/>
      <c r="I887" s="9"/>
      <c r="J887" s="9"/>
      <c r="K887" s="9"/>
      <c r="L887" s="115"/>
      <c r="M887" s="115"/>
      <c r="N887" s="115"/>
      <c r="O887" s="115"/>
      <c r="P887" s="9"/>
      <c r="Q887" s="9"/>
      <c r="R887" s="9"/>
      <c r="S887" s="9"/>
      <c r="T887" s="9"/>
      <c r="U887" s="9"/>
      <c r="V887" s="9"/>
      <c r="W887" s="10"/>
      <c r="X887" s="10"/>
      <c r="Y887" s="10"/>
      <c r="Z887" s="10"/>
    </row>
    <row r="888">
      <c r="A888" s="9"/>
      <c r="B888" s="9"/>
      <c r="C888" s="9"/>
      <c r="D888" s="9"/>
      <c r="E888" s="9"/>
      <c r="F888" s="9"/>
      <c r="G888" s="9"/>
      <c r="H888" s="9"/>
      <c r="I888" s="9"/>
      <c r="J888" s="9"/>
      <c r="K888" s="9"/>
      <c r="L888" s="115"/>
      <c r="M888" s="115"/>
      <c r="N888" s="115"/>
      <c r="O888" s="115"/>
      <c r="P888" s="9"/>
      <c r="Q888" s="9"/>
      <c r="R888" s="9"/>
      <c r="S888" s="9"/>
      <c r="T888" s="9"/>
      <c r="U888" s="9"/>
      <c r="V888" s="9"/>
      <c r="W888" s="10"/>
      <c r="X888" s="10"/>
      <c r="Y888" s="10"/>
      <c r="Z888" s="10"/>
    </row>
    <row r="889">
      <c r="A889" s="9"/>
      <c r="B889" s="9"/>
      <c r="C889" s="9"/>
      <c r="D889" s="9"/>
      <c r="E889" s="9"/>
      <c r="F889" s="9"/>
      <c r="G889" s="9"/>
      <c r="H889" s="9"/>
      <c r="I889" s="9"/>
      <c r="J889" s="9"/>
      <c r="K889" s="9"/>
      <c r="L889" s="115"/>
      <c r="M889" s="115"/>
      <c r="N889" s="115"/>
      <c r="O889" s="115"/>
      <c r="P889" s="9"/>
      <c r="Q889" s="9"/>
      <c r="R889" s="9"/>
      <c r="S889" s="9"/>
      <c r="T889" s="9"/>
      <c r="U889" s="9"/>
      <c r="V889" s="9"/>
      <c r="W889" s="10"/>
      <c r="X889" s="10"/>
      <c r="Y889" s="10"/>
      <c r="Z889" s="10"/>
    </row>
    <row r="890">
      <c r="A890" s="9"/>
      <c r="B890" s="9"/>
      <c r="C890" s="9"/>
      <c r="D890" s="9"/>
      <c r="E890" s="9"/>
      <c r="F890" s="9"/>
      <c r="G890" s="9"/>
      <c r="H890" s="9"/>
      <c r="I890" s="9"/>
      <c r="J890" s="9"/>
      <c r="K890" s="9"/>
      <c r="L890" s="115"/>
      <c r="M890" s="115"/>
      <c r="N890" s="115"/>
      <c r="O890" s="115"/>
      <c r="P890" s="9"/>
      <c r="Q890" s="9"/>
      <c r="R890" s="9"/>
      <c r="S890" s="9"/>
      <c r="T890" s="9"/>
      <c r="U890" s="9"/>
      <c r="V890" s="9"/>
      <c r="W890" s="10"/>
      <c r="X890" s="10"/>
      <c r="Y890" s="10"/>
      <c r="Z890" s="10"/>
    </row>
    <row r="891">
      <c r="A891" s="9"/>
      <c r="B891" s="9"/>
      <c r="C891" s="9"/>
      <c r="D891" s="9"/>
      <c r="E891" s="9"/>
      <c r="F891" s="9"/>
      <c r="G891" s="9"/>
      <c r="H891" s="9"/>
      <c r="I891" s="9"/>
      <c r="J891" s="9"/>
      <c r="K891" s="9"/>
      <c r="L891" s="115"/>
      <c r="M891" s="115"/>
      <c r="N891" s="115"/>
      <c r="O891" s="115"/>
      <c r="P891" s="9"/>
      <c r="Q891" s="9"/>
      <c r="R891" s="9"/>
      <c r="S891" s="9"/>
      <c r="T891" s="9"/>
      <c r="U891" s="9"/>
      <c r="V891" s="9"/>
      <c r="W891" s="10"/>
      <c r="X891" s="10"/>
      <c r="Y891" s="10"/>
      <c r="Z891" s="10"/>
    </row>
    <row r="892">
      <c r="A892" s="9"/>
      <c r="B892" s="9"/>
      <c r="C892" s="9"/>
      <c r="D892" s="9"/>
      <c r="E892" s="9"/>
      <c r="F892" s="9"/>
      <c r="G892" s="9"/>
      <c r="H892" s="9"/>
      <c r="I892" s="9"/>
      <c r="J892" s="9"/>
      <c r="K892" s="9"/>
      <c r="L892" s="115"/>
      <c r="M892" s="115"/>
      <c r="N892" s="115"/>
      <c r="O892" s="115"/>
      <c r="P892" s="9"/>
      <c r="Q892" s="9"/>
      <c r="R892" s="9"/>
      <c r="S892" s="9"/>
      <c r="T892" s="9"/>
      <c r="U892" s="9"/>
      <c r="V892" s="9"/>
      <c r="W892" s="10"/>
      <c r="X892" s="10"/>
      <c r="Y892" s="10"/>
      <c r="Z892" s="10"/>
    </row>
    <row r="893">
      <c r="A893" s="9"/>
      <c r="B893" s="9"/>
      <c r="C893" s="9"/>
      <c r="D893" s="9"/>
      <c r="E893" s="9"/>
      <c r="F893" s="9"/>
      <c r="G893" s="9"/>
      <c r="H893" s="9"/>
      <c r="I893" s="9"/>
      <c r="J893" s="9"/>
      <c r="K893" s="9"/>
      <c r="L893" s="115"/>
      <c r="M893" s="115"/>
      <c r="N893" s="115"/>
      <c r="O893" s="115"/>
      <c r="P893" s="9"/>
      <c r="Q893" s="9"/>
      <c r="R893" s="9"/>
      <c r="S893" s="9"/>
      <c r="T893" s="9"/>
      <c r="U893" s="9"/>
      <c r="V893" s="9"/>
      <c r="W893" s="10"/>
      <c r="X893" s="10"/>
      <c r="Y893" s="10"/>
      <c r="Z893" s="10"/>
    </row>
    <row r="894">
      <c r="A894" s="9"/>
      <c r="B894" s="9"/>
      <c r="C894" s="9"/>
      <c r="D894" s="9"/>
      <c r="E894" s="9"/>
      <c r="F894" s="9"/>
      <c r="G894" s="9"/>
      <c r="H894" s="9"/>
      <c r="I894" s="9"/>
      <c r="J894" s="9"/>
      <c r="K894" s="9"/>
      <c r="L894" s="115"/>
      <c r="M894" s="115"/>
      <c r="N894" s="115"/>
      <c r="O894" s="115"/>
      <c r="P894" s="9"/>
      <c r="Q894" s="9"/>
      <c r="R894" s="9"/>
      <c r="S894" s="9"/>
      <c r="T894" s="9"/>
      <c r="U894" s="9"/>
      <c r="V894" s="9"/>
      <c r="W894" s="10"/>
      <c r="X894" s="10"/>
      <c r="Y894" s="10"/>
      <c r="Z894" s="10"/>
    </row>
    <row r="895">
      <c r="A895" s="9"/>
      <c r="B895" s="9"/>
      <c r="C895" s="9"/>
      <c r="D895" s="9"/>
      <c r="E895" s="9"/>
      <c r="F895" s="9"/>
      <c r="G895" s="9"/>
      <c r="H895" s="9"/>
      <c r="I895" s="9"/>
      <c r="J895" s="9"/>
      <c r="K895" s="9"/>
      <c r="L895" s="115"/>
      <c r="M895" s="115"/>
      <c r="N895" s="115"/>
      <c r="O895" s="115"/>
      <c r="P895" s="9"/>
      <c r="Q895" s="9"/>
      <c r="R895" s="9"/>
      <c r="S895" s="9"/>
      <c r="T895" s="9"/>
      <c r="U895" s="9"/>
      <c r="V895" s="9"/>
      <c r="W895" s="10"/>
      <c r="X895" s="10"/>
      <c r="Y895" s="10"/>
      <c r="Z895" s="10"/>
    </row>
    <row r="896">
      <c r="A896" s="9"/>
      <c r="B896" s="9"/>
      <c r="C896" s="9"/>
      <c r="D896" s="9"/>
      <c r="E896" s="9"/>
      <c r="F896" s="9"/>
      <c r="G896" s="9"/>
      <c r="H896" s="9"/>
      <c r="I896" s="9"/>
      <c r="J896" s="9"/>
      <c r="K896" s="9"/>
      <c r="L896" s="115"/>
      <c r="M896" s="115"/>
      <c r="N896" s="115"/>
      <c r="O896" s="115"/>
      <c r="P896" s="9"/>
      <c r="Q896" s="9"/>
      <c r="R896" s="9"/>
      <c r="S896" s="9"/>
      <c r="T896" s="9"/>
      <c r="U896" s="9"/>
      <c r="V896" s="9"/>
      <c r="W896" s="10"/>
      <c r="X896" s="10"/>
      <c r="Y896" s="10"/>
      <c r="Z896" s="10"/>
    </row>
    <row r="897">
      <c r="A897" s="9"/>
      <c r="B897" s="9"/>
      <c r="C897" s="9"/>
      <c r="D897" s="9"/>
      <c r="E897" s="9"/>
      <c r="F897" s="9"/>
      <c r="G897" s="9"/>
      <c r="H897" s="9"/>
      <c r="I897" s="9"/>
      <c r="J897" s="9"/>
      <c r="K897" s="9"/>
      <c r="L897" s="115"/>
      <c r="M897" s="115"/>
      <c r="N897" s="115"/>
      <c r="O897" s="115"/>
      <c r="P897" s="9"/>
      <c r="Q897" s="9"/>
      <c r="R897" s="9"/>
      <c r="S897" s="9"/>
      <c r="T897" s="9"/>
      <c r="U897" s="9"/>
      <c r="V897" s="9"/>
      <c r="W897" s="10"/>
      <c r="X897" s="10"/>
      <c r="Y897" s="10"/>
      <c r="Z897" s="10"/>
    </row>
    <row r="898">
      <c r="A898" s="9"/>
      <c r="B898" s="9"/>
      <c r="C898" s="9"/>
      <c r="D898" s="9"/>
      <c r="E898" s="9"/>
      <c r="F898" s="9"/>
      <c r="G898" s="9"/>
      <c r="H898" s="9"/>
      <c r="I898" s="9"/>
      <c r="J898" s="9"/>
      <c r="K898" s="9"/>
      <c r="L898" s="115"/>
      <c r="M898" s="115"/>
      <c r="N898" s="115"/>
      <c r="O898" s="115"/>
      <c r="P898" s="9"/>
      <c r="Q898" s="9"/>
      <c r="R898" s="9"/>
      <c r="S898" s="9"/>
      <c r="T898" s="9"/>
      <c r="U898" s="9"/>
      <c r="V898" s="9"/>
      <c r="W898" s="10"/>
      <c r="X898" s="10"/>
      <c r="Y898" s="10"/>
      <c r="Z898" s="10"/>
    </row>
    <row r="899">
      <c r="A899" s="9"/>
      <c r="B899" s="9"/>
      <c r="C899" s="9"/>
      <c r="D899" s="9"/>
      <c r="E899" s="9"/>
      <c r="F899" s="9"/>
      <c r="G899" s="9"/>
      <c r="H899" s="9"/>
      <c r="I899" s="9"/>
      <c r="J899" s="9"/>
      <c r="K899" s="9"/>
      <c r="L899" s="115"/>
      <c r="M899" s="115"/>
      <c r="N899" s="115"/>
      <c r="O899" s="115"/>
      <c r="P899" s="9"/>
      <c r="Q899" s="9"/>
      <c r="R899" s="9"/>
      <c r="S899" s="9"/>
      <c r="T899" s="9"/>
      <c r="U899" s="9"/>
      <c r="V899" s="9"/>
      <c r="W899" s="10"/>
      <c r="X899" s="10"/>
      <c r="Y899" s="10"/>
      <c r="Z899" s="10"/>
    </row>
    <row r="900">
      <c r="A900" s="9"/>
      <c r="B900" s="9"/>
      <c r="C900" s="9"/>
      <c r="D900" s="9"/>
      <c r="E900" s="9"/>
      <c r="F900" s="9"/>
      <c r="G900" s="9"/>
      <c r="H900" s="9"/>
      <c r="I900" s="9"/>
      <c r="J900" s="9"/>
      <c r="K900" s="9"/>
      <c r="L900" s="115"/>
      <c r="M900" s="115"/>
      <c r="N900" s="115"/>
      <c r="O900" s="115"/>
      <c r="P900" s="9"/>
      <c r="Q900" s="9"/>
      <c r="R900" s="9"/>
      <c r="S900" s="9"/>
      <c r="T900" s="9"/>
      <c r="U900" s="9"/>
      <c r="V900" s="9"/>
      <c r="W900" s="10"/>
      <c r="X900" s="10"/>
      <c r="Y900" s="10"/>
      <c r="Z900" s="10"/>
    </row>
    <row r="901">
      <c r="A901" s="9"/>
      <c r="B901" s="9"/>
      <c r="C901" s="9"/>
      <c r="D901" s="9"/>
      <c r="E901" s="9"/>
      <c r="F901" s="9"/>
      <c r="G901" s="9"/>
      <c r="H901" s="9"/>
      <c r="I901" s="9"/>
      <c r="J901" s="9"/>
      <c r="K901" s="9"/>
      <c r="L901" s="115"/>
      <c r="M901" s="115"/>
      <c r="N901" s="115"/>
      <c r="O901" s="115"/>
      <c r="P901" s="9"/>
      <c r="Q901" s="9"/>
      <c r="R901" s="9"/>
      <c r="S901" s="9"/>
      <c r="T901" s="9"/>
      <c r="U901" s="9"/>
      <c r="V901" s="9"/>
      <c r="W901" s="10"/>
      <c r="X901" s="10"/>
      <c r="Y901" s="10"/>
      <c r="Z901" s="10"/>
    </row>
    <row r="902">
      <c r="A902" s="9"/>
      <c r="B902" s="9"/>
      <c r="C902" s="9"/>
      <c r="D902" s="9"/>
      <c r="E902" s="9"/>
      <c r="F902" s="9"/>
      <c r="G902" s="9"/>
      <c r="H902" s="9"/>
      <c r="I902" s="9"/>
      <c r="J902" s="9"/>
      <c r="K902" s="9"/>
      <c r="L902" s="115"/>
      <c r="M902" s="115"/>
      <c r="N902" s="115"/>
      <c r="O902" s="115"/>
      <c r="P902" s="9"/>
      <c r="Q902" s="9"/>
      <c r="R902" s="9"/>
      <c r="S902" s="9"/>
      <c r="T902" s="9"/>
      <c r="U902" s="9"/>
      <c r="V902" s="9"/>
      <c r="W902" s="10"/>
      <c r="X902" s="10"/>
      <c r="Y902" s="10"/>
      <c r="Z902" s="10"/>
    </row>
    <row r="903">
      <c r="A903" s="9"/>
      <c r="B903" s="9"/>
      <c r="C903" s="9"/>
      <c r="D903" s="9"/>
      <c r="E903" s="9"/>
      <c r="F903" s="9"/>
      <c r="G903" s="9"/>
      <c r="H903" s="9"/>
      <c r="I903" s="9"/>
      <c r="J903" s="9"/>
      <c r="K903" s="9"/>
      <c r="L903" s="115"/>
      <c r="M903" s="115"/>
      <c r="N903" s="115"/>
      <c r="O903" s="115"/>
      <c r="P903" s="9"/>
      <c r="Q903" s="9"/>
      <c r="R903" s="9"/>
      <c r="S903" s="9"/>
      <c r="T903" s="9"/>
      <c r="U903" s="9"/>
      <c r="V903" s="9"/>
      <c r="W903" s="10"/>
      <c r="X903" s="10"/>
      <c r="Y903" s="10"/>
      <c r="Z903" s="10"/>
    </row>
    <row r="904">
      <c r="A904" s="9"/>
      <c r="B904" s="9"/>
      <c r="C904" s="9"/>
      <c r="D904" s="9"/>
      <c r="E904" s="9"/>
      <c r="F904" s="9"/>
      <c r="G904" s="9"/>
      <c r="H904" s="9"/>
      <c r="I904" s="9"/>
      <c r="J904" s="9"/>
      <c r="K904" s="9"/>
      <c r="L904" s="115"/>
      <c r="M904" s="115"/>
      <c r="N904" s="115"/>
      <c r="O904" s="115"/>
      <c r="P904" s="9"/>
      <c r="Q904" s="9"/>
      <c r="R904" s="9"/>
      <c r="S904" s="9"/>
      <c r="T904" s="9"/>
      <c r="U904" s="9"/>
      <c r="V904" s="9"/>
      <c r="W904" s="10"/>
      <c r="X904" s="10"/>
      <c r="Y904" s="10"/>
      <c r="Z904" s="10"/>
    </row>
    <row r="905">
      <c r="A905" s="9"/>
      <c r="B905" s="9"/>
      <c r="C905" s="9"/>
      <c r="D905" s="9"/>
      <c r="E905" s="9"/>
      <c r="F905" s="9"/>
      <c r="G905" s="9"/>
      <c r="H905" s="9"/>
      <c r="I905" s="9"/>
      <c r="J905" s="9"/>
      <c r="K905" s="9"/>
      <c r="L905" s="115"/>
      <c r="M905" s="115"/>
      <c r="N905" s="115"/>
      <c r="O905" s="115"/>
      <c r="P905" s="9"/>
      <c r="Q905" s="9"/>
      <c r="R905" s="9"/>
      <c r="S905" s="9"/>
      <c r="T905" s="9"/>
      <c r="U905" s="9"/>
      <c r="V905" s="9"/>
      <c r="W905" s="10"/>
      <c r="X905" s="10"/>
      <c r="Y905" s="10"/>
      <c r="Z905" s="10"/>
    </row>
    <row r="906">
      <c r="A906" s="9"/>
      <c r="B906" s="9"/>
      <c r="C906" s="9"/>
      <c r="D906" s="9"/>
      <c r="E906" s="9"/>
      <c r="F906" s="9"/>
      <c r="G906" s="9"/>
      <c r="H906" s="9"/>
      <c r="I906" s="9"/>
      <c r="J906" s="9"/>
      <c r="K906" s="9"/>
      <c r="L906" s="115"/>
      <c r="M906" s="115"/>
      <c r="N906" s="115"/>
      <c r="O906" s="115"/>
      <c r="P906" s="9"/>
      <c r="Q906" s="9"/>
      <c r="R906" s="9"/>
      <c r="S906" s="9"/>
      <c r="T906" s="9"/>
      <c r="U906" s="9"/>
      <c r="V906" s="9"/>
      <c r="W906" s="10"/>
      <c r="X906" s="10"/>
      <c r="Y906" s="10"/>
      <c r="Z906" s="10"/>
    </row>
    <row r="907">
      <c r="A907" s="9"/>
      <c r="B907" s="9"/>
      <c r="C907" s="9"/>
      <c r="D907" s="9"/>
      <c r="E907" s="9"/>
      <c r="F907" s="9"/>
      <c r="G907" s="9"/>
      <c r="H907" s="9"/>
      <c r="I907" s="9"/>
      <c r="J907" s="9"/>
      <c r="K907" s="9"/>
      <c r="L907" s="115"/>
      <c r="M907" s="115"/>
      <c r="N907" s="115"/>
      <c r="O907" s="115"/>
      <c r="P907" s="9"/>
      <c r="Q907" s="9"/>
      <c r="R907" s="9"/>
      <c r="S907" s="9"/>
      <c r="T907" s="9"/>
      <c r="U907" s="9"/>
      <c r="V907" s="9"/>
      <c r="W907" s="10"/>
      <c r="X907" s="10"/>
      <c r="Y907" s="10"/>
      <c r="Z907" s="10"/>
    </row>
    <row r="908">
      <c r="A908" s="9"/>
      <c r="B908" s="9"/>
      <c r="C908" s="9"/>
      <c r="D908" s="9"/>
      <c r="E908" s="9"/>
      <c r="F908" s="9"/>
      <c r="G908" s="9"/>
      <c r="H908" s="9"/>
      <c r="I908" s="9"/>
      <c r="J908" s="9"/>
      <c r="K908" s="9"/>
      <c r="L908" s="115"/>
      <c r="M908" s="115"/>
      <c r="N908" s="115"/>
      <c r="O908" s="115"/>
      <c r="P908" s="9"/>
      <c r="Q908" s="9"/>
      <c r="R908" s="9"/>
      <c r="S908" s="9"/>
      <c r="T908" s="9"/>
      <c r="U908" s="9"/>
      <c r="V908" s="9"/>
      <c r="W908" s="10"/>
      <c r="X908" s="10"/>
      <c r="Y908" s="10"/>
      <c r="Z908" s="10"/>
    </row>
    <row r="909">
      <c r="A909" s="9"/>
      <c r="B909" s="9"/>
      <c r="C909" s="9"/>
      <c r="D909" s="9"/>
      <c r="E909" s="9"/>
      <c r="F909" s="9"/>
      <c r="G909" s="9"/>
      <c r="H909" s="9"/>
      <c r="I909" s="9"/>
      <c r="J909" s="9"/>
      <c r="K909" s="9"/>
      <c r="L909" s="115"/>
      <c r="M909" s="115"/>
      <c r="N909" s="115"/>
      <c r="O909" s="115"/>
      <c r="P909" s="9"/>
      <c r="Q909" s="9"/>
      <c r="R909" s="9"/>
      <c r="S909" s="9"/>
      <c r="T909" s="9"/>
      <c r="U909" s="9"/>
      <c r="V909" s="9"/>
      <c r="W909" s="10"/>
      <c r="X909" s="10"/>
      <c r="Y909" s="10"/>
      <c r="Z909" s="10"/>
    </row>
    <row r="910">
      <c r="A910" s="9"/>
      <c r="B910" s="9"/>
      <c r="C910" s="9"/>
      <c r="D910" s="9"/>
      <c r="E910" s="9"/>
      <c r="F910" s="9"/>
      <c r="G910" s="9"/>
      <c r="H910" s="9"/>
      <c r="I910" s="9"/>
      <c r="J910" s="9"/>
      <c r="K910" s="9"/>
      <c r="L910" s="115"/>
      <c r="M910" s="115"/>
      <c r="N910" s="115"/>
      <c r="O910" s="115"/>
      <c r="P910" s="9"/>
      <c r="Q910" s="9"/>
      <c r="R910" s="9"/>
      <c r="S910" s="9"/>
      <c r="T910" s="9"/>
      <c r="U910" s="9"/>
      <c r="V910" s="9"/>
      <c r="W910" s="10"/>
      <c r="X910" s="10"/>
      <c r="Y910" s="10"/>
      <c r="Z910" s="10"/>
    </row>
    <row r="911">
      <c r="A911" s="9"/>
      <c r="B911" s="9"/>
      <c r="C911" s="9"/>
      <c r="D911" s="9"/>
      <c r="E911" s="9"/>
      <c r="F911" s="9"/>
      <c r="G911" s="9"/>
      <c r="H911" s="9"/>
      <c r="I911" s="9"/>
      <c r="J911" s="9"/>
      <c r="K911" s="9"/>
      <c r="L911" s="115"/>
      <c r="M911" s="115"/>
      <c r="N911" s="115"/>
      <c r="O911" s="115"/>
      <c r="P911" s="9"/>
      <c r="Q911" s="9"/>
      <c r="R911" s="9"/>
      <c r="S911" s="9"/>
      <c r="T911" s="9"/>
      <c r="U911" s="9"/>
      <c r="V911" s="9"/>
      <c r="W911" s="10"/>
      <c r="X911" s="10"/>
      <c r="Y911" s="10"/>
      <c r="Z911" s="10"/>
    </row>
    <row r="912">
      <c r="A912" s="9"/>
      <c r="B912" s="9"/>
      <c r="C912" s="9"/>
      <c r="D912" s="9"/>
      <c r="E912" s="9"/>
      <c r="F912" s="9"/>
      <c r="G912" s="9"/>
      <c r="H912" s="9"/>
      <c r="I912" s="9"/>
      <c r="J912" s="9"/>
      <c r="K912" s="9"/>
      <c r="L912" s="115"/>
      <c r="M912" s="115"/>
      <c r="N912" s="115"/>
      <c r="O912" s="115"/>
      <c r="P912" s="9"/>
      <c r="Q912" s="9"/>
      <c r="R912" s="9"/>
      <c r="S912" s="9"/>
      <c r="T912" s="9"/>
      <c r="U912" s="9"/>
      <c r="V912" s="9"/>
      <c r="W912" s="10"/>
      <c r="X912" s="10"/>
      <c r="Y912" s="10"/>
      <c r="Z912" s="10"/>
    </row>
    <row r="913">
      <c r="A913" s="9"/>
      <c r="B913" s="9"/>
      <c r="C913" s="9"/>
      <c r="D913" s="9"/>
      <c r="E913" s="9"/>
      <c r="F913" s="9"/>
      <c r="G913" s="9"/>
      <c r="H913" s="9"/>
      <c r="I913" s="9"/>
      <c r="J913" s="9"/>
      <c r="K913" s="9"/>
      <c r="L913" s="115"/>
      <c r="M913" s="115"/>
      <c r="N913" s="115"/>
      <c r="O913" s="115"/>
      <c r="P913" s="9"/>
      <c r="Q913" s="9"/>
      <c r="R913" s="9"/>
      <c r="S913" s="9"/>
      <c r="T913" s="9"/>
      <c r="U913" s="9"/>
      <c r="V913" s="9"/>
      <c r="W913" s="10"/>
      <c r="X913" s="10"/>
      <c r="Y913" s="10"/>
      <c r="Z913" s="10"/>
    </row>
    <row r="914">
      <c r="A914" s="9"/>
      <c r="B914" s="9"/>
      <c r="C914" s="9"/>
      <c r="D914" s="9"/>
      <c r="E914" s="9"/>
      <c r="F914" s="9"/>
      <c r="G914" s="9"/>
      <c r="H914" s="9"/>
      <c r="I914" s="9"/>
      <c r="J914" s="9"/>
      <c r="K914" s="9"/>
      <c r="L914" s="115"/>
      <c r="M914" s="115"/>
      <c r="N914" s="115"/>
      <c r="O914" s="115"/>
      <c r="P914" s="9"/>
      <c r="Q914" s="9"/>
      <c r="R914" s="9"/>
      <c r="S914" s="9"/>
      <c r="T914" s="9"/>
      <c r="U914" s="9"/>
      <c r="V914" s="9"/>
      <c r="W914" s="10"/>
      <c r="X914" s="10"/>
      <c r="Y914" s="10"/>
      <c r="Z914" s="10"/>
    </row>
    <row r="915">
      <c r="A915" s="9"/>
      <c r="B915" s="9"/>
      <c r="C915" s="9"/>
      <c r="D915" s="9"/>
      <c r="E915" s="9"/>
      <c r="F915" s="9"/>
      <c r="G915" s="9"/>
      <c r="H915" s="9"/>
      <c r="I915" s="9"/>
      <c r="J915" s="9"/>
      <c r="K915" s="9"/>
      <c r="L915" s="115"/>
      <c r="M915" s="115"/>
      <c r="N915" s="115"/>
      <c r="O915" s="115"/>
      <c r="P915" s="9"/>
      <c r="Q915" s="9"/>
      <c r="R915" s="9"/>
      <c r="S915" s="9"/>
      <c r="T915" s="9"/>
      <c r="U915" s="9"/>
      <c r="V915" s="9"/>
      <c r="W915" s="10"/>
      <c r="X915" s="10"/>
      <c r="Y915" s="10"/>
      <c r="Z915" s="10"/>
    </row>
    <row r="916">
      <c r="A916" s="9"/>
      <c r="B916" s="9"/>
      <c r="C916" s="9"/>
      <c r="D916" s="9"/>
      <c r="E916" s="9"/>
      <c r="F916" s="9"/>
      <c r="G916" s="9"/>
      <c r="H916" s="9"/>
      <c r="I916" s="9"/>
      <c r="J916" s="9"/>
      <c r="K916" s="9"/>
      <c r="L916" s="115"/>
      <c r="M916" s="115"/>
      <c r="N916" s="115"/>
      <c r="O916" s="115"/>
      <c r="P916" s="9"/>
      <c r="Q916" s="9"/>
      <c r="R916" s="9"/>
      <c r="S916" s="9"/>
      <c r="T916" s="9"/>
      <c r="U916" s="9"/>
      <c r="V916" s="9"/>
      <c r="W916" s="10"/>
      <c r="X916" s="10"/>
      <c r="Y916" s="10"/>
      <c r="Z916" s="10"/>
    </row>
    <row r="917">
      <c r="A917" s="9"/>
      <c r="B917" s="9"/>
      <c r="C917" s="9"/>
      <c r="D917" s="9"/>
      <c r="E917" s="9"/>
      <c r="F917" s="9"/>
      <c r="G917" s="9"/>
      <c r="H917" s="9"/>
      <c r="I917" s="9"/>
      <c r="J917" s="9"/>
      <c r="K917" s="9"/>
      <c r="L917" s="115"/>
      <c r="M917" s="115"/>
      <c r="N917" s="115"/>
      <c r="O917" s="115"/>
      <c r="P917" s="9"/>
      <c r="Q917" s="9"/>
      <c r="R917" s="9"/>
      <c r="S917" s="9"/>
      <c r="T917" s="9"/>
      <c r="U917" s="9"/>
      <c r="V917" s="9"/>
      <c r="W917" s="10"/>
      <c r="X917" s="10"/>
      <c r="Y917" s="10"/>
      <c r="Z917" s="10"/>
    </row>
    <row r="918">
      <c r="A918" s="9"/>
      <c r="B918" s="9"/>
      <c r="C918" s="9"/>
      <c r="D918" s="9"/>
      <c r="E918" s="9"/>
      <c r="F918" s="9"/>
      <c r="G918" s="9"/>
      <c r="H918" s="9"/>
      <c r="I918" s="9"/>
      <c r="J918" s="9"/>
      <c r="K918" s="9"/>
      <c r="L918" s="115"/>
      <c r="M918" s="115"/>
      <c r="N918" s="115"/>
      <c r="O918" s="115"/>
      <c r="P918" s="9"/>
      <c r="Q918" s="9"/>
      <c r="R918" s="9"/>
      <c r="S918" s="9"/>
      <c r="T918" s="9"/>
      <c r="U918" s="9"/>
      <c r="V918" s="9"/>
      <c r="W918" s="10"/>
      <c r="X918" s="10"/>
      <c r="Y918" s="10"/>
      <c r="Z918" s="10"/>
    </row>
    <row r="919">
      <c r="A919" s="9"/>
      <c r="B919" s="9"/>
      <c r="C919" s="9"/>
      <c r="D919" s="9"/>
      <c r="E919" s="9"/>
      <c r="F919" s="9"/>
      <c r="G919" s="9"/>
      <c r="H919" s="9"/>
      <c r="I919" s="9"/>
      <c r="J919" s="9"/>
      <c r="K919" s="9"/>
      <c r="L919" s="115"/>
      <c r="M919" s="115"/>
      <c r="N919" s="115"/>
      <c r="O919" s="115"/>
      <c r="P919" s="9"/>
      <c r="Q919" s="9"/>
      <c r="R919" s="9"/>
      <c r="S919" s="9"/>
      <c r="T919" s="9"/>
      <c r="U919" s="9"/>
      <c r="V919" s="9"/>
      <c r="W919" s="10"/>
      <c r="X919" s="10"/>
      <c r="Y919" s="10"/>
      <c r="Z919" s="10"/>
    </row>
    <row r="920">
      <c r="A920" s="9"/>
      <c r="B920" s="9"/>
      <c r="C920" s="9"/>
      <c r="D920" s="9"/>
      <c r="E920" s="9"/>
      <c r="F920" s="9"/>
      <c r="G920" s="9"/>
      <c r="H920" s="9"/>
      <c r="I920" s="9"/>
      <c r="J920" s="9"/>
      <c r="K920" s="9"/>
      <c r="L920" s="115"/>
      <c r="M920" s="115"/>
      <c r="N920" s="115"/>
      <c r="O920" s="115"/>
      <c r="P920" s="9"/>
      <c r="Q920" s="9"/>
      <c r="R920" s="9"/>
      <c r="S920" s="9"/>
      <c r="T920" s="9"/>
      <c r="U920" s="9"/>
      <c r="V920" s="9"/>
      <c r="W920" s="10"/>
      <c r="X920" s="10"/>
      <c r="Y920" s="10"/>
      <c r="Z920" s="10"/>
    </row>
    <row r="921">
      <c r="A921" s="9"/>
      <c r="B921" s="9"/>
      <c r="C921" s="9"/>
      <c r="D921" s="9"/>
      <c r="E921" s="9"/>
      <c r="F921" s="9"/>
      <c r="G921" s="9"/>
      <c r="H921" s="9"/>
      <c r="I921" s="9"/>
      <c r="J921" s="9"/>
      <c r="K921" s="9"/>
      <c r="L921" s="115"/>
      <c r="M921" s="115"/>
      <c r="N921" s="115"/>
      <c r="O921" s="115"/>
      <c r="P921" s="9"/>
      <c r="Q921" s="9"/>
      <c r="R921" s="9"/>
      <c r="S921" s="9"/>
      <c r="T921" s="9"/>
      <c r="U921" s="9"/>
      <c r="V921" s="9"/>
      <c r="W921" s="10"/>
      <c r="X921" s="10"/>
      <c r="Y921" s="10"/>
      <c r="Z921" s="10"/>
    </row>
    <row r="922">
      <c r="A922" s="9"/>
      <c r="B922" s="9"/>
      <c r="C922" s="9"/>
      <c r="D922" s="9"/>
      <c r="E922" s="9"/>
      <c r="F922" s="9"/>
      <c r="G922" s="9"/>
      <c r="H922" s="9"/>
      <c r="I922" s="9"/>
      <c r="J922" s="9"/>
      <c r="K922" s="9"/>
      <c r="L922" s="115"/>
      <c r="M922" s="115"/>
      <c r="N922" s="115"/>
      <c r="O922" s="115"/>
      <c r="P922" s="9"/>
      <c r="Q922" s="9"/>
      <c r="R922" s="9"/>
      <c r="S922" s="9"/>
      <c r="T922" s="9"/>
      <c r="U922" s="9"/>
      <c r="V922" s="9"/>
      <c r="W922" s="10"/>
      <c r="X922" s="10"/>
      <c r="Y922" s="10"/>
      <c r="Z922" s="10"/>
    </row>
    <row r="923">
      <c r="A923" s="9"/>
      <c r="B923" s="9"/>
      <c r="C923" s="9"/>
      <c r="D923" s="9"/>
      <c r="E923" s="9"/>
      <c r="F923" s="9"/>
      <c r="G923" s="9"/>
      <c r="H923" s="9"/>
      <c r="I923" s="9"/>
      <c r="J923" s="9"/>
      <c r="K923" s="9"/>
      <c r="L923" s="115"/>
      <c r="M923" s="115"/>
      <c r="N923" s="115"/>
      <c r="O923" s="115"/>
      <c r="P923" s="9"/>
      <c r="Q923" s="9"/>
      <c r="R923" s="9"/>
      <c r="S923" s="9"/>
      <c r="T923" s="9"/>
      <c r="U923" s="9"/>
      <c r="V923" s="9"/>
      <c r="W923" s="10"/>
      <c r="X923" s="10"/>
      <c r="Y923" s="10"/>
      <c r="Z923" s="10"/>
    </row>
    <row r="924">
      <c r="A924" s="9"/>
      <c r="B924" s="9"/>
      <c r="C924" s="9"/>
      <c r="D924" s="9"/>
      <c r="E924" s="9"/>
      <c r="F924" s="9"/>
      <c r="G924" s="9"/>
      <c r="H924" s="9"/>
      <c r="I924" s="9"/>
      <c r="J924" s="9"/>
      <c r="K924" s="9"/>
      <c r="L924" s="115"/>
      <c r="M924" s="115"/>
      <c r="N924" s="115"/>
      <c r="O924" s="115"/>
      <c r="P924" s="9"/>
      <c r="Q924" s="9"/>
      <c r="R924" s="9"/>
      <c r="S924" s="9"/>
      <c r="T924" s="9"/>
      <c r="U924" s="9"/>
      <c r="V924" s="9"/>
      <c r="W924" s="10"/>
      <c r="X924" s="10"/>
      <c r="Y924" s="10"/>
      <c r="Z924" s="10"/>
    </row>
    <row r="925">
      <c r="A925" s="9"/>
      <c r="B925" s="9"/>
      <c r="C925" s="9"/>
      <c r="D925" s="9"/>
      <c r="E925" s="9"/>
      <c r="F925" s="9"/>
      <c r="G925" s="9"/>
      <c r="H925" s="9"/>
      <c r="I925" s="9"/>
      <c r="J925" s="9"/>
      <c r="K925" s="9"/>
      <c r="L925" s="115"/>
      <c r="M925" s="115"/>
      <c r="N925" s="115"/>
      <c r="O925" s="115"/>
      <c r="P925" s="9"/>
      <c r="Q925" s="9"/>
      <c r="R925" s="9"/>
      <c r="S925" s="9"/>
      <c r="T925" s="9"/>
      <c r="U925" s="9"/>
      <c r="V925" s="9"/>
      <c r="W925" s="10"/>
      <c r="X925" s="10"/>
      <c r="Y925" s="10"/>
      <c r="Z925" s="10"/>
    </row>
    <row r="926">
      <c r="A926" s="9"/>
      <c r="B926" s="9"/>
      <c r="C926" s="9"/>
      <c r="D926" s="9"/>
      <c r="E926" s="9"/>
      <c r="F926" s="9"/>
      <c r="G926" s="9"/>
      <c r="H926" s="9"/>
      <c r="I926" s="9"/>
      <c r="J926" s="9"/>
      <c r="K926" s="9"/>
      <c r="L926" s="115"/>
      <c r="M926" s="115"/>
      <c r="N926" s="115"/>
      <c r="O926" s="115"/>
      <c r="P926" s="9"/>
      <c r="Q926" s="9"/>
      <c r="R926" s="9"/>
      <c r="S926" s="9"/>
      <c r="T926" s="9"/>
      <c r="U926" s="9"/>
      <c r="V926" s="9"/>
      <c r="W926" s="10"/>
      <c r="X926" s="10"/>
      <c r="Y926" s="10"/>
      <c r="Z926" s="10"/>
    </row>
    <row r="927">
      <c r="A927" s="9"/>
      <c r="B927" s="9"/>
      <c r="C927" s="9"/>
      <c r="D927" s="9"/>
      <c r="E927" s="9"/>
      <c r="F927" s="9"/>
      <c r="G927" s="9"/>
      <c r="H927" s="9"/>
      <c r="I927" s="9"/>
      <c r="J927" s="9"/>
      <c r="K927" s="9"/>
      <c r="L927" s="115"/>
      <c r="M927" s="115"/>
      <c r="N927" s="115"/>
      <c r="O927" s="115"/>
      <c r="P927" s="9"/>
      <c r="Q927" s="9"/>
      <c r="R927" s="9"/>
      <c r="S927" s="9"/>
      <c r="T927" s="9"/>
      <c r="U927" s="9"/>
      <c r="V927" s="9"/>
      <c r="W927" s="10"/>
      <c r="X927" s="10"/>
      <c r="Y927" s="10"/>
      <c r="Z927" s="10"/>
    </row>
    <row r="928">
      <c r="A928" s="9"/>
      <c r="B928" s="9"/>
      <c r="C928" s="9"/>
      <c r="D928" s="9"/>
      <c r="E928" s="9"/>
      <c r="F928" s="9"/>
      <c r="G928" s="9"/>
      <c r="H928" s="9"/>
      <c r="I928" s="9"/>
      <c r="J928" s="9"/>
      <c r="K928" s="9"/>
      <c r="L928" s="115"/>
      <c r="M928" s="115"/>
      <c r="N928" s="115"/>
      <c r="O928" s="115"/>
      <c r="P928" s="9"/>
      <c r="Q928" s="9"/>
      <c r="R928" s="9"/>
      <c r="S928" s="9"/>
      <c r="T928" s="9"/>
      <c r="U928" s="9"/>
      <c r="V928" s="9"/>
      <c r="W928" s="10"/>
      <c r="X928" s="10"/>
      <c r="Y928" s="10"/>
      <c r="Z928" s="10"/>
    </row>
    <row r="929">
      <c r="A929" s="9"/>
      <c r="B929" s="9"/>
      <c r="C929" s="9"/>
      <c r="D929" s="9"/>
      <c r="E929" s="9"/>
      <c r="F929" s="9"/>
      <c r="G929" s="9"/>
      <c r="H929" s="9"/>
      <c r="I929" s="9"/>
      <c r="J929" s="9"/>
      <c r="K929" s="9"/>
      <c r="L929" s="115"/>
      <c r="M929" s="115"/>
      <c r="N929" s="115"/>
      <c r="O929" s="115"/>
      <c r="P929" s="9"/>
      <c r="Q929" s="9"/>
      <c r="R929" s="9"/>
      <c r="S929" s="9"/>
      <c r="T929" s="9"/>
      <c r="U929" s="9"/>
      <c r="V929" s="9"/>
      <c r="W929" s="10"/>
      <c r="X929" s="10"/>
      <c r="Y929" s="10"/>
      <c r="Z929" s="10"/>
    </row>
    <row r="930">
      <c r="A930" s="9"/>
      <c r="B930" s="9"/>
      <c r="C930" s="9"/>
      <c r="D930" s="9"/>
      <c r="E930" s="9"/>
      <c r="F930" s="9"/>
      <c r="G930" s="9"/>
      <c r="H930" s="9"/>
      <c r="I930" s="9"/>
      <c r="J930" s="9"/>
      <c r="K930" s="9"/>
      <c r="L930" s="115"/>
      <c r="M930" s="115"/>
      <c r="N930" s="115"/>
      <c r="O930" s="115"/>
      <c r="P930" s="9"/>
      <c r="Q930" s="9"/>
      <c r="R930" s="9"/>
      <c r="S930" s="9"/>
      <c r="T930" s="9"/>
      <c r="U930" s="9"/>
      <c r="V930" s="9"/>
      <c r="W930" s="10"/>
      <c r="X930" s="10"/>
      <c r="Y930" s="10"/>
      <c r="Z930" s="10"/>
    </row>
    <row r="931">
      <c r="A931" s="9"/>
      <c r="B931" s="9"/>
      <c r="C931" s="9"/>
      <c r="D931" s="9"/>
      <c r="E931" s="9"/>
      <c r="F931" s="9"/>
      <c r="G931" s="9"/>
      <c r="H931" s="9"/>
      <c r="I931" s="9"/>
      <c r="J931" s="9"/>
      <c r="K931" s="9"/>
      <c r="L931" s="115"/>
      <c r="M931" s="115"/>
      <c r="N931" s="115"/>
      <c r="O931" s="115"/>
      <c r="P931" s="9"/>
      <c r="Q931" s="9"/>
      <c r="R931" s="9"/>
      <c r="S931" s="9"/>
      <c r="T931" s="9"/>
      <c r="U931" s="9"/>
      <c r="V931" s="9"/>
      <c r="W931" s="10"/>
      <c r="X931" s="10"/>
      <c r="Y931" s="10"/>
      <c r="Z931" s="10"/>
    </row>
    <row r="932">
      <c r="A932" s="9"/>
      <c r="B932" s="9"/>
      <c r="C932" s="9"/>
      <c r="D932" s="9"/>
      <c r="E932" s="9"/>
      <c r="F932" s="9"/>
      <c r="G932" s="9"/>
      <c r="H932" s="9"/>
      <c r="I932" s="9"/>
      <c r="J932" s="9"/>
      <c r="K932" s="9"/>
      <c r="L932" s="115"/>
      <c r="M932" s="115"/>
      <c r="N932" s="115"/>
      <c r="O932" s="115"/>
      <c r="P932" s="9"/>
      <c r="Q932" s="9"/>
      <c r="R932" s="9"/>
      <c r="S932" s="9"/>
      <c r="T932" s="9"/>
      <c r="U932" s="9"/>
      <c r="V932" s="9"/>
      <c r="W932" s="10"/>
      <c r="X932" s="10"/>
      <c r="Y932" s="10"/>
      <c r="Z932" s="10"/>
    </row>
    <row r="933">
      <c r="A933" s="9"/>
      <c r="B933" s="9"/>
      <c r="C933" s="9"/>
      <c r="D933" s="9"/>
      <c r="E933" s="9"/>
      <c r="F933" s="9"/>
      <c r="G933" s="9"/>
      <c r="H933" s="9"/>
      <c r="I933" s="9"/>
      <c r="J933" s="9"/>
      <c r="K933" s="9"/>
      <c r="L933" s="115"/>
      <c r="M933" s="115"/>
      <c r="N933" s="115"/>
      <c r="O933" s="115"/>
      <c r="P933" s="9"/>
      <c r="Q933" s="9"/>
      <c r="R933" s="9"/>
      <c r="S933" s="9"/>
      <c r="T933" s="9"/>
      <c r="U933" s="9"/>
      <c r="V933" s="9"/>
      <c r="W933" s="10"/>
      <c r="X933" s="10"/>
      <c r="Y933" s="10"/>
      <c r="Z933" s="10"/>
    </row>
    <row r="934">
      <c r="A934" s="9"/>
      <c r="B934" s="9"/>
      <c r="C934" s="9"/>
      <c r="D934" s="9"/>
      <c r="E934" s="9"/>
      <c r="F934" s="9"/>
      <c r="G934" s="9"/>
      <c r="H934" s="9"/>
      <c r="I934" s="9"/>
      <c r="J934" s="9"/>
      <c r="K934" s="9"/>
      <c r="L934" s="115"/>
      <c r="M934" s="115"/>
      <c r="N934" s="115"/>
      <c r="O934" s="115"/>
      <c r="P934" s="9"/>
      <c r="Q934" s="9"/>
      <c r="R934" s="9"/>
      <c r="S934" s="9"/>
      <c r="T934" s="9"/>
      <c r="U934" s="9"/>
      <c r="V934" s="9"/>
      <c r="W934" s="10"/>
      <c r="X934" s="10"/>
      <c r="Y934" s="10"/>
      <c r="Z934" s="10"/>
    </row>
    <row r="935">
      <c r="A935" s="9"/>
      <c r="B935" s="9"/>
      <c r="C935" s="9"/>
      <c r="D935" s="9"/>
      <c r="E935" s="9"/>
      <c r="F935" s="9"/>
      <c r="G935" s="9"/>
      <c r="H935" s="9"/>
      <c r="I935" s="9"/>
      <c r="J935" s="9"/>
      <c r="K935" s="9"/>
      <c r="L935" s="115"/>
      <c r="M935" s="115"/>
      <c r="N935" s="115"/>
      <c r="O935" s="115"/>
      <c r="P935" s="9"/>
      <c r="Q935" s="9"/>
      <c r="R935" s="9"/>
      <c r="S935" s="9"/>
      <c r="T935" s="9"/>
      <c r="U935" s="9"/>
      <c r="V935" s="9"/>
      <c r="W935" s="10"/>
      <c r="X935" s="10"/>
      <c r="Y935" s="10"/>
      <c r="Z935" s="10"/>
    </row>
    <row r="936">
      <c r="A936" s="9"/>
      <c r="B936" s="9"/>
      <c r="C936" s="9"/>
      <c r="D936" s="9"/>
      <c r="E936" s="9"/>
      <c r="F936" s="9"/>
      <c r="G936" s="9"/>
      <c r="H936" s="9"/>
      <c r="I936" s="9"/>
      <c r="J936" s="9"/>
      <c r="K936" s="9"/>
      <c r="L936" s="115"/>
      <c r="M936" s="115"/>
      <c r="N936" s="115"/>
      <c r="O936" s="115"/>
      <c r="P936" s="9"/>
      <c r="Q936" s="9"/>
      <c r="R936" s="9"/>
      <c r="S936" s="9"/>
      <c r="T936" s="9"/>
      <c r="U936" s="9"/>
      <c r="V936" s="9"/>
      <c r="W936" s="10"/>
      <c r="X936" s="10"/>
      <c r="Y936" s="10"/>
      <c r="Z936" s="10"/>
    </row>
    <row r="937">
      <c r="A937" s="9"/>
      <c r="B937" s="9"/>
      <c r="C937" s="9"/>
      <c r="D937" s="9"/>
      <c r="E937" s="9"/>
      <c r="F937" s="9"/>
      <c r="G937" s="9"/>
      <c r="H937" s="9"/>
      <c r="I937" s="9"/>
      <c r="J937" s="9"/>
      <c r="K937" s="9"/>
      <c r="L937" s="115"/>
      <c r="M937" s="115"/>
      <c r="N937" s="115"/>
      <c r="O937" s="115"/>
      <c r="P937" s="9"/>
      <c r="Q937" s="9"/>
      <c r="R937" s="9"/>
      <c r="S937" s="9"/>
      <c r="T937" s="9"/>
      <c r="U937" s="9"/>
      <c r="V937" s="9"/>
      <c r="W937" s="10"/>
      <c r="X937" s="10"/>
      <c r="Y937" s="10"/>
      <c r="Z937" s="10"/>
    </row>
    <row r="938">
      <c r="A938" s="9"/>
      <c r="B938" s="9"/>
      <c r="C938" s="9"/>
      <c r="D938" s="9"/>
      <c r="E938" s="9"/>
      <c r="F938" s="9"/>
      <c r="G938" s="9"/>
      <c r="H938" s="9"/>
      <c r="I938" s="9"/>
      <c r="J938" s="9"/>
      <c r="K938" s="9"/>
      <c r="L938" s="115"/>
      <c r="M938" s="115"/>
      <c r="N938" s="115"/>
      <c r="O938" s="115"/>
      <c r="P938" s="9"/>
      <c r="Q938" s="9"/>
      <c r="R938" s="9"/>
      <c r="S938" s="9"/>
      <c r="T938" s="9"/>
      <c r="U938" s="9"/>
      <c r="V938" s="9"/>
      <c r="W938" s="10"/>
      <c r="X938" s="10"/>
      <c r="Y938" s="10"/>
      <c r="Z938" s="10"/>
    </row>
    <row r="939">
      <c r="A939" s="9"/>
      <c r="B939" s="9"/>
      <c r="C939" s="9"/>
      <c r="D939" s="9"/>
      <c r="E939" s="9"/>
      <c r="F939" s="9"/>
      <c r="G939" s="9"/>
      <c r="H939" s="9"/>
      <c r="I939" s="9"/>
      <c r="J939" s="9"/>
      <c r="K939" s="9"/>
      <c r="L939" s="115"/>
      <c r="M939" s="115"/>
      <c r="N939" s="115"/>
      <c r="O939" s="115"/>
      <c r="P939" s="9"/>
      <c r="Q939" s="9"/>
      <c r="R939" s="9"/>
      <c r="S939" s="9"/>
      <c r="T939" s="9"/>
      <c r="U939" s="9"/>
      <c r="V939" s="9"/>
      <c r="W939" s="10"/>
      <c r="X939" s="10"/>
      <c r="Y939" s="10"/>
      <c r="Z939" s="10"/>
    </row>
    <row r="940">
      <c r="A940" s="9"/>
      <c r="B940" s="9"/>
      <c r="C940" s="9"/>
      <c r="D940" s="9"/>
      <c r="E940" s="9"/>
      <c r="F940" s="9"/>
      <c r="G940" s="9"/>
      <c r="H940" s="9"/>
      <c r="I940" s="9"/>
      <c r="J940" s="9"/>
      <c r="K940" s="9"/>
      <c r="L940" s="115"/>
      <c r="M940" s="115"/>
      <c r="N940" s="115"/>
      <c r="O940" s="115"/>
      <c r="P940" s="9"/>
      <c r="Q940" s="9"/>
      <c r="R940" s="9"/>
      <c r="S940" s="9"/>
      <c r="T940" s="9"/>
      <c r="U940" s="9"/>
      <c r="V940" s="9"/>
      <c r="W940" s="10"/>
      <c r="X940" s="10"/>
      <c r="Y940" s="10"/>
      <c r="Z940" s="10"/>
    </row>
    <row r="941">
      <c r="A941" s="9"/>
      <c r="B941" s="9"/>
      <c r="C941" s="9"/>
      <c r="D941" s="9"/>
      <c r="E941" s="9"/>
      <c r="F941" s="9"/>
      <c r="G941" s="9"/>
      <c r="H941" s="9"/>
      <c r="I941" s="9"/>
      <c r="J941" s="9"/>
      <c r="K941" s="9"/>
      <c r="L941" s="115"/>
      <c r="M941" s="115"/>
      <c r="N941" s="115"/>
      <c r="O941" s="115"/>
      <c r="P941" s="9"/>
      <c r="Q941" s="9"/>
      <c r="R941" s="9"/>
      <c r="S941" s="9"/>
      <c r="T941" s="9"/>
      <c r="U941" s="9"/>
      <c r="V941" s="9"/>
      <c r="W941" s="10"/>
      <c r="X941" s="10"/>
      <c r="Y941" s="10"/>
      <c r="Z941" s="10"/>
    </row>
    <row r="942">
      <c r="A942" s="9"/>
      <c r="B942" s="9"/>
      <c r="C942" s="9"/>
      <c r="D942" s="9"/>
      <c r="E942" s="9"/>
      <c r="F942" s="9"/>
      <c r="G942" s="9"/>
      <c r="H942" s="9"/>
      <c r="I942" s="9"/>
      <c r="J942" s="9"/>
      <c r="K942" s="9"/>
      <c r="L942" s="115"/>
      <c r="M942" s="115"/>
      <c r="N942" s="115"/>
      <c r="O942" s="115"/>
      <c r="P942" s="9"/>
      <c r="Q942" s="9"/>
      <c r="R942" s="9"/>
      <c r="S942" s="9"/>
      <c r="T942" s="9"/>
      <c r="U942" s="9"/>
      <c r="V942" s="9"/>
      <c r="W942" s="10"/>
      <c r="X942" s="10"/>
      <c r="Y942" s="10"/>
      <c r="Z942" s="10"/>
    </row>
    <row r="943">
      <c r="A943" s="9"/>
      <c r="B943" s="9"/>
      <c r="C943" s="9"/>
      <c r="D943" s="9"/>
      <c r="E943" s="9"/>
      <c r="F943" s="9"/>
      <c r="G943" s="9"/>
      <c r="H943" s="9"/>
      <c r="I943" s="9"/>
      <c r="J943" s="9"/>
      <c r="K943" s="9"/>
      <c r="L943" s="115"/>
      <c r="M943" s="115"/>
      <c r="N943" s="115"/>
      <c r="O943" s="115"/>
      <c r="P943" s="9"/>
      <c r="Q943" s="9"/>
      <c r="R943" s="9"/>
      <c r="S943" s="9"/>
      <c r="T943" s="9"/>
      <c r="U943" s="9"/>
      <c r="V943" s="9"/>
      <c r="W943" s="10"/>
      <c r="X943" s="10"/>
      <c r="Y943" s="10"/>
      <c r="Z943" s="10"/>
    </row>
    <row r="944">
      <c r="A944" s="9"/>
      <c r="B944" s="9"/>
      <c r="C944" s="9"/>
      <c r="D944" s="9"/>
      <c r="E944" s="9"/>
      <c r="F944" s="9"/>
      <c r="G944" s="9"/>
      <c r="H944" s="9"/>
      <c r="I944" s="9"/>
      <c r="J944" s="9"/>
      <c r="K944" s="9"/>
      <c r="L944" s="115"/>
      <c r="M944" s="115"/>
      <c r="N944" s="115"/>
      <c r="O944" s="115"/>
      <c r="P944" s="9"/>
      <c r="Q944" s="9"/>
      <c r="R944" s="9"/>
      <c r="S944" s="9"/>
      <c r="T944" s="9"/>
      <c r="U944" s="9"/>
      <c r="V944" s="9"/>
      <c r="W944" s="10"/>
      <c r="X944" s="10"/>
      <c r="Y944" s="10"/>
      <c r="Z944" s="10"/>
    </row>
    <row r="945">
      <c r="A945" s="9"/>
      <c r="B945" s="9"/>
      <c r="C945" s="9"/>
      <c r="D945" s="9"/>
      <c r="E945" s="9"/>
      <c r="F945" s="9"/>
      <c r="G945" s="9"/>
      <c r="H945" s="9"/>
      <c r="I945" s="9"/>
      <c r="J945" s="9"/>
      <c r="K945" s="9"/>
      <c r="L945" s="115"/>
      <c r="M945" s="115"/>
      <c r="N945" s="115"/>
      <c r="O945" s="115"/>
      <c r="P945" s="9"/>
      <c r="Q945" s="9"/>
      <c r="R945" s="9"/>
      <c r="S945" s="9"/>
      <c r="T945" s="9"/>
      <c r="U945" s="9"/>
      <c r="V945" s="9"/>
      <c r="W945" s="10"/>
      <c r="X945" s="10"/>
      <c r="Y945" s="10"/>
      <c r="Z945" s="10"/>
    </row>
    <row r="946">
      <c r="A946" s="9"/>
      <c r="B946" s="9"/>
      <c r="C946" s="9"/>
      <c r="D946" s="9"/>
      <c r="E946" s="9"/>
      <c r="F946" s="9"/>
      <c r="G946" s="9"/>
      <c r="H946" s="9"/>
      <c r="I946" s="9"/>
      <c r="J946" s="9"/>
      <c r="K946" s="9"/>
      <c r="L946" s="115"/>
      <c r="M946" s="115"/>
      <c r="N946" s="115"/>
      <c r="O946" s="115"/>
      <c r="P946" s="9"/>
      <c r="Q946" s="9"/>
      <c r="R946" s="9"/>
      <c r="S946" s="9"/>
      <c r="T946" s="9"/>
      <c r="U946" s="9"/>
      <c r="V946" s="9"/>
      <c r="W946" s="10"/>
      <c r="X946" s="10"/>
      <c r="Y946" s="10"/>
      <c r="Z946" s="10"/>
    </row>
    <row r="947">
      <c r="A947" s="9"/>
      <c r="B947" s="9"/>
      <c r="C947" s="9"/>
      <c r="D947" s="9"/>
      <c r="E947" s="9"/>
      <c r="F947" s="9"/>
      <c r="G947" s="9"/>
      <c r="H947" s="9"/>
      <c r="I947" s="9"/>
      <c r="J947" s="9"/>
      <c r="K947" s="9"/>
      <c r="L947" s="115"/>
      <c r="M947" s="115"/>
      <c r="N947" s="115"/>
      <c r="O947" s="115"/>
      <c r="P947" s="9"/>
      <c r="Q947" s="9"/>
      <c r="R947" s="9"/>
      <c r="S947" s="9"/>
      <c r="T947" s="9"/>
      <c r="U947" s="9"/>
      <c r="V947" s="9"/>
      <c r="W947" s="10"/>
      <c r="X947" s="10"/>
      <c r="Y947" s="10"/>
      <c r="Z947" s="10"/>
    </row>
    <row r="948">
      <c r="A948" s="9"/>
      <c r="B948" s="9"/>
      <c r="C948" s="9"/>
      <c r="D948" s="9"/>
      <c r="E948" s="9"/>
      <c r="F948" s="9"/>
      <c r="G948" s="9"/>
      <c r="H948" s="9"/>
      <c r="I948" s="9"/>
      <c r="J948" s="9"/>
      <c r="K948" s="9"/>
      <c r="L948" s="115"/>
      <c r="M948" s="115"/>
      <c r="N948" s="115"/>
      <c r="O948" s="115"/>
      <c r="P948" s="9"/>
      <c r="Q948" s="9"/>
      <c r="R948" s="9"/>
      <c r="S948" s="9"/>
      <c r="T948" s="9"/>
      <c r="U948" s="9"/>
      <c r="V948" s="9"/>
      <c r="W948" s="10"/>
      <c r="X948" s="10"/>
      <c r="Y948" s="10"/>
      <c r="Z948" s="10"/>
    </row>
    <row r="949">
      <c r="A949" s="9"/>
      <c r="B949" s="9"/>
      <c r="C949" s="9"/>
      <c r="D949" s="9"/>
      <c r="E949" s="9"/>
      <c r="F949" s="9"/>
      <c r="G949" s="9"/>
      <c r="H949" s="9"/>
      <c r="I949" s="9"/>
      <c r="J949" s="9"/>
      <c r="K949" s="9"/>
      <c r="L949" s="115"/>
      <c r="M949" s="115"/>
      <c r="N949" s="115"/>
      <c r="O949" s="115"/>
      <c r="P949" s="9"/>
      <c r="Q949" s="9"/>
      <c r="R949" s="9"/>
      <c r="S949" s="9"/>
      <c r="T949" s="9"/>
      <c r="U949" s="9"/>
      <c r="V949" s="9"/>
      <c r="W949" s="10"/>
      <c r="X949" s="10"/>
      <c r="Y949" s="10"/>
      <c r="Z949" s="10"/>
    </row>
    <row r="950">
      <c r="A950" s="9"/>
      <c r="B950" s="9"/>
      <c r="C950" s="9"/>
      <c r="D950" s="9"/>
      <c r="E950" s="9"/>
      <c r="F950" s="9"/>
      <c r="G950" s="9"/>
      <c r="H950" s="9"/>
      <c r="I950" s="9"/>
      <c r="J950" s="9"/>
      <c r="K950" s="9"/>
      <c r="L950" s="115"/>
      <c r="M950" s="115"/>
      <c r="N950" s="115"/>
      <c r="O950" s="115"/>
      <c r="P950" s="9"/>
      <c r="Q950" s="9"/>
      <c r="R950" s="9"/>
      <c r="S950" s="9"/>
      <c r="T950" s="9"/>
      <c r="U950" s="9"/>
      <c r="V950" s="9"/>
      <c r="W950" s="10"/>
      <c r="X950" s="10"/>
      <c r="Y950" s="10"/>
      <c r="Z950" s="10"/>
    </row>
    <row r="951">
      <c r="A951" s="9"/>
      <c r="B951" s="9"/>
      <c r="C951" s="9"/>
      <c r="D951" s="9"/>
      <c r="E951" s="9"/>
      <c r="F951" s="9"/>
      <c r="G951" s="9"/>
      <c r="H951" s="9"/>
      <c r="I951" s="9"/>
      <c r="J951" s="9"/>
      <c r="K951" s="9"/>
      <c r="L951" s="115"/>
      <c r="M951" s="115"/>
      <c r="N951" s="115"/>
      <c r="O951" s="115"/>
      <c r="P951" s="9"/>
      <c r="Q951" s="9"/>
      <c r="R951" s="9"/>
      <c r="S951" s="9"/>
      <c r="T951" s="9"/>
      <c r="U951" s="9"/>
      <c r="V951" s="9"/>
      <c r="W951" s="10"/>
      <c r="X951" s="10"/>
      <c r="Y951" s="10"/>
      <c r="Z951" s="10"/>
    </row>
    <row r="952">
      <c r="A952" s="9"/>
      <c r="B952" s="9"/>
      <c r="C952" s="9"/>
      <c r="D952" s="9"/>
      <c r="E952" s="9"/>
      <c r="F952" s="9"/>
      <c r="G952" s="9"/>
      <c r="H952" s="9"/>
      <c r="I952" s="9"/>
      <c r="J952" s="9"/>
      <c r="K952" s="9"/>
      <c r="L952" s="115"/>
      <c r="M952" s="115"/>
      <c r="N952" s="115"/>
      <c r="O952" s="115"/>
      <c r="P952" s="9"/>
      <c r="Q952" s="9"/>
      <c r="R952" s="9"/>
      <c r="S952" s="9"/>
      <c r="T952" s="9"/>
      <c r="U952" s="9"/>
      <c r="V952" s="9"/>
      <c r="W952" s="10"/>
      <c r="X952" s="10"/>
      <c r="Y952" s="10"/>
      <c r="Z952" s="10"/>
    </row>
    <row r="953">
      <c r="A953" s="9"/>
      <c r="B953" s="9"/>
      <c r="C953" s="9"/>
      <c r="D953" s="9"/>
      <c r="E953" s="9"/>
      <c r="F953" s="9"/>
      <c r="G953" s="9"/>
      <c r="H953" s="9"/>
      <c r="I953" s="9"/>
      <c r="J953" s="9"/>
      <c r="K953" s="9"/>
      <c r="L953" s="115"/>
      <c r="M953" s="115"/>
      <c r="N953" s="115"/>
      <c r="O953" s="115"/>
      <c r="P953" s="9"/>
      <c r="Q953" s="9"/>
      <c r="R953" s="9"/>
      <c r="S953" s="9"/>
      <c r="T953" s="9"/>
      <c r="U953" s="9"/>
      <c r="V953" s="9"/>
      <c r="W953" s="10"/>
      <c r="X953" s="10"/>
      <c r="Y953" s="10"/>
      <c r="Z953" s="10"/>
    </row>
    <row r="954">
      <c r="A954" s="9"/>
      <c r="B954" s="9"/>
      <c r="C954" s="9"/>
      <c r="D954" s="9"/>
      <c r="E954" s="9"/>
      <c r="F954" s="9"/>
      <c r="G954" s="9"/>
      <c r="H954" s="9"/>
      <c r="I954" s="9"/>
      <c r="J954" s="9"/>
      <c r="K954" s="9"/>
      <c r="L954" s="115"/>
      <c r="M954" s="115"/>
      <c r="N954" s="115"/>
      <c r="O954" s="115"/>
      <c r="P954" s="9"/>
      <c r="Q954" s="9"/>
      <c r="R954" s="9"/>
      <c r="S954" s="9"/>
      <c r="T954" s="9"/>
      <c r="U954" s="9"/>
      <c r="V954" s="9"/>
      <c r="W954" s="10"/>
      <c r="X954" s="10"/>
      <c r="Y954" s="10"/>
      <c r="Z954" s="10"/>
    </row>
    <row r="955">
      <c r="A955" s="9"/>
      <c r="B955" s="9"/>
      <c r="C955" s="9"/>
      <c r="D955" s="9"/>
      <c r="E955" s="9"/>
      <c r="F955" s="9"/>
      <c r="G955" s="9"/>
      <c r="H955" s="9"/>
      <c r="I955" s="9"/>
      <c r="J955" s="9"/>
      <c r="K955" s="9"/>
      <c r="L955" s="115"/>
      <c r="M955" s="115"/>
      <c r="N955" s="115"/>
      <c r="O955" s="115"/>
      <c r="P955" s="9"/>
      <c r="Q955" s="9"/>
      <c r="R955" s="9"/>
      <c r="S955" s="9"/>
      <c r="T955" s="9"/>
      <c r="U955" s="9"/>
      <c r="V955" s="9"/>
      <c r="W955" s="10"/>
      <c r="X955" s="10"/>
      <c r="Y955" s="10"/>
      <c r="Z955" s="10"/>
    </row>
    <row r="956">
      <c r="A956" s="9"/>
      <c r="B956" s="9"/>
      <c r="C956" s="9"/>
      <c r="D956" s="9"/>
      <c r="E956" s="9"/>
      <c r="F956" s="9"/>
      <c r="G956" s="9"/>
      <c r="H956" s="9"/>
      <c r="I956" s="9"/>
      <c r="J956" s="9"/>
      <c r="K956" s="9"/>
      <c r="L956" s="115"/>
      <c r="M956" s="115"/>
      <c r="N956" s="115"/>
      <c r="O956" s="115"/>
      <c r="P956" s="9"/>
      <c r="Q956" s="9"/>
      <c r="R956" s="9"/>
      <c r="S956" s="9"/>
      <c r="T956" s="9"/>
      <c r="U956" s="9"/>
      <c r="V956" s="9"/>
      <c r="W956" s="10"/>
      <c r="X956" s="10"/>
      <c r="Y956" s="10"/>
      <c r="Z956" s="10"/>
    </row>
    <row r="957">
      <c r="A957" s="9"/>
      <c r="B957" s="9"/>
      <c r="C957" s="9"/>
      <c r="D957" s="9"/>
      <c r="E957" s="9"/>
      <c r="F957" s="9"/>
      <c r="G957" s="9"/>
      <c r="H957" s="9"/>
      <c r="I957" s="9"/>
      <c r="J957" s="9"/>
      <c r="K957" s="9"/>
      <c r="L957" s="115"/>
      <c r="M957" s="115"/>
      <c r="N957" s="115"/>
      <c r="O957" s="115"/>
      <c r="P957" s="9"/>
      <c r="Q957" s="9"/>
      <c r="R957" s="9"/>
      <c r="S957" s="9"/>
      <c r="T957" s="9"/>
      <c r="U957" s="9"/>
      <c r="V957" s="9"/>
      <c r="W957" s="10"/>
      <c r="X957" s="10"/>
      <c r="Y957" s="10"/>
      <c r="Z957" s="10"/>
    </row>
    <row r="958">
      <c r="A958" s="9"/>
      <c r="B958" s="9"/>
      <c r="C958" s="9"/>
      <c r="D958" s="9"/>
      <c r="E958" s="9"/>
      <c r="F958" s="9"/>
      <c r="G958" s="9"/>
      <c r="H958" s="9"/>
      <c r="I958" s="9"/>
      <c r="J958" s="9"/>
      <c r="K958" s="9"/>
      <c r="L958" s="115"/>
      <c r="M958" s="115"/>
      <c r="N958" s="115"/>
      <c r="O958" s="115"/>
      <c r="P958" s="9"/>
      <c r="Q958" s="9"/>
      <c r="R958" s="9"/>
      <c r="S958" s="9"/>
      <c r="T958" s="9"/>
      <c r="U958" s="9"/>
      <c r="V958" s="9"/>
      <c r="W958" s="10"/>
      <c r="X958" s="10"/>
      <c r="Y958" s="10"/>
      <c r="Z958" s="10"/>
    </row>
    <row r="959">
      <c r="A959" s="9"/>
      <c r="B959" s="9"/>
      <c r="C959" s="9"/>
      <c r="D959" s="9"/>
      <c r="E959" s="9"/>
      <c r="F959" s="9"/>
      <c r="G959" s="9"/>
      <c r="H959" s="9"/>
      <c r="I959" s="9"/>
      <c r="J959" s="9"/>
      <c r="K959" s="9"/>
      <c r="L959" s="115"/>
      <c r="M959" s="115"/>
      <c r="N959" s="115"/>
      <c r="O959" s="115"/>
      <c r="P959" s="9"/>
      <c r="Q959" s="9"/>
      <c r="R959" s="9"/>
      <c r="S959" s="9"/>
      <c r="T959" s="9"/>
      <c r="U959" s="9"/>
      <c r="V959" s="9"/>
      <c r="W959" s="10"/>
      <c r="X959" s="10"/>
      <c r="Y959" s="10"/>
      <c r="Z959" s="10"/>
    </row>
    <row r="960">
      <c r="A960" s="9"/>
      <c r="B960" s="9"/>
      <c r="C960" s="9"/>
      <c r="D960" s="9"/>
      <c r="E960" s="9"/>
      <c r="F960" s="9"/>
      <c r="G960" s="9"/>
      <c r="H960" s="9"/>
      <c r="I960" s="9"/>
      <c r="J960" s="9"/>
      <c r="K960" s="9"/>
      <c r="L960" s="115"/>
      <c r="M960" s="115"/>
      <c r="N960" s="115"/>
      <c r="O960" s="115"/>
      <c r="P960" s="9"/>
      <c r="Q960" s="9"/>
      <c r="R960" s="9"/>
      <c r="S960" s="9"/>
      <c r="T960" s="9"/>
      <c r="U960" s="9"/>
      <c r="V960" s="9"/>
      <c r="W960" s="10"/>
      <c r="X960" s="10"/>
      <c r="Y960" s="10"/>
      <c r="Z960" s="10"/>
    </row>
    <row r="961">
      <c r="A961" s="9"/>
      <c r="B961" s="9"/>
      <c r="C961" s="9"/>
      <c r="D961" s="9"/>
      <c r="E961" s="9"/>
      <c r="F961" s="9"/>
      <c r="G961" s="9"/>
      <c r="H961" s="9"/>
      <c r="I961" s="9"/>
      <c r="J961" s="9"/>
      <c r="K961" s="9"/>
      <c r="L961" s="115"/>
      <c r="M961" s="115"/>
      <c r="N961" s="115"/>
      <c r="O961" s="115"/>
      <c r="P961" s="9"/>
      <c r="Q961" s="9"/>
      <c r="R961" s="9"/>
      <c r="S961" s="9"/>
      <c r="T961" s="9"/>
      <c r="U961" s="9"/>
      <c r="V961" s="9"/>
      <c r="W961" s="10"/>
      <c r="X961" s="10"/>
      <c r="Y961" s="10"/>
      <c r="Z961" s="10"/>
    </row>
    <row r="962">
      <c r="A962" s="9"/>
      <c r="B962" s="9"/>
      <c r="C962" s="9"/>
      <c r="D962" s="9"/>
      <c r="E962" s="9"/>
      <c r="F962" s="9"/>
      <c r="G962" s="9"/>
      <c r="H962" s="9"/>
      <c r="I962" s="9"/>
      <c r="J962" s="9"/>
      <c r="K962" s="9"/>
      <c r="L962" s="115"/>
      <c r="M962" s="115"/>
      <c r="N962" s="115"/>
      <c r="O962" s="115"/>
      <c r="P962" s="9"/>
      <c r="Q962" s="9"/>
      <c r="R962" s="9"/>
      <c r="S962" s="9"/>
      <c r="T962" s="9"/>
      <c r="U962" s="9"/>
      <c r="V962" s="9"/>
      <c r="W962" s="10"/>
      <c r="X962" s="10"/>
      <c r="Y962" s="10"/>
      <c r="Z962" s="10"/>
    </row>
    <row r="963">
      <c r="A963" s="9"/>
      <c r="B963" s="9"/>
      <c r="C963" s="9"/>
      <c r="D963" s="9"/>
      <c r="E963" s="9"/>
      <c r="F963" s="9"/>
      <c r="G963" s="9"/>
      <c r="H963" s="9"/>
      <c r="I963" s="9"/>
      <c r="J963" s="9"/>
      <c r="K963" s="9"/>
      <c r="L963" s="115"/>
      <c r="M963" s="115"/>
      <c r="N963" s="115"/>
      <c r="O963" s="115"/>
      <c r="P963" s="9"/>
      <c r="Q963" s="9"/>
      <c r="R963" s="9"/>
      <c r="S963" s="9"/>
      <c r="T963" s="9"/>
      <c r="U963" s="9"/>
      <c r="V963" s="9"/>
      <c r="W963" s="10"/>
      <c r="X963" s="10"/>
      <c r="Y963" s="10"/>
      <c r="Z963" s="10"/>
    </row>
    <row r="964">
      <c r="A964" s="9"/>
      <c r="B964" s="9"/>
      <c r="C964" s="9"/>
      <c r="D964" s="9"/>
      <c r="E964" s="9"/>
      <c r="F964" s="9"/>
      <c r="G964" s="9"/>
      <c r="H964" s="9"/>
      <c r="I964" s="9"/>
      <c r="J964" s="9"/>
      <c r="K964" s="9"/>
      <c r="L964" s="115"/>
      <c r="M964" s="115"/>
      <c r="N964" s="115"/>
      <c r="O964" s="115"/>
      <c r="P964" s="9"/>
      <c r="Q964" s="9"/>
      <c r="R964" s="9"/>
      <c r="S964" s="9"/>
      <c r="T964" s="9"/>
      <c r="U964" s="9"/>
      <c r="V964" s="9"/>
      <c r="W964" s="10"/>
      <c r="X964" s="10"/>
      <c r="Y964" s="10"/>
      <c r="Z964" s="10"/>
    </row>
    <row r="965">
      <c r="A965" s="9"/>
      <c r="B965" s="9"/>
      <c r="C965" s="9"/>
      <c r="D965" s="9"/>
      <c r="E965" s="9"/>
      <c r="F965" s="9"/>
      <c r="G965" s="9"/>
      <c r="H965" s="9"/>
      <c r="I965" s="9"/>
      <c r="J965" s="9"/>
      <c r="K965" s="9"/>
      <c r="L965" s="115"/>
      <c r="M965" s="115"/>
      <c r="N965" s="115"/>
      <c r="O965" s="115"/>
      <c r="P965" s="9"/>
      <c r="Q965" s="9"/>
      <c r="R965" s="9"/>
      <c r="S965" s="9"/>
      <c r="T965" s="9"/>
      <c r="U965" s="9"/>
      <c r="V965" s="9"/>
      <c r="W965" s="10"/>
      <c r="X965" s="10"/>
      <c r="Y965" s="10"/>
      <c r="Z965" s="10"/>
    </row>
    <row r="966">
      <c r="A966" s="9"/>
      <c r="B966" s="9"/>
      <c r="C966" s="9"/>
      <c r="D966" s="9"/>
      <c r="E966" s="9"/>
      <c r="F966" s="9"/>
      <c r="G966" s="9"/>
      <c r="H966" s="9"/>
      <c r="I966" s="9"/>
      <c r="J966" s="9"/>
      <c r="K966" s="9"/>
      <c r="L966" s="115"/>
      <c r="M966" s="115"/>
      <c r="N966" s="115"/>
      <c r="O966" s="115"/>
      <c r="P966" s="9"/>
      <c r="Q966" s="9"/>
      <c r="R966" s="9"/>
      <c r="S966" s="9"/>
      <c r="T966" s="9"/>
      <c r="U966" s="9"/>
      <c r="V966" s="9"/>
      <c r="W966" s="10"/>
      <c r="X966" s="10"/>
      <c r="Y966" s="10"/>
      <c r="Z966" s="10"/>
    </row>
    <row r="967">
      <c r="A967" s="9"/>
      <c r="B967" s="9"/>
      <c r="C967" s="9"/>
      <c r="D967" s="9"/>
      <c r="E967" s="9"/>
      <c r="F967" s="9"/>
      <c r="G967" s="9"/>
      <c r="H967" s="9"/>
      <c r="I967" s="9"/>
      <c r="J967" s="9"/>
      <c r="K967" s="9"/>
      <c r="L967" s="115"/>
      <c r="M967" s="115"/>
      <c r="N967" s="115"/>
      <c r="O967" s="115"/>
      <c r="P967" s="9"/>
      <c r="Q967" s="9"/>
      <c r="R967" s="9"/>
      <c r="S967" s="9"/>
      <c r="T967" s="9"/>
      <c r="U967" s="9"/>
      <c r="V967" s="9"/>
      <c r="W967" s="10"/>
      <c r="X967" s="10"/>
      <c r="Y967" s="10"/>
      <c r="Z967" s="10"/>
    </row>
    <row r="968">
      <c r="A968" s="9"/>
      <c r="B968" s="9"/>
      <c r="C968" s="9"/>
      <c r="D968" s="9"/>
      <c r="E968" s="9"/>
      <c r="F968" s="9"/>
      <c r="G968" s="9"/>
      <c r="H968" s="9"/>
      <c r="I968" s="9"/>
      <c r="J968" s="9"/>
      <c r="K968" s="9"/>
      <c r="L968" s="115"/>
      <c r="M968" s="115"/>
      <c r="N968" s="115"/>
      <c r="O968" s="115"/>
      <c r="P968" s="9"/>
      <c r="Q968" s="9"/>
      <c r="R968" s="9"/>
      <c r="S968" s="9"/>
      <c r="T968" s="9"/>
      <c r="U968" s="9"/>
      <c r="V968" s="9"/>
      <c r="W968" s="10"/>
      <c r="X968" s="10"/>
      <c r="Y968" s="10"/>
      <c r="Z968" s="10"/>
    </row>
    <row r="969">
      <c r="A969" s="9"/>
      <c r="B969" s="9"/>
      <c r="C969" s="9"/>
      <c r="D969" s="9"/>
      <c r="E969" s="9"/>
      <c r="F969" s="9"/>
      <c r="G969" s="9"/>
      <c r="H969" s="9"/>
      <c r="I969" s="9"/>
      <c r="J969" s="9"/>
      <c r="K969" s="9"/>
      <c r="L969" s="115"/>
      <c r="M969" s="115"/>
      <c r="N969" s="115"/>
      <c r="O969" s="115"/>
      <c r="P969" s="9"/>
      <c r="Q969" s="9"/>
      <c r="R969" s="9"/>
      <c r="S969" s="9"/>
      <c r="T969" s="9"/>
      <c r="U969" s="9"/>
      <c r="V969" s="9"/>
      <c r="W969" s="10"/>
      <c r="X969" s="10"/>
      <c r="Y969" s="10"/>
      <c r="Z969" s="10"/>
    </row>
    <row r="970">
      <c r="A970" s="9"/>
      <c r="B970" s="9"/>
      <c r="C970" s="9"/>
      <c r="D970" s="9"/>
      <c r="E970" s="9"/>
      <c r="F970" s="9"/>
      <c r="G970" s="9"/>
      <c r="H970" s="9"/>
      <c r="I970" s="9"/>
      <c r="J970" s="9"/>
      <c r="K970" s="9"/>
      <c r="L970" s="115"/>
      <c r="M970" s="115"/>
      <c r="N970" s="115"/>
      <c r="O970" s="115"/>
      <c r="P970" s="9"/>
      <c r="Q970" s="9"/>
      <c r="R970" s="9"/>
      <c r="S970" s="9"/>
      <c r="T970" s="9"/>
      <c r="U970" s="9"/>
      <c r="V970" s="9"/>
      <c r="W970" s="10"/>
      <c r="X970" s="10"/>
      <c r="Y970" s="10"/>
      <c r="Z970" s="10"/>
    </row>
    <row r="971">
      <c r="A971" s="9"/>
      <c r="B971" s="9"/>
      <c r="C971" s="9"/>
      <c r="D971" s="9"/>
      <c r="E971" s="9"/>
      <c r="F971" s="9"/>
      <c r="G971" s="9"/>
      <c r="H971" s="9"/>
      <c r="I971" s="9"/>
      <c r="J971" s="9"/>
      <c r="K971" s="9"/>
      <c r="L971" s="115"/>
      <c r="M971" s="115"/>
      <c r="N971" s="115"/>
      <c r="O971" s="115"/>
      <c r="P971" s="9"/>
      <c r="Q971" s="9"/>
      <c r="R971" s="9"/>
      <c r="S971" s="9"/>
      <c r="T971" s="9"/>
      <c r="U971" s="9"/>
      <c r="V971" s="9"/>
      <c r="W971" s="10"/>
      <c r="X971" s="10"/>
      <c r="Y971" s="10"/>
      <c r="Z971" s="10"/>
    </row>
    <row r="972">
      <c r="A972" s="9"/>
      <c r="B972" s="9"/>
      <c r="C972" s="9"/>
      <c r="D972" s="9"/>
      <c r="E972" s="9"/>
      <c r="F972" s="9"/>
      <c r="G972" s="9"/>
      <c r="H972" s="9"/>
      <c r="I972" s="9"/>
      <c r="J972" s="9"/>
      <c r="K972" s="9"/>
      <c r="L972" s="115"/>
      <c r="M972" s="115"/>
      <c r="N972" s="115"/>
      <c r="O972" s="115"/>
      <c r="P972" s="9"/>
      <c r="Q972" s="9"/>
      <c r="R972" s="9"/>
      <c r="S972" s="9"/>
      <c r="T972" s="9"/>
      <c r="U972" s="9"/>
      <c r="V972" s="9"/>
      <c r="W972" s="10"/>
      <c r="X972" s="10"/>
      <c r="Y972" s="10"/>
      <c r="Z972" s="10"/>
    </row>
    <row r="973">
      <c r="A973" s="9"/>
      <c r="B973" s="9"/>
      <c r="C973" s="9"/>
      <c r="D973" s="9"/>
      <c r="E973" s="9"/>
      <c r="F973" s="9"/>
      <c r="G973" s="9"/>
      <c r="H973" s="9"/>
      <c r="I973" s="9"/>
      <c r="J973" s="9"/>
      <c r="K973" s="9"/>
      <c r="L973" s="115"/>
      <c r="M973" s="115"/>
      <c r="N973" s="115"/>
      <c r="O973" s="115"/>
      <c r="P973" s="9"/>
      <c r="Q973" s="9"/>
      <c r="R973" s="9"/>
      <c r="S973" s="9"/>
      <c r="T973" s="9"/>
      <c r="U973" s="9"/>
      <c r="V973" s="9"/>
      <c r="W973" s="10"/>
      <c r="X973" s="10"/>
      <c r="Y973" s="10"/>
      <c r="Z973" s="10"/>
    </row>
    <row r="974">
      <c r="A974" s="9"/>
      <c r="B974" s="9"/>
      <c r="C974" s="9"/>
      <c r="D974" s="9"/>
      <c r="E974" s="9"/>
      <c r="F974" s="9"/>
      <c r="G974" s="9"/>
      <c r="H974" s="9"/>
      <c r="I974" s="9"/>
      <c r="J974" s="9"/>
      <c r="K974" s="9"/>
      <c r="L974" s="115"/>
      <c r="M974" s="115"/>
      <c r="N974" s="115"/>
      <c r="O974" s="115"/>
      <c r="P974" s="9"/>
      <c r="Q974" s="9"/>
      <c r="R974" s="9"/>
      <c r="S974" s="9"/>
      <c r="T974" s="9"/>
      <c r="U974" s="9"/>
      <c r="V974" s="9"/>
      <c r="W974" s="10"/>
      <c r="X974" s="10"/>
      <c r="Y974" s="10"/>
      <c r="Z974" s="10"/>
    </row>
    <row r="975">
      <c r="A975" s="9"/>
      <c r="B975" s="9"/>
      <c r="C975" s="9"/>
      <c r="D975" s="9"/>
      <c r="E975" s="9"/>
      <c r="F975" s="9"/>
      <c r="G975" s="9"/>
      <c r="H975" s="9"/>
      <c r="I975" s="9"/>
      <c r="J975" s="9"/>
      <c r="K975" s="9"/>
      <c r="L975" s="115"/>
      <c r="M975" s="115"/>
      <c r="N975" s="115"/>
      <c r="O975" s="115"/>
      <c r="P975" s="9"/>
      <c r="Q975" s="9"/>
      <c r="R975" s="9"/>
      <c r="S975" s="9"/>
      <c r="T975" s="9"/>
      <c r="U975" s="9"/>
      <c r="V975" s="9"/>
      <c r="W975" s="10"/>
      <c r="X975" s="10"/>
      <c r="Y975" s="10"/>
      <c r="Z975" s="10"/>
    </row>
    <row r="976">
      <c r="A976" s="9"/>
      <c r="B976" s="9"/>
      <c r="C976" s="9"/>
      <c r="D976" s="9"/>
      <c r="E976" s="9"/>
      <c r="F976" s="9"/>
      <c r="G976" s="9"/>
      <c r="H976" s="9"/>
      <c r="I976" s="9"/>
      <c r="J976" s="9"/>
      <c r="K976" s="9"/>
      <c r="L976" s="115"/>
      <c r="M976" s="115"/>
      <c r="N976" s="115"/>
      <c r="O976" s="115"/>
      <c r="P976" s="9"/>
      <c r="Q976" s="9"/>
      <c r="R976" s="9"/>
      <c r="S976" s="9"/>
      <c r="T976" s="9"/>
      <c r="U976" s="9"/>
      <c r="V976" s="9"/>
      <c r="W976" s="10"/>
      <c r="X976" s="10"/>
      <c r="Y976" s="10"/>
      <c r="Z976" s="10"/>
    </row>
    <row r="977">
      <c r="A977" s="9"/>
      <c r="B977" s="9"/>
      <c r="C977" s="9"/>
      <c r="D977" s="9"/>
      <c r="E977" s="9"/>
      <c r="F977" s="9"/>
      <c r="G977" s="9"/>
      <c r="H977" s="9"/>
      <c r="I977" s="9"/>
      <c r="J977" s="9"/>
      <c r="K977" s="9"/>
      <c r="L977" s="115"/>
      <c r="M977" s="115"/>
      <c r="N977" s="115"/>
      <c r="O977" s="115"/>
      <c r="P977" s="9"/>
      <c r="Q977" s="9"/>
      <c r="R977" s="9"/>
      <c r="S977" s="9"/>
      <c r="T977" s="9"/>
      <c r="U977" s="9"/>
      <c r="V977" s="9"/>
      <c r="W977" s="10"/>
      <c r="X977" s="10"/>
      <c r="Y977" s="10"/>
      <c r="Z977" s="10"/>
    </row>
    <row r="978">
      <c r="A978" s="9"/>
      <c r="B978" s="9"/>
      <c r="C978" s="9"/>
      <c r="D978" s="9"/>
      <c r="E978" s="9"/>
      <c r="F978" s="9"/>
      <c r="G978" s="9"/>
      <c r="H978" s="9"/>
      <c r="I978" s="9"/>
      <c r="J978" s="9"/>
      <c r="K978" s="9"/>
      <c r="L978" s="115"/>
      <c r="M978" s="115"/>
      <c r="N978" s="115"/>
      <c r="O978" s="115"/>
      <c r="P978" s="9"/>
      <c r="Q978" s="9"/>
      <c r="R978" s="9"/>
      <c r="S978" s="9"/>
      <c r="T978" s="9"/>
      <c r="U978" s="9"/>
      <c r="V978" s="9"/>
      <c r="W978" s="10"/>
      <c r="X978" s="10"/>
      <c r="Y978" s="10"/>
      <c r="Z978" s="10"/>
    </row>
    <row r="979">
      <c r="A979" s="9"/>
      <c r="B979" s="9"/>
      <c r="C979" s="9"/>
      <c r="D979" s="9"/>
      <c r="E979" s="9"/>
      <c r="F979" s="9"/>
      <c r="G979" s="9"/>
      <c r="H979" s="9"/>
      <c r="I979" s="9"/>
      <c r="J979" s="9"/>
      <c r="K979" s="9"/>
      <c r="L979" s="115"/>
      <c r="M979" s="115"/>
      <c r="N979" s="115"/>
      <c r="O979" s="115"/>
      <c r="P979" s="9"/>
      <c r="Q979" s="9"/>
      <c r="R979" s="9"/>
      <c r="S979" s="9"/>
      <c r="T979" s="9"/>
      <c r="U979" s="9"/>
      <c r="V979" s="9"/>
      <c r="W979" s="10"/>
      <c r="X979" s="10"/>
      <c r="Y979" s="10"/>
      <c r="Z979" s="10"/>
    </row>
    <row r="980">
      <c r="A980" s="9"/>
      <c r="B980" s="9"/>
      <c r="C980" s="9"/>
      <c r="D980" s="9"/>
      <c r="E980" s="9"/>
      <c r="F980" s="9"/>
      <c r="G980" s="9"/>
      <c r="H980" s="9"/>
      <c r="I980" s="9"/>
      <c r="J980" s="9"/>
      <c r="K980" s="9"/>
      <c r="L980" s="115"/>
      <c r="M980" s="115"/>
      <c r="N980" s="115"/>
      <c r="O980" s="115"/>
      <c r="P980" s="9"/>
      <c r="Q980" s="9"/>
      <c r="R980" s="9"/>
      <c r="S980" s="9"/>
      <c r="T980" s="9"/>
      <c r="U980" s="9"/>
      <c r="V980" s="9"/>
      <c r="W980" s="10"/>
      <c r="X980" s="10"/>
      <c r="Y980" s="10"/>
      <c r="Z980" s="10"/>
    </row>
    <row r="981">
      <c r="A981" s="9"/>
      <c r="B981" s="9"/>
      <c r="C981" s="9"/>
      <c r="D981" s="9"/>
      <c r="E981" s="9"/>
      <c r="F981" s="9"/>
      <c r="G981" s="9"/>
      <c r="H981" s="9"/>
      <c r="I981" s="9"/>
      <c r="J981" s="9"/>
      <c r="K981" s="9"/>
      <c r="L981" s="115"/>
      <c r="M981" s="115"/>
      <c r="N981" s="115"/>
      <c r="O981" s="115"/>
      <c r="P981" s="9"/>
      <c r="Q981" s="9"/>
      <c r="R981" s="9"/>
      <c r="S981" s="9"/>
      <c r="T981" s="9"/>
      <c r="U981" s="9"/>
      <c r="V981" s="9"/>
      <c r="W981" s="10"/>
      <c r="X981" s="10"/>
      <c r="Y981" s="10"/>
      <c r="Z981" s="10"/>
    </row>
    <row r="982">
      <c r="A982" s="9"/>
      <c r="B982" s="9"/>
      <c r="C982" s="9"/>
      <c r="D982" s="9"/>
      <c r="E982" s="9"/>
      <c r="F982" s="9"/>
      <c r="G982" s="9"/>
      <c r="H982" s="9"/>
      <c r="I982" s="9"/>
      <c r="J982" s="9"/>
      <c r="K982" s="9"/>
      <c r="L982" s="115"/>
      <c r="M982" s="115"/>
      <c r="N982" s="115"/>
      <c r="O982" s="115"/>
      <c r="P982" s="9"/>
      <c r="Q982" s="9"/>
      <c r="R982" s="9"/>
      <c r="S982" s="9"/>
      <c r="T982" s="9"/>
      <c r="U982" s="9"/>
      <c r="V982" s="9"/>
      <c r="W982" s="10"/>
      <c r="X982" s="10"/>
      <c r="Y982" s="10"/>
      <c r="Z982" s="10"/>
    </row>
    <row r="983">
      <c r="A983" s="9"/>
      <c r="B983" s="9"/>
      <c r="C983" s="9"/>
      <c r="D983" s="9"/>
      <c r="E983" s="9"/>
      <c r="F983" s="9"/>
      <c r="G983" s="9"/>
      <c r="H983" s="9"/>
      <c r="I983" s="9"/>
      <c r="J983" s="9"/>
      <c r="K983" s="9"/>
      <c r="L983" s="115"/>
      <c r="M983" s="115"/>
      <c r="N983" s="115"/>
      <c r="O983" s="115"/>
      <c r="P983" s="9"/>
      <c r="Q983" s="9"/>
      <c r="R983" s="9"/>
      <c r="S983" s="9"/>
      <c r="T983" s="9"/>
      <c r="U983" s="9"/>
      <c r="V983" s="9"/>
      <c r="W983" s="10"/>
      <c r="X983" s="10"/>
      <c r="Y983" s="10"/>
      <c r="Z983" s="10"/>
    </row>
    <row r="984">
      <c r="A984" s="9"/>
      <c r="B984" s="9"/>
      <c r="C984" s="9"/>
      <c r="D984" s="9"/>
      <c r="E984" s="9"/>
      <c r="F984" s="9"/>
      <c r="G984" s="9"/>
      <c r="H984" s="9"/>
      <c r="I984" s="9"/>
      <c r="J984" s="9"/>
      <c r="K984" s="9"/>
      <c r="L984" s="115"/>
      <c r="M984" s="115"/>
      <c r="N984" s="115"/>
      <c r="O984" s="115"/>
      <c r="P984" s="9"/>
      <c r="Q984" s="9"/>
      <c r="R984" s="9"/>
      <c r="S984" s="9"/>
      <c r="T984" s="9"/>
      <c r="U984" s="9"/>
      <c r="V984" s="9"/>
      <c r="W984" s="10"/>
      <c r="X984" s="10"/>
      <c r="Y984" s="10"/>
      <c r="Z984" s="10"/>
    </row>
    <row r="985">
      <c r="A985" s="9"/>
      <c r="B985" s="9"/>
      <c r="C985" s="9"/>
      <c r="D985" s="9"/>
      <c r="E985" s="9"/>
      <c r="F985" s="9"/>
      <c r="G985" s="9"/>
      <c r="H985" s="9"/>
      <c r="I985" s="9"/>
      <c r="J985" s="9"/>
      <c r="K985" s="9"/>
      <c r="L985" s="115"/>
      <c r="M985" s="115"/>
      <c r="N985" s="115"/>
      <c r="O985" s="115"/>
      <c r="P985" s="9"/>
      <c r="Q985" s="9"/>
      <c r="R985" s="9"/>
      <c r="S985" s="9"/>
      <c r="T985" s="9"/>
      <c r="U985" s="9"/>
      <c r="V985" s="9"/>
      <c r="W985" s="10"/>
      <c r="X985" s="10"/>
      <c r="Y985" s="10"/>
      <c r="Z985" s="10"/>
    </row>
    <row r="986">
      <c r="A986" s="9"/>
      <c r="B986" s="9"/>
      <c r="C986" s="9"/>
      <c r="D986" s="9"/>
      <c r="E986" s="9"/>
      <c r="F986" s="9"/>
      <c r="G986" s="9"/>
      <c r="H986" s="9"/>
      <c r="I986" s="9"/>
      <c r="J986" s="9"/>
      <c r="K986" s="9"/>
      <c r="L986" s="115"/>
      <c r="M986" s="115"/>
      <c r="N986" s="115"/>
      <c r="O986" s="115"/>
      <c r="P986" s="9"/>
      <c r="Q986" s="9"/>
      <c r="R986" s="9"/>
      <c r="S986" s="9"/>
      <c r="T986" s="9"/>
      <c r="U986" s="9"/>
      <c r="V986" s="9"/>
      <c r="W986" s="10"/>
      <c r="X986" s="10"/>
      <c r="Y986" s="10"/>
      <c r="Z986" s="10"/>
    </row>
    <row r="987">
      <c r="A987" s="9"/>
      <c r="B987" s="9"/>
      <c r="C987" s="9"/>
      <c r="D987" s="9"/>
      <c r="E987" s="9"/>
      <c r="F987" s="9"/>
      <c r="G987" s="9"/>
      <c r="H987" s="9"/>
      <c r="I987" s="9"/>
      <c r="J987" s="9"/>
      <c r="K987" s="9"/>
      <c r="L987" s="115"/>
      <c r="M987" s="115"/>
      <c r="N987" s="115"/>
      <c r="O987" s="115"/>
      <c r="P987" s="9"/>
      <c r="Q987" s="9"/>
      <c r="R987" s="9"/>
      <c r="S987" s="9"/>
      <c r="T987" s="9"/>
      <c r="U987" s="9"/>
      <c r="V987" s="9"/>
      <c r="W987" s="10"/>
      <c r="X987" s="10"/>
      <c r="Y987" s="10"/>
      <c r="Z987" s="10"/>
    </row>
    <row r="988">
      <c r="A988" s="9"/>
      <c r="B988" s="9"/>
      <c r="C988" s="9"/>
      <c r="D988" s="9"/>
      <c r="E988" s="9"/>
      <c r="F988" s="9"/>
      <c r="G988" s="9"/>
      <c r="H988" s="9"/>
      <c r="I988" s="9"/>
      <c r="J988" s="9"/>
      <c r="K988" s="9"/>
      <c r="L988" s="115"/>
      <c r="M988" s="115"/>
      <c r="N988" s="115"/>
      <c r="O988" s="115"/>
      <c r="P988" s="9"/>
      <c r="Q988" s="9"/>
      <c r="R988" s="9"/>
      <c r="S988" s="9"/>
      <c r="T988" s="9"/>
      <c r="U988" s="9"/>
      <c r="V988" s="9"/>
      <c r="W988" s="10"/>
      <c r="X988" s="10"/>
      <c r="Y988" s="10"/>
      <c r="Z988" s="10"/>
    </row>
    <row r="989">
      <c r="A989" s="9"/>
      <c r="B989" s="9"/>
      <c r="C989" s="9"/>
      <c r="D989" s="9"/>
      <c r="E989" s="9"/>
      <c r="F989" s="9"/>
      <c r="G989" s="9"/>
      <c r="H989" s="9"/>
      <c r="I989" s="9"/>
      <c r="J989" s="9"/>
      <c r="K989" s="9"/>
      <c r="L989" s="115"/>
      <c r="M989" s="115"/>
      <c r="N989" s="115"/>
      <c r="O989" s="115"/>
      <c r="P989" s="9"/>
      <c r="Q989" s="9"/>
      <c r="R989" s="9"/>
      <c r="S989" s="9"/>
      <c r="T989" s="9"/>
      <c r="U989" s="9"/>
      <c r="V989" s="9"/>
      <c r="W989" s="10"/>
      <c r="X989" s="10"/>
      <c r="Y989" s="10"/>
      <c r="Z989" s="10"/>
    </row>
    <row r="990">
      <c r="A990" s="9"/>
      <c r="B990" s="9"/>
      <c r="C990" s="9"/>
      <c r="D990" s="9"/>
      <c r="E990" s="9"/>
      <c r="F990" s="9"/>
      <c r="G990" s="9"/>
      <c r="H990" s="9"/>
      <c r="I990" s="9"/>
      <c r="J990" s="9"/>
      <c r="K990" s="9"/>
      <c r="L990" s="115"/>
      <c r="M990" s="115"/>
      <c r="N990" s="115"/>
      <c r="O990" s="115"/>
      <c r="P990" s="9"/>
      <c r="Q990" s="9"/>
      <c r="R990" s="9"/>
      <c r="S990" s="9"/>
      <c r="T990" s="9"/>
      <c r="U990" s="9"/>
      <c r="V990" s="9"/>
      <c r="W990" s="10"/>
      <c r="X990" s="10"/>
      <c r="Y990" s="10"/>
      <c r="Z990" s="10"/>
    </row>
    <row r="991">
      <c r="A991" s="9"/>
      <c r="B991" s="9"/>
      <c r="C991" s="9"/>
      <c r="D991" s="9"/>
      <c r="E991" s="9"/>
      <c r="F991" s="9"/>
      <c r="G991" s="9"/>
      <c r="H991" s="9"/>
      <c r="I991" s="9"/>
      <c r="J991" s="9"/>
      <c r="K991" s="9"/>
      <c r="L991" s="115"/>
      <c r="M991" s="115"/>
      <c r="N991" s="115"/>
      <c r="O991" s="115"/>
      <c r="P991" s="9"/>
      <c r="Q991" s="9"/>
      <c r="R991" s="9"/>
      <c r="S991" s="9"/>
      <c r="T991" s="9"/>
      <c r="U991" s="9"/>
      <c r="V991" s="9"/>
      <c r="W991" s="10"/>
      <c r="X991" s="10"/>
      <c r="Y991" s="10"/>
      <c r="Z991" s="10"/>
    </row>
    <row r="992">
      <c r="A992" s="9"/>
      <c r="B992" s="9"/>
      <c r="C992" s="9"/>
      <c r="D992" s="9"/>
      <c r="E992" s="9"/>
      <c r="F992" s="9"/>
      <c r="G992" s="9"/>
      <c r="H992" s="9"/>
      <c r="I992" s="9"/>
      <c r="J992" s="9"/>
      <c r="K992" s="9"/>
      <c r="L992" s="115"/>
      <c r="M992" s="115"/>
      <c r="N992" s="115"/>
      <c r="O992" s="115"/>
      <c r="P992" s="9"/>
      <c r="Q992" s="9"/>
      <c r="R992" s="9"/>
      <c r="S992" s="9"/>
      <c r="T992" s="9"/>
      <c r="U992" s="9"/>
      <c r="V992" s="9"/>
      <c r="W992" s="10"/>
      <c r="X992" s="10"/>
      <c r="Y992" s="10"/>
      <c r="Z992" s="10"/>
    </row>
    <row r="993">
      <c r="A993" s="9"/>
      <c r="B993" s="9"/>
      <c r="C993" s="9"/>
      <c r="D993" s="9"/>
      <c r="E993" s="9"/>
      <c r="F993" s="9"/>
      <c r="G993" s="9"/>
      <c r="H993" s="9"/>
      <c r="I993" s="9"/>
      <c r="J993" s="9"/>
      <c r="K993" s="9"/>
      <c r="L993" s="115"/>
      <c r="M993" s="115"/>
      <c r="N993" s="115"/>
      <c r="O993" s="115"/>
      <c r="P993" s="9"/>
      <c r="Q993" s="9"/>
      <c r="R993" s="9"/>
      <c r="S993" s="9"/>
      <c r="T993" s="9"/>
      <c r="U993" s="9"/>
      <c r="V993" s="9"/>
      <c r="W993" s="10"/>
      <c r="X993" s="10"/>
      <c r="Y993" s="10"/>
      <c r="Z993" s="10"/>
    </row>
    <row r="994">
      <c r="A994" s="9"/>
      <c r="B994" s="9"/>
      <c r="C994" s="9"/>
      <c r="D994" s="9"/>
      <c r="E994" s="9"/>
      <c r="F994" s="9"/>
      <c r="G994" s="9"/>
      <c r="H994" s="9"/>
      <c r="I994" s="9"/>
      <c r="J994" s="9"/>
      <c r="K994" s="9"/>
      <c r="L994" s="115"/>
      <c r="M994" s="115"/>
      <c r="N994" s="115"/>
      <c r="O994" s="115"/>
      <c r="P994" s="9"/>
      <c r="Q994" s="9"/>
      <c r="R994" s="9"/>
      <c r="S994" s="9"/>
      <c r="T994" s="9"/>
      <c r="U994" s="9"/>
      <c r="V994" s="9"/>
      <c r="W994" s="10"/>
      <c r="X994" s="10"/>
      <c r="Y994" s="10"/>
      <c r="Z994" s="10"/>
    </row>
    <row r="995">
      <c r="A995" s="9"/>
      <c r="B995" s="9"/>
      <c r="C995" s="9"/>
      <c r="D995" s="9"/>
      <c r="E995" s="9"/>
      <c r="F995" s="9"/>
      <c r="G995" s="9"/>
      <c r="H995" s="9"/>
      <c r="I995" s="9"/>
      <c r="J995" s="9"/>
      <c r="K995" s="9"/>
      <c r="L995" s="115"/>
      <c r="M995" s="115"/>
      <c r="N995" s="115"/>
      <c r="O995" s="115"/>
      <c r="P995" s="9"/>
      <c r="Q995" s="9"/>
      <c r="R995" s="9"/>
      <c r="S995" s="9"/>
      <c r="T995" s="9"/>
      <c r="U995" s="9"/>
      <c r="V995" s="9"/>
      <c r="W995" s="10"/>
      <c r="X995" s="10"/>
      <c r="Y995" s="10"/>
      <c r="Z995" s="10"/>
    </row>
    <row r="996">
      <c r="A996" s="9"/>
      <c r="B996" s="9"/>
      <c r="C996" s="9"/>
      <c r="D996" s="9"/>
      <c r="E996" s="9"/>
      <c r="F996" s="9"/>
      <c r="G996" s="9"/>
      <c r="H996" s="9"/>
      <c r="I996" s="9"/>
      <c r="J996" s="9"/>
      <c r="K996" s="9"/>
      <c r="L996" s="115"/>
      <c r="M996" s="115"/>
      <c r="N996" s="115"/>
      <c r="O996" s="115"/>
      <c r="P996" s="9"/>
      <c r="Q996" s="9"/>
      <c r="R996" s="9"/>
      <c r="S996" s="9"/>
      <c r="T996" s="9"/>
      <c r="U996" s="9"/>
      <c r="V996" s="9"/>
      <c r="W996" s="10"/>
      <c r="X996" s="10"/>
      <c r="Y996" s="10"/>
      <c r="Z996" s="10"/>
    </row>
    <row r="997">
      <c r="A997" s="9"/>
      <c r="B997" s="9"/>
      <c r="C997" s="9"/>
      <c r="D997" s="9"/>
      <c r="E997" s="9"/>
      <c r="F997" s="9"/>
      <c r="G997" s="9"/>
      <c r="H997" s="9"/>
      <c r="I997" s="9"/>
      <c r="J997" s="9"/>
      <c r="K997" s="9"/>
      <c r="L997" s="115"/>
      <c r="M997" s="115"/>
      <c r="N997" s="115"/>
      <c r="O997" s="115"/>
      <c r="P997" s="9"/>
      <c r="Q997" s="9"/>
      <c r="R997" s="9"/>
      <c r="S997" s="9"/>
      <c r="T997" s="9"/>
      <c r="U997" s="9"/>
      <c r="V997" s="9"/>
      <c r="W997" s="10"/>
      <c r="X997" s="10"/>
      <c r="Y997" s="10"/>
      <c r="Z997" s="10"/>
    </row>
    <row r="998">
      <c r="A998" s="9"/>
      <c r="B998" s="9"/>
      <c r="C998" s="9"/>
      <c r="D998" s="9"/>
      <c r="E998" s="9"/>
      <c r="F998" s="9"/>
      <c r="G998" s="9"/>
      <c r="H998" s="9"/>
      <c r="I998" s="9"/>
      <c r="J998" s="9"/>
      <c r="K998" s="9"/>
      <c r="L998" s="115"/>
      <c r="M998" s="115"/>
      <c r="N998" s="115"/>
      <c r="O998" s="115"/>
      <c r="P998" s="9"/>
      <c r="Q998" s="9"/>
      <c r="R998" s="9"/>
      <c r="S998" s="9"/>
      <c r="T998" s="9"/>
      <c r="U998" s="9"/>
      <c r="V998" s="9"/>
      <c r="W998" s="10"/>
      <c r="X998" s="10"/>
      <c r="Y998" s="10"/>
      <c r="Z998" s="10"/>
    </row>
    <row r="999">
      <c r="A999" s="9"/>
      <c r="B999" s="9"/>
      <c r="C999" s="9"/>
      <c r="D999" s="9"/>
      <c r="E999" s="9"/>
      <c r="F999" s="9"/>
      <c r="G999" s="9"/>
      <c r="H999" s="9"/>
      <c r="I999" s="9"/>
      <c r="J999" s="9"/>
      <c r="K999" s="9"/>
      <c r="L999" s="115"/>
      <c r="M999" s="115"/>
      <c r="N999" s="115"/>
      <c r="O999" s="115"/>
      <c r="P999" s="9"/>
      <c r="Q999" s="9"/>
      <c r="R999" s="9"/>
      <c r="S999" s="9"/>
      <c r="T999" s="9"/>
      <c r="U999" s="9"/>
      <c r="V999" s="9"/>
      <c r="W999" s="10"/>
      <c r="X999" s="10"/>
      <c r="Y999" s="10"/>
      <c r="Z999" s="10"/>
    </row>
    <row r="1000">
      <c r="A1000" s="9"/>
      <c r="B1000" s="9"/>
      <c r="C1000" s="9"/>
      <c r="D1000" s="9"/>
      <c r="E1000" s="9"/>
      <c r="F1000" s="9"/>
      <c r="G1000" s="9"/>
      <c r="H1000" s="9"/>
      <c r="I1000" s="9"/>
      <c r="J1000" s="9"/>
      <c r="K1000" s="9"/>
      <c r="L1000" s="115"/>
      <c r="M1000" s="115"/>
      <c r="N1000" s="115"/>
      <c r="O1000" s="115"/>
      <c r="P1000" s="9"/>
      <c r="Q1000" s="9"/>
      <c r="R1000" s="9"/>
      <c r="S1000" s="9"/>
      <c r="T1000" s="9"/>
      <c r="U1000" s="9"/>
      <c r="V1000" s="9"/>
      <c r="W1000" s="10"/>
      <c r="X1000" s="10"/>
      <c r="Y1000" s="10"/>
      <c r="Z1000" s="10"/>
    </row>
    <row r="1001">
      <c r="A1001" s="9"/>
      <c r="B1001" s="9"/>
      <c r="C1001" s="9"/>
      <c r="D1001" s="9"/>
      <c r="E1001" s="9"/>
      <c r="F1001" s="9"/>
      <c r="G1001" s="9"/>
      <c r="H1001" s="9"/>
      <c r="I1001" s="9"/>
      <c r="J1001" s="9"/>
      <c r="K1001" s="9"/>
      <c r="L1001" s="115"/>
      <c r="M1001" s="115"/>
      <c r="N1001" s="115"/>
      <c r="O1001" s="115"/>
      <c r="P1001" s="9"/>
      <c r="Q1001" s="9"/>
      <c r="R1001" s="9"/>
      <c r="S1001" s="9"/>
      <c r="T1001" s="9"/>
      <c r="U1001" s="9"/>
      <c r="V1001" s="9"/>
      <c r="W1001" s="10"/>
      <c r="X1001" s="10"/>
      <c r="Y1001" s="10"/>
      <c r="Z1001" s="10"/>
    </row>
    <row r="1002">
      <c r="A1002" s="9"/>
      <c r="B1002" s="9"/>
      <c r="C1002" s="9"/>
      <c r="D1002" s="9"/>
      <c r="E1002" s="9"/>
      <c r="F1002" s="9"/>
      <c r="G1002" s="9"/>
      <c r="H1002" s="9"/>
      <c r="I1002" s="9"/>
      <c r="J1002" s="9"/>
      <c r="K1002" s="9"/>
      <c r="L1002" s="115"/>
      <c r="M1002" s="115"/>
      <c r="N1002" s="115"/>
      <c r="O1002" s="115"/>
      <c r="P1002" s="9"/>
      <c r="Q1002" s="9"/>
      <c r="R1002" s="9"/>
      <c r="S1002" s="9"/>
      <c r="T1002" s="9"/>
      <c r="U1002" s="9"/>
      <c r="V1002" s="9"/>
      <c r="W1002" s="10"/>
      <c r="X1002" s="10"/>
      <c r="Y1002" s="10"/>
      <c r="Z1002" s="10"/>
    </row>
    <row r="1003">
      <c r="A1003" s="9"/>
      <c r="B1003" s="9"/>
      <c r="C1003" s="9"/>
      <c r="D1003" s="9"/>
      <c r="E1003" s="9"/>
      <c r="F1003" s="9"/>
      <c r="G1003" s="9"/>
      <c r="H1003" s="9"/>
      <c r="I1003" s="9"/>
      <c r="J1003" s="9"/>
      <c r="K1003" s="9"/>
      <c r="L1003" s="115"/>
      <c r="M1003" s="115"/>
      <c r="N1003" s="115"/>
      <c r="O1003" s="115"/>
      <c r="P1003" s="9"/>
      <c r="Q1003" s="9"/>
      <c r="R1003" s="9"/>
      <c r="S1003" s="9"/>
      <c r="T1003" s="9"/>
      <c r="U1003" s="9"/>
      <c r="V1003" s="9"/>
      <c r="W1003" s="10"/>
      <c r="X1003" s="10"/>
      <c r="Y1003" s="10"/>
      <c r="Z1003" s="10"/>
    </row>
    <row r="1004">
      <c r="A1004" s="9"/>
      <c r="B1004" s="9"/>
      <c r="C1004" s="9"/>
      <c r="D1004" s="9"/>
      <c r="E1004" s="9"/>
      <c r="F1004" s="9"/>
      <c r="G1004" s="9"/>
      <c r="H1004" s="9"/>
      <c r="I1004" s="9"/>
      <c r="J1004" s="9"/>
      <c r="K1004" s="9"/>
      <c r="L1004" s="115"/>
      <c r="M1004" s="115"/>
      <c r="N1004" s="115"/>
      <c r="O1004" s="115"/>
      <c r="P1004" s="9"/>
      <c r="Q1004" s="9"/>
      <c r="R1004" s="9"/>
      <c r="S1004" s="9"/>
      <c r="T1004" s="9"/>
      <c r="U1004" s="9"/>
      <c r="V1004" s="9"/>
      <c r="W1004" s="10"/>
      <c r="X1004" s="10"/>
      <c r="Y1004" s="10"/>
      <c r="Z1004" s="10"/>
    </row>
    <row r="1005">
      <c r="A1005" s="9"/>
      <c r="B1005" s="9"/>
      <c r="C1005" s="9"/>
      <c r="D1005" s="9"/>
      <c r="E1005" s="9"/>
      <c r="F1005" s="9"/>
      <c r="G1005" s="9"/>
      <c r="H1005" s="9"/>
      <c r="I1005" s="9"/>
      <c r="J1005" s="9"/>
      <c r="K1005" s="9"/>
      <c r="L1005" s="115"/>
      <c r="M1005" s="115"/>
      <c r="N1005" s="115"/>
      <c r="O1005" s="115"/>
      <c r="P1005" s="9"/>
      <c r="Q1005" s="9"/>
      <c r="R1005" s="9"/>
      <c r="S1005" s="9"/>
      <c r="T1005" s="9"/>
      <c r="U1005" s="9"/>
      <c r="V1005" s="9"/>
      <c r="W1005" s="10"/>
      <c r="X1005" s="10"/>
      <c r="Y1005" s="10"/>
      <c r="Z1005" s="10"/>
    </row>
    <row r="1006">
      <c r="A1006" s="9"/>
      <c r="B1006" s="9"/>
      <c r="C1006" s="9"/>
      <c r="D1006" s="9"/>
      <c r="E1006" s="9"/>
      <c r="F1006" s="9"/>
      <c r="G1006" s="9"/>
      <c r="H1006" s="9"/>
      <c r="I1006" s="9"/>
      <c r="J1006" s="9"/>
      <c r="K1006" s="9"/>
      <c r="L1006" s="115"/>
      <c r="M1006" s="115"/>
      <c r="N1006" s="115"/>
      <c r="O1006" s="115"/>
      <c r="P1006" s="9"/>
      <c r="Q1006" s="9"/>
      <c r="R1006" s="9"/>
      <c r="S1006" s="9"/>
      <c r="T1006" s="9"/>
      <c r="U1006" s="9"/>
      <c r="V1006" s="9"/>
      <c r="W1006" s="10"/>
      <c r="X1006" s="10"/>
      <c r="Y1006" s="10"/>
      <c r="Z1006" s="10"/>
    </row>
    <row r="1007">
      <c r="A1007" s="9"/>
      <c r="B1007" s="9"/>
      <c r="C1007" s="9"/>
      <c r="D1007" s="9"/>
      <c r="E1007" s="9"/>
      <c r="F1007" s="9"/>
      <c r="G1007" s="9"/>
      <c r="H1007" s="9"/>
      <c r="I1007" s="9"/>
      <c r="J1007" s="9"/>
      <c r="K1007" s="9"/>
      <c r="L1007" s="115"/>
      <c r="M1007" s="115"/>
      <c r="N1007" s="115"/>
      <c r="O1007" s="115"/>
      <c r="P1007" s="9"/>
      <c r="Q1007" s="9"/>
      <c r="R1007" s="9"/>
      <c r="S1007" s="9"/>
      <c r="T1007" s="9"/>
      <c r="U1007" s="9"/>
      <c r="V1007" s="9"/>
      <c r="W1007" s="10"/>
      <c r="X1007" s="10"/>
      <c r="Y1007" s="10"/>
      <c r="Z1007" s="10"/>
    </row>
    <row r="1008">
      <c r="A1008" s="9"/>
      <c r="B1008" s="9"/>
      <c r="C1008" s="9"/>
      <c r="D1008" s="9"/>
      <c r="E1008" s="9"/>
      <c r="F1008" s="9"/>
      <c r="G1008" s="9"/>
      <c r="H1008" s="9"/>
      <c r="I1008" s="9"/>
      <c r="J1008" s="9"/>
      <c r="K1008" s="9"/>
      <c r="L1008" s="115"/>
      <c r="M1008" s="115"/>
      <c r="N1008" s="115"/>
      <c r="O1008" s="115"/>
      <c r="P1008" s="9"/>
      <c r="Q1008" s="9"/>
      <c r="R1008" s="9"/>
      <c r="S1008" s="9"/>
      <c r="T1008" s="9"/>
      <c r="U1008" s="9"/>
      <c r="V1008" s="9"/>
      <c r="W1008" s="10"/>
      <c r="X1008" s="10"/>
      <c r="Y1008" s="10"/>
      <c r="Z1008" s="10"/>
    </row>
    <row r="1009">
      <c r="A1009" s="9"/>
      <c r="B1009" s="9"/>
      <c r="C1009" s="9"/>
      <c r="D1009" s="9"/>
      <c r="E1009" s="9"/>
      <c r="F1009" s="9"/>
      <c r="G1009" s="9"/>
      <c r="H1009" s="9"/>
      <c r="I1009" s="9"/>
      <c r="J1009" s="9"/>
      <c r="K1009" s="9"/>
      <c r="L1009" s="115"/>
      <c r="M1009" s="115"/>
      <c r="N1009" s="115"/>
      <c r="O1009" s="115"/>
      <c r="P1009" s="9"/>
      <c r="Q1009" s="9"/>
      <c r="R1009" s="9"/>
      <c r="S1009" s="9"/>
      <c r="T1009" s="9"/>
      <c r="U1009" s="9"/>
      <c r="V1009" s="9"/>
      <c r="W1009" s="10"/>
      <c r="X1009" s="10"/>
      <c r="Y1009" s="10"/>
      <c r="Z1009" s="10"/>
    </row>
    <row r="1010">
      <c r="A1010" s="9"/>
      <c r="B1010" s="9"/>
      <c r="C1010" s="9"/>
      <c r="D1010" s="9"/>
      <c r="E1010" s="9"/>
      <c r="F1010" s="9"/>
      <c r="G1010" s="9"/>
      <c r="H1010" s="9"/>
      <c r="I1010" s="9"/>
      <c r="J1010" s="9"/>
      <c r="K1010" s="9"/>
      <c r="L1010" s="115"/>
      <c r="M1010" s="115"/>
      <c r="N1010" s="115"/>
      <c r="O1010" s="115"/>
      <c r="P1010" s="9"/>
      <c r="Q1010" s="9"/>
      <c r="R1010" s="9"/>
      <c r="S1010" s="9"/>
      <c r="T1010" s="9"/>
      <c r="U1010" s="9"/>
      <c r="V1010" s="9"/>
      <c r="W1010" s="10"/>
      <c r="X1010" s="10"/>
      <c r="Y1010" s="10"/>
      <c r="Z1010" s="10"/>
    </row>
    <row r="1011">
      <c r="A1011" s="9"/>
      <c r="B1011" s="9"/>
      <c r="C1011" s="9"/>
      <c r="D1011" s="9"/>
      <c r="E1011" s="9"/>
      <c r="F1011" s="9"/>
      <c r="G1011" s="9"/>
      <c r="H1011" s="9"/>
      <c r="I1011" s="9"/>
      <c r="J1011" s="9"/>
      <c r="K1011" s="9"/>
      <c r="L1011" s="115"/>
      <c r="M1011" s="115"/>
      <c r="N1011" s="115"/>
      <c r="O1011" s="115"/>
      <c r="P1011" s="9"/>
      <c r="Q1011" s="9"/>
      <c r="R1011" s="9"/>
      <c r="S1011" s="9"/>
      <c r="T1011" s="9"/>
      <c r="U1011" s="9"/>
      <c r="V1011" s="9"/>
      <c r="W1011" s="10"/>
      <c r="X1011" s="10"/>
      <c r="Y1011" s="10"/>
      <c r="Z1011" s="10"/>
    </row>
    <row r="1012">
      <c r="A1012" s="9"/>
      <c r="B1012" s="9"/>
      <c r="C1012" s="9"/>
      <c r="D1012" s="9"/>
      <c r="E1012" s="9"/>
      <c r="F1012" s="9"/>
      <c r="G1012" s="9"/>
      <c r="H1012" s="9"/>
      <c r="I1012" s="9"/>
      <c r="J1012" s="9"/>
      <c r="K1012" s="9"/>
      <c r="L1012" s="115"/>
      <c r="M1012" s="115"/>
      <c r="N1012" s="115"/>
      <c r="O1012" s="115"/>
      <c r="P1012" s="9"/>
      <c r="Q1012" s="9"/>
      <c r="R1012" s="9"/>
      <c r="S1012" s="9"/>
      <c r="T1012" s="9"/>
      <c r="U1012" s="9"/>
      <c r="V1012" s="9"/>
      <c r="W1012" s="10"/>
      <c r="X1012" s="10"/>
      <c r="Y1012" s="10"/>
      <c r="Z1012" s="10"/>
    </row>
    <row r="1013">
      <c r="A1013" s="9"/>
      <c r="B1013" s="9"/>
      <c r="C1013" s="9"/>
      <c r="D1013" s="9"/>
      <c r="E1013" s="9"/>
      <c r="F1013" s="9"/>
      <c r="G1013" s="9"/>
      <c r="H1013" s="9"/>
      <c r="I1013" s="9"/>
      <c r="J1013" s="9"/>
      <c r="K1013" s="9"/>
      <c r="L1013" s="115"/>
      <c r="M1013" s="115"/>
      <c r="N1013" s="115"/>
      <c r="O1013" s="115"/>
      <c r="P1013" s="9"/>
      <c r="Q1013" s="9"/>
      <c r="R1013" s="9"/>
      <c r="S1013" s="9"/>
      <c r="T1013" s="9"/>
      <c r="U1013" s="9"/>
      <c r="V1013" s="9"/>
      <c r="W1013" s="10"/>
      <c r="X1013" s="10"/>
      <c r="Y1013" s="10"/>
      <c r="Z1013" s="10"/>
    </row>
    <row r="1014">
      <c r="A1014" s="9"/>
      <c r="B1014" s="9"/>
      <c r="C1014" s="9"/>
      <c r="D1014" s="9"/>
      <c r="E1014" s="9"/>
      <c r="F1014" s="9"/>
      <c r="G1014" s="9"/>
      <c r="H1014" s="9"/>
      <c r="I1014" s="9"/>
      <c r="J1014" s="9"/>
      <c r="K1014" s="9"/>
      <c r="L1014" s="115"/>
      <c r="M1014" s="115"/>
      <c r="N1014" s="115"/>
      <c r="O1014" s="115"/>
      <c r="P1014" s="9"/>
      <c r="Q1014" s="9"/>
      <c r="R1014" s="9"/>
      <c r="S1014" s="9"/>
      <c r="T1014" s="9"/>
      <c r="U1014" s="9"/>
      <c r="V1014" s="9"/>
      <c r="W1014" s="10"/>
      <c r="X1014" s="10"/>
      <c r="Y1014" s="10"/>
      <c r="Z1014" s="10"/>
    </row>
    <row r="1015">
      <c r="A1015" s="9"/>
      <c r="B1015" s="9"/>
      <c r="C1015" s="9"/>
      <c r="D1015" s="9"/>
      <c r="E1015" s="9"/>
      <c r="F1015" s="9"/>
      <c r="G1015" s="9"/>
      <c r="H1015" s="9"/>
      <c r="I1015" s="9"/>
      <c r="J1015" s="9"/>
      <c r="K1015" s="9"/>
      <c r="L1015" s="115"/>
      <c r="M1015" s="115"/>
      <c r="N1015" s="115"/>
      <c r="O1015" s="115"/>
      <c r="P1015" s="9"/>
      <c r="Q1015" s="9"/>
      <c r="R1015" s="9"/>
      <c r="S1015" s="9"/>
      <c r="T1015" s="9"/>
      <c r="U1015" s="9"/>
      <c r="V1015" s="9"/>
      <c r="W1015" s="10"/>
      <c r="X1015" s="10"/>
      <c r="Y1015" s="10"/>
      <c r="Z1015" s="10"/>
    </row>
    <row r="1016">
      <c r="A1016" s="9"/>
      <c r="B1016" s="9"/>
      <c r="C1016" s="9"/>
      <c r="D1016" s="9"/>
      <c r="E1016" s="9"/>
      <c r="F1016" s="9"/>
      <c r="G1016" s="9"/>
      <c r="H1016" s="9"/>
      <c r="I1016" s="9"/>
      <c r="J1016" s="9"/>
      <c r="K1016" s="9"/>
      <c r="L1016" s="115"/>
      <c r="M1016" s="115"/>
      <c r="N1016" s="115"/>
      <c r="O1016" s="115"/>
      <c r="P1016" s="9"/>
      <c r="Q1016" s="9"/>
      <c r="R1016" s="9"/>
      <c r="S1016" s="9"/>
      <c r="T1016" s="9"/>
      <c r="U1016" s="9"/>
      <c r="V1016" s="9"/>
      <c r="W1016" s="10"/>
      <c r="X1016" s="10"/>
      <c r="Y1016" s="10"/>
      <c r="Z1016" s="10"/>
    </row>
    <row r="1017">
      <c r="A1017" s="9"/>
      <c r="B1017" s="9"/>
      <c r="C1017" s="9"/>
      <c r="D1017" s="9"/>
      <c r="E1017" s="9"/>
      <c r="F1017" s="9"/>
      <c r="G1017" s="9"/>
      <c r="H1017" s="9"/>
      <c r="I1017" s="9"/>
      <c r="J1017" s="9"/>
      <c r="K1017" s="9"/>
      <c r="L1017" s="115"/>
      <c r="M1017" s="115"/>
      <c r="N1017" s="115"/>
      <c r="O1017" s="115"/>
      <c r="P1017" s="9"/>
      <c r="Q1017" s="9"/>
      <c r="R1017" s="9"/>
      <c r="S1017" s="9"/>
      <c r="T1017" s="9"/>
      <c r="U1017" s="9"/>
      <c r="V1017" s="9"/>
      <c r="W1017" s="10"/>
      <c r="X1017" s="10"/>
      <c r="Y1017" s="10"/>
      <c r="Z1017" s="10"/>
    </row>
    <row r="1018">
      <c r="A1018" s="9"/>
      <c r="B1018" s="9"/>
      <c r="C1018" s="9"/>
      <c r="D1018" s="9"/>
      <c r="E1018" s="9"/>
      <c r="F1018" s="9"/>
      <c r="G1018" s="9"/>
      <c r="H1018" s="9"/>
      <c r="I1018" s="9"/>
      <c r="J1018" s="9"/>
      <c r="K1018" s="9"/>
      <c r="L1018" s="115"/>
      <c r="M1018" s="115"/>
      <c r="N1018" s="115"/>
      <c r="O1018" s="115"/>
      <c r="P1018" s="9"/>
      <c r="Q1018" s="9"/>
      <c r="R1018" s="9"/>
      <c r="S1018" s="9"/>
      <c r="T1018" s="9"/>
      <c r="U1018" s="9"/>
      <c r="V1018" s="9"/>
      <c r="W1018" s="10"/>
      <c r="X1018" s="10"/>
      <c r="Y1018" s="10"/>
      <c r="Z1018" s="10"/>
    </row>
    <row r="1019">
      <c r="A1019" s="9"/>
      <c r="B1019" s="9"/>
      <c r="C1019" s="9"/>
      <c r="D1019" s="9"/>
      <c r="E1019" s="9"/>
      <c r="F1019" s="9"/>
      <c r="G1019" s="9"/>
      <c r="H1019" s="9"/>
      <c r="I1019" s="9"/>
      <c r="J1019" s="9"/>
      <c r="K1019" s="9"/>
      <c r="L1019" s="115"/>
      <c r="M1019" s="115"/>
      <c r="N1019" s="115"/>
      <c r="O1019" s="115"/>
      <c r="P1019" s="9"/>
      <c r="Q1019" s="9"/>
      <c r="R1019" s="9"/>
      <c r="S1019" s="9"/>
      <c r="T1019" s="9"/>
      <c r="U1019" s="9"/>
      <c r="V1019" s="9"/>
      <c r="W1019" s="10"/>
      <c r="X1019" s="10"/>
      <c r="Y1019" s="10"/>
      <c r="Z1019" s="10"/>
    </row>
    <row r="1020">
      <c r="A1020" s="9"/>
      <c r="B1020" s="9"/>
      <c r="C1020" s="9"/>
      <c r="D1020" s="9"/>
      <c r="E1020" s="9"/>
      <c r="F1020" s="9"/>
      <c r="G1020" s="9"/>
      <c r="H1020" s="9"/>
      <c r="I1020" s="9"/>
      <c r="J1020" s="9"/>
      <c r="K1020" s="9"/>
      <c r="L1020" s="115"/>
      <c r="M1020" s="115"/>
      <c r="N1020" s="115"/>
      <c r="O1020" s="115"/>
      <c r="P1020" s="9"/>
      <c r="Q1020" s="9"/>
      <c r="R1020" s="9"/>
      <c r="S1020" s="9"/>
      <c r="T1020" s="9"/>
      <c r="U1020" s="9"/>
      <c r="V1020" s="9"/>
      <c r="W1020" s="10"/>
      <c r="X1020" s="10"/>
      <c r="Y1020" s="10"/>
      <c r="Z1020" s="10"/>
    </row>
    <row r="1021">
      <c r="A1021" s="9"/>
      <c r="B1021" s="9"/>
      <c r="C1021" s="9"/>
      <c r="D1021" s="9"/>
      <c r="E1021" s="9"/>
      <c r="F1021" s="9"/>
      <c r="G1021" s="9"/>
      <c r="H1021" s="9"/>
      <c r="I1021" s="9"/>
      <c r="J1021" s="9"/>
      <c r="K1021" s="9"/>
      <c r="L1021" s="115"/>
      <c r="M1021" s="115"/>
      <c r="N1021" s="115"/>
      <c r="O1021" s="115"/>
      <c r="P1021" s="9"/>
      <c r="Q1021" s="9"/>
      <c r="R1021" s="9"/>
      <c r="S1021" s="9"/>
      <c r="T1021" s="9"/>
      <c r="U1021" s="9"/>
      <c r="V1021" s="9"/>
      <c r="W1021" s="10"/>
      <c r="X1021" s="10"/>
      <c r="Y1021" s="10"/>
      <c r="Z1021" s="10"/>
    </row>
    <row r="1022">
      <c r="A1022" s="9"/>
      <c r="B1022" s="9"/>
      <c r="C1022" s="9"/>
      <c r="D1022" s="9"/>
      <c r="E1022" s="9"/>
      <c r="F1022" s="9"/>
      <c r="G1022" s="9"/>
      <c r="H1022" s="9"/>
      <c r="I1022" s="9"/>
      <c r="J1022" s="9"/>
      <c r="K1022" s="9"/>
      <c r="L1022" s="115"/>
      <c r="M1022" s="115"/>
      <c r="N1022" s="115"/>
      <c r="O1022" s="115"/>
      <c r="P1022" s="9"/>
      <c r="Q1022" s="9"/>
      <c r="R1022" s="9"/>
      <c r="S1022" s="9"/>
      <c r="T1022" s="9"/>
      <c r="U1022" s="9"/>
      <c r="V1022" s="9"/>
      <c r="W1022" s="10"/>
      <c r="X1022" s="10"/>
      <c r="Y1022" s="10"/>
      <c r="Z1022" s="10"/>
    </row>
    <row r="1023">
      <c r="A1023" s="9"/>
      <c r="B1023" s="9"/>
      <c r="C1023" s="9"/>
      <c r="D1023" s="9"/>
      <c r="E1023" s="9"/>
      <c r="F1023" s="9"/>
      <c r="G1023" s="9"/>
      <c r="H1023" s="9"/>
      <c r="I1023" s="9"/>
      <c r="J1023" s="9"/>
      <c r="K1023" s="9"/>
      <c r="L1023" s="115"/>
      <c r="M1023" s="115"/>
      <c r="N1023" s="115"/>
      <c r="O1023" s="115"/>
      <c r="P1023" s="9"/>
      <c r="Q1023" s="9"/>
      <c r="R1023" s="9"/>
      <c r="S1023" s="9"/>
      <c r="T1023" s="9"/>
      <c r="U1023" s="9"/>
      <c r="V1023" s="9"/>
      <c r="W1023" s="10"/>
      <c r="X1023" s="10"/>
      <c r="Y1023" s="10"/>
      <c r="Z1023" s="10"/>
    </row>
    <row r="1024">
      <c r="A1024" s="9"/>
      <c r="B1024" s="9"/>
      <c r="C1024" s="9"/>
      <c r="D1024" s="9"/>
      <c r="E1024" s="9"/>
      <c r="F1024" s="9"/>
      <c r="G1024" s="9"/>
      <c r="H1024" s="9"/>
      <c r="I1024" s="9"/>
      <c r="J1024" s="9"/>
      <c r="K1024" s="9"/>
      <c r="L1024" s="115"/>
      <c r="M1024" s="115"/>
      <c r="N1024" s="115"/>
      <c r="O1024" s="115"/>
      <c r="P1024" s="9"/>
      <c r="Q1024" s="9"/>
      <c r="R1024" s="9"/>
      <c r="S1024" s="9"/>
      <c r="T1024" s="9"/>
      <c r="U1024" s="9"/>
      <c r="V1024" s="9"/>
      <c r="W1024" s="10"/>
      <c r="X1024" s="10"/>
      <c r="Y1024" s="10"/>
      <c r="Z1024" s="10"/>
    </row>
    <row r="1025">
      <c r="A1025" s="9"/>
      <c r="B1025" s="9"/>
      <c r="C1025" s="9"/>
      <c r="D1025" s="9"/>
      <c r="E1025" s="9"/>
      <c r="F1025" s="9"/>
      <c r="G1025" s="9"/>
      <c r="H1025" s="9"/>
      <c r="I1025" s="9"/>
      <c r="J1025" s="9"/>
      <c r="K1025" s="9"/>
      <c r="L1025" s="115"/>
      <c r="M1025" s="115"/>
      <c r="N1025" s="115"/>
      <c r="O1025" s="115"/>
      <c r="P1025" s="9"/>
      <c r="Q1025" s="9"/>
      <c r="R1025" s="9"/>
      <c r="S1025" s="9"/>
      <c r="T1025" s="9"/>
      <c r="U1025" s="9"/>
      <c r="V1025" s="9"/>
      <c r="W1025" s="10"/>
      <c r="X1025" s="10"/>
      <c r="Y1025" s="10"/>
      <c r="Z1025" s="10"/>
    </row>
    <row r="1026">
      <c r="A1026" s="9"/>
      <c r="B1026" s="9"/>
      <c r="C1026" s="9"/>
      <c r="D1026" s="9"/>
      <c r="E1026" s="9"/>
      <c r="F1026" s="9"/>
      <c r="G1026" s="9"/>
      <c r="H1026" s="9"/>
      <c r="I1026" s="9"/>
      <c r="J1026" s="9"/>
      <c r="K1026" s="9"/>
      <c r="L1026" s="115"/>
      <c r="M1026" s="115"/>
      <c r="N1026" s="115"/>
      <c r="O1026" s="115"/>
      <c r="P1026" s="9"/>
      <c r="Q1026" s="9"/>
      <c r="R1026" s="9"/>
      <c r="S1026" s="9"/>
      <c r="T1026" s="9"/>
      <c r="U1026" s="9"/>
      <c r="V1026" s="9"/>
      <c r="W1026" s="10"/>
      <c r="X1026" s="10"/>
      <c r="Y1026" s="10"/>
      <c r="Z1026" s="10"/>
    </row>
    <row r="1027">
      <c r="A1027" s="9"/>
      <c r="B1027" s="9"/>
      <c r="C1027" s="9"/>
      <c r="D1027" s="9"/>
      <c r="E1027" s="9"/>
      <c r="F1027" s="9"/>
      <c r="G1027" s="9"/>
      <c r="H1027" s="9"/>
      <c r="I1027" s="9"/>
      <c r="J1027" s="9"/>
      <c r="K1027" s="9"/>
      <c r="L1027" s="115"/>
      <c r="M1027" s="115"/>
      <c r="N1027" s="115"/>
      <c r="O1027" s="115"/>
      <c r="P1027" s="9"/>
      <c r="Q1027" s="9"/>
      <c r="R1027" s="9"/>
      <c r="S1027" s="9"/>
      <c r="T1027" s="9"/>
      <c r="U1027" s="9"/>
      <c r="V1027" s="9"/>
      <c r="W1027" s="10"/>
      <c r="X1027" s="10"/>
      <c r="Y1027" s="10"/>
      <c r="Z1027" s="10"/>
    </row>
    <row r="1028">
      <c r="A1028" s="9"/>
      <c r="B1028" s="9"/>
      <c r="C1028" s="9"/>
      <c r="D1028" s="9"/>
      <c r="E1028" s="9"/>
      <c r="F1028" s="9"/>
      <c r="G1028" s="9"/>
      <c r="H1028" s="9"/>
      <c r="I1028" s="9"/>
      <c r="J1028" s="9"/>
      <c r="K1028" s="9"/>
      <c r="L1028" s="115"/>
      <c r="M1028" s="115"/>
      <c r="N1028" s="115"/>
      <c r="O1028" s="115"/>
      <c r="P1028" s="9"/>
      <c r="Q1028" s="9"/>
      <c r="R1028" s="9"/>
      <c r="S1028" s="9"/>
      <c r="T1028" s="9"/>
      <c r="U1028" s="9"/>
      <c r="V1028" s="9"/>
      <c r="W1028" s="10"/>
      <c r="X1028" s="10"/>
      <c r="Y1028" s="10"/>
      <c r="Z1028" s="10"/>
    </row>
    <row r="1029">
      <c r="A1029" s="9"/>
      <c r="B1029" s="9"/>
      <c r="C1029" s="9"/>
      <c r="D1029" s="9"/>
      <c r="E1029" s="9"/>
      <c r="F1029" s="9"/>
      <c r="G1029" s="9"/>
      <c r="H1029" s="9"/>
      <c r="I1029" s="9"/>
      <c r="J1029" s="9"/>
      <c r="K1029" s="9"/>
      <c r="L1029" s="115"/>
      <c r="M1029" s="115"/>
      <c r="N1029" s="115"/>
      <c r="O1029" s="115"/>
      <c r="P1029" s="9"/>
      <c r="Q1029" s="9"/>
      <c r="R1029" s="9"/>
      <c r="S1029" s="9"/>
      <c r="T1029" s="9"/>
      <c r="U1029" s="9"/>
      <c r="V1029" s="9"/>
      <c r="W1029" s="10"/>
      <c r="X1029" s="10"/>
      <c r="Y1029" s="10"/>
      <c r="Z1029" s="10"/>
    </row>
    <row r="1030">
      <c r="A1030" s="9"/>
      <c r="B1030" s="9"/>
      <c r="C1030" s="9"/>
      <c r="D1030" s="9"/>
      <c r="E1030" s="9"/>
      <c r="F1030" s="9"/>
      <c r="G1030" s="9"/>
      <c r="H1030" s="9"/>
      <c r="I1030" s="9"/>
      <c r="J1030" s="9"/>
      <c r="K1030" s="9"/>
      <c r="L1030" s="115"/>
      <c r="M1030" s="115"/>
      <c r="N1030" s="115"/>
      <c r="O1030" s="115"/>
      <c r="P1030" s="9"/>
      <c r="Q1030" s="9"/>
      <c r="R1030" s="9"/>
      <c r="S1030" s="9"/>
      <c r="T1030" s="9"/>
      <c r="U1030" s="9"/>
      <c r="V1030" s="9"/>
      <c r="W1030" s="10"/>
      <c r="X1030" s="10"/>
      <c r="Y1030" s="10"/>
      <c r="Z1030" s="10"/>
    </row>
    <row r="1031">
      <c r="A1031" s="9"/>
      <c r="B1031" s="9"/>
      <c r="C1031" s="9"/>
      <c r="D1031" s="9"/>
      <c r="E1031" s="9"/>
      <c r="F1031" s="9"/>
      <c r="G1031" s="9"/>
      <c r="H1031" s="9"/>
      <c r="I1031" s="9"/>
      <c r="J1031" s="9"/>
      <c r="K1031" s="9"/>
      <c r="L1031" s="115"/>
      <c r="M1031" s="115"/>
      <c r="N1031" s="115"/>
      <c r="O1031" s="115"/>
      <c r="P1031" s="9"/>
      <c r="Q1031" s="9"/>
      <c r="R1031" s="9"/>
      <c r="S1031" s="9"/>
      <c r="T1031" s="9"/>
      <c r="U1031" s="9"/>
      <c r="V1031" s="9"/>
      <c r="W1031" s="10"/>
      <c r="X1031" s="10"/>
      <c r="Y1031" s="10"/>
      <c r="Z1031" s="10"/>
    </row>
    <row r="1032">
      <c r="A1032" s="9"/>
      <c r="B1032" s="9"/>
      <c r="C1032" s="9"/>
      <c r="D1032" s="9"/>
      <c r="E1032" s="9"/>
      <c r="F1032" s="9"/>
      <c r="G1032" s="9"/>
      <c r="H1032" s="9"/>
      <c r="I1032" s="9"/>
      <c r="J1032" s="9"/>
      <c r="K1032" s="9"/>
      <c r="L1032" s="115"/>
      <c r="M1032" s="115"/>
      <c r="N1032" s="115"/>
      <c r="O1032" s="115"/>
      <c r="P1032" s="9"/>
      <c r="Q1032" s="9"/>
      <c r="R1032" s="9"/>
      <c r="S1032" s="9"/>
      <c r="T1032" s="9"/>
      <c r="U1032" s="9"/>
      <c r="V1032" s="9"/>
      <c r="W1032" s="10"/>
      <c r="X1032" s="10"/>
      <c r="Y1032" s="10"/>
      <c r="Z1032" s="10"/>
    </row>
    <row r="1033">
      <c r="A1033" s="9"/>
      <c r="B1033" s="9"/>
      <c r="C1033" s="9"/>
      <c r="D1033" s="9"/>
      <c r="E1033" s="9"/>
      <c r="F1033" s="9"/>
      <c r="G1033" s="9"/>
      <c r="H1033" s="9"/>
      <c r="I1033" s="9"/>
      <c r="J1033" s="9"/>
      <c r="K1033" s="9"/>
      <c r="L1033" s="115"/>
      <c r="M1033" s="115"/>
      <c r="N1033" s="115"/>
      <c r="O1033" s="115"/>
      <c r="P1033" s="9"/>
      <c r="Q1033" s="9"/>
      <c r="R1033" s="9"/>
      <c r="S1033" s="9"/>
      <c r="T1033" s="9"/>
      <c r="U1033" s="9"/>
      <c r="V1033" s="9"/>
      <c r="W1033" s="10"/>
      <c r="X1033" s="10"/>
      <c r="Y1033" s="10"/>
      <c r="Z1033" s="10"/>
    </row>
    <row r="1034">
      <c r="A1034" s="9"/>
      <c r="B1034" s="9"/>
      <c r="C1034" s="9"/>
      <c r="D1034" s="9"/>
      <c r="E1034" s="9"/>
      <c r="F1034" s="9"/>
      <c r="G1034" s="9"/>
      <c r="H1034" s="9"/>
      <c r="I1034" s="9"/>
      <c r="J1034" s="9"/>
      <c r="K1034" s="9"/>
      <c r="L1034" s="115"/>
      <c r="M1034" s="115"/>
      <c r="N1034" s="115"/>
      <c r="O1034" s="115"/>
      <c r="P1034" s="9"/>
      <c r="Q1034" s="9"/>
      <c r="R1034" s="9"/>
      <c r="S1034" s="9"/>
      <c r="T1034" s="9"/>
      <c r="U1034" s="9"/>
      <c r="V1034" s="9"/>
      <c r="W1034" s="10"/>
      <c r="X1034" s="10"/>
      <c r="Y1034" s="10"/>
      <c r="Z1034" s="10"/>
    </row>
    <row r="1035">
      <c r="A1035" s="9"/>
      <c r="B1035" s="9"/>
      <c r="C1035" s="9"/>
      <c r="D1035" s="9"/>
      <c r="E1035" s="9"/>
      <c r="F1035" s="9"/>
      <c r="G1035" s="9"/>
      <c r="H1035" s="9"/>
      <c r="I1035" s="9"/>
      <c r="J1035" s="9"/>
      <c r="K1035" s="9"/>
      <c r="L1035" s="115"/>
      <c r="M1035" s="115"/>
      <c r="N1035" s="115"/>
      <c r="O1035" s="115"/>
      <c r="P1035" s="9"/>
      <c r="Q1035" s="9"/>
      <c r="R1035" s="9"/>
      <c r="S1035" s="9"/>
      <c r="T1035" s="9"/>
      <c r="U1035" s="9"/>
      <c r="V1035" s="9"/>
      <c r="W1035" s="10"/>
      <c r="X1035" s="10"/>
      <c r="Y1035" s="10"/>
      <c r="Z1035" s="10"/>
    </row>
    <row r="1036">
      <c r="A1036" s="9"/>
      <c r="B1036" s="9"/>
      <c r="C1036" s="9"/>
      <c r="D1036" s="9"/>
      <c r="E1036" s="9"/>
      <c r="F1036" s="9"/>
      <c r="G1036" s="9"/>
      <c r="H1036" s="9"/>
      <c r="I1036" s="9"/>
      <c r="J1036" s="9"/>
      <c r="K1036" s="9"/>
      <c r="L1036" s="115"/>
      <c r="M1036" s="115"/>
      <c r="N1036" s="115"/>
      <c r="O1036" s="115"/>
      <c r="P1036" s="9"/>
      <c r="Q1036" s="9"/>
      <c r="R1036" s="9"/>
      <c r="S1036" s="9"/>
      <c r="T1036" s="9"/>
      <c r="U1036" s="9"/>
      <c r="V1036" s="9"/>
      <c r="W1036" s="10"/>
      <c r="X1036" s="10"/>
      <c r="Y1036" s="10"/>
      <c r="Z1036" s="10"/>
    </row>
    <row r="1037">
      <c r="A1037" s="9"/>
      <c r="B1037" s="9"/>
      <c r="C1037" s="9"/>
      <c r="D1037" s="9"/>
      <c r="E1037" s="9"/>
      <c r="F1037" s="9"/>
      <c r="G1037" s="9"/>
      <c r="H1037" s="9"/>
      <c r="I1037" s="9"/>
      <c r="J1037" s="9"/>
      <c r="K1037" s="9"/>
      <c r="L1037" s="115"/>
      <c r="M1037" s="115"/>
      <c r="N1037" s="115"/>
      <c r="O1037" s="115"/>
      <c r="P1037" s="9"/>
      <c r="Q1037" s="9"/>
      <c r="R1037" s="9"/>
      <c r="S1037" s="9"/>
      <c r="T1037" s="9"/>
      <c r="U1037" s="9"/>
      <c r="V1037" s="9"/>
      <c r="W1037" s="10"/>
      <c r="X1037" s="10"/>
      <c r="Y1037" s="10"/>
      <c r="Z1037" s="10"/>
    </row>
    <row r="1038">
      <c r="A1038" s="9"/>
      <c r="B1038" s="9"/>
      <c r="C1038" s="9"/>
      <c r="D1038" s="9"/>
      <c r="E1038" s="9"/>
      <c r="F1038" s="9"/>
      <c r="G1038" s="9"/>
      <c r="H1038" s="9"/>
      <c r="I1038" s="9"/>
      <c r="J1038" s="9"/>
      <c r="K1038" s="9"/>
      <c r="L1038" s="115"/>
      <c r="M1038" s="115"/>
      <c r="N1038" s="115"/>
      <c r="O1038" s="115"/>
      <c r="P1038" s="9"/>
      <c r="Q1038" s="9"/>
      <c r="R1038" s="9"/>
      <c r="S1038" s="9"/>
      <c r="T1038" s="9"/>
      <c r="U1038" s="9"/>
      <c r="V1038" s="9"/>
      <c r="W1038" s="10"/>
      <c r="X1038" s="10"/>
      <c r="Y1038" s="10"/>
      <c r="Z1038" s="10"/>
    </row>
    <row r="1039">
      <c r="A1039" s="9"/>
      <c r="B1039" s="9"/>
      <c r="C1039" s="9"/>
      <c r="D1039" s="9"/>
      <c r="E1039" s="9"/>
      <c r="F1039" s="9"/>
      <c r="G1039" s="9"/>
      <c r="H1039" s="9"/>
      <c r="I1039" s="9"/>
      <c r="J1039" s="9"/>
      <c r="K1039" s="9"/>
      <c r="L1039" s="115"/>
      <c r="M1039" s="115"/>
      <c r="N1039" s="115"/>
      <c r="O1039" s="115"/>
      <c r="P1039" s="9"/>
      <c r="Q1039" s="9"/>
      <c r="R1039" s="9"/>
      <c r="S1039" s="9"/>
      <c r="T1039" s="9"/>
      <c r="U1039" s="9"/>
      <c r="V1039" s="9"/>
      <c r="W1039" s="10"/>
      <c r="X1039" s="10"/>
      <c r="Y1039" s="10"/>
      <c r="Z1039" s="10"/>
    </row>
    <row r="1040">
      <c r="A1040" s="9"/>
      <c r="B1040" s="9"/>
      <c r="C1040" s="9"/>
      <c r="D1040" s="9"/>
      <c r="E1040" s="9"/>
      <c r="F1040" s="9"/>
      <c r="G1040" s="9"/>
      <c r="H1040" s="9"/>
      <c r="I1040" s="9"/>
      <c r="J1040" s="9"/>
      <c r="K1040" s="9"/>
      <c r="L1040" s="115"/>
      <c r="M1040" s="115"/>
      <c r="N1040" s="115"/>
      <c r="O1040" s="115"/>
      <c r="P1040" s="9"/>
      <c r="Q1040" s="9"/>
      <c r="R1040" s="9"/>
      <c r="S1040" s="9"/>
      <c r="T1040" s="9"/>
      <c r="U1040" s="9"/>
      <c r="V1040" s="9"/>
      <c r="W1040" s="10"/>
      <c r="X1040" s="10"/>
      <c r="Y1040" s="10"/>
      <c r="Z1040" s="10"/>
    </row>
    <row r="1041">
      <c r="A1041" s="9"/>
      <c r="B1041" s="9"/>
      <c r="C1041" s="9"/>
      <c r="D1041" s="9"/>
      <c r="E1041" s="9"/>
      <c r="F1041" s="9"/>
      <c r="G1041" s="9"/>
      <c r="H1041" s="9"/>
      <c r="I1041" s="9"/>
      <c r="J1041" s="9"/>
      <c r="K1041" s="9"/>
      <c r="L1041" s="115"/>
      <c r="M1041" s="115"/>
      <c r="N1041" s="115"/>
      <c r="O1041" s="115"/>
      <c r="P1041" s="9"/>
      <c r="Q1041" s="9"/>
      <c r="R1041" s="9"/>
      <c r="S1041" s="9"/>
      <c r="T1041" s="9"/>
      <c r="U1041" s="9"/>
      <c r="V1041" s="9"/>
      <c r="W1041" s="10"/>
      <c r="X1041" s="10"/>
      <c r="Y1041" s="10"/>
      <c r="Z1041" s="10"/>
    </row>
    <row r="1042">
      <c r="A1042" s="9"/>
      <c r="B1042" s="9"/>
      <c r="C1042" s="9"/>
      <c r="D1042" s="9"/>
      <c r="E1042" s="9"/>
      <c r="F1042" s="9"/>
      <c r="G1042" s="9"/>
      <c r="H1042" s="9"/>
      <c r="I1042" s="9"/>
      <c r="J1042" s="9"/>
      <c r="K1042" s="9"/>
      <c r="L1042" s="115"/>
      <c r="M1042" s="115"/>
      <c r="N1042" s="115"/>
      <c r="O1042" s="115"/>
      <c r="P1042" s="9"/>
      <c r="Q1042" s="9"/>
      <c r="R1042" s="9"/>
      <c r="S1042" s="9"/>
      <c r="T1042" s="9"/>
      <c r="U1042" s="9"/>
      <c r="V1042" s="9"/>
      <c r="W1042" s="10"/>
      <c r="X1042" s="10"/>
      <c r="Y1042" s="10"/>
      <c r="Z1042" s="10"/>
    </row>
    <row r="1043">
      <c r="A1043" s="9"/>
      <c r="B1043" s="9"/>
      <c r="C1043" s="9"/>
      <c r="D1043" s="9"/>
      <c r="E1043" s="9"/>
      <c r="F1043" s="9"/>
      <c r="G1043" s="9"/>
      <c r="H1043" s="9"/>
      <c r="I1043" s="9"/>
      <c r="J1043" s="9"/>
      <c r="K1043" s="9"/>
      <c r="L1043" s="115"/>
      <c r="M1043" s="115"/>
      <c r="N1043" s="115"/>
      <c r="O1043" s="115"/>
      <c r="P1043" s="9"/>
      <c r="Q1043" s="9"/>
      <c r="R1043" s="9"/>
      <c r="S1043" s="9"/>
      <c r="T1043" s="9"/>
      <c r="U1043" s="9"/>
      <c r="V1043" s="9"/>
      <c r="W1043" s="10"/>
      <c r="X1043" s="10"/>
      <c r="Y1043" s="10"/>
      <c r="Z1043" s="10"/>
    </row>
    <row r="1044">
      <c r="A1044" s="9"/>
      <c r="B1044" s="9"/>
      <c r="C1044" s="9"/>
      <c r="D1044" s="9"/>
      <c r="E1044" s="9"/>
      <c r="F1044" s="9"/>
      <c r="G1044" s="9"/>
      <c r="H1044" s="9"/>
      <c r="I1044" s="9"/>
      <c r="J1044" s="9"/>
      <c r="K1044" s="9"/>
      <c r="L1044" s="115"/>
      <c r="M1044" s="115"/>
      <c r="N1044" s="115"/>
      <c r="O1044" s="115"/>
      <c r="P1044" s="9"/>
      <c r="Q1044" s="9"/>
      <c r="R1044" s="9"/>
      <c r="S1044" s="9"/>
      <c r="T1044" s="9"/>
      <c r="U1044" s="9"/>
      <c r="V1044" s="9"/>
      <c r="W1044" s="10"/>
      <c r="X1044" s="10"/>
      <c r="Y1044" s="10"/>
      <c r="Z1044" s="10"/>
    </row>
    <row r="1045">
      <c r="A1045" s="9"/>
      <c r="B1045" s="9"/>
      <c r="C1045" s="9"/>
      <c r="D1045" s="9"/>
      <c r="E1045" s="9"/>
      <c r="F1045" s="9"/>
      <c r="G1045" s="9"/>
      <c r="H1045" s="9"/>
      <c r="I1045" s="9"/>
      <c r="J1045" s="9"/>
      <c r="K1045" s="9"/>
      <c r="L1045" s="115"/>
      <c r="M1045" s="115"/>
      <c r="N1045" s="115"/>
      <c r="O1045" s="115"/>
      <c r="P1045" s="9"/>
      <c r="Q1045" s="9"/>
      <c r="R1045" s="9"/>
      <c r="S1045" s="9"/>
      <c r="T1045" s="9"/>
      <c r="U1045" s="9"/>
      <c r="V1045" s="9"/>
      <c r="W1045" s="10"/>
      <c r="X1045" s="10"/>
      <c r="Y1045" s="10"/>
      <c r="Z1045" s="10"/>
    </row>
    <row r="1046">
      <c r="A1046" s="9"/>
      <c r="B1046" s="9"/>
      <c r="C1046" s="9"/>
      <c r="D1046" s="9"/>
      <c r="E1046" s="9"/>
      <c r="F1046" s="9"/>
      <c r="G1046" s="9"/>
      <c r="H1046" s="9"/>
      <c r="I1046" s="9"/>
      <c r="J1046" s="9"/>
      <c r="K1046" s="9"/>
      <c r="L1046" s="115"/>
      <c r="M1046" s="115"/>
      <c r="N1046" s="115"/>
      <c r="O1046" s="115"/>
      <c r="P1046" s="9"/>
      <c r="Q1046" s="9"/>
      <c r="R1046" s="9"/>
      <c r="S1046" s="9"/>
      <c r="T1046" s="9"/>
      <c r="U1046" s="9"/>
      <c r="V1046" s="9"/>
      <c r="W1046" s="10"/>
      <c r="X1046" s="10"/>
      <c r="Y1046" s="10"/>
      <c r="Z1046" s="10"/>
    </row>
    <row r="1047">
      <c r="A1047" s="9"/>
      <c r="B1047" s="9"/>
      <c r="C1047" s="9"/>
      <c r="D1047" s="9"/>
      <c r="E1047" s="9"/>
      <c r="F1047" s="9"/>
      <c r="G1047" s="9"/>
      <c r="H1047" s="9"/>
      <c r="I1047" s="9"/>
      <c r="J1047" s="9"/>
      <c r="K1047" s="9"/>
      <c r="L1047" s="115"/>
      <c r="M1047" s="115"/>
      <c r="N1047" s="115"/>
      <c r="O1047" s="115"/>
      <c r="P1047" s="9"/>
      <c r="Q1047" s="9"/>
      <c r="R1047" s="9"/>
      <c r="S1047" s="9"/>
      <c r="T1047" s="9"/>
      <c r="U1047" s="9"/>
      <c r="V1047" s="9"/>
      <c r="W1047" s="10"/>
      <c r="X1047" s="10"/>
      <c r="Y1047" s="10"/>
      <c r="Z1047" s="10"/>
    </row>
    <row r="1048">
      <c r="A1048" s="9"/>
      <c r="B1048" s="9"/>
      <c r="C1048" s="9"/>
      <c r="D1048" s="9"/>
      <c r="E1048" s="9"/>
      <c r="F1048" s="9"/>
      <c r="G1048" s="9"/>
      <c r="H1048" s="9"/>
      <c r="I1048" s="9"/>
      <c r="J1048" s="9"/>
      <c r="K1048" s="9"/>
      <c r="L1048" s="115"/>
      <c r="M1048" s="115"/>
      <c r="N1048" s="115"/>
      <c r="O1048" s="115"/>
      <c r="P1048" s="9"/>
      <c r="Q1048" s="9"/>
      <c r="R1048" s="9"/>
      <c r="S1048" s="9"/>
      <c r="T1048" s="9"/>
      <c r="U1048" s="9"/>
      <c r="V1048" s="9"/>
      <c r="W1048" s="10"/>
      <c r="X1048" s="10"/>
      <c r="Y1048" s="10"/>
      <c r="Z1048" s="10"/>
    </row>
    <row r="1049">
      <c r="A1049" s="9"/>
      <c r="B1049" s="9"/>
      <c r="C1049" s="9"/>
      <c r="D1049" s="9"/>
      <c r="E1049" s="9"/>
      <c r="F1049" s="9"/>
      <c r="G1049" s="9"/>
      <c r="H1049" s="9"/>
      <c r="I1049" s="9"/>
      <c r="J1049" s="9"/>
      <c r="K1049" s="9"/>
      <c r="L1049" s="115"/>
      <c r="M1049" s="115"/>
      <c r="N1049" s="115"/>
      <c r="O1049" s="115"/>
      <c r="P1049" s="9"/>
      <c r="Q1049" s="9"/>
      <c r="R1049" s="9"/>
      <c r="S1049" s="9"/>
      <c r="T1049" s="9"/>
      <c r="U1049" s="9"/>
      <c r="V1049" s="9"/>
      <c r="W1049" s="10"/>
      <c r="X1049" s="10"/>
      <c r="Y1049" s="10"/>
      <c r="Z1049" s="10"/>
    </row>
    <row r="1050">
      <c r="A1050" s="9"/>
      <c r="B1050" s="9"/>
      <c r="C1050" s="9"/>
      <c r="D1050" s="9"/>
      <c r="E1050" s="9"/>
      <c r="F1050" s="9"/>
      <c r="G1050" s="9"/>
      <c r="H1050" s="9"/>
      <c r="I1050" s="9"/>
      <c r="J1050" s="9"/>
      <c r="K1050" s="9"/>
      <c r="L1050" s="115"/>
      <c r="M1050" s="115"/>
      <c r="N1050" s="115"/>
      <c r="O1050" s="115"/>
      <c r="P1050" s="9"/>
      <c r="Q1050" s="9"/>
      <c r="R1050" s="9"/>
      <c r="S1050" s="9"/>
      <c r="T1050" s="9"/>
      <c r="U1050" s="9"/>
      <c r="V1050" s="9"/>
      <c r="W1050" s="10"/>
      <c r="X1050" s="10"/>
      <c r="Y1050" s="10"/>
      <c r="Z1050" s="10"/>
    </row>
    <row r="1051">
      <c r="A1051" s="9"/>
      <c r="B1051" s="9"/>
      <c r="C1051" s="9"/>
      <c r="D1051" s="9"/>
      <c r="E1051" s="9"/>
      <c r="F1051" s="9"/>
      <c r="G1051" s="9"/>
      <c r="H1051" s="9"/>
      <c r="I1051" s="9"/>
      <c r="J1051" s="9"/>
      <c r="K1051" s="9"/>
      <c r="L1051" s="115"/>
      <c r="M1051" s="115"/>
      <c r="N1051" s="115"/>
      <c r="O1051" s="115"/>
      <c r="P1051" s="9"/>
      <c r="Q1051" s="9"/>
      <c r="R1051" s="9"/>
      <c r="S1051" s="9"/>
      <c r="T1051" s="9"/>
      <c r="U1051" s="9"/>
      <c r="V1051" s="9"/>
      <c r="W1051" s="10"/>
      <c r="X1051" s="10"/>
      <c r="Y1051" s="10"/>
      <c r="Z1051" s="10"/>
    </row>
    <row r="1052">
      <c r="A1052" s="9"/>
      <c r="B1052" s="9"/>
      <c r="C1052" s="9"/>
      <c r="D1052" s="9"/>
      <c r="E1052" s="9"/>
      <c r="F1052" s="9"/>
      <c r="G1052" s="9"/>
      <c r="H1052" s="9"/>
      <c r="I1052" s="9"/>
      <c r="J1052" s="9"/>
      <c r="K1052" s="9"/>
      <c r="L1052" s="115"/>
      <c r="M1052" s="115"/>
      <c r="N1052" s="115"/>
      <c r="O1052" s="115"/>
      <c r="P1052" s="9"/>
      <c r="Q1052" s="9"/>
      <c r="R1052" s="9"/>
      <c r="S1052" s="9"/>
      <c r="T1052" s="9"/>
      <c r="U1052" s="9"/>
      <c r="V1052" s="9"/>
      <c r="W1052" s="10"/>
      <c r="X1052" s="10"/>
      <c r="Y1052" s="10"/>
      <c r="Z1052" s="10"/>
    </row>
    <row r="1053">
      <c r="A1053" s="9"/>
      <c r="B1053" s="9"/>
      <c r="C1053" s="9"/>
      <c r="D1053" s="9"/>
      <c r="E1053" s="9"/>
      <c r="F1053" s="9"/>
      <c r="G1053" s="9"/>
      <c r="H1053" s="9"/>
      <c r="I1053" s="9"/>
      <c r="J1053" s="9"/>
      <c r="K1053" s="9"/>
      <c r="L1053" s="115"/>
      <c r="M1053" s="115"/>
      <c r="N1053" s="115"/>
      <c r="O1053" s="115"/>
      <c r="P1053" s="9"/>
      <c r="Q1053" s="9"/>
      <c r="R1053" s="9"/>
      <c r="S1053" s="9"/>
      <c r="T1053" s="9"/>
      <c r="U1053" s="9"/>
      <c r="V1053" s="9"/>
      <c r="W1053" s="10"/>
      <c r="X1053" s="10"/>
      <c r="Y1053" s="10"/>
      <c r="Z1053" s="10"/>
    </row>
    <row r="1054">
      <c r="A1054" s="9"/>
      <c r="B1054" s="9"/>
      <c r="C1054" s="9"/>
      <c r="D1054" s="9"/>
      <c r="E1054" s="9"/>
      <c r="F1054" s="9"/>
      <c r="G1054" s="9"/>
      <c r="H1054" s="9"/>
      <c r="I1054" s="9"/>
      <c r="J1054" s="9"/>
      <c r="K1054" s="9"/>
      <c r="L1054" s="115"/>
      <c r="M1054" s="115"/>
      <c r="N1054" s="115"/>
      <c r="O1054" s="115"/>
      <c r="P1054" s="9"/>
      <c r="Q1054" s="9"/>
      <c r="R1054" s="9"/>
      <c r="S1054" s="9"/>
      <c r="T1054" s="9"/>
      <c r="U1054" s="9"/>
      <c r="V1054" s="9"/>
      <c r="W1054" s="10"/>
      <c r="X1054" s="10"/>
      <c r="Y1054" s="10"/>
      <c r="Z1054" s="10"/>
    </row>
    <row r="1055">
      <c r="A1055" s="9"/>
      <c r="B1055" s="9"/>
      <c r="C1055" s="9"/>
      <c r="D1055" s="9"/>
      <c r="E1055" s="9"/>
      <c r="F1055" s="9"/>
      <c r="G1055" s="9"/>
      <c r="H1055" s="9"/>
      <c r="I1055" s="9"/>
      <c r="J1055" s="9"/>
      <c r="K1055" s="9"/>
      <c r="L1055" s="115"/>
      <c r="M1055" s="115"/>
      <c r="N1055" s="115"/>
      <c r="O1055" s="115"/>
      <c r="P1055" s="9"/>
      <c r="Q1055" s="9"/>
      <c r="R1055" s="9"/>
      <c r="S1055" s="9"/>
      <c r="T1055" s="9"/>
      <c r="U1055" s="9"/>
      <c r="V1055" s="9"/>
      <c r="W1055" s="10"/>
      <c r="X1055" s="10"/>
      <c r="Y1055" s="10"/>
      <c r="Z1055" s="10"/>
    </row>
    <row r="1056">
      <c r="A1056" s="9"/>
      <c r="B1056" s="9"/>
      <c r="C1056" s="9"/>
      <c r="D1056" s="9"/>
      <c r="E1056" s="9"/>
      <c r="F1056" s="9"/>
      <c r="G1056" s="9"/>
      <c r="H1056" s="9"/>
      <c r="I1056" s="9"/>
      <c r="J1056" s="9"/>
      <c r="K1056" s="9"/>
      <c r="L1056" s="115"/>
      <c r="M1056" s="115"/>
      <c r="N1056" s="115"/>
      <c r="O1056" s="115"/>
      <c r="P1056" s="9"/>
      <c r="Q1056" s="9"/>
      <c r="R1056" s="9"/>
      <c r="S1056" s="9"/>
      <c r="T1056" s="9"/>
      <c r="U1056" s="9"/>
      <c r="V1056" s="9"/>
      <c r="W1056" s="10"/>
      <c r="X1056" s="10"/>
      <c r="Y1056" s="10"/>
      <c r="Z1056" s="10"/>
    </row>
    <row r="1057">
      <c r="A1057" s="9"/>
      <c r="B1057" s="9"/>
      <c r="C1057" s="9"/>
      <c r="D1057" s="9"/>
      <c r="E1057" s="9"/>
      <c r="F1057" s="9"/>
      <c r="G1057" s="9"/>
      <c r="H1057" s="9"/>
      <c r="I1057" s="9"/>
      <c r="J1057" s="9"/>
      <c r="K1057" s="9"/>
      <c r="L1057" s="115"/>
      <c r="M1057" s="115"/>
      <c r="N1057" s="115"/>
      <c r="O1057" s="115"/>
      <c r="P1057" s="9"/>
      <c r="Q1057" s="9"/>
      <c r="R1057" s="9"/>
      <c r="S1057" s="9"/>
      <c r="T1057" s="9"/>
      <c r="U1057" s="9"/>
      <c r="V1057" s="9"/>
      <c r="W1057" s="10"/>
      <c r="X1057" s="10"/>
      <c r="Y1057" s="10"/>
      <c r="Z1057" s="10"/>
    </row>
    <row r="1058">
      <c r="A1058" s="9"/>
      <c r="B1058" s="9"/>
      <c r="C1058" s="9"/>
      <c r="D1058" s="9"/>
      <c r="E1058" s="9"/>
      <c r="F1058" s="9"/>
      <c r="G1058" s="9"/>
      <c r="H1058" s="9"/>
      <c r="I1058" s="9"/>
      <c r="J1058" s="9"/>
      <c r="K1058" s="9"/>
      <c r="L1058" s="115"/>
      <c r="M1058" s="115"/>
      <c r="N1058" s="115"/>
      <c r="O1058" s="115"/>
      <c r="P1058" s="9"/>
      <c r="Q1058" s="9"/>
      <c r="R1058" s="9"/>
      <c r="S1058" s="9"/>
      <c r="T1058" s="9"/>
      <c r="U1058" s="9"/>
      <c r="V1058" s="9"/>
      <c r="W1058" s="10"/>
      <c r="X1058" s="10"/>
      <c r="Y1058" s="10"/>
      <c r="Z1058" s="10"/>
    </row>
    <row r="1059">
      <c r="A1059" s="9"/>
      <c r="B1059" s="9"/>
      <c r="C1059" s="9"/>
      <c r="D1059" s="9"/>
      <c r="E1059" s="9"/>
      <c r="F1059" s="9"/>
      <c r="G1059" s="9"/>
      <c r="H1059" s="9"/>
      <c r="I1059" s="9"/>
      <c r="J1059" s="9"/>
      <c r="K1059" s="9"/>
      <c r="L1059" s="115"/>
      <c r="M1059" s="115"/>
      <c r="N1059" s="115"/>
      <c r="O1059" s="115"/>
      <c r="P1059" s="9"/>
      <c r="Q1059" s="9"/>
      <c r="R1059" s="9"/>
      <c r="S1059" s="9"/>
      <c r="T1059" s="9"/>
      <c r="U1059" s="9"/>
      <c r="V1059" s="9"/>
      <c r="W1059" s="10"/>
      <c r="X1059" s="10"/>
      <c r="Y1059" s="10"/>
      <c r="Z1059" s="10"/>
    </row>
    <row r="1060">
      <c r="A1060" s="9"/>
      <c r="B1060" s="9"/>
      <c r="C1060" s="9"/>
      <c r="D1060" s="9"/>
      <c r="E1060" s="9"/>
      <c r="F1060" s="9"/>
      <c r="G1060" s="9"/>
      <c r="H1060" s="9"/>
      <c r="I1060" s="9"/>
      <c r="J1060" s="9"/>
      <c r="K1060" s="9"/>
      <c r="L1060" s="115"/>
      <c r="M1060" s="115"/>
      <c r="N1060" s="115"/>
      <c r="O1060" s="115"/>
      <c r="P1060" s="9"/>
      <c r="Q1060" s="9"/>
      <c r="R1060" s="9"/>
      <c r="S1060" s="9"/>
      <c r="T1060" s="9"/>
      <c r="U1060" s="9"/>
      <c r="V1060" s="9"/>
      <c r="W1060" s="10"/>
      <c r="X1060" s="10"/>
      <c r="Y1060" s="10"/>
      <c r="Z1060" s="10"/>
    </row>
    <row r="1061">
      <c r="A1061" s="9"/>
      <c r="B1061" s="9"/>
      <c r="C1061" s="9"/>
      <c r="D1061" s="9"/>
      <c r="E1061" s="9"/>
      <c r="F1061" s="9"/>
      <c r="G1061" s="9"/>
      <c r="H1061" s="9"/>
      <c r="I1061" s="9"/>
      <c r="J1061" s="9"/>
      <c r="K1061" s="9"/>
      <c r="L1061" s="115"/>
      <c r="M1061" s="115"/>
      <c r="N1061" s="115"/>
      <c r="O1061" s="115"/>
      <c r="P1061" s="9"/>
      <c r="Q1061" s="9"/>
      <c r="R1061" s="9"/>
      <c r="S1061" s="9"/>
      <c r="T1061" s="9"/>
      <c r="U1061" s="9"/>
      <c r="V1061" s="9"/>
      <c r="W1061" s="10"/>
      <c r="X1061" s="10"/>
      <c r="Y1061" s="10"/>
      <c r="Z1061" s="10"/>
    </row>
    <row r="1062">
      <c r="A1062" s="9"/>
      <c r="B1062" s="9"/>
      <c r="C1062" s="9"/>
      <c r="D1062" s="9"/>
      <c r="E1062" s="9"/>
      <c r="F1062" s="9"/>
      <c r="G1062" s="9"/>
      <c r="H1062" s="9"/>
      <c r="I1062" s="9"/>
      <c r="J1062" s="9"/>
      <c r="K1062" s="9"/>
      <c r="L1062" s="115"/>
      <c r="M1062" s="115"/>
      <c r="N1062" s="115"/>
      <c r="O1062" s="115"/>
      <c r="P1062" s="9"/>
      <c r="Q1062" s="9"/>
      <c r="R1062" s="9"/>
      <c r="S1062" s="9"/>
      <c r="T1062" s="9"/>
      <c r="U1062" s="9"/>
      <c r="V1062" s="9"/>
      <c r="W1062" s="10"/>
      <c r="X1062" s="10"/>
      <c r="Y1062" s="10"/>
      <c r="Z1062" s="10"/>
    </row>
    <row r="1063">
      <c r="A1063" s="9"/>
      <c r="B1063" s="9"/>
      <c r="C1063" s="9"/>
      <c r="D1063" s="9"/>
      <c r="E1063" s="9"/>
      <c r="F1063" s="9"/>
      <c r="G1063" s="9"/>
      <c r="H1063" s="9"/>
      <c r="I1063" s="9"/>
      <c r="J1063" s="9"/>
      <c r="K1063" s="9"/>
      <c r="L1063" s="115"/>
      <c r="M1063" s="115"/>
      <c r="N1063" s="115"/>
      <c r="O1063" s="115"/>
      <c r="P1063" s="9"/>
      <c r="Q1063" s="9"/>
      <c r="R1063" s="9"/>
      <c r="S1063" s="9"/>
      <c r="T1063" s="9"/>
      <c r="U1063" s="9"/>
      <c r="V1063" s="9"/>
      <c r="W1063" s="10"/>
      <c r="X1063" s="10"/>
      <c r="Y1063" s="10"/>
      <c r="Z1063" s="10"/>
    </row>
    <row r="1064">
      <c r="A1064" s="9"/>
      <c r="B1064" s="9"/>
      <c r="C1064" s="9"/>
      <c r="D1064" s="9"/>
      <c r="E1064" s="9"/>
      <c r="F1064" s="9"/>
      <c r="G1064" s="9"/>
      <c r="H1064" s="9"/>
      <c r="I1064" s="9"/>
      <c r="J1064" s="9"/>
      <c r="K1064" s="9"/>
      <c r="L1064" s="115"/>
      <c r="M1064" s="115"/>
      <c r="N1064" s="115"/>
      <c r="O1064" s="115"/>
      <c r="P1064" s="9"/>
      <c r="Q1064" s="9"/>
      <c r="R1064" s="9"/>
      <c r="S1064" s="9"/>
      <c r="T1064" s="9"/>
      <c r="U1064" s="9"/>
      <c r="V1064" s="9"/>
      <c r="W1064" s="10"/>
      <c r="X1064" s="10"/>
      <c r="Y1064" s="10"/>
      <c r="Z1064" s="10"/>
    </row>
    <row r="1065">
      <c r="A1065" s="9"/>
      <c r="B1065" s="9"/>
      <c r="C1065" s="9"/>
      <c r="D1065" s="9"/>
      <c r="E1065" s="9"/>
      <c r="F1065" s="9"/>
      <c r="G1065" s="9"/>
      <c r="H1065" s="9"/>
      <c r="I1065" s="9"/>
      <c r="J1065" s="9"/>
      <c r="K1065" s="9"/>
      <c r="L1065" s="115"/>
      <c r="M1065" s="115"/>
      <c r="N1065" s="115"/>
      <c r="O1065" s="115"/>
      <c r="P1065" s="9"/>
      <c r="Q1065" s="9"/>
      <c r="R1065" s="9"/>
      <c r="S1065" s="9"/>
      <c r="T1065" s="9"/>
      <c r="U1065" s="9"/>
      <c r="V1065" s="9"/>
      <c r="W1065" s="10"/>
      <c r="X1065" s="10"/>
      <c r="Y1065" s="10"/>
      <c r="Z1065" s="10"/>
    </row>
    <row r="1066">
      <c r="A1066" s="9"/>
      <c r="B1066" s="9"/>
      <c r="C1066" s="9"/>
      <c r="D1066" s="9"/>
      <c r="E1066" s="9"/>
      <c r="F1066" s="9"/>
      <c r="G1066" s="9"/>
      <c r="H1066" s="9"/>
      <c r="I1066" s="9"/>
      <c r="J1066" s="9"/>
      <c r="K1066" s="9"/>
      <c r="L1066" s="115"/>
      <c r="M1066" s="115"/>
      <c r="N1066" s="115"/>
      <c r="O1066" s="115"/>
      <c r="P1066" s="9"/>
      <c r="Q1066" s="9"/>
      <c r="R1066" s="9"/>
      <c r="S1066" s="9"/>
      <c r="T1066" s="9"/>
      <c r="U1066" s="9"/>
      <c r="V1066" s="9"/>
      <c r="W1066" s="10"/>
      <c r="X1066" s="10"/>
      <c r="Y1066" s="10"/>
      <c r="Z1066" s="10"/>
    </row>
    <row r="1067">
      <c r="A1067" s="9"/>
      <c r="B1067" s="9"/>
      <c r="C1067" s="9"/>
      <c r="D1067" s="9"/>
      <c r="E1067" s="9"/>
      <c r="F1067" s="9"/>
      <c r="G1067" s="9"/>
      <c r="H1067" s="9"/>
      <c r="I1067" s="9"/>
      <c r="J1067" s="9"/>
      <c r="K1067" s="9"/>
      <c r="L1067" s="115"/>
      <c r="M1067" s="115"/>
      <c r="N1067" s="115"/>
      <c r="O1067" s="115"/>
      <c r="P1067" s="9"/>
      <c r="Q1067" s="9"/>
      <c r="R1067" s="9"/>
      <c r="S1067" s="9"/>
      <c r="T1067" s="9"/>
      <c r="U1067" s="9"/>
      <c r="V1067" s="9"/>
      <c r="W1067" s="10"/>
      <c r="X1067" s="10"/>
      <c r="Y1067" s="10"/>
      <c r="Z1067" s="10"/>
    </row>
    <row r="1068">
      <c r="A1068" s="9"/>
      <c r="B1068" s="9"/>
      <c r="C1068" s="9"/>
      <c r="D1068" s="9"/>
      <c r="E1068" s="9"/>
      <c r="F1068" s="9"/>
      <c r="G1068" s="9"/>
      <c r="H1068" s="9"/>
      <c r="I1068" s="9"/>
      <c r="J1068" s="9"/>
      <c r="K1068" s="9"/>
      <c r="L1068" s="115"/>
      <c r="M1068" s="115"/>
      <c r="N1068" s="115"/>
      <c r="O1068" s="115"/>
      <c r="P1068" s="9"/>
      <c r="Q1068" s="9"/>
      <c r="R1068" s="9"/>
      <c r="S1068" s="9"/>
      <c r="T1068" s="9"/>
      <c r="U1068" s="9"/>
      <c r="V1068" s="9"/>
      <c r="W1068" s="10"/>
      <c r="X1068" s="10"/>
      <c r="Y1068" s="10"/>
      <c r="Z1068" s="10"/>
    </row>
    <row r="1069">
      <c r="A1069" s="9"/>
      <c r="B1069" s="9"/>
      <c r="C1069" s="9"/>
      <c r="D1069" s="9"/>
      <c r="E1069" s="9"/>
      <c r="F1069" s="9"/>
      <c r="G1069" s="9"/>
      <c r="H1069" s="9"/>
      <c r="I1069" s="9"/>
      <c r="J1069" s="9"/>
      <c r="K1069" s="9"/>
      <c r="L1069" s="115"/>
      <c r="M1069" s="115"/>
      <c r="N1069" s="115"/>
      <c r="O1069" s="115"/>
      <c r="P1069" s="9"/>
      <c r="Q1069" s="9"/>
      <c r="R1069" s="9"/>
      <c r="S1069" s="9"/>
      <c r="T1069" s="9"/>
      <c r="U1069" s="9"/>
      <c r="V1069" s="9"/>
      <c r="W1069" s="10"/>
      <c r="X1069" s="10"/>
      <c r="Y1069" s="10"/>
      <c r="Z1069" s="10"/>
    </row>
    <row r="1070">
      <c r="A1070" s="9"/>
      <c r="B1070" s="9"/>
      <c r="C1070" s="9"/>
      <c r="D1070" s="9"/>
      <c r="E1070" s="9"/>
      <c r="F1070" s="9"/>
      <c r="G1070" s="9"/>
      <c r="H1070" s="9"/>
      <c r="I1070" s="9"/>
      <c r="J1070" s="9"/>
      <c r="K1070" s="9"/>
      <c r="L1070" s="115"/>
      <c r="M1070" s="115"/>
      <c r="N1070" s="115"/>
      <c r="O1070" s="115"/>
      <c r="P1070" s="9"/>
      <c r="Q1070" s="9"/>
      <c r="R1070" s="9"/>
      <c r="S1070" s="9"/>
      <c r="T1070" s="9"/>
      <c r="U1070" s="9"/>
      <c r="V1070" s="9"/>
      <c r="W1070" s="10"/>
      <c r="X1070" s="10"/>
      <c r="Y1070" s="10"/>
      <c r="Z1070" s="10"/>
    </row>
    <row r="1071">
      <c r="A1071" s="9"/>
      <c r="B1071" s="9"/>
      <c r="C1071" s="9"/>
      <c r="D1071" s="9"/>
      <c r="E1071" s="9"/>
      <c r="F1071" s="9"/>
      <c r="G1071" s="9"/>
      <c r="H1071" s="9"/>
      <c r="I1071" s="9"/>
      <c r="J1071" s="9"/>
      <c r="K1071" s="9"/>
      <c r="L1071" s="115"/>
      <c r="M1071" s="115"/>
      <c r="N1071" s="115"/>
      <c r="O1071" s="115"/>
      <c r="P1071" s="9"/>
      <c r="Q1071" s="9"/>
      <c r="R1071" s="9"/>
      <c r="S1071" s="9"/>
      <c r="T1071" s="9"/>
      <c r="U1071" s="9"/>
      <c r="V1071" s="9"/>
      <c r="W1071" s="10"/>
      <c r="X1071" s="10"/>
      <c r="Y1071" s="10"/>
      <c r="Z1071" s="10"/>
    </row>
    <row r="1072">
      <c r="A1072" s="9"/>
      <c r="B1072" s="9"/>
      <c r="C1072" s="9"/>
      <c r="D1072" s="9"/>
      <c r="E1072" s="9"/>
      <c r="F1072" s="9"/>
      <c r="G1072" s="9"/>
      <c r="H1072" s="9"/>
      <c r="I1072" s="9"/>
      <c r="J1072" s="9"/>
      <c r="K1072" s="9"/>
      <c r="L1072" s="115"/>
      <c r="M1072" s="115"/>
      <c r="N1072" s="115"/>
      <c r="O1072" s="115"/>
      <c r="P1072" s="9"/>
      <c r="Q1072" s="9"/>
      <c r="R1072" s="9"/>
      <c r="S1072" s="9"/>
      <c r="T1072" s="9"/>
      <c r="U1072" s="9"/>
      <c r="V1072" s="9"/>
      <c r="W1072" s="10"/>
      <c r="X1072" s="10"/>
      <c r="Y1072" s="10"/>
      <c r="Z1072" s="10"/>
    </row>
    <row r="1073">
      <c r="A1073" s="9"/>
      <c r="B1073" s="9"/>
      <c r="C1073" s="9"/>
      <c r="D1073" s="9"/>
      <c r="E1073" s="9"/>
      <c r="F1073" s="9"/>
      <c r="G1073" s="9"/>
      <c r="H1073" s="9"/>
      <c r="I1073" s="9"/>
      <c r="J1073" s="9"/>
      <c r="K1073" s="9"/>
      <c r="L1073" s="115"/>
      <c r="M1073" s="115"/>
      <c r="N1073" s="115"/>
      <c r="O1073" s="115"/>
      <c r="P1073" s="9"/>
      <c r="Q1073" s="9"/>
      <c r="R1073" s="9"/>
      <c r="S1073" s="9"/>
      <c r="T1073" s="9"/>
      <c r="U1073" s="9"/>
      <c r="V1073" s="9"/>
      <c r="W1073" s="10"/>
      <c r="X1073" s="10"/>
      <c r="Y1073" s="10"/>
      <c r="Z1073" s="10"/>
    </row>
    <row r="1074">
      <c r="A1074" s="9"/>
      <c r="B1074" s="9"/>
      <c r="C1074" s="9"/>
      <c r="D1074" s="9"/>
      <c r="E1074" s="9"/>
      <c r="F1074" s="9"/>
      <c r="G1074" s="9"/>
      <c r="H1074" s="9"/>
      <c r="I1074" s="9"/>
      <c r="J1074" s="9"/>
      <c r="K1074" s="9"/>
      <c r="L1074" s="115"/>
      <c r="M1074" s="115"/>
      <c r="N1074" s="115"/>
      <c r="O1074" s="115"/>
      <c r="P1074" s="9"/>
      <c r="Q1074" s="9"/>
      <c r="R1074" s="9"/>
      <c r="S1074" s="9"/>
      <c r="T1074" s="9"/>
      <c r="U1074" s="9"/>
      <c r="V1074" s="9"/>
      <c r="W1074" s="10"/>
      <c r="X1074" s="10"/>
      <c r="Y1074" s="10"/>
      <c r="Z1074" s="10"/>
    </row>
    <row r="1075">
      <c r="A1075" s="9"/>
      <c r="B1075" s="9"/>
      <c r="C1075" s="9"/>
      <c r="D1075" s="9"/>
      <c r="E1075" s="9"/>
      <c r="F1075" s="9"/>
      <c r="G1075" s="9"/>
      <c r="H1075" s="9"/>
      <c r="I1075" s="9"/>
      <c r="J1075" s="9"/>
      <c r="K1075" s="9"/>
      <c r="L1075" s="115"/>
      <c r="M1075" s="115"/>
      <c r="N1075" s="115"/>
      <c r="O1075" s="115"/>
      <c r="P1075" s="9"/>
      <c r="Q1075" s="9"/>
      <c r="R1075" s="9"/>
      <c r="S1075" s="9"/>
      <c r="T1075" s="9"/>
      <c r="U1075" s="9"/>
      <c r="V1075" s="9"/>
      <c r="W1075" s="10"/>
      <c r="X1075" s="10"/>
      <c r="Y1075" s="10"/>
      <c r="Z1075" s="10"/>
    </row>
    <row r="1076">
      <c r="A1076" s="9"/>
      <c r="B1076" s="9"/>
      <c r="C1076" s="9"/>
      <c r="D1076" s="9"/>
      <c r="E1076" s="9"/>
      <c r="F1076" s="9"/>
      <c r="G1076" s="9"/>
      <c r="H1076" s="9"/>
      <c r="I1076" s="9"/>
      <c r="J1076" s="9"/>
      <c r="K1076" s="9"/>
      <c r="L1076" s="115"/>
      <c r="M1076" s="115"/>
      <c r="N1076" s="115"/>
      <c r="O1076" s="115"/>
      <c r="P1076" s="9"/>
      <c r="Q1076" s="9"/>
      <c r="R1076" s="9"/>
      <c r="S1076" s="9"/>
      <c r="T1076" s="9"/>
      <c r="U1076" s="9"/>
      <c r="V1076" s="9"/>
      <c r="W1076" s="10"/>
      <c r="X1076" s="10"/>
      <c r="Y1076" s="10"/>
      <c r="Z1076" s="10"/>
    </row>
    <row r="1077">
      <c r="A1077" s="9"/>
      <c r="B1077" s="9"/>
      <c r="C1077" s="9"/>
      <c r="D1077" s="9"/>
      <c r="E1077" s="9"/>
      <c r="F1077" s="9"/>
      <c r="G1077" s="9"/>
      <c r="H1077" s="9"/>
      <c r="I1077" s="9"/>
      <c r="J1077" s="9"/>
      <c r="K1077" s="9"/>
      <c r="L1077" s="115"/>
      <c r="M1077" s="115"/>
      <c r="N1077" s="115"/>
      <c r="O1077" s="115"/>
      <c r="P1077" s="9"/>
      <c r="Q1077" s="9"/>
      <c r="R1077" s="9"/>
      <c r="S1077" s="9"/>
      <c r="T1077" s="9"/>
      <c r="U1077" s="9"/>
      <c r="V1077" s="9"/>
      <c r="W1077" s="10"/>
      <c r="X1077" s="10"/>
      <c r="Y1077" s="10"/>
      <c r="Z1077" s="10"/>
    </row>
    <row r="1078">
      <c r="A1078" s="9"/>
      <c r="B1078" s="9"/>
      <c r="C1078" s="9"/>
      <c r="D1078" s="9"/>
      <c r="E1078" s="9"/>
      <c r="F1078" s="9"/>
      <c r="G1078" s="9"/>
      <c r="H1078" s="9"/>
      <c r="I1078" s="9"/>
      <c r="J1078" s="9"/>
      <c r="K1078" s="9"/>
      <c r="L1078" s="115"/>
      <c r="M1078" s="115"/>
      <c r="N1078" s="115"/>
      <c r="O1078" s="115"/>
      <c r="P1078" s="9"/>
      <c r="Q1078" s="9"/>
      <c r="R1078" s="9"/>
      <c r="S1078" s="9"/>
      <c r="T1078" s="9"/>
      <c r="U1078" s="9"/>
      <c r="V1078" s="9"/>
      <c r="W1078" s="10"/>
      <c r="X1078" s="10"/>
      <c r="Y1078" s="10"/>
      <c r="Z1078" s="10"/>
    </row>
    <row r="1079">
      <c r="A1079" s="9"/>
      <c r="B1079" s="9"/>
      <c r="C1079" s="9"/>
      <c r="D1079" s="9"/>
      <c r="E1079" s="9"/>
      <c r="F1079" s="9"/>
      <c r="G1079" s="9"/>
      <c r="H1079" s="9"/>
      <c r="I1079" s="9"/>
      <c r="J1079" s="9"/>
      <c r="K1079" s="9"/>
      <c r="L1079" s="115"/>
      <c r="M1079" s="115"/>
      <c r="N1079" s="115"/>
      <c r="O1079" s="115"/>
      <c r="P1079" s="9"/>
      <c r="Q1079" s="9"/>
      <c r="R1079" s="9"/>
      <c r="S1079" s="9"/>
      <c r="T1079" s="9"/>
      <c r="U1079" s="9"/>
      <c r="V1079" s="9"/>
      <c r="W1079" s="10"/>
      <c r="X1079" s="10"/>
      <c r="Y1079" s="10"/>
      <c r="Z1079" s="10"/>
    </row>
    <row r="1080">
      <c r="A1080" s="9"/>
      <c r="B1080" s="9"/>
      <c r="C1080" s="9"/>
      <c r="D1080" s="9"/>
      <c r="E1080" s="9"/>
      <c r="F1080" s="9"/>
      <c r="G1080" s="9"/>
      <c r="H1080" s="9"/>
      <c r="I1080" s="9"/>
      <c r="J1080" s="9"/>
      <c r="K1080" s="9"/>
      <c r="L1080" s="115"/>
      <c r="M1080" s="115"/>
      <c r="N1080" s="115"/>
      <c r="O1080" s="115"/>
      <c r="P1080" s="9"/>
      <c r="Q1080" s="9"/>
      <c r="R1080" s="9"/>
      <c r="S1080" s="9"/>
      <c r="T1080" s="9"/>
      <c r="U1080" s="9"/>
      <c r="V1080" s="9"/>
      <c r="W1080" s="10"/>
      <c r="X1080" s="10"/>
      <c r="Y1080" s="10"/>
      <c r="Z1080" s="10"/>
    </row>
    <row r="1081">
      <c r="A1081" s="9"/>
      <c r="B1081" s="9"/>
      <c r="C1081" s="9"/>
      <c r="D1081" s="9"/>
      <c r="E1081" s="9"/>
      <c r="F1081" s="9"/>
      <c r="G1081" s="9"/>
      <c r="H1081" s="9"/>
      <c r="I1081" s="9"/>
      <c r="J1081" s="9"/>
      <c r="K1081" s="9"/>
      <c r="L1081" s="115"/>
      <c r="M1081" s="115"/>
      <c r="N1081" s="115"/>
      <c r="O1081" s="115"/>
      <c r="P1081" s="9"/>
      <c r="Q1081" s="9"/>
      <c r="R1081" s="9"/>
      <c r="S1081" s="9"/>
      <c r="T1081" s="9"/>
      <c r="U1081" s="9"/>
      <c r="V1081" s="9"/>
      <c r="W1081" s="10"/>
      <c r="X1081" s="10"/>
      <c r="Y1081" s="10"/>
      <c r="Z1081" s="10"/>
    </row>
    <row r="1082">
      <c r="A1082" s="9"/>
      <c r="B1082" s="9"/>
      <c r="C1082" s="9"/>
      <c r="D1082" s="9"/>
      <c r="E1082" s="9"/>
      <c r="F1082" s="9"/>
      <c r="G1082" s="9"/>
      <c r="H1082" s="9"/>
      <c r="I1082" s="9"/>
      <c r="J1082" s="9"/>
      <c r="K1082" s="9"/>
      <c r="L1082" s="115"/>
      <c r="M1082" s="115"/>
      <c r="N1082" s="115"/>
      <c r="O1082" s="115"/>
      <c r="P1082" s="9"/>
      <c r="Q1082" s="9"/>
      <c r="R1082" s="9"/>
      <c r="S1082" s="9"/>
      <c r="T1082" s="9"/>
      <c r="U1082" s="9"/>
      <c r="V1082" s="9"/>
      <c r="W1082" s="10"/>
      <c r="X1082" s="10"/>
      <c r="Y1082" s="10"/>
      <c r="Z1082" s="10"/>
    </row>
    <row r="1083">
      <c r="A1083" s="9"/>
      <c r="B1083" s="9"/>
      <c r="C1083" s="9"/>
      <c r="D1083" s="9"/>
      <c r="E1083" s="9"/>
      <c r="F1083" s="9"/>
      <c r="G1083" s="9"/>
      <c r="H1083" s="9"/>
      <c r="I1083" s="9"/>
      <c r="J1083" s="9"/>
      <c r="K1083" s="9"/>
      <c r="L1083" s="115"/>
      <c r="M1083" s="115"/>
      <c r="N1083" s="115"/>
      <c r="O1083" s="115"/>
      <c r="P1083" s="9"/>
      <c r="Q1083" s="9"/>
      <c r="R1083" s="9"/>
      <c r="S1083" s="9"/>
      <c r="T1083" s="9"/>
      <c r="U1083" s="9"/>
      <c r="V1083" s="9"/>
      <c r="W1083" s="10"/>
      <c r="X1083" s="10"/>
      <c r="Y1083" s="10"/>
      <c r="Z1083" s="10"/>
    </row>
    <row r="1084">
      <c r="A1084" s="9"/>
      <c r="B1084" s="9"/>
      <c r="C1084" s="9"/>
      <c r="D1084" s="9"/>
      <c r="E1084" s="9"/>
      <c r="F1084" s="9"/>
      <c r="G1084" s="9"/>
      <c r="H1084" s="9"/>
      <c r="I1084" s="9"/>
      <c r="J1084" s="9"/>
      <c r="K1084" s="9"/>
      <c r="L1084" s="115"/>
      <c r="M1084" s="115"/>
      <c r="N1084" s="115"/>
      <c r="O1084" s="115"/>
      <c r="P1084" s="9"/>
      <c r="Q1084" s="9"/>
      <c r="R1084" s="9"/>
      <c r="S1084" s="9"/>
      <c r="T1084" s="9"/>
      <c r="U1084" s="9"/>
      <c r="V1084" s="9"/>
      <c r="W1084" s="10"/>
      <c r="X1084" s="10"/>
      <c r="Y1084" s="10"/>
      <c r="Z1084" s="10"/>
    </row>
    <row r="1085">
      <c r="A1085" s="9"/>
      <c r="B1085" s="9"/>
      <c r="C1085" s="9"/>
      <c r="D1085" s="9"/>
      <c r="E1085" s="9"/>
      <c r="F1085" s="9"/>
      <c r="G1085" s="9"/>
      <c r="H1085" s="9"/>
      <c r="I1085" s="9"/>
      <c r="J1085" s="9"/>
      <c r="K1085" s="9"/>
      <c r="L1085" s="115"/>
      <c r="M1085" s="115"/>
      <c r="N1085" s="115"/>
      <c r="O1085" s="115"/>
      <c r="P1085" s="9"/>
      <c r="Q1085" s="9"/>
      <c r="R1085" s="9"/>
      <c r="S1085" s="9"/>
      <c r="T1085" s="9"/>
      <c r="U1085" s="9"/>
      <c r="V1085" s="9"/>
      <c r="W1085" s="10"/>
      <c r="X1085" s="10"/>
      <c r="Y1085" s="10"/>
      <c r="Z1085" s="10"/>
    </row>
    <row r="1086">
      <c r="A1086" s="9"/>
      <c r="B1086" s="9"/>
      <c r="C1086" s="9"/>
      <c r="D1086" s="9"/>
      <c r="E1086" s="9"/>
      <c r="F1086" s="9"/>
      <c r="G1086" s="9"/>
      <c r="H1086" s="9"/>
      <c r="I1086" s="9"/>
      <c r="J1086" s="9"/>
      <c r="K1086" s="9"/>
      <c r="L1086" s="115"/>
      <c r="M1086" s="115"/>
      <c r="N1086" s="115"/>
      <c r="O1086" s="115"/>
      <c r="P1086" s="9"/>
      <c r="Q1086" s="9"/>
      <c r="R1086" s="9"/>
      <c r="S1086" s="9"/>
      <c r="T1086" s="9"/>
      <c r="U1086" s="9"/>
      <c r="V1086" s="9"/>
      <c r="W1086" s="10"/>
      <c r="X1086" s="10"/>
      <c r="Y1086" s="10"/>
      <c r="Z1086" s="10"/>
    </row>
    <row r="1087">
      <c r="A1087" s="9"/>
      <c r="B1087" s="9"/>
      <c r="C1087" s="9"/>
      <c r="D1087" s="9"/>
      <c r="E1087" s="9"/>
      <c r="F1087" s="9"/>
      <c r="G1087" s="9"/>
      <c r="H1087" s="9"/>
      <c r="I1087" s="9"/>
      <c r="J1087" s="9"/>
      <c r="K1087" s="9"/>
      <c r="L1087" s="115"/>
      <c r="M1087" s="115"/>
      <c r="N1087" s="115"/>
      <c r="O1087" s="115"/>
      <c r="P1087" s="9"/>
      <c r="Q1087" s="9"/>
      <c r="R1087" s="9"/>
      <c r="S1087" s="9"/>
      <c r="T1087" s="9"/>
      <c r="U1087" s="9"/>
      <c r="V1087" s="9"/>
      <c r="W1087" s="10"/>
      <c r="X1087" s="10"/>
      <c r="Y1087" s="10"/>
      <c r="Z1087" s="10"/>
    </row>
    <row r="1088">
      <c r="A1088" s="9"/>
      <c r="B1088" s="9"/>
      <c r="C1088" s="9"/>
      <c r="D1088" s="9"/>
      <c r="E1088" s="9"/>
      <c r="F1088" s="9"/>
      <c r="G1088" s="9"/>
      <c r="H1088" s="9"/>
      <c r="I1088" s="9"/>
      <c r="J1088" s="9"/>
      <c r="K1088" s="9"/>
      <c r="L1088" s="115"/>
      <c r="M1088" s="115"/>
      <c r="N1088" s="115"/>
      <c r="O1088" s="115"/>
      <c r="P1088" s="9"/>
      <c r="Q1088" s="9"/>
      <c r="R1088" s="9"/>
      <c r="S1088" s="9"/>
      <c r="T1088" s="9"/>
      <c r="U1088" s="9"/>
      <c r="V1088" s="9"/>
      <c r="W1088" s="10"/>
      <c r="X1088" s="10"/>
      <c r="Y1088" s="10"/>
      <c r="Z1088" s="10"/>
    </row>
    <row r="1089">
      <c r="A1089" s="9"/>
      <c r="B1089" s="9"/>
      <c r="C1089" s="9"/>
      <c r="D1089" s="9"/>
      <c r="E1089" s="9"/>
      <c r="F1089" s="9"/>
      <c r="G1089" s="9"/>
      <c r="H1089" s="9"/>
      <c r="I1089" s="9"/>
      <c r="J1089" s="9"/>
      <c r="K1089" s="9"/>
      <c r="L1089" s="115"/>
      <c r="M1089" s="115"/>
      <c r="N1089" s="115"/>
      <c r="O1089" s="115"/>
      <c r="P1089" s="9"/>
      <c r="Q1089" s="9"/>
      <c r="R1089" s="9"/>
      <c r="S1089" s="9"/>
      <c r="T1089" s="9"/>
      <c r="U1089" s="9"/>
      <c r="V1089" s="9"/>
      <c r="W1089" s="10"/>
      <c r="X1089" s="10"/>
      <c r="Y1089" s="10"/>
      <c r="Z1089" s="10"/>
    </row>
    <row r="1090">
      <c r="A1090" s="9"/>
      <c r="B1090" s="9"/>
      <c r="C1090" s="9"/>
      <c r="D1090" s="9"/>
      <c r="E1090" s="9"/>
      <c r="F1090" s="9"/>
      <c r="G1090" s="9"/>
      <c r="H1090" s="9"/>
      <c r="I1090" s="9"/>
      <c r="J1090" s="9"/>
      <c r="K1090" s="9"/>
      <c r="L1090" s="115"/>
      <c r="M1090" s="115"/>
      <c r="N1090" s="115"/>
      <c r="O1090" s="115"/>
      <c r="P1090" s="9"/>
      <c r="Q1090" s="9"/>
      <c r="R1090" s="9"/>
      <c r="S1090" s="9"/>
      <c r="T1090" s="9"/>
      <c r="U1090" s="9"/>
      <c r="V1090" s="9"/>
      <c r="W1090" s="10"/>
      <c r="X1090" s="10"/>
      <c r="Y1090" s="10"/>
      <c r="Z1090" s="10"/>
    </row>
    <row r="1091">
      <c r="A1091" s="9"/>
      <c r="B1091" s="9"/>
      <c r="C1091" s="9"/>
      <c r="D1091" s="9"/>
      <c r="E1091" s="9"/>
      <c r="F1091" s="9"/>
      <c r="G1091" s="9"/>
      <c r="H1091" s="9"/>
      <c r="I1091" s="9"/>
      <c r="J1091" s="9"/>
      <c r="K1091" s="9"/>
      <c r="L1091" s="115"/>
      <c r="M1091" s="115"/>
      <c r="N1091" s="115"/>
      <c r="O1091" s="115"/>
      <c r="P1091" s="9"/>
      <c r="Q1091" s="9"/>
      <c r="R1091" s="9"/>
      <c r="S1091" s="9"/>
      <c r="T1091" s="9"/>
      <c r="U1091" s="9"/>
      <c r="V1091" s="9"/>
      <c r="W1091" s="10"/>
      <c r="X1091" s="10"/>
      <c r="Y1091" s="10"/>
      <c r="Z1091" s="10"/>
    </row>
    <row r="1092">
      <c r="A1092" s="9"/>
      <c r="B1092" s="9"/>
      <c r="C1092" s="9"/>
      <c r="D1092" s="9"/>
      <c r="E1092" s="9"/>
      <c r="F1092" s="9"/>
      <c r="G1092" s="9"/>
      <c r="H1092" s="9"/>
      <c r="I1092" s="9"/>
      <c r="J1092" s="9"/>
      <c r="K1092" s="9"/>
      <c r="L1092" s="115"/>
      <c r="M1092" s="115"/>
      <c r="N1092" s="115"/>
      <c r="O1092" s="115"/>
      <c r="P1092" s="9"/>
      <c r="Q1092" s="9"/>
      <c r="R1092" s="9"/>
      <c r="S1092" s="9"/>
      <c r="T1092" s="9"/>
      <c r="U1092" s="9"/>
      <c r="V1092" s="9"/>
      <c r="W1092" s="10"/>
      <c r="X1092" s="10"/>
      <c r="Y1092" s="10"/>
      <c r="Z1092" s="10"/>
    </row>
    <row r="1093">
      <c r="A1093" s="9"/>
      <c r="B1093" s="9"/>
      <c r="C1093" s="9"/>
      <c r="D1093" s="9"/>
      <c r="E1093" s="9"/>
      <c r="F1093" s="9"/>
      <c r="G1093" s="9"/>
      <c r="H1093" s="9"/>
      <c r="I1093" s="9"/>
      <c r="J1093" s="9"/>
      <c r="K1093" s="9"/>
      <c r="L1093" s="115"/>
      <c r="M1093" s="115"/>
      <c r="N1093" s="115"/>
      <c r="O1093" s="115"/>
      <c r="P1093" s="9"/>
      <c r="Q1093" s="9"/>
      <c r="R1093" s="9"/>
      <c r="S1093" s="9"/>
      <c r="T1093" s="9"/>
      <c r="U1093" s="9"/>
      <c r="V1093" s="9"/>
      <c r="W1093" s="10"/>
      <c r="X1093" s="10"/>
      <c r="Y1093" s="10"/>
      <c r="Z1093" s="10"/>
    </row>
    <row r="1094">
      <c r="A1094" s="9"/>
      <c r="B1094" s="9"/>
      <c r="C1094" s="9"/>
      <c r="D1094" s="9"/>
      <c r="E1094" s="9"/>
      <c r="F1094" s="9"/>
      <c r="G1094" s="9"/>
      <c r="H1094" s="9"/>
      <c r="I1094" s="9"/>
      <c r="J1094" s="9"/>
      <c r="K1094" s="9"/>
      <c r="L1094" s="115"/>
      <c r="M1094" s="115"/>
      <c r="N1094" s="115"/>
      <c r="O1094" s="115"/>
      <c r="P1094" s="9"/>
      <c r="Q1094" s="9"/>
      <c r="R1094" s="9"/>
      <c r="S1094" s="9"/>
      <c r="T1094" s="9"/>
      <c r="U1094" s="9"/>
      <c r="V1094" s="9"/>
      <c r="W1094" s="10"/>
      <c r="X1094" s="10"/>
      <c r="Y1094" s="10"/>
      <c r="Z1094" s="10"/>
    </row>
    <row r="1095">
      <c r="A1095" s="9"/>
      <c r="B1095" s="9"/>
      <c r="C1095" s="9"/>
      <c r="D1095" s="9"/>
      <c r="E1095" s="9"/>
      <c r="F1095" s="9"/>
      <c r="G1095" s="9"/>
      <c r="H1095" s="9"/>
      <c r="I1095" s="9"/>
      <c r="J1095" s="9"/>
      <c r="K1095" s="9"/>
      <c r="L1095" s="115"/>
      <c r="M1095" s="115"/>
      <c r="N1095" s="115"/>
      <c r="O1095" s="115"/>
      <c r="P1095" s="9"/>
      <c r="Q1095" s="9"/>
      <c r="R1095" s="9"/>
      <c r="S1095" s="9"/>
      <c r="T1095" s="9"/>
      <c r="U1095" s="9"/>
      <c r="V1095" s="9"/>
      <c r="W1095" s="10"/>
      <c r="X1095" s="10"/>
      <c r="Y1095" s="10"/>
      <c r="Z1095" s="10"/>
    </row>
    <row r="1096">
      <c r="A1096" s="9"/>
      <c r="B1096" s="9"/>
      <c r="C1096" s="9"/>
      <c r="D1096" s="9"/>
      <c r="E1096" s="9"/>
      <c r="F1096" s="9"/>
      <c r="G1096" s="9"/>
      <c r="H1096" s="9"/>
      <c r="I1096" s="9"/>
      <c r="J1096" s="9"/>
      <c r="K1096" s="9"/>
      <c r="L1096" s="115"/>
      <c r="M1096" s="115"/>
      <c r="N1096" s="115"/>
      <c r="O1096" s="115"/>
      <c r="P1096" s="9"/>
      <c r="Q1096" s="9"/>
      <c r="R1096" s="9"/>
      <c r="S1096" s="9"/>
      <c r="T1096" s="9"/>
      <c r="U1096" s="9"/>
      <c r="V1096" s="9"/>
      <c r="W1096" s="10"/>
      <c r="X1096" s="10"/>
      <c r="Y1096" s="10"/>
      <c r="Z1096" s="10"/>
    </row>
    <row r="1097">
      <c r="A1097" s="9"/>
      <c r="B1097" s="9"/>
      <c r="C1097" s="9"/>
      <c r="D1097" s="9"/>
      <c r="E1097" s="9"/>
      <c r="F1097" s="9"/>
      <c r="G1097" s="9"/>
      <c r="H1097" s="9"/>
      <c r="I1097" s="9"/>
      <c r="J1097" s="9"/>
      <c r="K1097" s="9"/>
      <c r="L1097" s="115"/>
      <c r="M1097" s="115"/>
      <c r="N1097" s="115"/>
      <c r="O1097" s="115"/>
      <c r="P1097" s="9"/>
      <c r="Q1097" s="9"/>
      <c r="R1097" s="9"/>
      <c r="S1097" s="9"/>
      <c r="T1097" s="9"/>
      <c r="U1097" s="9"/>
      <c r="V1097" s="9"/>
      <c r="W1097" s="10"/>
      <c r="X1097" s="10"/>
      <c r="Y1097" s="10"/>
      <c r="Z1097" s="10"/>
    </row>
    <row r="1098">
      <c r="A1098" s="9"/>
      <c r="B1098" s="9"/>
      <c r="C1098" s="9"/>
      <c r="D1098" s="9"/>
      <c r="E1098" s="9"/>
      <c r="F1098" s="9"/>
      <c r="G1098" s="9"/>
      <c r="H1098" s="9"/>
      <c r="I1098" s="9"/>
      <c r="J1098" s="9"/>
      <c r="K1098" s="9"/>
      <c r="L1098" s="115"/>
      <c r="M1098" s="115"/>
      <c r="N1098" s="115"/>
      <c r="O1098" s="115"/>
      <c r="P1098" s="9"/>
      <c r="Q1098" s="9"/>
      <c r="R1098" s="9"/>
      <c r="S1098" s="9"/>
      <c r="T1098" s="9"/>
      <c r="U1098" s="9"/>
      <c r="V1098" s="9"/>
      <c r="W1098" s="10"/>
      <c r="X1098" s="10"/>
      <c r="Y1098" s="10"/>
      <c r="Z1098" s="10"/>
    </row>
    <row r="1099">
      <c r="A1099" s="9"/>
      <c r="B1099" s="9"/>
      <c r="C1099" s="9"/>
      <c r="D1099" s="9"/>
      <c r="E1099" s="9"/>
      <c r="F1099" s="9"/>
      <c r="G1099" s="9"/>
      <c r="H1099" s="9"/>
      <c r="I1099" s="9"/>
      <c r="J1099" s="9"/>
      <c r="K1099" s="9"/>
      <c r="L1099" s="115"/>
      <c r="M1099" s="115"/>
      <c r="N1099" s="115"/>
      <c r="O1099" s="115"/>
      <c r="P1099" s="9"/>
      <c r="Q1099" s="9"/>
      <c r="R1099" s="9"/>
      <c r="S1099" s="9"/>
      <c r="T1099" s="9"/>
      <c r="U1099" s="9"/>
      <c r="V1099" s="9"/>
      <c r="W1099" s="10"/>
      <c r="X1099" s="10"/>
      <c r="Y1099" s="10"/>
      <c r="Z1099" s="10"/>
    </row>
    <row r="1100">
      <c r="A1100" s="9"/>
      <c r="B1100" s="9"/>
      <c r="C1100" s="9"/>
      <c r="D1100" s="9"/>
      <c r="E1100" s="9"/>
      <c r="F1100" s="9"/>
      <c r="G1100" s="9"/>
      <c r="H1100" s="9"/>
      <c r="I1100" s="9"/>
      <c r="J1100" s="9"/>
      <c r="K1100" s="9"/>
      <c r="L1100" s="115"/>
      <c r="M1100" s="115"/>
      <c r="N1100" s="115"/>
      <c r="O1100" s="115"/>
      <c r="P1100" s="9"/>
      <c r="Q1100" s="9"/>
      <c r="R1100" s="9"/>
      <c r="S1100" s="9"/>
      <c r="T1100" s="9"/>
      <c r="U1100" s="9"/>
      <c r="V1100" s="9"/>
      <c r="W1100" s="10"/>
      <c r="X1100" s="10"/>
      <c r="Y1100" s="10"/>
      <c r="Z1100" s="10"/>
    </row>
    <row r="1101">
      <c r="A1101" s="9"/>
      <c r="B1101" s="9"/>
      <c r="C1101" s="9"/>
      <c r="D1101" s="9"/>
      <c r="E1101" s="9"/>
      <c r="F1101" s="9"/>
      <c r="G1101" s="9"/>
      <c r="H1101" s="9"/>
      <c r="I1101" s="9"/>
      <c r="J1101" s="9"/>
      <c r="K1101" s="9"/>
      <c r="L1101" s="115"/>
      <c r="M1101" s="115"/>
      <c r="N1101" s="115"/>
      <c r="O1101" s="115"/>
      <c r="P1101" s="9"/>
      <c r="Q1101" s="9"/>
      <c r="R1101" s="9"/>
      <c r="S1101" s="9"/>
      <c r="T1101" s="9"/>
      <c r="U1101" s="9"/>
      <c r="V1101" s="9"/>
      <c r="W1101" s="10"/>
      <c r="X1101" s="10"/>
      <c r="Y1101" s="10"/>
      <c r="Z1101" s="10"/>
    </row>
    <row r="1102">
      <c r="A1102" s="9"/>
      <c r="B1102" s="9"/>
      <c r="C1102" s="9"/>
      <c r="D1102" s="9"/>
      <c r="E1102" s="9"/>
      <c r="F1102" s="9"/>
      <c r="G1102" s="9"/>
      <c r="H1102" s="9"/>
      <c r="I1102" s="9"/>
      <c r="J1102" s="9"/>
      <c r="K1102" s="9"/>
      <c r="L1102" s="115"/>
      <c r="M1102" s="115"/>
      <c r="N1102" s="115"/>
      <c r="O1102" s="115"/>
      <c r="P1102" s="9"/>
      <c r="Q1102" s="9"/>
      <c r="R1102" s="9"/>
      <c r="S1102" s="9"/>
      <c r="T1102" s="9"/>
      <c r="U1102" s="9"/>
      <c r="V1102" s="9"/>
      <c r="W1102" s="10"/>
      <c r="X1102" s="10"/>
      <c r="Y1102" s="10"/>
      <c r="Z1102" s="10"/>
    </row>
    <row r="1103">
      <c r="A1103" s="9"/>
      <c r="B1103" s="9"/>
      <c r="C1103" s="9"/>
      <c r="D1103" s="9"/>
      <c r="E1103" s="9"/>
      <c r="F1103" s="9"/>
      <c r="G1103" s="9"/>
      <c r="H1103" s="9"/>
      <c r="I1103" s="9"/>
      <c r="J1103" s="9"/>
      <c r="K1103" s="9"/>
      <c r="L1103" s="115"/>
      <c r="M1103" s="115"/>
      <c r="N1103" s="115"/>
      <c r="O1103" s="115"/>
      <c r="P1103" s="9"/>
      <c r="Q1103" s="9"/>
      <c r="R1103" s="9"/>
      <c r="S1103" s="9"/>
      <c r="T1103" s="9"/>
      <c r="U1103" s="9"/>
      <c r="V1103" s="9"/>
      <c r="W1103" s="10"/>
      <c r="X1103" s="10"/>
      <c r="Y1103" s="10"/>
      <c r="Z1103" s="10"/>
    </row>
    <row r="1104">
      <c r="A1104" s="9"/>
      <c r="B1104" s="9"/>
      <c r="C1104" s="9"/>
      <c r="D1104" s="9"/>
      <c r="E1104" s="9"/>
      <c r="F1104" s="9"/>
      <c r="G1104" s="9"/>
      <c r="H1104" s="9"/>
      <c r="I1104" s="9"/>
      <c r="J1104" s="9"/>
      <c r="K1104" s="9"/>
      <c r="L1104" s="115"/>
      <c r="M1104" s="115"/>
      <c r="N1104" s="115"/>
      <c r="O1104" s="115"/>
      <c r="P1104" s="9"/>
      <c r="Q1104" s="9"/>
      <c r="R1104" s="9"/>
      <c r="S1104" s="9"/>
      <c r="T1104" s="9"/>
      <c r="U1104" s="9"/>
      <c r="V1104" s="9"/>
      <c r="W1104" s="10"/>
      <c r="X1104" s="10"/>
      <c r="Y1104" s="10"/>
      <c r="Z1104" s="10"/>
    </row>
    <row r="1105">
      <c r="A1105" s="9"/>
      <c r="B1105" s="9"/>
      <c r="C1105" s="9"/>
      <c r="D1105" s="9"/>
      <c r="E1105" s="9"/>
      <c r="F1105" s="9"/>
      <c r="G1105" s="9"/>
      <c r="H1105" s="9"/>
      <c r="I1105" s="9"/>
      <c r="J1105" s="9"/>
      <c r="K1105" s="9"/>
      <c r="L1105" s="115"/>
      <c r="M1105" s="115"/>
      <c r="N1105" s="115"/>
      <c r="O1105" s="115"/>
      <c r="P1105" s="9"/>
      <c r="Q1105" s="9"/>
      <c r="R1105" s="9"/>
      <c r="S1105" s="9"/>
      <c r="T1105" s="9"/>
      <c r="U1105" s="9"/>
      <c r="V1105" s="9"/>
      <c r="W1105" s="10"/>
      <c r="X1105" s="10"/>
      <c r="Y1105" s="10"/>
      <c r="Z1105" s="10"/>
    </row>
    <row r="1106">
      <c r="A1106" s="9"/>
      <c r="B1106" s="9"/>
      <c r="C1106" s="9"/>
      <c r="D1106" s="9"/>
      <c r="E1106" s="9"/>
      <c r="F1106" s="9"/>
      <c r="G1106" s="9"/>
      <c r="H1106" s="9"/>
      <c r="I1106" s="9"/>
      <c r="J1106" s="9"/>
      <c r="K1106" s="9"/>
      <c r="L1106" s="115"/>
      <c r="M1106" s="115"/>
      <c r="N1106" s="115"/>
      <c r="O1106" s="115"/>
      <c r="P1106" s="9"/>
      <c r="Q1106" s="9"/>
      <c r="R1106" s="9"/>
      <c r="S1106" s="9"/>
      <c r="T1106" s="9"/>
      <c r="U1106" s="9"/>
      <c r="V1106" s="9"/>
      <c r="W1106" s="10"/>
      <c r="X1106" s="10"/>
      <c r="Y1106" s="10"/>
      <c r="Z1106" s="10"/>
    </row>
    <row r="1107">
      <c r="A1107" s="9"/>
      <c r="B1107" s="9"/>
      <c r="C1107" s="9"/>
      <c r="D1107" s="9"/>
      <c r="E1107" s="9"/>
      <c r="F1107" s="9"/>
      <c r="G1107" s="9"/>
      <c r="H1107" s="9"/>
      <c r="I1107" s="9"/>
      <c r="J1107" s="9"/>
      <c r="K1107" s="9"/>
      <c r="L1107" s="115"/>
      <c r="M1107" s="115"/>
      <c r="N1107" s="115"/>
      <c r="O1107" s="115"/>
      <c r="P1107" s="9"/>
      <c r="Q1107" s="9"/>
      <c r="R1107" s="9"/>
      <c r="S1107" s="9"/>
      <c r="T1107" s="9"/>
      <c r="U1107" s="9"/>
      <c r="V1107" s="9"/>
      <c r="W1107" s="10"/>
      <c r="X1107" s="10"/>
      <c r="Y1107" s="10"/>
      <c r="Z1107" s="10"/>
    </row>
    <row r="1108">
      <c r="A1108" s="9"/>
      <c r="B1108" s="9"/>
      <c r="C1108" s="9"/>
      <c r="D1108" s="9"/>
      <c r="E1108" s="9"/>
      <c r="F1108" s="9"/>
      <c r="G1108" s="9"/>
      <c r="H1108" s="9"/>
      <c r="I1108" s="9"/>
      <c r="J1108" s="9"/>
      <c r="K1108" s="9"/>
      <c r="L1108" s="115"/>
      <c r="M1108" s="115"/>
      <c r="N1108" s="115"/>
      <c r="O1108" s="115"/>
      <c r="P1108" s="9"/>
      <c r="Q1108" s="9"/>
      <c r="R1108" s="9"/>
      <c r="S1108" s="9"/>
      <c r="T1108" s="9"/>
      <c r="U1108" s="9"/>
      <c r="V1108" s="9"/>
      <c r="W1108" s="10"/>
      <c r="X1108" s="10"/>
      <c r="Y1108" s="10"/>
      <c r="Z1108" s="10"/>
    </row>
    <row r="1109">
      <c r="A1109" s="9"/>
      <c r="B1109" s="9"/>
      <c r="C1109" s="9"/>
      <c r="D1109" s="9"/>
      <c r="E1109" s="9"/>
      <c r="F1109" s="9"/>
      <c r="G1109" s="9"/>
      <c r="H1109" s="9"/>
      <c r="I1109" s="9"/>
      <c r="J1109" s="9"/>
      <c r="K1109" s="9"/>
      <c r="L1109" s="115"/>
      <c r="M1109" s="115"/>
      <c r="N1109" s="115"/>
      <c r="O1109" s="115"/>
      <c r="P1109" s="9"/>
      <c r="Q1109" s="9"/>
      <c r="R1109" s="9"/>
      <c r="S1109" s="9"/>
      <c r="T1109" s="9"/>
      <c r="U1109" s="9"/>
      <c r="V1109" s="9"/>
      <c r="W1109" s="10"/>
      <c r="X1109" s="10"/>
      <c r="Y1109" s="10"/>
      <c r="Z1109" s="10"/>
    </row>
    <row r="1110">
      <c r="A1110" s="9"/>
      <c r="B1110" s="9"/>
      <c r="C1110" s="9"/>
      <c r="D1110" s="9"/>
      <c r="E1110" s="9"/>
      <c r="F1110" s="9"/>
      <c r="G1110" s="9"/>
      <c r="H1110" s="9"/>
      <c r="I1110" s="9"/>
      <c r="J1110" s="9"/>
      <c r="K1110" s="9"/>
      <c r="L1110" s="115"/>
      <c r="M1110" s="115"/>
      <c r="N1110" s="115"/>
      <c r="O1110" s="115"/>
      <c r="P1110" s="9"/>
      <c r="Q1110" s="9"/>
      <c r="R1110" s="9"/>
      <c r="S1110" s="9"/>
      <c r="T1110" s="9"/>
      <c r="U1110" s="9"/>
      <c r="V1110" s="9"/>
      <c r="W1110" s="10"/>
      <c r="X1110" s="10"/>
      <c r="Y1110" s="10"/>
      <c r="Z1110" s="10"/>
    </row>
    <row r="1111">
      <c r="A1111" s="9"/>
      <c r="B1111" s="9"/>
      <c r="C1111" s="9"/>
      <c r="D1111" s="9"/>
      <c r="E1111" s="9"/>
      <c r="F1111" s="9"/>
      <c r="G1111" s="9"/>
      <c r="H1111" s="9"/>
      <c r="I1111" s="9"/>
      <c r="J1111" s="9"/>
      <c r="K1111" s="9"/>
      <c r="L1111" s="115"/>
      <c r="M1111" s="115"/>
      <c r="N1111" s="115"/>
      <c r="O1111" s="115"/>
      <c r="P1111" s="9"/>
      <c r="Q1111" s="9"/>
      <c r="R1111" s="9"/>
      <c r="S1111" s="9"/>
      <c r="T1111" s="9"/>
      <c r="U1111" s="9"/>
      <c r="V1111" s="9"/>
      <c r="W1111" s="10"/>
      <c r="X1111" s="10"/>
      <c r="Y1111" s="10"/>
      <c r="Z1111" s="10"/>
    </row>
    <row r="1112">
      <c r="A1112" s="9"/>
      <c r="B1112" s="9"/>
      <c r="C1112" s="9"/>
      <c r="D1112" s="9"/>
      <c r="E1112" s="9"/>
      <c r="F1112" s="9"/>
      <c r="G1112" s="9"/>
      <c r="H1112" s="9"/>
      <c r="I1112" s="9"/>
      <c r="J1112" s="9"/>
      <c r="K1112" s="9"/>
      <c r="L1112" s="115"/>
      <c r="M1112" s="115"/>
      <c r="N1112" s="115"/>
      <c r="O1112" s="115"/>
      <c r="P1112" s="9"/>
      <c r="Q1112" s="9"/>
      <c r="R1112" s="9"/>
      <c r="S1112" s="9"/>
      <c r="T1112" s="9"/>
      <c r="U1112" s="9"/>
      <c r="V1112" s="9"/>
      <c r="W1112" s="10"/>
      <c r="X1112" s="10"/>
      <c r="Y1112" s="10"/>
      <c r="Z1112" s="10"/>
    </row>
    <row r="1113">
      <c r="A1113" s="9"/>
      <c r="B1113" s="9"/>
      <c r="C1113" s="9"/>
      <c r="D1113" s="9"/>
      <c r="E1113" s="9"/>
      <c r="F1113" s="9"/>
      <c r="G1113" s="9"/>
      <c r="H1113" s="9"/>
      <c r="I1113" s="9"/>
      <c r="J1113" s="9"/>
      <c r="K1113" s="9"/>
      <c r="L1113" s="115"/>
      <c r="M1113" s="115"/>
      <c r="N1113" s="115"/>
      <c r="O1113" s="115"/>
      <c r="P1113" s="9"/>
      <c r="Q1113" s="9"/>
      <c r="R1113" s="9"/>
      <c r="S1113" s="9"/>
      <c r="T1113" s="9"/>
      <c r="U1113" s="9"/>
      <c r="V1113" s="9"/>
      <c r="W1113" s="10"/>
      <c r="X1113" s="10"/>
      <c r="Y1113" s="10"/>
      <c r="Z1113" s="10"/>
    </row>
    <row r="1114">
      <c r="A1114" s="9"/>
      <c r="B1114" s="9"/>
      <c r="C1114" s="9"/>
      <c r="D1114" s="9"/>
      <c r="E1114" s="9"/>
      <c r="F1114" s="9"/>
      <c r="G1114" s="9"/>
      <c r="H1114" s="9"/>
      <c r="I1114" s="9"/>
      <c r="J1114" s="9"/>
      <c r="K1114" s="9"/>
      <c r="L1114" s="115"/>
      <c r="M1114" s="115"/>
      <c r="N1114" s="115"/>
      <c r="O1114" s="115"/>
      <c r="P1114" s="9"/>
      <c r="Q1114" s="9"/>
      <c r="R1114" s="9"/>
      <c r="S1114" s="9"/>
      <c r="T1114" s="9"/>
      <c r="U1114" s="9"/>
      <c r="V1114" s="9"/>
      <c r="W1114" s="10"/>
      <c r="X1114" s="10"/>
      <c r="Y1114" s="10"/>
      <c r="Z1114" s="10"/>
    </row>
    <row r="1115">
      <c r="A1115" s="9"/>
      <c r="B1115" s="9"/>
      <c r="C1115" s="9"/>
      <c r="D1115" s="9"/>
      <c r="E1115" s="9"/>
      <c r="F1115" s="9"/>
      <c r="G1115" s="9"/>
      <c r="H1115" s="9"/>
      <c r="I1115" s="9"/>
      <c r="J1115" s="9"/>
      <c r="K1115" s="9"/>
      <c r="L1115" s="115"/>
      <c r="M1115" s="115"/>
      <c r="N1115" s="115"/>
      <c r="O1115" s="115"/>
      <c r="P1115" s="9"/>
      <c r="Q1115" s="9"/>
      <c r="R1115" s="9"/>
      <c r="S1115" s="9"/>
      <c r="T1115" s="9"/>
      <c r="U1115" s="9"/>
      <c r="V1115" s="9"/>
      <c r="W1115" s="10"/>
      <c r="X1115" s="10"/>
      <c r="Y1115" s="10"/>
      <c r="Z1115" s="10"/>
    </row>
    <row r="1116">
      <c r="A1116" s="9"/>
      <c r="B1116" s="9"/>
      <c r="C1116" s="9"/>
      <c r="D1116" s="9"/>
      <c r="E1116" s="9"/>
      <c r="F1116" s="9"/>
      <c r="G1116" s="9"/>
      <c r="H1116" s="9"/>
      <c r="I1116" s="9"/>
      <c r="J1116" s="9"/>
      <c r="K1116" s="9"/>
      <c r="L1116" s="115"/>
      <c r="M1116" s="115"/>
      <c r="N1116" s="115"/>
      <c r="O1116" s="115"/>
      <c r="P1116" s="9"/>
      <c r="Q1116" s="9"/>
      <c r="R1116" s="9"/>
      <c r="S1116" s="9"/>
      <c r="T1116" s="9"/>
      <c r="U1116" s="9"/>
      <c r="V1116" s="9"/>
      <c r="W1116" s="10"/>
      <c r="X1116" s="10"/>
      <c r="Y1116" s="10"/>
      <c r="Z1116" s="10"/>
    </row>
    <row r="1117">
      <c r="A1117" s="9"/>
      <c r="B1117" s="9"/>
      <c r="C1117" s="9"/>
      <c r="D1117" s="9"/>
      <c r="E1117" s="9"/>
      <c r="F1117" s="9"/>
      <c r="G1117" s="9"/>
      <c r="H1117" s="9"/>
      <c r="I1117" s="9"/>
      <c r="J1117" s="9"/>
      <c r="K1117" s="9"/>
      <c r="L1117" s="115"/>
      <c r="M1117" s="115"/>
      <c r="N1117" s="115"/>
      <c r="O1117" s="115"/>
      <c r="P1117" s="9"/>
      <c r="Q1117" s="9"/>
      <c r="R1117" s="9"/>
      <c r="S1117" s="9"/>
      <c r="T1117" s="9"/>
      <c r="U1117" s="9"/>
      <c r="V1117" s="9"/>
      <c r="W1117" s="10"/>
      <c r="X1117" s="10"/>
      <c r="Y1117" s="10"/>
      <c r="Z1117" s="10"/>
    </row>
    <row r="1118">
      <c r="A1118" s="9"/>
      <c r="B1118" s="9"/>
      <c r="C1118" s="9"/>
      <c r="D1118" s="9"/>
      <c r="E1118" s="9"/>
      <c r="F1118" s="9"/>
      <c r="G1118" s="9"/>
      <c r="H1118" s="9"/>
      <c r="I1118" s="9"/>
      <c r="J1118" s="9"/>
      <c r="K1118" s="9"/>
      <c r="L1118" s="115"/>
      <c r="M1118" s="115"/>
      <c r="N1118" s="115"/>
      <c r="O1118" s="115"/>
      <c r="P1118" s="9"/>
      <c r="Q1118" s="9"/>
      <c r="R1118" s="9"/>
      <c r="S1118" s="9"/>
      <c r="T1118" s="9"/>
      <c r="U1118" s="9"/>
      <c r="V1118" s="9"/>
      <c r="W1118" s="10"/>
      <c r="X1118" s="10"/>
      <c r="Y1118" s="10"/>
      <c r="Z1118" s="10"/>
    </row>
    <row r="1119">
      <c r="A1119" s="9"/>
      <c r="B1119" s="9"/>
      <c r="C1119" s="9"/>
      <c r="D1119" s="9"/>
      <c r="E1119" s="9"/>
      <c r="F1119" s="9"/>
      <c r="G1119" s="9"/>
      <c r="H1119" s="9"/>
      <c r="I1119" s="9"/>
      <c r="J1119" s="9"/>
      <c r="K1119" s="9"/>
      <c r="L1119" s="115"/>
      <c r="M1119" s="115"/>
      <c r="N1119" s="115"/>
      <c r="O1119" s="115"/>
      <c r="P1119" s="9"/>
      <c r="Q1119" s="9"/>
      <c r="R1119" s="9"/>
      <c r="S1119" s="9"/>
      <c r="T1119" s="9"/>
      <c r="U1119" s="9"/>
      <c r="V1119" s="9"/>
      <c r="W1119" s="10"/>
      <c r="X1119" s="10"/>
      <c r="Y1119" s="10"/>
      <c r="Z1119" s="10"/>
    </row>
    <row r="1120">
      <c r="A1120" s="9"/>
      <c r="B1120" s="9"/>
      <c r="C1120" s="9"/>
      <c r="D1120" s="9"/>
      <c r="E1120" s="9"/>
      <c r="F1120" s="9"/>
      <c r="G1120" s="9"/>
      <c r="H1120" s="9"/>
      <c r="I1120" s="9"/>
      <c r="J1120" s="9"/>
      <c r="K1120" s="9"/>
      <c r="L1120" s="115"/>
      <c r="M1120" s="115"/>
      <c r="N1120" s="115"/>
      <c r="O1120" s="115"/>
      <c r="P1120" s="9"/>
      <c r="Q1120" s="9"/>
      <c r="R1120" s="9"/>
      <c r="S1120" s="9"/>
      <c r="T1120" s="9"/>
      <c r="U1120" s="9"/>
      <c r="V1120" s="9"/>
      <c r="W1120" s="10"/>
      <c r="X1120" s="10"/>
      <c r="Y1120" s="10"/>
      <c r="Z1120" s="10"/>
    </row>
    <row r="1121">
      <c r="A1121" s="9"/>
      <c r="B1121" s="9"/>
      <c r="C1121" s="9"/>
      <c r="D1121" s="9"/>
      <c r="E1121" s="9"/>
      <c r="F1121" s="9"/>
      <c r="G1121" s="9"/>
      <c r="H1121" s="9"/>
      <c r="I1121" s="9"/>
      <c r="J1121" s="9"/>
      <c r="K1121" s="9"/>
      <c r="L1121" s="115"/>
      <c r="M1121" s="115"/>
      <c r="N1121" s="115"/>
      <c r="O1121" s="115"/>
      <c r="P1121" s="9"/>
      <c r="Q1121" s="9"/>
      <c r="R1121" s="9"/>
      <c r="S1121" s="9"/>
      <c r="T1121" s="9"/>
      <c r="U1121" s="9"/>
      <c r="V1121" s="9"/>
      <c r="W1121" s="10"/>
      <c r="X1121" s="10"/>
      <c r="Y1121" s="10"/>
      <c r="Z1121" s="10"/>
    </row>
    <row r="1122">
      <c r="A1122" s="9"/>
      <c r="B1122" s="9"/>
      <c r="C1122" s="9"/>
      <c r="D1122" s="9"/>
      <c r="E1122" s="9"/>
      <c r="F1122" s="9"/>
      <c r="G1122" s="9"/>
      <c r="H1122" s="9"/>
      <c r="I1122" s="9"/>
      <c r="J1122" s="9"/>
      <c r="K1122" s="9"/>
      <c r="L1122" s="115"/>
      <c r="M1122" s="115"/>
      <c r="N1122" s="115"/>
      <c r="O1122" s="115"/>
      <c r="P1122" s="9"/>
      <c r="Q1122" s="9"/>
      <c r="R1122" s="9"/>
      <c r="S1122" s="9"/>
      <c r="T1122" s="9"/>
      <c r="U1122" s="9"/>
      <c r="V1122" s="9"/>
      <c r="W1122" s="10"/>
      <c r="X1122" s="10"/>
      <c r="Y1122" s="10"/>
      <c r="Z1122" s="10"/>
    </row>
    <row r="1123">
      <c r="A1123" s="9"/>
      <c r="B1123" s="9"/>
      <c r="C1123" s="9"/>
      <c r="D1123" s="9"/>
      <c r="E1123" s="9"/>
      <c r="F1123" s="9"/>
      <c r="G1123" s="9"/>
      <c r="H1123" s="9"/>
      <c r="I1123" s="9"/>
      <c r="J1123" s="9"/>
      <c r="K1123" s="9"/>
      <c r="L1123" s="115"/>
      <c r="M1123" s="115"/>
      <c r="N1123" s="115"/>
      <c r="O1123" s="115"/>
      <c r="P1123" s="9"/>
      <c r="Q1123" s="9"/>
      <c r="R1123" s="9"/>
      <c r="S1123" s="9"/>
      <c r="T1123" s="9"/>
      <c r="U1123" s="9"/>
      <c r="V1123" s="9"/>
      <c r="W1123" s="10"/>
      <c r="X1123" s="10"/>
      <c r="Y1123" s="10"/>
      <c r="Z1123" s="10"/>
    </row>
    <row r="1124">
      <c r="A1124" s="9"/>
      <c r="B1124" s="9"/>
      <c r="C1124" s="9"/>
      <c r="D1124" s="9"/>
      <c r="E1124" s="9"/>
      <c r="F1124" s="9"/>
      <c r="G1124" s="9"/>
      <c r="H1124" s="9"/>
      <c r="I1124" s="9"/>
      <c r="J1124" s="9"/>
      <c r="K1124" s="9"/>
      <c r="L1124" s="115"/>
      <c r="M1124" s="115"/>
      <c r="N1124" s="115"/>
      <c r="O1124" s="115"/>
      <c r="P1124" s="9"/>
      <c r="Q1124" s="9"/>
      <c r="R1124" s="9"/>
      <c r="S1124" s="9"/>
      <c r="T1124" s="9"/>
      <c r="U1124" s="9"/>
      <c r="V1124" s="9"/>
      <c r="W1124" s="10"/>
      <c r="X1124" s="10"/>
      <c r="Y1124" s="10"/>
      <c r="Z1124" s="10"/>
    </row>
    <row r="1125">
      <c r="A1125" s="9"/>
      <c r="B1125" s="9"/>
      <c r="C1125" s="9"/>
      <c r="D1125" s="9"/>
      <c r="E1125" s="9"/>
      <c r="F1125" s="9"/>
      <c r="G1125" s="9"/>
      <c r="H1125" s="9"/>
      <c r="I1125" s="9"/>
      <c r="J1125" s="9"/>
      <c r="K1125" s="9"/>
      <c r="L1125" s="115"/>
      <c r="M1125" s="115"/>
      <c r="N1125" s="115"/>
      <c r="O1125" s="115"/>
      <c r="P1125" s="9"/>
      <c r="Q1125" s="9"/>
      <c r="R1125" s="9"/>
      <c r="S1125" s="9"/>
      <c r="T1125" s="9"/>
      <c r="U1125" s="9"/>
      <c r="V1125" s="9"/>
      <c r="W1125" s="10"/>
      <c r="X1125" s="10"/>
      <c r="Y1125" s="10"/>
      <c r="Z1125" s="10"/>
    </row>
    <row r="1126">
      <c r="A1126" s="9"/>
      <c r="B1126" s="9"/>
      <c r="C1126" s="9"/>
      <c r="D1126" s="9"/>
      <c r="E1126" s="9"/>
      <c r="F1126" s="9"/>
      <c r="G1126" s="9"/>
      <c r="H1126" s="9"/>
      <c r="I1126" s="9"/>
      <c r="J1126" s="9"/>
      <c r="K1126" s="9"/>
      <c r="L1126" s="115"/>
      <c r="M1126" s="115"/>
      <c r="N1126" s="115"/>
      <c r="O1126" s="115"/>
      <c r="P1126" s="9"/>
      <c r="Q1126" s="9"/>
      <c r="R1126" s="9"/>
      <c r="S1126" s="9"/>
      <c r="T1126" s="9"/>
      <c r="U1126" s="9"/>
      <c r="V1126" s="9"/>
      <c r="W1126" s="10"/>
      <c r="X1126" s="10"/>
      <c r="Y1126" s="10"/>
      <c r="Z1126" s="10"/>
    </row>
    <row r="1127">
      <c r="A1127" s="9"/>
      <c r="B1127" s="9"/>
      <c r="C1127" s="9"/>
      <c r="D1127" s="9"/>
      <c r="E1127" s="9"/>
      <c r="F1127" s="9"/>
      <c r="G1127" s="9"/>
      <c r="H1127" s="9"/>
      <c r="I1127" s="9"/>
      <c r="J1127" s="9"/>
      <c r="K1127" s="9"/>
      <c r="L1127" s="115"/>
      <c r="M1127" s="115"/>
      <c r="N1127" s="115"/>
      <c r="O1127" s="115"/>
      <c r="P1127" s="9"/>
      <c r="Q1127" s="9"/>
      <c r="R1127" s="9"/>
      <c r="S1127" s="9"/>
      <c r="T1127" s="9"/>
      <c r="U1127" s="9"/>
      <c r="V1127" s="9"/>
      <c r="W1127" s="10"/>
      <c r="X1127" s="10"/>
      <c r="Y1127" s="10"/>
      <c r="Z1127" s="10"/>
    </row>
    <row r="1128">
      <c r="A1128" s="9"/>
      <c r="B1128" s="9"/>
      <c r="C1128" s="9"/>
      <c r="D1128" s="9"/>
      <c r="E1128" s="9"/>
      <c r="F1128" s="9"/>
      <c r="G1128" s="9"/>
      <c r="H1128" s="9"/>
      <c r="I1128" s="9"/>
      <c r="J1128" s="9"/>
      <c r="K1128" s="9"/>
      <c r="L1128" s="115"/>
      <c r="M1128" s="115"/>
      <c r="N1128" s="115"/>
      <c r="O1128" s="115"/>
      <c r="P1128" s="9"/>
      <c r="Q1128" s="9"/>
      <c r="R1128" s="9"/>
      <c r="S1128" s="9"/>
      <c r="T1128" s="9"/>
      <c r="U1128" s="9"/>
      <c r="V1128" s="9"/>
      <c r="W1128" s="10"/>
      <c r="X1128" s="10"/>
      <c r="Y1128" s="10"/>
      <c r="Z1128" s="10"/>
    </row>
    <row r="1129">
      <c r="A1129" s="9"/>
      <c r="B1129" s="9"/>
      <c r="C1129" s="9"/>
      <c r="D1129" s="9"/>
      <c r="E1129" s="9"/>
      <c r="F1129" s="9"/>
      <c r="G1129" s="9"/>
      <c r="H1129" s="9"/>
      <c r="I1129" s="9"/>
      <c r="J1129" s="9"/>
      <c r="K1129" s="9"/>
      <c r="L1129" s="115"/>
      <c r="M1129" s="115"/>
      <c r="N1129" s="115"/>
      <c r="O1129" s="115"/>
      <c r="P1129" s="9"/>
      <c r="Q1129" s="9"/>
      <c r="R1129" s="9"/>
      <c r="S1129" s="9"/>
      <c r="T1129" s="9"/>
      <c r="U1129" s="9"/>
      <c r="V1129" s="9"/>
      <c r="W1129" s="10"/>
      <c r="X1129" s="10"/>
      <c r="Y1129" s="10"/>
      <c r="Z1129" s="10"/>
    </row>
    <row r="1130">
      <c r="A1130" s="9"/>
      <c r="B1130" s="9"/>
      <c r="C1130" s="9"/>
      <c r="D1130" s="9"/>
      <c r="E1130" s="9"/>
      <c r="F1130" s="9"/>
      <c r="G1130" s="9"/>
      <c r="H1130" s="9"/>
      <c r="I1130" s="9"/>
      <c r="J1130" s="9"/>
      <c r="K1130" s="9"/>
      <c r="L1130" s="115"/>
      <c r="M1130" s="115"/>
      <c r="N1130" s="115"/>
      <c r="O1130" s="115"/>
      <c r="P1130" s="9"/>
      <c r="Q1130" s="9"/>
      <c r="R1130" s="9"/>
      <c r="S1130" s="9"/>
      <c r="T1130" s="9"/>
      <c r="U1130" s="9"/>
      <c r="V1130" s="9"/>
      <c r="W1130" s="10"/>
      <c r="X1130" s="10"/>
      <c r="Y1130" s="10"/>
      <c r="Z1130" s="10"/>
    </row>
    <row r="1131">
      <c r="A1131" s="9"/>
      <c r="B1131" s="9"/>
      <c r="C1131" s="9"/>
      <c r="D1131" s="9"/>
      <c r="E1131" s="9"/>
      <c r="F1131" s="9"/>
      <c r="G1131" s="9"/>
      <c r="H1131" s="9"/>
      <c r="I1131" s="9"/>
      <c r="J1131" s="9"/>
      <c r="K1131" s="9"/>
      <c r="L1131" s="115"/>
      <c r="M1131" s="115"/>
      <c r="N1131" s="115"/>
      <c r="O1131" s="115"/>
      <c r="P1131" s="9"/>
      <c r="Q1131" s="9"/>
      <c r="R1131" s="9"/>
      <c r="S1131" s="9"/>
      <c r="T1131" s="9"/>
      <c r="U1131" s="9"/>
      <c r="V1131" s="9"/>
      <c r="W1131" s="10"/>
      <c r="X1131" s="10"/>
      <c r="Y1131" s="10"/>
      <c r="Z1131" s="10"/>
    </row>
    <row r="1132">
      <c r="A1132" s="9"/>
      <c r="B1132" s="9"/>
      <c r="C1132" s="9"/>
      <c r="D1132" s="9"/>
      <c r="E1132" s="9"/>
      <c r="F1132" s="9"/>
      <c r="G1132" s="9"/>
      <c r="H1132" s="9"/>
      <c r="I1132" s="9"/>
      <c r="J1132" s="9"/>
      <c r="K1132" s="9"/>
      <c r="L1132" s="115"/>
      <c r="M1132" s="115"/>
      <c r="N1132" s="115"/>
      <c r="O1132" s="115"/>
      <c r="P1132" s="9"/>
      <c r="Q1132" s="9"/>
      <c r="R1132" s="9"/>
      <c r="S1132" s="9"/>
      <c r="T1132" s="9"/>
      <c r="U1132" s="9"/>
      <c r="V1132" s="9"/>
      <c r="W1132" s="10"/>
      <c r="X1132" s="10"/>
      <c r="Y1132" s="10"/>
      <c r="Z1132" s="10"/>
    </row>
    <row r="1133">
      <c r="A1133" s="9"/>
      <c r="B1133" s="9"/>
      <c r="C1133" s="9"/>
      <c r="D1133" s="9"/>
      <c r="E1133" s="9"/>
      <c r="F1133" s="9"/>
      <c r="G1133" s="9"/>
      <c r="H1133" s="9"/>
      <c r="I1133" s="9"/>
      <c r="J1133" s="9"/>
      <c r="K1133" s="9"/>
      <c r="L1133" s="115"/>
      <c r="M1133" s="115"/>
      <c r="N1133" s="115"/>
      <c r="O1133" s="115"/>
      <c r="P1133" s="9"/>
      <c r="Q1133" s="9"/>
      <c r="R1133" s="9"/>
      <c r="S1133" s="9"/>
      <c r="T1133" s="9"/>
      <c r="U1133" s="9"/>
      <c r="V1133" s="9"/>
      <c r="W1133" s="10"/>
      <c r="X1133" s="10"/>
      <c r="Y1133" s="10"/>
      <c r="Z1133" s="10"/>
    </row>
    <row r="1134">
      <c r="A1134" s="9"/>
      <c r="B1134" s="9"/>
      <c r="C1134" s="9"/>
      <c r="D1134" s="9"/>
      <c r="E1134" s="9"/>
      <c r="F1134" s="9"/>
      <c r="G1134" s="9"/>
      <c r="H1134" s="9"/>
      <c r="I1134" s="9"/>
      <c r="J1134" s="9"/>
      <c r="K1134" s="9"/>
      <c r="L1134" s="115"/>
      <c r="M1134" s="115"/>
      <c r="N1134" s="115"/>
      <c r="O1134" s="115"/>
      <c r="P1134" s="9"/>
      <c r="Q1134" s="9"/>
      <c r="R1134" s="9"/>
      <c r="S1134" s="9"/>
      <c r="T1134" s="9"/>
      <c r="U1134" s="9"/>
      <c r="V1134" s="9"/>
      <c r="W1134" s="10"/>
      <c r="X1134" s="10"/>
      <c r="Y1134" s="10"/>
      <c r="Z1134" s="10"/>
    </row>
    <row r="1135">
      <c r="A1135" s="9"/>
      <c r="B1135" s="9"/>
      <c r="C1135" s="9"/>
      <c r="D1135" s="9"/>
      <c r="E1135" s="9"/>
      <c r="F1135" s="9"/>
      <c r="G1135" s="9"/>
      <c r="H1135" s="9"/>
      <c r="I1135" s="9"/>
      <c r="J1135" s="9"/>
      <c r="K1135" s="9"/>
      <c r="L1135" s="115"/>
      <c r="M1135" s="115"/>
      <c r="N1135" s="115"/>
      <c r="O1135" s="115"/>
      <c r="P1135" s="9"/>
      <c r="Q1135" s="9"/>
      <c r="R1135" s="9"/>
      <c r="S1135" s="9"/>
      <c r="T1135" s="9"/>
      <c r="U1135" s="9"/>
      <c r="V1135" s="9"/>
      <c r="W1135" s="10"/>
      <c r="X1135" s="10"/>
      <c r="Y1135" s="10"/>
      <c r="Z1135" s="10"/>
    </row>
    <row r="1136">
      <c r="A1136" s="9"/>
      <c r="B1136" s="9"/>
      <c r="C1136" s="9"/>
      <c r="D1136" s="9"/>
      <c r="E1136" s="9"/>
      <c r="F1136" s="9"/>
      <c r="G1136" s="9"/>
      <c r="H1136" s="9"/>
      <c r="I1136" s="9"/>
      <c r="J1136" s="9"/>
      <c r="K1136" s="9"/>
      <c r="L1136" s="115"/>
      <c r="M1136" s="115"/>
      <c r="N1136" s="115"/>
      <c r="O1136" s="115"/>
      <c r="P1136" s="9"/>
      <c r="Q1136" s="9"/>
      <c r="R1136" s="9"/>
      <c r="S1136" s="9"/>
      <c r="T1136" s="9"/>
      <c r="U1136" s="9"/>
      <c r="V1136" s="9"/>
      <c r="W1136" s="10"/>
      <c r="X1136" s="10"/>
      <c r="Y1136" s="10"/>
      <c r="Z1136" s="10"/>
    </row>
    <row r="1137">
      <c r="A1137" s="9"/>
      <c r="B1137" s="9"/>
      <c r="C1137" s="9"/>
      <c r="D1137" s="9"/>
      <c r="E1137" s="9"/>
      <c r="F1137" s="9"/>
      <c r="G1137" s="9"/>
      <c r="H1137" s="9"/>
      <c r="I1137" s="9"/>
      <c r="J1137" s="9"/>
      <c r="K1137" s="9"/>
      <c r="L1137" s="115"/>
      <c r="M1137" s="115"/>
      <c r="N1137" s="115"/>
      <c r="O1137" s="115"/>
      <c r="P1137" s="9"/>
      <c r="Q1137" s="9"/>
      <c r="R1137" s="9"/>
      <c r="S1137" s="9"/>
      <c r="T1137" s="9"/>
      <c r="U1137" s="9"/>
      <c r="V1137" s="9"/>
      <c r="W1137" s="10"/>
      <c r="X1137" s="10"/>
      <c r="Y1137" s="10"/>
      <c r="Z1137" s="10"/>
    </row>
    <row r="1138">
      <c r="A1138" s="9"/>
      <c r="B1138" s="9"/>
      <c r="C1138" s="9"/>
      <c r="D1138" s="9"/>
      <c r="E1138" s="9"/>
      <c r="F1138" s="9"/>
      <c r="G1138" s="9"/>
      <c r="H1138" s="9"/>
      <c r="I1138" s="9"/>
      <c r="J1138" s="9"/>
      <c r="K1138" s="9"/>
      <c r="L1138" s="115"/>
      <c r="M1138" s="115"/>
      <c r="N1138" s="115"/>
      <c r="O1138" s="115"/>
      <c r="P1138" s="9"/>
      <c r="Q1138" s="9"/>
      <c r="R1138" s="9"/>
      <c r="S1138" s="9"/>
      <c r="T1138" s="9"/>
      <c r="U1138" s="9"/>
      <c r="V1138" s="9"/>
      <c r="W1138" s="10"/>
      <c r="X1138" s="10"/>
      <c r="Y1138" s="10"/>
      <c r="Z1138" s="10"/>
    </row>
    <row r="1139">
      <c r="A1139" s="9"/>
      <c r="B1139" s="9"/>
      <c r="C1139" s="9"/>
      <c r="D1139" s="9"/>
      <c r="E1139" s="9"/>
      <c r="F1139" s="9"/>
      <c r="G1139" s="9"/>
      <c r="H1139" s="9"/>
      <c r="I1139" s="9"/>
      <c r="J1139" s="9"/>
      <c r="K1139" s="9"/>
      <c r="L1139" s="115"/>
      <c r="M1139" s="115"/>
      <c r="N1139" s="115"/>
      <c r="O1139" s="115"/>
      <c r="P1139" s="9"/>
      <c r="Q1139" s="9"/>
      <c r="R1139" s="9"/>
      <c r="S1139" s="9"/>
      <c r="T1139" s="9"/>
      <c r="U1139" s="9"/>
      <c r="V1139" s="9"/>
      <c r="W1139" s="10"/>
      <c r="X1139" s="10"/>
      <c r="Y1139" s="10"/>
      <c r="Z1139" s="10"/>
    </row>
    <row r="1140">
      <c r="A1140" s="9"/>
      <c r="B1140" s="9"/>
      <c r="C1140" s="9"/>
      <c r="D1140" s="9"/>
      <c r="E1140" s="9"/>
      <c r="F1140" s="9"/>
      <c r="G1140" s="9"/>
      <c r="H1140" s="9"/>
      <c r="I1140" s="9"/>
      <c r="J1140" s="9"/>
      <c r="K1140" s="9"/>
      <c r="L1140" s="115"/>
      <c r="M1140" s="115"/>
      <c r="N1140" s="115"/>
      <c r="O1140" s="115"/>
      <c r="P1140" s="9"/>
      <c r="Q1140" s="9"/>
      <c r="R1140" s="9"/>
      <c r="S1140" s="9"/>
      <c r="T1140" s="9"/>
      <c r="U1140" s="9"/>
      <c r="V1140" s="9"/>
      <c r="W1140" s="10"/>
      <c r="X1140" s="10"/>
      <c r="Y1140" s="10"/>
      <c r="Z1140" s="10"/>
    </row>
    <row r="1141">
      <c r="A1141" s="9"/>
      <c r="B1141" s="9"/>
      <c r="C1141" s="9"/>
      <c r="D1141" s="9"/>
      <c r="E1141" s="9"/>
      <c r="F1141" s="9"/>
      <c r="G1141" s="9"/>
      <c r="H1141" s="9"/>
      <c r="I1141" s="9"/>
      <c r="J1141" s="9"/>
      <c r="K1141" s="9"/>
      <c r="L1141" s="115"/>
      <c r="M1141" s="115"/>
      <c r="N1141" s="115"/>
      <c r="O1141" s="115"/>
      <c r="P1141" s="9"/>
      <c r="Q1141" s="9"/>
      <c r="R1141" s="9"/>
      <c r="S1141" s="9"/>
      <c r="T1141" s="9"/>
      <c r="U1141" s="9"/>
      <c r="V1141" s="9"/>
      <c r="W1141" s="10"/>
      <c r="X1141" s="10"/>
      <c r="Y1141" s="10"/>
      <c r="Z1141" s="10"/>
    </row>
    <row r="1142">
      <c r="A1142" s="9"/>
      <c r="B1142" s="9"/>
      <c r="C1142" s="9"/>
      <c r="D1142" s="9"/>
      <c r="E1142" s="9"/>
      <c r="F1142" s="9"/>
      <c r="G1142" s="9"/>
      <c r="H1142" s="9"/>
      <c r="I1142" s="9"/>
      <c r="J1142" s="9"/>
      <c r="K1142" s="9"/>
      <c r="L1142" s="115"/>
      <c r="M1142" s="115"/>
      <c r="N1142" s="115"/>
      <c r="O1142" s="115"/>
      <c r="P1142" s="9"/>
      <c r="Q1142" s="9"/>
      <c r="R1142" s="9"/>
      <c r="S1142" s="9"/>
      <c r="T1142" s="9"/>
      <c r="U1142" s="9"/>
      <c r="V1142" s="9"/>
      <c r="W1142" s="10"/>
      <c r="X1142" s="10"/>
      <c r="Y1142" s="10"/>
      <c r="Z1142" s="10"/>
    </row>
    <row r="1143">
      <c r="A1143" s="9"/>
      <c r="B1143" s="9"/>
      <c r="C1143" s="9"/>
      <c r="D1143" s="9"/>
      <c r="E1143" s="9"/>
      <c r="F1143" s="9"/>
      <c r="G1143" s="9"/>
      <c r="H1143" s="9"/>
      <c r="I1143" s="9"/>
      <c r="J1143" s="9"/>
      <c r="K1143" s="9"/>
      <c r="L1143" s="115"/>
      <c r="M1143" s="115"/>
      <c r="N1143" s="115"/>
      <c r="O1143" s="115"/>
      <c r="P1143" s="9"/>
      <c r="Q1143" s="9"/>
      <c r="R1143" s="9"/>
      <c r="S1143" s="9"/>
      <c r="T1143" s="9"/>
      <c r="U1143" s="9"/>
      <c r="V1143" s="9"/>
      <c r="W1143" s="10"/>
      <c r="X1143" s="10"/>
      <c r="Y1143" s="10"/>
      <c r="Z1143" s="10"/>
    </row>
    <row r="1144">
      <c r="A1144" s="9"/>
      <c r="B1144" s="9"/>
      <c r="C1144" s="9"/>
      <c r="D1144" s="9"/>
      <c r="E1144" s="9"/>
      <c r="F1144" s="9"/>
      <c r="G1144" s="9"/>
      <c r="H1144" s="9"/>
      <c r="I1144" s="9"/>
      <c r="J1144" s="9"/>
      <c r="K1144" s="9"/>
      <c r="L1144" s="115"/>
      <c r="M1144" s="115"/>
      <c r="N1144" s="115"/>
      <c r="O1144" s="115"/>
      <c r="P1144" s="9"/>
      <c r="Q1144" s="9"/>
      <c r="R1144" s="9"/>
      <c r="S1144" s="9"/>
      <c r="T1144" s="9"/>
      <c r="U1144" s="9"/>
      <c r="V1144" s="9"/>
      <c r="W1144" s="10"/>
      <c r="X1144" s="10"/>
      <c r="Y1144" s="10"/>
      <c r="Z1144" s="10"/>
    </row>
    <row r="1145">
      <c r="A1145" s="9"/>
      <c r="B1145" s="9"/>
      <c r="C1145" s="9"/>
      <c r="D1145" s="9"/>
      <c r="E1145" s="9"/>
      <c r="F1145" s="9"/>
      <c r="G1145" s="9"/>
      <c r="H1145" s="9"/>
      <c r="I1145" s="9"/>
      <c r="J1145" s="9"/>
      <c r="K1145" s="9"/>
      <c r="L1145" s="115"/>
      <c r="M1145" s="115"/>
      <c r="N1145" s="115"/>
      <c r="O1145" s="115"/>
      <c r="P1145" s="9"/>
      <c r="Q1145" s="9"/>
      <c r="R1145" s="9"/>
      <c r="S1145" s="9"/>
      <c r="T1145" s="9"/>
      <c r="U1145" s="9"/>
      <c r="V1145" s="9"/>
      <c r="W1145" s="10"/>
      <c r="X1145" s="10"/>
      <c r="Y1145" s="10"/>
      <c r="Z1145" s="10"/>
    </row>
    <row r="1146">
      <c r="A1146" s="9"/>
      <c r="B1146" s="9"/>
      <c r="C1146" s="9"/>
      <c r="D1146" s="9"/>
      <c r="E1146" s="9"/>
      <c r="F1146" s="9"/>
      <c r="G1146" s="9"/>
      <c r="H1146" s="9"/>
      <c r="I1146" s="9"/>
      <c r="J1146" s="9"/>
      <c r="K1146" s="9"/>
      <c r="L1146" s="115"/>
      <c r="M1146" s="115"/>
      <c r="N1146" s="115"/>
      <c r="O1146" s="115"/>
      <c r="P1146" s="9"/>
      <c r="Q1146" s="9"/>
      <c r="R1146" s="9"/>
      <c r="S1146" s="9"/>
      <c r="T1146" s="9"/>
      <c r="U1146" s="9"/>
      <c r="V1146" s="9"/>
      <c r="W1146" s="10"/>
      <c r="X1146" s="10"/>
      <c r="Y1146" s="10"/>
      <c r="Z1146" s="10"/>
    </row>
    <row r="1147">
      <c r="A1147" s="9"/>
      <c r="B1147" s="9"/>
      <c r="C1147" s="9"/>
      <c r="D1147" s="9"/>
      <c r="E1147" s="9"/>
      <c r="F1147" s="9"/>
      <c r="G1147" s="9"/>
      <c r="H1147" s="9"/>
      <c r="I1147" s="9"/>
      <c r="J1147" s="9"/>
      <c r="K1147" s="9"/>
      <c r="L1147" s="115"/>
      <c r="M1147" s="115"/>
      <c r="N1147" s="115"/>
      <c r="O1147" s="115"/>
      <c r="P1147" s="9"/>
      <c r="Q1147" s="9"/>
      <c r="R1147" s="9"/>
      <c r="S1147" s="9"/>
      <c r="T1147" s="9"/>
      <c r="U1147" s="9"/>
      <c r="V1147" s="9"/>
      <c r="W1147" s="10"/>
      <c r="X1147" s="10"/>
      <c r="Y1147" s="10"/>
      <c r="Z1147" s="10"/>
    </row>
    <row r="1148">
      <c r="A1148" s="9"/>
      <c r="B1148" s="9"/>
      <c r="C1148" s="9"/>
      <c r="D1148" s="9"/>
      <c r="E1148" s="9"/>
      <c r="F1148" s="9"/>
      <c r="G1148" s="9"/>
      <c r="H1148" s="9"/>
      <c r="I1148" s="9"/>
      <c r="J1148" s="9"/>
      <c r="K1148" s="9"/>
      <c r="L1148" s="115"/>
      <c r="M1148" s="115"/>
      <c r="N1148" s="115"/>
      <c r="O1148" s="115"/>
      <c r="P1148" s="9"/>
      <c r="Q1148" s="9"/>
      <c r="R1148" s="9"/>
      <c r="S1148" s="9"/>
      <c r="T1148" s="9"/>
      <c r="U1148" s="9"/>
      <c r="V1148" s="9"/>
      <c r="W1148" s="10"/>
      <c r="X1148" s="10"/>
      <c r="Y1148" s="10"/>
      <c r="Z1148" s="10"/>
    </row>
    <row r="1149">
      <c r="A1149" s="9"/>
      <c r="B1149" s="9"/>
      <c r="C1149" s="9"/>
      <c r="D1149" s="9"/>
      <c r="E1149" s="9"/>
      <c r="F1149" s="9"/>
      <c r="G1149" s="9"/>
      <c r="H1149" s="9"/>
      <c r="I1149" s="9"/>
      <c r="J1149" s="9"/>
      <c r="K1149" s="9"/>
      <c r="L1149" s="115"/>
      <c r="M1149" s="115"/>
      <c r="N1149" s="115"/>
      <c r="O1149" s="115"/>
      <c r="P1149" s="9"/>
      <c r="Q1149" s="9"/>
      <c r="R1149" s="9"/>
      <c r="S1149" s="9"/>
      <c r="T1149" s="9"/>
      <c r="U1149" s="9"/>
      <c r="V1149" s="9"/>
      <c r="W1149" s="10"/>
      <c r="X1149" s="10"/>
      <c r="Y1149" s="10"/>
      <c r="Z1149" s="10"/>
    </row>
    <row r="1150">
      <c r="A1150" s="9"/>
      <c r="B1150" s="9"/>
      <c r="C1150" s="9"/>
      <c r="D1150" s="9"/>
      <c r="E1150" s="9"/>
      <c r="F1150" s="9"/>
      <c r="G1150" s="9"/>
      <c r="H1150" s="9"/>
      <c r="I1150" s="9"/>
      <c r="J1150" s="9"/>
      <c r="K1150" s="9"/>
      <c r="L1150" s="115"/>
      <c r="M1150" s="115"/>
      <c r="N1150" s="115"/>
      <c r="O1150" s="115"/>
      <c r="P1150" s="9"/>
      <c r="Q1150" s="9"/>
      <c r="R1150" s="9"/>
      <c r="S1150" s="9"/>
      <c r="T1150" s="9"/>
      <c r="U1150" s="9"/>
      <c r="V1150" s="9"/>
      <c r="W1150" s="10"/>
      <c r="X1150" s="10"/>
      <c r="Y1150" s="10"/>
      <c r="Z1150" s="10"/>
    </row>
    <row r="1151">
      <c r="A1151" s="9"/>
      <c r="B1151" s="9"/>
      <c r="C1151" s="9"/>
      <c r="D1151" s="9"/>
      <c r="E1151" s="9"/>
      <c r="F1151" s="9"/>
      <c r="G1151" s="9"/>
      <c r="H1151" s="9"/>
      <c r="I1151" s="9"/>
      <c r="J1151" s="9"/>
      <c r="K1151" s="9"/>
      <c r="L1151" s="115"/>
      <c r="M1151" s="115"/>
      <c r="N1151" s="115"/>
      <c r="O1151" s="115"/>
      <c r="P1151" s="9"/>
      <c r="Q1151" s="9"/>
      <c r="R1151" s="9"/>
      <c r="S1151" s="9"/>
      <c r="T1151" s="9"/>
      <c r="U1151" s="9"/>
      <c r="V1151" s="9"/>
      <c r="W1151" s="10"/>
      <c r="X1151" s="10"/>
      <c r="Y1151" s="10"/>
      <c r="Z1151" s="10"/>
    </row>
    <row r="1152">
      <c r="A1152" s="9"/>
      <c r="B1152" s="9"/>
      <c r="C1152" s="9"/>
      <c r="D1152" s="9"/>
      <c r="E1152" s="9"/>
      <c r="F1152" s="9"/>
      <c r="G1152" s="9"/>
      <c r="H1152" s="9"/>
      <c r="I1152" s="9"/>
      <c r="J1152" s="9"/>
      <c r="K1152" s="9"/>
      <c r="L1152" s="115"/>
      <c r="M1152" s="115"/>
      <c r="N1152" s="115"/>
      <c r="O1152" s="115"/>
      <c r="P1152" s="9"/>
      <c r="Q1152" s="9"/>
      <c r="R1152" s="9"/>
      <c r="S1152" s="9"/>
      <c r="T1152" s="9"/>
      <c r="U1152" s="9"/>
      <c r="V1152" s="9"/>
      <c r="W1152" s="10"/>
      <c r="X1152" s="10"/>
      <c r="Y1152" s="10"/>
      <c r="Z1152" s="10"/>
    </row>
    <row r="1153">
      <c r="A1153" s="9"/>
      <c r="B1153" s="9"/>
      <c r="C1153" s="9"/>
      <c r="D1153" s="9"/>
      <c r="E1153" s="9"/>
      <c r="F1153" s="9"/>
      <c r="G1153" s="9"/>
      <c r="H1153" s="9"/>
      <c r="I1153" s="9"/>
      <c r="J1153" s="9"/>
      <c r="K1153" s="9"/>
      <c r="L1153" s="115"/>
      <c r="M1153" s="115"/>
      <c r="N1153" s="115"/>
      <c r="O1153" s="115"/>
      <c r="P1153" s="9"/>
      <c r="Q1153" s="9"/>
      <c r="R1153" s="9"/>
      <c r="S1153" s="9"/>
      <c r="T1153" s="9"/>
      <c r="U1153" s="9"/>
      <c r="V1153" s="9"/>
      <c r="W1153" s="10"/>
      <c r="X1153" s="10"/>
      <c r="Y1153" s="10"/>
      <c r="Z1153" s="10"/>
    </row>
    <row r="1154">
      <c r="A1154" s="9"/>
      <c r="B1154" s="9"/>
      <c r="C1154" s="9"/>
      <c r="D1154" s="9"/>
      <c r="E1154" s="9"/>
      <c r="F1154" s="9"/>
      <c r="G1154" s="9"/>
      <c r="H1154" s="9"/>
      <c r="I1154" s="9"/>
      <c r="J1154" s="9"/>
      <c r="K1154" s="9"/>
      <c r="L1154" s="115"/>
      <c r="M1154" s="115"/>
      <c r="N1154" s="115"/>
      <c r="O1154" s="115"/>
      <c r="P1154" s="9"/>
      <c r="Q1154" s="9"/>
      <c r="R1154" s="9"/>
      <c r="S1154" s="9"/>
      <c r="T1154" s="9"/>
      <c r="U1154" s="9"/>
      <c r="V1154" s="9"/>
      <c r="W1154" s="10"/>
      <c r="X1154" s="10"/>
      <c r="Y1154" s="10"/>
      <c r="Z1154" s="10"/>
    </row>
    <row r="1155">
      <c r="A1155" s="9"/>
      <c r="B1155" s="9"/>
      <c r="C1155" s="9"/>
      <c r="D1155" s="9"/>
      <c r="E1155" s="9"/>
      <c r="F1155" s="9"/>
      <c r="G1155" s="9"/>
      <c r="H1155" s="9"/>
      <c r="I1155" s="9"/>
      <c r="J1155" s="9"/>
      <c r="K1155" s="9"/>
      <c r="L1155" s="115"/>
      <c r="M1155" s="115"/>
      <c r="N1155" s="115"/>
      <c r="O1155" s="115"/>
      <c r="P1155" s="9"/>
      <c r="Q1155" s="9"/>
      <c r="R1155" s="9"/>
      <c r="S1155" s="9"/>
      <c r="T1155" s="9"/>
      <c r="U1155" s="9"/>
      <c r="V1155" s="9"/>
      <c r="W1155" s="10"/>
      <c r="X1155" s="10"/>
      <c r="Y1155" s="10"/>
      <c r="Z1155" s="10"/>
    </row>
    <row r="1156">
      <c r="A1156" s="9"/>
      <c r="B1156" s="9"/>
      <c r="C1156" s="9"/>
      <c r="D1156" s="9"/>
      <c r="E1156" s="9"/>
      <c r="F1156" s="9"/>
      <c r="G1156" s="9"/>
      <c r="H1156" s="9"/>
      <c r="I1156" s="9"/>
      <c r="J1156" s="9"/>
      <c r="K1156" s="9"/>
      <c r="L1156" s="115"/>
      <c r="M1156" s="115"/>
      <c r="N1156" s="115"/>
      <c r="O1156" s="115"/>
      <c r="P1156" s="9"/>
      <c r="Q1156" s="9"/>
      <c r="R1156" s="9"/>
      <c r="S1156" s="9"/>
      <c r="T1156" s="9"/>
      <c r="U1156" s="9"/>
      <c r="V1156" s="9"/>
      <c r="W1156" s="10"/>
      <c r="X1156" s="10"/>
      <c r="Y1156" s="10"/>
      <c r="Z1156" s="10"/>
    </row>
    <row r="1157">
      <c r="A1157" s="9"/>
      <c r="B1157" s="9"/>
      <c r="C1157" s="9"/>
      <c r="D1157" s="9"/>
      <c r="E1157" s="9"/>
      <c r="F1157" s="9"/>
      <c r="G1157" s="9"/>
      <c r="H1157" s="9"/>
      <c r="I1157" s="9"/>
      <c r="J1157" s="9"/>
      <c r="K1157" s="9"/>
      <c r="L1157" s="115"/>
      <c r="M1157" s="115"/>
      <c r="N1157" s="115"/>
      <c r="O1157" s="115"/>
      <c r="P1157" s="9"/>
      <c r="Q1157" s="9"/>
      <c r="R1157" s="9"/>
      <c r="S1157" s="9"/>
      <c r="T1157" s="9"/>
      <c r="U1157" s="9"/>
      <c r="V1157" s="9"/>
      <c r="W1157" s="10"/>
      <c r="X1157" s="10"/>
      <c r="Y1157" s="10"/>
      <c r="Z1157" s="10"/>
    </row>
    <row r="1158">
      <c r="A1158" s="9"/>
      <c r="B1158" s="9"/>
      <c r="C1158" s="9"/>
      <c r="D1158" s="9"/>
      <c r="E1158" s="9"/>
      <c r="F1158" s="9"/>
      <c r="G1158" s="9"/>
      <c r="H1158" s="9"/>
      <c r="I1158" s="9"/>
      <c r="J1158" s="9"/>
      <c r="K1158" s="9"/>
      <c r="L1158" s="115"/>
      <c r="M1158" s="115"/>
      <c r="N1158" s="115"/>
      <c r="O1158" s="115"/>
      <c r="P1158" s="9"/>
      <c r="Q1158" s="9"/>
      <c r="R1158" s="9"/>
      <c r="S1158" s="9"/>
      <c r="T1158" s="9"/>
      <c r="U1158" s="9"/>
      <c r="V1158" s="9"/>
      <c r="W1158" s="10"/>
      <c r="X1158" s="10"/>
      <c r="Y1158" s="10"/>
      <c r="Z1158" s="10"/>
    </row>
    <row r="1159">
      <c r="A1159" s="9"/>
      <c r="B1159" s="9"/>
      <c r="C1159" s="9"/>
      <c r="D1159" s="9"/>
      <c r="E1159" s="9"/>
      <c r="F1159" s="9"/>
      <c r="G1159" s="9"/>
      <c r="H1159" s="9"/>
      <c r="I1159" s="9"/>
      <c r="J1159" s="9"/>
      <c r="K1159" s="9"/>
      <c r="L1159" s="115"/>
      <c r="M1159" s="115"/>
      <c r="N1159" s="115"/>
      <c r="O1159" s="115"/>
      <c r="P1159" s="9"/>
      <c r="Q1159" s="9"/>
      <c r="R1159" s="9"/>
      <c r="S1159" s="9"/>
      <c r="T1159" s="9"/>
      <c r="U1159" s="9"/>
      <c r="V1159" s="9"/>
      <c r="W1159" s="10"/>
      <c r="X1159" s="10"/>
      <c r="Y1159" s="10"/>
      <c r="Z1159" s="10"/>
    </row>
    <row r="1160">
      <c r="A1160" s="9"/>
      <c r="B1160" s="9"/>
      <c r="C1160" s="9"/>
      <c r="D1160" s="9"/>
      <c r="E1160" s="9"/>
      <c r="F1160" s="9"/>
      <c r="G1160" s="9"/>
      <c r="H1160" s="9"/>
      <c r="I1160" s="9"/>
      <c r="J1160" s="9"/>
      <c r="K1160" s="9"/>
      <c r="L1160" s="115"/>
      <c r="M1160" s="115"/>
      <c r="N1160" s="115"/>
      <c r="O1160" s="115"/>
      <c r="P1160" s="9"/>
      <c r="Q1160" s="9"/>
      <c r="R1160" s="9"/>
      <c r="S1160" s="9"/>
      <c r="T1160" s="9"/>
      <c r="U1160" s="9"/>
      <c r="V1160" s="9"/>
      <c r="W1160" s="10"/>
      <c r="X1160" s="10"/>
      <c r="Y1160" s="10"/>
      <c r="Z1160" s="10"/>
    </row>
    <row r="1161">
      <c r="A1161" s="9"/>
      <c r="B1161" s="9"/>
      <c r="C1161" s="9"/>
      <c r="D1161" s="9"/>
      <c r="E1161" s="9"/>
      <c r="F1161" s="9"/>
      <c r="G1161" s="9"/>
      <c r="H1161" s="9"/>
      <c r="I1161" s="9"/>
      <c r="J1161" s="9"/>
      <c r="K1161" s="9"/>
      <c r="L1161" s="115"/>
      <c r="M1161" s="115"/>
      <c r="N1161" s="115"/>
      <c r="O1161" s="115"/>
      <c r="P1161" s="9"/>
      <c r="Q1161" s="9"/>
      <c r="R1161" s="9"/>
      <c r="S1161" s="9"/>
      <c r="T1161" s="9"/>
      <c r="U1161" s="9"/>
      <c r="V1161" s="9"/>
      <c r="W1161" s="10"/>
      <c r="X1161" s="10"/>
      <c r="Y1161" s="10"/>
      <c r="Z1161" s="10"/>
    </row>
    <row r="1162">
      <c r="A1162" s="9"/>
      <c r="B1162" s="9"/>
      <c r="C1162" s="9"/>
      <c r="D1162" s="9"/>
      <c r="E1162" s="9"/>
      <c r="F1162" s="9"/>
      <c r="G1162" s="9"/>
      <c r="H1162" s="9"/>
      <c r="I1162" s="9"/>
      <c r="J1162" s="9"/>
      <c r="K1162" s="9"/>
      <c r="L1162" s="115"/>
      <c r="M1162" s="115"/>
      <c r="N1162" s="115"/>
      <c r="O1162" s="115"/>
      <c r="P1162" s="9"/>
      <c r="Q1162" s="9"/>
      <c r="R1162" s="9"/>
      <c r="S1162" s="9"/>
      <c r="T1162" s="9"/>
      <c r="U1162" s="9"/>
      <c r="V1162" s="9"/>
      <c r="W1162" s="10"/>
      <c r="X1162" s="10"/>
      <c r="Y1162" s="10"/>
      <c r="Z1162" s="10"/>
    </row>
    <row r="1163">
      <c r="A1163" s="9"/>
      <c r="B1163" s="9"/>
      <c r="C1163" s="9"/>
      <c r="D1163" s="9"/>
      <c r="E1163" s="9"/>
      <c r="F1163" s="9"/>
      <c r="G1163" s="9"/>
      <c r="H1163" s="9"/>
      <c r="I1163" s="9"/>
      <c r="J1163" s="9"/>
      <c r="K1163" s="9"/>
      <c r="L1163" s="115"/>
      <c r="M1163" s="115"/>
      <c r="N1163" s="115"/>
      <c r="O1163" s="115"/>
      <c r="P1163" s="9"/>
      <c r="Q1163" s="9"/>
      <c r="R1163" s="9"/>
      <c r="S1163" s="9"/>
      <c r="T1163" s="9"/>
      <c r="U1163" s="9"/>
      <c r="V1163" s="9"/>
      <c r="W1163" s="10"/>
      <c r="X1163" s="10"/>
      <c r="Y1163" s="10"/>
      <c r="Z1163" s="10"/>
    </row>
    <row r="1164">
      <c r="A1164" s="9"/>
      <c r="B1164" s="9"/>
      <c r="C1164" s="9"/>
      <c r="D1164" s="9"/>
      <c r="E1164" s="9"/>
      <c r="F1164" s="9"/>
      <c r="G1164" s="9"/>
      <c r="H1164" s="9"/>
      <c r="I1164" s="9"/>
      <c r="J1164" s="9"/>
      <c r="K1164" s="9"/>
      <c r="L1164" s="115"/>
      <c r="M1164" s="115"/>
      <c r="N1164" s="115"/>
      <c r="O1164" s="115"/>
      <c r="P1164" s="9"/>
      <c r="Q1164" s="9"/>
      <c r="R1164" s="9"/>
      <c r="S1164" s="9"/>
      <c r="T1164" s="9"/>
      <c r="U1164" s="9"/>
      <c r="V1164" s="9"/>
      <c r="W1164" s="10"/>
      <c r="X1164" s="10"/>
      <c r="Y1164" s="10"/>
      <c r="Z1164" s="10"/>
    </row>
    <row r="1165">
      <c r="A1165" s="9"/>
      <c r="B1165" s="9"/>
      <c r="C1165" s="9"/>
      <c r="D1165" s="9"/>
      <c r="E1165" s="9"/>
      <c r="F1165" s="9"/>
      <c r="G1165" s="9"/>
      <c r="H1165" s="9"/>
      <c r="I1165" s="9"/>
      <c r="J1165" s="9"/>
      <c r="K1165" s="9"/>
      <c r="L1165" s="115"/>
      <c r="M1165" s="115"/>
      <c r="N1165" s="115"/>
      <c r="O1165" s="115"/>
      <c r="P1165" s="9"/>
      <c r="Q1165" s="9"/>
      <c r="R1165" s="9"/>
      <c r="S1165" s="9"/>
      <c r="T1165" s="9"/>
      <c r="U1165" s="9"/>
      <c r="V1165" s="9"/>
      <c r="W1165" s="10"/>
      <c r="X1165" s="10"/>
      <c r="Y1165" s="10"/>
      <c r="Z1165" s="10"/>
    </row>
    <row r="1166">
      <c r="A1166" s="9"/>
      <c r="B1166" s="9"/>
      <c r="C1166" s="9"/>
      <c r="D1166" s="9"/>
      <c r="E1166" s="9"/>
      <c r="F1166" s="9"/>
      <c r="G1166" s="9"/>
      <c r="H1166" s="9"/>
      <c r="I1166" s="9"/>
      <c r="J1166" s="9"/>
      <c r="K1166" s="9"/>
      <c r="L1166" s="115"/>
      <c r="M1166" s="115"/>
      <c r="N1166" s="115"/>
      <c r="O1166" s="115"/>
      <c r="P1166" s="9"/>
      <c r="Q1166" s="9"/>
      <c r="R1166" s="9"/>
      <c r="S1166" s="9"/>
      <c r="T1166" s="9"/>
      <c r="U1166" s="9"/>
      <c r="V1166" s="9"/>
      <c r="W1166" s="10"/>
      <c r="X1166" s="10"/>
      <c r="Y1166" s="10"/>
      <c r="Z1166" s="10"/>
    </row>
    <row r="1167">
      <c r="A1167" s="9"/>
      <c r="B1167" s="9"/>
      <c r="C1167" s="9"/>
      <c r="D1167" s="9"/>
      <c r="E1167" s="9"/>
      <c r="F1167" s="9"/>
      <c r="G1167" s="9"/>
      <c r="H1167" s="9"/>
      <c r="I1167" s="9"/>
      <c r="J1167" s="9"/>
      <c r="K1167" s="9"/>
      <c r="L1167" s="115"/>
      <c r="M1167" s="115"/>
      <c r="N1167" s="115"/>
      <c r="O1167" s="115"/>
      <c r="P1167" s="9"/>
      <c r="Q1167" s="9"/>
      <c r="R1167" s="9"/>
      <c r="S1167" s="9"/>
      <c r="T1167" s="9"/>
      <c r="U1167" s="9"/>
      <c r="V1167" s="9"/>
      <c r="W1167" s="10"/>
      <c r="X1167" s="10"/>
      <c r="Y1167" s="10"/>
      <c r="Z1167" s="10"/>
    </row>
    <row r="1168">
      <c r="A1168" s="9"/>
      <c r="B1168" s="9"/>
      <c r="C1168" s="9"/>
      <c r="D1168" s="9"/>
      <c r="E1168" s="9"/>
      <c r="F1168" s="9"/>
      <c r="G1168" s="9"/>
      <c r="H1168" s="9"/>
      <c r="I1168" s="9"/>
      <c r="J1168" s="9"/>
      <c r="K1168" s="9"/>
      <c r="L1168" s="115"/>
      <c r="M1168" s="115"/>
      <c r="N1168" s="115"/>
      <c r="O1168" s="115"/>
      <c r="P1168" s="9"/>
      <c r="Q1168" s="9"/>
      <c r="R1168" s="9"/>
      <c r="S1168" s="9"/>
      <c r="T1168" s="9"/>
      <c r="U1168" s="9"/>
      <c r="V1168" s="9"/>
      <c r="W1168" s="10"/>
      <c r="X1168" s="10"/>
      <c r="Y1168" s="10"/>
      <c r="Z1168" s="10"/>
    </row>
    <row r="1169">
      <c r="A1169" s="9"/>
      <c r="B1169" s="9"/>
      <c r="C1169" s="9"/>
      <c r="D1169" s="9"/>
      <c r="E1169" s="9"/>
      <c r="F1169" s="9"/>
      <c r="G1169" s="9"/>
      <c r="H1169" s="9"/>
      <c r="I1169" s="9"/>
      <c r="J1169" s="9"/>
      <c r="K1169" s="9"/>
      <c r="L1169" s="115"/>
      <c r="M1169" s="115"/>
      <c r="N1169" s="115"/>
      <c r="O1169" s="115"/>
      <c r="P1169" s="9"/>
      <c r="Q1169" s="9"/>
      <c r="R1169" s="9"/>
      <c r="S1169" s="9"/>
      <c r="T1169" s="9"/>
      <c r="U1169" s="9"/>
      <c r="V1169" s="9"/>
      <c r="W1169" s="10"/>
      <c r="X1169" s="10"/>
      <c r="Y1169" s="10"/>
      <c r="Z1169" s="10"/>
    </row>
    <row r="1170">
      <c r="A1170" s="9"/>
      <c r="B1170" s="9"/>
      <c r="C1170" s="9"/>
      <c r="D1170" s="9"/>
      <c r="E1170" s="9"/>
      <c r="F1170" s="9"/>
      <c r="G1170" s="9"/>
      <c r="H1170" s="9"/>
      <c r="I1170" s="9"/>
      <c r="J1170" s="9"/>
      <c r="K1170" s="9"/>
      <c r="L1170" s="115"/>
      <c r="M1170" s="115"/>
      <c r="N1170" s="115"/>
      <c r="O1170" s="115"/>
      <c r="P1170" s="9"/>
      <c r="Q1170" s="9"/>
      <c r="R1170" s="9"/>
      <c r="S1170" s="9"/>
      <c r="T1170" s="9"/>
      <c r="U1170" s="9"/>
      <c r="V1170" s="9"/>
      <c r="W1170" s="10"/>
      <c r="X1170" s="10"/>
      <c r="Y1170" s="10"/>
      <c r="Z1170" s="10"/>
    </row>
    <row r="1171">
      <c r="A1171" s="9"/>
      <c r="B1171" s="9"/>
      <c r="C1171" s="9"/>
      <c r="D1171" s="9"/>
      <c r="E1171" s="9"/>
      <c r="F1171" s="9"/>
      <c r="G1171" s="9"/>
      <c r="H1171" s="9"/>
      <c r="I1171" s="9"/>
      <c r="J1171" s="9"/>
      <c r="K1171" s="9"/>
      <c r="L1171" s="115"/>
      <c r="M1171" s="115"/>
      <c r="N1171" s="115"/>
      <c r="O1171" s="115"/>
      <c r="P1171" s="9"/>
      <c r="Q1171" s="9"/>
      <c r="R1171" s="9"/>
      <c r="S1171" s="9"/>
      <c r="T1171" s="9"/>
      <c r="U1171" s="9"/>
      <c r="V1171" s="9"/>
      <c r="W1171" s="10"/>
      <c r="X1171" s="10"/>
      <c r="Y1171" s="10"/>
      <c r="Z1171" s="10"/>
    </row>
    <row r="1172">
      <c r="A1172" s="9"/>
      <c r="B1172" s="9"/>
      <c r="C1172" s="9"/>
      <c r="D1172" s="9"/>
      <c r="E1172" s="9"/>
      <c r="F1172" s="9"/>
      <c r="G1172" s="9"/>
      <c r="H1172" s="9"/>
      <c r="I1172" s="9"/>
      <c r="J1172" s="9"/>
      <c r="K1172" s="9"/>
      <c r="L1172" s="115"/>
      <c r="M1172" s="115"/>
      <c r="N1172" s="115"/>
      <c r="O1172" s="115"/>
      <c r="P1172" s="9"/>
      <c r="Q1172" s="9"/>
      <c r="R1172" s="9"/>
      <c r="S1172" s="9"/>
      <c r="T1172" s="9"/>
      <c r="U1172" s="9"/>
      <c r="V1172" s="9"/>
      <c r="W1172" s="10"/>
      <c r="X1172" s="10"/>
      <c r="Y1172" s="10"/>
      <c r="Z1172" s="10"/>
    </row>
    <row r="1173">
      <c r="A1173" s="9"/>
      <c r="B1173" s="9"/>
      <c r="C1173" s="9"/>
      <c r="D1173" s="9"/>
      <c r="E1173" s="9"/>
      <c r="F1173" s="9"/>
      <c r="G1173" s="9"/>
      <c r="H1173" s="9"/>
      <c r="I1173" s="9"/>
      <c r="J1173" s="9"/>
      <c r="K1173" s="9"/>
      <c r="L1173" s="115"/>
      <c r="M1173" s="115"/>
      <c r="N1173" s="115"/>
      <c r="O1173" s="115"/>
      <c r="P1173" s="9"/>
      <c r="Q1173" s="9"/>
      <c r="R1173" s="9"/>
      <c r="S1173" s="9"/>
      <c r="T1173" s="9"/>
      <c r="U1173" s="9"/>
      <c r="V1173" s="9"/>
      <c r="W1173" s="10"/>
      <c r="X1173" s="10"/>
      <c r="Y1173" s="10"/>
      <c r="Z1173" s="10"/>
    </row>
    <row r="1174">
      <c r="A1174" s="9"/>
      <c r="B1174" s="9"/>
      <c r="C1174" s="9"/>
      <c r="D1174" s="9"/>
      <c r="E1174" s="9"/>
      <c r="F1174" s="9"/>
      <c r="G1174" s="9"/>
      <c r="H1174" s="9"/>
      <c r="I1174" s="9"/>
      <c r="J1174" s="9"/>
      <c r="K1174" s="9"/>
      <c r="L1174" s="115"/>
      <c r="M1174" s="115"/>
      <c r="N1174" s="115"/>
      <c r="O1174" s="115"/>
      <c r="P1174" s="9"/>
      <c r="Q1174" s="9"/>
      <c r="R1174" s="9"/>
      <c r="S1174" s="9"/>
      <c r="T1174" s="9"/>
      <c r="U1174" s="9"/>
      <c r="V1174" s="9"/>
      <c r="W1174" s="10"/>
      <c r="X1174" s="10"/>
      <c r="Y1174" s="10"/>
      <c r="Z1174" s="10"/>
    </row>
    <row r="1175">
      <c r="A1175" s="9"/>
      <c r="B1175" s="9"/>
      <c r="C1175" s="9"/>
      <c r="D1175" s="9"/>
      <c r="E1175" s="9"/>
      <c r="F1175" s="9"/>
      <c r="G1175" s="9"/>
      <c r="H1175" s="9"/>
      <c r="I1175" s="9"/>
      <c r="J1175" s="9"/>
      <c r="K1175" s="9"/>
      <c r="L1175" s="115"/>
      <c r="M1175" s="115"/>
      <c r="N1175" s="115"/>
      <c r="O1175" s="115"/>
      <c r="P1175" s="9"/>
      <c r="Q1175" s="9"/>
      <c r="R1175" s="9"/>
      <c r="S1175" s="9"/>
      <c r="T1175" s="9"/>
      <c r="U1175" s="9"/>
      <c r="V1175" s="9"/>
      <c r="W1175" s="10"/>
      <c r="X1175" s="10"/>
      <c r="Y1175" s="10"/>
      <c r="Z1175" s="10"/>
    </row>
    <row r="1176">
      <c r="A1176" s="9"/>
      <c r="B1176" s="9"/>
      <c r="C1176" s="9"/>
      <c r="D1176" s="9"/>
      <c r="E1176" s="9"/>
      <c r="F1176" s="9"/>
      <c r="G1176" s="9"/>
      <c r="H1176" s="9"/>
      <c r="I1176" s="9"/>
      <c r="J1176" s="9"/>
      <c r="K1176" s="9"/>
      <c r="L1176" s="115"/>
      <c r="M1176" s="115"/>
      <c r="N1176" s="115"/>
      <c r="O1176" s="115"/>
      <c r="P1176" s="9"/>
      <c r="Q1176" s="9"/>
      <c r="R1176" s="9"/>
      <c r="S1176" s="9"/>
      <c r="T1176" s="9"/>
      <c r="U1176" s="9"/>
      <c r="V1176" s="9"/>
      <c r="W1176" s="10"/>
      <c r="X1176" s="10"/>
      <c r="Y1176" s="10"/>
      <c r="Z1176" s="10"/>
    </row>
    <row r="1177">
      <c r="A1177" s="9"/>
      <c r="B1177" s="9"/>
      <c r="C1177" s="9"/>
      <c r="D1177" s="9"/>
      <c r="E1177" s="9"/>
      <c r="F1177" s="9"/>
      <c r="G1177" s="9"/>
      <c r="H1177" s="9"/>
      <c r="I1177" s="9"/>
      <c r="J1177" s="9"/>
      <c r="K1177" s="9"/>
      <c r="L1177" s="115"/>
      <c r="M1177" s="115"/>
      <c r="N1177" s="115"/>
      <c r="O1177" s="115"/>
      <c r="P1177" s="9"/>
      <c r="Q1177" s="9"/>
      <c r="R1177" s="9"/>
      <c r="S1177" s="9"/>
      <c r="T1177" s="9"/>
      <c r="U1177" s="9"/>
      <c r="V1177" s="9"/>
      <c r="W1177" s="10"/>
      <c r="X1177" s="10"/>
      <c r="Y1177" s="10"/>
      <c r="Z1177" s="10"/>
    </row>
    <row r="1178">
      <c r="A1178" s="9"/>
      <c r="B1178" s="9"/>
      <c r="C1178" s="9"/>
      <c r="D1178" s="9"/>
      <c r="E1178" s="9"/>
      <c r="F1178" s="9"/>
      <c r="G1178" s="9"/>
      <c r="H1178" s="9"/>
      <c r="I1178" s="9"/>
      <c r="J1178" s="9"/>
      <c r="K1178" s="9"/>
      <c r="L1178" s="115"/>
      <c r="M1178" s="115"/>
      <c r="N1178" s="115"/>
      <c r="O1178" s="115"/>
      <c r="P1178" s="9"/>
      <c r="Q1178" s="9"/>
      <c r="R1178" s="9"/>
      <c r="S1178" s="9"/>
      <c r="T1178" s="9"/>
      <c r="U1178" s="9"/>
      <c r="V1178" s="9"/>
      <c r="W1178" s="10"/>
      <c r="X1178" s="10"/>
      <c r="Y1178" s="10"/>
      <c r="Z1178" s="10"/>
    </row>
    <row r="1179">
      <c r="A1179" s="9"/>
      <c r="B1179" s="9"/>
      <c r="C1179" s="9"/>
      <c r="D1179" s="9"/>
      <c r="E1179" s="9"/>
      <c r="F1179" s="9"/>
      <c r="G1179" s="9"/>
      <c r="H1179" s="9"/>
      <c r="I1179" s="9"/>
      <c r="J1179" s="9"/>
      <c r="K1179" s="9"/>
      <c r="L1179" s="115"/>
      <c r="M1179" s="115"/>
      <c r="N1179" s="115"/>
      <c r="O1179" s="115"/>
      <c r="P1179" s="9"/>
      <c r="Q1179" s="9"/>
      <c r="R1179" s="9"/>
      <c r="S1179" s="9"/>
      <c r="T1179" s="9"/>
      <c r="U1179" s="9"/>
      <c r="V1179" s="9"/>
      <c r="W1179" s="10"/>
      <c r="X1179" s="10"/>
      <c r="Y1179" s="10"/>
      <c r="Z1179" s="10"/>
    </row>
    <row r="1180">
      <c r="A1180" s="9"/>
      <c r="B1180" s="9"/>
      <c r="C1180" s="9"/>
      <c r="D1180" s="9"/>
      <c r="E1180" s="9"/>
      <c r="F1180" s="9"/>
      <c r="G1180" s="9"/>
      <c r="H1180" s="9"/>
      <c r="I1180" s="9"/>
      <c r="J1180" s="9"/>
      <c r="K1180" s="9"/>
      <c r="L1180" s="115"/>
      <c r="M1180" s="115"/>
      <c r="N1180" s="115"/>
      <c r="O1180" s="115"/>
      <c r="P1180" s="9"/>
      <c r="Q1180" s="9"/>
      <c r="R1180" s="9"/>
      <c r="S1180" s="9"/>
      <c r="T1180" s="9"/>
      <c r="U1180" s="9"/>
      <c r="V1180" s="9"/>
      <c r="W1180" s="10"/>
      <c r="X1180" s="10"/>
      <c r="Y1180" s="10"/>
      <c r="Z1180" s="10"/>
    </row>
    <row r="1181">
      <c r="A1181" s="9"/>
      <c r="B1181" s="9"/>
      <c r="C1181" s="9"/>
      <c r="D1181" s="9"/>
      <c r="E1181" s="9"/>
      <c r="F1181" s="9"/>
      <c r="G1181" s="9"/>
      <c r="H1181" s="9"/>
      <c r="I1181" s="9"/>
      <c r="J1181" s="9"/>
      <c r="K1181" s="9"/>
      <c r="L1181" s="115"/>
      <c r="M1181" s="115"/>
      <c r="N1181" s="115"/>
      <c r="O1181" s="115"/>
      <c r="P1181" s="9"/>
      <c r="Q1181" s="9"/>
      <c r="R1181" s="9"/>
      <c r="S1181" s="9"/>
      <c r="T1181" s="9"/>
      <c r="U1181" s="9"/>
      <c r="V1181" s="9"/>
      <c r="W1181" s="10"/>
      <c r="X1181" s="10"/>
      <c r="Y1181" s="10"/>
      <c r="Z1181" s="10"/>
    </row>
    <row r="1182">
      <c r="A1182" s="9"/>
      <c r="B1182" s="9"/>
      <c r="C1182" s="9"/>
      <c r="D1182" s="9"/>
      <c r="E1182" s="9"/>
      <c r="F1182" s="9"/>
      <c r="G1182" s="9"/>
      <c r="H1182" s="9"/>
      <c r="I1182" s="9"/>
      <c r="J1182" s="9"/>
      <c r="K1182" s="9"/>
      <c r="L1182" s="115"/>
      <c r="M1182" s="115"/>
      <c r="N1182" s="115"/>
      <c r="O1182" s="115"/>
      <c r="P1182" s="9"/>
      <c r="Q1182" s="9"/>
      <c r="R1182" s="9"/>
      <c r="S1182" s="9"/>
      <c r="T1182" s="9"/>
      <c r="U1182" s="9"/>
      <c r="V1182" s="9"/>
      <c r="W1182" s="10"/>
      <c r="X1182" s="10"/>
      <c r="Y1182" s="10"/>
      <c r="Z1182" s="10"/>
    </row>
    <row r="1183">
      <c r="A1183" s="9"/>
      <c r="B1183" s="9"/>
      <c r="C1183" s="9"/>
      <c r="D1183" s="9"/>
      <c r="E1183" s="9"/>
      <c r="F1183" s="9"/>
      <c r="G1183" s="9"/>
      <c r="H1183" s="9"/>
      <c r="I1183" s="9"/>
      <c r="J1183" s="9"/>
      <c r="K1183" s="9"/>
      <c r="L1183" s="115"/>
      <c r="M1183" s="115"/>
      <c r="N1183" s="115"/>
      <c r="O1183" s="115"/>
      <c r="P1183" s="9"/>
      <c r="Q1183" s="9"/>
      <c r="R1183" s="9"/>
      <c r="S1183" s="9"/>
      <c r="T1183" s="9"/>
      <c r="U1183" s="9"/>
      <c r="V1183" s="9"/>
      <c r="W1183" s="10"/>
      <c r="X1183" s="10"/>
      <c r="Y1183" s="10"/>
      <c r="Z1183" s="10"/>
    </row>
    <row r="1184">
      <c r="A1184" s="9"/>
      <c r="B1184" s="9"/>
      <c r="C1184" s="9"/>
      <c r="D1184" s="9"/>
      <c r="E1184" s="9"/>
      <c r="F1184" s="9"/>
      <c r="G1184" s="9"/>
      <c r="H1184" s="9"/>
      <c r="I1184" s="9"/>
      <c r="J1184" s="9"/>
      <c r="K1184" s="9"/>
      <c r="L1184" s="115"/>
      <c r="M1184" s="115"/>
      <c r="N1184" s="115"/>
      <c r="O1184" s="115"/>
      <c r="P1184" s="9"/>
      <c r="Q1184" s="9"/>
      <c r="R1184" s="9"/>
      <c r="S1184" s="9"/>
      <c r="T1184" s="9"/>
      <c r="U1184" s="9"/>
      <c r="V1184" s="9"/>
      <c r="W1184" s="10"/>
      <c r="X1184" s="10"/>
      <c r="Y1184" s="10"/>
      <c r="Z1184" s="10"/>
    </row>
    <row r="1185">
      <c r="A1185" s="9"/>
      <c r="B1185" s="9"/>
      <c r="C1185" s="9"/>
      <c r="D1185" s="9"/>
      <c r="E1185" s="9"/>
      <c r="F1185" s="9"/>
      <c r="G1185" s="9"/>
      <c r="H1185" s="9"/>
      <c r="I1185" s="9"/>
      <c r="J1185" s="9"/>
      <c r="K1185" s="9"/>
      <c r="L1185" s="115"/>
      <c r="M1185" s="115"/>
      <c r="N1185" s="115"/>
      <c r="O1185" s="115"/>
      <c r="P1185" s="9"/>
      <c r="Q1185" s="9"/>
      <c r="R1185" s="9"/>
      <c r="S1185" s="9"/>
      <c r="T1185" s="9"/>
      <c r="U1185" s="9"/>
      <c r="V1185" s="9"/>
      <c r="W1185" s="10"/>
      <c r="X1185" s="10"/>
      <c r="Y1185" s="10"/>
      <c r="Z1185" s="10"/>
    </row>
    <row r="1186">
      <c r="A1186" s="9"/>
      <c r="B1186" s="9"/>
      <c r="C1186" s="9"/>
      <c r="D1186" s="9"/>
      <c r="E1186" s="9"/>
      <c r="F1186" s="9"/>
      <c r="G1186" s="9"/>
      <c r="H1186" s="9"/>
      <c r="I1186" s="9"/>
      <c r="J1186" s="9"/>
      <c r="K1186" s="9"/>
      <c r="L1186" s="115"/>
      <c r="M1186" s="115"/>
      <c r="N1186" s="115"/>
      <c r="O1186" s="115"/>
      <c r="P1186" s="9"/>
      <c r="Q1186" s="9"/>
      <c r="R1186" s="9"/>
      <c r="S1186" s="9"/>
      <c r="T1186" s="9"/>
      <c r="U1186" s="9"/>
      <c r="V1186" s="9"/>
      <c r="W1186" s="10"/>
      <c r="X1186" s="10"/>
      <c r="Y1186" s="10"/>
      <c r="Z1186" s="10"/>
    </row>
    <row r="1187">
      <c r="A1187" s="9"/>
      <c r="B1187" s="9"/>
      <c r="C1187" s="9"/>
      <c r="D1187" s="9"/>
      <c r="E1187" s="9"/>
      <c r="F1187" s="9"/>
      <c r="G1187" s="9"/>
      <c r="H1187" s="9"/>
      <c r="I1187" s="9"/>
      <c r="J1187" s="9"/>
      <c r="K1187" s="9"/>
      <c r="L1187" s="115"/>
      <c r="M1187" s="115"/>
      <c r="N1187" s="115"/>
      <c r="O1187" s="115"/>
      <c r="P1187" s="9"/>
      <c r="Q1187" s="9"/>
      <c r="R1187" s="9"/>
      <c r="S1187" s="9"/>
      <c r="T1187" s="9"/>
      <c r="U1187" s="9"/>
      <c r="V1187" s="9"/>
      <c r="W1187" s="10"/>
      <c r="X1187" s="10"/>
      <c r="Y1187" s="10"/>
      <c r="Z1187" s="10"/>
    </row>
    <row r="1188">
      <c r="A1188" s="9"/>
      <c r="B1188" s="9"/>
      <c r="C1188" s="9"/>
      <c r="D1188" s="9"/>
      <c r="E1188" s="9"/>
      <c r="F1188" s="9"/>
      <c r="G1188" s="9"/>
      <c r="H1188" s="9"/>
      <c r="I1188" s="9"/>
      <c r="J1188" s="9"/>
      <c r="K1188" s="9"/>
      <c r="L1188" s="115"/>
      <c r="M1188" s="115"/>
      <c r="N1188" s="115"/>
      <c r="O1188" s="115"/>
      <c r="P1188" s="9"/>
      <c r="Q1188" s="9"/>
      <c r="R1188" s="9"/>
      <c r="S1188" s="9"/>
      <c r="T1188" s="9"/>
      <c r="U1188" s="9"/>
      <c r="V1188" s="9"/>
      <c r="W1188" s="10"/>
      <c r="X1188" s="10"/>
      <c r="Y1188" s="10"/>
      <c r="Z1188" s="10"/>
    </row>
    <row r="1189">
      <c r="A1189" s="9"/>
      <c r="B1189" s="9"/>
      <c r="C1189" s="9"/>
      <c r="D1189" s="9"/>
      <c r="E1189" s="9"/>
      <c r="F1189" s="9"/>
      <c r="G1189" s="9"/>
      <c r="H1189" s="9"/>
      <c r="I1189" s="9"/>
      <c r="J1189" s="9"/>
      <c r="K1189" s="9"/>
      <c r="L1189" s="115"/>
      <c r="M1189" s="115"/>
      <c r="N1189" s="115"/>
      <c r="O1189" s="115"/>
      <c r="P1189" s="9"/>
      <c r="Q1189" s="9"/>
      <c r="R1189" s="9"/>
      <c r="S1189" s="9"/>
      <c r="T1189" s="9"/>
      <c r="U1189" s="9"/>
      <c r="V1189" s="9"/>
      <c r="W1189" s="10"/>
      <c r="X1189" s="10"/>
      <c r="Y1189" s="10"/>
      <c r="Z1189" s="10"/>
    </row>
    <row r="1190">
      <c r="A1190" s="9"/>
      <c r="B1190" s="9"/>
      <c r="C1190" s="9"/>
      <c r="D1190" s="9"/>
      <c r="E1190" s="9"/>
      <c r="F1190" s="9"/>
      <c r="G1190" s="9"/>
      <c r="H1190" s="9"/>
      <c r="I1190" s="9"/>
      <c r="J1190" s="9"/>
      <c r="K1190" s="9"/>
      <c r="L1190" s="115"/>
      <c r="M1190" s="115"/>
      <c r="N1190" s="115"/>
      <c r="O1190" s="115"/>
      <c r="P1190" s="9"/>
      <c r="Q1190" s="9"/>
      <c r="R1190" s="9"/>
      <c r="S1190" s="9"/>
      <c r="T1190" s="9"/>
      <c r="U1190" s="9"/>
      <c r="V1190" s="9"/>
      <c r="W1190" s="10"/>
      <c r="X1190" s="10"/>
      <c r="Y1190" s="10"/>
      <c r="Z1190" s="10"/>
    </row>
    <row r="1191">
      <c r="A1191" s="9"/>
      <c r="B1191" s="9"/>
      <c r="C1191" s="9"/>
      <c r="D1191" s="9"/>
      <c r="E1191" s="9"/>
      <c r="F1191" s="9"/>
      <c r="G1191" s="9"/>
      <c r="H1191" s="9"/>
      <c r="I1191" s="9"/>
      <c r="J1191" s="9"/>
      <c r="K1191" s="9"/>
      <c r="L1191" s="115"/>
      <c r="M1191" s="115"/>
      <c r="N1191" s="115"/>
      <c r="O1191" s="115"/>
      <c r="P1191" s="9"/>
      <c r="Q1191" s="9"/>
      <c r="R1191" s="9"/>
      <c r="S1191" s="9"/>
      <c r="T1191" s="9"/>
      <c r="U1191" s="9"/>
      <c r="V1191" s="9"/>
      <c r="W1191" s="10"/>
      <c r="X1191" s="10"/>
      <c r="Y1191" s="10"/>
      <c r="Z1191" s="10"/>
    </row>
    <row r="1192">
      <c r="A1192" s="9"/>
      <c r="B1192" s="9"/>
      <c r="C1192" s="9"/>
      <c r="D1192" s="9"/>
      <c r="E1192" s="9"/>
      <c r="F1192" s="9"/>
      <c r="G1192" s="9"/>
      <c r="H1192" s="9"/>
      <c r="I1192" s="9"/>
      <c r="J1192" s="9"/>
      <c r="K1192" s="9"/>
      <c r="L1192" s="115"/>
      <c r="M1192" s="115"/>
      <c r="N1192" s="115"/>
      <c r="O1192" s="115"/>
      <c r="P1192" s="9"/>
      <c r="Q1192" s="9"/>
      <c r="R1192" s="9"/>
      <c r="S1192" s="9"/>
      <c r="T1192" s="9"/>
      <c r="U1192" s="9"/>
      <c r="V1192" s="9"/>
      <c r="W1192" s="10"/>
      <c r="X1192" s="10"/>
      <c r="Y1192" s="10"/>
      <c r="Z1192" s="10"/>
    </row>
    <row r="1193">
      <c r="A1193" s="9"/>
      <c r="B1193" s="9"/>
      <c r="C1193" s="9"/>
      <c r="D1193" s="9"/>
      <c r="E1193" s="9"/>
      <c r="F1193" s="9"/>
      <c r="G1193" s="9"/>
      <c r="H1193" s="9"/>
      <c r="I1193" s="9"/>
      <c r="J1193" s="9"/>
      <c r="K1193" s="9"/>
      <c r="L1193" s="115"/>
      <c r="M1193" s="115"/>
      <c r="N1193" s="115"/>
      <c r="O1193" s="115"/>
      <c r="P1193" s="9"/>
      <c r="Q1193" s="9"/>
      <c r="R1193" s="9"/>
      <c r="S1193" s="9"/>
      <c r="T1193" s="9"/>
      <c r="U1193" s="9"/>
      <c r="V1193" s="9"/>
      <c r="W1193" s="10"/>
      <c r="X1193" s="10"/>
      <c r="Y1193" s="10"/>
      <c r="Z1193" s="10"/>
    </row>
    <row r="1194">
      <c r="A1194" s="9"/>
      <c r="B1194" s="9"/>
      <c r="C1194" s="9"/>
      <c r="D1194" s="9"/>
      <c r="E1194" s="9"/>
      <c r="F1194" s="9"/>
      <c r="G1194" s="9"/>
      <c r="H1194" s="9"/>
      <c r="I1194" s="9"/>
      <c r="J1194" s="9"/>
      <c r="K1194" s="9"/>
      <c r="L1194" s="115"/>
      <c r="M1194" s="115"/>
      <c r="N1194" s="115"/>
      <c r="O1194" s="115"/>
      <c r="P1194" s="9"/>
      <c r="Q1194" s="9"/>
      <c r="R1194" s="9"/>
      <c r="S1194" s="9"/>
      <c r="T1194" s="9"/>
      <c r="U1194" s="9"/>
      <c r="V1194" s="9"/>
      <c r="W1194" s="10"/>
      <c r="X1194" s="10"/>
      <c r="Y1194" s="10"/>
      <c r="Z1194" s="10"/>
    </row>
    <row r="1195">
      <c r="A1195" s="9"/>
      <c r="B1195" s="9"/>
      <c r="C1195" s="9"/>
      <c r="D1195" s="9"/>
      <c r="E1195" s="9"/>
      <c r="F1195" s="9"/>
      <c r="G1195" s="9"/>
      <c r="H1195" s="9"/>
      <c r="I1195" s="9"/>
      <c r="J1195" s="9"/>
      <c r="K1195" s="9"/>
      <c r="L1195" s="115"/>
      <c r="M1195" s="115"/>
      <c r="N1195" s="115"/>
      <c r="O1195" s="115"/>
      <c r="P1195" s="9"/>
      <c r="Q1195" s="9"/>
      <c r="R1195" s="9"/>
      <c r="S1195" s="9"/>
      <c r="T1195" s="9"/>
      <c r="U1195" s="9"/>
      <c r="V1195" s="9"/>
      <c r="W1195" s="10"/>
      <c r="X1195" s="10"/>
      <c r="Y1195" s="10"/>
      <c r="Z1195" s="10"/>
    </row>
    <row r="1196">
      <c r="A1196" s="9"/>
      <c r="B1196" s="9"/>
      <c r="C1196" s="9"/>
      <c r="D1196" s="9"/>
      <c r="E1196" s="9"/>
      <c r="F1196" s="9"/>
      <c r="G1196" s="9"/>
      <c r="H1196" s="9"/>
      <c r="I1196" s="9"/>
      <c r="J1196" s="9"/>
      <c r="K1196" s="9"/>
      <c r="L1196" s="115"/>
      <c r="M1196" s="115"/>
      <c r="N1196" s="115"/>
      <c r="O1196" s="115"/>
      <c r="P1196" s="9"/>
      <c r="Q1196" s="9"/>
      <c r="R1196" s="9"/>
      <c r="S1196" s="9"/>
      <c r="T1196" s="9"/>
      <c r="U1196" s="9"/>
      <c r="V1196" s="9"/>
      <c r="W1196" s="10"/>
      <c r="X1196" s="10"/>
      <c r="Y1196" s="10"/>
      <c r="Z1196" s="10"/>
    </row>
    <row r="1197">
      <c r="A1197" s="9"/>
      <c r="B1197" s="9"/>
      <c r="C1197" s="9"/>
      <c r="D1197" s="9"/>
      <c r="E1197" s="9"/>
      <c r="F1197" s="9"/>
      <c r="G1197" s="9"/>
      <c r="H1197" s="9"/>
      <c r="I1197" s="9"/>
      <c r="J1197" s="9"/>
      <c r="K1197" s="9"/>
      <c r="L1197" s="115"/>
      <c r="M1197" s="115"/>
      <c r="N1197" s="115"/>
      <c r="O1197" s="115"/>
      <c r="P1197" s="9"/>
      <c r="Q1197" s="9"/>
      <c r="R1197" s="9"/>
      <c r="S1197" s="9"/>
      <c r="T1197" s="9"/>
      <c r="U1197" s="9"/>
      <c r="V1197" s="9"/>
      <c r="W1197" s="10"/>
      <c r="X1197" s="10"/>
      <c r="Y1197" s="10"/>
      <c r="Z1197" s="10"/>
    </row>
    <row r="1198">
      <c r="A1198" s="9"/>
      <c r="B1198" s="9"/>
      <c r="C1198" s="9"/>
      <c r="D1198" s="9"/>
      <c r="E1198" s="9"/>
      <c r="F1198" s="9"/>
      <c r="G1198" s="9"/>
      <c r="H1198" s="9"/>
      <c r="I1198" s="9"/>
      <c r="J1198" s="9"/>
      <c r="K1198" s="9"/>
      <c r="L1198" s="115"/>
      <c r="M1198" s="115"/>
      <c r="N1198" s="115"/>
      <c r="O1198" s="115"/>
      <c r="P1198" s="9"/>
      <c r="Q1198" s="9"/>
      <c r="R1198" s="9"/>
      <c r="S1198" s="9"/>
      <c r="T1198" s="9"/>
      <c r="U1198" s="9"/>
      <c r="V1198" s="9"/>
      <c r="W1198" s="10"/>
      <c r="X1198" s="10"/>
      <c r="Y1198" s="10"/>
      <c r="Z1198" s="10"/>
    </row>
    <row r="1199">
      <c r="A1199" s="9"/>
      <c r="B1199" s="9"/>
      <c r="C1199" s="9"/>
      <c r="D1199" s="9"/>
      <c r="E1199" s="9"/>
      <c r="F1199" s="9"/>
      <c r="G1199" s="9"/>
      <c r="H1199" s="9"/>
      <c r="I1199" s="9"/>
      <c r="J1199" s="9"/>
      <c r="K1199" s="9"/>
      <c r="L1199" s="115"/>
      <c r="M1199" s="115"/>
      <c r="N1199" s="115"/>
      <c r="O1199" s="115"/>
      <c r="P1199" s="9"/>
      <c r="Q1199" s="9"/>
      <c r="R1199" s="9"/>
      <c r="S1199" s="9"/>
      <c r="T1199" s="9"/>
      <c r="U1199" s="9"/>
      <c r="V1199" s="9"/>
      <c r="W1199" s="10"/>
      <c r="X1199" s="10"/>
      <c r="Y1199" s="10"/>
      <c r="Z1199" s="10"/>
    </row>
    <row r="1200">
      <c r="A1200" s="9"/>
      <c r="B1200" s="9"/>
      <c r="C1200" s="9"/>
      <c r="D1200" s="9"/>
      <c r="E1200" s="9"/>
      <c r="F1200" s="9"/>
      <c r="G1200" s="9"/>
      <c r="H1200" s="9"/>
      <c r="I1200" s="9"/>
      <c r="J1200" s="9"/>
      <c r="K1200" s="9"/>
      <c r="L1200" s="115"/>
      <c r="M1200" s="115"/>
      <c r="N1200" s="115"/>
      <c r="O1200" s="115"/>
      <c r="P1200" s="9"/>
      <c r="Q1200" s="9"/>
      <c r="R1200" s="9"/>
      <c r="S1200" s="9"/>
      <c r="T1200" s="9"/>
      <c r="U1200" s="9"/>
      <c r="V1200" s="9"/>
      <c r="W1200" s="10"/>
      <c r="X1200" s="10"/>
      <c r="Y1200" s="10"/>
      <c r="Z1200" s="10"/>
    </row>
    <row r="1201">
      <c r="A1201" s="9"/>
      <c r="B1201" s="9"/>
      <c r="C1201" s="9"/>
      <c r="D1201" s="9"/>
      <c r="E1201" s="9"/>
      <c r="F1201" s="9"/>
      <c r="G1201" s="9"/>
      <c r="H1201" s="9"/>
      <c r="I1201" s="9"/>
      <c r="J1201" s="9"/>
      <c r="K1201" s="9"/>
      <c r="L1201" s="115"/>
      <c r="M1201" s="115"/>
      <c r="N1201" s="115"/>
      <c r="O1201" s="115"/>
      <c r="P1201" s="9"/>
      <c r="Q1201" s="9"/>
      <c r="R1201" s="9"/>
      <c r="S1201" s="9"/>
      <c r="T1201" s="9"/>
      <c r="U1201" s="9"/>
      <c r="V1201" s="9"/>
      <c r="W1201" s="10"/>
      <c r="X1201" s="10"/>
      <c r="Y1201" s="10"/>
      <c r="Z1201" s="10"/>
    </row>
    <row r="1202">
      <c r="A1202" s="9"/>
      <c r="B1202" s="9"/>
      <c r="C1202" s="9"/>
      <c r="D1202" s="9"/>
      <c r="E1202" s="9"/>
      <c r="F1202" s="9"/>
      <c r="G1202" s="9"/>
      <c r="H1202" s="9"/>
      <c r="I1202" s="9"/>
      <c r="J1202" s="9"/>
      <c r="K1202" s="9"/>
      <c r="L1202" s="115"/>
      <c r="M1202" s="115"/>
      <c r="N1202" s="115"/>
      <c r="O1202" s="115"/>
      <c r="P1202" s="9"/>
      <c r="Q1202" s="9"/>
      <c r="R1202" s="9"/>
      <c r="S1202" s="9"/>
      <c r="T1202" s="9"/>
      <c r="U1202" s="9"/>
      <c r="V1202" s="9"/>
      <c r="W1202" s="10"/>
      <c r="X1202" s="10"/>
      <c r="Y1202" s="10"/>
      <c r="Z1202" s="10"/>
    </row>
    <row r="1203">
      <c r="A1203" s="9"/>
      <c r="B1203" s="9"/>
      <c r="C1203" s="9"/>
      <c r="D1203" s="9"/>
      <c r="E1203" s="9"/>
      <c r="F1203" s="9"/>
      <c r="G1203" s="9"/>
      <c r="H1203" s="9"/>
      <c r="I1203" s="9"/>
      <c r="J1203" s="9"/>
      <c r="K1203" s="9"/>
      <c r="L1203" s="115"/>
      <c r="M1203" s="115"/>
      <c r="N1203" s="115"/>
      <c r="O1203" s="115"/>
      <c r="P1203" s="9"/>
      <c r="Q1203" s="9"/>
      <c r="R1203" s="9"/>
      <c r="S1203" s="9"/>
      <c r="T1203" s="9"/>
      <c r="U1203" s="9"/>
      <c r="V1203" s="9"/>
      <c r="W1203" s="10"/>
      <c r="X1203" s="10"/>
      <c r="Y1203" s="10"/>
      <c r="Z1203" s="10"/>
    </row>
    <row r="1204">
      <c r="A1204" s="9"/>
      <c r="B1204" s="9"/>
      <c r="C1204" s="9"/>
      <c r="D1204" s="9"/>
      <c r="E1204" s="9"/>
      <c r="F1204" s="9"/>
      <c r="G1204" s="9"/>
      <c r="H1204" s="9"/>
      <c r="I1204" s="9"/>
      <c r="J1204" s="9"/>
      <c r="K1204" s="9"/>
      <c r="L1204" s="115"/>
      <c r="M1204" s="115"/>
      <c r="N1204" s="115"/>
      <c r="O1204" s="115"/>
      <c r="P1204" s="9"/>
      <c r="Q1204" s="9"/>
      <c r="R1204" s="9"/>
      <c r="S1204" s="9"/>
      <c r="T1204" s="9"/>
      <c r="U1204" s="9"/>
      <c r="V1204" s="9"/>
      <c r="W1204" s="10"/>
      <c r="X1204" s="10"/>
      <c r="Y1204" s="10"/>
      <c r="Z1204" s="10"/>
    </row>
    <row r="1205">
      <c r="A1205" s="9"/>
      <c r="B1205" s="9"/>
      <c r="C1205" s="9"/>
      <c r="D1205" s="9"/>
      <c r="E1205" s="9"/>
      <c r="F1205" s="9"/>
      <c r="G1205" s="9"/>
      <c r="H1205" s="9"/>
      <c r="I1205" s="9"/>
      <c r="J1205" s="9"/>
      <c r="K1205" s="9"/>
      <c r="L1205" s="115"/>
      <c r="M1205" s="115"/>
      <c r="N1205" s="115"/>
      <c r="O1205" s="115"/>
      <c r="P1205" s="9"/>
      <c r="Q1205" s="9"/>
      <c r="R1205" s="9"/>
      <c r="S1205" s="9"/>
      <c r="T1205" s="9"/>
      <c r="U1205" s="9"/>
      <c r="V1205" s="9"/>
      <c r="W1205" s="10"/>
      <c r="X1205" s="10"/>
      <c r="Y1205" s="10"/>
      <c r="Z1205" s="10"/>
    </row>
    <row r="1206">
      <c r="A1206" s="9"/>
      <c r="B1206" s="9"/>
      <c r="C1206" s="9"/>
      <c r="D1206" s="9"/>
      <c r="E1206" s="9"/>
      <c r="F1206" s="9"/>
      <c r="G1206" s="9"/>
      <c r="H1206" s="9"/>
      <c r="I1206" s="9"/>
      <c r="J1206" s="9"/>
      <c r="K1206" s="9"/>
      <c r="L1206" s="115"/>
      <c r="M1206" s="115"/>
      <c r="N1206" s="115"/>
      <c r="O1206" s="115"/>
      <c r="P1206" s="9"/>
      <c r="Q1206" s="9"/>
      <c r="R1206" s="9"/>
      <c r="S1206" s="9"/>
      <c r="T1206" s="9"/>
      <c r="U1206" s="9"/>
      <c r="V1206" s="9"/>
      <c r="W1206" s="10"/>
      <c r="X1206" s="10"/>
      <c r="Y1206" s="10"/>
      <c r="Z1206" s="10"/>
    </row>
    <row r="1207">
      <c r="A1207" s="9"/>
      <c r="B1207" s="9"/>
      <c r="C1207" s="9"/>
      <c r="D1207" s="9"/>
      <c r="E1207" s="9"/>
      <c r="F1207" s="9"/>
      <c r="G1207" s="9"/>
      <c r="H1207" s="9"/>
      <c r="I1207" s="9"/>
      <c r="J1207" s="9"/>
      <c r="K1207" s="9"/>
      <c r="L1207" s="115"/>
      <c r="M1207" s="115"/>
      <c r="N1207" s="115"/>
      <c r="O1207" s="115"/>
      <c r="P1207" s="9"/>
      <c r="Q1207" s="9"/>
      <c r="R1207" s="9"/>
      <c r="S1207" s="9"/>
      <c r="T1207" s="9"/>
      <c r="U1207" s="9"/>
      <c r="V1207" s="9"/>
      <c r="W1207" s="10"/>
      <c r="X1207" s="10"/>
      <c r="Y1207" s="10"/>
      <c r="Z1207" s="10"/>
    </row>
    <row r="1208">
      <c r="A1208" s="9"/>
      <c r="B1208" s="9"/>
      <c r="C1208" s="9"/>
      <c r="D1208" s="9"/>
      <c r="E1208" s="9"/>
      <c r="F1208" s="9"/>
      <c r="G1208" s="9"/>
      <c r="H1208" s="9"/>
      <c r="I1208" s="9"/>
      <c r="J1208" s="9"/>
      <c r="K1208" s="9"/>
      <c r="L1208" s="115"/>
      <c r="M1208" s="115"/>
      <c r="N1208" s="115"/>
      <c r="O1208" s="115"/>
      <c r="P1208" s="9"/>
      <c r="Q1208" s="9"/>
      <c r="R1208" s="9"/>
      <c r="S1208" s="9"/>
      <c r="T1208" s="9"/>
      <c r="U1208" s="9"/>
      <c r="V1208" s="9"/>
      <c r="W1208" s="10"/>
      <c r="X1208" s="10"/>
      <c r="Y1208" s="10"/>
      <c r="Z1208" s="10"/>
    </row>
    <row r="1209">
      <c r="A1209" s="9"/>
      <c r="B1209" s="9"/>
      <c r="C1209" s="9"/>
      <c r="D1209" s="9"/>
      <c r="E1209" s="9"/>
      <c r="F1209" s="9"/>
      <c r="G1209" s="9"/>
      <c r="H1209" s="9"/>
      <c r="I1209" s="9"/>
      <c r="J1209" s="9"/>
      <c r="K1209" s="9"/>
      <c r="L1209" s="115"/>
      <c r="M1209" s="115"/>
      <c r="N1209" s="115"/>
      <c r="O1209" s="115"/>
      <c r="P1209" s="9"/>
      <c r="Q1209" s="9"/>
      <c r="R1209" s="9"/>
      <c r="S1209" s="9"/>
      <c r="T1209" s="9"/>
      <c r="U1209" s="9"/>
      <c r="V1209" s="9"/>
      <c r="W1209" s="10"/>
      <c r="X1209" s="10"/>
      <c r="Y1209" s="10"/>
      <c r="Z1209" s="10"/>
    </row>
    <row r="1210">
      <c r="A1210" s="9"/>
      <c r="B1210" s="9"/>
      <c r="C1210" s="9"/>
      <c r="D1210" s="9"/>
      <c r="E1210" s="9"/>
      <c r="F1210" s="9"/>
      <c r="G1210" s="9"/>
      <c r="H1210" s="9"/>
      <c r="I1210" s="9"/>
      <c r="J1210" s="9"/>
      <c r="K1210" s="9"/>
      <c r="L1210" s="115"/>
      <c r="M1210" s="115"/>
      <c r="N1210" s="115"/>
      <c r="O1210" s="115"/>
      <c r="P1210" s="9"/>
      <c r="Q1210" s="9"/>
      <c r="R1210" s="9"/>
      <c r="S1210" s="9"/>
      <c r="T1210" s="9"/>
      <c r="U1210" s="9"/>
      <c r="V1210" s="9"/>
      <c r="W1210" s="10"/>
      <c r="X1210" s="10"/>
      <c r="Y1210" s="10"/>
      <c r="Z1210" s="10"/>
    </row>
    <row r="1211">
      <c r="A1211" s="9"/>
      <c r="B1211" s="9"/>
      <c r="C1211" s="9"/>
      <c r="D1211" s="9"/>
      <c r="E1211" s="9"/>
      <c r="F1211" s="9"/>
      <c r="G1211" s="9"/>
      <c r="H1211" s="9"/>
      <c r="I1211" s="9"/>
      <c r="J1211" s="9"/>
      <c r="K1211" s="9"/>
      <c r="L1211" s="115"/>
      <c r="M1211" s="115"/>
      <c r="N1211" s="115"/>
      <c r="O1211" s="115"/>
      <c r="P1211" s="9"/>
      <c r="Q1211" s="9"/>
      <c r="R1211" s="9"/>
      <c r="S1211" s="9"/>
      <c r="T1211" s="9"/>
      <c r="U1211" s="9"/>
      <c r="V1211" s="9"/>
      <c r="W1211" s="10"/>
      <c r="X1211" s="10"/>
      <c r="Y1211" s="10"/>
      <c r="Z1211" s="10"/>
    </row>
    <row r="1212">
      <c r="A1212" s="9"/>
      <c r="B1212" s="9"/>
      <c r="C1212" s="9"/>
      <c r="D1212" s="9"/>
      <c r="E1212" s="9"/>
      <c r="F1212" s="9"/>
      <c r="G1212" s="9"/>
      <c r="H1212" s="9"/>
      <c r="I1212" s="9"/>
      <c r="J1212" s="9"/>
      <c r="K1212" s="9"/>
      <c r="L1212" s="115"/>
      <c r="M1212" s="115"/>
      <c r="N1212" s="115"/>
      <c r="O1212" s="115"/>
      <c r="P1212" s="9"/>
      <c r="Q1212" s="9"/>
      <c r="R1212" s="9"/>
      <c r="S1212" s="9"/>
      <c r="T1212" s="9"/>
      <c r="U1212" s="9"/>
      <c r="V1212" s="9"/>
      <c r="W1212" s="10"/>
      <c r="X1212" s="10"/>
      <c r="Y1212" s="10"/>
      <c r="Z1212" s="10"/>
    </row>
    <row r="1213">
      <c r="A1213" s="9"/>
      <c r="B1213" s="9"/>
      <c r="C1213" s="9"/>
      <c r="D1213" s="9"/>
      <c r="E1213" s="9"/>
      <c r="F1213" s="9"/>
      <c r="G1213" s="9"/>
      <c r="H1213" s="9"/>
      <c r="I1213" s="9"/>
      <c r="J1213" s="9"/>
      <c r="K1213" s="9"/>
      <c r="L1213" s="115"/>
      <c r="M1213" s="115"/>
      <c r="N1213" s="115"/>
      <c r="O1213" s="115"/>
      <c r="P1213" s="9"/>
      <c r="Q1213" s="9"/>
      <c r="R1213" s="9"/>
      <c r="S1213" s="9"/>
      <c r="T1213" s="9"/>
      <c r="U1213" s="9"/>
      <c r="V1213" s="9"/>
      <c r="W1213" s="10"/>
      <c r="X1213" s="10"/>
      <c r="Y1213" s="10"/>
      <c r="Z1213" s="10"/>
    </row>
    <row r="1214">
      <c r="A1214" s="9"/>
      <c r="B1214" s="9"/>
      <c r="C1214" s="9"/>
      <c r="D1214" s="9"/>
      <c r="E1214" s="9"/>
      <c r="F1214" s="9"/>
      <c r="G1214" s="9"/>
      <c r="H1214" s="9"/>
      <c r="I1214" s="9"/>
      <c r="J1214" s="9"/>
      <c r="K1214" s="9"/>
      <c r="L1214" s="115"/>
      <c r="M1214" s="115"/>
      <c r="N1214" s="115"/>
      <c r="O1214" s="115"/>
      <c r="P1214" s="9"/>
      <c r="Q1214" s="9"/>
      <c r="R1214" s="9"/>
      <c r="S1214" s="9"/>
      <c r="T1214" s="9"/>
      <c r="U1214" s="9"/>
      <c r="V1214" s="9"/>
      <c r="W1214" s="10"/>
      <c r="X1214" s="10"/>
      <c r="Y1214" s="10"/>
      <c r="Z1214" s="10"/>
    </row>
    <row r="1215">
      <c r="A1215" s="9"/>
      <c r="B1215" s="9"/>
      <c r="C1215" s="9"/>
      <c r="D1215" s="9"/>
      <c r="E1215" s="9"/>
      <c r="F1215" s="9"/>
      <c r="G1215" s="9"/>
      <c r="H1215" s="9"/>
      <c r="I1215" s="9"/>
      <c r="J1215" s="9"/>
      <c r="K1215" s="9"/>
      <c r="L1215" s="115"/>
      <c r="M1215" s="115"/>
      <c r="N1215" s="115"/>
      <c r="O1215" s="115"/>
      <c r="P1215" s="9"/>
      <c r="Q1215" s="9"/>
      <c r="R1215" s="9"/>
      <c r="S1215" s="9"/>
      <c r="T1215" s="9"/>
      <c r="U1215" s="9"/>
      <c r="V1215" s="9"/>
      <c r="W1215" s="10"/>
      <c r="X1215" s="10"/>
      <c r="Y1215" s="10"/>
      <c r="Z1215" s="10"/>
    </row>
    <row r="1216">
      <c r="A1216" s="9"/>
      <c r="B1216" s="9"/>
      <c r="C1216" s="9"/>
      <c r="D1216" s="9"/>
      <c r="E1216" s="9"/>
      <c r="F1216" s="9"/>
      <c r="G1216" s="9"/>
      <c r="H1216" s="9"/>
      <c r="I1216" s="9"/>
      <c r="J1216" s="9"/>
      <c r="K1216" s="9"/>
      <c r="L1216" s="115"/>
      <c r="M1216" s="115"/>
      <c r="N1216" s="115"/>
      <c r="O1216" s="115"/>
      <c r="P1216" s="9"/>
      <c r="Q1216" s="9"/>
      <c r="R1216" s="9"/>
      <c r="S1216" s="9"/>
      <c r="T1216" s="9"/>
      <c r="U1216" s="9"/>
      <c r="V1216" s="9"/>
      <c r="W1216" s="10"/>
      <c r="X1216" s="10"/>
      <c r="Y1216" s="10"/>
      <c r="Z1216" s="10"/>
    </row>
    <row r="1217">
      <c r="A1217" s="9"/>
      <c r="B1217" s="9"/>
      <c r="C1217" s="9"/>
      <c r="D1217" s="9"/>
      <c r="E1217" s="9"/>
      <c r="F1217" s="9"/>
      <c r="G1217" s="9"/>
      <c r="H1217" s="9"/>
      <c r="I1217" s="9"/>
      <c r="J1217" s="9"/>
      <c r="K1217" s="9"/>
      <c r="L1217" s="115"/>
      <c r="M1217" s="115"/>
      <c r="N1217" s="115"/>
      <c r="O1217" s="115"/>
      <c r="P1217" s="9"/>
      <c r="Q1217" s="9"/>
      <c r="R1217" s="9"/>
      <c r="S1217" s="9"/>
      <c r="T1217" s="9"/>
      <c r="U1217" s="9"/>
      <c r="V1217" s="9"/>
      <c r="W1217" s="10"/>
      <c r="X1217" s="10"/>
      <c r="Y1217" s="10"/>
      <c r="Z1217" s="10"/>
    </row>
    <row r="1218">
      <c r="A1218" s="9"/>
      <c r="B1218" s="9"/>
      <c r="C1218" s="9"/>
      <c r="D1218" s="9"/>
      <c r="E1218" s="9"/>
      <c r="F1218" s="9"/>
      <c r="G1218" s="9"/>
      <c r="H1218" s="9"/>
      <c r="I1218" s="9"/>
      <c r="J1218" s="9"/>
      <c r="K1218" s="9"/>
      <c r="L1218" s="115"/>
      <c r="M1218" s="115"/>
      <c r="N1218" s="115"/>
      <c r="O1218" s="115"/>
      <c r="P1218" s="9"/>
      <c r="Q1218" s="9"/>
      <c r="R1218" s="9"/>
      <c r="S1218" s="9"/>
      <c r="T1218" s="9"/>
      <c r="U1218" s="9"/>
      <c r="V1218" s="9"/>
      <c r="W1218" s="10"/>
      <c r="X1218" s="10"/>
      <c r="Y1218" s="10"/>
      <c r="Z1218" s="10"/>
    </row>
    <row r="1219">
      <c r="A1219" s="9"/>
      <c r="B1219" s="9"/>
      <c r="C1219" s="9"/>
      <c r="D1219" s="9"/>
      <c r="E1219" s="9"/>
      <c r="F1219" s="9"/>
      <c r="G1219" s="9"/>
      <c r="H1219" s="9"/>
      <c r="I1219" s="9"/>
      <c r="J1219" s="9"/>
      <c r="K1219" s="9"/>
      <c r="L1219" s="115"/>
      <c r="M1219" s="115"/>
      <c r="N1219" s="115"/>
      <c r="O1219" s="115"/>
      <c r="P1219" s="9"/>
      <c r="Q1219" s="9"/>
      <c r="R1219" s="9"/>
      <c r="S1219" s="9"/>
      <c r="T1219" s="9"/>
      <c r="U1219" s="9"/>
      <c r="V1219" s="9"/>
      <c r="W1219" s="10"/>
      <c r="X1219" s="10"/>
      <c r="Y1219" s="10"/>
      <c r="Z1219" s="10"/>
    </row>
    <row r="1220">
      <c r="A1220" s="9"/>
      <c r="B1220" s="9"/>
      <c r="C1220" s="9"/>
      <c r="D1220" s="9"/>
      <c r="E1220" s="9"/>
      <c r="F1220" s="9"/>
      <c r="G1220" s="9"/>
      <c r="H1220" s="9"/>
      <c r="I1220" s="9"/>
      <c r="J1220" s="9"/>
      <c r="K1220" s="9"/>
      <c r="L1220" s="115"/>
      <c r="M1220" s="115"/>
      <c r="N1220" s="115"/>
      <c r="O1220" s="115"/>
      <c r="P1220" s="9"/>
      <c r="Q1220" s="9"/>
      <c r="R1220" s="9"/>
      <c r="S1220" s="9"/>
      <c r="T1220" s="9"/>
      <c r="U1220" s="9"/>
      <c r="V1220" s="9"/>
      <c r="W1220" s="10"/>
      <c r="X1220" s="10"/>
      <c r="Y1220" s="10"/>
      <c r="Z1220" s="10"/>
    </row>
    <row r="1221">
      <c r="A1221" s="9"/>
      <c r="B1221" s="9"/>
      <c r="C1221" s="9"/>
      <c r="D1221" s="9"/>
      <c r="E1221" s="9"/>
      <c r="F1221" s="9"/>
      <c r="G1221" s="9"/>
      <c r="H1221" s="9"/>
      <c r="I1221" s="9"/>
      <c r="J1221" s="9"/>
      <c r="K1221" s="9"/>
      <c r="L1221" s="115"/>
      <c r="M1221" s="115"/>
      <c r="N1221" s="115"/>
      <c r="O1221" s="115"/>
      <c r="P1221" s="9"/>
      <c r="Q1221" s="9"/>
      <c r="R1221" s="9"/>
      <c r="S1221" s="9"/>
      <c r="T1221" s="9"/>
      <c r="U1221" s="9"/>
      <c r="V1221" s="9"/>
      <c r="W1221" s="10"/>
      <c r="X1221" s="10"/>
      <c r="Y1221" s="10"/>
      <c r="Z1221" s="10"/>
    </row>
    <row r="1222">
      <c r="A1222" s="9"/>
      <c r="B1222" s="9"/>
      <c r="C1222" s="9"/>
      <c r="D1222" s="9"/>
      <c r="E1222" s="9"/>
      <c r="F1222" s="9"/>
      <c r="G1222" s="9"/>
      <c r="H1222" s="9"/>
      <c r="I1222" s="9"/>
      <c r="J1222" s="9"/>
      <c r="K1222" s="9"/>
      <c r="L1222" s="115"/>
      <c r="M1222" s="115"/>
      <c r="N1222" s="115"/>
      <c r="O1222" s="115"/>
      <c r="P1222" s="9"/>
      <c r="Q1222" s="9"/>
      <c r="R1222" s="9"/>
      <c r="S1222" s="9"/>
      <c r="T1222" s="9"/>
      <c r="U1222" s="9"/>
      <c r="V1222" s="9"/>
      <c r="W1222" s="10"/>
      <c r="X1222" s="10"/>
      <c r="Y1222" s="10"/>
      <c r="Z1222" s="10"/>
    </row>
    <row r="1223">
      <c r="A1223" s="9"/>
      <c r="B1223" s="9"/>
      <c r="C1223" s="9"/>
      <c r="D1223" s="9"/>
      <c r="E1223" s="9"/>
      <c r="F1223" s="9"/>
      <c r="G1223" s="9"/>
      <c r="H1223" s="9"/>
      <c r="I1223" s="9"/>
      <c r="J1223" s="9"/>
      <c r="K1223" s="9"/>
      <c r="L1223" s="115"/>
      <c r="M1223" s="115"/>
      <c r="N1223" s="115"/>
      <c r="O1223" s="115"/>
      <c r="P1223" s="9"/>
      <c r="Q1223" s="9"/>
      <c r="R1223" s="9"/>
      <c r="S1223" s="9"/>
      <c r="T1223" s="9"/>
      <c r="U1223" s="9"/>
      <c r="V1223" s="9"/>
      <c r="W1223" s="10"/>
      <c r="X1223" s="10"/>
      <c r="Y1223" s="10"/>
      <c r="Z1223" s="10"/>
    </row>
    <row r="1224">
      <c r="A1224" s="9"/>
      <c r="B1224" s="9"/>
      <c r="C1224" s="9"/>
      <c r="D1224" s="9"/>
      <c r="E1224" s="9"/>
      <c r="F1224" s="9"/>
      <c r="G1224" s="9"/>
      <c r="H1224" s="9"/>
      <c r="I1224" s="9"/>
      <c r="J1224" s="9"/>
      <c r="K1224" s="9"/>
      <c r="L1224" s="115"/>
      <c r="M1224" s="115"/>
      <c r="N1224" s="115"/>
      <c r="O1224" s="115"/>
      <c r="P1224" s="9"/>
      <c r="Q1224" s="9"/>
      <c r="R1224" s="9"/>
      <c r="S1224" s="9"/>
      <c r="T1224" s="9"/>
      <c r="U1224" s="9"/>
      <c r="V1224" s="9"/>
      <c r="W1224" s="10"/>
      <c r="X1224" s="10"/>
      <c r="Y1224" s="10"/>
      <c r="Z1224" s="10"/>
    </row>
    <row r="1225">
      <c r="A1225" s="9"/>
      <c r="B1225" s="9"/>
      <c r="C1225" s="9"/>
      <c r="D1225" s="9"/>
      <c r="E1225" s="9"/>
      <c r="F1225" s="9"/>
      <c r="G1225" s="9"/>
      <c r="H1225" s="9"/>
      <c r="I1225" s="9"/>
      <c r="J1225" s="9"/>
      <c r="K1225" s="9"/>
      <c r="L1225" s="115"/>
      <c r="M1225" s="115"/>
      <c r="N1225" s="115"/>
      <c r="O1225" s="115"/>
      <c r="P1225" s="9"/>
      <c r="Q1225" s="9"/>
      <c r="R1225" s="9"/>
      <c r="S1225" s="9"/>
      <c r="T1225" s="9"/>
      <c r="U1225" s="9"/>
      <c r="V1225" s="9"/>
      <c r="W1225" s="10"/>
      <c r="X1225" s="10"/>
      <c r="Y1225" s="10"/>
      <c r="Z1225" s="10"/>
    </row>
    <row r="1226">
      <c r="A1226" s="9"/>
      <c r="B1226" s="9"/>
      <c r="C1226" s="9"/>
      <c r="D1226" s="9"/>
      <c r="E1226" s="9"/>
      <c r="F1226" s="9"/>
      <c r="G1226" s="9"/>
      <c r="H1226" s="9"/>
      <c r="I1226" s="9"/>
      <c r="J1226" s="9"/>
      <c r="K1226" s="9"/>
      <c r="L1226" s="115"/>
      <c r="M1226" s="115"/>
      <c r="N1226" s="115"/>
      <c r="O1226" s="115"/>
      <c r="P1226" s="9"/>
      <c r="Q1226" s="9"/>
      <c r="R1226" s="9"/>
      <c r="S1226" s="9"/>
      <c r="T1226" s="9"/>
      <c r="U1226" s="9"/>
      <c r="V1226" s="9"/>
      <c r="W1226" s="10"/>
      <c r="X1226" s="10"/>
      <c r="Y1226" s="10"/>
      <c r="Z1226" s="10"/>
    </row>
    <row r="1227">
      <c r="A1227" s="9"/>
      <c r="B1227" s="9"/>
      <c r="C1227" s="9"/>
      <c r="D1227" s="9"/>
      <c r="E1227" s="9"/>
      <c r="F1227" s="9"/>
      <c r="G1227" s="9"/>
      <c r="H1227" s="9"/>
      <c r="I1227" s="9"/>
      <c r="J1227" s="9"/>
      <c r="K1227" s="9"/>
      <c r="L1227" s="115"/>
      <c r="M1227" s="115"/>
      <c r="N1227" s="115"/>
      <c r="O1227" s="115"/>
      <c r="P1227" s="9"/>
      <c r="Q1227" s="9"/>
      <c r="R1227" s="9"/>
      <c r="S1227" s="9"/>
      <c r="T1227" s="9"/>
      <c r="U1227" s="9"/>
      <c r="V1227" s="9"/>
      <c r="W1227" s="10"/>
      <c r="X1227" s="10"/>
      <c r="Y1227" s="10"/>
      <c r="Z1227" s="10"/>
    </row>
    <row r="1228">
      <c r="A1228" s="9"/>
      <c r="B1228" s="9"/>
      <c r="C1228" s="9"/>
      <c r="D1228" s="9"/>
      <c r="E1228" s="9"/>
      <c r="F1228" s="9"/>
      <c r="G1228" s="9"/>
      <c r="H1228" s="9"/>
      <c r="I1228" s="9"/>
      <c r="J1228" s="9"/>
      <c r="K1228" s="9"/>
      <c r="L1228" s="115"/>
      <c r="M1228" s="115"/>
      <c r="N1228" s="115"/>
      <c r="O1228" s="115"/>
      <c r="P1228" s="9"/>
      <c r="Q1228" s="9"/>
      <c r="R1228" s="9"/>
      <c r="S1228" s="9"/>
      <c r="T1228" s="9"/>
      <c r="U1228" s="9"/>
      <c r="V1228" s="9"/>
      <c r="W1228" s="10"/>
      <c r="X1228" s="10"/>
      <c r="Y1228" s="10"/>
      <c r="Z1228" s="10"/>
    </row>
    <row r="1229">
      <c r="A1229" s="9"/>
      <c r="B1229" s="9"/>
      <c r="C1229" s="9"/>
      <c r="D1229" s="9"/>
      <c r="E1229" s="9"/>
      <c r="F1229" s="9"/>
      <c r="G1229" s="9"/>
      <c r="H1229" s="9"/>
      <c r="I1229" s="9"/>
      <c r="J1229" s="9"/>
      <c r="K1229" s="9"/>
      <c r="L1229" s="115"/>
      <c r="M1229" s="115"/>
      <c r="N1229" s="115"/>
      <c r="O1229" s="115"/>
      <c r="P1229" s="9"/>
      <c r="Q1229" s="9"/>
      <c r="R1229" s="9"/>
      <c r="S1229" s="9"/>
      <c r="T1229" s="9"/>
      <c r="U1229" s="9"/>
      <c r="V1229" s="9"/>
      <c r="W1229" s="10"/>
      <c r="X1229" s="10"/>
      <c r="Y1229" s="10"/>
      <c r="Z1229" s="10"/>
    </row>
    <row r="1230">
      <c r="A1230" s="9"/>
      <c r="B1230" s="9"/>
      <c r="C1230" s="9"/>
      <c r="D1230" s="9"/>
      <c r="E1230" s="9"/>
      <c r="F1230" s="9"/>
      <c r="G1230" s="9"/>
      <c r="H1230" s="9"/>
      <c r="I1230" s="9"/>
      <c r="J1230" s="9"/>
      <c r="K1230" s="9"/>
      <c r="L1230" s="115"/>
      <c r="M1230" s="115"/>
      <c r="N1230" s="115"/>
      <c r="O1230" s="115"/>
      <c r="P1230" s="9"/>
      <c r="Q1230" s="9"/>
      <c r="R1230" s="9"/>
      <c r="S1230" s="9"/>
      <c r="T1230" s="9"/>
      <c r="U1230" s="9"/>
      <c r="V1230" s="9"/>
      <c r="W1230" s="10"/>
      <c r="X1230" s="10"/>
      <c r="Y1230" s="10"/>
      <c r="Z1230" s="10"/>
    </row>
    <row r="1231">
      <c r="A1231" s="9"/>
      <c r="B1231" s="9"/>
      <c r="C1231" s="9"/>
      <c r="D1231" s="9"/>
      <c r="E1231" s="9"/>
      <c r="F1231" s="9"/>
      <c r="G1231" s="9"/>
      <c r="H1231" s="9"/>
      <c r="I1231" s="9"/>
      <c r="J1231" s="9"/>
      <c r="K1231" s="9"/>
      <c r="L1231" s="115"/>
      <c r="M1231" s="115"/>
      <c r="N1231" s="115"/>
      <c r="O1231" s="115"/>
      <c r="P1231" s="9"/>
      <c r="Q1231" s="9"/>
      <c r="R1231" s="9"/>
      <c r="S1231" s="9"/>
      <c r="T1231" s="9"/>
      <c r="U1231" s="9"/>
      <c r="V1231" s="9"/>
      <c r="W1231" s="10"/>
      <c r="X1231" s="10"/>
      <c r="Y1231" s="10"/>
      <c r="Z1231" s="10"/>
    </row>
    <row r="1232">
      <c r="A1232" s="9"/>
      <c r="B1232" s="9"/>
      <c r="C1232" s="9"/>
      <c r="D1232" s="9"/>
      <c r="E1232" s="9"/>
      <c r="F1232" s="9"/>
      <c r="G1232" s="9"/>
      <c r="H1232" s="9"/>
      <c r="I1232" s="9"/>
      <c r="J1232" s="9"/>
      <c r="K1232" s="9"/>
      <c r="L1232" s="115"/>
      <c r="M1232" s="115"/>
      <c r="N1232" s="115"/>
      <c r="O1232" s="115"/>
      <c r="P1232" s="9"/>
      <c r="Q1232" s="9"/>
      <c r="R1232" s="9"/>
      <c r="S1232" s="9"/>
      <c r="T1232" s="9"/>
      <c r="U1232" s="9"/>
      <c r="V1232" s="9"/>
      <c r="W1232" s="10"/>
      <c r="X1232" s="10"/>
      <c r="Y1232" s="10"/>
      <c r="Z1232" s="10"/>
    </row>
    <row r="1233">
      <c r="A1233" s="9"/>
      <c r="B1233" s="9"/>
      <c r="C1233" s="9"/>
      <c r="D1233" s="9"/>
      <c r="E1233" s="9"/>
      <c r="F1233" s="9"/>
      <c r="G1233" s="9"/>
      <c r="H1233" s="9"/>
      <c r="I1233" s="9"/>
      <c r="J1233" s="9"/>
      <c r="K1233" s="9"/>
      <c r="L1233" s="115"/>
      <c r="M1233" s="115"/>
      <c r="N1233" s="115"/>
      <c r="O1233" s="115"/>
      <c r="P1233" s="9"/>
      <c r="Q1233" s="9"/>
      <c r="R1233" s="9"/>
      <c r="S1233" s="9"/>
      <c r="T1233" s="9"/>
      <c r="U1233" s="9"/>
      <c r="V1233" s="9"/>
      <c r="W1233" s="10"/>
      <c r="X1233" s="10"/>
      <c r="Y1233" s="10"/>
      <c r="Z1233" s="10"/>
    </row>
    <row r="1234">
      <c r="A1234" s="9"/>
      <c r="B1234" s="9"/>
      <c r="C1234" s="9"/>
      <c r="D1234" s="9"/>
      <c r="E1234" s="9"/>
      <c r="F1234" s="9"/>
      <c r="G1234" s="9"/>
      <c r="H1234" s="9"/>
      <c r="I1234" s="9"/>
      <c r="J1234" s="9"/>
      <c r="K1234" s="9"/>
      <c r="L1234" s="115"/>
      <c r="M1234" s="115"/>
      <c r="N1234" s="115"/>
      <c r="O1234" s="115"/>
      <c r="P1234" s="9"/>
      <c r="Q1234" s="9"/>
      <c r="R1234" s="9"/>
      <c r="S1234" s="9"/>
      <c r="T1234" s="9"/>
      <c r="U1234" s="9"/>
      <c r="V1234" s="9"/>
      <c r="W1234" s="10"/>
      <c r="X1234" s="10"/>
      <c r="Y1234" s="10"/>
      <c r="Z1234" s="10"/>
    </row>
    <row r="1235">
      <c r="A1235" s="9"/>
      <c r="B1235" s="9"/>
      <c r="C1235" s="9"/>
      <c r="D1235" s="9"/>
      <c r="E1235" s="9"/>
      <c r="F1235" s="9"/>
      <c r="G1235" s="9"/>
      <c r="H1235" s="9"/>
      <c r="I1235" s="9"/>
      <c r="J1235" s="9"/>
      <c r="K1235" s="9"/>
      <c r="L1235" s="115"/>
      <c r="M1235" s="115"/>
      <c r="N1235" s="115"/>
      <c r="O1235" s="115"/>
      <c r="P1235" s="9"/>
      <c r="Q1235" s="9"/>
      <c r="R1235" s="9"/>
      <c r="S1235" s="9"/>
      <c r="T1235" s="9"/>
      <c r="U1235" s="9"/>
      <c r="V1235" s="9"/>
      <c r="W1235" s="10"/>
      <c r="X1235" s="10"/>
      <c r="Y1235" s="10"/>
      <c r="Z1235" s="10"/>
    </row>
    <row r="1236">
      <c r="A1236" s="9"/>
      <c r="B1236" s="9"/>
      <c r="C1236" s="9"/>
      <c r="D1236" s="9"/>
      <c r="E1236" s="9"/>
      <c r="F1236" s="9"/>
      <c r="G1236" s="9"/>
      <c r="H1236" s="9"/>
      <c r="I1236" s="9"/>
      <c r="J1236" s="9"/>
      <c r="K1236" s="9"/>
      <c r="L1236" s="115"/>
      <c r="M1236" s="115"/>
      <c r="N1236" s="115"/>
      <c r="O1236" s="115"/>
      <c r="P1236" s="9"/>
      <c r="Q1236" s="9"/>
      <c r="R1236" s="9"/>
      <c r="S1236" s="9"/>
      <c r="T1236" s="9"/>
      <c r="U1236" s="9"/>
      <c r="V1236" s="9"/>
      <c r="W1236" s="10"/>
      <c r="X1236" s="10"/>
      <c r="Y1236" s="10"/>
      <c r="Z1236" s="10"/>
    </row>
    <row r="1237">
      <c r="A1237" s="9"/>
      <c r="B1237" s="9"/>
      <c r="C1237" s="9"/>
      <c r="D1237" s="9"/>
      <c r="E1237" s="9"/>
      <c r="F1237" s="9"/>
      <c r="G1237" s="9"/>
      <c r="H1237" s="9"/>
      <c r="I1237" s="9"/>
      <c r="J1237" s="9"/>
      <c r="K1237" s="9"/>
      <c r="L1237" s="115"/>
      <c r="M1237" s="115"/>
      <c r="N1237" s="115"/>
      <c r="O1237" s="115"/>
      <c r="P1237" s="9"/>
      <c r="Q1237" s="9"/>
      <c r="R1237" s="9"/>
      <c r="S1237" s="9"/>
      <c r="T1237" s="9"/>
      <c r="U1237" s="9"/>
      <c r="V1237" s="9"/>
      <c r="W1237" s="10"/>
      <c r="X1237" s="10"/>
      <c r="Y1237" s="10"/>
      <c r="Z1237" s="10"/>
    </row>
    <row r="1238">
      <c r="A1238" s="9"/>
      <c r="B1238" s="9"/>
      <c r="C1238" s="9"/>
      <c r="D1238" s="9"/>
      <c r="E1238" s="9"/>
      <c r="F1238" s="9"/>
      <c r="G1238" s="9"/>
      <c r="H1238" s="9"/>
      <c r="I1238" s="9"/>
      <c r="J1238" s="9"/>
      <c r="K1238" s="9"/>
      <c r="L1238" s="115"/>
      <c r="M1238" s="115"/>
      <c r="N1238" s="115"/>
      <c r="O1238" s="115"/>
      <c r="P1238" s="9"/>
      <c r="Q1238" s="9"/>
      <c r="R1238" s="9"/>
      <c r="S1238" s="9"/>
      <c r="T1238" s="9"/>
      <c r="U1238" s="9"/>
      <c r="V1238" s="9"/>
      <c r="W1238" s="10"/>
      <c r="X1238" s="10"/>
      <c r="Y1238" s="10"/>
      <c r="Z1238" s="10"/>
    </row>
    <row r="1239">
      <c r="A1239" s="9"/>
      <c r="B1239" s="9"/>
      <c r="C1239" s="9"/>
      <c r="D1239" s="9"/>
      <c r="E1239" s="9"/>
      <c r="F1239" s="9"/>
      <c r="G1239" s="9"/>
      <c r="H1239" s="9"/>
      <c r="I1239" s="9"/>
      <c r="J1239" s="9"/>
      <c r="K1239" s="9"/>
      <c r="L1239" s="115"/>
      <c r="M1239" s="115"/>
      <c r="N1239" s="115"/>
      <c r="O1239" s="115"/>
      <c r="P1239" s="9"/>
      <c r="Q1239" s="9"/>
      <c r="R1239" s="9"/>
      <c r="S1239" s="9"/>
      <c r="T1239" s="9"/>
      <c r="U1239" s="9"/>
      <c r="V1239" s="9"/>
      <c r="W1239" s="10"/>
      <c r="X1239" s="10"/>
      <c r="Y1239" s="10"/>
      <c r="Z1239" s="10"/>
    </row>
    <row r="1240">
      <c r="A1240" s="9"/>
      <c r="B1240" s="9"/>
      <c r="C1240" s="9"/>
      <c r="D1240" s="9"/>
      <c r="E1240" s="9"/>
      <c r="F1240" s="9"/>
      <c r="G1240" s="9"/>
      <c r="H1240" s="9"/>
      <c r="I1240" s="9"/>
      <c r="J1240" s="9"/>
      <c r="K1240" s="9"/>
      <c r="L1240" s="115"/>
      <c r="M1240" s="115"/>
      <c r="N1240" s="115"/>
      <c r="O1240" s="115"/>
      <c r="P1240" s="9"/>
      <c r="Q1240" s="9"/>
      <c r="R1240" s="9"/>
      <c r="S1240" s="9"/>
      <c r="T1240" s="9"/>
      <c r="U1240" s="9"/>
      <c r="V1240" s="9"/>
      <c r="W1240" s="10"/>
      <c r="X1240" s="10"/>
      <c r="Y1240" s="10"/>
      <c r="Z1240" s="10"/>
    </row>
    <row r="1241">
      <c r="A1241" s="9"/>
      <c r="B1241" s="9"/>
      <c r="C1241" s="9"/>
      <c r="D1241" s="9"/>
      <c r="E1241" s="9"/>
      <c r="F1241" s="9"/>
      <c r="G1241" s="9"/>
      <c r="H1241" s="9"/>
      <c r="I1241" s="9"/>
      <c r="J1241" s="9"/>
      <c r="K1241" s="9"/>
      <c r="L1241" s="115"/>
      <c r="M1241" s="115"/>
      <c r="N1241" s="115"/>
      <c r="O1241" s="115"/>
      <c r="P1241" s="9"/>
      <c r="Q1241" s="9"/>
      <c r="R1241" s="9"/>
      <c r="S1241" s="9"/>
      <c r="T1241" s="9"/>
      <c r="U1241" s="9"/>
      <c r="V1241" s="9"/>
      <c r="W1241" s="10"/>
      <c r="X1241" s="10"/>
      <c r="Y1241" s="10"/>
      <c r="Z1241" s="10"/>
    </row>
    <row r="1242">
      <c r="A1242" s="9"/>
      <c r="B1242" s="9"/>
      <c r="C1242" s="9"/>
      <c r="D1242" s="9"/>
      <c r="E1242" s="9"/>
      <c r="F1242" s="9"/>
      <c r="G1242" s="9"/>
      <c r="H1242" s="9"/>
      <c r="I1242" s="9"/>
      <c r="J1242" s="9"/>
      <c r="K1242" s="9"/>
      <c r="L1242" s="115"/>
      <c r="M1242" s="115"/>
      <c r="N1242" s="115"/>
      <c r="O1242" s="115"/>
      <c r="P1242" s="9"/>
      <c r="Q1242" s="9"/>
      <c r="R1242" s="9"/>
      <c r="S1242" s="9"/>
      <c r="T1242" s="9"/>
      <c r="U1242" s="9"/>
      <c r="V1242" s="9"/>
      <c r="W1242" s="10"/>
      <c r="X1242" s="10"/>
      <c r="Y1242" s="10"/>
      <c r="Z1242" s="10"/>
    </row>
    <row r="1243">
      <c r="A1243" s="9"/>
      <c r="B1243" s="9"/>
      <c r="C1243" s="9"/>
      <c r="D1243" s="9"/>
      <c r="E1243" s="9"/>
      <c r="F1243" s="9"/>
      <c r="G1243" s="9"/>
      <c r="H1243" s="9"/>
      <c r="I1243" s="9"/>
      <c r="J1243" s="9"/>
      <c r="K1243" s="9"/>
      <c r="L1243" s="115"/>
      <c r="M1243" s="115"/>
      <c r="N1243" s="115"/>
      <c r="O1243" s="115"/>
      <c r="P1243" s="9"/>
      <c r="Q1243" s="9"/>
      <c r="R1243" s="9"/>
      <c r="S1243" s="9"/>
      <c r="T1243" s="9"/>
      <c r="U1243" s="9"/>
      <c r="V1243" s="9"/>
      <c r="W1243" s="10"/>
      <c r="X1243" s="10"/>
      <c r="Y1243" s="10"/>
      <c r="Z1243" s="10"/>
    </row>
    <row r="1244">
      <c r="A1244" s="9"/>
      <c r="B1244" s="9"/>
      <c r="C1244" s="9"/>
      <c r="D1244" s="9"/>
      <c r="E1244" s="9"/>
      <c r="F1244" s="9"/>
      <c r="G1244" s="9"/>
      <c r="H1244" s="9"/>
      <c r="I1244" s="9"/>
      <c r="J1244" s="9"/>
      <c r="K1244" s="9"/>
      <c r="L1244" s="115"/>
      <c r="M1244" s="115"/>
      <c r="N1244" s="115"/>
      <c r="O1244" s="115"/>
      <c r="P1244" s="9"/>
      <c r="Q1244" s="9"/>
      <c r="R1244" s="9"/>
      <c r="S1244" s="9"/>
      <c r="T1244" s="9"/>
      <c r="U1244" s="9"/>
      <c r="V1244" s="9"/>
      <c r="W1244" s="10"/>
      <c r="X1244" s="10"/>
      <c r="Y1244" s="10"/>
      <c r="Z1244" s="10"/>
    </row>
    <row r="1245">
      <c r="A1245" s="9"/>
      <c r="B1245" s="9"/>
      <c r="C1245" s="9"/>
      <c r="D1245" s="9"/>
      <c r="E1245" s="9"/>
      <c r="F1245" s="9"/>
      <c r="G1245" s="9"/>
      <c r="H1245" s="9"/>
      <c r="I1245" s="9"/>
      <c r="J1245" s="9"/>
      <c r="K1245" s="9"/>
      <c r="L1245" s="115"/>
      <c r="M1245" s="115"/>
      <c r="N1245" s="115"/>
      <c r="O1245" s="115"/>
      <c r="P1245" s="9"/>
      <c r="Q1245" s="9"/>
      <c r="R1245" s="9"/>
      <c r="S1245" s="9"/>
      <c r="T1245" s="9"/>
      <c r="U1245" s="9"/>
      <c r="V1245" s="9"/>
      <c r="W1245" s="10"/>
      <c r="X1245" s="10"/>
      <c r="Y1245" s="10"/>
      <c r="Z1245" s="10"/>
    </row>
    <row r="1246">
      <c r="A1246" s="9"/>
      <c r="B1246" s="9"/>
      <c r="C1246" s="9"/>
      <c r="D1246" s="9"/>
      <c r="E1246" s="9"/>
      <c r="F1246" s="9"/>
      <c r="G1246" s="9"/>
      <c r="H1246" s="9"/>
      <c r="I1246" s="9"/>
      <c r="J1246" s="9"/>
      <c r="K1246" s="9"/>
      <c r="L1246" s="115"/>
      <c r="M1246" s="115"/>
      <c r="N1246" s="115"/>
      <c r="O1246" s="115"/>
      <c r="P1246" s="9"/>
      <c r="Q1246" s="9"/>
      <c r="R1246" s="9"/>
      <c r="S1246" s="9"/>
      <c r="T1246" s="9"/>
      <c r="U1246" s="9"/>
      <c r="V1246" s="9"/>
      <c r="W1246" s="10"/>
      <c r="X1246" s="10"/>
      <c r="Y1246" s="10"/>
      <c r="Z1246" s="10"/>
    </row>
    <row r="1247">
      <c r="A1247" s="9"/>
      <c r="B1247" s="9"/>
      <c r="C1247" s="9"/>
      <c r="D1247" s="9"/>
      <c r="E1247" s="9"/>
      <c r="F1247" s="9"/>
      <c r="G1247" s="9"/>
      <c r="H1247" s="9"/>
      <c r="I1247" s="9"/>
      <c r="J1247" s="9"/>
      <c r="K1247" s="9"/>
      <c r="L1247" s="115"/>
      <c r="M1247" s="115"/>
      <c r="N1247" s="115"/>
      <c r="O1247" s="115"/>
      <c r="P1247" s="9"/>
      <c r="Q1247" s="9"/>
      <c r="R1247" s="9"/>
      <c r="S1247" s="9"/>
      <c r="T1247" s="9"/>
      <c r="U1247" s="9"/>
      <c r="V1247" s="9"/>
      <c r="W1247" s="10"/>
      <c r="X1247" s="10"/>
      <c r="Y1247" s="10"/>
      <c r="Z1247" s="10"/>
    </row>
    <row r="1248">
      <c r="A1248" s="9"/>
      <c r="B1248" s="9"/>
      <c r="C1248" s="9"/>
      <c r="D1248" s="9"/>
      <c r="E1248" s="9"/>
      <c r="F1248" s="9"/>
      <c r="G1248" s="9"/>
      <c r="H1248" s="9"/>
      <c r="I1248" s="9"/>
      <c r="J1248" s="9"/>
      <c r="K1248" s="9"/>
      <c r="L1248" s="115"/>
      <c r="M1248" s="115"/>
      <c r="N1248" s="115"/>
      <c r="O1248" s="115"/>
      <c r="P1248" s="9"/>
      <c r="Q1248" s="9"/>
      <c r="R1248" s="9"/>
      <c r="S1248" s="9"/>
      <c r="T1248" s="9"/>
      <c r="U1248" s="9"/>
      <c r="V1248" s="9"/>
      <c r="W1248" s="10"/>
      <c r="X1248" s="10"/>
      <c r="Y1248" s="10"/>
      <c r="Z1248" s="10"/>
    </row>
    <row r="1249">
      <c r="A1249" s="9"/>
      <c r="B1249" s="9"/>
      <c r="C1249" s="9"/>
      <c r="D1249" s="9"/>
      <c r="E1249" s="9"/>
      <c r="F1249" s="9"/>
      <c r="G1249" s="9"/>
      <c r="H1249" s="9"/>
      <c r="I1249" s="9"/>
      <c r="J1249" s="9"/>
      <c r="K1249" s="9"/>
      <c r="L1249" s="115"/>
      <c r="M1249" s="115"/>
      <c r="N1249" s="115"/>
      <c r="O1249" s="115"/>
      <c r="P1249" s="9"/>
      <c r="Q1249" s="9"/>
      <c r="R1249" s="9"/>
      <c r="S1249" s="9"/>
      <c r="T1249" s="9"/>
      <c r="U1249" s="9"/>
      <c r="V1249" s="9"/>
      <c r="W1249" s="10"/>
      <c r="X1249" s="10"/>
      <c r="Y1249" s="10"/>
      <c r="Z1249" s="10"/>
    </row>
    <row r="1250">
      <c r="A1250" s="9"/>
      <c r="B1250" s="9"/>
      <c r="C1250" s="9"/>
      <c r="D1250" s="9"/>
      <c r="E1250" s="9"/>
      <c r="F1250" s="9"/>
      <c r="G1250" s="9"/>
      <c r="H1250" s="9"/>
      <c r="I1250" s="9"/>
      <c r="J1250" s="9"/>
      <c r="K1250" s="9"/>
      <c r="L1250" s="115"/>
      <c r="M1250" s="115"/>
      <c r="N1250" s="115"/>
      <c r="O1250" s="115"/>
      <c r="P1250" s="9"/>
      <c r="Q1250" s="9"/>
      <c r="R1250" s="9"/>
      <c r="S1250" s="9"/>
      <c r="T1250" s="9"/>
      <c r="U1250" s="9"/>
      <c r="V1250" s="9"/>
      <c r="W1250" s="10"/>
      <c r="X1250" s="10"/>
      <c r="Y1250" s="10"/>
      <c r="Z1250" s="10"/>
    </row>
    <row r="1251">
      <c r="A1251" s="9"/>
      <c r="B1251" s="9"/>
      <c r="C1251" s="9"/>
      <c r="D1251" s="9"/>
      <c r="E1251" s="9"/>
      <c r="F1251" s="9"/>
      <c r="G1251" s="9"/>
      <c r="H1251" s="9"/>
      <c r="I1251" s="9"/>
      <c r="J1251" s="9"/>
      <c r="K1251" s="9"/>
      <c r="L1251" s="115"/>
      <c r="M1251" s="115"/>
      <c r="N1251" s="115"/>
      <c r="O1251" s="115"/>
      <c r="P1251" s="9"/>
      <c r="Q1251" s="9"/>
      <c r="R1251" s="9"/>
      <c r="S1251" s="9"/>
      <c r="T1251" s="9"/>
      <c r="U1251" s="9"/>
      <c r="V1251" s="9"/>
      <c r="W1251" s="10"/>
      <c r="X1251" s="10"/>
      <c r="Y1251" s="10"/>
      <c r="Z1251" s="10"/>
    </row>
    <row r="1252">
      <c r="A1252" s="9"/>
      <c r="B1252" s="9"/>
      <c r="C1252" s="9"/>
      <c r="D1252" s="9"/>
      <c r="E1252" s="9"/>
      <c r="F1252" s="9"/>
      <c r="G1252" s="9"/>
      <c r="H1252" s="9"/>
      <c r="I1252" s="9"/>
      <c r="J1252" s="9"/>
      <c r="K1252" s="9"/>
      <c r="L1252" s="115"/>
      <c r="M1252" s="115"/>
      <c r="N1252" s="115"/>
      <c r="O1252" s="115"/>
      <c r="P1252" s="9"/>
      <c r="Q1252" s="9"/>
      <c r="R1252" s="9"/>
      <c r="S1252" s="9"/>
      <c r="T1252" s="9"/>
      <c r="U1252" s="9"/>
      <c r="V1252" s="9"/>
      <c r="W1252" s="10"/>
      <c r="X1252" s="10"/>
      <c r="Y1252" s="10"/>
      <c r="Z1252" s="10"/>
    </row>
    <row r="1253">
      <c r="A1253" s="9"/>
      <c r="B1253" s="9"/>
      <c r="C1253" s="9"/>
      <c r="D1253" s="9"/>
      <c r="E1253" s="9"/>
      <c r="F1253" s="9"/>
      <c r="G1253" s="9"/>
      <c r="H1253" s="9"/>
      <c r="I1253" s="9"/>
      <c r="J1253" s="9"/>
      <c r="K1253" s="9"/>
      <c r="L1253" s="115"/>
      <c r="M1253" s="115"/>
      <c r="N1253" s="115"/>
      <c r="O1253" s="115"/>
      <c r="P1253" s="9"/>
      <c r="Q1253" s="9"/>
      <c r="R1253" s="9"/>
      <c r="S1253" s="9"/>
      <c r="T1253" s="9"/>
      <c r="U1253" s="9"/>
      <c r="V1253" s="9"/>
      <c r="W1253" s="10"/>
      <c r="X1253" s="10"/>
      <c r="Y1253" s="10"/>
      <c r="Z1253" s="10"/>
    </row>
    <row r="1254">
      <c r="A1254" s="9"/>
      <c r="B1254" s="9"/>
      <c r="C1254" s="9"/>
      <c r="D1254" s="9"/>
      <c r="E1254" s="9"/>
      <c r="F1254" s="9"/>
      <c r="G1254" s="9"/>
      <c r="H1254" s="9"/>
      <c r="I1254" s="9"/>
      <c r="J1254" s="9"/>
      <c r="K1254" s="9"/>
      <c r="L1254" s="115"/>
      <c r="M1254" s="115"/>
      <c r="N1254" s="115"/>
      <c r="O1254" s="115"/>
      <c r="P1254" s="9"/>
      <c r="Q1254" s="9"/>
      <c r="R1254" s="9"/>
      <c r="S1254" s="9"/>
      <c r="T1254" s="9"/>
      <c r="U1254" s="9"/>
      <c r="V1254" s="9"/>
      <c r="W1254" s="10"/>
      <c r="X1254" s="10"/>
      <c r="Y1254" s="10"/>
      <c r="Z1254" s="10"/>
    </row>
    <row r="1255">
      <c r="A1255" s="9"/>
      <c r="B1255" s="9"/>
      <c r="C1255" s="9"/>
      <c r="D1255" s="9"/>
      <c r="E1255" s="9"/>
      <c r="F1255" s="9"/>
      <c r="G1255" s="9"/>
      <c r="H1255" s="9"/>
      <c r="I1255" s="9"/>
      <c r="J1255" s="9"/>
      <c r="K1255" s="9"/>
      <c r="L1255" s="115"/>
      <c r="M1255" s="115"/>
      <c r="N1255" s="115"/>
      <c r="O1255" s="115"/>
      <c r="P1255" s="9"/>
      <c r="Q1255" s="9"/>
      <c r="R1255" s="9"/>
      <c r="S1255" s="9"/>
      <c r="T1255" s="9"/>
      <c r="U1255" s="9"/>
      <c r="V1255" s="9"/>
      <c r="W1255" s="10"/>
      <c r="X1255" s="10"/>
      <c r="Y1255" s="10"/>
      <c r="Z1255" s="10"/>
    </row>
    <row r="1256">
      <c r="A1256" s="9"/>
      <c r="B1256" s="9"/>
      <c r="C1256" s="9"/>
      <c r="D1256" s="9"/>
      <c r="E1256" s="9"/>
      <c r="F1256" s="9"/>
      <c r="G1256" s="9"/>
      <c r="H1256" s="9"/>
      <c r="I1256" s="9"/>
      <c r="J1256" s="9"/>
      <c r="K1256" s="9"/>
      <c r="L1256" s="115"/>
      <c r="M1256" s="115"/>
      <c r="N1256" s="115"/>
      <c r="O1256" s="115"/>
      <c r="P1256" s="9"/>
      <c r="Q1256" s="9"/>
      <c r="R1256" s="9"/>
      <c r="S1256" s="9"/>
      <c r="T1256" s="9"/>
      <c r="U1256" s="9"/>
      <c r="V1256" s="9"/>
      <c r="W1256" s="10"/>
      <c r="X1256" s="10"/>
      <c r="Y1256" s="10"/>
      <c r="Z1256" s="10"/>
    </row>
    <row r="1257">
      <c r="A1257" s="9"/>
      <c r="B1257" s="9"/>
      <c r="C1257" s="9"/>
      <c r="D1257" s="9"/>
      <c r="E1257" s="9"/>
      <c r="F1257" s="9"/>
      <c r="G1257" s="9"/>
      <c r="H1257" s="9"/>
      <c r="I1257" s="9"/>
      <c r="J1257" s="9"/>
      <c r="K1257" s="9"/>
      <c r="L1257" s="115"/>
      <c r="M1257" s="115"/>
      <c r="N1257" s="115"/>
      <c r="O1257" s="115"/>
      <c r="P1257" s="9"/>
      <c r="Q1257" s="9"/>
      <c r="R1257" s="9"/>
      <c r="S1257" s="9"/>
      <c r="T1257" s="9"/>
      <c r="U1257" s="9"/>
      <c r="V1257" s="9"/>
      <c r="W1257" s="10"/>
      <c r="X1257" s="10"/>
      <c r="Y1257" s="10"/>
      <c r="Z1257" s="10"/>
    </row>
    <row r="1258">
      <c r="A1258" s="9"/>
      <c r="B1258" s="9"/>
      <c r="C1258" s="9"/>
      <c r="D1258" s="9"/>
      <c r="E1258" s="9"/>
      <c r="F1258" s="9"/>
      <c r="G1258" s="9"/>
      <c r="H1258" s="9"/>
      <c r="I1258" s="9"/>
      <c r="J1258" s="9"/>
      <c r="K1258" s="9"/>
      <c r="L1258" s="115"/>
      <c r="M1258" s="115"/>
      <c r="N1258" s="115"/>
      <c r="O1258" s="115"/>
      <c r="P1258" s="9"/>
      <c r="Q1258" s="9"/>
      <c r="R1258" s="9"/>
      <c r="S1258" s="9"/>
      <c r="T1258" s="9"/>
      <c r="U1258" s="9"/>
      <c r="V1258" s="9"/>
      <c r="W1258" s="10"/>
      <c r="X1258" s="10"/>
      <c r="Y1258" s="10"/>
      <c r="Z1258" s="10"/>
    </row>
    <row r="1259">
      <c r="A1259" s="9"/>
      <c r="B1259" s="9"/>
      <c r="C1259" s="9"/>
      <c r="D1259" s="9"/>
      <c r="E1259" s="9"/>
      <c r="F1259" s="9"/>
      <c r="G1259" s="9"/>
      <c r="H1259" s="9"/>
      <c r="I1259" s="9"/>
      <c r="J1259" s="9"/>
      <c r="K1259" s="9"/>
      <c r="L1259" s="115"/>
      <c r="M1259" s="115"/>
      <c r="N1259" s="115"/>
      <c r="O1259" s="115"/>
      <c r="P1259" s="9"/>
      <c r="Q1259" s="9"/>
      <c r="R1259" s="9"/>
      <c r="S1259" s="9"/>
      <c r="T1259" s="9"/>
      <c r="U1259" s="9"/>
      <c r="V1259" s="9"/>
      <c r="W1259" s="10"/>
      <c r="X1259" s="10"/>
      <c r="Y1259" s="10"/>
      <c r="Z1259" s="10"/>
    </row>
    <row r="1260">
      <c r="A1260" s="9"/>
      <c r="B1260" s="9"/>
      <c r="C1260" s="9"/>
      <c r="D1260" s="9"/>
      <c r="E1260" s="9"/>
      <c r="F1260" s="9"/>
      <c r="G1260" s="9"/>
      <c r="H1260" s="9"/>
      <c r="I1260" s="9"/>
      <c r="J1260" s="9"/>
      <c r="K1260" s="9"/>
      <c r="L1260" s="115"/>
      <c r="M1260" s="115"/>
      <c r="N1260" s="115"/>
      <c r="O1260" s="115"/>
      <c r="P1260" s="9"/>
      <c r="Q1260" s="9"/>
      <c r="R1260" s="9"/>
      <c r="S1260" s="9"/>
      <c r="T1260" s="9"/>
      <c r="U1260" s="9"/>
      <c r="V1260" s="9"/>
      <c r="W1260" s="10"/>
      <c r="X1260" s="10"/>
      <c r="Y1260" s="10"/>
      <c r="Z1260" s="10"/>
    </row>
    <row r="1261">
      <c r="A1261" s="9"/>
      <c r="B1261" s="9"/>
      <c r="C1261" s="9"/>
      <c r="D1261" s="9"/>
      <c r="E1261" s="9"/>
      <c r="F1261" s="9"/>
      <c r="G1261" s="9"/>
      <c r="H1261" s="9"/>
      <c r="I1261" s="9"/>
      <c r="J1261" s="9"/>
      <c r="K1261" s="9"/>
      <c r="L1261" s="115"/>
      <c r="M1261" s="115"/>
      <c r="N1261" s="115"/>
      <c r="O1261" s="115"/>
      <c r="P1261" s="9"/>
      <c r="Q1261" s="9"/>
      <c r="R1261" s="9"/>
      <c r="S1261" s="9"/>
      <c r="T1261" s="9"/>
      <c r="U1261" s="9"/>
      <c r="V1261" s="9"/>
      <c r="W1261" s="10"/>
      <c r="X1261" s="10"/>
      <c r="Y1261" s="10"/>
      <c r="Z1261" s="10"/>
    </row>
    <row r="1262">
      <c r="A1262" s="9"/>
      <c r="B1262" s="9"/>
      <c r="C1262" s="9"/>
      <c r="D1262" s="9"/>
      <c r="E1262" s="9"/>
      <c r="F1262" s="9"/>
      <c r="G1262" s="9"/>
      <c r="H1262" s="9"/>
      <c r="I1262" s="9"/>
      <c r="J1262" s="9"/>
      <c r="K1262" s="9"/>
      <c r="L1262" s="115"/>
      <c r="M1262" s="115"/>
      <c r="N1262" s="115"/>
      <c r="O1262" s="115"/>
      <c r="P1262" s="9"/>
      <c r="Q1262" s="9"/>
      <c r="R1262" s="9"/>
      <c r="S1262" s="9"/>
      <c r="T1262" s="9"/>
      <c r="U1262" s="9"/>
      <c r="V1262" s="9"/>
      <c r="W1262" s="10"/>
      <c r="X1262" s="10"/>
      <c r="Y1262" s="10"/>
      <c r="Z1262" s="10"/>
    </row>
    <row r="1263">
      <c r="A1263" s="9"/>
      <c r="B1263" s="9"/>
      <c r="C1263" s="9"/>
      <c r="D1263" s="9"/>
      <c r="E1263" s="9"/>
      <c r="F1263" s="9"/>
      <c r="G1263" s="9"/>
      <c r="H1263" s="9"/>
      <c r="I1263" s="9"/>
      <c r="J1263" s="9"/>
      <c r="K1263" s="9"/>
      <c r="L1263" s="115"/>
      <c r="M1263" s="115"/>
      <c r="N1263" s="115"/>
      <c r="O1263" s="115"/>
      <c r="P1263" s="9"/>
      <c r="Q1263" s="9"/>
      <c r="R1263" s="9"/>
      <c r="S1263" s="9"/>
      <c r="T1263" s="9"/>
      <c r="U1263" s="9"/>
      <c r="V1263" s="9"/>
      <c r="W1263" s="10"/>
      <c r="X1263" s="10"/>
      <c r="Y1263" s="10"/>
      <c r="Z1263" s="10"/>
    </row>
    <row r="1264">
      <c r="A1264" s="9"/>
      <c r="B1264" s="9"/>
      <c r="C1264" s="9"/>
      <c r="D1264" s="9"/>
      <c r="E1264" s="9"/>
      <c r="F1264" s="9"/>
      <c r="G1264" s="9"/>
      <c r="H1264" s="9"/>
      <c r="I1264" s="9"/>
      <c r="J1264" s="9"/>
      <c r="K1264" s="9"/>
      <c r="L1264" s="115"/>
      <c r="M1264" s="115"/>
      <c r="N1264" s="115"/>
      <c r="O1264" s="115"/>
      <c r="P1264" s="9"/>
      <c r="Q1264" s="9"/>
      <c r="R1264" s="9"/>
      <c r="S1264" s="9"/>
      <c r="T1264" s="9"/>
      <c r="U1264" s="9"/>
      <c r="V1264" s="9"/>
      <c r="W1264" s="10"/>
      <c r="X1264" s="10"/>
      <c r="Y1264" s="10"/>
      <c r="Z1264" s="10"/>
    </row>
    <row r="1265">
      <c r="A1265" s="9"/>
      <c r="B1265" s="9"/>
      <c r="C1265" s="9"/>
      <c r="D1265" s="9"/>
      <c r="E1265" s="9"/>
      <c r="F1265" s="9"/>
      <c r="G1265" s="9"/>
      <c r="H1265" s="9"/>
      <c r="I1265" s="9"/>
      <c r="J1265" s="9"/>
      <c r="K1265" s="9"/>
      <c r="L1265" s="115"/>
      <c r="M1265" s="115"/>
      <c r="N1265" s="115"/>
      <c r="O1265" s="115"/>
      <c r="P1265" s="9"/>
      <c r="Q1265" s="9"/>
      <c r="R1265" s="9"/>
      <c r="S1265" s="9"/>
      <c r="T1265" s="9"/>
      <c r="U1265" s="9"/>
      <c r="V1265" s="9"/>
      <c r="W1265" s="10"/>
      <c r="X1265" s="10"/>
      <c r="Y1265" s="10"/>
      <c r="Z1265" s="10"/>
    </row>
    <row r="1266">
      <c r="A1266" s="9"/>
      <c r="B1266" s="9"/>
      <c r="C1266" s="9"/>
      <c r="D1266" s="9"/>
      <c r="E1266" s="9"/>
      <c r="F1266" s="9"/>
      <c r="G1266" s="9"/>
      <c r="H1266" s="9"/>
      <c r="I1266" s="9"/>
      <c r="J1266" s="9"/>
      <c r="K1266" s="9"/>
      <c r="L1266" s="115"/>
      <c r="M1266" s="115"/>
      <c r="N1266" s="115"/>
      <c r="O1266" s="115"/>
      <c r="P1266" s="9"/>
      <c r="Q1266" s="9"/>
      <c r="R1266" s="9"/>
      <c r="S1266" s="9"/>
      <c r="T1266" s="9"/>
      <c r="U1266" s="9"/>
      <c r="V1266" s="9"/>
      <c r="W1266" s="10"/>
      <c r="X1266" s="10"/>
      <c r="Y1266" s="10"/>
      <c r="Z1266" s="10"/>
    </row>
    <row r="1267">
      <c r="A1267" s="9"/>
      <c r="B1267" s="9"/>
      <c r="C1267" s="9"/>
      <c r="D1267" s="9"/>
      <c r="E1267" s="9"/>
      <c r="F1267" s="9"/>
      <c r="G1267" s="9"/>
      <c r="H1267" s="9"/>
      <c r="I1267" s="9"/>
      <c r="J1267" s="9"/>
      <c r="K1267" s="9"/>
      <c r="L1267" s="115"/>
      <c r="M1267" s="115"/>
      <c r="N1267" s="115"/>
      <c r="O1267" s="115"/>
      <c r="P1267" s="9"/>
      <c r="Q1267" s="9"/>
      <c r="R1267" s="9"/>
      <c r="S1267" s="9"/>
      <c r="T1267" s="9"/>
      <c r="U1267" s="9"/>
      <c r="V1267" s="9"/>
      <c r="W1267" s="10"/>
      <c r="X1267" s="10"/>
      <c r="Y1267" s="10"/>
      <c r="Z1267" s="10"/>
    </row>
    <row r="1268">
      <c r="A1268" s="9"/>
      <c r="B1268" s="9"/>
      <c r="C1268" s="9"/>
      <c r="D1268" s="9"/>
      <c r="E1268" s="9"/>
      <c r="F1268" s="9"/>
      <c r="G1268" s="9"/>
      <c r="H1268" s="9"/>
      <c r="I1268" s="9"/>
      <c r="J1268" s="9"/>
      <c r="K1268" s="9"/>
      <c r="L1268" s="115"/>
      <c r="M1268" s="115"/>
      <c r="N1268" s="115"/>
      <c r="O1268" s="115"/>
      <c r="P1268" s="9"/>
      <c r="Q1268" s="9"/>
      <c r="R1268" s="9"/>
      <c r="S1268" s="9"/>
      <c r="T1268" s="9"/>
      <c r="U1268" s="9"/>
      <c r="V1268" s="9"/>
      <c r="W1268" s="10"/>
      <c r="X1268" s="10"/>
      <c r="Y1268" s="10"/>
      <c r="Z1268" s="10"/>
    </row>
    <row r="1269">
      <c r="A1269" s="9"/>
      <c r="B1269" s="9"/>
      <c r="C1269" s="9"/>
      <c r="D1269" s="9"/>
      <c r="E1269" s="9"/>
      <c r="F1269" s="9"/>
      <c r="G1269" s="9"/>
      <c r="H1269" s="9"/>
      <c r="I1269" s="9"/>
      <c r="J1269" s="9"/>
      <c r="K1269" s="9"/>
      <c r="L1269" s="115"/>
      <c r="M1269" s="115"/>
      <c r="N1269" s="115"/>
      <c r="O1269" s="115"/>
      <c r="P1269" s="9"/>
      <c r="Q1269" s="9"/>
      <c r="R1269" s="9"/>
      <c r="S1269" s="9"/>
      <c r="T1269" s="9"/>
      <c r="U1269" s="9"/>
      <c r="V1269" s="9"/>
      <c r="W1269" s="10"/>
      <c r="X1269" s="10"/>
      <c r="Y1269" s="10"/>
      <c r="Z1269" s="10"/>
    </row>
    <row r="1270">
      <c r="A1270" s="9"/>
      <c r="B1270" s="9"/>
      <c r="C1270" s="9"/>
      <c r="D1270" s="9"/>
      <c r="E1270" s="9"/>
      <c r="F1270" s="9"/>
      <c r="G1270" s="9"/>
      <c r="H1270" s="9"/>
      <c r="I1270" s="9"/>
      <c r="J1270" s="9"/>
      <c r="K1270" s="9"/>
      <c r="L1270" s="115"/>
      <c r="M1270" s="115"/>
      <c r="N1270" s="115"/>
      <c r="O1270" s="115"/>
      <c r="P1270" s="9"/>
      <c r="Q1270" s="9"/>
      <c r="R1270" s="9"/>
      <c r="S1270" s="9"/>
      <c r="T1270" s="9"/>
      <c r="U1270" s="9"/>
      <c r="V1270" s="9"/>
      <c r="W1270" s="10"/>
      <c r="X1270" s="10"/>
      <c r="Y1270" s="10"/>
      <c r="Z1270" s="10"/>
    </row>
    <row r="1271">
      <c r="A1271" s="9"/>
      <c r="B1271" s="9"/>
      <c r="C1271" s="9"/>
      <c r="D1271" s="9"/>
      <c r="E1271" s="9"/>
      <c r="F1271" s="9"/>
      <c r="G1271" s="9"/>
      <c r="H1271" s="9"/>
      <c r="I1271" s="9"/>
      <c r="J1271" s="9"/>
      <c r="K1271" s="9"/>
      <c r="L1271" s="115"/>
      <c r="M1271" s="115"/>
      <c r="N1271" s="115"/>
      <c r="O1271" s="115"/>
      <c r="P1271" s="9"/>
      <c r="Q1271" s="9"/>
      <c r="R1271" s="9"/>
      <c r="S1271" s="9"/>
      <c r="T1271" s="9"/>
      <c r="U1271" s="9"/>
      <c r="V1271" s="9"/>
      <c r="W1271" s="10"/>
      <c r="X1271" s="10"/>
      <c r="Y1271" s="10"/>
      <c r="Z1271" s="10"/>
    </row>
    <row r="1272">
      <c r="A1272" s="9"/>
      <c r="B1272" s="9"/>
      <c r="C1272" s="9"/>
      <c r="D1272" s="9"/>
      <c r="E1272" s="9"/>
      <c r="F1272" s="9"/>
      <c r="G1272" s="9"/>
      <c r="H1272" s="9"/>
      <c r="I1272" s="9"/>
      <c r="J1272" s="9"/>
      <c r="K1272" s="9"/>
      <c r="L1272" s="115"/>
      <c r="M1272" s="115"/>
      <c r="N1272" s="115"/>
      <c r="O1272" s="115"/>
      <c r="P1272" s="9"/>
      <c r="Q1272" s="9"/>
      <c r="R1272" s="9"/>
      <c r="S1272" s="9"/>
      <c r="T1272" s="9"/>
      <c r="U1272" s="9"/>
      <c r="V1272" s="9"/>
      <c r="W1272" s="10"/>
      <c r="X1272" s="10"/>
      <c r="Y1272" s="10"/>
      <c r="Z1272" s="10"/>
    </row>
    <row r="1273">
      <c r="A1273" s="9"/>
      <c r="B1273" s="9"/>
      <c r="C1273" s="9"/>
      <c r="D1273" s="9"/>
      <c r="E1273" s="9"/>
      <c r="F1273" s="9"/>
      <c r="G1273" s="9"/>
      <c r="H1273" s="9"/>
      <c r="I1273" s="9"/>
      <c r="J1273" s="9"/>
      <c r="K1273" s="9"/>
      <c r="L1273" s="115"/>
      <c r="M1273" s="115"/>
      <c r="N1273" s="115"/>
      <c r="O1273" s="115"/>
      <c r="P1273" s="9"/>
      <c r="Q1273" s="9"/>
      <c r="R1273" s="9"/>
      <c r="S1273" s="9"/>
      <c r="T1273" s="9"/>
      <c r="U1273" s="9"/>
      <c r="V1273" s="9"/>
      <c r="W1273" s="10"/>
      <c r="X1273" s="10"/>
      <c r="Y1273" s="10"/>
      <c r="Z1273" s="10"/>
    </row>
    <row r="1274">
      <c r="A1274" s="9"/>
      <c r="B1274" s="9"/>
      <c r="C1274" s="9"/>
      <c r="D1274" s="9"/>
      <c r="E1274" s="9"/>
      <c r="F1274" s="9"/>
      <c r="G1274" s="9"/>
      <c r="H1274" s="9"/>
      <c r="I1274" s="9"/>
      <c r="J1274" s="9"/>
      <c r="K1274" s="9"/>
      <c r="L1274" s="115"/>
      <c r="M1274" s="115"/>
      <c r="N1274" s="115"/>
      <c r="O1274" s="115"/>
      <c r="P1274" s="9"/>
      <c r="Q1274" s="9"/>
      <c r="R1274" s="9"/>
      <c r="S1274" s="9"/>
      <c r="T1274" s="9"/>
      <c r="U1274" s="9"/>
      <c r="V1274" s="9"/>
      <c r="W1274" s="10"/>
      <c r="X1274" s="10"/>
      <c r="Y1274" s="10"/>
      <c r="Z1274" s="10"/>
    </row>
    <row r="1275">
      <c r="A1275" s="9"/>
      <c r="B1275" s="9"/>
      <c r="C1275" s="9"/>
      <c r="D1275" s="9"/>
      <c r="E1275" s="9"/>
      <c r="F1275" s="9"/>
      <c r="G1275" s="9"/>
      <c r="H1275" s="9"/>
      <c r="I1275" s="9"/>
      <c r="J1275" s="9"/>
      <c r="K1275" s="9"/>
      <c r="L1275" s="115"/>
      <c r="M1275" s="115"/>
      <c r="N1275" s="115"/>
      <c r="O1275" s="115"/>
      <c r="P1275" s="9"/>
      <c r="Q1275" s="9"/>
      <c r="R1275" s="9"/>
      <c r="S1275" s="9"/>
      <c r="T1275" s="9"/>
      <c r="U1275" s="9"/>
      <c r="V1275" s="9"/>
      <c r="W1275" s="10"/>
      <c r="X1275" s="10"/>
      <c r="Y1275" s="10"/>
      <c r="Z1275" s="10"/>
    </row>
    <row r="1276">
      <c r="A1276" s="9"/>
      <c r="B1276" s="9"/>
      <c r="C1276" s="9"/>
      <c r="D1276" s="9"/>
      <c r="E1276" s="9"/>
      <c r="F1276" s="9"/>
      <c r="G1276" s="9"/>
      <c r="H1276" s="9"/>
      <c r="I1276" s="9"/>
      <c r="J1276" s="9"/>
      <c r="K1276" s="9"/>
      <c r="L1276" s="115"/>
      <c r="M1276" s="115"/>
      <c r="N1276" s="115"/>
      <c r="O1276" s="115"/>
      <c r="P1276" s="9"/>
      <c r="Q1276" s="9"/>
      <c r="R1276" s="9"/>
      <c r="S1276" s="9"/>
      <c r="T1276" s="9"/>
      <c r="U1276" s="9"/>
      <c r="V1276" s="9"/>
      <c r="W1276" s="10"/>
      <c r="X1276" s="10"/>
      <c r="Y1276" s="10"/>
      <c r="Z1276" s="10"/>
    </row>
    <row r="1277">
      <c r="A1277" s="9"/>
      <c r="B1277" s="9"/>
      <c r="C1277" s="9"/>
      <c r="D1277" s="9"/>
      <c r="E1277" s="9"/>
      <c r="F1277" s="9"/>
      <c r="G1277" s="9"/>
      <c r="H1277" s="9"/>
      <c r="I1277" s="9"/>
      <c r="J1277" s="9"/>
      <c r="K1277" s="9"/>
      <c r="L1277" s="115"/>
      <c r="M1277" s="115"/>
      <c r="N1277" s="115"/>
      <c r="O1277" s="115"/>
      <c r="P1277" s="9"/>
      <c r="Q1277" s="9"/>
      <c r="R1277" s="9"/>
      <c r="S1277" s="9"/>
      <c r="T1277" s="9"/>
      <c r="U1277" s="9"/>
      <c r="V1277" s="9"/>
      <c r="W1277" s="10"/>
      <c r="X1277" s="10"/>
      <c r="Y1277" s="10"/>
      <c r="Z1277" s="10"/>
    </row>
    <row r="1278">
      <c r="A1278" s="9"/>
      <c r="B1278" s="9"/>
      <c r="C1278" s="9"/>
      <c r="D1278" s="9"/>
      <c r="E1278" s="9"/>
      <c r="F1278" s="9"/>
      <c r="G1278" s="9"/>
      <c r="H1278" s="9"/>
      <c r="I1278" s="9"/>
      <c r="J1278" s="9"/>
      <c r="K1278" s="9"/>
      <c r="L1278" s="115"/>
      <c r="M1278" s="115"/>
      <c r="N1278" s="115"/>
      <c r="O1278" s="115"/>
      <c r="P1278" s="9"/>
      <c r="Q1278" s="9"/>
      <c r="R1278" s="9"/>
      <c r="S1278" s="9"/>
      <c r="T1278" s="9"/>
      <c r="U1278" s="9"/>
      <c r="V1278" s="9"/>
      <c r="W1278" s="10"/>
      <c r="X1278" s="10"/>
      <c r="Y1278" s="10"/>
      <c r="Z1278" s="10"/>
    </row>
    <row r="1279">
      <c r="A1279" s="9"/>
      <c r="B1279" s="9"/>
      <c r="C1279" s="9"/>
      <c r="D1279" s="9"/>
      <c r="E1279" s="9"/>
      <c r="F1279" s="9"/>
      <c r="G1279" s="9"/>
      <c r="H1279" s="9"/>
      <c r="I1279" s="9"/>
      <c r="J1279" s="9"/>
      <c r="K1279" s="9"/>
      <c r="L1279" s="115"/>
      <c r="M1279" s="115"/>
      <c r="N1279" s="115"/>
      <c r="O1279" s="115"/>
      <c r="P1279" s="9"/>
      <c r="Q1279" s="9"/>
      <c r="R1279" s="9"/>
      <c r="S1279" s="9"/>
      <c r="T1279" s="9"/>
      <c r="U1279" s="9"/>
      <c r="V1279" s="9"/>
      <c r="W1279" s="10"/>
      <c r="X1279" s="10"/>
      <c r="Y1279" s="10"/>
      <c r="Z1279" s="10"/>
    </row>
    <row r="1280">
      <c r="A1280" s="9"/>
      <c r="B1280" s="9"/>
      <c r="C1280" s="9"/>
      <c r="D1280" s="9"/>
      <c r="E1280" s="9"/>
      <c r="F1280" s="9"/>
      <c r="G1280" s="9"/>
      <c r="H1280" s="9"/>
      <c r="I1280" s="9"/>
      <c r="J1280" s="9"/>
      <c r="K1280" s="9"/>
      <c r="L1280" s="115"/>
      <c r="M1280" s="115"/>
      <c r="N1280" s="115"/>
      <c r="O1280" s="115"/>
      <c r="P1280" s="9"/>
      <c r="Q1280" s="9"/>
      <c r="R1280" s="9"/>
      <c r="S1280" s="9"/>
      <c r="T1280" s="9"/>
      <c r="U1280" s="9"/>
      <c r="V1280" s="9"/>
      <c r="W1280" s="10"/>
      <c r="X1280" s="10"/>
      <c r="Y1280" s="10"/>
      <c r="Z1280" s="10"/>
    </row>
    <row r="1281">
      <c r="A1281" s="9"/>
      <c r="B1281" s="9"/>
      <c r="C1281" s="9"/>
      <c r="D1281" s="9"/>
      <c r="E1281" s="9"/>
      <c r="F1281" s="9"/>
      <c r="G1281" s="9"/>
      <c r="H1281" s="9"/>
      <c r="I1281" s="9"/>
      <c r="J1281" s="9"/>
      <c r="K1281" s="9"/>
      <c r="L1281" s="115"/>
      <c r="M1281" s="115"/>
      <c r="N1281" s="115"/>
      <c r="O1281" s="115"/>
      <c r="P1281" s="9"/>
      <c r="Q1281" s="9"/>
      <c r="R1281" s="9"/>
      <c r="S1281" s="9"/>
      <c r="T1281" s="9"/>
      <c r="U1281" s="9"/>
      <c r="V1281" s="9"/>
      <c r="W1281" s="10"/>
      <c r="X1281" s="10"/>
      <c r="Y1281" s="10"/>
      <c r="Z1281" s="10"/>
    </row>
    <row r="1282">
      <c r="A1282" s="9"/>
      <c r="B1282" s="9"/>
      <c r="C1282" s="9"/>
      <c r="D1282" s="9"/>
      <c r="E1282" s="9"/>
      <c r="F1282" s="9"/>
      <c r="G1282" s="9"/>
      <c r="H1282" s="9"/>
      <c r="I1282" s="9"/>
      <c r="J1282" s="9"/>
      <c r="K1282" s="9"/>
      <c r="L1282" s="115"/>
      <c r="M1282" s="115"/>
      <c r="N1282" s="115"/>
      <c r="O1282" s="115"/>
      <c r="P1282" s="9"/>
      <c r="Q1282" s="9"/>
      <c r="R1282" s="9"/>
      <c r="S1282" s="9"/>
      <c r="T1282" s="9"/>
      <c r="U1282" s="9"/>
      <c r="V1282" s="9"/>
      <c r="W1282" s="10"/>
      <c r="X1282" s="10"/>
      <c r="Y1282" s="10"/>
      <c r="Z1282" s="10"/>
    </row>
    <row r="1283">
      <c r="A1283" s="9"/>
      <c r="B1283" s="9"/>
      <c r="C1283" s="9"/>
      <c r="D1283" s="9"/>
      <c r="E1283" s="9"/>
      <c r="F1283" s="9"/>
      <c r="G1283" s="9"/>
      <c r="H1283" s="9"/>
      <c r="I1283" s="9"/>
      <c r="J1283" s="9"/>
      <c r="K1283" s="9"/>
      <c r="L1283" s="115"/>
      <c r="M1283" s="115"/>
      <c r="N1283" s="115"/>
      <c r="O1283" s="115"/>
      <c r="P1283" s="9"/>
      <c r="Q1283" s="9"/>
      <c r="R1283" s="9"/>
      <c r="S1283" s="9"/>
      <c r="T1283" s="9"/>
      <c r="U1283" s="9"/>
      <c r="V1283" s="9"/>
      <c r="W1283" s="10"/>
      <c r="X1283" s="10"/>
      <c r="Y1283" s="10"/>
      <c r="Z1283" s="10"/>
    </row>
    <row r="1284">
      <c r="A1284" s="9"/>
      <c r="B1284" s="9"/>
      <c r="C1284" s="9"/>
      <c r="D1284" s="9"/>
      <c r="E1284" s="9"/>
      <c r="F1284" s="9"/>
      <c r="G1284" s="9"/>
      <c r="H1284" s="9"/>
      <c r="I1284" s="9"/>
      <c r="J1284" s="9"/>
      <c r="K1284" s="9"/>
      <c r="L1284" s="115"/>
      <c r="M1284" s="115"/>
      <c r="N1284" s="115"/>
      <c r="O1284" s="115"/>
      <c r="P1284" s="9"/>
      <c r="Q1284" s="9"/>
      <c r="R1284" s="9"/>
      <c r="S1284" s="9"/>
      <c r="T1284" s="9"/>
      <c r="U1284" s="9"/>
      <c r="V1284" s="9"/>
      <c r="W1284" s="10"/>
      <c r="X1284" s="10"/>
      <c r="Y1284" s="10"/>
      <c r="Z1284" s="10"/>
    </row>
    <row r="1285">
      <c r="A1285" s="9"/>
      <c r="B1285" s="9"/>
      <c r="C1285" s="9"/>
      <c r="D1285" s="9"/>
      <c r="E1285" s="9"/>
      <c r="F1285" s="9"/>
      <c r="G1285" s="9"/>
      <c r="H1285" s="9"/>
      <c r="I1285" s="9"/>
      <c r="J1285" s="9"/>
      <c r="K1285" s="9"/>
      <c r="L1285" s="115"/>
      <c r="M1285" s="115"/>
      <c r="N1285" s="115"/>
      <c r="O1285" s="115"/>
      <c r="P1285" s="9"/>
      <c r="Q1285" s="9"/>
      <c r="R1285" s="9"/>
      <c r="S1285" s="9"/>
      <c r="T1285" s="9"/>
      <c r="U1285" s="9"/>
      <c r="V1285" s="9"/>
      <c r="W1285" s="10"/>
      <c r="X1285" s="10"/>
      <c r="Y1285" s="10"/>
      <c r="Z1285" s="10"/>
    </row>
    <row r="1286">
      <c r="A1286" s="9"/>
      <c r="B1286" s="9"/>
      <c r="C1286" s="9"/>
      <c r="D1286" s="9"/>
      <c r="E1286" s="9"/>
      <c r="F1286" s="9"/>
      <c r="G1286" s="9"/>
      <c r="H1286" s="9"/>
      <c r="I1286" s="9"/>
      <c r="J1286" s="9"/>
      <c r="K1286" s="9"/>
      <c r="L1286" s="115"/>
      <c r="M1286" s="115"/>
      <c r="N1286" s="115"/>
      <c r="O1286" s="115"/>
      <c r="P1286" s="9"/>
      <c r="Q1286" s="9"/>
      <c r="R1286" s="9"/>
      <c r="S1286" s="9"/>
      <c r="T1286" s="9"/>
      <c r="U1286" s="9"/>
      <c r="V1286" s="9"/>
      <c r="W1286" s="10"/>
      <c r="X1286" s="10"/>
      <c r="Y1286" s="10"/>
      <c r="Z1286" s="10"/>
    </row>
    <row r="1287">
      <c r="A1287" s="9"/>
      <c r="B1287" s="9"/>
      <c r="C1287" s="9"/>
      <c r="D1287" s="9"/>
      <c r="E1287" s="9"/>
      <c r="F1287" s="9"/>
      <c r="G1287" s="9"/>
      <c r="H1287" s="9"/>
      <c r="I1287" s="9"/>
      <c r="J1287" s="9"/>
      <c r="K1287" s="9"/>
      <c r="L1287" s="115"/>
      <c r="M1287" s="115"/>
      <c r="N1287" s="115"/>
      <c r="O1287" s="115"/>
      <c r="P1287" s="9"/>
      <c r="Q1287" s="9"/>
      <c r="R1287" s="9"/>
      <c r="S1287" s="9"/>
      <c r="T1287" s="9"/>
      <c r="U1287" s="9"/>
      <c r="V1287" s="9"/>
      <c r="W1287" s="10"/>
      <c r="X1287" s="10"/>
      <c r="Y1287" s="10"/>
      <c r="Z1287" s="10"/>
    </row>
    <row r="1288">
      <c r="A1288" s="9"/>
      <c r="B1288" s="9"/>
      <c r="C1288" s="9"/>
      <c r="D1288" s="9"/>
      <c r="E1288" s="9"/>
      <c r="F1288" s="9"/>
      <c r="G1288" s="9"/>
      <c r="H1288" s="9"/>
      <c r="I1288" s="9"/>
      <c r="J1288" s="9"/>
      <c r="K1288" s="9"/>
      <c r="L1288" s="115"/>
      <c r="M1288" s="115"/>
      <c r="N1288" s="115"/>
      <c r="O1288" s="115"/>
      <c r="P1288" s="9"/>
      <c r="Q1288" s="9"/>
      <c r="R1288" s="9"/>
      <c r="S1288" s="9"/>
      <c r="T1288" s="9"/>
      <c r="U1288" s="9"/>
      <c r="V1288" s="9"/>
      <c r="W1288" s="10"/>
      <c r="X1288" s="10"/>
      <c r="Y1288" s="10"/>
      <c r="Z1288" s="10"/>
    </row>
    <row r="1289">
      <c r="A1289" s="9"/>
      <c r="B1289" s="9"/>
      <c r="C1289" s="9"/>
      <c r="D1289" s="9"/>
      <c r="E1289" s="9"/>
      <c r="F1289" s="9"/>
      <c r="G1289" s="9"/>
      <c r="H1289" s="9"/>
      <c r="I1289" s="9"/>
      <c r="J1289" s="9"/>
      <c r="K1289" s="9"/>
      <c r="L1289" s="115"/>
      <c r="M1289" s="115"/>
      <c r="N1289" s="115"/>
      <c r="O1289" s="115"/>
      <c r="P1289" s="9"/>
      <c r="Q1289" s="9"/>
      <c r="R1289" s="9"/>
      <c r="S1289" s="9"/>
      <c r="T1289" s="9"/>
      <c r="U1289" s="9"/>
      <c r="V1289" s="9"/>
      <c r="W1289" s="10"/>
      <c r="X1289" s="10"/>
      <c r="Y1289" s="10"/>
      <c r="Z1289" s="10"/>
    </row>
    <row r="1290">
      <c r="A1290" s="9"/>
      <c r="B1290" s="9"/>
      <c r="C1290" s="9"/>
      <c r="D1290" s="9"/>
      <c r="E1290" s="9"/>
      <c r="F1290" s="9"/>
      <c r="G1290" s="9"/>
      <c r="H1290" s="9"/>
      <c r="I1290" s="9"/>
      <c r="J1290" s="9"/>
      <c r="K1290" s="9"/>
      <c r="L1290" s="115"/>
      <c r="M1290" s="115"/>
      <c r="N1290" s="115"/>
      <c r="O1290" s="115"/>
      <c r="P1290" s="9"/>
      <c r="Q1290" s="9"/>
      <c r="R1290" s="9"/>
      <c r="S1290" s="9"/>
      <c r="T1290" s="9"/>
      <c r="U1290" s="9"/>
      <c r="V1290" s="9"/>
      <c r="W1290" s="10"/>
      <c r="X1290" s="10"/>
      <c r="Y1290" s="10"/>
      <c r="Z1290" s="10"/>
    </row>
    <row r="1291">
      <c r="A1291" s="9"/>
      <c r="B1291" s="9"/>
      <c r="C1291" s="9"/>
      <c r="D1291" s="9"/>
      <c r="E1291" s="9"/>
      <c r="F1291" s="9"/>
      <c r="G1291" s="9"/>
      <c r="H1291" s="9"/>
      <c r="I1291" s="9"/>
      <c r="J1291" s="9"/>
      <c r="K1291" s="9"/>
      <c r="L1291" s="115"/>
      <c r="M1291" s="115"/>
      <c r="N1291" s="115"/>
      <c r="O1291" s="115"/>
      <c r="P1291" s="9"/>
      <c r="Q1291" s="9"/>
      <c r="R1291" s="9"/>
      <c r="S1291" s="9"/>
      <c r="T1291" s="9"/>
      <c r="U1291" s="9"/>
      <c r="V1291" s="9"/>
      <c r="W1291" s="10"/>
      <c r="X1291" s="10"/>
      <c r="Y1291" s="10"/>
      <c r="Z1291" s="10"/>
    </row>
    <row r="1292">
      <c r="A1292" s="9"/>
      <c r="B1292" s="9"/>
      <c r="C1292" s="9"/>
      <c r="D1292" s="9"/>
      <c r="E1292" s="9"/>
      <c r="F1292" s="9"/>
      <c r="G1292" s="9"/>
      <c r="H1292" s="9"/>
      <c r="I1292" s="9"/>
      <c r="J1292" s="9"/>
      <c r="K1292" s="9"/>
      <c r="L1292" s="115"/>
      <c r="M1292" s="115"/>
      <c r="N1292" s="115"/>
      <c r="O1292" s="115"/>
      <c r="P1292" s="9"/>
      <c r="Q1292" s="9"/>
      <c r="R1292" s="9"/>
      <c r="S1292" s="9"/>
      <c r="T1292" s="9"/>
      <c r="U1292" s="9"/>
      <c r="V1292" s="9"/>
      <c r="W1292" s="10"/>
      <c r="X1292" s="10"/>
      <c r="Y1292" s="10"/>
      <c r="Z1292" s="10"/>
    </row>
    <row r="1293">
      <c r="A1293" s="9"/>
      <c r="B1293" s="9"/>
      <c r="C1293" s="9"/>
      <c r="D1293" s="9"/>
      <c r="E1293" s="9"/>
      <c r="F1293" s="9"/>
      <c r="G1293" s="9"/>
      <c r="H1293" s="9"/>
      <c r="I1293" s="9"/>
      <c r="J1293" s="9"/>
      <c r="K1293" s="9"/>
      <c r="L1293" s="115"/>
      <c r="M1293" s="115"/>
      <c r="N1293" s="115"/>
      <c r="O1293" s="115"/>
      <c r="P1293" s="9"/>
      <c r="Q1293" s="9"/>
      <c r="R1293" s="9"/>
      <c r="S1293" s="9"/>
      <c r="T1293" s="9"/>
      <c r="U1293" s="9"/>
      <c r="V1293" s="9"/>
      <c r="W1293" s="10"/>
      <c r="X1293" s="10"/>
      <c r="Y1293" s="10"/>
      <c r="Z1293" s="10"/>
    </row>
    <row r="1294">
      <c r="A1294" s="9"/>
      <c r="B1294" s="9"/>
      <c r="C1294" s="9"/>
      <c r="D1294" s="9"/>
      <c r="E1294" s="9"/>
      <c r="F1294" s="9"/>
      <c r="G1294" s="9"/>
      <c r="H1294" s="9"/>
      <c r="I1294" s="9"/>
      <c r="J1294" s="9"/>
      <c r="K1294" s="9"/>
      <c r="L1294" s="115"/>
      <c r="M1294" s="115"/>
      <c r="N1294" s="115"/>
      <c r="O1294" s="115"/>
      <c r="P1294" s="9"/>
      <c r="Q1294" s="9"/>
      <c r="R1294" s="9"/>
      <c r="S1294" s="9"/>
      <c r="T1294" s="9"/>
      <c r="U1294" s="9"/>
      <c r="V1294" s="9"/>
      <c r="W1294" s="10"/>
      <c r="X1294" s="10"/>
      <c r="Y1294" s="10"/>
      <c r="Z1294" s="10"/>
    </row>
    <row r="1295">
      <c r="A1295" s="9"/>
      <c r="B1295" s="9"/>
      <c r="C1295" s="9"/>
      <c r="D1295" s="9"/>
      <c r="E1295" s="9"/>
      <c r="F1295" s="9"/>
      <c r="G1295" s="9"/>
      <c r="H1295" s="9"/>
      <c r="I1295" s="9"/>
      <c r="J1295" s="9"/>
      <c r="K1295" s="9"/>
      <c r="L1295" s="115"/>
      <c r="M1295" s="115"/>
      <c r="N1295" s="115"/>
      <c r="O1295" s="115"/>
      <c r="P1295" s="9"/>
      <c r="Q1295" s="9"/>
      <c r="R1295" s="9"/>
      <c r="S1295" s="9"/>
      <c r="T1295" s="9"/>
      <c r="U1295" s="9"/>
      <c r="V1295" s="9"/>
      <c r="W1295" s="10"/>
      <c r="X1295" s="10"/>
      <c r="Y1295" s="10"/>
      <c r="Z1295" s="10"/>
    </row>
    <row r="1296">
      <c r="A1296" s="9"/>
      <c r="B1296" s="9"/>
      <c r="C1296" s="9"/>
      <c r="D1296" s="9"/>
      <c r="E1296" s="9"/>
      <c r="F1296" s="9"/>
      <c r="G1296" s="9"/>
      <c r="H1296" s="9"/>
      <c r="I1296" s="9"/>
      <c r="J1296" s="9"/>
      <c r="K1296" s="9"/>
      <c r="L1296" s="115"/>
      <c r="M1296" s="115"/>
      <c r="N1296" s="115"/>
      <c r="O1296" s="115"/>
      <c r="P1296" s="9"/>
      <c r="Q1296" s="9"/>
      <c r="R1296" s="9"/>
      <c r="S1296" s="9"/>
      <c r="T1296" s="9"/>
      <c r="U1296" s="9"/>
      <c r="V1296" s="9"/>
      <c r="W1296" s="10"/>
      <c r="X1296" s="10"/>
      <c r="Y1296" s="10"/>
      <c r="Z1296" s="10"/>
    </row>
    <row r="1297">
      <c r="A1297" s="9"/>
      <c r="B1297" s="9"/>
      <c r="C1297" s="9"/>
      <c r="D1297" s="9"/>
      <c r="E1297" s="9"/>
      <c r="F1297" s="9"/>
      <c r="G1297" s="9"/>
      <c r="H1297" s="9"/>
      <c r="I1297" s="9"/>
      <c r="J1297" s="9"/>
      <c r="K1297" s="9"/>
      <c r="L1297" s="115"/>
      <c r="M1297" s="115"/>
      <c r="N1297" s="115"/>
      <c r="O1297" s="115"/>
      <c r="P1297" s="9"/>
      <c r="Q1297" s="9"/>
      <c r="R1297" s="9"/>
      <c r="S1297" s="9"/>
      <c r="T1297" s="9"/>
      <c r="U1297" s="9"/>
      <c r="V1297" s="9"/>
      <c r="W1297" s="10"/>
      <c r="X1297" s="10"/>
      <c r="Y1297" s="10"/>
      <c r="Z1297" s="10"/>
    </row>
    <row r="1298">
      <c r="A1298" s="9"/>
      <c r="B1298" s="9"/>
      <c r="C1298" s="9"/>
      <c r="D1298" s="9"/>
      <c r="E1298" s="9"/>
      <c r="F1298" s="9"/>
      <c r="G1298" s="9"/>
      <c r="H1298" s="9"/>
      <c r="I1298" s="9"/>
      <c r="J1298" s="9"/>
      <c r="K1298" s="9"/>
      <c r="L1298" s="115"/>
      <c r="M1298" s="115"/>
      <c r="N1298" s="115"/>
      <c r="O1298" s="115"/>
      <c r="P1298" s="9"/>
      <c r="Q1298" s="9"/>
      <c r="R1298" s="9"/>
      <c r="S1298" s="9"/>
      <c r="T1298" s="9"/>
      <c r="U1298" s="9"/>
      <c r="V1298" s="9"/>
      <c r="W1298" s="10"/>
      <c r="X1298" s="10"/>
      <c r="Y1298" s="10"/>
      <c r="Z1298" s="10"/>
    </row>
    <row r="1299">
      <c r="A1299" s="9"/>
      <c r="B1299" s="9"/>
      <c r="C1299" s="9"/>
      <c r="D1299" s="9"/>
      <c r="E1299" s="9"/>
      <c r="F1299" s="9"/>
      <c r="G1299" s="9"/>
      <c r="H1299" s="9"/>
      <c r="I1299" s="9"/>
      <c r="J1299" s="9"/>
      <c r="K1299" s="9"/>
      <c r="L1299" s="115"/>
      <c r="M1299" s="115"/>
      <c r="N1299" s="115"/>
      <c r="O1299" s="115"/>
      <c r="P1299" s="9"/>
      <c r="Q1299" s="9"/>
      <c r="R1299" s="9"/>
      <c r="S1299" s="9"/>
      <c r="T1299" s="9"/>
      <c r="U1299" s="9"/>
      <c r="V1299" s="9"/>
      <c r="W1299" s="10"/>
      <c r="X1299" s="10"/>
      <c r="Y1299" s="10"/>
      <c r="Z1299" s="10"/>
    </row>
    <row r="1300">
      <c r="A1300" s="9"/>
      <c r="B1300" s="9"/>
      <c r="C1300" s="9"/>
      <c r="D1300" s="9"/>
      <c r="E1300" s="9"/>
      <c r="F1300" s="9"/>
      <c r="G1300" s="9"/>
      <c r="H1300" s="9"/>
      <c r="I1300" s="9"/>
      <c r="J1300" s="9"/>
      <c r="K1300" s="9"/>
      <c r="L1300" s="115"/>
      <c r="M1300" s="115"/>
      <c r="N1300" s="115"/>
      <c r="O1300" s="115"/>
      <c r="P1300" s="9"/>
      <c r="Q1300" s="9"/>
      <c r="R1300" s="9"/>
      <c r="S1300" s="9"/>
      <c r="T1300" s="9"/>
      <c r="U1300" s="9"/>
      <c r="V1300" s="9"/>
      <c r="W1300" s="10"/>
      <c r="X1300" s="10"/>
      <c r="Y1300" s="10"/>
      <c r="Z1300" s="10"/>
    </row>
    <row r="1301">
      <c r="A1301" s="9"/>
      <c r="B1301" s="9"/>
      <c r="C1301" s="9"/>
      <c r="D1301" s="9"/>
      <c r="E1301" s="9"/>
      <c r="F1301" s="9"/>
      <c r="G1301" s="9"/>
      <c r="H1301" s="9"/>
      <c r="I1301" s="9"/>
      <c r="J1301" s="9"/>
      <c r="K1301" s="9"/>
      <c r="L1301" s="115"/>
      <c r="M1301" s="115"/>
      <c r="N1301" s="115"/>
      <c r="O1301" s="115"/>
      <c r="P1301" s="9"/>
      <c r="Q1301" s="9"/>
      <c r="R1301" s="9"/>
      <c r="S1301" s="9"/>
      <c r="T1301" s="9"/>
      <c r="U1301" s="9"/>
      <c r="V1301" s="9"/>
      <c r="W1301" s="10"/>
      <c r="X1301" s="10"/>
      <c r="Y1301" s="10"/>
      <c r="Z1301" s="10"/>
    </row>
    <row r="1302">
      <c r="A1302" s="9"/>
      <c r="B1302" s="9"/>
      <c r="C1302" s="9"/>
      <c r="D1302" s="9"/>
      <c r="E1302" s="9"/>
      <c r="F1302" s="9"/>
      <c r="G1302" s="9"/>
      <c r="H1302" s="9"/>
      <c r="I1302" s="9"/>
      <c r="J1302" s="9"/>
      <c r="K1302" s="9"/>
      <c r="L1302" s="115"/>
      <c r="M1302" s="115"/>
      <c r="N1302" s="115"/>
      <c r="O1302" s="115"/>
      <c r="P1302" s="9"/>
      <c r="Q1302" s="9"/>
      <c r="R1302" s="9"/>
      <c r="S1302" s="9"/>
      <c r="T1302" s="9"/>
      <c r="U1302" s="9"/>
      <c r="V1302" s="9"/>
      <c r="W1302" s="10"/>
      <c r="X1302" s="10"/>
      <c r="Y1302" s="10"/>
      <c r="Z1302" s="10"/>
    </row>
    <row r="1303">
      <c r="A1303" s="9"/>
      <c r="B1303" s="9"/>
      <c r="C1303" s="9"/>
      <c r="D1303" s="9"/>
      <c r="E1303" s="9"/>
      <c r="F1303" s="9"/>
      <c r="G1303" s="9"/>
      <c r="H1303" s="9"/>
      <c r="I1303" s="9"/>
      <c r="J1303" s="9"/>
      <c r="K1303" s="9"/>
      <c r="L1303" s="115"/>
      <c r="M1303" s="115"/>
      <c r="N1303" s="115"/>
      <c r="O1303" s="115"/>
      <c r="P1303" s="9"/>
      <c r="Q1303" s="9"/>
      <c r="R1303" s="9"/>
      <c r="S1303" s="9"/>
      <c r="T1303" s="9"/>
      <c r="U1303" s="9"/>
      <c r="V1303" s="9"/>
      <c r="W1303" s="10"/>
      <c r="X1303" s="10"/>
      <c r="Y1303" s="10"/>
      <c r="Z1303" s="10"/>
    </row>
    <row r="1304">
      <c r="A1304" s="9"/>
      <c r="B1304" s="9"/>
      <c r="C1304" s="9"/>
      <c r="D1304" s="9"/>
      <c r="E1304" s="9"/>
      <c r="F1304" s="9"/>
      <c r="G1304" s="9"/>
      <c r="H1304" s="9"/>
      <c r="I1304" s="9"/>
      <c r="J1304" s="9"/>
      <c r="K1304" s="9"/>
      <c r="L1304" s="115"/>
      <c r="M1304" s="115"/>
      <c r="N1304" s="115"/>
      <c r="O1304" s="115"/>
      <c r="P1304" s="9"/>
      <c r="Q1304" s="9"/>
      <c r="R1304" s="9"/>
      <c r="S1304" s="9"/>
      <c r="T1304" s="9"/>
      <c r="U1304" s="9"/>
      <c r="V1304" s="9"/>
      <c r="W1304" s="10"/>
      <c r="X1304" s="10"/>
      <c r="Y1304" s="10"/>
      <c r="Z1304" s="10"/>
    </row>
    <row r="1305">
      <c r="A1305" s="9"/>
      <c r="B1305" s="9"/>
      <c r="C1305" s="9"/>
      <c r="D1305" s="9"/>
      <c r="E1305" s="9"/>
      <c r="F1305" s="9"/>
      <c r="G1305" s="9"/>
      <c r="H1305" s="9"/>
      <c r="I1305" s="9"/>
      <c r="J1305" s="9"/>
      <c r="K1305" s="9"/>
      <c r="L1305" s="115"/>
      <c r="M1305" s="115"/>
      <c r="N1305" s="115"/>
      <c r="O1305" s="115"/>
      <c r="P1305" s="9"/>
      <c r="Q1305" s="9"/>
      <c r="R1305" s="9"/>
      <c r="S1305" s="9"/>
      <c r="T1305" s="9"/>
      <c r="U1305" s="9"/>
      <c r="V1305" s="9"/>
      <c r="W1305" s="10"/>
      <c r="X1305" s="10"/>
      <c r="Y1305" s="10"/>
      <c r="Z1305" s="10"/>
    </row>
    <row r="1306">
      <c r="A1306" s="9"/>
      <c r="B1306" s="9"/>
      <c r="C1306" s="9"/>
      <c r="D1306" s="9"/>
      <c r="E1306" s="9"/>
      <c r="F1306" s="9"/>
      <c r="G1306" s="9"/>
      <c r="H1306" s="9"/>
      <c r="I1306" s="9"/>
      <c r="J1306" s="9"/>
      <c r="K1306" s="9"/>
      <c r="L1306" s="115"/>
      <c r="M1306" s="115"/>
      <c r="N1306" s="115"/>
      <c r="O1306" s="115"/>
      <c r="P1306" s="9"/>
      <c r="Q1306" s="9"/>
      <c r="R1306" s="9"/>
      <c r="S1306" s="9"/>
      <c r="T1306" s="9"/>
      <c r="U1306" s="9"/>
      <c r="V1306" s="9"/>
      <c r="W1306" s="10"/>
      <c r="X1306" s="10"/>
      <c r="Y1306" s="10"/>
      <c r="Z1306" s="10"/>
    </row>
    <row r="1307">
      <c r="A1307" s="9"/>
      <c r="B1307" s="9"/>
      <c r="C1307" s="9"/>
      <c r="D1307" s="9"/>
      <c r="E1307" s="9"/>
      <c r="F1307" s="9"/>
      <c r="G1307" s="9"/>
      <c r="H1307" s="9"/>
      <c r="I1307" s="9"/>
      <c r="J1307" s="9"/>
      <c r="K1307" s="9"/>
      <c r="L1307" s="115"/>
      <c r="M1307" s="115"/>
      <c r="N1307" s="115"/>
      <c r="O1307" s="115"/>
      <c r="P1307" s="9"/>
      <c r="Q1307" s="9"/>
      <c r="R1307" s="9"/>
      <c r="S1307" s="9"/>
      <c r="T1307" s="9"/>
      <c r="U1307" s="9"/>
      <c r="V1307" s="9"/>
      <c r="W1307" s="10"/>
      <c r="X1307" s="10"/>
      <c r="Y1307" s="10"/>
      <c r="Z1307" s="10"/>
    </row>
    <row r="1308">
      <c r="A1308" s="9"/>
      <c r="B1308" s="9"/>
      <c r="C1308" s="9"/>
      <c r="D1308" s="9"/>
      <c r="E1308" s="9"/>
      <c r="F1308" s="9"/>
      <c r="G1308" s="9"/>
      <c r="H1308" s="9"/>
      <c r="I1308" s="9"/>
      <c r="J1308" s="9"/>
      <c r="K1308" s="9"/>
      <c r="L1308" s="115"/>
      <c r="M1308" s="115"/>
      <c r="N1308" s="115"/>
      <c r="O1308" s="115"/>
      <c r="P1308" s="9"/>
      <c r="Q1308" s="9"/>
      <c r="R1308" s="9"/>
      <c r="S1308" s="9"/>
      <c r="T1308" s="9"/>
      <c r="U1308" s="9"/>
      <c r="V1308" s="9"/>
      <c r="W1308" s="10"/>
      <c r="X1308" s="10"/>
      <c r="Y1308" s="10"/>
      <c r="Z1308" s="10"/>
    </row>
    <row r="1309">
      <c r="A1309" s="9"/>
      <c r="B1309" s="9"/>
      <c r="C1309" s="9"/>
      <c r="D1309" s="9"/>
      <c r="E1309" s="9"/>
      <c r="F1309" s="9"/>
      <c r="G1309" s="9"/>
      <c r="H1309" s="9"/>
      <c r="I1309" s="9"/>
      <c r="J1309" s="9"/>
      <c r="K1309" s="9"/>
      <c r="L1309" s="115"/>
      <c r="M1309" s="115"/>
      <c r="N1309" s="115"/>
      <c r="O1309" s="115"/>
      <c r="P1309" s="9"/>
      <c r="Q1309" s="9"/>
      <c r="R1309" s="9"/>
      <c r="S1309" s="9"/>
      <c r="T1309" s="9"/>
      <c r="U1309" s="9"/>
      <c r="V1309" s="9"/>
      <c r="W1309" s="10"/>
      <c r="X1309" s="10"/>
      <c r="Y1309" s="10"/>
      <c r="Z1309" s="10"/>
    </row>
    <row r="1310">
      <c r="A1310" s="9"/>
      <c r="B1310" s="9"/>
      <c r="C1310" s="9"/>
      <c r="D1310" s="9"/>
      <c r="E1310" s="9"/>
      <c r="F1310" s="9"/>
      <c r="G1310" s="9"/>
      <c r="H1310" s="9"/>
      <c r="I1310" s="9"/>
      <c r="J1310" s="9"/>
      <c r="K1310" s="9"/>
      <c r="L1310" s="115"/>
      <c r="M1310" s="115"/>
      <c r="N1310" s="115"/>
      <c r="O1310" s="115"/>
      <c r="P1310" s="9"/>
      <c r="Q1310" s="9"/>
      <c r="R1310" s="9"/>
      <c r="S1310" s="9"/>
      <c r="T1310" s="9"/>
      <c r="U1310" s="9"/>
      <c r="V1310" s="9"/>
      <c r="W1310" s="10"/>
      <c r="X1310" s="10"/>
      <c r="Y1310" s="10"/>
      <c r="Z1310" s="10"/>
    </row>
    <row r="1311">
      <c r="A1311" s="9"/>
      <c r="B1311" s="9"/>
      <c r="C1311" s="9"/>
      <c r="D1311" s="9"/>
      <c r="E1311" s="9"/>
      <c r="F1311" s="9"/>
      <c r="G1311" s="9"/>
      <c r="H1311" s="9"/>
      <c r="I1311" s="9"/>
      <c r="J1311" s="9"/>
      <c r="K1311" s="9"/>
      <c r="L1311" s="115"/>
      <c r="M1311" s="115"/>
      <c r="N1311" s="115"/>
      <c r="O1311" s="115"/>
      <c r="P1311" s="9"/>
      <c r="Q1311" s="9"/>
      <c r="R1311" s="9"/>
      <c r="S1311" s="9"/>
      <c r="T1311" s="9"/>
      <c r="U1311" s="9"/>
      <c r="V1311" s="9"/>
      <c r="W1311" s="10"/>
      <c r="X1311" s="10"/>
      <c r="Y1311" s="10"/>
      <c r="Z1311" s="10"/>
    </row>
    <row r="1312">
      <c r="A1312" s="9"/>
      <c r="B1312" s="9"/>
      <c r="C1312" s="9"/>
      <c r="D1312" s="9"/>
      <c r="E1312" s="9"/>
      <c r="F1312" s="9"/>
      <c r="G1312" s="9"/>
      <c r="H1312" s="9"/>
      <c r="I1312" s="9"/>
      <c r="J1312" s="9"/>
      <c r="K1312" s="9"/>
      <c r="L1312" s="115"/>
      <c r="M1312" s="115"/>
      <c r="N1312" s="115"/>
      <c r="O1312" s="115"/>
      <c r="P1312" s="9"/>
      <c r="Q1312" s="9"/>
      <c r="R1312" s="9"/>
      <c r="S1312" s="9"/>
      <c r="T1312" s="9"/>
      <c r="U1312" s="9"/>
      <c r="V1312" s="9"/>
      <c r="W1312" s="10"/>
      <c r="X1312" s="10"/>
      <c r="Y1312" s="10"/>
      <c r="Z1312" s="10"/>
    </row>
    <row r="1313">
      <c r="A1313" s="9"/>
      <c r="B1313" s="9"/>
      <c r="C1313" s="9"/>
      <c r="D1313" s="9"/>
      <c r="E1313" s="9"/>
      <c r="F1313" s="9"/>
      <c r="G1313" s="9"/>
      <c r="H1313" s="9"/>
      <c r="I1313" s="9"/>
      <c r="J1313" s="9"/>
      <c r="K1313" s="9"/>
      <c r="L1313" s="115"/>
      <c r="M1313" s="115"/>
      <c r="N1313" s="115"/>
      <c r="O1313" s="115"/>
      <c r="P1313" s="9"/>
      <c r="Q1313" s="9"/>
      <c r="R1313" s="9"/>
      <c r="S1313" s="9"/>
      <c r="T1313" s="9"/>
      <c r="U1313" s="9"/>
      <c r="V1313" s="9"/>
      <c r="W1313" s="10"/>
      <c r="X1313" s="10"/>
      <c r="Y1313" s="10"/>
      <c r="Z1313" s="10"/>
    </row>
    <row r="1314">
      <c r="A1314" s="9"/>
      <c r="B1314" s="9"/>
      <c r="C1314" s="9"/>
      <c r="D1314" s="9"/>
      <c r="E1314" s="9"/>
      <c r="F1314" s="9"/>
      <c r="G1314" s="9"/>
      <c r="H1314" s="9"/>
      <c r="I1314" s="9"/>
      <c r="J1314" s="9"/>
      <c r="K1314" s="9"/>
      <c r="L1314" s="115"/>
      <c r="M1314" s="115"/>
      <c r="N1314" s="115"/>
      <c r="O1314" s="115"/>
      <c r="P1314" s="9"/>
      <c r="Q1314" s="9"/>
      <c r="R1314" s="9"/>
      <c r="S1314" s="9"/>
      <c r="T1314" s="9"/>
      <c r="U1314" s="9"/>
      <c r="V1314" s="9"/>
      <c r="W1314" s="10"/>
      <c r="X1314" s="10"/>
      <c r="Y1314" s="10"/>
      <c r="Z1314" s="10"/>
    </row>
    <row r="1315">
      <c r="A1315" s="9"/>
      <c r="B1315" s="9"/>
      <c r="C1315" s="9"/>
      <c r="D1315" s="9"/>
      <c r="E1315" s="9"/>
      <c r="F1315" s="9"/>
      <c r="G1315" s="9"/>
      <c r="H1315" s="9"/>
      <c r="I1315" s="9"/>
      <c r="J1315" s="9"/>
      <c r="K1315" s="9"/>
      <c r="L1315" s="115"/>
      <c r="M1315" s="115"/>
      <c r="N1315" s="115"/>
      <c r="O1315" s="115"/>
      <c r="P1315" s="9"/>
      <c r="Q1315" s="9"/>
      <c r="R1315" s="9"/>
      <c r="S1315" s="9"/>
      <c r="T1315" s="9"/>
      <c r="U1315" s="9"/>
      <c r="V1315" s="9"/>
      <c r="W1315" s="10"/>
      <c r="X1315" s="10"/>
      <c r="Y1315" s="10"/>
      <c r="Z1315" s="10"/>
    </row>
    <row r="1316">
      <c r="A1316" s="9"/>
      <c r="B1316" s="9"/>
      <c r="C1316" s="9"/>
      <c r="D1316" s="9"/>
      <c r="E1316" s="9"/>
      <c r="F1316" s="9"/>
      <c r="G1316" s="9"/>
      <c r="H1316" s="9"/>
      <c r="I1316" s="9"/>
      <c r="J1316" s="9"/>
      <c r="K1316" s="9"/>
      <c r="L1316" s="115"/>
      <c r="M1316" s="115"/>
      <c r="N1316" s="115"/>
      <c r="O1316" s="115"/>
      <c r="P1316" s="9"/>
      <c r="Q1316" s="9"/>
      <c r="R1316" s="9"/>
      <c r="S1316" s="9"/>
      <c r="T1316" s="9"/>
      <c r="U1316" s="9"/>
      <c r="V1316" s="9"/>
      <c r="W1316" s="10"/>
      <c r="X1316" s="10"/>
      <c r="Y1316" s="10"/>
      <c r="Z1316" s="10"/>
    </row>
    <row r="1317">
      <c r="A1317" s="9"/>
      <c r="B1317" s="9"/>
      <c r="C1317" s="9"/>
      <c r="D1317" s="9"/>
      <c r="E1317" s="9"/>
      <c r="F1317" s="9"/>
      <c r="G1317" s="9"/>
      <c r="H1317" s="9"/>
      <c r="I1317" s="9"/>
      <c r="J1317" s="9"/>
      <c r="K1317" s="9"/>
      <c r="L1317" s="115"/>
      <c r="M1317" s="115"/>
      <c r="N1317" s="115"/>
      <c r="O1317" s="115"/>
      <c r="P1317" s="9"/>
      <c r="Q1317" s="9"/>
      <c r="R1317" s="9"/>
      <c r="S1317" s="9"/>
      <c r="T1317" s="9"/>
      <c r="U1317" s="9"/>
      <c r="V1317" s="9"/>
      <c r="W1317" s="10"/>
      <c r="X1317" s="10"/>
      <c r="Y1317" s="10"/>
      <c r="Z1317" s="10"/>
    </row>
    <row r="1318">
      <c r="A1318" s="9"/>
      <c r="B1318" s="9"/>
      <c r="C1318" s="9"/>
      <c r="D1318" s="9"/>
      <c r="E1318" s="9"/>
      <c r="F1318" s="9"/>
      <c r="G1318" s="9"/>
      <c r="H1318" s="9"/>
      <c r="I1318" s="9"/>
      <c r="J1318" s="9"/>
      <c r="K1318" s="9"/>
      <c r="L1318" s="115"/>
      <c r="M1318" s="115"/>
      <c r="N1318" s="115"/>
      <c r="O1318" s="115"/>
      <c r="P1318" s="9"/>
      <c r="Q1318" s="9"/>
      <c r="R1318" s="9"/>
      <c r="S1318" s="9"/>
      <c r="T1318" s="9"/>
      <c r="U1318" s="9"/>
      <c r="V1318" s="9"/>
      <c r="W1318" s="10"/>
      <c r="X1318" s="10"/>
      <c r="Y1318" s="10"/>
      <c r="Z1318" s="10"/>
    </row>
    <row r="1319">
      <c r="A1319" s="9"/>
      <c r="B1319" s="9"/>
      <c r="C1319" s="9"/>
      <c r="D1319" s="9"/>
      <c r="E1319" s="9"/>
      <c r="F1319" s="9"/>
      <c r="G1319" s="9"/>
      <c r="H1319" s="9"/>
      <c r="I1319" s="9"/>
      <c r="J1319" s="9"/>
      <c r="K1319" s="9"/>
      <c r="L1319" s="115"/>
      <c r="M1319" s="115"/>
      <c r="N1319" s="115"/>
      <c r="O1319" s="115"/>
      <c r="P1319" s="9"/>
      <c r="Q1319" s="9"/>
      <c r="R1319" s="9"/>
      <c r="S1319" s="9"/>
      <c r="T1319" s="9"/>
      <c r="U1319" s="9"/>
      <c r="V1319" s="9"/>
      <c r="W1319" s="10"/>
      <c r="X1319" s="10"/>
      <c r="Y1319" s="10"/>
      <c r="Z1319" s="10"/>
    </row>
    <row r="1320">
      <c r="A1320" s="9"/>
      <c r="B1320" s="9"/>
      <c r="C1320" s="9"/>
      <c r="D1320" s="9"/>
      <c r="E1320" s="9"/>
      <c r="F1320" s="9"/>
      <c r="G1320" s="9"/>
      <c r="H1320" s="9"/>
      <c r="I1320" s="9"/>
      <c r="J1320" s="9"/>
      <c r="K1320" s="9"/>
      <c r="L1320" s="115"/>
      <c r="M1320" s="115"/>
      <c r="N1320" s="115"/>
      <c r="O1320" s="115"/>
      <c r="P1320" s="9"/>
      <c r="Q1320" s="9"/>
      <c r="R1320" s="9"/>
      <c r="S1320" s="9"/>
      <c r="T1320" s="9"/>
      <c r="U1320" s="9"/>
      <c r="V1320" s="9"/>
      <c r="W1320" s="10"/>
      <c r="X1320" s="10"/>
      <c r="Y1320" s="10"/>
      <c r="Z1320" s="10"/>
    </row>
    <row r="1321">
      <c r="A1321" s="9"/>
      <c r="B1321" s="9"/>
      <c r="C1321" s="9"/>
      <c r="D1321" s="9"/>
      <c r="E1321" s="9"/>
      <c r="F1321" s="9"/>
      <c r="G1321" s="9"/>
      <c r="H1321" s="9"/>
      <c r="I1321" s="9"/>
      <c r="J1321" s="9"/>
      <c r="K1321" s="9"/>
      <c r="L1321" s="115"/>
      <c r="M1321" s="115"/>
      <c r="N1321" s="115"/>
      <c r="O1321" s="115"/>
      <c r="P1321" s="9"/>
      <c r="Q1321" s="9"/>
      <c r="R1321" s="9"/>
      <c r="S1321" s="9"/>
      <c r="T1321" s="9"/>
      <c r="U1321" s="9"/>
      <c r="V1321" s="9"/>
      <c r="W1321" s="10"/>
      <c r="X1321" s="10"/>
      <c r="Y1321" s="10"/>
      <c r="Z1321" s="10"/>
    </row>
    <row r="1322">
      <c r="A1322" s="9"/>
      <c r="B1322" s="9"/>
      <c r="C1322" s="9"/>
      <c r="D1322" s="9"/>
      <c r="E1322" s="9"/>
      <c r="F1322" s="9"/>
      <c r="G1322" s="9"/>
      <c r="H1322" s="9"/>
      <c r="I1322" s="9"/>
      <c r="J1322" s="9"/>
      <c r="K1322" s="9"/>
      <c r="L1322" s="115"/>
      <c r="M1322" s="115"/>
      <c r="N1322" s="115"/>
      <c r="O1322" s="115"/>
      <c r="P1322" s="9"/>
      <c r="Q1322" s="9"/>
      <c r="R1322" s="9"/>
      <c r="S1322" s="9"/>
      <c r="T1322" s="9"/>
      <c r="U1322" s="9"/>
      <c r="V1322" s="9"/>
      <c r="W1322" s="10"/>
      <c r="X1322" s="10"/>
      <c r="Y1322" s="10"/>
      <c r="Z1322" s="10"/>
    </row>
    <row r="1323">
      <c r="A1323" s="9"/>
      <c r="B1323" s="9"/>
      <c r="C1323" s="9"/>
      <c r="D1323" s="9"/>
      <c r="E1323" s="9"/>
      <c r="F1323" s="9"/>
      <c r="G1323" s="9"/>
      <c r="H1323" s="9"/>
      <c r="I1323" s="9"/>
      <c r="J1323" s="9"/>
      <c r="K1323" s="9"/>
      <c r="L1323" s="115"/>
      <c r="M1323" s="115"/>
      <c r="N1323" s="115"/>
      <c r="O1323" s="115"/>
      <c r="P1323" s="9"/>
      <c r="Q1323" s="9"/>
      <c r="R1323" s="9"/>
      <c r="S1323" s="9"/>
      <c r="T1323" s="9"/>
      <c r="U1323" s="9"/>
      <c r="V1323" s="9"/>
      <c r="W1323" s="10"/>
      <c r="X1323" s="10"/>
      <c r="Y1323" s="10"/>
      <c r="Z1323" s="10"/>
    </row>
    <row r="1324">
      <c r="A1324" s="9"/>
      <c r="B1324" s="9"/>
      <c r="C1324" s="9"/>
      <c r="D1324" s="9"/>
      <c r="E1324" s="9"/>
      <c r="F1324" s="9"/>
      <c r="G1324" s="9"/>
      <c r="H1324" s="9"/>
      <c r="I1324" s="9"/>
      <c r="J1324" s="9"/>
      <c r="K1324" s="9"/>
      <c r="L1324" s="115"/>
      <c r="M1324" s="115"/>
      <c r="N1324" s="115"/>
      <c r="O1324" s="115"/>
      <c r="P1324" s="9"/>
      <c r="Q1324" s="9"/>
      <c r="R1324" s="9"/>
      <c r="S1324" s="9"/>
      <c r="T1324" s="9"/>
      <c r="U1324" s="9"/>
      <c r="V1324" s="9"/>
      <c r="W1324" s="10"/>
      <c r="X1324" s="10"/>
      <c r="Y1324" s="10"/>
      <c r="Z1324" s="10"/>
    </row>
    <row r="1325">
      <c r="A1325" s="9"/>
      <c r="B1325" s="9"/>
      <c r="C1325" s="9"/>
      <c r="D1325" s="9"/>
      <c r="E1325" s="9"/>
      <c r="F1325" s="9"/>
      <c r="G1325" s="9"/>
      <c r="H1325" s="9"/>
      <c r="I1325" s="9"/>
      <c r="J1325" s="9"/>
      <c r="K1325" s="9"/>
      <c r="L1325" s="115"/>
      <c r="M1325" s="115"/>
      <c r="N1325" s="115"/>
      <c r="O1325" s="115"/>
      <c r="P1325" s="9"/>
      <c r="Q1325" s="9"/>
      <c r="R1325" s="9"/>
      <c r="S1325" s="9"/>
      <c r="T1325" s="9"/>
      <c r="U1325" s="9"/>
      <c r="V1325" s="9"/>
      <c r="W1325" s="10"/>
      <c r="X1325" s="10"/>
      <c r="Y1325" s="10"/>
      <c r="Z1325" s="10"/>
    </row>
    <row r="1326">
      <c r="A1326" s="9"/>
      <c r="B1326" s="9"/>
      <c r="C1326" s="9"/>
      <c r="D1326" s="9"/>
      <c r="E1326" s="9"/>
      <c r="F1326" s="9"/>
      <c r="G1326" s="9"/>
      <c r="H1326" s="9"/>
      <c r="I1326" s="9"/>
      <c r="J1326" s="9"/>
      <c r="K1326" s="9"/>
      <c r="L1326" s="115"/>
      <c r="M1326" s="115"/>
      <c r="N1326" s="115"/>
      <c r="O1326" s="115"/>
      <c r="P1326" s="9"/>
      <c r="Q1326" s="9"/>
      <c r="R1326" s="9"/>
      <c r="S1326" s="9"/>
      <c r="T1326" s="9"/>
      <c r="U1326" s="9"/>
      <c r="V1326" s="9"/>
      <c r="W1326" s="10"/>
      <c r="X1326" s="10"/>
      <c r="Y1326" s="10"/>
      <c r="Z1326" s="10"/>
    </row>
    <row r="1327">
      <c r="A1327" s="9"/>
      <c r="B1327" s="9"/>
      <c r="C1327" s="9"/>
      <c r="D1327" s="9"/>
      <c r="E1327" s="9"/>
      <c r="F1327" s="9"/>
      <c r="G1327" s="9"/>
      <c r="H1327" s="9"/>
      <c r="I1327" s="9"/>
      <c r="J1327" s="9"/>
      <c r="K1327" s="9"/>
      <c r="L1327" s="115"/>
      <c r="M1327" s="115"/>
      <c r="N1327" s="115"/>
      <c r="O1327" s="115"/>
      <c r="P1327" s="9"/>
      <c r="Q1327" s="9"/>
      <c r="R1327" s="9"/>
      <c r="S1327" s="9"/>
      <c r="T1327" s="9"/>
      <c r="U1327" s="9"/>
      <c r="V1327" s="9"/>
      <c r="W1327" s="10"/>
      <c r="X1327" s="10"/>
      <c r="Y1327" s="10"/>
      <c r="Z1327" s="10"/>
    </row>
    <row r="1328">
      <c r="A1328" s="9"/>
      <c r="B1328" s="9"/>
      <c r="C1328" s="9"/>
      <c r="D1328" s="9"/>
      <c r="E1328" s="9"/>
      <c r="F1328" s="9"/>
      <c r="G1328" s="9"/>
      <c r="H1328" s="9"/>
      <c r="I1328" s="9"/>
      <c r="J1328" s="9"/>
      <c r="K1328" s="9"/>
      <c r="L1328" s="115"/>
      <c r="M1328" s="115"/>
      <c r="N1328" s="115"/>
      <c r="O1328" s="115"/>
      <c r="P1328" s="9"/>
      <c r="Q1328" s="9"/>
      <c r="R1328" s="9"/>
      <c r="S1328" s="9"/>
      <c r="T1328" s="9"/>
      <c r="U1328" s="9"/>
      <c r="V1328" s="9"/>
      <c r="W1328" s="10"/>
      <c r="X1328" s="10"/>
      <c r="Y1328" s="10"/>
      <c r="Z1328" s="10"/>
    </row>
    <row r="1329">
      <c r="A1329" s="9"/>
      <c r="B1329" s="9"/>
      <c r="C1329" s="9"/>
      <c r="D1329" s="9"/>
      <c r="E1329" s="9"/>
      <c r="F1329" s="9"/>
      <c r="G1329" s="9"/>
      <c r="H1329" s="9"/>
      <c r="I1329" s="9"/>
      <c r="J1329" s="9"/>
      <c r="K1329" s="9"/>
      <c r="L1329" s="115"/>
      <c r="M1329" s="115"/>
      <c r="N1329" s="115"/>
      <c r="O1329" s="115"/>
      <c r="P1329" s="9"/>
      <c r="Q1329" s="9"/>
      <c r="R1329" s="9"/>
      <c r="S1329" s="9"/>
      <c r="T1329" s="9"/>
      <c r="U1329" s="9"/>
      <c r="V1329" s="9"/>
      <c r="W1329" s="10"/>
      <c r="X1329" s="10"/>
      <c r="Y1329" s="10"/>
      <c r="Z1329" s="10"/>
    </row>
    <row r="1330">
      <c r="A1330" s="9"/>
      <c r="B1330" s="9"/>
      <c r="C1330" s="9"/>
      <c r="D1330" s="9"/>
      <c r="E1330" s="9"/>
      <c r="F1330" s="9"/>
      <c r="G1330" s="9"/>
      <c r="H1330" s="9"/>
      <c r="I1330" s="9"/>
      <c r="J1330" s="9"/>
      <c r="K1330" s="9"/>
      <c r="L1330" s="115"/>
      <c r="M1330" s="115"/>
      <c r="N1330" s="115"/>
      <c r="O1330" s="115"/>
      <c r="P1330" s="9"/>
      <c r="Q1330" s="9"/>
      <c r="R1330" s="9"/>
      <c r="S1330" s="9"/>
      <c r="T1330" s="9"/>
      <c r="U1330" s="9"/>
      <c r="V1330" s="9"/>
      <c r="W1330" s="10"/>
      <c r="X1330" s="10"/>
      <c r="Y1330" s="10"/>
      <c r="Z1330" s="10"/>
    </row>
    <row r="1331">
      <c r="A1331" s="9"/>
      <c r="B1331" s="9"/>
      <c r="C1331" s="9"/>
      <c r="D1331" s="9"/>
      <c r="E1331" s="9"/>
      <c r="F1331" s="9"/>
      <c r="G1331" s="9"/>
      <c r="H1331" s="9"/>
      <c r="I1331" s="9"/>
      <c r="J1331" s="9"/>
      <c r="K1331" s="9"/>
      <c r="L1331" s="115"/>
      <c r="M1331" s="115"/>
      <c r="N1331" s="115"/>
      <c r="O1331" s="115"/>
      <c r="P1331" s="9"/>
      <c r="Q1331" s="9"/>
      <c r="R1331" s="9"/>
      <c r="S1331" s="9"/>
      <c r="T1331" s="9"/>
      <c r="U1331" s="9"/>
      <c r="V1331" s="9"/>
      <c r="W1331" s="10"/>
      <c r="X1331" s="10"/>
      <c r="Y1331" s="10"/>
      <c r="Z1331" s="10"/>
    </row>
    <row r="1332">
      <c r="A1332" s="9"/>
      <c r="B1332" s="9"/>
      <c r="C1332" s="9"/>
      <c r="D1332" s="9"/>
      <c r="E1332" s="9"/>
      <c r="F1332" s="9"/>
      <c r="G1332" s="9"/>
      <c r="H1332" s="9"/>
      <c r="I1332" s="9"/>
      <c r="J1332" s="9"/>
      <c r="K1332" s="9"/>
      <c r="L1332" s="115"/>
      <c r="M1332" s="115"/>
      <c r="N1332" s="115"/>
      <c r="O1332" s="115"/>
      <c r="P1332" s="9"/>
      <c r="Q1332" s="9"/>
      <c r="R1332" s="9"/>
      <c r="S1332" s="9"/>
      <c r="T1332" s="9"/>
      <c r="U1332" s="9"/>
      <c r="V1332" s="9"/>
      <c r="W1332" s="10"/>
      <c r="X1332" s="10"/>
      <c r="Y1332" s="10"/>
      <c r="Z1332" s="10"/>
    </row>
    <row r="1333">
      <c r="A1333" s="9"/>
      <c r="B1333" s="9"/>
      <c r="C1333" s="9"/>
      <c r="D1333" s="9"/>
      <c r="E1333" s="9"/>
      <c r="F1333" s="9"/>
      <c r="G1333" s="9"/>
      <c r="H1333" s="9"/>
      <c r="I1333" s="9"/>
      <c r="J1333" s="9"/>
      <c r="K1333" s="9"/>
      <c r="L1333" s="115"/>
      <c r="M1333" s="115"/>
      <c r="N1333" s="115"/>
      <c r="O1333" s="115"/>
      <c r="P1333" s="9"/>
      <c r="Q1333" s="9"/>
      <c r="R1333" s="9"/>
      <c r="S1333" s="9"/>
      <c r="T1333" s="9"/>
      <c r="U1333" s="9"/>
      <c r="V1333" s="9"/>
      <c r="W1333" s="10"/>
      <c r="X1333" s="10"/>
      <c r="Y1333" s="10"/>
      <c r="Z1333" s="10"/>
    </row>
    <row r="1334">
      <c r="A1334" s="9"/>
      <c r="B1334" s="9"/>
      <c r="C1334" s="9"/>
      <c r="D1334" s="9"/>
      <c r="E1334" s="9"/>
      <c r="F1334" s="9"/>
      <c r="G1334" s="9"/>
      <c r="H1334" s="9"/>
      <c r="I1334" s="9"/>
      <c r="J1334" s="9"/>
      <c r="K1334" s="9"/>
      <c r="L1334" s="115"/>
      <c r="M1334" s="115"/>
      <c r="N1334" s="115"/>
      <c r="O1334" s="115"/>
      <c r="P1334" s="9"/>
      <c r="Q1334" s="9"/>
      <c r="R1334" s="9"/>
      <c r="S1334" s="9"/>
      <c r="T1334" s="9"/>
      <c r="U1334" s="9"/>
      <c r="V1334" s="9"/>
      <c r="W1334" s="10"/>
      <c r="X1334" s="10"/>
      <c r="Y1334" s="10"/>
      <c r="Z1334" s="10"/>
    </row>
    <row r="1335">
      <c r="A1335" s="9"/>
      <c r="B1335" s="9"/>
      <c r="C1335" s="9"/>
      <c r="D1335" s="9"/>
      <c r="E1335" s="9"/>
      <c r="F1335" s="9"/>
      <c r="G1335" s="9"/>
      <c r="H1335" s="9"/>
      <c r="I1335" s="9"/>
      <c r="J1335" s="9"/>
      <c r="K1335" s="9"/>
      <c r="L1335" s="115"/>
      <c r="M1335" s="115"/>
      <c r="N1335" s="115"/>
      <c r="O1335" s="115"/>
      <c r="P1335" s="9"/>
      <c r="Q1335" s="9"/>
      <c r="R1335" s="9"/>
      <c r="S1335" s="9"/>
      <c r="T1335" s="9"/>
      <c r="U1335" s="9"/>
      <c r="V1335" s="9"/>
      <c r="W1335" s="10"/>
      <c r="X1335" s="10"/>
      <c r="Y1335" s="10"/>
      <c r="Z1335" s="10"/>
    </row>
    <row r="1336">
      <c r="A1336" s="9"/>
      <c r="B1336" s="9"/>
      <c r="C1336" s="9"/>
      <c r="D1336" s="9"/>
      <c r="E1336" s="9"/>
      <c r="F1336" s="9"/>
      <c r="G1336" s="9"/>
      <c r="H1336" s="9"/>
      <c r="I1336" s="9"/>
      <c r="J1336" s="9"/>
      <c r="K1336" s="9"/>
      <c r="L1336" s="115"/>
      <c r="M1336" s="115"/>
      <c r="N1336" s="115"/>
      <c r="O1336" s="115"/>
      <c r="P1336" s="9"/>
      <c r="Q1336" s="9"/>
      <c r="R1336" s="9"/>
      <c r="S1336" s="9"/>
      <c r="T1336" s="9"/>
      <c r="U1336" s="9"/>
      <c r="V1336" s="9"/>
      <c r="W1336" s="10"/>
      <c r="X1336" s="10"/>
      <c r="Y1336" s="10"/>
      <c r="Z1336" s="10"/>
    </row>
    <row r="1337">
      <c r="A1337" s="9"/>
      <c r="B1337" s="9"/>
      <c r="C1337" s="9"/>
      <c r="D1337" s="9"/>
      <c r="E1337" s="9"/>
      <c r="F1337" s="9"/>
      <c r="G1337" s="9"/>
      <c r="H1337" s="9"/>
      <c r="I1337" s="9"/>
      <c r="J1337" s="9"/>
      <c r="K1337" s="9"/>
      <c r="L1337" s="115"/>
      <c r="M1337" s="115"/>
      <c r="N1337" s="115"/>
      <c r="O1337" s="115"/>
      <c r="P1337" s="9"/>
      <c r="Q1337" s="9"/>
      <c r="R1337" s="9"/>
      <c r="S1337" s="9"/>
      <c r="T1337" s="9"/>
      <c r="U1337" s="9"/>
      <c r="V1337" s="9"/>
      <c r="W1337" s="10"/>
      <c r="X1337" s="10"/>
      <c r="Y1337" s="10"/>
      <c r="Z1337" s="10"/>
    </row>
    <row r="1338">
      <c r="A1338" s="9"/>
      <c r="B1338" s="9"/>
      <c r="C1338" s="9"/>
      <c r="D1338" s="9"/>
      <c r="E1338" s="9"/>
      <c r="F1338" s="9"/>
      <c r="G1338" s="9"/>
      <c r="H1338" s="9"/>
      <c r="I1338" s="9"/>
      <c r="J1338" s="9"/>
      <c r="K1338" s="9"/>
      <c r="L1338" s="115"/>
      <c r="M1338" s="115"/>
      <c r="N1338" s="115"/>
      <c r="O1338" s="115"/>
      <c r="P1338" s="9"/>
      <c r="Q1338" s="9"/>
      <c r="R1338" s="9"/>
      <c r="S1338" s="9"/>
      <c r="T1338" s="9"/>
      <c r="U1338" s="9"/>
      <c r="V1338" s="9"/>
      <c r="W1338" s="10"/>
      <c r="X1338" s="10"/>
      <c r="Y1338" s="10"/>
      <c r="Z1338" s="10"/>
    </row>
    <row r="1339">
      <c r="A1339" s="9"/>
      <c r="B1339" s="9"/>
      <c r="C1339" s="9"/>
      <c r="D1339" s="9"/>
      <c r="E1339" s="9"/>
      <c r="F1339" s="9"/>
      <c r="G1339" s="9"/>
      <c r="H1339" s="9"/>
      <c r="I1339" s="9"/>
      <c r="J1339" s="9"/>
      <c r="K1339" s="9"/>
      <c r="L1339" s="115"/>
      <c r="M1339" s="115"/>
      <c r="N1339" s="115"/>
      <c r="O1339" s="115"/>
      <c r="P1339" s="9"/>
      <c r="Q1339" s="9"/>
      <c r="R1339" s="9"/>
      <c r="S1339" s="9"/>
      <c r="T1339" s="9"/>
      <c r="U1339" s="9"/>
      <c r="V1339" s="9"/>
      <c r="W1339" s="10"/>
      <c r="X1339" s="10"/>
      <c r="Y1339" s="10"/>
      <c r="Z1339" s="10"/>
    </row>
    <row r="1340">
      <c r="A1340" s="9"/>
      <c r="B1340" s="9"/>
      <c r="C1340" s="9"/>
      <c r="D1340" s="9"/>
      <c r="E1340" s="9"/>
      <c r="F1340" s="9"/>
      <c r="G1340" s="9"/>
      <c r="H1340" s="9"/>
      <c r="I1340" s="9"/>
      <c r="J1340" s="9"/>
      <c r="K1340" s="9"/>
      <c r="L1340" s="115"/>
      <c r="M1340" s="115"/>
      <c r="N1340" s="115"/>
      <c r="O1340" s="115"/>
      <c r="P1340" s="9"/>
      <c r="Q1340" s="9"/>
      <c r="R1340" s="9"/>
      <c r="S1340" s="9"/>
      <c r="T1340" s="9"/>
      <c r="U1340" s="9"/>
      <c r="V1340" s="9"/>
      <c r="W1340" s="10"/>
      <c r="X1340" s="10"/>
      <c r="Y1340" s="10"/>
      <c r="Z1340" s="10"/>
    </row>
    <row r="1341">
      <c r="A1341" s="9"/>
      <c r="B1341" s="9"/>
      <c r="C1341" s="9"/>
      <c r="D1341" s="9"/>
      <c r="E1341" s="9"/>
      <c r="F1341" s="9"/>
      <c r="G1341" s="9"/>
      <c r="H1341" s="9"/>
      <c r="I1341" s="9"/>
      <c r="J1341" s="9"/>
      <c r="K1341" s="9"/>
      <c r="L1341" s="115"/>
      <c r="M1341" s="115"/>
      <c r="N1341" s="115"/>
      <c r="O1341" s="115"/>
      <c r="P1341" s="9"/>
      <c r="Q1341" s="9"/>
      <c r="R1341" s="9"/>
      <c r="S1341" s="9"/>
      <c r="T1341" s="9"/>
      <c r="U1341" s="9"/>
      <c r="V1341" s="9"/>
      <c r="W1341" s="10"/>
      <c r="X1341" s="10"/>
      <c r="Y1341" s="10"/>
      <c r="Z1341" s="10"/>
    </row>
    <row r="1342">
      <c r="A1342" s="9"/>
      <c r="B1342" s="9"/>
      <c r="C1342" s="9"/>
      <c r="D1342" s="9"/>
      <c r="E1342" s="9"/>
      <c r="F1342" s="9"/>
      <c r="G1342" s="9"/>
      <c r="H1342" s="9"/>
      <c r="I1342" s="9"/>
      <c r="J1342" s="9"/>
      <c r="K1342" s="9"/>
      <c r="L1342" s="115"/>
      <c r="M1342" s="115"/>
      <c r="N1342" s="115"/>
      <c r="O1342" s="115"/>
      <c r="P1342" s="9"/>
      <c r="Q1342" s="9"/>
      <c r="R1342" s="9"/>
      <c r="S1342" s="9"/>
      <c r="T1342" s="9"/>
      <c r="U1342" s="9"/>
      <c r="V1342" s="9"/>
      <c r="W1342" s="10"/>
      <c r="X1342" s="10"/>
      <c r="Y1342" s="10"/>
      <c r="Z1342" s="10"/>
    </row>
    <row r="1343">
      <c r="A1343" s="9"/>
      <c r="B1343" s="9"/>
      <c r="C1343" s="9"/>
      <c r="D1343" s="9"/>
      <c r="E1343" s="9"/>
      <c r="F1343" s="9"/>
      <c r="G1343" s="9"/>
      <c r="H1343" s="9"/>
      <c r="I1343" s="9"/>
      <c r="J1343" s="9"/>
      <c r="K1343" s="9"/>
      <c r="L1343" s="115"/>
      <c r="M1343" s="115"/>
      <c r="N1343" s="115"/>
      <c r="O1343" s="115"/>
      <c r="P1343" s="9"/>
      <c r="Q1343" s="9"/>
      <c r="R1343" s="9"/>
      <c r="S1343" s="9"/>
      <c r="T1343" s="9"/>
      <c r="U1343" s="9"/>
      <c r="V1343" s="9"/>
      <c r="W1343" s="10"/>
      <c r="X1343" s="10"/>
      <c r="Y1343" s="10"/>
      <c r="Z1343" s="10"/>
    </row>
    <row r="1344">
      <c r="A1344" s="9"/>
      <c r="B1344" s="9"/>
      <c r="C1344" s="9"/>
      <c r="D1344" s="9"/>
      <c r="E1344" s="9"/>
      <c r="F1344" s="9"/>
      <c r="G1344" s="9"/>
      <c r="H1344" s="9"/>
      <c r="I1344" s="9"/>
      <c r="J1344" s="9"/>
      <c r="K1344" s="9"/>
      <c r="L1344" s="115"/>
      <c r="M1344" s="115"/>
      <c r="N1344" s="115"/>
      <c r="O1344" s="115"/>
      <c r="P1344" s="9"/>
      <c r="Q1344" s="9"/>
      <c r="R1344" s="9"/>
      <c r="S1344" s="9"/>
      <c r="T1344" s="9"/>
      <c r="U1344" s="9"/>
      <c r="V1344" s="9"/>
      <c r="W1344" s="10"/>
      <c r="X1344" s="10"/>
      <c r="Y1344" s="10"/>
      <c r="Z1344" s="10"/>
    </row>
    <row r="1345">
      <c r="A1345" s="9"/>
      <c r="B1345" s="9"/>
      <c r="C1345" s="9"/>
      <c r="D1345" s="9"/>
      <c r="E1345" s="9"/>
      <c r="F1345" s="9"/>
      <c r="G1345" s="9"/>
      <c r="H1345" s="9"/>
      <c r="I1345" s="9"/>
      <c r="J1345" s="9"/>
      <c r="K1345" s="9"/>
      <c r="L1345" s="115"/>
      <c r="M1345" s="115"/>
      <c r="N1345" s="115"/>
      <c r="O1345" s="115"/>
      <c r="P1345" s="9"/>
      <c r="Q1345" s="9"/>
      <c r="R1345" s="9"/>
      <c r="S1345" s="9"/>
      <c r="T1345" s="9"/>
      <c r="U1345" s="9"/>
      <c r="V1345" s="9"/>
      <c r="W1345" s="10"/>
      <c r="X1345" s="10"/>
      <c r="Y1345" s="10"/>
      <c r="Z1345" s="10"/>
    </row>
    <row r="1346">
      <c r="A1346" s="9"/>
      <c r="B1346" s="9"/>
      <c r="C1346" s="9"/>
      <c r="D1346" s="9"/>
      <c r="E1346" s="9"/>
      <c r="F1346" s="9"/>
      <c r="G1346" s="9"/>
      <c r="H1346" s="9"/>
      <c r="I1346" s="9"/>
      <c r="J1346" s="9"/>
      <c r="K1346" s="9"/>
      <c r="L1346" s="115"/>
      <c r="M1346" s="115"/>
      <c r="N1346" s="115"/>
      <c r="O1346" s="115"/>
      <c r="P1346" s="9"/>
      <c r="Q1346" s="9"/>
      <c r="R1346" s="9"/>
      <c r="S1346" s="9"/>
      <c r="T1346" s="9"/>
      <c r="U1346" s="9"/>
      <c r="V1346" s="9"/>
      <c r="W1346" s="10"/>
      <c r="X1346" s="10"/>
      <c r="Y1346" s="10"/>
      <c r="Z1346" s="10"/>
    </row>
    <row r="1347">
      <c r="A1347" s="9"/>
      <c r="B1347" s="9"/>
      <c r="C1347" s="9"/>
      <c r="D1347" s="9"/>
      <c r="E1347" s="9"/>
      <c r="F1347" s="9"/>
      <c r="G1347" s="9"/>
      <c r="H1347" s="9"/>
      <c r="I1347" s="9"/>
      <c r="J1347" s="9"/>
      <c r="K1347" s="9"/>
      <c r="L1347" s="115"/>
      <c r="M1347" s="115"/>
      <c r="N1347" s="115"/>
      <c r="O1347" s="115"/>
      <c r="P1347" s="9"/>
      <c r="Q1347" s="9"/>
      <c r="R1347" s="9"/>
      <c r="S1347" s="9"/>
      <c r="T1347" s="9"/>
      <c r="U1347" s="9"/>
      <c r="V1347" s="9"/>
      <c r="W1347" s="10"/>
      <c r="X1347" s="10"/>
      <c r="Y1347" s="10"/>
      <c r="Z1347" s="10"/>
    </row>
    <row r="1348">
      <c r="A1348" s="9"/>
      <c r="B1348" s="9"/>
      <c r="C1348" s="9"/>
      <c r="D1348" s="9"/>
      <c r="E1348" s="9"/>
      <c r="F1348" s="9"/>
      <c r="G1348" s="9"/>
      <c r="H1348" s="9"/>
      <c r="I1348" s="9"/>
      <c r="J1348" s="9"/>
      <c r="K1348" s="9"/>
      <c r="L1348" s="115"/>
      <c r="M1348" s="115"/>
      <c r="N1348" s="115"/>
      <c r="O1348" s="115"/>
      <c r="P1348" s="9"/>
      <c r="Q1348" s="9"/>
      <c r="R1348" s="9"/>
      <c r="S1348" s="9"/>
      <c r="T1348" s="9"/>
      <c r="U1348" s="9"/>
      <c r="V1348" s="9"/>
      <c r="W1348" s="10"/>
      <c r="X1348" s="10"/>
      <c r="Y1348" s="10"/>
      <c r="Z1348" s="10"/>
    </row>
    <row r="1349">
      <c r="A1349" s="9"/>
      <c r="B1349" s="9"/>
      <c r="C1349" s="9"/>
      <c r="D1349" s="9"/>
      <c r="E1349" s="9"/>
      <c r="F1349" s="9"/>
      <c r="G1349" s="9"/>
      <c r="H1349" s="9"/>
      <c r="I1349" s="9"/>
      <c r="J1349" s="9"/>
      <c r="K1349" s="9"/>
      <c r="L1349" s="115"/>
      <c r="M1349" s="115"/>
      <c r="N1349" s="115"/>
      <c r="O1349" s="115"/>
      <c r="P1349" s="9"/>
      <c r="Q1349" s="9"/>
      <c r="R1349" s="9"/>
      <c r="S1349" s="9"/>
      <c r="T1349" s="9"/>
      <c r="U1349" s="9"/>
      <c r="V1349" s="9"/>
      <c r="W1349" s="10"/>
      <c r="X1349" s="10"/>
      <c r="Y1349" s="10"/>
      <c r="Z1349" s="10"/>
    </row>
    <row r="1350">
      <c r="A1350" s="9"/>
      <c r="B1350" s="9"/>
      <c r="C1350" s="9"/>
      <c r="D1350" s="9"/>
      <c r="E1350" s="9"/>
      <c r="F1350" s="9"/>
      <c r="G1350" s="9"/>
      <c r="H1350" s="9"/>
      <c r="I1350" s="9"/>
      <c r="J1350" s="9"/>
      <c r="K1350" s="9"/>
      <c r="L1350" s="115"/>
      <c r="M1350" s="115"/>
      <c r="N1350" s="115"/>
      <c r="O1350" s="115"/>
      <c r="P1350" s="9"/>
      <c r="Q1350" s="9"/>
      <c r="R1350" s="9"/>
      <c r="S1350" s="9"/>
      <c r="T1350" s="9"/>
      <c r="U1350" s="9"/>
      <c r="V1350" s="9"/>
      <c r="W1350" s="10"/>
      <c r="X1350" s="10"/>
      <c r="Y1350" s="10"/>
      <c r="Z1350" s="10"/>
    </row>
    <row r="1351">
      <c r="A1351" s="9"/>
      <c r="B1351" s="9"/>
      <c r="C1351" s="9"/>
      <c r="D1351" s="9"/>
      <c r="E1351" s="9"/>
      <c r="F1351" s="9"/>
      <c r="G1351" s="9"/>
      <c r="H1351" s="9"/>
      <c r="I1351" s="9"/>
      <c r="J1351" s="9"/>
      <c r="K1351" s="9"/>
      <c r="L1351" s="115"/>
      <c r="M1351" s="115"/>
      <c r="N1351" s="115"/>
      <c r="O1351" s="115"/>
      <c r="P1351" s="9"/>
      <c r="Q1351" s="9"/>
      <c r="R1351" s="9"/>
      <c r="S1351" s="9"/>
      <c r="T1351" s="9"/>
      <c r="U1351" s="9"/>
      <c r="V1351" s="9"/>
      <c r="W1351" s="10"/>
      <c r="X1351" s="10"/>
      <c r="Y1351" s="10"/>
      <c r="Z1351" s="10"/>
    </row>
    <row r="1352">
      <c r="A1352" s="9"/>
      <c r="B1352" s="9"/>
      <c r="C1352" s="9"/>
      <c r="D1352" s="9"/>
      <c r="E1352" s="9"/>
      <c r="F1352" s="9"/>
      <c r="G1352" s="9"/>
      <c r="H1352" s="9"/>
      <c r="I1352" s="9"/>
      <c r="J1352" s="9"/>
      <c r="K1352" s="9"/>
      <c r="L1352" s="115"/>
      <c r="M1352" s="115"/>
      <c r="N1352" s="115"/>
      <c r="O1352" s="115"/>
      <c r="P1352" s="9"/>
      <c r="Q1352" s="9"/>
      <c r="R1352" s="9"/>
      <c r="S1352" s="9"/>
      <c r="T1352" s="9"/>
      <c r="U1352" s="9"/>
      <c r="V1352" s="9"/>
      <c r="W1352" s="10"/>
      <c r="X1352" s="10"/>
      <c r="Y1352" s="10"/>
      <c r="Z1352" s="10"/>
    </row>
    <row r="1353">
      <c r="A1353" s="9"/>
      <c r="B1353" s="9"/>
      <c r="C1353" s="9"/>
      <c r="D1353" s="9"/>
      <c r="E1353" s="9"/>
      <c r="F1353" s="9"/>
      <c r="G1353" s="9"/>
      <c r="H1353" s="9"/>
      <c r="I1353" s="9"/>
      <c r="J1353" s="9"/>
      <c r="K1353" s="9"/>
      <c r="L1353" s="115"/>
      <c r="M1353" s="115"/>
      <c r="N1353" s="115"/>
      <c r="O1353" s="115"/>
      <c r="P1353" s="9"/>
      <c r="Q1353" s="9"/>
      <c r="R1353" s="9"/>
      <c r="S1353" s="9"/>
      <c r="T1353" s="9"/>
      <c r="U1353" s="9"/>
      <c r="V1353" s="9"/>
      <c r="W1353" s="10"/>
      <c r="X1353" s="10"/>
      <c r="Y1353" s="10"/>
      <c r="Z1353" s="10"/>
    </row>
    <row r="1354">
      <c r="A1354" s="9"/>
      <c r="B1354" s="9"/>
      <c r="C1354" s="9"/>
      <c r="D1354" s="9"/>
      <c r="E1354" s="9"/>
      <c r="F1354" s="9"/>
      <c r="G1354" s="9"/>
      <c r="H1354" s="9"/>
      <c r="I1354" s="9"/>
      <c r="J1354" s="9"/>
      <c r="K1354" s="9"/>
      <c r="L1354" s="115"/>
      <c r="M1354" s="115"/>
      <c r="N1354" s="115"/>
      <c r="O1354" s="115"/>
      <c r="P1354" s="9"/>
      <c r="Q1354" s="9"/>
      <c r="R1354" s="9"/>
      <c r="S1354" s="9"/>
      <c r="T1354" s="9"/>
      <c r="U1354" s="9"/>
      <c r="V1354" s="9"/>
      <c r="W1354" s="10"/>
      <c r="X1354" s="10"/>
      <c r="Y1354" s="10"/>
      <c r="Z1354" s="10"/>
    </row>
    <row r="1355">
      <c r="A1355" s="9"/>
      <c r="B1355" s="9"/>
      <c r="C1355" s="9"/>
      <c r="D1355" s="9"/>
      <c r="E1355" s="9"/>
      <c r="F1355" s="9"/>
      <c r="G1355" s="9"/>
      <c r="H1355" s="9"/>
      <c r="I1355" s="9"/>
      <c r="J1355" s="9"/>
      <c r="K1355" s="9"/>
      <c r="L1355" s="115"/>
      <c r="M1355" s="115"/>
      <c r="N1355" s="115"/>
      <c r="O1355" s="115"/>
      <c r="P1355" s="9"/>
      <c r="Q1355" s="9"/>
      <c r="R1355" s="9"/>
      <c r="S1355" s="9"/>
      <c r="T1355" s="9"/>
      <c r="U1355" s="9"/>
      <c r="V1355" s="9"/>
      <c r="W1355" s="10"/>
      <c r="X1355" s="10"/>
      <c r="Y1355" s="10"/>
      <c r="Z1355" s="10"/>
    </row>
    <row r="1356">
      <c r="A1356" s="9"/>
      <c r="B1356" s="9"/>
      <c r="C1356" s="9"/>
      <c r="D1356" s="9"/>
      <c r="E1356" s="9"/>
      <c r="F1356" s="9"/>
      <c r="G1356" s="9"/>
      <c r="H1356" s="9"/>
      <c r="I1356" s="9"/>
      <c r="J1356" s="9"/>
      <c r="K1356" s="9"/>
      <c r="L1356" s="115"/>
      <c r="M1356" s="115"/>
      <c r="N1356" s="115"/>
      <c r="O1356" s="115"/>
      <c r="P1356" s="9"/>
      <c r="Q1356" s="9"/>
      <c r="R1356" s="9"/>
      <c r="S1356" s="9"/>
      <c r="T1356" s="9"/>
      <c r="U1356" s="9"/>
      <c r="V1356" s="9"/>
      <c r="W1356" s="10"/>
      <c r="X1356" s="10"/>
      <c r="Y1356" s="10"/>
      <c r="Z1356" s="10"/>
    </row>
    <row r="1357">
      <c r="A1357" s="9"/>
      <c r="B1357" s="9"/>
      <c r="C1357" s="9"/>
      <c r="D1357" s="9"/>
      <c r="E1357" s="9"/>
      <c r="F1357" s="9"/>
      <c r="G1357" s="9"/>
      <c r="H1357" s="9"/>
      <c r="I1357" s="9"/>
      <c r="J1357" s="9"/>
      <c r="K1357" s="9"/>
      <c r="L1357" s="115"/>
      <c r="M1357" s="115"/>
      <c r="N1357" s="115"/>
      <c r="O1357" s="115"/>
      <c r="P1357" s="9"/>
      <c r="Q1357" s="9"/>
      <c r="R1357" s="9"/>
      <c r="S1357" s="9"/>
      <c r="T1357" s="9"/>
      <c r="U1357" s="9"/>
      <c r="V1357" s="9"/>
      <c r="W1357" s="10"/>
      <c r="X1357" s="10"/>
      <c r="Y1357" s="10"/>
      <c r="Z1357" s="10"/>
    </row>
    <row r="1358">
      <c r="A1358" s="9"/>
      <c r="B1358" s="9"/>
      <c r="C1358" s="9"/>
      <c r="D1358" s="9"/>
      <c r="E1358" s="9"/>
      <c r="F1358" s="9"/>
      <c r="G1358" s="9"/>
      <c r="H1358" s="9"/>
      <c r="I1358" s="9"/>
      <c r="J1358" s="9"/>
      <c r="K1358" s="9"/>
      <c r="L1358" s="115"/>
      <c r="M1358" s="115"/>
      <c r="N1358" s="115"/>
      <c r="O1358" s="115"/>
      <c r="P1358" s="9"/>
      <c r="Q1358" s="9"/>
      <c r="R1358" s="9"/>
      <c r="S1358" s="9"/>
      <c r="T1358" s="9"/>
      <c r="U1358" s="9"/>
      <c r="V1358" s="9"/>
      <c r="W1358" s="10"/>
      <c r="X1358" s="10"/>
      <c r="Y1358" s="10"/>
      <c r="Z1358" s="10"/>
    </row>
    <row r="1359">
      <c r="A1359" s="9"/>
      <c r="B1359" s="9"/>
      <c r="C1359" s="9"/>
      <c r="D1359" s="9"/>
      <c r="E1359" s="9"/>
      <c r="F1359" s="9"/>
      <c r="G1359" s="9"/>
      <c r="H1359" s="9"/>
      <c r="I1359" s="9"/>
      <c r="J1359" s="9"/>
      <c r="K1359" s="9"/>
      <c r="L1359" s="115"/>
      <c r="M1359" s="115"/>
      <c r="N1359" s="115"/>
      <c r="O1359" s="115"/>
      <c r="P1359" s="9"/>
      <c r="Q1359" s="9"/>
      <c r="R1359" s="9"/>
      <c r="S1359" s="9"/>
      <c r="T1359" s="9"/>
      <c r="U1359" s="9"/>
      <c r="V1359" s="9"/>
      <c r="W1359" s="10"/>
      <c r="X1359" s="10"/>
      <c r="Y1359" s="10"/>
      <c r="Z1359" s="10"/>
    </row>
    <row r="1360">
      <c r="A1360" s="9"/>
      <c r="B1360" s="9"/>
      <c r="C1360" s="9"/>
      <c r="D1360" s="9"/>
      <c r="E1360" s="9"/>
      <c r="F1360" s="9"/>
      <c r="G1360" s="9"/>
      <c r="H1360" s="9"/>
      <c r="I1360" s="9"/>
      <c r="J1360" s="9"/>
      <c r="K1360" s="9"/>
      <c r="L1360" s="115"/>
      <c r="M1360" s="115"/>
      <c r="N1360" s="115"/>
      <c r="O1360" s="115"/>
      <c r="P1360" s="9"/>
      <c r="Q1360" s="9"/>
      <c r="R1360" s="9"/>
      <c r="S1360" s="9"/>
      <c r="T1360" s="9"/>
      <c r="U1360" s="9"/>
      <c r="V1360" s="9"/>
      <c r="W1360" s="10"/>
      <c r="X1360" s="10"/>
      <c r="Y1360" s="10"/>
      <c r="Z1360" s="10"/>
    </row>
    <row r="1361">
      <c r="A1361" s="9"/>
      <c r="B1361" s="9"/>
      <c r="C1361" s="9"/>
      <c r="D1361" s="9"/>
      <c r="E1361" s="9"/>
      <c r="F1361" s="9"/>
      <c r="G1361" s="9"/>
      <c r="H1361" s="9"/>
      <c r="I1361" s="9"/>
      <c r="J1361" s="9"/>
      <c r="K1361" s="9"/>
      <c r="L1361" s="115"/>
      <c r="M1361" s="115"/>
      <c r="N1361" s="115"/>
      <c r="O1361" s="115"/>
      <c r="P1361" s="9"/>
      <c r="Q1361" s="9"/>
      <c r="R1361" s="9"/>
      <c r="S1361" s="9"/>
      <c r="T1361" s="9"/>
      <c r="U1361" s="9"/>
      <c r="V1361" s="9"/>
      <c r="W1361" s="10"/>
      <c r="X1361" s="10"/>
      <c r="Y1361" s="10"/>
      <c r="Z1361" s="10"/>
    </row>
    <row r="1362">
      <c r="A1362" s="9"/>
      <c r="B1362" s="9"/>
      <c r="C1362" s="9"/>
      <c r="D1362" s="9"/>
      <c r="E1362" s="9"/>
      <c r="F1362" s="9"/>
      <c r="G1362" s="9"/>
      <c r="H1362" s="9"/>
      <c r="I1362" s="9"/>
      <c r="J1362" s="9"/>
      <c r="K1362" s="9"/>
      <c r="L1362" s="115"/>
      <c r="M1362" s="115"/>
      <c r="N1362" s="115"/>
      <c r="O1362" s="115"/>
      <c r="P1362" s="9"/>
      <c r="Q1362" s="9"/>
      <c r="R1362" s="9"/>
      <c r="S1362" s="9"/>
      <c r="T1362" s="9"/>
      <c r="U1362" s="9"/>
      <c r="V1362" s="9"/>
      <c r="W1362" s="10"/>
      <c r="X1362" s="10"/>
      <c r="Y1362" s="10"/>
      <c r="Z1362" s="10"/>
    </row>
    <row r="1363">
      <c r="A1363" s="9"/>
      <c r="B1363" s="9"/>
      <c r="C1363" s="9"/>
      <c r="D1363" s="9"/>
      <c r="E1363" s="9"/>
      <c r="F1363" s="9"/>
      <c r="G1363" s="9"/>
      <c r="H1363" s="9"/>
      <c r="I1363" s="9"/>
      <c r="J1363" s="9"/>
      <c r="K1363" s="9"/>
      <c r="L1363" s="115"/>
      <c r="M1363" s="115"/>
      <c r="N1363" s="115"/>
      <c r="O1363" s="115"/>
      <c r="P1363" s="9"/>
      <c r="Q1363" s="9"/>
      <c r="R1363" s="9"/>
      <c r="S1363" s="9"/>
      <c r="T1363" s="9"/>
      <c r="U1363" s="9"/>
      <c r="V1363" s="9"/>
      <c r="W1363" s="10"/>
      <c r="X1363" s="10"/>
      <c r="Y1363" s="10"/>
      <c r="Z1363" s="10"/>
    </row>
    <row r="1364">
      <c r="A1364" s="9"/>
      <c r="B1364" s="9"/>
      <c r="C1364" s="9"/>
      <c r="D1364" s="9"/>
      <c r="E1364" s="9"/>
      <c r="F1364" s="9"/>
      <c r="G1364" s="9"/>
      <c r="H1364" s="9"/>
      <c r="I1364" s="9"/>
      <c r="J1364" s="9"/>
      <c r="K1364" s="9"/>
      <c r="L1364" s="115"/>
      <c r="M1364" s="115"/>
      <c r="N1364" s="115"/>
      <c r="O1364" s="115"/>
      <c r="P1364" s="9"/>
      <c r="Q1364" s="9"/>
      <c r="R1364" s="9"/>
      <c r="S1364" s="9"/>
      <c r="T1364" s="9"/>
      <c r="U1364" s="9"/>
      <c r="V1364" s="9"/>
      <c r="W1364" s="10"/>
      <c r="X1364" s="10"/>
      <c r="Y1364" s="10"/>
      <c r="Z1364" s="10"/>
    </row>
    <row r="1365">
      <c r="A1365" s="9"/>
      <c r="B1365" s="9"/>
      <c r="C1365" s="9"/>
      <c r="D1365" s="9"/>
      <c r="E1365" s="9"/>
      <c r="F1365" s="9"/>
      <c r="G1365" s="9"/>
      <c r="H1365" s="9"/>
      <c r="I1365" s="9"/>
      <c r="J1365" s="9"/>
      <c r="K1365" s="9"/>
      <c r="L1365" s="115"/>
      <c r="M1365" s="115"/>
      <c r="N1365" s="115"/>
      <c r="O1365" s="115"/>
      <c r="P1365" s="9"/>
      <c r="Q1365" s="9"/>
      <c r="R1365" s="9"/>
      <c r="S1365" s="9"/>
      <c r="T1365" s="9"/>
      <c r="U1365" s="9"/>
      <c r="V1365" s="9"/>
      <c r="W1365" s="10"/>
      <c r="X1365" s="10"/>
      <c r="Y1365" s="10"/>
      <c r="Z1365" s="10"/>
    </row>
    <row r="1366">
      <c r="A1366" s="9"/>
      <c r="B1366" s="9"/>
      <c r="C1366" s="9"/>
      <c r="D1366" s="9"/>
      <c r="E1366" s="9"/>
      <c r="F1366" s="9"/>
      <c r="G1366" s="9"/>
      <c r="H1366" s="9"/>
      <c r="I1366" s="9"/>
      <c r="J1366" s="9"/>
      <c r="K1366" s="9"/>
      <c r="L1366" s="115"/>
      <c r="M1366" s="115"/>
      <c r="N1366" s="115"/>
      <c r="O1366" s="115"/>
      <c r="P1366" s="9"/>
      <c r="Q1366" s="9"/>
      <c r="R1366" s="9"/>
      <c r="S1366" s="9"/>
      <c r="T1366" s="9"/>
      <c r="U1366" s="9"/>
      <c r="V1366" s="9"/>
      <c r="W1366" s="10"/>
      <c r="X1366" s="10"/>
      <c r="Y1366" s="10"/>
      <c r="Z1366" s="10"/>
    </row>
    <row r="1367">
      <c r="A1367" s="9"/>
      <c r="B1367" s="9"/>
      <c r="C1367" s="9"/>
      <c r="D1367" s="9"/>
      <c r="E1367" s="9"/>
      <c r="F1367" s="9"/>
      <c r="G1367" s="9"/>
      <c r="H1367" s="9"/>
      <c r="I1367" s="9"/>
      <c r="J1367" s="9"/>
      <c r="K1367" s="9"/>
      <c r="L1367" s="115"/>
      <c r="M1367" s="115"/>
      <c r="N1367" s="115"/>
      <c r="O1367" s="115"/>
      <c r="P1367" s="9"/>
      <c r="Q1367" s="9"/>
      <c r="R1367" s="9"/>
      <c r="S1367" s="9"/>
      <c r="T1367" s="9"/>
      <c r="U1367" s="9"/>
      <c r="V1367" s="9"/>
      <c r="W1367" s="10"/>
      <c r="X1367" s="10"/>
      <c r="Y1367" s="10"/>
      <c r="Z1367" s="10"/>
    </row>
    <row r="1368">
      <c r="A1368" s="9"/>
      <c r="B1368" s="9"/>
      <c r="C1368" s="9"/>
      <c r="D1368" s="9"/>
      <c r="E1368" s="9"/>
      <c r="F1368" s="9"/>
      <c r="G1368" s="9"/>
      <c r="H1368" s="9"/>
      <c r="I1368" s="9"/>
      <c r="J1368" s="9"/>
      <c r="K1368" s="9"/>
      <c r="L1368" s="115"/>
      <c r="M1368" s="115"/>
      <c r="N1368" s="115"/>
      <c r="O1368" s="115"/>
      <c r="P1368" s="9"/>
      <c r="Q1368" s="9"/>
      <c r="R1368" s="9"/>
      <c r="S1368" s="9"/>
      <c r="T1368" s="9"/>
      <c r="U1368" s="9"/>
      <c r="V1368" s="9"/>
      <c r="W1368" s="10"/>
      <c r="X1368" s="10"/>
      <c r="Y1368" s="10"/>
      <c r="Z1368" s="10"/>
    </row>
    <row r="1369">
      <c r="A1369" s="9"/>
      <c r="B1369" s="9"/>
      <c r="C1369" s="9"/>
      <c r="D1369" s="9"/>
      <c r="E1369" s="9"/>
      <c r="F1369" s="9"/>
      <c r="G1369" s="9"/>
      <c r="H1369" s="9"/>
      <c r="I1369" s="9"/>
      <c r="J1369" s="9"/>
      <c r="K1369" s="9"/>
      <c r="L1369" s="115"/>
      <c r="M1369" s="115"/>
      <c r="N1369" s="115"/>
      <c r="O1369" s="115"/>
      <c r="P1369" s="9"/>
      <c r="Q1369" s="9"/>
      <c r="R1369" s="9"/>
      <c r="S1369" s="9"/>
      <c r="T1369" s="9"/>
      <c r="U1369" s="9"/>
      <c r="V1369" s="9"/>
      <c r="W1369" s="10"/>
      <c r="X1369" s="10"/>
      <c r="Y1369" s="10"/>
      <c r="Z1369" s="10"/>
    </row>
    <row r="1370">
      <c r="A1370" s="9"/>
      <c r="B1370" s="9"/>
      <c r="C1370" s="9"/>
      <c r="D1370" s="9"/>
      <c r="E1370" s="9"/>
      <c r="F1370" s="9"/>
      <c r="G1370" s="9"/>
      <c r="H1370" s="9"/>
      <c r="I1370" s="9"/>
      <c r="J1370" s="9"/>
      <c r="K1370" s="9"/>
      <c r="L1370" s="115"/>
      <c r="M1370" s="115"/>
      <c r="N1370" s="115"/>
      <c r="O1370" s="115"/>
      <c r="P1370" s="9"/>
      <c r="Q1370" s="9"/>
      <c r="R1370" s="9"/>
      <c r="S1370" s="9"/>
      <c r="T1370" s="9"/>
      <c r="U1370" s="9"/>
      <c r="V1370" s="9"/>
      <c r="W1370" s="10"/>
      <c r="X1370" s="10"/>
      <c r="Y1370" s="10"/>
      <c r="Z1370" s="10"/>
    </row>
    <row r="1371">
      <c r="A1371" s="9"/>
      <c r="B1371" s="9"/>
      <c r="C1371" s="9"/>
      <c r="D1371" s="9"/>
      <c r="E1371" s="9"/>
      <c r="F1371" s="9"/>
      <c r="G1371" s="9"/>
      <c r="H1371" s="9"/>
      <c r="I1371" s="9"/>
      <c r="J1371" s="9"/>
      <c r="K1371" s="9"/>
      <c r="L1371" s="115"/>
      <c r="M1371" s="115"/>
      <c r="N1371" s="115"/>
      <c r="O1371" s="115"/>
      <c r="P1371" s="9"/>
      <c r="Q1371" s="9"/>
      <c r="R1371" s="9"/>
      <c r="S1371" s="9"/>
      <c r="T1371" s="9"/>
      <c r="U1371" s="9"/>
      <c r="V1371" s="9"/>
      <c r="W1371" s="10"/>
      <c r="X1371" s="10"/>
      <c r="Y1371" s="10"/>
      <c r="Z1371" s="10"/>
    </row>
    <row r="1372">
      <c r="A1372" s="9"/>
      <c r="B1372" s="9"/>
      <c r="C1372" s="9"/>
      <c r="D1372" s="9"/>
      <c r="E1372" s="9"/>
      <c r="F1372" s="9"/>
      <c r="G1372" s="9"/>
      <c r="H1372" s="9"/>
      <c r="I1372" s="9"/>
      <c r="J1372" s="9"/>
      <c r="K1372" s="9"/>
      <c r="L1372" s="115"/>
      <c r="M1372" s="115"/>
      <c r="N1372" s="115"/>
      <c r="O1372" s="115"/>
      <c r="P1372" s="9"/>
      <c r="Q1372" s="9"/>
      <c r="R1372" s="9"/>
      <c r="S1372" s="9"/>
      <c r="T1372" s="9"/>
      <c r="U1372" s="9"/>
      <c r="V1372" s="9"/>
      <c r="W1372" s="10"/>
      <c r="X1372" s="10"/>
      <c r="Y1372" s="10"/>
      <c r="Z1372" s="10"/>
    </row>
    <row r="1373">
      <c r="A1373" s="9"/>
      <c r="B1373" s="9"/>
      <c r="C1373" s="9"/>
      <c r="D1373" s="9"/>
      <c r="E1373" s="9"/>
      <c r="F1373" s="9"/>
      <c r="G1373" s="9"/>
      <c r="H1373" s="9"/>
      <c r="I1373" s="9"/>
      <c r="J1373" s="9"/>
      <c r="K1373" s="9"/>
      <c r="L1373" s="115"/>
      <c r="M1373" s="115"/>
      <c r="N1373" s="115"/>
      <c r="O1373" s="115"/>
      <c r="P1373" s="9"/>
      <c r="Q1373" s="9"/>
      <c r="R1373" s="9"/>
      <c r="S1373" s="9"/>
      <c r="T1373" s="9"/>
      <c r="U1373" s="9"/>
      <c r="V1373" s="9"/>
      <c r="W1373" s="10"/>
      <c r="X1373" s="10"/>
      <c r="Y1373" s="10"/>
      <c r="Z1373" s="10"/>
    </row>
    <row r="1374">
      <c r="A1374" s="9"/>
      <c r="B1374" s="9"/>
      <c r="C1374" s="9"/>
      <c r="D1374" s="9"/>
      <c r="E1374" s="9"/>
      <c r="F1374" s="9"/>
      <c r="G1374" s="9"/>
      <c r="H1374" s="9"/>
      <c r="I1374" s="9"/>
      <c r="J1374" s="9"/>
      <c r="K1374" s="9"/>
      <c r="L1374" s="115"/>
      <c r="M1374" s="115"/>
      <c r="N1374" s="115"/>
      <c r="O1374" s="115"/>
      <c r="P1374" s="9"/>
      <c r="Q1374" s="9"/>
      <c r="R1374" s="9"/>
      <c r="S1374" s="9"/>
      <c r="T1374" s="9"/>
      <c r="U1374" s="9"/>
      <c r="V1374" s="9"/>
      <c r="W1374" s="10"/>
      <c r="X1374" s="10"/>
      <c r="Y1374" s="10"/>
      <c r="Z1374" s="10"/>
    </row>
    <row r="1375">
      <c r="A1375" s="9"/>
      <c r="B1375" s="9"/>
      <c r="C1375" s="9"/>
      <c r="D1375" s="9"/>
      <c r="E1375" s="9"/>
      <c r="F1375" s="9"/>
      <c r="G1375" s="9"/>
      <c r="H1375" s="9"/>
      <c r="I1375" s="9"/>
      <c r="J1375" s="9"/>
      <c r="K1375" s="9"/>
      <c r="L1375" s="115"/>
      <c r="M1375" s="115"/>
      <c r="N1375" s="115"/>
      <c r="O1375" s="115"/>
      <c r="P1375" s="9"/>
      <c r="Q1375" s="9"/>
      <c r="R1375" s="9"/>
      <c r="S1375" s="9"/>
      <c r="T1375" s="9"/>
      <c r="U1375" s="9"/>
      <c r="V1375" s="9"/>
      <c r="W1375" s="10"/>
      <c r="X1375" s="10"/>
      <c r="Y1375" s="10"/>
      <c r="Z1375" s="10"/>
    </row>
    <row r="1376">
      <c r="A1376" s="9"/>
      <c r="B1376" s="9"/>
      <c r="C1376" s="9"/>
      <c r="D1376" s="9"/>
      <c r="E1376" s="9"/>
      <c r="F1376" s="9"/>
      <c r="G1376" s="9"/>
      <c r="H1376" s="9"/>
      <c r="I1376" s="9"/>
      <c r="J1376" s="9"/>
      <c r="K1376" s="9"/>
      <c r="L1376" s="115"/>
      <c r="M1376" s="115"/>
      <c r="N1376" s="115"/>
      <c r="O1376" s="115"/>
      <c r="P1376" s="9"/>
      <c r="Q1376" s="9"/>
      <c r="R1376" s="9"/>
      <c r="S1376" s="9"/>
      <c r="T1376" s="9"/>
      <c r="U1376" s="9"/>
      <c r="V1376" s="9"/>
      <c r="W1376" s="10"/>
      <c r="X1376" s="10"/>
      <c r="Y1376" s="10"/>
      <c r="Z1376" s="10"/>
    </row>
    <row r="1377">
      <c r="A1377" s="9"/>
      <c r="B1377" s="9"/>
      <c r="C1377" s="9"/>
      <c r="D1377" s="9"/>
      <c r="E1377" s="9"/>
      <c r="F1377" s="9"/>
      <c r="G1377" s="9"/>
      <c r="H1377" s="9"/>
      <c r="I1377" s="9"/>
      <c r="J1377" s="9"/>
      <c r="K1377" s="9"/>
      <c r="L1377" s="115"/>
      <c r="M1377" s="115"/>
      <c r="N1377" s="115"/>
      <c r="O1377" s="115"/>
      <c r="P1377" s="9"/>
      <c r="Q1377" s="9"/>
      <c r="R1377" s="9"/>
      <c r="S1377" s="9"/>
      <c r="T1377" s="9"/>
      <c r="U1377" s="9"/>
      <c r="V1377" s="9"/>
      <c r="W1377" s="10"/>
      <c r="X1377" s="10"/>
      <c r="Y1377" s="10"/>
      <c r="Z1377" s="10"/>
    </row>
    <row r="1378">
      <c r="A1378" s="9"/>
      <c r="B1378" s="9"/>
      <c r="C1378" s="9"/>
      <c r="D1378" s="9"/>
      <c r="E1378" s="9"/>
      <c r="F1378" s="9"/>
      <c r="G1378" s="9"/>
      <c r="H1378" s="9"/>
      <c r="I1378" s="9"/>
      <c r="J1378" s="9"/>
      <c r="K1378" s="9"/>
      <c r="L1378" s="115"/>
      <c r="M1378" s="115"/>
      <c r="N1378" s="115"/>
      <c r="O1378" s="115"/>
      <c r="P1378" s="9"/>
      <c r="Q1378" s="9"/>
      <c r="R1378" s="9"/>
      <c r="S1378" s="9"/>
      <c r="T1378" s="9"/>
      <c r="U1378" s="9"/>
      <c r="V1378" s="9"/>
      <c r="W1378" s="10"/>
      <c r="X1378" s="10"/>
      <c r="Y1378" s="10"/>
      <c r="Z1378" s="10"/>
    </row>
    <row r="1379">
      <c r="A1379" s="9"/>
      <c r="B1379" s="9"/>
      <c r="C1379" s="9"/>
      <c r="D1379" s="9"/>
      <c r="E1379" s="9"/>
      <c r="F1379" s="9"/>
      <c r="G1379" s="9"/>
      <c r="H1379" s="9"/>
      <c r="I1379" s="9"/>
      <c r="J1379" s="9"/>
      <c r="K1379" s="9"/>
      <c r="L1379" s="115"/>
      <c r="M1379" s="115"/>
      <c r="N1379" s="115"/>
      <c r="O1379" s="115"/>
      <c r="P1379" s="9"/>
      <c r="Q1379" s="9"/>
      <c r="R1379" s="9"/>
      <c r="S1379" s="9"/>
      <c r="T1379" s="9"/>
      <c r="U1379" s="9"/>
      <c r="V1379" s="9"/>
      <c r="W1379" s="10"/>
      <c r="X1379" s="10"/>
      <c r="Y1379" s="10"/>
      <c r="Z1379" s="10"/>
    </row>
    <row r="1380">
      <c r="A1380" s="9"/>
      <c r="B1380" s="9"/>
      <c r="C1380" s="9"/>
      <c r="D1380" s="9"/>
      <c r="E1380" s="9"/>
      <c r="F1380" s="9"/>
      <c r="G1380" s="9"/>
      <c r="H1380" s="9"/>
      <c r="I1380" s="9"/>
      <c r="J1380" s="9"/>
      <c r="K1380" s="9"/>
      <c r="L1380" s="115"/>
      <c r="M1380" s="115"/>
      <c r="N1380" s="115"/>
      <c r="O1380" s="115"/>
      <c r="P1380" s="9"/>
      <c r="Q1380" s="9"/>
      <c r="R1380" s="9"/>
      <c r="S1380" s="9"/>
      <c r="T1380" s="9"/>
      <c r="U1380" s="9"/>
      <c r="V1380" s="9"/>
      <c r="W1380" s="10"/>
      <c r="X1380" s="10"/>
      <c r="Y1380" s="10"/>
      <c r="Z1380" s="10"/>
    </row>
    <row r="1381">
      <c r="A1381" s="9"/>
      <c r="B1381" s="9"/>
      <c r="C1381" s="9"/>
      <c r="D1381" s="9"/>
      <c r="E1381" s="9"/>
      <c r="F1381" s="9"/>
      <c r="G1381" s="9"/>
      <c r="H1381" s="9"/>
      <c r="I1381" s="9"/>
      <c r="J1381" s="9"/>
      <c r="K1381" s="9"/>
      <c r="L1381" s="115"/>
      <c r="M1381" s="115"/>
      <c r="N1381" s="115"/>
      <c r="O1381" s="115"/>
      <c r="P1381" s="9"/>
      <c r="Q1381" s="9"/>
      <c r="R1381" s="9"/>
      <c r="S1381" s="9"/>
      <c r="T1381" s="9"/>
      <c r="U1381" s="9"/>
      <c r="V1381" s="9"/>
      <c r="W1381" s="10"/>
      <c r="X1381" s="10"/>
      <c r="Y1381" s="10"/>
      <c r="Z1381" s="10"/>
    </row>
    <row r="1382">
      <c r="A1382" s="9"/>
      <c r="B1382" s="9"/>
      <c r="C1382" s="9"/>
      <c r="D1382" s="9"/>
      <c r="E1382" s="9"/>
      <c r="F1382" s="9"/>
      <c r="G1382" s="9"/>
      <c r="H1382" s="9"/>
      <c r="I1382" s="9"/>
      <c r="J1382" s="9"/>
      <c r="K1382" s="9"/>
      <c r="L1382" s="115"/>
      <c r="M1382" s="115"/>
      <c r="N1382" s="115"/>
      <c r="O1382" s="115"/>
      <c r="P1382" s="9"/>
      <c r="Q1382" s="9"/>
      <c r="R1382" s="9"/>
      <c r="S1382" s="9"/>
      <c r="T1382" s="9"/>
      <c r="U1382" s="9"/>
      <c r="V1382" s="9"/>
      <c r="W1382" s="10"/>
      <c r="X1382" s="10"/>
      <c r="Y1382" s="10"/>
      <c r="Z1382" s="10"/>
    </row>
    <row r="1383">
      <c r="A1383" s="9"/>
      <c r="B1383" s="9"/>
      <c r="C1383" s="9"/>
      <c r="D1383" s="9"/>
      <c r="E1383" s="9"/>
      <c r="F1383" s="9"/>
      <c r="G1383" s="9"/>
      <c r="H1383" s="9"/>
      <c r="I1383" s="9"/>
      <c r="J1383" s="9"/>
      <c r="K1383" s="9"/>
      <c r="L1383" s="115"/>
      <c r="M1383" s="115"/>
      <c r="N1383" s="115"/>
      <c r="O1383" s="115"/>
      <c r="P1383" s="9"/>
      <c r="Q1383" s="9"/>
      <c r="R1383" s="9"/>
      <c r="S1383" s="9"/>
      <c r="T1383" s="9"/>
      <c r="U1383" s="9"/>
      <c r="V1383" s="9"/>
      <c r="W1383" s="10"/>
      <c r="X1383" s="10"/>
      <c r="Y1383" s="10"/>
      <c r="Z1383" s="10"/>
    </row>
    <row r="1384">
      <c r="A1384" s="9"/>
      <c r="B1384" s="9"/>
      <c r="C1384" s="9"/>
      <c r="D1384" s="9"/>
      <c r="E1384" s="9"/>
      <c r="F1384" s="9"/>
      <c r="G1384" s="9"/>
      <c r="H1384" s="9"/>
      <c r="I1384" s="9"/>
      <c r="J1384" s="9"/>
      <c r="K1384" s="9"/>
      <c r="L1384" s="115"/>
      <c r="M1384" s="115"/>
      <c r="N1384" s="115"/>
      <c r="O1384" s="115"/>
      <c r="P1384" s="9"/>
      <c r="Q1384" s="9"/>
      <c r="R1384" s="9"/>
      <c r="S1384" s="9"/>
      <c r="T1384" s="9"/>
      <c r="U1384" s="9"/>
      <c r="V1384" s="9"/>
      <c r="W1384" s="10"/>
      <c r="X1384" s="10"/>
      <c r="Y1384" s="10"/>
      <c r="Z1384" s="10"/>
    </row>
    <row r="1385">
      <c r="A1385" s="9"/>
      <c r="B1385" s="9"/>
      <c r="C1385" s="9"/>
      <c r="D1385" s="9"/>
      <c r="E1385" s="9"/>
      <c r="F1385" s="9"/>
      <c r="G1385" s="9"/>
      <c r="H1385" s="9"/>
      <c r="I1385" s="9"/>
      <c r="J1385" s="9"/>
      <c r="K1385" s="9"/>
      <c r="L1385" s="115"/>
      <c r="M1385" s="115"/>
      <c r="N1385" s="115"/>
      <c r="O1385" s="115"/>
      <c r="P1385" s="9"/>
      <c r="Q1385" s="9"/>
      <c r="R1385" s="9"/>
      <c r="S1385" s="9"/>
      <c r="T1385" s="9"/>
      <c r="U1385" s="9"/>
      <c r="V1385" s="9"/>
      <c r="W1385" s="10"/>
      <c r="X1385" s="10"/>
      <c r="Y1385" s="10"/>
      <c r="Z1385" s="10"/>
    </row>
    <row r="1386">
      <c r="A1386" s="9"/>
      <c r="B1386" s="9"/>
      <c r="C1386" s="9"/>
      <c r="D1386" s="9"/>
      <c r="E1386" s="9"/>
      <c r="F1386" s="9"/>
      <c r="G1386" s="9"/>
      <c r="H1386" s="9"/>
      <c r="I1386" s="9"/>
      <c r="J1386" s="9"/>
      <c r="K1386" s="9"/>
      <c r="L1386" s="115"/>
      <c r="M1386" s="115"/>
      <c r="N1386" s="115"/>
      <c r="O1386" s="115"/>
      <c r="P1386" s="9"/>
      <c r="Q1386" s="9"/>
      <c r="R1386" s="9"/>
      <c r="S1386" s="9"/>
      <c r="T1386" s="9"/>
      <c r="U1386" s="9"/>
      <c r="V1386" s="9"/>
      <c r="W1386" s="10"/>
      <c r="X1386" s="10"/>
      <c r="Y1386" s="10"/>
      <c r="Z1386" s="10"/>
    </row>
    <row r="1387">
      <c r="A1387" s="9"/>
      <c r="B1387" s="9"/>
      <c r="C1387" s="9"/>
      <c r="D1387" s="9"/>
      <c r="E1387" s="9"/>
      <c r="F1387" s="9"/>
      <c r="G1387" s="9"/>
      <c r="H1387" s="9"/>
      <c r="I1387" s="9"/>
      <c r="J1387" s="9"/>
      <c r="K1387" s="9"/>
      <c r="L1387" s="115"/>
      <c r="M1387" s="115"/>
      <c r="N1387" s="115"/>
      <c r="O1387" s="115"/>
      <c r="P1387" s="9"/>
      <c r="Q1387" s="9"/>
      <c r="R1387" s="9"/>
      <c r="S1387" s="9"/>
      <c r="T1387" s="9"/>
      <c r="U1387" s="9"/>
      <c r="V1387" s="9"/>
      <c r="W1387" s="10"/>
      <c r="X1387" s="10"/>
      <c r="Y1387" s="10"/>
      <c r="Z1387" s="10"/>
    </row>
    <row r="1388">
      <c r="A1388" s="9"/>
      <c r="B1388" s="9"/>
      <c r="C1388" s="9"/>
      <c r="D1388" s="9"/>
      <c r="E1388" s="9"/>
      <c r="F1388" s="9"/>
      <c r="G1388" s="9"/>
      <c r="H1388" s="9"/>
      <c r="I1388" s="9"/>
      <c r="J1388" s="9"/>
      <c r="K1388" s="9"/>
      <c r="L1388" s="115"/>
      <c r="M1388" s="115"/>
      <c r="N1388" s="115"/>
      <c r="O1388" s="115"/>
      <c r="P1388" s="9"/>
      <c r="Q1388" s="9"/>
      <c r="R1388" s="9"/>
      <c r="S1388" s="9"/>
      <c r="T1388" s="9"/>
      <c r="U1388" s="9"/>
      <c r="V1388" s="9"/>
      <c r="W1388" s="10"/>
      <c r="X1388" s="10"/>
      <c r="Y1388" s="10"/>
      <c r="Z1388" s="10"/>
    </row>
    <row r="1389">
      <c r="A1389" s="9"/>
      <c r="B1389" s="9"/>
      <c r="C1389" s="9"/>
      <c r="D1389" s="9"/>
      <c r="E1389" s="9"/>
      <c r="F1389" s="9"/>
      <c r="G1389" s="9"/>
      <c r="H1389" s="9"/>
      <c r="I1389" s="9"/>
      <c r="J1389" s="9"/>
      <c r="K1389" s="9"/>
      <c r="L1389" s="115"/>
      <c r="M1389" s="115"/>
      <c r="N1389" s="115"/>
      <c r="O1389" s="115"/>
      <c r="P1389" s="9"/>
      <c r="Q1389" s="9"/>
      <c r="R1389" s="9"/>
      <c r="S1389" s="9"/>
      <c r="T1389" s="9"/>
      <c r="U1389" s="9"/>
      <c r="V1389" s="9"/>
      <c r="W1389" s="10"/>
      <c r="X1389" s="10"/>
      <c r="Y1389" s="10"/>
      <c r="Z1389" s="10"/>
    </row>
    <row r="1390">
      <c r="A1390" s="9"/>
      <c r="B1390" s="9"/>
      <c r="C1390" s="9"/>
      <c r="D1390" s="9"/>
      <c r="E1390" s="9"/>
      <c r="F1390" s="9"/>
      <c r="G1390" s="9"/>
      <c r="H1390" s="9"/>
      <c r="I1390" s="9"/>
      <c r="J1390" s="9"/>
      <c r="K1390" s="9"/>
      <c r="L1390" s="115"/>
      <c r="M1390" s="115"/>
      <c r="N1390" s="115"/>
      <c r="O1390" s="115"/>
      <c r="P1390" s="9"/>
      <c r="Q1390" s="9"/>
      <c r="R1390" s="9"/>
      <c r="S1390" s="9"/>
      <c r="T1390" s="9"/>
      <c r="U1390" s="9"/>
      <c r="V1390" s="9"/>
      <c r="W1390" s="10"/>
      <c r="X1390" s="10"/>
      <c r="Y1390" s="10"/>
      <c r="Z1390" s="10"/>
    </row>
    <row r="1391">
      <c r="A1391" s="9"/>
      <c r="B1391" s="9"/>
      <c r="C1391" s="9"/>
      <c r="D1391" s="9"/>
      <c r="E1391" s="9"/>
      <c r="F1391" s="9"/>
      <c r="G1391" s="9"/>
      <c r="H1391" s="9"/>
      <c r="I1391" s="9"/>
      <c r="J1391" s="9"/>
      <c r="K1391" s="9"/>
      <c r="L1391" s="115"/>
      <c r="M1391" s="115"/>
      <c r="N1391" s="115"/>
      <c r="O1391" s="115"/>
      <c r="P1391" s="9"/>
      <c r="Q1391" s="9"/>
      <c r="R1391" s="9"/>
      <c r="S1391" s="9"/>
      <c r="T1391" s="9"/>
      <c r="U1391" s="9"/>
      <c r="V1391" s="9"/>
      <c r="W1391" s="10"/>
      <c r="X1391" s="10"/>
      <c r="Y1391" s="10"/>
      <c r="Z1391" s="10"/>
    </row>
    <row r="1392">
      <c r="A1392" s="9"/>
      <c r="B1392" s="9"/>
      <c r="C1392" s="9"/>
      <c r="D1392" s="9"/>
      <c r="E1392" s="9"/>
      <c r="F1392" s="9"/>
      <c r="G1392" s="9"/>
      <c r="H1392" s="9"/>
      <c r="I1392" s="9"/>
      <c r="J1392" s="9"/>
      <c r="K1392" s="9"/>
      <c r="L1392" s="115"/>
      <c r="M1392" s="115"/>
      <c r="N1392" s="115"/>
      <c r="O1392" s="115"/>
      <c r="P1392" s="9"/>
      <c r="Q1392" s="9"/>
      <c r="R1392" s="9"/>
      <c r="S1392" s="9"/>
      <c r="T1392" s="9"/>
      <c r="U1392" s="9"/>
      <c r="V1392" s="9"/>
      <c r="W1392" s="10"/>
      <c r="X1392" s="10"/>
      <c r="Y1392" s="10"/>
      <c r="Z1392" s="10"/>
    </row>
    <row r="1393">
      <c r="A1393" s="9"/>
      <c r="B1393" s="9"/>
      <c r="C1393" s="9"/>
      <c r="D1393" s="9"/>
      <c r="E1393" s="9"/>
      <c r="F1393" s="9"/>
      <c r="G1393" s="9"/>
      <c r="H1393" s="9"/>
      <c r="I1393" s="9"/>
      <c r="J1393" s="9"/>
      <c r="K1393" s="9"/>
      <c r="L1393" s="115"/>
      <c r="M1393" s="115"/>
      <c r="N1393" s="115"/>
      <c r="O1393" s="115"/>
      <c r="P1393" s="9"/>
      <c r="Q1393" s="9"/>
      <c r="R1393" s="9"/>
      <c r="S1393" s="9"/>
      <c r="T1393" s="9"/>
      <c r="U1393" s="9"/>
      <c r="V1393" s="9"/>
      <c r="W1393" s="10"/>
      <c r="X1393" s="10"/>
      <c r="Y1393" s="10"/>
      <c r="Z1393" s="10"/>
    </row>
    <row r="1394">
      <c r="A1394" s="9"/>
      <c r="B1394" s="9"/>
      <c r="C1394" s="9"/>
      <c r="D1394" s="9"/>
      <c r="E1394" s="9"/>
      <c r="F1394" s="9"/>
      <c r="G1394" s="9"/>
      <c r="H1394" s="9"/>
      <c r="I1394" s="9"/>
      <c r="J1394" s="9"/>
      <c r="K1394" s="9"/>
      <c r="L1394" s="115"/>
      <c r="M1394" s="115"/>
      <c r="N1394" s="115"/>
      <c r="O1394" s="115"/>
      <c r="P1394" s="9"/>
      <c r="Q1394" s="9"/>
      <c r="R1394" s="9"/>
      <c r="S1394" s="9"/>
      <c r="T1394" s="9"/>
      <c r="U1394" s="9"/>
      <c r="V1394" s="9"/>
      <c r="W1394" s="10"/>
      <c r="X1394" s="10"/>
      <c r="Y1394" s="10"/>
      <c r="Z1394" s="10"/>
    </row>
    <row r="1395">
      <c r="A1395" s="9"/>
      <c r="B1395" s="9"/>
      <c r="C1395" s="9"/>
      <c r="D1395" s="9"/>
      <c r="E1395" s="9"/>
      <c r="F1395" s="9"/>
      <c r="G1395" s="9"/>
      <c r="H1395" s="9"/>
      <c r="I1395" s="9"/>
      <c r="J1395" s="9"/>
      <c r="K1395" s="9"/>
      <c r="L1395" s="115"/>
      <c r="M1395" s="115"/>
      <c r="N1395" s="115"/>
      <c r="O1395" s="115"/>
      <c r="P1395" s="9"/>
      <c r="Q1395" s="9"/>
      <c r="R1395" s="9"/>
      <c r="S1395" s="9"/>
      <c r="T1395" s="9"/>
      <c r="U1395" s="9"/>
      <c r="V1395" s="9"/>
      <c r="W1395" s="10"/>
      <c r="X1395" s="10"/>
      <c r="Y1395" s="10"/>
      <c r="Z1395" s="10"/>
    </row>
    <row r="1396">
      <c r="A1396" s="9"/>
      <c r="B1396" s="9"/>
      <c r="C1396" s="9"/>
      <c r="D1396" s="9"/>
      <c r="E1396" s="9"/>
      <c r="F1396" s="9"/>
      <c r="G1396" s="9"/>
      <c r="H1396" s="9"/>
      <c r="I1396" s="9"/>
      <c r="J1396" s="9"/>
      <c r="K1396" s="9"/>
      <c r="L1396" s="115"/>
      <c r="M1396" s="115"/>
      <c r="N1396" s="115"/>
      <c r="O1396" s="115"/>
      <c r="P1396" s="9"/>
      <c r="Q1396" s="9"/>
      <c r="R1396" s="9"/>
      <c r="S1396" s="9"/>
      <c r="T1396" s="9"/>
      <c r="U1396" s="9"/>
      <c r="V1396" s="9"/>
      <c r="W1396" s="10"/>
      <c r="X1396" s="10"/>
      <c r="Y1396" s="10"/>
      <c r="Z1396" s="10"/>
    </row>
    <row r="1397">
      <c r="A1397" s="9"/>
      <c r="B1397" s="9"/>
      <c r="C1397" s="9"/>
      <c r="D1397" s="9"/>
      <c r="E1397" s="9"/>
      <c r="F1397" s="9"/>
      <c r="G1397" s="9"/>
      <c r="H1397" s="9"/>
      <c r="I1397" s="9"/>
      <c r="J1397" s="9"/>
      <c r="K1397" s="9"/>
      <c r="L1397" s="115"/>
      <c r="M1397" s="115"/>
      <c r="N1397" s="115"/>
      <c r="O1397" s="115"/>
      <c r="P1397" s="9"/>
      <c r="Q1397" s="9"/>
      <c r="R1397" s="9"/>
      <c r="S1397" s="9"/>
      <c r="T1397" s="9"/>
      <c r="U1397" s="9"/>
      <c r="V1397" s="9"/>
      <c r="W1397" s="10"/>
      <c r="X1397" s="10"/>
      <c r="Y1397" s="10"/>
      <c r="Z1397" s="10"/>
    </row>
    <row r="1398">
      <c r="A1398" s="9"/>
      <c r="B1398" s="9"/>
      <c r="C1398" s="9"/>
      <c r="D1398" s="9"/>
      <c r="E1398" s="9"/>
      <c r="F1398" s="9"/>
      <c r="G1398" s="9"/>
      <c r="H1398" s="9"/>
      <c r="I1398" s="9"/>
      <c r="J1398" s="9"/>
      <c r="K1398" s="9"/>
      <c r="L1398" s="115"/>
      <c r="M1398" s="115"/>
      <c r="N1398" s="115"/>
      <c r="O1398" s="115"/>
      <c r="P1398" s="9"/>
      <c r="Q1398" s="9"/>
      <c r="R1398" s="9"/>
      <c r="S1398" s="9"/>
      <c r="T1398" s="9"/>
      <c r="U1398" s="9"/>
      <c r="V1398" s="9"/>
      <c r="W1398" s="10"/>
      <c r="X1398" s="10"/>
      <c r="Y1398" s="10"/>
      <c r="Z1398" s="10"/>
    </row>
    <row r="1399">
      <c r="A1399" s="9"/>
      <c r="B1399" s="9"/>
      <c r="C1399" s="9"/>
      <c r="D1399" s="9"/>
      <c r="E1399" s="9"/>
      <c r="F1399" s="9"/>
      <c r="G1399" s="9"/>
      <c r="H1399" s="9"/>
      <c r="I1399" s="9"/>
      <c r="J1399" s="9"/>
      <c r="K1399" s="9"/>
      <c r="L1399" s="115"/>
      <c r="M1399" s="115"/>
      <c r="N1399" s="115"/>
      <c r="O1399" s="115"/>
      <c r="P1399" s="9"/>
      <c r="Q1399" s="9"/>
      <c r="R1399" s="9"/>
      <c r="S1399" s="9"/>
      <c r="T1399" s="9"/>
      <c r="U1399" s="9"/>
      <c r="V1399" s="9"/>
      <c r="W1399" s="10"/>
      <c r="X1399" s="10"/>
      <c r="Y1399" s="10"/>
      <c r="Z1399" s="10"/>
    </row>
    <row r="1400">
      <c r="A1400" s="9"/>
      <c r="B1400" s="9"/>
      <c r="C1400" s="9"/>
      <c r="D1400" s="9"/>
      <c r="E1400" s="9"/>
      <c r="F1400" s="9"/>
      <c r="G1400" s="9"/>
      <c r="H1400" s="9"/>
      <c r="I1400" s="9"/>
      <c r="J1400" s="9"/>
      <c r="K1400" s="9"/>
      <c r="L1400" s="115"/>
      <c r="M1400" s="115"/>
      <c r="N1400" s="115"/>
      <c r="O1400" s="115"/>
      <c r="P1400" s="9"/>
      <c r="Q1400" s="9"/>
      <c r="R1400" s="9"/>
      <c r="S1400" s="9"/>
      <c r="T1400" s="9"/>
      <c r="U1400" s="9"/>
      <c r="V1400" s="9"/>
      <c r="W1400" s="10"/>
      <c r="X1400" s="10"/>
      <c r="Y1400" s="10"/>
      <c r="Z1400" s="10"/>
    </row>
    <row r="1401">
      <c r="A1401" s="9"/>
      <c r="B1401" s="9"/>
      <c r="C1401" s="9"/>
      <c r="D1401" s="9"/>
      <c r="E1401" s="9"/>
      <c r="F1401" s="9"/>
      <c r="G1401" s="9"/>
      <c r="H1401" s="9"/>
      <c r="I1401" s="9"/>
      <c r="J1401" s="9"/>
      <c r="K1401" s="9"/>
      <c r="L1401" s="115"/>
      <c r="M1401" s="115"/>
      <c r="N1401" s="115"/>
      <c r="O1401" s="115"/>
      <c r="P1401" s="9"/>
      <c r="Q1401" s="9"/>
      <c r="R1401" s="9"/>
      <c r="S1401" s="9"/>
      <c r="T1401" s="9"/>
      <c r="U1401" s="9"/>
      <c r="V1401" s="9"/>
      <c r="W1401" s="10"/>
      <c r="X1401" s="10"/>
      <c r="Y1401" s="10"/>
      <c r="Z1401" s="10"/>
    </row>
    <row r="1402">
      <c r="A1402" s="9"/>
      <c r="B1402" s="9"/>
      <c r="C1402" s="9"/>
      <c r="D1402" s="9"/>
      <c r="E1402" s="9"/>
      <c r="F1402" s="9"/>
      <c r="G1402" s="9"/>
      <c r="H1402" s="9"/>
      <c r="I1402" s="9"/>
      <c r="J1402" s="9"/>
      <c r="K1402" s="9"/>
      <c r="L1402" s="115"/>
      <c r="M1402" s="115"/>
      <c r="N1402" s="115"/>
      <c r="O1402" s="115"/>
      <c r="P1402" s="9"/>
      <c r="Q1402" s="9"/>
      <c r="R1402" s="9"/>
      <c r="S1402" s="9"/>
      <c r="T1402" s="9"/>
      <c r="U1402" s="9"/>
      <c r="V1402" s="9"/>
      <c r="W1402" s="10"/>
      <c r="X1402" s="10"/>
      <c r="Y1402" s="10"/>
      <c r="Z1402" s="10"/>
    </row>
    <row r="1403">
      <c r="A1403" s="9"/>
      <c r="B1403" s="9"/>
      <c r="C1403" s="9"/>
      <c r="D1403" s="9"/>
      <c r="E1403" s="9"/>
      <c r="F1403" s="9"/>
      <c r="G1403" s="9"/>
      <c r="H1403" s="9"/>
      <c r="I1403" s="9"/>
      <c r="J1403" s="9"/>
      <c r="K1403" s="9"/>
      <c r="L1403" s="115"/>
      <c r="M1403" s="115"/>
      <c r="N1403" s="115"/>
      <c r="O1403" s="115"/>
      <c r="P1403" s="9"/>
      <c r="Q1403" s="9"/>
      <c r="R1403" s="9"/>
      <c r="S1403" s="9"/>
      <c r="T1403" s="9"/>
      <c r="U1403" s="9"/>
      <c r="V1403" s="9"/>
      <c r="W1403" s="10"/>
      <c r="X1403" s="10"/>
      <c r="Y1403" s="10"/>
      <c r="Z1403" s="10"/>
    </row>
    <row r="1404">
      <c r="A1404" s="9"/>
      <c r="B1404" s="9"/>
      <c r="C1404" s="9"/>
      <c r="D1404" s="9"/>
      <c r="E1404" s="9"/>
      <c r="F1404" s="9"/>
      <c r="G1404" s="9"/>
      <c r="H1404" s="9"/>
      <c r="I1404" s="9"/>
      <c r="J1404" s="9"/>
      <c r="K1404" s="9"/>
      <c r="L1404" s="115"/>
      <c r="M1404" s="115"/>
      <c r="N1404" s="115"/>
      <c r="O1404" s="115"/>
      <c r="P1404" s="9"/>
      <c r="Q1404" s="9"/>
      <c r="R1404" s="9"/>
      <c r="S1404" s="9"/>
      <c r="T1404" s="9"/>
      <c r="U1404" s="9"/>
      <c r="V1404" s="9"/>
      <c r="W1404" s="10"/>
      <c r="X1404" s="10"/>
      <c r="Y1404" s="10"/>
      <c r="Z1404" s="10"/>
    </row>
    <row r="1405">
      <c r="A1405" s="9"/>
      <c r="B1405" s="9"/>
      <c r="C1405" s="9"/>
      <c r="D1405" s="9"/>
      <c r="E1405" s="9"/>
      <c r="F1405" s="9"/>
      <c r="G1405" s="9"/>
      <c r="H1405" s="9"/>
      <c r="I1405" s="9"/>
      <c r="J1405" s="9"/>
      <c r="K1405" s="9"/>
      <c r="L1405" s="115"/>
      <c r="M1405" s="115"/>
      <c r="N1405" s="115"/>
      <c r="O1405" s="115"/>
      <c r="P1405" s="9"/>
      <c r="Q1405" s="9"/>
      <c r="R1405" s="9"/>
      <c r="S1405" s="9"/>
      <c r="T1405" s="9"/>
      <c r="U1405" s="9"/>
      <c r="V1405" s="9"/>
      <c r="W1405" s="10"/>
      <c r="X1405" s="10"/>
      <c r="Y1405" s="10"/>
      <c r="Z1405" s="10"/>
    </row>
    <row r="1406">
      <c r="A1406" s="9"/>
      <c r="B1406" s="9"/>
      <c r="C1406" s="9"/>
      <c r="D1406" s="9"/>
      <c r="E1406" s="9"/>
      <c r="F1406" s="9"/>
      <c r="G1406" s="9"/>
      <c r="H1406" s="9"/>
      <c r="I1406" s="9"/>
      <c r="J1406" s="9"/>
      <c r="K1406" s="9"/>
      <c r="L1406" s="115"/>
      <c r="M1406" s="115"/>
      <c r="N1406" s="115"/>
      <c r="O1406" s="115"/>
      <c r="P1406" s="9"/>
      <c r="Q1406" s="9"/>
      <c r="R1406" s="9"/>
      <c r="S1406" s="9"/>
      <c r="T1406" s="9"/>
      <c r="U1406" s="9"/>
      <c r="V1406" s="9"/>
      <c r="W1406" s="10"/>
      <c r="X1406" s="10"/>
      <c r="Y1406" s="10"/>
      <c r="Z1406" s="10"/>
    </row>
    <row r="1407">
      <c r="A1407" s="9"/>
      <c r="B1407" s="9"/>
      <c r="C1407" s="9"/>
      <c r="D1407" s="9"/>
      <c r="E1407" s="9"/>
      <c r="F1407" s="9"/>
      <c r="G1407" s="9"/>
      <c r="H1407" s="9"/>
      <c r="I1407" s="9"/>
      <c r="J1407" s="9"/>
      <c r="K1407" s="9"/>
      <c r="L1407" s="115"/>
      <c r="M1407" s="115"/>
      <c r="N1407" s="115"/>
      <c r="O1407" s="115"/>
      <c r="P1407" s="9"/>
      <c r="Q1407" s="9"/>
      <c r="R1407" s="9"/>
      <c r="S1407" s="9"/>
      <c r="T1407" s="9"/>
      <c r="U1407" s="9"/>
      <c r="V1407" s="9"/>
      <c r="W1407" s="10"/>
      <c r="X1407" s="10"/>
      <c r="Y1407" s="10"/>
      <c r="Z1407" s="10"/>
    </row>
    <row r="1408">
      <c r="A1408" s="9"/>
      <c r="B1408" s="9"/>
      <c r="C1408" s="9"/>
      <c r="D1408" s="9"/>
      <c r="E1408" s="9"/>
      <c r="F1408" s="9"/>
      <c r="G1408" s="9"/>
      <c r="H1408" s="9"/>
      <c r="I1408" s="9"/>
      <c r="J1408" s="9"/>
      <c r="K1408" s="9"/>
      <c r="L1408" s="115"/>
      <c r="M1408" s="115"/>
      <c r="N1408" s="115"/>
      <c r="O1408" s="115"/>
      <c r="P1408" s="9"/>
      <c r="Q1408" s="9"/>
      <c r="R1408" s="9"/>
      <c r="S1408" s="9"/>
      <c r="T1408" s="9"/>
      <c r="U1408" s="9"/>
      <c r="V1408" s="9"/>
      <c r="W1408" s="10"/>
      <c r="X1408" s="10"/>
      <c r="Y1408" s="10"/>
      <c r="Z1408" s="10"/>
    </row>
    <row r="1409">
      <c r="A1409" s="9"/>
      <c r="B1409" s="9"/>
      <c r="C1409" s="9"/>
      <c r="D1409" s="9"/>
      <c r="E1409" s="9"/>
      <c r="F1409" s="9"/>
      <c r="G1409" s="9"/>
      <c r="H1409" s="9"/>
      <c r="I1409" s="9"/>
      <c r="J1409" s="9"/>
      <c r="K1409" s="9"/>
      <c r="L1409" s="115"/>
      <c r="M1409" s="115"/>
      <c r="N1409" s="115"/>
      <c r="O1409" s="115"/>
      <c r="P1409" s="9"/>
      <c r="Q1409" s="9"/>
      <c r="R1409" s="9"/>
      <c r="S1409" s="9"/>
      <c r="T1409" s="9"/>
      <c r="U1409" s="9"/>
      <c r="V1409" s="9"/>
      <c r="W1409" s="10"/>
      <c r="X1409" s="10"/>
      <c r="Y1409" s="10"/>
      <c r="Z1409" s="10"/>
    </row>
    <row r="1410">
      <c r="A1410" s="9"/>
      <c r="B1410" s="9"/>
      <c r="C1410" s="9"/>
      <c r="D1410" s="9"/>
      <c r="E1410" s="9"/>
      <c r="F1410" s="9"/>
      <c r="G1410" s="9"/>
      <c r="H1410" s="9"/>
      <c r="I1410" s="9"/>
      <c r="J1410" s="9"/>
      <c r="K1410" s="9"/>
      <c r="L1410" s="115"/>
      <c r="M1410" s="115"/>
      <c r="N1410" s="115"/>
      <c r="O1410" s="115"/>
      <c r="P1410" s="9"/>
      <c r="Q1410" s="9"/>
      <c r="R1410" s="9"/>
      <c r="S1410" s="9"/>
      <c r="T1410" s="9"/>
      <c r="U1410" s="9"/>
      <c r="V1410" s="9"/>
      <c r="W1410" s="10"/>
      <c r="X1410" s="10"/>
      <c r="Y1410" s="10"/>
      <c r="Z1410" s="10"/>
    </row>
    <row r="1411">
      <c r="A1411" s="9"/>
      <c r="B1411" s="9"/>
      <c r="C1411" s="9"/>
      <c r="D1411" s="9"/>
      <c r="E1411" s="9"/>
      <c r="F1411" s="9"/>
      <c r="G1411" s="9"/>
      <c r="H1411" s="9"/>
      <c r="I1411" s="9"/>
      <c r="J1411" s="9"/>
      <c r="K1411" s="9"/>
      <c r="L1411" s="115"/>
      <c r="M1411" s="115"/>
      <c r="N1411" s="115"/>
      <c r="O1411" s="115"/>
      <c r="P1411" s="9"/>
      <c r="Q1411" s="9"/>
      <c r="R1411" s="9"/>
      <c r="S1411" s="9"/>
      <c r="T1411" s="9"/>
      <c r="U1411" s="9"/>
      <c r="V1411" s="9"/>
      <c r="W1411" s="10"/>
      <c r="X1411" s="10"/>
      <c r="Y1411" s="10"/>
      <c r="Z1411" s="10"/>
    </row>
    <row r="1412">
      <c r="A1412" s="9"/>
      <c r="B1412" s="9"/>
      <c r="C1412" s="9"/>
      <c r="D1412" s="9"/>
      <c r="E1412" s="9"/>
      <c r="F1412" s="9"/>
      <c r="G1412" s="9"/>
      <c r="H1412" s="9"/>
      <c r="I1412" s="9"/>
      <c r="J1412" s="9"/>
      <c r="K1412" s="9"/>
      <c r="L1412" s="115"/>
      <c r="M1412" s="115"/>
      <c r="N1412" s="115"/>
      <c r="O1412" s="115"/>
      <c r="P1412" s="9"/>
      <c r="Q1412" s="9"/>
      <c r="R1412" s="9"/>
      <c r="S1412" s="9"/>
      <c r="T1412" s="9"/>
      <c r="U1412" s="9"/>
      <c r="V1412" s="9"/>
      <c r="W1412" s="10"/>
      <c r="X1412" s="10"/>
      <c r="Y1412" s="10"/>
      <c r="Z1412" s="10"/>
    </row>
    <row r="1413">
      <c r="A1413" s="9"/>
      <c r="B1413" s="9"/>
      <c r="C1413" s="9"/>
      <c r="D1413" s="9"/>
      <c r="E1413" s="9"/>
      <c r="F1413" s="9"/>
      <c r="G1413" s="9"/>
      <c r="H1413" s="9"/>
      <c r="I1413" s="9"/>
      <c r="J1413" s="9"/>
      <c r="K1413" s="9"/>
      <c r="L1413" s="115"/>
      <c r="M1413" s="115"/>
      <c r="N1413" s="115"/>
      <c r="O1413" s="115"/>
      <c r="P1413" s="9"/>
      <c r="Q1413" s="9"/>
      <c r="R1413" s="9"/>
      <c r="S1413" s="9"/>
      <c r="T1413" s="9"/>
      <c r="U1413" s="9"/>
      <c r="V1413" s="9"/>
      <c r="W1413" s="10"/>
      <c r="X1413" s="10"/>
      <c r="Y1413" s="10"/>
      <c r="Z1413" s="10"/>
    </row>
    <row r="1414">
      <c r="A1414" s="9"/>
      <c r="B1414" s="9"/>
      <c r="C1414" s="9"/>
      <c r="D1414" s="9"/>
      <c r="E1414" s="9"/>
      <c r="F1414" s="9"/>
      <c r="G1414" s="9"/>
      <c r="H1414" s="9"/>
      <c r="I1414" s="9"/>
      <c r="J1414" s="9"/>
      <c r="K1414" s="9"/>
      <c r="L1414" s="115"/>
      <c r="M1414" s="115"/>
      <c r="N1414" s="115"/>
      <c r="O1414" s="115"/>
      <c r="P1414" s="9"/>
      <c r="Q1414" s="9"/>
      <c r="R1414" s="9"/>
      <c r="S1414" s="9"/>
      <c r="T1414" s="9"/>
      <c r="U1414" s="9"/>
      <c r="V1414" s="9"/>
      <c r="W1414" s="10"/>
      <c r="X1414" s="10"/>
      <c r="Y1414" s="10"/>
      <c r="Z1414" s="10"/>
    </row>
    <row r="1415">
      <c r="A1415" s="9"/>
      <c r="B1415" s="9"/>
      <c r="C1415" s="9"/>
      <c r="D1415" s="9"/>
      <c r="E1415" s="9"/>
      <c r="F1415" s="9"/>
      <c r="G1415" s="9"/>
      <c r="H1415" s="9"/>
      <c r="I1415" s="9"/>
      <c r="J1415" s="9"/>
      <c r="K1415" s="9"/>
      <c r="L1415" s="115"/>
      <c r="M1415" s="115"/>
      <c r="N1415" s="115"/>
      <c r="O1415" s="115"/>
      <c r="P1415" s="9"/>
      <c r="Q1415" s="9"/>
      <c r="R1415" s="9"/>
      <c r="S1415" s="9"/>
      <c r="T1415" s="9"/>
      <c r="U1415" s="9"/>
      <c r="V1415" s="9"/>
      <c r="W1415" s="10"/>
      <c r="X1415" s="10"/>
      <c r="Y1415" s="10"/>
      <c r="Z1415" s="10"/>
    </row>
    <row r="1416">
      <c r="A1416" s="9"/>
      <c r="B1416" s="9"/>
      <c r="C1416" s="9"/>
      <c r="D1416" s="9"/>
      <c r="E1416" s="9"/>
      <c r="F1416" s="9"/>
      <c r="G1416" s="9"/>
      <c r="H1416" s="9"/>
      <c r="I1416" s="9"/>
      <c r="J1416" s="9"/>
      <c r="K1416" s="9"/>
      <c r="L1416" s="115"/>
      <c r="M1416" s="115"/>
      <c r="N1416" s="115"/>
      <c r="O1416" s="115"/>
      <c r="P1416" s="9"/>
      <c r="Q1416" s="9"/>
      <c r="R1416" s="9"/>
      <c r="S1416" s="9"/>
      <c r="T1416" s="9"/>
      <c r="U1416" s="9"/>
      <c r="V1416" s="9"/>
      <c r="W1416" s="10"/>
      <c r="X1416" s="10"/>
      <c r="Y1416" s="10"/>
      <c r="Z1416" s="10"/>
    </row>
    <row r="1417">
      <c r="A1417" s="9"/>
      <c r="B1417" s="9"/>
      <c r="C1417" s="9"/>
      <c r="D1417" s="9"/>
      <c r="E1417" s="9"/>
      <c r="F1417" s="9"/>
      <c r="G1417" s="9"/>
      <c r="H1417" s="9"/>
      <c r="I1417" s="9"/>
      <c r="J1417" s="9"/>
      <c r="K1417" s="9"/>
      <c r="L1417" s="115"/>
      <c r="M1417" s="115"/>
      <c r="N1417" s="115"/>
      <c r="O1417" s="115"/>
      <c r="P1417" s="9"/>
      <c r="Q1417" s="9"/>
      <c r="R1417" s="9"/>
      <c r="S1417" s="9"/>
      <c r="T1417" s="9"/>
      <c r="U1417" s="9"/>
      <c r="V1417" s="9"/>
      <c r="W1417" s="10"/>
      <c r="X1417" s="10"/>
      <c r="Y1417" s="10"/>
      <c r="Z1417" s="10"/>
    </row>
    <row r="1418">
      <c r="A1418" s="9"/>
      <c r="B1418" s="9"/>
      <c r="C1418" s="9"/>
      <c r="D1418" s="9"/>
      <c r="E1418" s="9"/>
      <c r="F1418" s="9"/>
      <c r="G1418" s="9"/>
      <c r="H1418" s="9"/>
      <c r="I1418" s="9"/>
      <c r="J1418" s="9"/>
      <c r="K1418" s="9"/>
      <c r="L1418" s="115"/>
      <c r="M1418" s="115"/>
      <c r="N1418" s="115"/>
      <c r="O1418" s="115"/>
      <c r="P1418" s="9"/>
      <c r="Q1418" s="9"/>
      <c r="R1418" s="9"/>
      <c r="S1418" s="9"/>
      <c r="T1418" s="9"/>
      <c r="U1418" s="9"/>
      <c r="V1418" s="9"/>
      <c r="W1418" s="10"/>
      <c r="X1418" s="10"/>
      <c r="Y1418" s="10"/>
      <c r="Z1418" s="10"/>
    </row>
    <row r="1419">
      <c r="A1419" s="9"/>
      <c r="B1419" s="9"/>
      <c r="C1419" s="9"/>
      <c r="D1419" s="9"/>
      <c r="E1419" s="9"/>
      <c r="F1419" s="9"/>
      <c r="G1419" s="9"/>
      <c r="H1419" s="9"/>
      <c r="I1419" s="9"/>
      <c r="J1419" s="9"/>
      <c r="K1419" s="9"/>
      <c r="L1419" s="115"/>
      <c r="M1419" s="115"/>
      <c r="N1419" s="115"/>
      <c r="O1419" s="115"/>
      <c r="P1419" s="9"/>
      <c r="Q1419" s="9"/>
      <c r="R1419" s="9"/>
      <c r="S1419" s="9"/>
      <c r="T1419" s="9"/>
      <c r="U1419" s="9"/>
      <c r="V1419" s="9"/>
      <c r="W1419" s="10"/>
      <c r="X1419" s="10"/>
      <c r="Y1419" s="10"/>
      <c r="Z1419" s="10"/>
    </row>
    <row r="1420">
      <c r="A1420" s="9"/>
      <c r="B1420" s="9"/>
      <c r="C1420" s="9"/>
      <c r="D1420" s="9"/>
      <c r="E1420" s="9"/>
      <c r="F1420" s="9"/>
      <c r="G1420" s="9"/>
      <c r="H1420" s="9"/>
      <c r="I1420" s="9"/>
      <c r="J1420" s="9"/>
      <c r="K1420" s="9"/>
      <c r="L1420" s="115"/>
      <c r="M1420" s="115"/>
      <c r="N1420" s="115"/>
      <c r="O1420" s="115"/>
      <c r="P1420" s="9"/>
      <c r="Q1420" s="9"/>
      <c r="R1420" s="9"/>
      <c r="S1420" s="9"/>
      <c r="T1420" s="9"/>
      <c r="U1420" s="9"/>
      <c r="V1420" s="9"/>
      <c r="W1420" s="10"/>
      <c r="X1420" s="10"/>
      <c r="Y1420" s="10"/>
      <c r="Z1420" s="10"/>
    </row>
    <row r="1421">
      <c r="A1421" s="9"/>
      <c r="B1421" s="9"/>
      <c r="C1421" s="9"/>
      <c r="D1421" s="9"/>
      <c r="E1421" s="9"/>
      <c r="F1421" s="9"/>
      <c r="G1421" s="9"/>
      <c r="H1421" s="9"/>
      <c r="I1421" s="9"/>
      <c r="J1421" s="9"/>
      <c r="K1421" s="9"/>
      <c r="L1421" s="115"/>
      <c r="M1421" s="115"/>
      <c r="N1421" s="115"/>
      <c r="O1421" s="115"/>
      <c r="P1421" s="9"/>
      <c r="Q1421" s="9"/>
      <c r="R1421" s="9"/>
      <c r="S1421" s="9"/>
      <c r="T1421" s="9"/>
      <c r="U1421" s="9"/>
      <c r="V1421" s="9"/>
      <c r="W1421" s="10"/>
      <c r="X1421" s="10"/>
      <c r="Y1421" s="10"/>
      <c r="Z1421" s="10"/>
    </row>
    <row r="1422">
      <c r="A1422" s="9"/>
      <c r="B1422" s="9"/>
      <c r="C1422" s="9"/>
      <c r="D1422" s="9"/>
      <c r="E1422" s="9"/>
      <c r="F1422" s="9"/>
      <c r="G1422" s="9"/>
      <c r="H1422" s="9"/>
      <c r="I1422" s="9"/>
      <c r="J1422" s="9"/>
      <c r="K1422" s="9"/>
      <c r="L1422" s="115"/>
      <c r="M1422" s="115"/>
      <c r="N1422" s="115"/>
      <c r="O1422" s="115"/>
      <c r="P1422" s="9"/>
      <c r="Q1422" s="9"/>
      <c r="R1422" s="9"/>
      <c r="S1422" s="9"/>
      <c r="T1422" s="9"/>
      <c r="U1422" s="9"/>
      <c r="V1422" s="9"/>
      <c r="W1422" s="10"/>
      <c r="X1422" s="10"/>
      <c r="Y1422" s="10"/>
      <c r="Z1422" s="10"/>
    </row>
    <row r="1423">
      <c r="A1423" s="9"/>
      <c r="B1423" s="9"/>
      <c r="C1423" s="9"/>
      <c r="D1423" s="9"/>
      <c r="E1423" s="9"/>
      <c r="F1423" s="9"/>
      <c r="G1423" s="9"/>
      <c r="H1423" s="9"/>
      <c r="I1423" s="9"/>
      <c r="J1423" s="9"/>
      <c r="K1423" s="9"/>
      <c r="L1423" s="115"/>
      <c r="M1423" s="115"/>
      <c r="N1423" s="115"/>
      <c r="O1423" s="115"/>
      <c r="P1423" s="9"/>
      <c r="Q1423" s="9"/>
      <c r="R1423" s="9"/>
      <c r="S1423" s="9"/>
      <c r="T1423" s="9"/>
      <c r="U1423" s="9"/>
      <c r="V1423" s="9"/>
      <c r="W1423" s="10"/>
      <c r="X1423" s="10"/>
      <c r="Y1423" s="10"/>
      <c r="Z1423" s="10"/>
    </row>
    <row r="1424">
      <c r="A1424" s="9"/>
      <c r="B1424" s="9"/>
      <c r="C1424" s="9"/>
      <c r="D1424" s="9"/>
      <c r="E1424" s="9"/>
      <c r="F1424" s="9"/>
      <c r="G1424" s="9"/>
      <c r="H1424" s="9"/>
      <c r="I1424" s="9"/>
      <c r="J1424" s="9"/>
      <c r="K1424" s="9"/>
      <c r="L1424" s="115"/>
      <c r="M1424" s="115"/>
      <c r="N1424" s="115"/>
      <c r="O1424" s="115"/>
      <c r="P1424" s="9"/>
      <c r="Q1424" s="9"/>
      <c r="R1424" s="9"/>
      <c r="S1424" s="9"/>
      <c r="T1424" s="9"/>
      <c r="U1424" s="9"/>
      <c r="V1424" s="9"/>
      <c r="W1424" s="10"/>
      <c r="X1424" s="10"/>
      <c r="Y1424" s="10"/>
      <c r="Z1424" s="10"/>
    </row>
  </sheetData>
  <mergeCells count="26">
    <mergeCell ref="G3:I3"/>
    <mergeCell ref="G4:I4"/>
    <mergeCell ref="C4:E4"/>
    <mergeCell ref="C5:F5"/>
    <mergeCell ref="G5:I5"/>
    <mergeCell ref="J5:L5"/>
    <mergeCell ref="C3:F3"/>
    <mergeCell ref="C7:F7"/>
    <mergeCell ref="G7:I7"/>
    <mergeCell ref="J7:L7"/>
    <mergeCell ref="C8:E8"/>
    <mergeCell ref="G8:I8"/>
    <mergeCell ref="J8:L8"/>
    <mergeCell ref="C9:F9"/>
    <mergeCell ref="G9:I9"/>
    <mergeCell ref="J9:L9"/>
    <mergeCell ref="D10:K10"/>
    <mergeCell ref="L10:R10"/>
    <mergeCell ref="S10:T10"/>
    <mergeCell ref="A1:B1"/>
    <mergeCell ref="A2:T2"/>
    <mergeCell ref="A3:B9"/>
    <mergeCell ref="J3:L3"/>
    <mergeCell ref="M3:M9"/>
    <mergeCell ref="J4:L4"/>
    <mergeCell ref="J6:L6"/>
  </mergeCells>
  <dataValidations>
    <dataValidation type="list" allowBlank="1" sqref="A2 A19 A27 A35 A43 A51 A59 A67 A75 A83 A91 A99 A107 A115 A123 A131 A139 A147 A155 A163 A171 A179 A187 A195 A203 A211 A219 A227 A235 A243 A251 A259 A267 A275 A283 A291 A299 A307 A315 A323 A331 A339 A347 A355 A363 A371 A379 A387 A395 A403 A411 A419 A427 A435 A443 A451 A459 A467">
      <formula1>"Previous Week,Current Week"</formula1>
    </dataValidation>
  </dataValidations>
  <hyperlinks>
    <hyperlink r:id="rId1" location="/report?id=102%3ADetailSalesTrafficByTime&amp;chartCols=17&amp;columns=0%2F1%2F2%2F3%2F4%2F5%2F6%2F17%2F18%2F23%2F24%2F25%2F26%2F29%2F30%2F31%2F32&amp;fromDate=2024-12-29&amp;toDate=2025-01-04" ref="A1"/>
  </hyperlinks>
  <drawing r:id="rId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ySplit="11.0" topLeftCell="A12" activePane="bottomLeft" state="frozen"/>
      <selection activeCell="B13" sqref="B13" pane="bottomLeft"/>
    </sheetView>
  </sheetViews>
  <sheetFormatPr customHeight="1" defaultColWidth="12.63" defaultRowHeight="15.75" outlineLevelRow="1"/>
  <cols>
    <col customWidth="1" min="1" max="1" width="16.88"/>
  </cols>
  <sheetData>
    <row r="1">
      <c r="A1" s="116" t="s">
        <v>57</v>
      </c>
      <c r="B1" s="117"/>
      <c r="C1" s="117"/>
      <c r="D1" s="7"/>
      <c r="E1" s="118"/>
      <c r="F1" s="118"/>
      <c r="G1" s="118"/>
      <c r="H1" s="118"/>
      <c r="I1" s="118"/>
      <c r="J1" s="118"/>
      <c r="K1" s="118"/>
      <c r="L1" s="118"/>
      <c r="M1" s="118"/>
      <c r="N1" s="118"/>
      <c r="O1" s="118"/>
      <c r="P1" s="118"/>
      <c r="Q1" s="118"/>
      <c r="R1" s="118"/>
      <c r="S1" s="118"/>
      <c r="T1" s="118"/>
      <c r="U1" s="118"/>
      <c r="V1" s="118"/>
      <c r="W1" s="2"/>
      <c r="X1" s="2"/>
    </row>
    <row r="2">
      <c r="A2" s="11" t="s">
        <v>17</v>
      </c>
      <c r="B2" s="12"/>
      <c r="C2" s="12"/>
      <c r="D2" s="12"/>
      <c r="E2" s="12"/>
      <c r="F2" s="12"/>
      <c r="G2" s="12"/>
      <c r="H2" s="12"/>
      <c r="I2" s="12"/>
      <c r="J2" s="12"/>
      <c r="K2" s="12"/>
      <c r="L2" s="12"/>
      <c r="M2" s="12"/>
      <c r="N2" s="12"/>
      <c r="O2" s="12"/>
      <c r="P2" s="12"/>
      <c r="Q2" s="12"/>
      <c r="R2" s="12"/>
      <c r="S2" s="12"/>
      <c r="T2" s="12"/>
      <c r="U2" s="12"/>
      <c r="V2" s="13"/>
      <c r="W2" s="2"/>
      <c r="X2" s="2"/>
    </row>
    <row r="3">
      <c r="A3" s="2"/>
      <c r="E3" s="119" t="s">
        <v>18</v>
      </c>
      <c r="F3" s="12"/>
      <c r="G3" s="12"/>
      <c r="H3" s="13"/>
      <c r="I3" s="119" t="s">
        <v>19</v>
      </c>
      <c r="J3" s="12"/>
      <c r="K3" s="13"/>
      <c r="L3" s="119" t="s">
        <v>20</v>
      </c>
      <c r="M3" s="12"/>
      <c r="N3" s="12"/>
      <c r="O3" s="2"/>
      <c r="P3" s="120"/>
      <c r="Q3" s="120"/>
      <c r="R3" s="120"/>
      <c r="S3" s="120"/>
      <c r="T3" s="120"/>
      <c r="U3" s="120"/>
      <c r="V3" s="120"/>
      <c r="W3" s="2"/>
      <c r="X3" s="2"/>
    </row>
    <row r="4">
      <c r="E4" s="121">
        <f>VLOOKUP("Current Week",$A$11:$V$1143,match("SALES",$A$11:$V$11,0),FALSE)</f>
        <v>3153.96</v>
      </c>
      <c r="F4" s="12"/>
      <c r="G4" s="13"/>
      <c r="H4" s="120"/>
      <c r="I4" s="122">
        <f>VLOOKUP("Current Week",$A$11:$V$1143,match("ORDERS",$A$11:$V$11,0),FALSE)</f>
        <v>111</v>
      </c>
      <c r="J4" s="12"/>
      <c r="K4" s="13"/>
      <c r="L4" s="122">
        <f>VLOOKUP("Current Week",$A$11:$V$1143,match("UNITS SOLD",$A$11:$V$11,0),FALSE)</f>
        <v>126</v>
      </c>
      <c r="M4" s="12"/>
      <c r="N4" s="12"/>
      <c r="P4" s="120"/>
      <c r="Q4" s="120"/>
      <c r="R4" s="120"/>
      <c r="S4" s="120"/>
      <c r="T4" s="120"/>
      <c r="U4" s="120"/>
      <c r="V4" s="120"/>
      <c r="W4" s="2"/>
      <c r="X4" s="2"/>
    </row>
    <row r="5">
      <c r="E5" s="123">
        <f>(E4-(VLOOKUP("Previous Week",$A$11:$V1143,match("SALES",$A$11:$V$11,0),FALSE)))/E4</f>
        <v>0.3657782597</v>
      </c>
      <c r="F5" s="12"/>
      <c r="G5" s="12"/>
      <c r="H5" s="13"/>
      <c r="I5" s="123">
        <f>(I4-(VLOOKUP("Previous Week",$A$11:$V1143,match("ORDERS",$A$11:$V$11,0),FALSE)))/I4</f>
        <v>0.3063063063</v>
      </c>
      <c r="J5" s="12"/>
      <c r="K5" s="13"/>
      <c r="L5" s="123">
        <f>(L4-(VLOOKUP("Previous Week",$A$11:$V1143,match("UNITS SOLD",$A$11:$V$11,0),FALSE)))/L4</f>
        <v>0.3333333333</v>
      </c>
      <c r="M5" s="12"/>
      <c r="N5" s="12"/>
      <c r="P5" s="120"/>
      <c r="Q5" s="120"/>
      <c r="R5" s="120"/>
      <c r="S5" s="120"/>
      <c r="T5" s="120"/>
      <c r="U5" s="120"/>
      <c r="V5" s="120"/>
      <c r="W5" s="2"/>
      <c r="X5" s="2"/>
    </row>
    <row r="6">
      <c r="E6" s="120"/>
      <c r="F6" s="120"/>
      <c r="G6" s="120"/>
      <c r="H6" s="120"/>
      <c r="I6" s="120"/>
      <c r="J6" s="120"/>
      <c r="K6" s="120"/>
      <c r="L6" s="76"/>
      <c r="M6" s="12"/>
      <c r="N6" s="13"/>
      <c r="P6" s="120"/>
      <c r="Q6" s="120"/>
      <c r="R6" s="120"/>
      <c r="S6" s="120"/>
      <c r="T6" s="120"/>
      <c r="U6" s="120"/>
      <c r="V6" s="120"/>
      <c r="W6" s="2"/>
      <c r="X6" s="2"/>
    </row>
    <row r="7">
      <c r="E7" s="119" t="s">
        <v>21</v>
      </c>
      <c r="F7" s="12"/>
      <c r="G7" s="12"/>
      <c r="H7" s="13"/>
      <c r="I7" s="119" t="s">
        <v>22</v>
      </c>
      <c r="J7" s="12"/>
      <c r="K7" s="13"/>
      <c r="L7" s="119" t="s">
        <v>23</v>
      </c>
      <c r="M7" s="12"/>
      <c r="N7" s="12"/>
      <c r="P7" s="120"/>
      <c r="Q7" s="120"/>
      <c r="R7" s="120"/>
      <c r="S7" s="120"/>
      <c r="T7" s="120"/>
      <c r="U7" s="120"/>
      <c r="V7" s="120"/>
      <c r="W7" s="2"/>
      <c r="X7" s="2"/>
    </row>
    <row r="8">
      <c r="E8" s="121">
        <f>VLOOKUP("Current Week",$A$11:$V$1143,match("AD SALES",$A$11:$V$11,0),FALSE)</f>
        <v>2102.55</v>
      </c>
      <c r="F8" s="12"/>
      <c r="G8" s="13"/>
      <c r="H8" s="120"/>
      <c r="I8" s="121">
        <f>VLOOKUP("Current Week",$A$11:$V$1143,match("SP AD SPEND",$A$11:$V$11,0),FALSE)</f>
        <v>874.7</v>
      </c>
      <c r="J8" s="12"/>
      <c r="K8" s="13"/>
      <c r="L8" s="124" t="str">
        <f>K8/G8</f>
        <v>#DIV/0!</v>
      </c>
      <c r="M8" s="12"/>
      <c r="N8" s="12"/>
      <c r="P8" s="120"/>
      <c r="Q8" s="120"/>
      <c r="R8" s="120"/>
      <c r="S8" s="120"/>
      <c r="T8" s="120"/>
      <c r="U8" s="120"/>
      <c r="V8" s="120"/>
      <c r="W8" s="2"/>
      <c r="X8" s="2"/>
    </row>
    <row r="9">
      <c r="E9" s="125">
        <f>(E8-(VLOOKUP("Previous Week",$A$11:$V1143,match("AD SALES",$A$11:$V$11,0),FALSE)))/E8</f>
        <v>0.263189936</v>
      </c>
      <c r="H9" s="126"/>
      <c r="I9" s="127">
        <f>(I8-(VLOOKUP("Previous Week",$A$11:$V1143,match("SP AD SPEND",$A$11:$V$11,0),FALSE)))/I8</f>
        <v>0.05541328455</v>
      </c>
      <c r="J9" s="21"/>
      <c r="K9" s="23"/>
      <c r="L9" s="128" t="str">
        <f>(L8-(VLOOKUP("Previous Week",$A$11:$V1143,match("ACoS",$A$11:$V$11,0),FALSE)))/L8</f>
        <v>#DIV/0!</v>
      </c>
      <c r="M9" s="21"/>
      <c r="N9" s="21"/>
      <c r="P9" s="129"/>
      <c r="Q9" s="129"/>
      <c r="R9" s="129"/>
      <c r="S9" s="129"/>
      <c r="T9" s="129"/>
      <c r="U9" s="129"/>
      <c r="V9" s="129"/>
      <c r="W9" s="2"/>
      <c r="X9" s="2"/>
    </row>
    <row r="10">
      <c r="A10" s="130"/>
      <c r="B10" s="131"/>
      <c r="C10" s="131"/>
      <c r="D10" s="132"/>
      <c r="E10" s="132"/>
      <c r="F10" s="133" t="s">
        <v>24</v>
      </c>
      <c r="G10" s="134"/>
      <c r="H10" s="134"/>
      <c r="I10" s="134"/>
      <c r="J10" s="134"/>
      <c r="K10" s="134"/>
      <c r="L10" s="134"/>
      <c r="M10" s="135"/>
      <c r="N10" s="136" t="s">
        <v>25</v>
      </c>
      <c r="O10" s="134"/>
      <c r="P10" s="134"/>
      <c r="Q10" s="134"/>
      <c r="R10" s="134"/>
      <c r="S10" s="134"/>
      <c r="T10" s="135"/>
      <c r="U10" s="137" t="s">
        <v>26</v>
      </c>
      <c r="V10" s="29"/>
      <c r="W10" s="2"/>
      <c r="X10" s="2"/>
    </row>
    <row r="11">
      <c r="A11" s="138" t="s">
        <v>27</v>
      </c>
      <c r="B11" s="139" t="s">
        <v>58</v>
      </c>
      <c r="C11" s="140" t="s">
        <v>8</v>
      </c>
      <c r="D11" s="139" t="s">
        <v>9</v>
      </c>
      <c r="E11" s="141"/>
      <c r="F11" s="142" t="s">
        <v>29</v>
      </c>
      <c r="G11" s="142" t="s">
        <v>30</v>
      </c>
      <c r="H11" s="142" t="s">
        <v>31</v>
      </c>
      <c r="I11" s="142" t="s">
        <v>32</v>
      </c>
      <c r="J11" s="142" t="s">
        <v>59</v>
      </c>
      <c r="K11" s="142" t="s">
        <v>34</v>
      </c>
      <c r="L11" s="142" t="s">
        <v>35</v>
      </c>
      <c r="M11" s="139" t="s">
        <v>36</v>
      </c>
      <c r="N11" s="142" t="s">
        <v>37</v>
      </c>
      <c r="O11" s="142" t="s">
        <v>38</v>
      </c>
      <c r="P11" s="142" t="s">
        <v>39</v>
      </c>
      <c r="Q11" s="142" t="s">
        <v>40</v>
      </c>
      <c r="R11" s="142" t="s">
        <v>23</v>
      </c>
      <c r="S11" s="142" t="s">
        <v>41</v>
      </c>
      <c r="T11" s="139" t="s">
        <v>42</v>
      </c>
      <c r="U11" s="140" t="s">
        <v>29</v>
      </c>
      <c r="V11" s="139" t="s">
        <v>43</v>
      </c>
      <c r="W11" s="2"/>
      <c r="X11" s="2"/>
    </row>
    <row r="12" hidden="1" outlineLevel="1">
      <c r="A12" s="56" t="str">
        <f>iferror(if(B12&gt;0,month(B12)&amp;"-"&amp;year(B12),B12),)</f>
        <v>12-2024</v>
      </c>
      <c r="B12" s="143">
        <v>45648.0</v>
      </c>
      <c r="C12" s="144"/>
      <c r="D12" s="145" t="s">
        <v>60</v>
      </c>
      <c r="E12" s="58"/>
      <c r="F12" s="146"/>
      <c r="G12" s="147"/>
      <c r="H12" s="147"/>
      <c r="I12" s="148"/>
      <c r="J12" s="149"/>
      <c r="K12" s="149"/>
      <c r="L12" s="150"/>
      <c r="M12" s="151"/>
      <c r="N12" s="152">
        <v>363.6</v>
      </c>
      <c r="O12" s="152">
        <v>901.64</v>
      </c>
      <c r="P12" s="153">
        <v>33.0</v>
      </c>
      <c r="Q12" s="154">
        <v>102249.0</v>
      </c>
      <c r="R12" s="155">
        <f t="shared" ref="R12:R375" si="1">N12/O12</f>
        <v>0.4032651613</v>
      </c>
      <c r="S12" s="156">
        <f t="shared" ref="S12:S375" si="2">O12/N12</f>
        <v>2.479757976</v>
      </c>
      <c r="T12" s="155" t="str">
        <f>O12/F12</f>
        <v>#DIV/0!</v>
      </c>
      <c r="U12" s="76"/>
      <c r="V12" s="77"/>
      <c r="W12" s="2"/>
      <c r="X12" s="2"/>
      <c r="Y12" s="2"/>
      <c r="Z12" s="2"/>
    </row>
    <row r="13" hidden="1" outlineLevel="1">
      <c r="A13" s="157"/>
      <c r="B13" s="158"/>
      <c r="C13" s="159" t="s">
        <v>12</v>
      </c>
      <c r="D13" s="160" t="s">
        <v>13</v>
      </c>
      <c r="E13" s="58"/>
      <c r="F13" s="161">
        <v>91.96</v>
      </c>
      <c r="G13" s="162">
        <v>4.0</v>
      </c>
      <c r="H13" s="162">
        <v>4.0</v>
      </c>
      <c r="I13" s="163">
        <f t="shared" ref="I13:I17" si="3">G13/H13</f>
        <v>1</v>
      </c>
      <c r="J13" s="164">
        <f t="shared" ref="J13:J16" si="4">F13/H13</f>
        <v>22.99</v>
      </c>
      <c r="K13" s="164">
        <f t="shared" ref="K13:K16" si="5">F13/G13</f>
        <v>22.99</v>
      </c>
      <c r="L13" s="165">
        <v>151.0</v>
      </c>
      <c r="M13" s="155">
        <f t="shared" ref="M13:M17" si="6">G13/L13</f>
        <v>0.02649006623</v>
      </c>
      <c r="N13" s="166">
        <v>6.46</v>
      </c>
      <c r="O13" s="166">
        <v>0.0</v>
      </c>
      <c r="P13" s="167">
        <v>0.0</v>
      </c>
      <c r="Q13" s="168">
        <v>2564.0</v>
      </c>
      <c r="R13" s="155" t="str">
        <f t="shared" si="1"/>
        <v>#DIV/0!</v>
      </c>
      <c r="S13" s="156">
        <f t="shared" si="2"/>
        <v>0</v>
      </c>
      <c r="T13" s="155" t="str">
        <f>#REF!/#REF!</f>
        <v>#REF!</v>
      </c>
      <c r="U13" s="76"/>
      <c r="V13" s="77"/>
      <c r="W13" s="2"/>
      <c r="X13" s="2"/>
      <c r="Y13" s="2"/>
      <c r="Z13" s="2"/>
    </row>
    <row r="14" hidden="1" outlineLevel="1">
      <c r="A14" s="157" t="str">
        <f>iferror(if(D14&gt;0,month(D14)&amp;"-"&amp;year(D14),D14),)</f>
        <v/>
      </c>
      <c r="B14" s="158"/>
      <c r="C14" s="169" t="s">
        <v>61</v>
      </c>
      <c r="D14" s="170" t="s">
        <v>62</v>
      </c>
      <c r="E14" s="68"/>
      <c r="F14" s="164">
        <v>323.88</v>
      </c>
      <c r="G14" s="171">
        <v>13.0</v>
      </c>
      <c r="H14" s="171">
        <v>11.0</v>
      </c>
      <c r="I14" s="163">
        <f t="shared" si="3"/>
        <v>1.181818182</v>
      </c>
      <c r="J14" s="164">
        <f t="shared" si="4"/>
        <v>29.44363636</v>
      </c>
      <c r="K14" s="164">
        <f t="shared" si="5"/>
        <v>24.91384615</v>
      </c>
      <c r="L14" s="165">
        <v>270.0</v>
      </c>
      <c r="M14" s="155">
        <f t="shared" si="6"/>
        <v>0.04814814815</v>
      </c>
      <c r="N14" s="172">
        <v>15.08</v>
      </c>
      <c r="O14" s="172">
        <v>26.99</v>
      </c>
      <c r="P14" s="173">
        <v>1.0</v>
      </c>
      <c r="Q14" s="174">
        <v>5920.0</v>
      </c>
      <c r="R14" s="155">
        <f t="shared" si="1"/>
        <v>0.5587254539</v>
      </c>
      <c r="S14" s="156">
        <f t="shared" si="2"/>
        <v>1.789787798</v>
      </c>
      <c r="T14" s="155">
        <f t="shared" ref="T14:T18" si="7">O14/F14</f>
        <v>0.08333333333</v>
      </c>
      <c r="U14" s="76"/>
      <c r="V14" s="77"/>
      <c r="W14" s="2"/>
      <c r="X14" s="2"/>
      <c r="Y14" s="2"/>
      <c r="Z14" s="2"/>
    </row>
    <row r="15" hidden="1" outlineLevel="1">
      <c r="A15" s="175"/>
      <c r="B15" s="158"/>
      <c r="C15" s="176" t="s">
        <v>14</v>
      </c>
      <c r="D15" s="177" t="s">
        <v>15</v>
      </c>
      <c r="E15" s="68"/>
      <c r="F15" s="164">
        <v>299.88</v>
      </c>
      <c r="G15" s="171">
        <v>12.0</v>
      </c>
      <c r="H15" s="171">
        <v>12.0</v>
      </c>
      <c r="I15" s="163">
        <f t="shared" si="3"/>
        <v>1</v>
      </c>
      <c r="J15" s="164">
        <f t="shared" si="4"/>
        <v>24.99</v>
      </c>
      <c r="K15" s="164">
        <f t="shared" si="5"/>
        <v>24.99</v>
      </c>
      <c r="L15" s="165">
        <v>189.0</v>
      </c>
      <c r="M15" s="155">
        <f t="shared" si="6"/>
        <v>0.06349206349</v>
      </c>
      <c r="N15" s="178">
        <v>45.22</v>
      </c>
      <c r="O15" s="178">
        <v>99.96</v>
      </c>
      <c r="P15" s="179">
        <v>4.0</v>
      </c>
      <c r="Q15" s="180">
        <v>9200.0</v>
      </c>
      <c r="R15" s="155">
        <f t="shared" si="1"/>
        <v>0.4523809524</v>
      </c>
      <c r="S15" s="156">
        <f t="shared" si="2"/>
        <v>2.210526316</v>
      </c>
      <c r="T15" s="155">
        <f t="shared" si="7"/>
        <v>0.3333333333</v>
      </c>
      <c r="U15" s="76"/>
      <c r="V15" s="77"/>
      <c r="W15" s="2"/>
      <c r="X15" s="2"/>
      <c r="Y15" s="2"/>
      <c r="Z15" s="2"/>
    </row>
    <row r="16" hidden="1" outlineLevel="1">
      <c r="A16" s="56" t="str">
        <f>iferror(if(B16&gt;0,month(B16)&amp;"-"&amp;year(B16),B16),)</f>
        <v>12-2024</v>
      </c>
      <c r="B16" s="143">
        <v>45654.0</v>
      </c>
      <c r="C16" s="181" t="s">
        <v>63</v>
      </c>
      <c r="D16" s="182" t="s">
        <v>64</v>
      </c>
      <c r="E16" s="68"/>
      <c r="F16" s="164">
        <v>524.79</v>
      </c>
      <c r="G16" s="171">
        <v>22.0</v>
      </c>
      <c r="H16" s="171">
        <v>18.0</v>
      </c>
      <c r="I16" s="163">
        <f t="shared" si="3"/>
        <v>1.222222222</v>
      </c>
      <c r="J16" s="164">
        <f t="shared" si="4"/>
        <v>29.155</v>
      </c>
      <c r="K16" s="164">
        <f t="shared" si="5"/>
        <v>23.85409091</v>
      </c>
      <c r="L16" s="165">
        <v>270.0</v>
      </c>
      <c r="M16" s="155">
        <f t="shared" si="6"/>
        <v>0.08148148148</v>
      </c>
      <c r="N16" s="183">
        <v>26.59</v>
      </c>
      <c r="O16" s="183">
        <v>99.96</v>
      </c>
      <c r="P16" s="184">
        <v>3.0</v>
      </c>
      <c r="Q16" s="185">
        <v>7230.0</v>
      </c>
      <c r="R16" s="155">
        <f t="shared" si="1"/>
        <v>0.2660064026</v>
      </c>
      <c r="S16" s="156">
        <f t="shared" si="2"/>
        <v>3.759308011</v>
      </c>
      <c r="T16" s="155">
        <f t="shared" si="7"/>
        <v>0.1904761905</v>
      </c>
      <c r="U16" s="76"/>
      <c r="V16" s="77"/>
      <c r="W16" s="2"/>
      <c r="X16" s="2"/>
      <c r="Y16" s="2"/>
      <c r="Z16" s="2"/>
    </row>
    <row r="17" collapsed="1">
      <c r="A17" s="101" t="s">
        <v>67</v>
      </c>
      <c r="B17" s="79"/>
      <c r="C17" s="79"/>
      <c r="D17" s="79"/>
      <c r="E17" s="80"/>
      <c r="F17" s="190">
        <f t="shared" ref="F17:H17" si="8">SUM(F12:F16)</f>
        <v>1240.51</v>
      </c>
      <c r="G17" s="191">
        <f t="shared" si="8"/>
        <v>51</v>
      </c>
      <c r="H17" s="191">
        <f t="shared" si="8"/>
        <v>45</v>
      </c>
      <c r="I17" s="192">
        <f t="shared" si="3"/>
        <v>1.133333333</v>
      </c>
      <c r="J17" s="193">
        <f>F17/G17</f>
        <v>24.32372549</v>
      </c>
      <c r="K17" s="193">
        <f>J17/I17</f>
        <v>21.46211073</v>
      </c>
      <c r="L17" s="194">
        <f>SUM(L12:L16)</f>
        <v>880</v>
      </c>
      <c r="M17" s="195">
        <f t="shared" si="6"/>
        <v>0.05795454545</v>
      </c>
      <c r="N17" s="190">
        <f t="shared" ref="N17:P17" si="9">SUM(N12:N16)</f>
        <v>456.95</v>
      </c>
      <c r="O17" s="190">
        <f t="shared" si="9"/>
        <v>1128.55</v>
      </c>
      <c r="P17" s="196">
        <f t="shared" si="9"/>
        <v>41</v>
      </c>
      <c r="Q17" s="197">
        <f>sum(Q12:Q16)</f>
        <v>127163</v>
      </c>
      <c r="R17" s="195">
        <f t="shared" si="1"/>
        <v>0.404900093</v>
      </c>
      <c r="S17" s="198">
        <f t="shared" si="2"/>
        <v>2.469745049</v>
      </c>
      <c r="T17" s="199">
        <f t="shared" si="7"/>
        <v>0.9097467977</v>
      </c>
      <c r="U17" s="80" t="str">
        <f>iferror((F17-#REF!)/F17,)</f>
        <v/>
      </c>
      <c r="V17" s="90" t="str">
        <f>iferror((H17-#REF!)/H17,)</f>
        <v/>
      </c>
      <c r="W17" s="2"/>
      <c r="X17" s="2"/>
      <c r="Y17" s="2"/>
      <c r="Z17" s="2"/>
    </row>
    <row r="18" hidden="1" outlineLevel="1">
      <c r="A18" s="56" t="str">
        <f>iferror(if(B18&gt;0,month(B18)&amp;"-"&amp;year(B18),B18),)</f>
        <v>12-2024</v>
      </c>
      <c r="B18" s="143">
        <v>45655.0</v>
      </c>
      <c r="C18" s="144"/>
      <c r="D18" s="145" t="s">
        <v>60</v>
      </c>
      <c r="E18" s="58"/>
      <c r="F18" s="146"/>
      <c r="G18" s="147"/>
      <c r="H18" s="147"/>
      <c r="I18" s="148"/>
      <c r="J18" s="149"/>
      <c r="K18" s="149"/>
      <c r="L18" s="150"/>
      <c r="M18" s="151"/>
      <c r="N18" s="152">
        <v>557.49</v>
      </c>
      <c r="O18" s="152">
        <v>1220.51</v>
      </c>
      <c r="P18" s="153">
        <v>46.0</v>
      </c>
      <c r="Q18" s="154">
        <v>153711.0</v>
      </c>
      <c r="R18" s="155">
        <f t="shared" si="1"/>
        <v>0.4567680724</v>
      </c>
      <c r="S18" s="156">
        <f t="shared" si="2"/>
        <v>2.189294875</v>
      </c>
      <c r="T18" s="155" t="str">
        <f t="shared" si="7"/>
        <v>#DIV/0!</v>
      </c>
      <c r="U18" s="76"/>
      <c r="V18" s="77"/>
      <c r="W18" s="2"/>
      <c r="X18" s="2"/>
      <c r="Y18" s="2"/>
      <c r="Z18" s="2"/>
    </row>
    <row r="19" hidden="1" outlineLevel="1">
      <c r="A19" s="157"/>
      <c r="B19" s="158"/>
      <c r="C19" s="159" t="s">
        <v>12</v>
      </c>
      <c r="D19" s="160" t="s">
        <v>13</v>
      </c>
      <c r="E19" s="58"/>
      <c r="F19" s="161">
        <v>482.79</v>
      </c>
      <c r="G19" s="162">
        <v>21.0</v>
      </c>
      <c r="H19" s="162">
        <v>18.0</v>
      </c>
      <c r="I19" s="163">
        <f t="shared" ref="I19:I23" si="10">G19/H19</f>
        <v>1.166666667</v>
      </c>
      <c r="J19" s="164">
        <f t="shared" ref="J19:J22" si="11">F19/H19</f>
        <v>26.82166667</v>
      </c>
      <c r="K19" s="164">
        <f t="shared" ref="K19:K22" si="12">F19/G19</f>
        <v>22.99</v>
      </c>
      <c r="L19" s="165">
        <v>279.0</v>
      </c>
      <c r="M19" s="155">
        <f t="shared" ref="M19:M23" si="13">G19/L19</f>
        <v>0.0752688172</v>
      </c>
      <c r="N19" s="166">
        <v>6.95</v>
      </c>
      <c r="O19" s="166">
        <v>45.98</v>
      </c>
      <c r="P19" s="167">
        <v>1.0</v>
      </c>
      <c r="Q19" s="168">
        <v>3386.0</v>
      </c>
      <c r="R19" s="155">
        <f t="shared" si="1"/>
        <v>0.1511526751</v>
      </c>
      <c r="S19" s="156">
        <f t="shared" si="2"/>
        <v>6.615827338</v>
      </c>
      <c r="T19" s="155" t="str">
        <f>#REF!/#REF!</f>
        <v>#REF!</v>
      </c>
      <c r="U19" s="76"/>
      <c r="V19" s="77"/>
      <c r="W19" s="2"/>
      <c r="X19" s="2"/>
      <c r="Y19" s="2"/>
      <c r="Z19" s="2"/>
    </row>
    <row r="20" hidden="1" outlineLevel="1">
      <c r="A20" s="157" t="str">
        <f>iferror(if(D20&gt;0,month(D20)&amp;"-"&amp;year(D20),D20),)</f>
        <v/>
      </c>
      <c r="B20" s="158"/>
      <c r="C20" s="169" t="s">
        <v>61</v>
      </c>
      <c r="D20" s="170" t="s">
        <v>62</v>
      </c>
      <c r="E20" s="68"/>
      <c r="F20" s="164">
        <v>512.81</v>
      </c>
      <c r="G20" s="171">
        <v>19.0</v>
      </c>
      <c r="H20" s="171">
        <v>18.0</v>
      </c>
      <c r="I20" s="163">
        <f t="shared" si="10"/>
        <v>1.055555556</v>
      </c>
      <c r="J20" s="164">
        <f t="shared" si="11"/>
        <v>28.48944444</v>
      </c>
      <c r="K20" s="164">
        <f t="shared" si="12"/>
        <v>26.99</v>
      </c>
      <c r="L20" s="165">
        <v>559.0</v>
      </c>
      <c r="M20" s="155">
        <f t="shared" si="13"/>
        <v>0.03398926655</v>
      </c>
      <c r="N20" s="172">
        <v>132.45</v>
      </c>
      <c r="O20" s="172">
        <v>107.96</v>
      </c>
      <c r="P20" s="173">
        <v>4.0</v>
      </c>
      <c r="Q20" s="174">
        <v>39435.0</v>
      </c>
      <c r="R20" s="155">
        <f t="shared" si="1"/>
        <v>1.226843275</v>
      </c>
      <c r="S20" s="156">
        <f t="shared" si="2"/>
        <v>0.8151000378</v>
      </c>
      <c r="T20" s="155">
        <f t="shared" ref="T20:T24" si="14">O20/F20</f>
        <v>0.2105263158</v>
      </c>
      <c r="U20" s="76"/>
      <c r="V20" s="77"/>
      <c r="W20" s="2"/>
      <c r="X20" s="2"/>
      <c r="Y20" s="2"/>
      <c r="Z20" s="2"/>
    </row>
    <row r="21" hidden="1" outlineLevel="1">
      <c r="A21" s="175"/>
      <c r="B21" s="158"/>
      <c r="C21" s="176" t="s">
        <v>14</v>
      </c>
      <c r="D21" s="177" t="s">
        <v>15</v>
      </c>
      <c r="E21" s="68"/>
      <c r="F21" s="164">
        <v>524.79</v>
      </c>
      <c r="G21" s="171">
        <v>22.0</v>
      </c>
      <c r="H21" s="171">
        <v>20.0</v>
      </c>
      <c r="I21" s="163">
        <f t="shared" si="10"/>
        <v>1.1</v>
      </c>
      <c r="J21" s="164">
        <f t="shared" si="11"/>
        <v>26.2395</v>
      </c>
      <c r="K21" s="164">
        <f t="shared" si="12"/>
        <v>23.85409091</v>
      </c>
      <c r="L21" s="165">
        <v>263.0</v>
      </c>
      <c r="M21" s="155">
        <f t="shared" si="13"/>
        <v>0.08365019011</v>
      </c>
      <c r="N21" s="178">
        <v>60.59</v>
      </c>
      <c r="O21" s="178">
        <v>147.94</v>
      </c>
      <c r="P21" s="179">
        <v>5.0</v>
      </c>
      <c r="Q21" s="180">
        <v>14381.0</v>
      </c>
      <c r="R21" s="155">
        <f t="shared" si="1"/>
        <v>0.4095579289</v>
      </c>
      <c r="S21" s="156">
        <f t="shared" si="2"/>
        <v>2.441657039</v>
      </c>
      <c r="T21" s="155">
        <f t="shared" si="14"/>
        <v>0.2819032375</v>
      </c>
      <c r="U21" s="76"/>
      <c r="V21" s="77"/>
      <c r="W21" s="2"/>
      <c r="X21" s="2"/>
      <c r="Y21" s="2"/>
      <c r="Z21" s="2"/>
    </row>
    <row r="22" hidden="1" outlineLevel="1">
      <c r="A22" s="56" t="str">
        <f>iferror(if(B22&gt;0,month(B22)&amp;"-"&amp;year(B22),B22),)</f>
        <v>1-2025</v>
      </c>
      <c r="B22" s="143">
        <v>45661.0</v>
      </c>
      <c r="C22" s="181" t="s">
        <v>63</v>
      </c>
      <c r="D22" s="182" t="s">
        <v>64</v>
      </c>
      <c r="E22" s="68"/>
      <c r="F22" s="164">
        <v>724.71</v>
      </c>
      <c r="G22" s="171">
        <v>29.0</v>
      </c>
      <c r="H22" s="171">
        <v>27.0</v>
      </c>
      <c r="I22" s="163">
        <f t="shared" si="10"/>
        <v>1.074074074</v>
      </c>
      <c r="J22" s="164">
        <f t="shared" si="11"/>
        <v>26.84111111</v>
      </c>
      <c r="K22" s="164">
        <f t="shared" si="12"/>
        <v>24.99</v>
      </c>
      <c r="L22" s="165">
        <v>409.0</v>
      </c>
      <c r="M22" s="155">
        <f t="shared" si="13"/>
        <v>0.07090464548</v>
      </c>
      <c r="N22" s="183">
        <v>38.8</v>
      </c>
      <c r="O22" s="183">
        <v>0.0</v>
      </c>
      <c r="P22" s="184">
        <v>0.0</v>
      </c>
      <c r="Q22" s="185">
        <v>9564.0</v>
      </c>
      <c r="R22" s="155" t="str">
        <f t="shared" si="1"/>
        <v>#DIV/0!</v>
      </c>
      <c r="S22" s="156">
        <f t="shared" si="2"/>
        <v>0</v>
      </c>
      <c r="T22" s="155">
        <f t="shared" si="14"/>
        <v>0</v>
      </c>
      <c r="U22" s="76"/>
      <c r="V22" s="77"/>
      <c r="W22" s="2"/>
      <c r="X22" s="2"/>
      <c r="Y22" s="2"/>
      <c r="Z22" s="2"/>
    </row>
    <row r="23" collapsed="1">
      <c r="A23" s="101" t="s">
        <v>68</v>
      </c>
      <c r="B23" s="79"/>
      <c r="C23" s="79"/>
      <c r="D23" s="79"/>
      <c r="E23" s="80"/>
      <c r="F23" s="190">
        <f t="shared" ref="F23:H23" si="15">SUM(F18:F22)</f>
        <v>2245.1</v>
      </c>
      <c r="G23" s="191">
        <f t="shared" si="15"/>
        <v>91</v>
      </c>
      <c r="H23" s="191">
        <f t="shared" si="15"/>
        <v>83</v>
      </c>
      <c r="I23" s="192">
        <f t="shared" si="10"/>
        <v>1.096385542</v>
      </c>
      <c r="J23" s="193">
        <f>F23/G23</f>
        <v>24.67142857</v>
      </c>
      <c r="K23" s="193">
        <f>J23/I23</f>
        <v>22.50251177</v>
      </c>
      <c r="L23" s="194">
        <f>SUM(L18:L22)</f>
        <v>1510</v>
      </c>
      <c r="M23" s="195">
        <f t="shared" si="13"/>
        <v>0.06026490066</v>
      </c>
      <c r="N23" s="190">
        <f t="shared" ref="N23:P23" si="16">SUM(N18:N22)</f>
        <v>796.28</v>
      </c>
      <c r="O23" s="190">
        <f t="shared" si="16"/>
        <v>1522.39</v>
      </c>
      <c r="P23" s="196">
        <f t="shared" si="16"/>
        <v>56</v>
      </c>
      <c r="Q23" s="197">
        <f>sum(Q18:Q22)</f>
        <v>220477</v>
      </c>
      <c r="R23" s="195">
        <f t="shared" si="1"/>
        <v>0.523046</v>
      </c>
      <c r="S23" s="198">
        <f t="shared" si="2"/>
        <v>1.911877731</v>
      </c>
      <c r="T23" s="199">
        <f t="shared" si="14"/>
        <v>0.6780945169</v>
      </c>
      <c r="U23" s="80" t="str">
        <f>iferror((F23-#REF!)/F23,)</f>
        <v/>
      </c>
      <c r="V23" s="90" t="str">
        <f>iferror((H23-#REF!)/H23,)</f>
        <v/>
      </c>
      <c r="W23" s="2"/>
      <c r="X23" s="2"/>
      <c r="Y23" s="2"/>
      <c r="Z23" s="2"/>
    </row>
    <row r="24" hidden="1" outlineLevel="1">
      <c r="A24" s="56" t="str">
        <f>iferror(if(B24&gt;0,month(B24)&amp;"-"&amp;year(B24),B24),)</f>
        <v>1-2025</v>
      </c>
      <c r="B24" s="143">
        <v>45662.0</v>
      </c>
      <c r="C24" s="144"/>
      <c r="D24" s="145" t="s">
        <v>60</v>
      </c>
      <c r="E24" s="58"/>
      <c r="F24" s="146"/>
      <c r="G24" s="147"/>
      <c r="H24" s="147"/>
      <c r="I24" s="148"/>
      <c r="J24" s="149"/>
      <c r="K24" s="149"/>
      <c r="L24" s="150"/>
      <c r="M24" s="151"/>
      <c r="N24" s="152">
        <v>517.52</v>
      </c>
      <c r="O24" s="152">
        <v>1313.48</v>
      </c>
      <c r="P24" s="153">
        <v>45.0</v>
      </c>
      <c r="Q24" s="154">
        <v>150655.0</v>
      </c>
      <c r="R24" s="155">
        <f t="shared" si="1"/>
        <v>0.3940067607</v>
      </c>
      <c r="S24" s="156">
        <f t="shared" si="2"/>
        <v>2.538027516</v>
      </c>
      <c r="T24" s="155" t="str">
        <f t="shared" si="14"/>
        <v>#DIV/0!</v>
      </c>
      <c r="U24" s="76"/>
      <c r="V24" s="77"/>
      <c r="W24" s="2"/>
      <c r="X24" s="2"/>
      <c r="Y24" s="2"/>
      <c r="Z24" s="2"/>
    </row>
    <row r="25" hidden="1" outlineLevel="1">
      <c r="A25" s="157"/>
      <c r="B25" s="158"/>
      <c r="C25" s="159" t="s">
        <v>12</v>
      </c>
      <c r="D25" s="160" t="s">
        <v>13</v>
      </c>
      <c r="E25" s="58"/>
      <c r="F25" s="161">
        <v>367.84</v>
      </c>
      <c r="G25" s="162">
        <v>16.0</v>
      </c>
      <c r="H25" s="162">
        <v>11.0</v>
      </c>
      <c r="I25" s="163">
        <f t="shared" ref="I25:I29" si="17">G25/H25</f>
        <v>1.454545455</v>
      </c>
      <c r="J25" s="164">
        <f t="shared" ref="J25:J28" si="18">F25/H25</f>
        <v>33.44</v>
      </c>
      <c r="K25" s="164">
        <f t="shared" ref="K25:K28" si="19">F25/G25</f>
        <v>22.99</v>
      </c>
      <c r="L25" s="165">
        <v>299.0</v>
      </c>
      <c r="M25" s="155">
        <f t="shared" ref="M25:M29" si="20">G25/L25</f>
        <v>0.05351170569</v>
      </c>
      <c r="N25" s="166">
        <v>4.65</v>
      </c>
      <c r="O25" s="166">
        <v>0.0</v>
      </c>
      <c r="P25" s="167">
        <v>0.0</v>
      </c>
      <c r="Q25" s="168">
        <v>1810.0</v>
      </c>
      <c r="R25" s="155" t="str">
        <f t="shared" si="1"/>
        <v>#DIV/0!</v>
      </c>
      <c r="S25" s="156">
        <f t="shared" si="2"/>
        <v>0</v>
      </c>
      <c r="T25" s="155" t="str">
        <f>#REF!/#REF!</f>
        <v>#REF!</v>
      </c>
      <c r="U25" s="76"/>
      <c r="V25" s="77"/>
      <c r="W25" s="2"/>
      <c r="X25" s="2"/>
      <c r="Y25" s="2"/>
      <c r="Z25" s="2"/>
    </row>
    <row r="26" hidden="1" outlineLevel="1">
      <c r="A26" s="157" t="str">
        <f>iferror(if(D26&gt;0,month(D26)&amp;"-"&amp;year(D26),D26),)</f>
        <v/>
      </c>
      <c r="B26" s="158"/>
      <c r="C26" s="169" t="s">
        <v>61</v>
      </c>
      <c r="D26" s="170" t="s">
        <v>62</v>
      </c>
      <c r="E26" s="68"/>
      <c r="F26" s="164">
        <v>782.71</v>
      </c>
      <c r="G26" s="171">
        <v>29.0</v>
      </c>
      <c r="H26" s="171">
        <v>27.0</v>
      </c>
      <c r="I26" s="163">
        <f t="shared" si="17"/>
        <v>1.074074074</v>
      </c>
      <c r="J26" s="164">
        <f t="shared" si="18"/>
        <v>28.98925926</v>
      </c>
      <c r="K26" s="164">
        <f t="shared" si="19"/>
        <v>26.99</v>
      </c>
      <c r="L26" s="165">
        <v>535.0</v>
      </c>
      <c r="M26" s="155">
        <f t="shared" si="20"/>
        <v>0.05420560748</v>
      </c>
      <c r="N26" s="172">
        <v>85.74</v>
      </c>
      <c r="O26" s="172">
        <v>80.97</v>
      </c>
      <c r="P26" s="173">
        <v>3.0</v>
      </c>
      <c r="Q26" s="174">
        <v>15868.0</v>
      </c>
      <c r="R26" s="155">
        <f t="shared" si="1"/>
        <v>1.058910708</v>
      </c>
      <c r="S26" s="156">
        <f t="shared" si="2"/>
        <v>0.94436669</v>
      </c>
      <c r="T26" s="155">
        <f t="shared" ref="T26:T30" si="21">O26/F26</f>
        <v>0.1034482759</v>
      </c>
      <c r="U26" s="76"/>
      <c r="V26" s="77"/>
      <c r="W26" s="2"/>
      <c r="X26" s="2"/>
      <c r="Y26" s="2"/>
      <c r="Z26" s="2"/>
    </row>
    <row r="27" hidden="1" outlineLevel="1">
      <c r="A27" s="175"/>
      <c r="B27" s="158"/>
      <c r="C27" s="176" t="s">
        <v>14</v>
      </c>
      <c r="D27" s="177" t="s">
        <v>15</v>
      </c>
      <c r="E27" s="68"/>
      <c r="F27" s="164">
        <v>299.88</v>
      </c>
      <c r="G27" s="171">
        <v>12.0</v>
      </c>
      <c r="H27" s="171">
        <v>11.0</v>
      </c>
      <c r="I27" s="163">
        <f t="shared" si="17"/>
        <v>1.090909091</v>
      </c>
      <c r="J27" s="164">
        <f t="shared" si="18"/>
        <v>27.26181818</v>
      </c>
      <c r="K27" s="164">
        <f t="shared" si="19"/>
        <v>24.99</v>
      </c>
      <c r="L27" s="165">
        <v>217.0</v>
      </c>
      <c r="M27" s="155">
        <f t="shared" si="20"/>
        <v>0.05529953917</v>
      </c>
      <c r="N27" s="178">
        <v>45.26</v>
      </c>
      <c r="O27" s="178">
        <v>24.99</v>
      </c>
      <c r="P27" s="179">
        <v>1.0</v>
      </c>
      <c r="Q27" s="180">
        <v>11272.0</v>
      </c>
      <c r="R27" s="155">
        <f t="shared" si="1"/>
        <v>1.81112445</v>
      </c>
      <c r="S27" s="156">
        <f t="shared" si="2"/>
        <v>0.5521431728</v>
      </c>
      <c r="T27" s="155">
        <f t="shared" si="21"/>
        <v>0.08333333333</v>
      </c>
      <c r="U27" s="76"/>
      <c r="V27" s="77"/>
      <c r="W27" s="2"/>
      <c r="X27" s="2"/>
      <c r="Y27" s="2"/>
      <c r="Z27" s="2"/>
    </row>
    <row r="28" hidden="1" outlineLevel="1">
      <c r="A28" s="56" t="str">
        <f>iferror(if(B28&gt;0,month(B28)&amp;"-"&amp;year(B28),B28),)</f>
        <v>1-2025</v>
      </c>
      <c r="B28" s="143">
        <v>45668.0</v>
      </c>
      <c r="C28" s="181" t="s">
        <v>63</v>
      </c>
      <c r="D28" s="182" t="s">
        <v>64</v>
      </c>
      <c r="E28" s="68"/>
      <c r="F28" s="164">
        <v>699.72</v>
      </c>
      <c r="G28" s="171">
        <v>31.0</v>
      </c>
      <c r="H28" s="171">
        <v>26.0</v>
      </c>
      <c r="I28" s="163">
        <f t="shared" si="17"/>
        <v>1.192307692</v>
      </c>
      <c r="J28" s="164">
        <f t="shared" si="18"/>
        <v>26.91230769</v>
      </c>
      <c r="K28" s="164">
        <f t="shared" si="19"/>
        <v>22.5716129</v>
      </c>
      <c r="L28" s="165">
        <v>425.0</v>
      </c>
      <c r="M28" s="155">
        <f t="shared" si="20"/>
        <v>0.07294117647</v>
      </c>
      <c r="N28" s="183">
        <v>38.83</v>
      </c>
      <c r="O28" s="183">
        <v>49.98</v>
      </c>
      <c r="P28" s="184">
        <v>2.0</v>
      </c>
      <c r="Q28" s="185">
        <v>8507.0</v>
      </c>
      <c r="R28" s="155">
        <f t="shared" si="1"/>
        <v>0.7769107643</v>
      </c>
      <c r="S28" s="156">
        <f t="shared" si="2"/>
        <v>1.287149112</v>
      </c>
      <c r="T28" s="155">
        <f t="shared" si="21"/>
        <v>0.07142857143</v>
      </c>
      <c r="U28" s="76"/>
      <c r="V28" s="77"/>
      <c r="W28" s="2"/>
      <c r="X28" s="2"/>
      <c r="Y28" s="2"/>
      <c r="Z28" s="2"/>
    </row>
    <row r="29" collapsed="1">
      <c r="A29" s="101" t="s">
        <v>69</v>
      </c>
      <c r="B29" s="79"/>
      <c r="C29" s="79"/>
      <c r="D29" s="79"/>
      <c r="E29" s="80"/>
      <c r="F29" s="190">
        <f t="shared" ref="F29:H29" si="22">SUM(F24:F28)</f>
        <v>2150.15</v>
      </c>
      <c r="G29" s="191">
        <f t="shared" si="22"/>
        <v>88</v>
      </c>
      <c r="H29" s="191">
        <f t="shared" si="22"/>
        <v>75</v>
      </c>
      <c r="I29" s="192">
        <f t="shared" si="17"/>
        <v>1.173333333</v>
      </c>
      <c r="J29" s="193">
        <f>F29/G29</f>
        <v>24.43352273</v>
      </c>
      <c r="K29" s="193">
        <f>J29/I29</f>
        <v>20.82402505</v>
      </c>
      <c r="L29" s="194">
        <f>SUM(L24:L28)</f>
        <v>1476</v>
      </c>
      <c r="M29" s="195">
        <f t="shared" si="20"/>
        <v>0.05962059621</v>
      </c>
      <c r="N29" s="190">
        <f t="shared" ref="N29:P29" si="23">SUM(N24:N28)</f>
        <v>692</v>
      </c>
      <c r="O29" s="190">
        <f t="shared" si="23"/>
        <v>1469.42</v>
      </c>
      <c r="P29" s="196">
        <f t="shared" si="23"/>
        <v>51</v>
      </c>
      <c r="Q29" s="197">
        <f>sum(Q24:Q28)</f>
        <v>188112</v>
      </c>
      <c r="R29" s="195">
        <f t="shared" si="1"/>
        <v>0.4709341101</v>
      </c>
      <c r="S29" s="198">
        <f t="shared" si="2"/>
        <v>2.123439306</v>
      </c>
      <c r="T29" s="199">
        <f t="shared" si="21"/>
        <v>0.6834034835</v>
      </c>
      <c r="U29" s="80" t="str">
        <f>iferror((F29-#REF!)/F29,)</f>
        <v/>
      </c>
      <c r="V29" s="90" t="str">
        <f>iferror((H29-#REF!)/H29,)</f>
        <v/>
      </c>
      <c r="W29" s="2"/>
      <c r="X29" s="2"/>
      <c r="Y29" s="2"/>
      <c r="Z29" s="2"/>
    </row>
    <row r="30" hidden="1" outlineLevel="1">
      <c r="A30" s="56" t="str">
        <f>iferror(if(B30&gt;0,month(B30)&amp;"-"&amp;year(B30),B30),)</f>
        <v>1-2025</v>
      </c>
      <c r="B30" s="143">
        <v>45669.0</v>
      </c>
      <c r="C30" s="144"/>
      <c r="D30" s="145" t="s">
        <v>60</v>
      </c>
      <c r="E30" s="58"/>
      <c r="F30" s="146"/>
      <c r="G30" s="147"/>
      <c r="H30" s="147"/>
      <c r="I30" s="148"/>
      <c r="J30" s="149"/>
      <c r="K30" s="149"/>
      <c r="L30" s="150"/>
      <c r="M30" s="151"/>
      <c r="N30" s="152">
        <v>454.17</v>
      </c>
      <c r="O30" s="152">
        <v>1102.57</v>
      </c>
      <c r="P30" s="153">
        <v>35.0</v>
      </c>
      <c r="Q30" s="154">
        <v>126358.0</v>
      </c>
      <c r="R30" s="155">
        <f t="shared" si="1"/>
        <v>0.4119194246</v>
      </c>
      <c r="S30" s="156">
        <f t="shared" si="2"/>
        <v>2.427659247</v>
      </c>
      <c r="T30" s="155" t="str">
        <f t="shared" si="21"/>
        <v>#DIV/0!</v>
      </c>
      <c r="U30" s="76"/>
      <c r="V30" s="77"/>
      <c r="W30" s="2"/>
      <c r="X30" s="2"/>
      <c r="Y30" s="2"/>
      <c r="Z30" s="2"/>
    </row>
    <row r="31" hidden="1" outlineLevel="1">
      <c r="A31" s="157"/>
      <c r="B31" s="158"/>
      <c r="C31" s="159" t="s">
        <v>12</v>
      </c>
      <c r="D31" s="160" t="s">
        <v>13</v>
      </c>
      <c r="E31" s="58"/>
      <c r="F31" s="161">
        <v>229.9</v>
      </c>
      <c r="G31" s="162">
        <v>10.0</v>
      </c>
      <c r="H31" s="162">
        <v>9.0</v>
      </c>
      <c r="I31" s="163">
        <f t="shared" ref="I31:I35" si="24">G31/H31</f>
        <v>1.111111111</v>
      </c>
      <c r="J31" s="164">
        <f t="shared" ref="J31:J34" si="25">F31/H31</f>
        <v>25.54444444</v>
      </c>
      <c r="K31" s="164">
        <f t="shared" ref="K31:K34" si="26">F31/G31</f>
        <v>22.99</v>
      </c>
      <c r="L31" s="165">
        <v>273.0</v>
      </c>
      <c r="M31" s="155">
        <f t="shared" ref="M31:M35" si="27">G31/L31</f>
        <v>0.03663003663</v>
      </c>
      <c r="N31" s="166">
        <v>25.15</v>
      </c>
      <c r="O31" s="166">
        <v>24.99</v>
      </c>
      <c r="P31" s="167">
        <v>1.0</v>
      </c>
      <c r="Q31" s="168">
        <v>6002.0</v>
      </c>
      <c r="R31" s="155">
        <f t="shared" si="1"/>
        <v>1.006402561</v>
      </c>
      <c r="S31" s="156">
        <f t="shared" si="2"/>
        <v>0.993638171</v>
      </c>
      <c r="T31" s="155" t="str">
        <f>#REF!/#REF!</f>
        <v>#REF!</v>
      </c>
      <c r="U31" s="76"/>
      <c r="V31" s="77"/>
      <c r="W31" s="2"/>
      <c r="X31" s="2"/>
      <c r="Y31" s="2"/>
      <c r="Z31" s="2"/>
    </row>
    <row r="32" hidden="1" outlineLevel="1">
      <c r="A32" s="157" t="str">
        <f>iferror(if(D32&gt;0,month(D32)&amp;"-"&amp;year(D32),D32),)</f>
        <v/>
      </c>
      <c r="B32" s="158"/>
      <c r="C32" s="169" t="s">
        <v>61</v>
      </c>
      <c r="D32" s="170" t="s">
        <v>62</v>
      </c>
      <c r="E32" s="68"/>
      <c r="F32" s="164">
        <v>1187.56</v>
      </c>
      <c r="G32" s="171">
        <v>44.0</v>
      </c>
      <c r="H32" s="171">
        <v>40.0</v>
      </c>
      <c r="I32" s="163">
        <f t="shared" si="24"/>
        <v>1.1</v>
      </c>
      <c r="J32" s="164">
        <f t="shared" si="25"/>
        <v>29.689</v>
      </c>
      <c r="K32" s="164">
        <f t="shared" si="26"/>
        <v>26.99</v>
      </c>
      <c r="L32" s="165">
        <v>515.0</v>
      </c>
      <c r="M32" s="155">
        <f t="shared" si="27"/>
        <v>0.0854368932</v>
      </c>
      <c r="N32" s="172">
        <v>78.14</v>
      </c>
      <c r="O32" s="172">
        <v>161.94</v>
      </c>
      <c r="P32" s="173">
        <v>6.0</v>
      </c>
      <c r="Q32" s="174">
        <v>14692.0</v>
      </c>
      <c r="R32" s="155">
        <f t="shared" si="1"/>
        <v>0.4825243918</v>
      </c>
      <c r="S32" s="156">
        <f t="shared" si="2"/>
        <v>2.072434093</v>
      </c>
      <c r="T32" s="155">
        <f t="shared" ref="T32:T36" si="28">O32/F32</f>
        <v>0.1363636364</v>
      </c>
      <c r="U32" s="76"/>
      <c r="V32" s="77"/>
      <c r="W32" s="2"/>
      <c r="X32" s="2"/>
      <c r="Y32" s="2"/>
      <c r="Z32" s="2"/>
    </row>
    <row r="33" hidden="1" outlineLevel="1">
      <c r="A33" s="175"/>
      <c r="B33" s="158"/>
      <c r="C33" s="176" t="s">
        <v>14</v>
      </c>
      <c r="D33" s="177" t="s">
        <v>15</v>
      </c>
      <c r="E33" s="68"/>
      <c r="F33" s="164">
        <v>224.91</v>
      </c>
      <c r="G33" s="171">
        <v>9.0</v>
      </c>
      <c r="H33" s="171">
        <v>6.0</v>
      </c>
      <c r="I33" s="163">
        <f t="shared" si="24"/>
        <v>1.5</v>
      </c>
      <c r="J33" s="164">
        <f t="shared" si="25"/>
        <v>37.485</v>
      </c>
      <c r="K33" s="164">
        <f t="shared" si="26"/>
        <v>24.99</v>
      </c>
      <c r="L33" s="165">
        <v>205.0</v>
      </c>
      <c r="M33" s="155">
        <f t="shared" si="27"/>
        <v>0.04390243902</v>
      </c>
      <c r="N33" s="178">
        <v>50.68</v>
      </c>
      <c r="O33" s="178">
        <v>101.96</v>
      </c>
      <c r="P33" s="179">
        <v>3.0</v>
      </c>
      <c r="Q33" s="180">
        <v>11376.0</v>
      </c>
      <c r="R33" s="155">
        <f t="shared" si="1"/>
        <v>0.4970576697</v>
      </c>
      <c r="S33" s="156">
        <f t="shared" si="2"/>
        <v>2.01183899</v>
      </c>
      <c r="T33" s="155">
        <f t="shared" si="28"/>
        <v>0.4533368903</v>
      </c>
      <c r="U33" s="76"/>
      <c r="V33" s="77"/>
      <c r="W33" s="2"/>
      <c r="X33" s="2"/>
      <c r="Y33" s="2"/>
      <c r="Z33" s="2"/>
    </row>
    <row r="34" hidden="1" outlineLevel="1">
      <c r="A34" s="56" t="str">
        <f>iferror(if(B34&gt;0,month(B34)&amp;"-"&amp;year(B34),B34),)</f>
        <v>1-2025</v>
      </c>
      <c r="B34" s="143">
        <v>45675.0</v>
      </c>
      <c r="C34" s="181" t="s">
        <v>63</v>
      </c>
      <c r="D34" s="182" t="s">
        <v>64</v>
      </c>
      <c r="E34" s="68"/>
      <c r="F34" s="164">
        <v>374.85</v>
      </c>
      <c r="G34" s="171">
        <v>15.0</v>
      </c>
      <c r="H34" s="171">
        <v>10.0</v>
      </c>
      <c r="I34" s="163">
        <f t="shared" si="24"/>
        <v>1.5</v>
      </c>
      <c r="J34" s="164">
        <f t="shared" si="25"/>
        <v>37.485</v>
      </c>
      <c r="K34" s="164">
        <f t="shared" si="26"/>
        <v>24.99</v>
      </c>
      <c r="L34" s="165">
        <v>415.0</v>
      </c>
      <c r="M34" s="155">
        <f t="shared" si="27"/>
        <v>0.03614457831</v>
      </c>
      <c r="N34" s="183">
        <v>50.4</v>
      </c>
      <c r="O34" s="183">
        <v>24.99</v>
      </c>
      <c r="P34" s="184">
        <v>1.0</v>
      </c>
      <c r="Q34" s="185">
        <v>10752.0</v>
      </c>
      <c r="R34" s="155">
        <f t="shared" si="1"/>
        <v>2.016806723</v>
      </c>
      <c r="S34" s="156">
        <f t="shared" si="2"/>
        <v>0.4958333333</v>
      </c>
      <c r="T34" s="155">
        <f t="shared" si="28"/>
        <v>0.06666666667</v>
      </c>
      <c r="U34" s="76"/>
      <c r="V34" s="77"/>
      <c r="W34" s="2"/>
      <c r="X34" s="2"/>
      <c r="Y34" s="2"/>
      <c r="Z34" s="2"/>
    </row>
    <row r="35" collapsed="1">
      <c r="A35" s="101" t="s">
        <v>70</v>
      </c>
      <c r="B35" s="79"/>
      <c r="C35" s="79"/>
      <c r="D35" s="79"/>
      <c r="E35" s="80"/>
      <c r="F35" s="190">
        <f t="shared" ref="F35:H35" si="29">SUM(F30:F34)</f>
        <v>2017.22</v>
      </c>
      <c r="G35" s="191">
        <f t="shared" si="29"/>
        <v>78</v>
      </c>
      <c r="H35" s="191">
        <f t="shared" si="29"/>
        <v>65</v>
      </c>
      <c r="I35" s="192">
        <f t="shared" si="24"/>
        <v>1.2</v>
      </c>
      <c r="J35" s="193">
        <f>F35/G35</f>
        <v>25.86179487</v>
      </c>
      <c r="K35" s="193">
        <f>J35/I35</f>
        <v>21.55149573</v>
      </c>
      <c r="L35" s="194">
        <f>SUM(L30:L34)</f>
        <v>1408</v>
      </c>
      <c r="M35" s="195">
        <f t="shared" si="27"/>
        <v>0.05539772727</v>
      </c>
      <c r="N35" s="190">
        <f t="shared" ref="N35:P35" si="30">SUM(N30:N34)</f>
        <v>658.54</v>
      </c>
      <c r="O35" s="190">
        <f t="shared" si="30"/>
        <v>1416.45</v>
      </c>
      <c r="P35" s="196">
        <f t="shared" si="30"/>
        <v>46</v>
      </c>
      <c r="Q35" s="197">
        <f>sum(Q30:Q34)</f>
        <v>169180</v>
      </c>
      <c r="R35" s="195">
        <f t="shared" si="1"/>
        <v>0.4649228706</v>
      </c>
      <c r="S35" s="198">
        <f t="shared" si="2"/>
        <v>2.150894403</v>
      </c>
      <c r="T35" s="199">
        <f t="shared" si="28"/>
        <v>0.7021792368</v>
      </c>
      <c r="U35" s="80" t="str">
        <f>iferror((F35-#REF!)/F35,)</f>
        <v/>
      </c>
      <c r="V35" s="90" t="str">
        <f>iferror((H35-#REF!)/H35,)</f>
        <v/>
      </c>
      <c r="W35" s="2"/>
      <c r="X35" s="2"/>
      <c r="Y35" s="2"/>
      <c r="Z35" s="2"/>
    </row>
    <row r="36" hidden="1" outlineLevel="1">
      <c r="A36" s="56" t="str">
        <f>iferror(if(B36&gt;0,month(B36)&amp;"-"&amp;year(B36),B36),)</f>
        <v>1-2025</v>
      </c>
      <c r="B36" s="143">
        <v>45676.0</v>
      </c>
      <c r="C36" s="144"/>
      <c r="D36" s="145" t="s">
        <v>60</v>
      </c>
      <c r="E36" s="58"/>
      <c r="F36" s="146"/>
      <c r="G36" s="147"/>
      <c r="H36" s="147"/>
      <c r="I36" s="148"/>
      <c r="J36" s="149"/>
      <c r="K36" s="149"/>
      <c r="L36" s="150"/>
      <c r="M36" s="151"/>
      <c r="N36" s="152">
        <v>477.57</v>
      </c>
      <c r="O36" s="152">
        <v>1310.49</v>
      </c>
      <c r="P36" s="153">
        <v>47.0</v>
      </c>
      <c r="Q36" s="154">
        <v>112433.0</v>
      </c>
      <c r="R36" s="155">
        <f t="shared" si="1"/>
        <v>0.3644209418</v>
      </c>
      <c r="S36" s="156">
        <f t="shared" si="2"/>
        <v>2.744079402</v>
      </c>
      <c r="T36" s="155" t="str">
        <f t="shared" si="28"/>
        <v>#DIV/0!</v>
      </c>
      <c r="U36" s="76"/>
      <c r="V36" s="77"/>
      <c r="W36" s="2"/>
      <c r="X36" s="2"/>
      <c r="Y36" s="2"/>
      <c r="Z36" s="2"/>
    </row>
    <row r="37" hidden="1" outlineLevel="1">
      <c r="A37" s="157"/>
      <c r="B37" s="158"/>
      <c r="C37" s="159" t="s">
        <v>12</v>
      </c>
      <c r="D37" s="160" t="s">
        <v>13</v>
      </c>
      <c r="E37" s="58"/>
      <c r="F37" s="161">
        <v>275.88</v>
      </c>
      <c r="G37" s="162">
        <v>12.0</v>
      </c>
      <c r="H37" s="162">
        <v>11.0</v>
      </c>
      <c r="I37" s="163">
        <f t="shared" ref="I37:I41" si="31">G37/H37</f>
        <v>1.090909091</v>
      </c>
      <c r="J37" s="164">
        <f t="shared" ref="J37:J40" si="32">F37/H37</f>
        <v>25.08</v>
      </c>
      <c r="K37" s="164">
        <f t="shared" ref="K37:K40" si="33">F37/G37</f>
        <v>22.99</v>
      </c>
      <c r="L37" s="165">
        <v>270.0</v>
      </c>
      <c r="M37" s="155">
        <f t="shared" ref="M37:M41" si="34">G37/L37</f>
        <v>0.04444444444</v>
      </c>
      <c r="N37" s="166">
        <v>25.44</v>
      </c>
      <c r="O37" s="166">
        <v>0.0</v>
      </c>
      <c r="P37" s="167">
        <v>0.0</v>
      </c>
      <c r="Q37" s="168">
        <v>6263.0</v>
      </c>
      <c r="R37" s="155" t="str">
        <f t="shared" si="1"/>
        <v>#DIV/0!</v>
      </c>
      <c r="S37" s="156">
        <f t="shared" si="2"/>
        <v>0</v>
      </c>
      <c r="T37" s="155" t="str">
        <f>#REF!/#REF!</f>
        <v>#REF!</v>
      </c>
      <c r="U37" s="76"/>
      <c r="V37" s="77"/>
      <c r="W37" s="2"/>
      <c r="X37" s="2"/>
      <c r="Y37" s="2"/>
      <c r="Z37" s="2"/>
    </row>
    <row r="38" hidden="1" outlineLevel="1">
      <c r="A38" s="157" t="str">
        <f>iferror(if(D38&gt;0,month(D38)&amp;"-"&amp;year(D38),D38),)</f>
        <v/>
      </c>
      <c r="B38" s="158"/>
      <c r="C38" s="169" t="s">
        <v>61</v>
      </c>
      <c r="D38" s="170" t="s">
        <v>62</v>
      </c>
      <c r="E38" s="68"/>
      <c r="F38" s="164">
        <v>1241.54</v>
      </c>
      <c r="G38" s="171">
        <v>47.0</v>
      </c>
      <c r="H38" s="171">
        <v>42.0</v>
      </c>
      <c r="I38" s="163">
        <f t="shared" si="31"/>
        <v>1.119047619</v>
      </c>
      <c r="J38" s="164">
        <f t="shared" si="32"/>
        <v>29.56047619</v>
      </c>
      <c r="K38" s="164">
        <f t="shared" si="33"/>
        <v>26.41574468</v>
      </c>
      <c r="L38" s="165">
        <v>559.0</v>
      </c>
      <c r="M38" s="155">
        <f t="shared" si="34"/>
        <v>0.08407871199</v>
      </c>
      <c r="N38" s="172">
        <v>105.62</v>
      </c>
      <c r="O38" s="172">
        <v>159.94</v>
      </c>
      <c r="P38" s="173">
        <v>5.0</v>
      </c>
      <c r="Q38" s="174">
        <v>18591.0</v>
      </c>
      <c r="R38" s="155">
        <f t="shared" si="1"/>
        <v>0.6603726397</v>
      </c>
      <c r="S38" s="156">
        <f t="shared" si="2"/>
        <v>1.514296535</v>
      </c>
      <c r="T38" s="155">
        <f t="shared" ref="T38:T42" si="35">O38/F38</f>
        <v>0.12882388</v>
      </c>
      <c r="U38" s="76"/>
      <c r="V38" s="77"/>
      <c r="W38" s="2"/>
      <c r="X38" s="2"/>
      <c r="Y38" s="2"/>
      <c r="Z38" s="2"/>
    </row>
    <row r="39" hidden="1" outlineLevel="1">
      <c r="A39" s="175"/>
      <c r="B39" s="158"/>
      <c r="C39" s="176" t="s">
        <v>14</v>
      </c>
      <c r="D39" s="177" t="s">
        <v>15</v>
      </c>
      <c r="E39" s="68"/>
      <c r="F39" s="164">
        <v>149.94</v>
      </c>
      <c r="G39" s="171">
        <v>6.0</v>
      </c>
      <c r="H39" s="171">
        <v>6.0</v>
      </c>
      <c r="I39" s="163">
        <f t="shared" si="31"/>
        <v>1</v>
      </c>
      <c r="J39" s="164">
        <f t="shared" si="32"/>
        <v>24.99</v>
      </c>
      <c r="K39" s="164">
        <f t="shared" si="33"/>
        <v>24.99</v>
      </c>
      <c r="L39" s="165">
        <v>236.0</v>
      </c>
      <c r="M39" s="155">
        <f t="shared" si="34"/>
        <v>0.02542372881</v>
      </c>
      <c r="N39" s="178">
        <v>48.1</v>
      </c>
      <c r="O39" s="178">
        <v>124.95</v>
      </c>
      <c r="P39" s="179">
        <v>4.0</v>
      </c>
      <c r="Q39" s="180">
        <v>13024.0</v>
      </c>
      <c r="R39" s="155">
        <f t="shared" si="1"/>
        <v>0.3849539816</v>
      </c>
      <c r="S39" s="156">
        <f t="shared" si="2"/>
        <v>2.597713098</v>
      </c>
      <c r="T39" s="155">
        <f t="shared" si="35"/>
        <v>0.8333333333</v>
      </c>
      <c r="U39" s="76"/>
      <c r="V39" s="77"/>
      <c r="W39" s="2"/>
      <c r="X39" s="2"/>
      <c r="Y39" s="2"/>
      <c r="Z39" s="2"/>
    </row>
    <row r="40" hidden="1" outlineLevel="1">
      <c r="A40" s="56" t="str">
        <f>iferror(if(B40&gt;0,month(B40)&amp;"-"&amp;year(B40),B40),)</f>
        <v>1-2025</v>
      </c>
      <c r="B40" s="143">
        <v>45682.0</v>
      </c>
      <c r="C40" s="181" t="s">
        <v>63</v>
      </c>
      <c r="D40" s="182" t="s">
        <v>64</v>
      </c>
      <c r="E40" s="68"/>
      <c r="F40" s="164">
        <v>799.68</v>
      </c>
      <c r="G40" s="171">
        <v>33.0</v>
      </c>
      <c r="H40" s="171">
        <v>29.0</v>
      </c>
      <c r="I40" s="163">
        <f t="shared" si="31"/>
        <v>1.137931034</v>
      </c>
      <c r="J40" s="164">
        <f t="shared" si="32"/>
        <v>27.57517241</v>
      </c>
      <c r="K40" s="164">
        <f t="shared" si="33"/>
        <v>24.23272727</v>
      </c>
      <c r="L40" s="165">
        <v>387.0</v>
      </c>
      <c r="M40" s="155">
        <f t="shared" si="34"/>
        <v>0.08527131783</v>
      </c>
      <c r="N40" s="183">
        <v>52.18</v>
      </c>
      <c r="O40" s="183">
        <v>149.94</v>
      </c>
      <c r="P40" s="184">
        <v>6.0</v>
      </c>
      <c r="Q40" s="185">
        <v>11541.0</v>
      </c>
      <c r="R40" s="155">
        <f t="shared" si="1"/>
        <v>0.348005869</v>
      </c>
      <c r="S40" s="156">
        <f t="shared" si="2"/>
        <v>2.873514757</v>
      </c>
      <c r="T40" s="155">
        <f t="shared" si="35"/>
        <v>0.1875</v>
      </c>
      <c r="U40" s="76"/>
      <c r="V40" s="77"/>
      <c r="W40" s="2"/>
      <c r="X40" s="2"/>
      <c r="Y40" s="2"/>
      <c r="Z40" s="2"/>
    </row>
    <row r="41" collapsed="1">
      <c r="A41" s="101" t="s">
        <v>71</v>
      </c>
      <c r="B41" s="79"/>
      <c r="C41" s="79"/>
      <c r="D41" s="79"/>
      <c r="E41" s="80"/>
      <c r="F41" s="190">
        <f t="shared" ref="F41:H41" si="36">SUM(F36:F40)</f>
        <v>2467.04</v>
      </c>
      <c r="G41" s="191">
        <f t="shared" si="36"/>
        <v>98</v>
      </c>
      <c r="H41" s="191">
        <f t="shared" si="36"/>
        <v>88</v>
      </c>
      <c r="I41" s="192">
        <f t="shared" si="31"/>
        <v>1.113636364</v>
      </c>
      <c r="J41" s="193">
        <f>F41/G41</f>
        <v>25.17387755</v>
      </c>
      <c r="K41" s="193">
        <f>J41/I41</f>
        <v>22.60511454</v>
      </c>
      <c r="L41" s="194">
        <f>SUM(L36:L40)</f>
        <v>1452</v>
      </c>
      <c r="M41" s="195">
        <f t="shared" si="34"/>
        <v>0.06749311295</v>
      </c>
      <c r="N41" s="190">
        <f t="shared" ref="N41:P41" si="37">SUM(N36:N40)</f>
        <v>708.91</v>
      </c>
      <c r="O41" s="190">
        <f t="shared" si="37"/>
        <v>1745.32</v>
      </c>
      <c r="P41" s="196">
        <f t="shared" si="37"/>
        <v>62</v>
      </c>
      <c r="Q41" s="197">
        <f>sum(Q36:Q40)</f>
        <v>161852</v>
      </c>
      <c r="R41" s="195">
        <f t="shared" si="1"/>
        <v>0.4061776637</v>
      </c>
      <c r="S41" s="198">
        <f t="shared" si="2"/>
        <v>2.461976838</v>
      </c>
      <c r="T41" s="199">
        <f t="shared" si="35"/>
        <v>0.7074550879</v>
      </c>
      <c r="U41" s="80" t="str">
        <f>iferror((F41-#REF!)/F41,)</f>
        <v/>
      </c>
      <c r="V41" s="90" t="str">
        <f>iferror((H41-#REF!)/H41,)</f>
        <v/>
      </c>
      <c r="W41" s="2"/>
      <c r="X41" s="2"/>
      <c r="Y41" s="2"/>
      <c r="Z41" s="2"/>
    </row>
    <row r="42" hidden="1" outlineLevel="1">
      <c r="A42" s="56" t="str">
        <f>iferror(if(B42&gt;0,month(B42)&amp;"-"&amp;year(B42),B42),)</f>
        <v>1-2025</v>
      </c>
      <c r="B42" s="143">
        <v>45683.0</v>
      </c>
      <c r="C42" s="144"/>
      <c r="D42" s="145" t="s">
        <v>60</v>
      </c>
      <c r="E42" s="58"/>
      <c r="F42" s="146"/>
      <c r="G42" s="147"/>
      <c r="H42" s="147"/>
      <c r="I42" s="148"/>
      <c r="J42" s="149"/>
      <c r="K42" s="149"/>
      <c r="L42" s="150"/>
      <c r="M42" s="151"/>
      <c r="N42" s="152">
        <v>482.31</v>
      </c>
      <c r="O42" s="152">
        <v>1435.44</v>
      </c>
      <c r="P42" s="153">
        <v>49.0</v>
      </c>
      <c r="Q42" s="154">
        <v>118983.0</v>
      </c>
      <c r="R42" s="155">
        <f t="shared" si="1"/>
        <v>0.3360015048</v>
      </c>
      <c r="S42" s="156">
        <f t="shared" si="2"/>
        <v>2.976177147</v>
      </c>
      <c r="T42" s="155" t="str">
        <f t="shared" si="35"/>
        <v>#DIV/0!</v>
      </c>
      <c r="U42" s="76"/>
      <c r="V42" s="77"/>
      <c r="W42" s="2"/>
      <c r="X42" s="2"/>
      <c r="Y42" s="2"/>
      <c r="Z42" s="2"/>
    </row>
    <row r="43" hidden="1" outlineLevel="1">
      <c r="A43" s="157"/>
      <c r="B43" s="158"/>
      <c r="C43" s="159" t="s">
        <v>12</v>
      </c>
      <c r="D43" s="160" t="s">
        <v>13</v>
      </c>
      <c r="E43" s="58"/>
      <c r="F43" s="161">
        <v>321.86</v>
      </c>
      <c r="G43" s="162">
        <v>14.0</v>
      </c>
      <c r="H43" s="162">
        <v>13.0</v>
      </c>
      <c r="I43" s="163">
        <f t="shared" ref="I43:I47" si="38">G43/H43</f>
        <v>1.076923077</v>
      </c>
      <c r="J43" s="164">
        <f t="shared" ref="J43:J46" si="39">F43/H43</f>
        <v>24.75846154</v>
      </c>
      <c r="K43" s="164">
        <f t="shared" ref="K43:K46" si="40">F43/G43</f>
        <v>22.99</v>
      </c>
      <c r="L43" s="165">
        <v>253.0</v>
      </c>
      <c r="M43" s="155">
        <f t="shared" ref="M43:M47" si="41">G43/L43</f>
        <v>0.05533596838</v>
      </c>
      <c r="N43" s="166">
        <v>16.79</v>
      </c>
      <c r="O43" s="166">
        <v>95.96</v>
      </c>
      <c r="P43" s="167">
        <v>3.0</v>
      </c>
      <c r="Q43" s="168">
        <v>5761.0</v>
      </c>
      <c r="R43" s="155">
        <f t="shared" si="1"/>
        <v>0.174968737</v>
      </c>
      <c r="S43" s="156">
        <f t="shared" si="2"/>
        <v>5.71530673</v>
      </c>
      <c r="T43" s="155" t="str">
        <f>#REF!/#REF!</f>
        <v>#REF!</v>
      </c>
      <c r="U43" s="76"/>
      <c r="V43" s="77"/>
      <c r="W43" s="2"/>
      <c r="X43" s="2"/>
      <c r="Y43" s="2"/>
      <c r="Z43" s="2"/>
    </row>
    <row r="44" hidden="1" outlineLevel="1">
      <c r="A44" s="157" t="str">
        <f>iferror(if(D44&gt;0,month(D44)&amp;"-"&amp;year(D44),D44),)</f>
        <v/>
      </c>
      <c r="B44" s="158"/>
      <c r="C44" s="169" t="s">
        <v>61</v>
      </c>
      <c r="D44" s="170" t="s">
        <v>62</v>
      </c>
      <c r="E44" s="68"/>
      <c r="F44" s="164">
        <v>1187.56</v>
      </c>
      <c r="G44" s="171">
        <v>46.0</v>
      </c>
      <c r="H44" s="171">
        <v>41.0</v>
      </c>
      <c r="I44" s="163">
        <f t="shared" si="38"/>
        <v>1.12195122</v>
      </c>
      <c r="J44" s="164">
        <f t="shared" si="39"/>
        <v>28.96487805</v>
      </c>
      <c r="K44" s="164">
        <f t="shared" si="40"/>
        <v>25.81652174</v>
      </c>
      <c r="L44" s="165">
        <v>467.0</v>
      </c>
      <c r="M44" s="155">
        <f t="shared" si="41"/>
        <v>0.09850107066</v>
      </c>
      <c r="N44" s="172">
        <v>68.29</v>
      </c>
      <c r="O44" s="172">
        <v>188.93</v>
      </c>
      <c r="P44" s="173">
        <v>7.0</v>
      </c>
      <c r="Q44" s="174">
        <v>11216.0</v>
      </c>
      <c r="R44" s="155">
        <f t="shared" si="1"/>
        <v>0.3614566241</v>
      </c>
      <c r="S44" s="156">
        <f t="shared" si="2"/>
        <v>2.766583687</v>
      </c>
      <c r="T44" s="155">
        <f t="shared" ref="T44:T48" si="42">O44/F44</f>
        <v>0.1590909091</v>
      </c>
      <c r="U44" s="76"/>
      <c r="V44" s="77"/>
      <c r="W44" s="2"/>
      <c r="X44" s="2"/>
      <c r="Y44" s="2"/>
      <c r="Z44" s="2"/>
    </row>
    <row r="45" hidden="1" outlineLevel="1">
      <c r="A45" s="175"/>
      <c r="B45" s="158"/>
      <c r="C45" s="176" t="s">
        <v>14</v>
      </c>
      <c r="D45" s="177" t="s">
        <v>15</v>
      </c>
      <c r="E45" s="68"/>
      <c r="F45" s="164">
        <v>224.91</v>
      </c>
      <c r="G45" s="171">
        <v>9.0</v>
      </c>
      <c r="H45" s="171">
        <v>8.0</v>
      </c>
      <c r="I45" s="163">
        <f t="shared" si="38"/>
        <v>1.125</v>
      </c>
      <c r="J45" s="164">
        <f t="shared" si="39"/>
        <v>28.11375</v>
      </c>
      <c r="K45" s="164">
        <f t="shared" si="40"/>
        <v>24.99</v>
      </c>
      <c r="L45" s="165">
        <v>189.0</v>
      </c>
      <c r="M45" s="155">
        <f t="shared" si="41"/>
        <v>0.04761904762</v>
      </c>
      <c r="N45" s="178">
        <v>37.3</v>
      </c>
      <c r="O45" s="178">
        <v>76.97</v>
      </c>
      <c r="P45" s="179">
        <v>3.0</v>
      </c>
      <c r="Q45" s="180">
        <v>8953.0</v>
      </c>
      <c r="R45" s="155">
        <f t="shared" si="1"/>
        <v>0.4846043913</v>
      </c>
      <c r="S45" s="156">
        <f t="shared" si="2"/>
        <v>2.063538874</v>
      </c>
      <c r="T45" s="155">
        <f t="shared" si="42"/>
        <v>0.3422257792</v>
      </c>
      <c r="U45" s="76"/>
      <c r="V45" s="77"/>
      <c r="W45" s="2"/>
      <c r="X45" s="2"/>
      <c r="Y45" s="2"/>
      <c r="Z45" s="2"/>
    </row>
    <row r="46" hidden="1" outlineLevel="1">
      <c r="A46" s="56" t="str">
        <f>iferror(if(B46&gt;0,month(B46)&amp;"-"&amp;year(B46),B46),)</f>
        <v>2-2025</v>
      </c>
      <c r="B46" s="143">
        <v>45689.0</v>
      </c>
      <c r="C46" s="181" t="s">
        <v>63</v>
      </c>
      <c r="D46" s="182" t="s">
        <v>64</v>
      </c>
      <c r="E46" s="68"/>
      <c r="F46" s="164">
        <v>649.74</v>
      </c>
      <c r="G46" s="171">
        <v>26.0</v>
      </c>
      <c r="H46" s="171">
        <v>22.0</v>
      </c>
      <c r="I46" s="163">
        <f t="shared" si="38"/>
        <v>1.181818182</v>
      </c>
      <c r="J46" s="164">
        <f t="shared" si="39"/>
        <v>29.53363636</v>
      </c>
      <c r="K46" s="164">
        <f t="shared" si="40"/>
        <v>24.99</v>
      </c>
      <c r="L46" s="165">
        <v>434.0</v>
      </c>
      <c r="M46" s="155">
        <f t="shared" si="41"/>
        <v>0.0599078341</v>
      </c>
      <c r="N46" s="183">
        <v>55.85</v>
      </c>
      <c r="O46" s="183">
        <v>74.97</v>
      </c>
      <c r="P46" s="184">
        <v>3.0</v>
      </c>
      <c r="Q46" s="185">
        <v>9585.0</v>
      </c>
      <c r="R46" s="155">
        <f t="shared" si="1"/>
        <v>0.7449646525</v>
      </c>
      <c r="S46" s="156">
        <f t="shared" si="2"/>
        <v>1.342345568</v>
      </c>
      <c r="T46" s="155">
        <f t="shared" si="42"/>
        <v>0.1153846154</v>
      </c>
      <c r="U46" s="76"/>
      <c r="V46" s="77"/>
      <c r="W46" s="2"/>
      <c r="X46" s="2"/>
      <c r="Y46" s="2"/>
      <c r="Z46" s="2"/>
    </row>
    <row r="47" collapsed="1">
      <c r="A47" s="101" t="s">
        <v>72</v>
      </c>
      <c r="B47" s="79"/>
      <c r="C47" s="79"/>
      <c r="D47" s="79"/>
      <c r="E47" s="80"/>
      <c r="F47" s="190">
        <f t="shared" ref="F47:H47" si="43">SUM(F42:F46)</f>
        <v>2384.07</v>
      </c>
      <c r="G47" s="191">
        <f t="shared" si="43"/>
        <v>95</v>
      </c>
      <c r="H47" s="191">
        <f t="shared" si="43"/>
        <v>84</v>
      </c>
      <c r="I47" s="192">
        <f t="shared" si="38"/>
        <v>1.130952381</v>
      </c>
      <c r="J47" s="193">
        <f>F47/G47</f>
        <v>25.09547368</v>
      </c>
      <c r="K47" s="193">
        <f>J47/I47</f>
        <v>22.18968199</v>
      </c>
      <c r="L47" s="194">
        <f>SUM(L42:L46)</f>
        <v>1343</v>
      </c>
      <c r="M47" s="195">
        <f t="shared" si="41"/>
        <v>0.07073715562</v>
      </c>
      <c r="N47" s="190">
        <f t="shared" ref="N47:P47" si="44">SUM(N42:N46)</f>
        <v>660.54</v>
      </c>
      <c r="O47" s="190">
        <f t="shared" si="44"/>
        <v>1872.27</v>
      </c>
      <c r="P47" s="196">
        <f t="shared" si="44"/>
        <v>65</v>
      </c>
      <c r="Q47" s="197">
        <f>sum(Q42:Q46)</f>
        <v>154498</v>
      </c>
      <c r="R47" s="195">
        <f t="shared" si="1"/>
        <v>0.3528016792</v>
      </c>
      <c r="S47" s="198">
        <f t="shared" si="2"/>
        <v>2.834453629</v>
      </c>
      <c r="T47" s="199">
        <f t="shared" si="42"/>
        <v>0.7853250953</v>
      </c>
      <c r="U47" s="80" t="str">
        <f>iferror((F47-#REF!)/F47,)</f>
        <v/>
      </c>
      <c r="V47" s="90" t="str">
        <f>iferror((H47-#REF!)/H47,)</f>
        <v/>
      </c>
      <c r="W47" s="2"/>
      <c r="X47" s="2"/>
      <c r="Y47" s="2"/>
      <c r="Z47" s="2"/>
    </row>
    <row r="48" hidden="1" outlineLevel="1">
      <c r="A48" s="56" t="str">
        <f>iferror(if(B48&gt;0,month(B48)&amp;"-"&amp;year(B48),B48),)</f>
        <v>2-2025</v>
      </c>
      <c r="B48" s="143">
        <v>45690.0</v>
      </c>
      <c r="C48" s="144"/>
      <c r="D48" s="145" t="s">
        <v>60</v>
      </c>
      <c r="E48" s="58"/>
      <c r="F48" s="146"/>
      <c r="G48" s="147"/>
      <c r="H48" s="147"/>
      <c r="I48" s="148"/>
      <c r="J48" s="149"/>
      <c r="K48" s="149"/>
      <c r="L48" s="150"/>
      <c r="M48" s="151"/>
      <c r="N48" s="152">
        <v>537.14</v>
      </c>
      <c r="O48" s="152">
        <v>1351.48</v>
      </c>
      <c r="P48" s="153">
        <v>48.0</v>
      </c>
      <c r="Q48" s="154">
        <v>123195.0</v>
      </c>
      <c r="R48" s="155">
        <f t="shared" si="1"/>
        <v>0.3974457632</v>
      </c>
      <c r="S48" s="156">
        <f t="shared" si="2"/>
        <v>2.516066575</v>
      </c>
      <c r="T48" s="155" t="str">
        <f t="shared" si="42"/>
        <v>#DIV/0!</v>
      </c>
      <c r="U48" s="76"/>
      <c r="V48" s="77"/>
      <c r="W48" s="2"/>
      <c r="X48" s="2"/>
      <c r="Y48" s="2"/>
      <c r="Z48" s="2"/>
    </row>
    <row r="49" hidden="1" outlineLevel="1">
      <c r="A49" s="157"/>
      <c r="B49" s="158"/>
      <c r="C49" s="159" t="s">
        <v>12</v>
      </c>
      <c r="D49" s="160" t="s">
        <v>13</v>
      </c>
      <c r="E49" s="58"/>
      <c r="F49" s="161">
        <v>275.88</v>
      </c>
      <c r="G49" s="162">
        <v>12.0</v>
      </c>
      <c r="H49" s="162">
        <v>12.0</v>
      </c>
      <c r="I49" s="163">
        <f t="shared" ref="I49:I53" si="45">G49/H49</f>
        <v>1</v>
      </c>
      <c r="J49" s="164">
        <f t="shared" ref="J49:J52" si="46">F49/H49</f>
        <v>22.99</v>
      </c>
      <c r="K49" s="164">
        <f t="shared" ref="K49:K52" si="47">F49/G49</f>
        <v>22.99</v>
      </c>
      <c r="L49" s="165">
        <v>231.0</v>
      </c>
      <c r="M49" s="155">
        <f t="shared" ref="M49:M53" si="48">G49/L49</f>
        <v>0.05194805195</v>
      </c>
      <c r="N49" s="166">
        <v>17.24</v>
      </c>
      <c r="O49" s="166">
        <v>0.0</v>
      </c>
      <c r="P49" s="167">
        <v>0.0</v>
      </c>
      <c r="Q49" s="168">
        <v>6799.0</v>
      </c>
      <c r="R49" s="155" t="str">
        <f t="shared" si="1"/>
        <v>#DIV/0!</v>
      </c>
      <c r="S49" s="156">
        <f t="shared" si="2"/>
        <v>0</v>
      </c>
      <c r="T49" s="155" t="str">
        <f>#REF!/#REF!</f>
        <v>#REF!</v>
      </c>
      <c r="U49" s="76"/>
      <c r="V49" s="77"/>
      <c r="W49" s="2"/>
      <c r="X49" s="2"/>
      <c r="Y49" s="2"/>
      <c r="Z49" s="2"/>
    </row>
    <row r="50" hidden="1" outlineLevel="1">
      <c r="A50" s="157" t="str">
        <f>iferror(if(D50&gt;0,month(D50)&amp;"-"&amp;year(D50),D50),)</f>
        <v/>
      </c>
      <c r="B50" s="158"/>
      <c r="C50" s="169" t="s">
        <v>61</v>
      </c>
      <c r="D50" s="170" t="s">
        <v>62</v>
      </c>
      <c r="E50" s="68"/>
      <c r="F50" s="164">
        <v>1430.47</v>
      </c>
      <c r="G50" s="171">
        <v>53.0</v>
      </c>
      <c r="H50" s="171">
        <v>46.0</v>
      </c>
      <c r="I50" s="163">
        <f t="shared" si="45"/>
        <v>1.152173913</v>
      </c>
      <c r="J50" s="164">
        <f t="shared" si="46"/>
        <v>31.09717391</v>
      </c>
      <c r="K50" s="164">
        <f t="shared" si="47"/>
        <v>26.99</v>
      </c>
      <c r="L50" s="165">
        <v>532.0</v>
      </c>
      <c r="M50" s="155">
        <f t="shared" si="48"/>
        <v>0.09962406015</v>
      </c>
      <c r="N50" s="172">
        <v>88.92</v>
      </c>
      <c r="O50" s="172">
        <v>313.88</v>
      </c>
      <c r="P50" s="173">
        <v>11.0</v>
      </c>
      <c r="Q50" s="174">
        <v>17332.0</v>
      </c>
      <c r="R50" s="155">
        <f t="shared" si="1"/>
        <v>0.2832929782</v>
      </c>
      <c r="S50" s="156">
        <f t="shared" si="2"/>
        <v>3.52991453</v>
      </c>
      <c r="T50" s="155">
        <f t="shared" ref="T50:T54" si="49">O50/F50</f>
        <v>0.219424385</v>
      </c>
      <c r="U50" s="76"/>
      <c r="V50" s="77"/>
      <c r="W50" s="2"/>
      <c r="X50" s="2"/>
      <c r="Y50" s="2"/>
      <c r="Z50" s="2"/>
    </row>
    <row r="51" hidden="1" outlineLevel="1">
      <c r="A51" s="175"/>
      <c r="B51" s="158"/>
      <c r="C51" s="176" t="s">
        <v>14</v>
      </c>
      <c r="D51" s="177" t="s">
        <v>15</v>
      </c>
      <c r="E51" s="68"/>
      <c r="F51" s="164">
        <v>224.91</v>
      </c>
      <c r="G51" s="171">
        <v>9.0</v>
      </c>
      <c r="H51" s="171">
        <v>9.0</v>
      </c>
      <c r="I51" s="163">
        <f t="shared" si="45"/>
        <v>1</v>
      </c>
      <c r="J51" s="164">
        <f t="shared" si="46"/>
        <v>24.99</v>
      </c>
      <c r="K51" s="164">
        <f t="shared" si="47"/>
        <v>24.99</v>
      </c>
      <c r="L51" s="165">
        <v>180.0</v>
      </c>
      <c r="M51" s="155">
        <f t="shared" si="48"/>
        <v>0.05</v>
      </c>
      <c r="N51" s="178">
        <v>25.27</v>
      </c>
      <c r="O51" s="178">
        <v>24.99</v>
      </c>
      <c r="P51" s="179">
        <v>1.0</v>
      </c>
      <c r="Q51" s="180">
        <v>5934.0</v>
      </c>
      <c r="R51" s="155">
        <f t="shared" si="1"/>
        <v>1.011204482</v>
      </c>
      <c r="S51" s="156">
        <f t="shared" si="2"/>
        <v>0.9889196676</v>
      </c>
      <c r="T51" s="155">
        <f t="shared" si="49"/>
        <v>0.1111111111</v>
      </c>
      <c r="U51" s="76"/>
      <c r="V51" s="77"/>
      <c r="W51" s="2"/>
      <c r="X51" s="2"/>
      <c r="Y51" s="2"/>
      <c r="Z51" s="2"/>
    </row>
    <row r="52" hidden="1" outlineLevel="1">
      <c r="A52" s="56" t="str">
        <f>iferror(if(B52&gt;0,month(B52)&amp;"-"&amp;year(B52),B52),)</f>
        <v>2-2025</v>
      </c>
      <c r="B52" s="143">
        <v>45696.0</v>
      </c>
      <c r="C52" s="181" t="s">
        <v>63</v>
      </c>
      <c r="D52" s="182" t="s">
        <v>64</v>
      </c>
      <c r="E52" s="68"/>
      <c r="F52" s="164">
        <v>749.7</v>
      </c>
      <c r="G52" s="171">
        <v>30.0</v>
      </c>
      <c r="H52" s="171">
        <v>26.0</v>
      </c>
      <c r="I52" s="163">
        <f t="shared" si="45"/>
        <v>1.153846154</v>
      </c>
      <c r="J52" s="164">
        <f t="shared" si="46"/>
        <v>28.83461538</v>
      </c>
      <c r="K52" s="164">
        <f t="shared" si="47"/>
        <v>24.99</v>
      </c>
      <c r="L52" s="165">
        <v>354.0</v>
      </c>
      <c r="M52" s="155">
        <f t="shared" si="48"/>
        <v>0.08474576271</v>
      </c>
      <c r="N52" s="183">
        <v>22.81</v>
      </c>
      <c r="O52" s="183">
        <v>120.95</v>
      </c>
      <c r="P52" s="184">
        <v>4.0</v>
      </c>
      <c r="Q52" s="185">
        <v>7686.0</v>
      </c>
      <c r="R52" s="155">
        <f t="shared" si="1"/>
        <v>0.1885903266</v>
      </c>
      <c r="S52" s="156">
        <f t="shared" si="2"/>
        <v>5.302498904</v>
      </c>
      <c r="T52" s="155">
        <f t="shared" si="49"/>
        <v>0.1613311991</v>
      </c>
      <c r="U52" s="76"/>
      <c r="V52" s="77"/>
      <c r="W52" s="2"/>
      <c r="X52" s="2"/>
      <c r="Y52" s="2"/>
      <c r="Z52" s="2"/>
    </row>
    <row r="53" collapsed="1">
      <c r="A53" s="101" t="s">
        <v>73</v>
      </c>
      <c r="B53" s="79"/>
      <c r="C53" s="79"/>
      <c r="D53" s="79"/>
      <c r="E53" s="80"/>
      <c r="F53" s="190">
        <f t="shared" ref="F53:H53" si="50">SUM(F48:F52)</f>
        <v>2680.96</v>
      </c>
      <c r="G53" s="191">
        <f t="shared" si="50"/>
        <v>104</v>
      </c>
      <c r="H53" s="191">
        <f t="shared" si="50"/>
        <v>93</v>
      </c>
      <c r="I53" s="192">
        <f t="shared" si="45"/>
        <v>1.11827957</v>
      </c>
      <c r="J53" s="193">
        <f>F53/G53</f>
        <v>25.77846154</v>
      </c>
      <c r="K53" s="193">
        <f>J53/I53</f>
        <v>23.05189349</v>
      </c>
      <c r="L53" s="194">
        <f>SUM(L48:L52)</f>
        <v>1297</v>
      </c>
      <c r="M53" s="195">
        <f t="shared" si="48"/>
        <v>0.08018504241</v>
      </c>
      <c r="N53" s="190">
        <f t="shared" ref="N53:P53" si="51">SUM(N48:N52)</f>
        <v>691.38</v>
      </c>
      <c r="O53" s="190">
        <f t="shared" si="51"/>
        <v>1811.3</v>
      </c>
      <c r="P53" s="196">
        <f t="shared" si="51"/>
        <v>64</v>
      </c>
      <c r="Q53" s="197">
        <f>sum(Q48:Q52)</f>
        <v>160946</v>
      </c>
      <c r="R53" s="195">
        <f t="shared" si="1"/>
        <v>0.3817037487</v>
      </c>
      <c r="S53" s="198">
        <f t="shared" si="2"/>
        <v>2.619832798</v>
      </c>
      <c r="T53" s="199">
        <f t="shared" si="49"/>
        <v>0.6756161972</v>
      </c>
      <c r="U53" s="80" t="str">
        <f>iferror((F53-#REF!)/F53,)</f>
        <v/>
      </c>
      <c r="V53" s="90" t="str">
        <f>iferror((H53-#REF!)/H53,)</f>
        <v/>
      </c>
      <c r="W53" s="2"/>
      <c r="X53" s="2"/>
      <c r="Y53" s="2"/>
      <c r="Z53" s="2"/>
    </row>
    <row r="54" hidden="1" outlineLevel="1">
      <c r="A54" s="56" t="str">
        <f>iferror(if(B54&gt;0,month(B54)&amp;"-"&amp;year(B54),B54),)</f>
        <v>2-2025</v>
      </c>
      <c r="B54" s="143">
        <v>45697.0</v>
      </c>
      <c r="C54" s="144"/>
      <c r="D54" s="145" t="s">
        <v>60</v>
      </c>
      <c r="E54" s="58"/>
      <c r="F54" s="146"/>
      <c r="G54" s="147"/>
      <c r="H54" s="147"/>
      <c r="I54" s="148"/>
      <c r="J54" s="149"/>
      <c r="K54" s="149"/>
      <c r="L54" s="150"/>
      <c r="M54" s="151"/>
      <c r="N54" s="152">
        <v>525.2</v>
      </c>
      <c r="O54" s="152">
        <v>1372.47</v>
      </c>
      <c r="P54" s="153">
        <v>44.0</v>
      </c>
      <c r="Q54" s="154">
        <v>115316.0</v>
      </c>
      <c r="R54" s="155">
        <f t="shared" si="1"/>
        <v>0.382667745</v>
      </c>
      <c r="S54" s="156">
        <f t="shared" si="2"/>
        <v>2.613233054</v>
      </c>
      <c r="T54" s="155" t="str">
        <f t="shared" si="49"/>
        <v>#DIV/0!</v>
      </c>
      <c r="U54" s="76"/>
      <c r="V54" s="77"/>
      <c r="W54" s="2"/>
      <c r="X54" s="2"/>
      <c r="Y54" s="2"/>
      <c r="Z54" s="2"/>
    </row>
    <row r="55" hidden="1" outlineLevel="1">
      <c r="A55" s="157"/>
      <c r="B55" s="158"/>
      <c r="C55" s="159" t="s">
        <v>12</v>
      </c>
      <c r="D55" s="160" t="s">
        <v>13</v>
      </c>
      <c r="E55" s="58"/>
      <c r="F55" s="161">
        <v>459.8</v>
      </c>
      <c r="G55" s="162">
        <v>20.0</v>
      </c>
      <c r="H55" s="162">
        <v>12.0</v>
      </c>
      <c r="I55" s="163">
        <f t="shared" ref="I55:I59" si="52">G55/H55</f>
        <v>1.666666667</v>
      </c>
      <c r="J55" s="164">
        <f t="shared" ref="J55:J58" si="53">F55/H55</f>
        <v>38.31666667</v>
      </c>
      <c r="K55" s="164">
        <f t="shared" ref="K55:K58" si="54">F55/G55</f>
        <v>22.99</v>
      </c>
      <c r="L55" s="165">
        <v>226.0</v>
      </c>
      <c r="M55" s="155">
        <f t="shared" ref="M55:M59" si="55">G55/L55</f>
        <v>0.08849557522</v>
      </c>
      <c r="N55" s="166">
        <v>15.66</v>
      </c>
      <c r="O55" s="166">
        <v>70.97</v>
      </c>
      <c r="P55" s="167">
        <v>3.0</v>
      </c>
      <c r="Q55" s="168">
        <v>5222.0</v>
      </c>
      <c r="R55" s="155">
        <f t="shared" si="1"/>
        <v>0.2206566155</v>
      </c>
      <c r="S55" s="156">
        <f t="shared" si="2"/>
        <v>4.53192848</v>
      </c>
      <c r="T55" s="155" t="str">
        <f>#REF!/#REF!</f>
        <v>#REF!</v>
      </c>
      <c r="U55" s="76"/>
      <c r="V55" s="77"/>
      <c r="W55" s="2"/>
      <c r="X55" s="2"/>
      <c r="Y55" s="2"/>
      <c r="Z55" s="2"/>
    </row>
    <row r="56" hidden="1" outlineLevel="1">
      <c r="A56" s="157" t="str">
        <f>iferror(if(D56&gt;0,month(D56)&amp;"-"&amp;year(D56),D56),)</f>
        <v/>
      </c>
      <c r="B56" s="158"/>
      <c r="C56" s="169" t="s">
        <v>61</v>
      </c>
      <c r="D56" s="170" t="s">
        <v>62</v>
      </c>
      <c r="E56" s="68"/>
      <c r="F56" s="164">
        <v>1646.39</v>
      </c>
      <c r="G56" s="171">
        <v>61.0</v>
      </c>
      <c r="H56" s="171">
        <v>52.0</v>
      </c>
      <c r="I56" s="163">
        <f t="shared" si="52"/>
        <v>1.173076923</v>
      </c>
      <c r="J56" s="164">
        <f t="shared" si="53"/>
        <v>31.66134615</v>
      </c>
      <c r="K56" s="164">
        <f t="shared" si="54"/>
        <v>26.99</v>
      </c>
      <c r="L56" s="165">
        <v>542.0</v>
      </c>
      <c r="M56" s="155">
        <f t="shared" si="55"/>
        <v>0.1125461255</v>
      </c>
      <c r="N56" s="172">
        <v>90.93</v>
      </c>
      <c r="O56" s="172">
        <v>208.92</v>
      </c>
      <c r="P56" s="173">
        <v>7.0</v>
      </c>
      <c r="Q56" s="174">
        <v>14422.0</v>
      </c>
      <c r="R56" s="155">
        <f t="shared" si="1"/>
        <v>0.4352383688</v>
      </c>
      <c r="S56" s="156">
        <f t="shared" si="2"/>
        <v>2.297591554</v>
      </c>
      <c r="T56" s="155">
        <f t="shared" ref="T56:T60" si="56">O56/F56</f>
        <v>0.1268958145</v>
      </c>
      <c r="U56" s="76"/>
      <c r="V56" s="77"/>
      <c r="W56" s="2"/>
      <c r="X56" s="2"/>
      <c r="Y56" s="2"/>
      <c r="Z56" s="2"/>
    </row>
    <row r="57" hidden="1" outlineLevel="1">
      <c r="A57" s="175"/>
      <c r="B57" s="158"/>
      <c r="C57" s="176" t="s">
        <v>14</v>
      </c>
      <c r="D57" s="177" t="s">
        <v>15</v>
      </c>
      <c r="E57" s="68"/>
      <c r="F57" s="164">
        <v>174.93</v>
      </c>
      <c r="G57" s="171">
        <v>7.0</v>
      </c>
      <c r="H57" s="171">
        <v>7.0</v>
      </c>
      <c r="I57" s="163">
        <f t="shared" si="52"/>
        <v>1</v>
      </c>
      <c r="J57" s="164">
        <f t="shared" si="53"/>
        <v>24.99</v>
      </c>
      <c r="K57" s="164">
        <f t="shared" si="54"/>
        <v>24.99</v>
      </c>
      <c r="L57" s="165">
        <v>201.0</v>
      </c>
      <c r="M57" s="155">
        <f t="shared" si="55"/>
        <v>0.03482587065</v>
      </c>
      <c r="N57" s="178">
        <v>40.49</v>
      </c>
      <c r="O57" s="178">
        <v>51.98</v>
      </c>
      <c r="P57" s="179">
        <v>2.0</v>
      </c>
      <c r="Q57" s="180">
        <v>6262.0</v>
      </c>
      <c r="R57" s="155">
        <f t="shared" si="1"/>
        <v>0.7789534436</v>
      </c>
      <c r="S57" s="156">
        <f t="shared" si="2"/>
        <v>1.283773771</v>
      </c>
      <c r="T57" s="155">
        <f t="shared" si="56"/>
        <v>0.2971474304</v>
      </c>
      <c r="U57" s="76"/>
      <c r="V57" s="77"/>
      <c r="W57" s="2"/>
      <c r="X57" s="2"/>
      <c r="Y57" s="2"/>
      <c r="Z57" s="2"/>
    </row>
    <row r="58" hidden="1" outlineLevel="1">
      <c r="A58" s="56" t="str">
        <f>iferror(if(B58&gt;0,month(B58)&amp;"-"&amp;year(B58),B58),)</f>
        <v>2-2025</v>
      </c>
      <c r="B58" s="143">
        <v>45703.0</v>
      </c>
      <c r="C58" s="181" t="s">
        <v>63</v>
      </c>
      <c r="D58" s="182" t="s">
        <v>64</v>
      </c>
      <c r="E58" s="68"/>
      <c r="F58" s="164">
        <v>499.8</v>
      </c>
      <c r="G58" s="171">
        <v>20.0</v>
      </c>
      <c r="H58" s="171">
        <v>18.0</v>
      </c>
      <c r="I58" s="163">
        <f t="shared" si="52"/>
        <v>1.111111111</v>
      </c>
      <c r="J58" s="164">
        <f t="shared" si="53"/>
        <v>27.76666667</v>
      </c>
      <c r="K58" s="164">
        <f t="shared" si="54"/>
        <v>24.99</v>
      </c>
      <c r="L58" s="165">
        <v>360.0</v>
      </c>
      <c r="M58" s="155">
        <f t="shared" si="55"/>
        <v>0.05555555556</v>
      </c>
      <c r="N58" s="183">
        <v>44.97</v>
      </c>
      <c r="O58" s="183">
        <v>126.95</v>
      </c>
      <c r="P58" s="184">
        <v>5.0</v>
      </c>
      <c r="Q58" s="185">
        <v>9121.0</v>
      </c>
      <c r="R58" s="155">
        <f t="shared" si="1"/>
        <v>0.3542339504</v>
      </c>
      <c r="S58" s="156">
        <f t="shared" si="2"/>
        <v>2.822993107</v>
      </c>
      <c r="T58" s="155">
        <f t="shared" si="56"/>
        <v>0.2540016006</v>
      </c>
      <c r="U58" s="76"/>
      <c r="V58" s="77"/>
      <c r="W58" s="2"/>
      <c r="X58" s="2"/>
      <c r="Y58" s="2"/>
      <c r="Z58" s="2"/>
    </row>
    <row r="59" collapsed="1">
      <c r="A59" s="101" t="s">
        <v>74</v>
      </c>
      <c r="B59" s="79"/>
      <c r="C59" s="79"/>
      <c r="D59" s="79"/>
      <c r="E59" s="80"/>
      <c r="F59" s="190">
        <f t="shared" ref="F59:H59" si="57">SUM(F54:F58)</f>
        <v>2780.92</v>
      </c>
      <c r="G59" s="191">
        <f t="shared" si="57"/>
        <v>108</v>
      </c>
      <c r="H59" s="191">
        <f t="shared" si="57"/>
        <v>89</v>
      </c>
      <c r="I59" s="192">
        <f t="shared" si="52"/>
        <v>1.213483146</v>
      </c>
      <c r="J59" s="193">
        <f>F59/G59</f>
        <v>25.74925926</v>
      </c>
      <c r="K59" s="193">
        <f>J59/I59</f>
        <v>21.21929698</v>
      </c>
      <c r="L59" s="194">
        <f>SUM(L54:L58)</f>
        <v>1329</v>
      </c>
      <c r="M59" s="195">
        <f t="shared" si="55"/>
        <v>0.08126410835</v>
      </c>
      <c r="N59" s="190">
        <f t="shared" ref="N59:P59" si="58">SUM(N54:N58)</f>
        <v>717.25</v>
      </c>
      <c r="O59" s="190">
        <f t="shared" si="58"/>
        <v>1831.29</v>
      </c>
      <c r="P59" s="196">
        <f t="shared" si="58"/>
        <v>61</v>
      </c>
      <c r="Q59" s="197">
        <f>sum(Q54:Q58)</f>
        <v>150343</v>
      </c>
      <c r="R59" s="195">
        <f t="shared" si="1"/>
        <v>0.3916637998</v>
      </c>
      <c r="S59" s="198">
        <f t="shared" si="2"/>
        <v>2.553210178</v>
      </c>
      <c r="T59" s="199">
        <f t="shared" si="56"/>
        <v>0.6585194828</v>
      </c>
      <c r="U59" s="80" t="str">
        <f>iferror((F59-#REF!)/F59,)</f>
        <v/>
      </c>
      <c r="V59" s="90" t="str">
        <f>iferror((H59-#REF!)/H59,)</f>
        <v/>
      </c>
      <c r="W59" s="2"/>
      <c r="X59" s="2"/>
      <c r="Y59" s="2"/>
      <c r="Z59" s="2"/>
    </row>
    <row r="60" hidden="1" outlineLevel="1">
      <c r="A60" s="56" t="str">
        <f>iferror(if(B60&gt;0,month(B60)&amp;"-"&amp;year(B60),B60),)</f>
        <v>2-2025</v>
      </c>
      <c r="B60" s="227">
        <v>45704.0</v>
      </c>
      <c r="C60" s="144"/>
      <c r="D60" s="228" t="s">
        <v>60</v>
      </c>
      <c r="E60" s="58"/>
      <c r="F60" s="146"/>
      <c r="G60" s="147"/>
      <c r="H60" s="147"/>
      <c r="I60" s="148"/>
      <c r="J60" s="149"/>
      <c r="K60" s="149"/>
      <c r="L60" s="150"/>
      <c r="M60" s="151"/>
      <c r="N60" s="229">
        <v>662.65</v>
      </c>
      <c r="O60" s="229">
        <v>1370.47</v>
      </c>
      <c r="P60" s="230">
        <v>52.0</v>
      </c>
      <c r="Q60" s="231">
        <v>160169.0</v>
      </c>
      <c r="R60" s="155">
        <f t="shared" si="1"/>
        <v>0.4835202522</v>
      </c>
      <c r="S60" s="156">
        <f t="shared" si="2"/>
        <v>2.068165698</v>
      </c>
      <c r="T60" s="155" t="str">
        <f t="shared" si="56"/>
        <v>#DIV/0!</v>
      </c>
      <c r="U60" s="76"/>
      <c r="V60" s="77"/>
      <c r="W60" s="2"/>
      <c r="X60" s="2"/>
    </row>
    <row r="61" hidden="1" outlineLevel="1">
      <c r="A61" s="157"/>
      <c r="B61" s="158"/>
      <c r="C61" s="232" t="s">
        <v>12</v>
      </c>
      <c r="D61" s="232" t="s">
        <v>13</v>
      </c>
      <c r="E61" s="58"/>
      <c r="F61" s="233">
        <v>275.88</v>
      </c>
      <c r="G61" s="234">
        <v>12.0</v>
      </c>
      <c r="H61" s="234">
        <v>10.0</v>
      </c>
      <c r="I61" s="71">
        <f t="shared" ref="I61:I65" si="59">G61/H61</f>
        <v>1.2</v>
      </c>
      <c r="J61" s="69">
        <f t="shared" ref="J61:J64" si="60">F61/H61</f>
        <v>27.588</v>
      </c>
      <c r="K61" s="69">
        <f t="shared" ref="K61:K64" si="61">F61/G61</f>
        <v>22.99</v>
      </c>
      <c r="L61" s="236">
        <v>280.0</v>
      </c>
      <c r="M61" s="73">
        <f t="shared" ref="M61:M65" si="62">G61/L61</f>
        <v>0.04285714286</v>
      </c>
      <c r="N61" s="237">
        <v>23.33</v>
      </c>
      <c r="O61" s="237">
        <v>47.98</v>
      </c>
      <c r="P61" s="238">
        <v>2.0</v>
      </c>
      <c r="Q61" s="239">
        <v>6916.0</v>
      </c>
      <c r="R61" s="155">
        <f t="shared" si="1"/>
        <v>0.4862442684</v>
      </c>
      <c r="S61" s="156">
        <f t="shared" si="2"/>
        <v>2.056579511</v>
      </c>
      <c r="T61" s="155" t="str">
        <f>#REF!/#REF!</f>
        <v>#REF!</v>
      </c>
      <c r="U61" s="76"/>
      <c r="V61" s="77"/>
      <c r="W61" s="2"/>
      <c r="X61" s="2"/>
    </row>
    <row r="62" hidden="1" outlineLevel="1">
      <c r="A62" s="157" t="str">
        <f>iferror(if(D62&gt;0,month(D62)&amp;"-"&amp;year(D62),D62),)</f>
        <v/>
      </c>
      <c r="B62" s="158"/>
      <c r="C62" s="240" t="s">
        <v>61</v>
      </c>
      <c r="D62" s="240" t="s">
        <v>62</v>
      </c>
      <c r="E62" s="68"/>
      <c r="F62" s="235">
        <v>1511.44</v>
      </c>
      <c r="G62" s="241">
        <v>56.0</v>
      </c>
      <c r="H62" s="241">
        <v>55.0</v>
      </c>
      <c r="I62" s="71">
        <f t="shared" si="59"/>
        <v>1.018181818</v>
      </c>
      <c r="J62" s="69">
        <f t="shared" si="60"/>
        <v>27.48072727</v>
      </c>
      <c r="K62" s="69">
        <f t="shared" si="61"/>
        <v>26.99</v>
      </c>
      <c r="L62" s="236">
        <v>707.0</v>
      </c>
      <c r="M62" s="73">
        <f t="shared" si="62"/>
        <v>0.07920792079</v>
      </c>
      <c r="N62" s="242">
        <v>113.9</v>
      </c>
      <c r="O62" s="242">
        <v>323.88</v>
      </c>
      <c r="P62" s="243">
        <v>11.0</v>
      </c>
      <c r="Q62" s="244">
        <v>23726.0</v>
      </c>
      <c r="R62" s="155">
        <f t="shared" si="1"/>
        <v>0.3516734593</v>
      </c>
      <c r="S62" s="156">
        <f t="shared" si="2"/>
        <v>2.843546971</v>
      </c>
      <c r="T62" s="155">
        <f t="shared" ref="T62:T66" si="63">O62/F62</f>
        <v>0.2142857143</v>
      </c>
      <c r="U62" s="76"/>
      <c r="V62" s="77"/>
      <c r="W62" s="2"/>
      <c r="X62" s="2"/>
    </row>
    <row r="63" hidden="1" outlineLevel="1">
      <c r="A63" s="56"/>
      <c r="B63" s="227"/>
      <c r="C63" s="245" t="s">
        <v>14</v>
      </c>
      <c r="D63" s="245" t="s">
        <v>15</v>
      </c>
      <c r="E63" s="68"/>
      <c r="F63" s="235">
        <v>349.86</v>
      </c>
      <c r="G63" s="241">
        <v>14.0</v>
      </c>
      <c r="H63" s="241">
        <v>14.0</v>
      </c>
      <c r="I63" s="71">
        <f t="shared" si="59"/>
        <v>1</v>
      </c>
      <c r="J63" s="69">
        <f t="shared" si="60"/>
        <v>24.99</v>
      </c>
      <c r="K63" s="69">
        <f t="shared" si="61"/>
        <v>24.99</v>
      </c>
      <c r="L63" s="236">
        <v>232.0</v>
      </c>
      <c r="M63" s="73">
        <f t="shared" si="62"/>
        <v>0.06034482759</v>
      </c>
      <c r="N63" s="246">
        <v>30.01</v>
      </c>
      <c r="O63" s="246">
        <v>101.96</v>
      </c>
      <c r="P63" s="247">
        <v>4.0</v>
      </c>
      <c r="Q63" s="248">
        <v>9869.0</v>
      </c>
      <c r="R63" s="155">
        <f t="shared" si="1"/>
        <v>0.2943311102</v>
      </c>
      <c r="S63" s="156">
        <f t="shared" si="2"/>
        <v>3.397534155</v>
      </c>
      <c r="T63" s="155">
        <f t="shared" si="63"/>
        <v>0.2914308581</v>
      </c>
      <c r="U63" s="76"/>
      <c r="V63" s="77"/>
      <c r="W63" s="2"/>
      <c r="X63" s="2"/>
    </row>
    <row r="64" hidden="1" outlineLevel="1">
      <c r="A64" s="56" t="str">
        <f>iferror(if(B64&gt;0,month(B64)&amp;"-"&amp;year(B64),B64),)</f>
        <v>2-2025</v>
      </c>
      <c r="B64" s="227">
        <v>45710.0</v>
      </c>
      <c r="C64" s="249" t="s">
        <v>63</v>
      </c>
      <c r="D64" s="249" t="s">
        <v>64</v>
      </c>
      <c r="E64" s="68"/>
      <c r="F64" s="235">
        <v>499.8</v>
      </c>
      <c r="G64" s="241">
        <v>22.0</v>
      </c>
      <c r="H64" s="241">
        <v>20.0</v>
      </c>
      <c r="I64" s="71">
        <f t="shared" si="59"/>
        <v>1.1</v>
      </c>
      <c r="J64" s="69">
        <f t="shared" si="60"/>
        <v>24.99</v>
      </c>
      <c r="K64" s="69">
        <f t="shared" si="61"/>
        <v>22.71818182</v>
      </c>
      <c r="L64" s="236">
        <v>435.0</v>
      </c>
      <c r="M64" s="73">
        <f t="shared" si="62"/>
        <v>0.05057471264</v>
      </c>
      <c r="N64" s="250">
        <v>41.67</v>
      </c>
      <c r="O64" s="250">
        <v>24.99</v>
      </c>
      <c r="P64" s="251">
        <v>1.0</v>
      </c>
      <c r="Q64" s="252">
        <v>10070.0</v>
      </c>
      <c r="R64" s="155">
        <f t="shared" si="1"/>
        <v>1.667466987</v>
      </c>
      <c r="S64" s="156">
        <f t="shared" si="2"/>
        <v>0.599712023</v>
      </c>
      <c r="T64" s="155">
        <f t="shared" si="63"/>
        <v>0.05</v>
      </c>
      <c r="U64" s="76"/>
      <c r="V64" s="77"/>
      <c r="W64" s="2"/>
      <c r="X64" s="2"/>
    </row>
    <row r="65" collapsed="1">
      <c r="A65" s="78" t="s">
        <v>75</v>
      </c>
      <c r="B65" s="79"/>
      <c r="C65" s="79"/>
      <c r="D65" s="79"/>
      <c r="E65" s="80"/>
      <c r="F65" s="81">
        <f t="shared" ref="F65:H65" si="64">SUM(F60:F64)</f>
        <v>2636.98</v>
      </c>
      <c r="G65" s="256">
        <f t="shared" si="64"/>
        <v>104</v>
      </c>
      <c r="H65" s="256">
        <f t="shared" si="64"/>
        <v>99</v>
      </c>
      <c r="I65" s="257">
        <f t="shared" si="59"/>
        <v>1.050505051</v>
      </c>
      <c r="J65" s="84">
        <f>F65/G65</f>
        <v>25.35557692</v>
      </c>
      <c r="K65" s="84">
        <f>J65/I65</f>
        <v>24.1365588</v>
      </c>
      <c r="L65" s="85">
        <f>SUM(L60:L64)</f>
        <v>1654</v>
      </c>
      <c r="M65" s="86">
        <f t="shared" si="62"/>
        <v>0.06287787183</v>
      </c>
      <c r="N65" s="81">
        <f t="shared" ref="N65:P65" si="65">SUM(N60:N64)</f>
        <v>871.56</v>
      </c>
      <c r="O65" s="81">
        <f t="shared" si="65"/>
        <v>1869.28</v>
      </c>
      <c r="P65" s="256">
        <f t="shared" si="65"/>
        <v>70</v>
      </c>
      <c r="Q65" s="258">
        <f>sum(Q60:Q64)</f>
        <v>210750</v>
      </c>
      <c r="R65" s="86">
        <f t="shared" si="1"/>
        <v>0.4662543867</v>
      </c>
      <c r="S65" s="259">
        <f t="shared" si="2"/>
        <v>2.144751939</v>
      </c>
      <c r="T65" s="89">
        <f t="shared" si="63"/>
        <v>0.7088715121</v>
      </c>
      <c r="U65" s="80" t="str">
        <f>iferror((F65-#REF!)/F65,)</f>
        <v/>
      </c>
      <c r="V65" s="90" t="str">
        <f>iferror((H65-#REF!)/H65,)</f>
        <v/>
      </c>
      <c r="W65" s="2"/>
      <c r="X65" s="2"/>
    </row>
    <row r="66" hidden="1" outlineLevel="1">
      <c r="A66" s="56" t="str">
        <f>iferror(if(B66&gt;0,month(B66)&amp;"-"&amp;year(B66),B66),)</f>
        <v>2-2025</v>
      </c>
      <c r="B66" s="227">
        <v>45711.0</v>
      </c>
      <c r="C66" s="144"/>
      <c r="D66" s="228" t="s">
        <v>60</v>
      </c>
      <c r="E66" s="58"/>
      <c r="F66" s="146"/>
      <c r="G66" s="147"/>
      <c r="H66" s="147"/>
      <c r="I66" s="148"/>
      <c r="J66" s="149"/>
      <c r="K66" s="149"/>
      <c r="L66" s="150"/>
      <c r="M66" s="151"/>
      <c r="N66" s="229">
        <v>602.22</v>
      </c>
      <c r="O66" s="229">
        <v>1680.35</v>
      </c>
      <c r="P66" s="230">
        <v>59.0</v>
      </c>
      <c r="Q66" s="231">
        <v>161456.0</v>
      </c>
      <c r="R66" s="155">
        <f t="shared" si="1"/>
        <v>0.3583896212</v>
      </c>
      <c r="S66" s="156">
        <f t="shared" si="2"/>
        <v>2.790259374</v>
      </c>
      <c r="T66" s="155" t="str">
        <f t="shared" si="63"/>
        <v>#DIV/0!</v>
      </c>
      <c r="U66" s="76"/>
      <c r="V66" s="77"/>
      <c r="W66" s="2"/>
      <c r="X66" s="2"/>
    </row>
    <row r="67" hidden="1" outlineLevel="1">
      <c r="A67" s="157"/>
      <c r="B67" s="158"/>
      <c r="C67" s="232" t="s">
        <v>12</v>
      </c>
      <c r="D67" s="232" t="s">
        <v>13</v>
      </c>
      <c r="E67" s="58"/>
      <c r="F67" s="233">
        <v>390.83</v>
      </c>
      <c r="G67" s="234">
        <v>17.0</v>
      </c>
      <c r="H67" s="234">
        <v>15.0</v>
      </c>
      <c r="I67" s="71">
        <f t="shared" ref="I67:I71" si="66">G67/H67</f>
        <v>1.133333333</v>
      </c>
      <c r="J67" s="69">
        <f t="shared" ref="J67:J70" si="67">F67/H67</f>
        <v>26.05533333</v>
      </c>
      <c r="K67" s="69">
        <f t="shared" ref="K67:K70" si="68">F67/G67</f>
        <v>22.99</v>
      </c>
      <c r="L67" s="236">
        <v>294.0</v>
      </c>
      <c r="M67" s="73">
        <f t="shared" ref="M67:M71" si="69">G67/L67</f>
        <v>0.05782312925</v>
      </c>
      <c r="N67" s="237">
        <v>31.28</v>
      </c>
      <c r="O67" s="237">
        <v>49.98</v>
      </c>
      <c r="P67" s="238">
        <v>2.0</v>
      </c>
      <c r="Q67" s="239">
        <v>6967.0</v>
      </c>
      <c r="R67" s="155">
        <f t="shared" si="1"/>
        <v>0.6258503401</v>
      </c>
      <c r="S67" s="156">
        <f t="shared" si="2"/>
        <v>1.597826087</v>
      </c>
      <c r="T67" s="155" t="str">
        <f>#REF!/#REF!</f>
        <v>#REF!</v>
      </c>
      <c r="U67" s="76"/>
      <c r="V67" s="77"/>
      <c r="W67" s="2"/>
      <c r="X67" s="2"/>
    </row>
    <row r="68" hidden="1" outlineLevel="1">
      <c r="A68" s="157" t="str">
        <f>iferror(if(D68&gt;0,month(D68)&amp;"-"&amp;year(D68),D68),)</f>
        <v/>
      </c>
      <c r="B68" s="158"/>
      <c r="C68" s="240" t="s">
        <v>61</v>
      </c>
      <c r="D68" s="240" t="s">
        <v>62</v>
      </c>
      <c r="E68" s="68"/>
      <c r="F68" s="235">
        <v>1916.29</v>
      </c>
      <c r="G68" s="241">
        <v>72.0</v>
      </c>
      <c r="H68" s="241">
        <v>66.0</v>
      </c>
      <c r="I68" s="71">
        <f t="shared" si="66"/>
        <v>1.090909091</v>
      </c>
      <c r="J68" s="69">
        <f t="shared" si="67"/>
        <v>29.03469697</v>
      </c>
      <c r="K68" s="69">
        <f t="shared" si="68"/>
        <v>26.61513889</v>
      </c>
      <c r="L68" s="236">
        <v>703.0</v>
      </c>
      <c r="M68" s="73">
        <f t="shared" si="69"/>
        <v>0.1024182077</v>
      </c>
      <c r="N68" s="242">
        <v>157.99</v>
      </c>
      <c r="O68" s="242">
        <v>458.83</v>
      </c>
      <c r="P68" s="243">
        <v>15.0</v>
      </c>
      <c r="Q68" s="244">
        <v>29950.0</v>
      </c>
      <c r="R68" s="155">
        <f t="shared" si="1"/>
        <v>0.3443323235</v>
      </c>
      <c r="S68" s="156">
        <f t="shared" si="2"/>
        <v>2.90417115</v>
      </c>
      <c r="T68" s="155">
        <f t="shared" ref="T68:T72" si="70">O68/F68</f>
        <v>0.2394366197</v>
      </c>
      <c r="U68" s="76"/>
      <c r="V68" s="77"/>
      <c r="W68" s="2"/>
      <c r="X68" s="2"/>
    </row>
    <row r="69" hidden="1" outlineLevel="1">
      <c r="A69" s="56"/>
      <c r="B69" s="227"/>
      <c r="C69" s="245" t="s">
        <v>14</v>
      </c>
      <c r="D69" s="245" t="s">
        <v>15</v>
      </c>
      <c r="E69" s="68"/>
      <c r="F69" s="235">
        <v>124.95</v>
      </c>
      <c r="G69" s="241">
        <v>5.0</v>
      </c>
      <c r="H69" s="241">
        <v>5.0</v>
      </c>
      <c r="I69" s="71">
        <f t="shared" si="66"/>
        <v>1</v>
      </c>
      <c r="J69" s="69">
        <f t="shared" si="67"/>
        <v>24.99</v>
      </c>
      <c r="K69" s="69">
        <f t="shared" si="68"/>
        <v>24.99</v>
      </c>
      <c r="L69" s="236">
        <v>219.0</v>
      </c>
      <c r="M69" s="73">
        <f t="shared" si="69"/>
        <v>0.02283105023</v>
      </c>
      <c r="N69" s="246">
        <v>46.98</v>
      </c>
      <c r="O69" s="246">
        <v>24.99</v>
      </c>
      <c r="P69" s="247">
        <v>1.0</v>
      </c>
      <c r="Q69" s="248">
        <v>10074.0</v>
      </c>
      <c r="R69" s="155">
        <f t="shared" si="1"/>
        <v>1.879951981</v>
      </c>
      <c r="S69" s="156">
        <f t="shared" si="2"/>
        <v>0.5319284802</v>
      </c>
      <c r="T69" s="155">
        <f t="shared" si="70"/>
        <v>0.2</v>
      </c>
      <c r="U69" s="76"/>
      <c r="V69" s="77"/>
      <c r="W69" s="2"/>
      <c r="X69" s="2"/>
    </row>
    <row r="70" hidden="1" outlineLevel="1">
      <c r="A70" s="56" t="str">
        <f>iferror(if(B70&gt;0,month(B70)&amp;"-"&amp;year(B70),B70),)</f>
        <v>3-2025</v>
      </c>
      <c r="B70" s="227">
        <v>45717.0</v>
      </c>
      <c r="C70" s="249" t="s">
        <v>63</v>
      </c>
      <c r="D70" s="249" t="s">
        <v>64</v>
      </c>
      <c r="E70" s="68"/>
      <c r="F70" s="235">
        <v>649.74</v>
      </c>
      <c r="G70" s="241">
        <v>27.0</v>
      </c>
      <c r="H70" s="241">
        <v>23.0</v>
      </c>
      <c r="I70" s="71">
        <f t="shared" si="66"/>
        <v>1.173913043</v>
      </c>
      <c r="J70" s="69">
        <f t="shared" si="67"/>
        <v>28.24956522</v>
      </c>
      <c r="K70" s="69">
        <f t="shared" si="68"/>
        <v>24.06444444</v>
      </c>
      <c r="L70" s="236">
        <v>376.0</v>
      </c>
      <c r="M70" s="73">
        <f t="shared" si="69"/>
        <v>0.07180851064</v>
      </c>
      <c r="N70" s="250">
        <v>30.59</v>
      </c>
      <c r="O70" s="250">
        <v>49.98</v>
      </c>
      <c r="P70" s="251">
        <v>2.0</v>
      </c>
      <c r="Q70" s="252">
        <v>5910.0</v>
      </c>
      <c r="R70" s="155">
        <f t="shared" si="1"/>
        <v>0.6120448179</v>
      </c>
      <c r="S70" s="156">
        <f t="shared" si="2"/>
        <v>1.633867277</v>
      </c>
      <c r="T70" s="155">
        <f t="shared" si="70"/>
        <v>0.07692307692</v>
      </c>
      <c r="U70" s="76"/>
      <c r="V70" s="77"/>
      <c r="W70" s="2"/>
      <c r="X70" s="2"/>
    </row>
    <row r="71" collapsed="1">
      <c r="A71" s="78" t="s">
        <v>76</v>
      </c>
      <c r="B71" s="79"/>
      <c r="C71" s="79"/>
      <c r="D71" s="79"/>
      <c r="E71" s="80"/>
      <c r="F71" s="81">
        <f t="shared" ref="F71:H71" si="71">SUM(F66:F70)</f>
        <v>3081.81</v>
      </c>
      <c r="G71" s="256">
        <f t="shared" si="71"/>
        <v>121</v>
      </c>
      <c r="H71" s="256">
        <f t="shared" si="71"/>
        <v>109</v>
      </c>
      <c r="I71" s="257">
        <f t="shared" si="66"/>
        <v>1.110091743</v>
      </c>
      <c r="J71" s="84">
        <f>F71/G71</f>
        <v>25.46950413</v>
      </c>
      <c r="K71" s="84">
        <f>J71/I71</f>
        <v>22.9436029</v>
      </c>
      <c r="L71" s="85">
        <f>SUM(L66:L70)</f>
        <v>1592</v>
      </c>
      <c r="M71" s="86">
        <f t="shared" si="69"/>
        <v>0.07600502513</v>
      </c>
      <c r="N71" s="81">
        <f t="shared" ref="N71:P71" si="72">SUM(N66:N70)</f>
        <v>869.06</v>
      </c>
      <c r="O71" s="81">
        <f t="shared" si="72"/>
        <v>2264.13</v>
      </c>
      <c r="P71" s="256">
        <f t="shared" si="72"/>
        <v>79</v>
      </c>
      <c r="Q71" s="258">
        <f>sum(Q66:Q70)</f>
        <v>214357</v>
      </c>
      <c r="R71" s="86">
        <f t="shared" si="1"/>
        <v>0.3838383838</v>
      </c>
      <c r="S71" s="259">
        <f t="shared" si="2"/>
        <v>2.605263158</v>
      </c>
      <c r="T71" s="89">
        <f t="shared" si="70"/>
        <v>0.7346754018</v>
      </c>
      <c r="U71" s="80" t="str">
        <f>iferror((F71-#REF!)/F71,)</f>
        <v/>
      </c>
      <c r="V71" s="90" t="str">
        <f>iferror((H71-#REF!)/H71,)</f>
        <v/>
      </c>
      <c r="W71" s="2"/>
      <c r="X71" s="2"/>
    </row>
    <row r="72" hidden="1" outlineLevel="1">
      <c r="A72" s="56" t="str">
        <f>iferror(if(B72&gt;0,month(B72)&amp;"-"&amp;year(B72),B72),)</f>
        <v>3-2025</v>
      </c>
      <c r="B72" s="227">
        <v>45718.0</v>
      </c>
      <c r="C72" s="144"/>
      <c r="D72" s="228" t="s">
        <v>60</v>
      </c>
      <c r="E72" s="58"/>
      <c r="F72" s="146"/>
      <c r="G72" s="147"/>
      <c r="H72" s="147"/>
      <c r="I72" s="148"/>
      <c r="J72" s="149"/>
      <c r="K72" s="149"/>
      <c r="L72" s="150"/>
      <c r="M72" s="151"/>
      <c r="N72" s="229">
        <v>688.36</v>
      </c>
      <c r="O72" s="229">
        <v>1814.29</v>
      </c>
      <c r="P72" s="230">
        <v>67.0</v>
      </c>
      <c r="Q72" s="231">
        <v>169072.0</v>
      </c>
      <c r="R72" s="155">
        <f t="shared" si="1"/>
        <v>0.3794101274</v>
      </c>
      <c r="S72" s="156">
        <f t="shared" si="2"/>
        <v>2.635670289</v>
      </c>
      <c r="T72" s="155" t="str">
        <f t="shared" si="70"/>
        <v>#DIV/0!</v>
      </c>
      <c r="U72" s="76"/>
      <c r="V72" s="77"/>
      <c r="W72" s="2"/>
      <c r="X72" s="2"/>
    </row>
    <row r="73" hidden="1" outlineLevel="1">
      <c r="A73" s="157"/>
      <c r="B73" s="158"/>
      <c r="C73" s="232" t="s">
        <v>12</v>
      </c>
      <c r="D73" s="232" t="s">
        <v>13</v>
      </c>
      <c r="E73" s="58"/>
      <c r="F73" s="233">
        <v>413.82</v>
      </c>
      <c r="G73" s="234">
        <v>18.0</v>
      </c>
      <c r="H73" s="234">
        <v>15.0</v>
      </c>
      <c r="I73" s="71">
        <f t="shared" ref="I73:I77" si="73">G73/H73</f>
        <v>1.2</v>
      </c>
      <c r="J73" s="69">
        <f t="shared" ref="J73:J76" si="74">F73/H73</f>
        <v>27.588</v>
      </c>
      <c r="K73" s="69">
        <f t="shared" ref="K73:K76" si="75">F73/G73</f>
        <v>22.99</v>
      </c>
      <c r="L73" s="236">
        <v>266.0</v>
      </c>
      <c r="M73" s="73">
        <f t="shared" ref="M73:M77" si="76">G73/L73</f>
        <v>0.06766917293</v>
      </c>
      <c r="N73" s="237">
        <v>11.42</v>
      </c>
      <c r="O73" s="237">
        <v>22.99</v>
      </c>
      <c r="P73" s="238">
        <v>1.0</v>
      </c>
      <c r="Q73" s="239">
        <v>6023.0</v>
      </c>
      <c r="R73" s="155">
        <f t="shared" si="1"/>
        <v>0.496737712</v>
      </c>
      <c r="S73" s="156">
        <f t="shared" si="2"/>
        <v>2.013134851</v>
      </c>
      <c r="T73" s="155" t="str">
        <f>#REF!/#REF!</f>
        <v>#REF!</v>
      </c>
      <c r="U73" s="76"/>
      <c r="V73" s="77"/>
      <c r="W73" s="2"/>
      <c r="X73" s="2"/>
    </row>
    <row r="74" hidden="1" outlineLevel="1">
      <c r="A74" s="157" t="str">
        <f>iferror(if(D74&gt;0,month(D74)&amp;"-"&amp;year(D74),D74),)</f>
        <v/>
      </c>
      <c r="B74" s="158"/>
      <c r="C74" s="240" t="s">
        <v>61</v>
      </c>
      <c r="D74" s="240" t="s">
        <v>62</v>
      </c>
      <c r="E74" s="68"/>
      <c r="F74" s="235">
        <v>2429.1</v>
      </c>
      <c r="G74" s="241">
        <v>90.0</v>
      </c>
      <c r="H74" s="241">
        <v>73.0</v>
      </c>
      <c r="I74" s="71">
        <f t="shared" si="73"/>
        <v>1.232876712</v>
      </c>
      <c r="J74" s="69">
        <f t="shared" si="74"/>
        <v>33.27534247</v>
      </c>
      <c r="K74" s="69">
        <f t="shared" si="75"/>
        <v>26.99</v>
      </c>
      <c r="L74" s="236">
        <v>796.0</v>
      </c>
      <c r="M74" s="73">
        <f t="shared" si="76"/>
        <v>0.1130653266</v>
      </c>
      <c r="N74" s="242">
        <v>217.94</v>
      </c>
      <c r="O74" s="242">
        <v>641.76</v>
      </c>
      <c r="P74" s="243">
        <v>22.0</v>
      </c>
      <c r="Q74" s="244">
        <v>53409.0</v>
      </c>
      <c r="R74" s="155">
        <f t="shared" si="1"/>
        <v>0.3395973573</v>
      </c>
      <c r="S74" s="156">
        <f t="shared" si="2"/>
        <v>2.944663669</v>
      </c>
      <c r="T74" s="155">
        <f t="shared" ref="T74:T78" si="77">O74/F74</f>
        <v>0.264196616</v>
      </c>
      <c r="U74" s="76"/>
      <c r="V74" s="77"/>
      <c r="W74" s="2"/>
      <c r="X74" s="2"/>
    </row>
    <row r="75" hidden="1" outlineLevel="1">
      <c r="A75" s="56"/>
      <c r="B75" s="227"/>
      <c r="C75" s="245" t="s">
        <v>14</v>
      </c>
      <c r="D75" s="245" t="s">
        <v>15</v>
      </c>
      <c r="E75" s="68"/>
      <c r="F75" s="235">
        <v>424.83</v>
      </c>
      <c r="G75" s="241">
        <v>17.0</v>
      </c>
      <c r="H75" s="241">
        <v>15.0</v>
      </c>
      <c r="I75" s="71">
        <f t="shared" si="73"/>
        <v>1.133333333</v>
      </c>
      <c r="J75" s="69">
        <f t="shared" si="74"/>
        <v>28.322</v>
      </c>
      <c r="K75" s="69">
        <f t="shared" si="75"/>
        <v>24.99</v>
      </c>
      <c r="L75" s="236">
        <v>225.0</v>
      </c>
      <c r="M75" s="73">
        <f t="shared" si="76"/>
        <v>0.07555555556</v>
      </c>
      <c r="N75" s="246">
        <v>20.04</v>
      </c>
      <c r="O75" s="246">
        <v>49.98</v>
      </c>
      <c r="P75" s="247">
        <v>2.0</v>
      </c>
      <c r="Q75" s="248">
        <v>5622.0</v>
      </c>
      <c r="R75" s="155">
        <f t="shared" si="1"/>
        <v>0.4009603842</v>
      </c>
      <c r="S75" s="156">
        <f t="shared" si="2"/>
        <v>2.494011976</v>
      </c>
      <c r="T75" s="155">
        <f t="shared" si="77"/>
        <v>0.1176470588</v>
      </c>
      <c r="U75" s="76"/>
      <c r="V75" s="77"/>
      <c r="W75" s="2"/>
      <c r="X75" s="2"/>
    </row>
    <row r="76" hidden="1" outlineLevel="1">
      <c r="A76" s="56" t="str">
        <f>iferror(if(B76&gt;0,month(B76)&amp;"-"&amp;year(B76),B76),)</f>
        <v>3-2025</v>
      </c>
      <c r="B76" s="227">
        <v>45724.0</v>
      </c>
      <c r="C76" s="249" t="s">
        <v>63</v>
      </c>
      <c r="D76" s="249" t="s">
        <v>64</v>
      </c>
      <c r="E76" s="68"/>
      <c r="F76" s="235">
        <v>574.77</v>
      </c>
      <c r="G76" s="241">
        <v>23.0</v>
      </c>
      <c r="H76" s="241">
        <v>21.0</v>
      </c>
      <c r="I76" s="71">
        <f t="shared" si="73"/>
        <v>1.095238095</v>
      </c>
      <c r="J76" s="69">
        <f t="shared" si="74"/>
        <v>27.37</v>
      </c>
      <c r="K76" s="69">
        <f t="shared" si="75"/>
        <v>24.99</v>
      </c>
      <c r="L76" s="236">
        <v>449.0</v>
      </c>
      <c r="M76" s="73">
        <f t="shared" si="76"/>
        <v>0.05122494432</v>
      </c>
      <c r="N76" s="250">
        <v>20.95</v>
      </c>
      <c r="O76" s="250">
        <v>74.97</v>
      </c>
      <c r="P76" s="251">
        <v>2.0</v>
      </c>
      <c r="Q76" s="252">
        <v>4660.0</v>
      </c>
      <c r="R76" s="155">
        <f t="shared" si="1"/>
        <v>0.2794451114</v>
      </c>
      <c r="S76" s="156">
        <f t="shared" si="2"/>
        <v>3.578520286</v>
      </c>
      <c r="T76" s="155">
        <f t="shared" si="77"/>
        <v>0.1304347826</v>
      </c>
      <c r="U76" s="76"/>
      <c r="V76" s="77"/>
      <c r="W76" s="2"/>
      <c r="X76" s="2"/>
    </row>
    <row r="77" collapsed="1">
      <c r="A77" s="78" t="s">
        <v>77</v>
      </c>
      <c r="B77" s="79"/>
      <c r="C77" s="79"/>
      <c r="D77" s="79"/>
      <c r="E77" s="80"/>
      <c r="F77" s="81">
        <f t="shared" ref="F77:H77" si="78">SUM(F72:F76)</f>
        <v>3842.52</v>
      </c>
      <c r="G77" s="256">
        <f t="shared" si="78"/>
        <v>148</v>
      </c>
      <c r="H77" s="256">
        <f t="shared" si="78"/>
        <v>124</v>
      </c>
      <c r="I77" s="257">
        <f t="shared" si="73"/>
        <v>1.193548387</v>
      </c>
      <c r="J77" s="84">
        <f>F77/G77</f>
        <v>25.96297297</v>
      </c>
      <c r="K77" s="84">
        <f>J77/I77</f>
        <v>21.75276114</v>
      </c>
      <c r="L77" s="85">
        <f>SUM(L72:L76)</f>
        <v>1736</v>
      </c>
      <c r="M77" s="86">
        <f t="shared" si="76"/>
        <v>0.08525345622</v>
      </c>
      <c r="N77" s="81">
        <f t="shared" ref="N77:P77" si="79">SUM(N72:N76)</f>
        <v>958.71</v>
      </c>
      <c r="O77" s="81">
        <f t="shared" si="79"/>
        <v>2603.99</v>
      </c>
      <c r="P77" s="256">
        <f t="shared" si="79"/>
        <v>94</v>
      </c>
      <c r="Q77" s="258">
        <f>sum(Q72:Q76)</f>
        <v>238786</v>
      </c>
      <c r="R77" s="86">
        <f t="shared" si="1"/>
        <v>0.3681696166</v>
      </c>
      <c r="S77" s="259">
        <f t="shared" si="2"/>
        <v>2.716139396</v>
      </c>
      <c r="T77" s="89">
        <f t="shared" si="77"/>
        <v>0.6776776699</v>
      </c>
      <c r="U77" s="80" t="str">
        <f>iferror((F77-#REF!)/F77,)</f>
        <v/>
      </c>
      <c r="V77" s="90" t="str">
        <f>iferror((H77-#REF!)/H77,)</f>
        <v/>
      </c>
      <c r="W77" s="2"/>
      <c r="X77" s="2"/>
    </row>
    <row r="78" hidden="1" outlineLevel="1">
      <c r="A78" s="56" t="str">
        <f>iferror(if(B78&gt;0,month(B78)&amp;"-"&amp;year(B78),B78),)</f>
        <v>3-2025</v>
      </c>
      <c r="B78" s="227">
        <v>45725.0</v>
      </c>
      <c r="C78" s="144"/>
      <c r="D78" s="228" t="s">
        <v>60</v>
      </c>
      <c r="E78" s="58"/>
      <c r="F78" s="146"/>
      <c r="G78" s="147"/>
      <c r="H78" s="147"/>
      <c r="I78" s="148"/>
      <c r="J78" s="149"/>
      <c r="K78" s="149"/>
      <c r="L78" s="150"/>
      <c r="M78" s="151"/>
      <c r="N78" s="229">
        <v>707.81</v>
      </c>
      <c r="O78" s="229">
        <v>2032.21</v>
      </c>
      <c r="P78" s="230">
        <v>69.0</v>
      </c>
      <c r="Q78" s="231">
        <v>172883.0</v>
      </c>
      <c r="R78" s="155">
        <f t="shared" si="1"/>
        <v>0.3482956978</v>
      </c>
      <c r="S78" s="156">
        <f t="shared" si="2"/>
        <v>2.871123607</v>
      </c>
      <c r="T78" s="155" t="str">
        <f t="shared" si="77"/>
        <v>#DIV/0!</v>
      </c>
      <c r="U78" s="76"/>
      <c r="V78" s="77"/>
      <c r="W78" s="2"/>
      <c r="X78" s="2"/>
    </row>
    <row r="79" hidden="1" outlineLevel="1">
      <c r="A79" s="157"/>
      <c r="B79" s="158"/>
      <c r="C79" s="232" t="s">
        <v>12</v>
      </c>
      <c r="D79" s="232" t="s">
        <v>13</v>
      </c>
      <c r="E79" s="58"/>
      <c r="F79" s="233">
        <v>413.82</v>
      </c>
      <c r="G79" s="234">
        <v>18.0</v>
      </c>
      <c r="H79" s="234">
        <v>17.0</v>
      </c>
      <c r="I79" s="71">
        <f t="shared" ref="I79:I83" si="80">G79/H79</f>
        <v>1.058823529</v>
      </c>
      <c r="J79" s="69">
        <f t="shared" ref="J79:J82" si="81">F79/H79</f>
        <v>24.34235294</v>
      </c>
      <c r="K79" s="69">
        <f t="shared" ref="K79:K82" si="82">F79/G79</f>
        <v>22.99</v>
      </c>
      <c r="L79" s="236">
        <v>286.0</v>
      </c>
      <c r="M79" s="73">
        <f t="shared" ref="M79:M83" si="83">G79/L79</f>
        <v>0.06293706294</v>
      </c>
      <c r="N79" s="237">
        <v>19.46</v>
      </c>
      <c r="O79" s="237">
        <v>122.95</v>
      </c>
      <c r="P79" s="238">
        <v>4.0</v>
      </c>
      <c r="Q79" s="239">
        <v>5320.0</v>
      </c>
      <c r="R79" s="155">
        <f t="shared" si="1"/>
        <v>0.1582757218</v>
      </c>
      <c r="S79" s="156">
        <f t="shared" si="2"/>
        <v>6.318088386</v>
      </c>
      <c r="T79" s="155" t="str">
        <f>#REF!/#REF!</f>
        <v>#REF!</v>
      </c>
      <c r="U79" s="76"/>
      <c r="V79" s="77"/>
      <c r="W79" s="2"/>
      <c r="X79" s="2"/>
    </row>
    <row r="80" hidden="1" outlineLevel="1">
      <c r="A80" s="157" t="str">
        <f>iferror(if(D80&gt;0,month(D80)&amp;"-"&amp;year(D80),D80),)</f>
        <v/>
      </c>
      <c r="B80" s="158"/>
      <c r="C80" s="240" t="s">
        <v>61</v>
      </c>
      <c r="D80" s="240" t="s">
        <v>62</v>
      </c>
      <c r="E80" s="68"/>
      <c r="F80" s="235">
        <v>2159.2</v>
      </c>
      <c r="G80" s="241">
        <v>81.0</v>
      </c>
      <c r="H80" s="241">
        <v>73.0</v>
      </c>
      <c r="I80" s="71">
        <f t="shared" si="80"/>
        <v>1.109589041</v>
      </c>
      <c r="J80" s="69">
        <f t="shared" si="81"/>
        <v>29.57808219</v>
      </c>
      <c r="K80" s="69">
        <f t="shared" si="82"/>
        <v>26.65679012</v>
      </c>
      <c r="L80" s="236">
        <v>944.0</v>
      </c>
      <c r="M80" s="73">
        <f t="shared" si="83"/>
        <v>0.08580508475</v>
      </c>
      <c r="N80" s="242">
        <v>265.68</v>
      </c>
      <c r="O80" s="242">
        <v>795.7</v>
      </c>
      <c r="P80" s="243">
        <v>23.0</v>
      </c>
      <c r="Q80" s="244">
        <v>54076.0</v>
      </c>
      <c r="R80" s="155">
        <f t="shared" si="1"/>
        <v>0.3338946839</v>
      </c>
      <c r="S80" s="156">
        <f t="shared" si="2"/>
        <v>2.994956338</v>
      </c>
      <c r="T80" s="155">
        <f t="shared" ref="T80:T84" si="84">O80/F80</f>
        <v>0.3685161171</v>
      </c>
      <c r="U80" s="76"/>
      <c r="V80" s="77"/>
      <c r="W80" s="2"/>
      <c r="X80" s="2"/>
    </row>
    <row r="81" hidden="1" outlineLevel="1">
      <c r="A81" s="56"/>
      <c r="B81" s="227"/>
      <c r="C81" s="245" t="s">
        <v>14</v>
      </c>
      <c r="D81" s="245" t="s">
        <v>15</v>
      </c>
      <c r="E81" s="68"/>
      <c r="F81" s="235">
        <v>449.82</v>
      </c>
      <c r="G81" s="241">
        <v>18.0</v>
      </c>
      <c r="H81" s="241">
        <v>17.0</v>
      </c>
      <c r="I81" s="71">
        <f t="shared" si="80"/>
        <v>1.058823529</v>
      </c>
      <c r="J81" s="69">
        <f t="shared" si="81"/>
        <v>26.46</v>
      </c>
      <c r="K81" s="69">
        <f t="shared" si="82"/>
        <v>24.99</v>
      </c>
      <c r="L81" s="236">
        <v>255.0</v>
      </c>
      <c r="M81" s="73">
        <f t="shared" si="83"/>
        <v>0.07058823529</v>
      </c>
      <c r="N81" s="246">
        <v>28.75</v>
      </c>
      <c r="O81" s="246">
        <v>0.0</v>
      </c>
      <c r="P81" s="247">
        <v>0.0</v>
      </c>
      <c r="Q81" s="248">
        <v>8553.0</v>
      </c>
      <c r="R81" s="155" t="str">
        <f t="shared" si="1"/>
        <v>#DIV/0!</v>
      </c>
      <c r="S81" s="156">
        <f t="shared" si="2"/>
        <v>0</v>
      </c>
      <c r="T81" s="155">
        <f t="shared" si="84"/>
        <v>0</v>
      </c>
      <c r="U81" s="76"/>
      <c r="V81" s="77"/>
      <c r="W81" s="2"/>
      <c r="X81" s="2"/>
    </row>
    <row r="82" hidden="1" outlineLevel="1">
      <c r="A82" s="56" t="str">
        <f>iferror(if(B82&gt;0,month(B82)&amp;"-"&amp;year(B82),B82),)</f>
        <v>3-2025</v>
      </c>
      <c r="B82" s="227">
        <v>45731.0</v>
      </c>
      <c r="C82" s="249" t="s">
        <v>63</v>
      </c>
      <c r="D82" s="249" t="s">
        <v>64</v>
      </c>
      <c r="E82" s="68"/>
      <c r="F82" s="235">
        <v>674.73</v>
      </c>
      <c r="G82" s="241">
        <v>27.0</v>
      </c>
      <c r="H82" s="241">
        <v>22.0</v>
      </c>
      <c r="I82" s="71">
        <f t="shared" si="80"/>
        <v>1.227272727</v>
      </c>
      <c r="J82" s="69">
        <f t="shared" si="81"/>
        <v>30.66954545</v>
      </c>
      <c r="K82" s="69">
        <f t="shared" si="82"/>
        <v>24.99</v>
      </c>
      <c r="L82" s="236">
        <v>457.0</v>
      </c>
      <c r="M82" s="73">
        <f t="shared" si="83"/>
        <v>0.0590809628</v>
      </c>
      <c r="N82" s="250">
        <v>35.51</v>
      </c>
      <c r="O82" s="250">
        <v>72.97</v>
      </c>
      <c r="P82" s="251">
        <v>3.0</v>
      </c>
      <c r="Q82" s="252">
        <v>7882.0</v>
      </c>
      <c r="R82" s="155">
        <f t="shared" si="1"/>
        <v>0.4866383445</v>
      </c>
      <c r="S82" s="156">
        <f t="shared" si="2"/>
        <v>2.054914109</v>
      </c>
      <c r="T82" s="155">
        <f t="shared" si="84"/>
        <v>0.1081469625</v>
      </c>
      <c r="U82" s="76"/>
      <c r="V82" s="77"/>
      <c r="W82" s="2"/>
      <c r="X82" s="2"/>
    </row>
    <row r="83" collapsed="1">
      <c r="A83" s="78" t="s">
        <v>78</v>
      </c>
      <c r="B83" s="79"/>
      <c r="C83" s="79"/>
      <c r="D83" s="79"/>
      <c r="E83" s="80"/>
      <c r="F83" s="81">
        <f t="shared" ref="F83:H83" si="85">SUM(F78:F82)</f>
        <v>3697.57</v>
      </c>
      <c r="G83" s="256">
        <f t="shared" si="85"/>
        <v>144</v>
      </c>
      <c r="H83" s="256">
        <f t="shared" si="85"/>
        <v>129</v>
      </c>
      <c r="I83" s="257">
        <f t="shared" si="80"/>
        <v>1.11627907</v>
      </c>
      <c r="J83" s="84">
        <f>F83/G83</f>
        <v>25.67756944</v>
      </c>
      <c r="K83" s="84">
        <f>J83/I83</f>
        <v>23.00282263</v>
      </c>
      <c r="L83" s="85">
        <f>SUM(L78:L82)</f>
        <v>1942</v>
      </c>
      <c r="M83" s="86">
        <f t="shared" si="83"/>
        <v>0.07415036045</v>
      </c>
      <c r="N83" s="81">
        <f t="shared" ref="N83:P83" si="86">SUM(N78:N82)</f>
        <v>1057.21</v>
      </c>
      <c r="O83" s="81">
        <f t="shared" si="86"/>
        <v>3023.83</v>
      </c>
      <c r="P83" s="256">
        <f t="shared" si="86"/>
        <v>99</v>
      </c>
      <c r="Q83" s="258">
        <f>sum(Q78:Q82)</f>
        <v>248714</v>
      </c>
      <c r="R83" s="86">
        <f t="shared" si="1"/>
        <v>0.3496261364</v>
      </c>
      <c r="S83" s="259">
        <f t="shared" si="2"/>
        <v>2.860198069</v>
      </c>
      <c r="T83" s="89">
        <f t="shared" si="84"/>
        <v>0.8177884394</v>
      </c>
      <c r="U83" s="80" t="str">
        <f>iferror((F83-#REF!)/F83,)</f>
        <v/>
      </c>
      <c r="V83" s="90" t="str">
        <f>iferror((H83-#REF!)/H83,)</f>
        <v/>
      </c>
      <c r="W83" s="2"/>
      <c r="X83" s="2"/>
    </row>
    <row r="84" hidden="1" outlineLevel="1">
      <c r="A84" s="56" t="str">
        <f>iferror(if(B84&gt;0,month(B84)&amp;"-"&amp;year(B84),B84),)</f>
        <v>3-2025</v>
      </c>
      <c r="B84" s="227">
        <v>45732.0</v>
      </c>
      <c r="C84" s="144"/>
      <c r="D84" s="228" t="s">
        <v>60</v>
      </c>
      <c r="E84" s="58"/>
      <c r="F84" s="146"/>
      <c r="G84" s="147"/>
      <c r="H84" s="147"/>
      <c r="I84" s="148"/>
      <c r="J84" s="149"/>
      <c r="K84" s="149"/>
      <c r="L84" s="150"/>
      <c r="M84" s="151"/>
      <c r="N84" s="229">
        <v>755.01</v>
      </c>
      <c r="O84" s="229">
        <v>2337.08</v>
      </c>
      <c r="P84" s="230">
        <v>78.0</v>
      </c>
      <c r="Q84" s="231">
        <v>196961.0</v>
      </c>
      <c r="R84" s="155">
        <f t="shared" si="1"/>
        <v>0.3230569771</v>
      </c>
      <c r="S84" s="156">
        <f t="shared" si="2"/>
        <v>3.0954292</v>
      </c>
      <c r="T84" s="155" t="str">
        <f t="shared" si="84"/>
        <v>#DIV/0!</v>
      </c>
      <c r="U84" s="76"/>
      <c r="V84" s="77"/>
      <c r="W84" s="2"/>
      <c r="X84" s="2"/>
    </row>
    <row r="85" hidden="1" outlineLevel="1">
      <c r="A85" s="157"/>
      <c r="B85" s="158"/>
      <c r="C85" s="232" t="s">
        <v>12</v>
      </c>
      <c r="D85" s="232" t="s">
        <v>13</v>
      </c>
      <c r="E85" s="58"/>
      <c r="F85" s="233">
        <v>505.78</v>
      </c>
      <c r="G85" s="234">
        <v>22.0</v>
      </c>
      <c r="H85" s="234">
        <v>21.0</v>
      </c>
      <c r="I85" s="71">
        <f t="shared" ref="I85:I89" si="87">G85/H85</f>
        <v>1.047619048</v>
      </c>
      <c r="J85" s="69">
        <f t="shared" ref="J85:J88" si="88">F85/H85</f>
        <v>24.0847619</v>
      </c>
      <c r="K85" s="69">
        <f t="shared" ref="K85:K88" si="89">F85/G85</f>
        <v>22.99</v>
      </c>
      <c r="L85" s="236">
        <v>285.0</v>
      </c>
      <c r="M85" s="73">
        <f t="shared" ref="M85:M89" si="90">G85/L85</f>
        <v>0.07719298246</v>
      </c>
      <c r="N85" s="237">
        <v>24.22</v>
      </c>
      <c r="O85" s="237">
        <v>93.96</v>
      </c>
      <c r="P85" s="238">
        <v>4.0</v>
      </c>
      <c r="Q85" s="239">
        <v>6472.0</v>
      </c>
      <c r="R85" s="155">
        <f t="shared" si="1"/>
        <v>0.2577692635</v>
      </c>
      <c r="S85" s="156">
        <f t="shared" si="2"/>
        <v>3.879438481</v>
      </c>
      <c r="T85" s="155" t="str">
        <f>#REF!/#REF!</f>
        <v>#REF!</v>
      </c>
      <c r="U85" s="76"/>
      <c r="V85" s="77"/>
      <c r="W85" s="2"/>
      <c r="X85" s="2"/>
    </row>
    <row r="86" hidden="1" outlineLevel="1">
      <c r="A86" s="157" t="str">
        <f>iferror(if(D86&gt;0,month(D86)&amp;"-"&amp;year(D86),D86),)</f>
        <v/>
      </c>
      <c r="B86" s="158"/>
      <c r="C86" s="240" t="s">
        <v>61</v>
      </c>
      <c r="D86" s="240" t="s">
        <v>62</v>
      </c>
      <c r="E86" s="68"/>
      <c r="F86" s="235">
        <v>2051.24</v>
      </c>
      <c r="G86" s="241">
        <v>76.0</v>
      </c>
      <c r="H86" s="241">
        <v>64.0</v>
      </c>
      <c r="I86" s="71">
        <f t="shared" si="87"/>
        <v>1.1875</v>
      </c>
      <c r="J86" s="69">
        <f t="shared" si="88"/>
        <v>32.050625</v>
      </c>
      <c r="K86" s="69">
        <f t="shared" si="89"/>
        <v>26.99</v>
      </c>
      <c r="L86" s="236">
        <v>942.0</v>
      </c>
      <c r="M86" s="73">
        <f t="shared" si="90"/>
        <v>0.08067940552</v>
      </c>
      <c r="N86" s="242">
        <v>288.56</v>
      </c>
      <c r="O86" s="242">
        <v>458.83</v>
      </c>
      <c r="P86" s="243">
        <v>17.0</v>
      </c>
      <c r="Q86" s="244">
        <v>63809.0</v>
      </c>
      <c r="R86" s="155">
        <f t="shared" si="1"/>
        <v>0.6289039514</v>
      </c>
      <c r="S86" s="156">
        <f t="shared" si="2"/>
        <v>1.590067923</v>
      </c>
      <c r="T86" s="155">
        <f t="shared" ref="T86:T90" si="91">O86/F86</f>
        <v>0.2236842105</v>
      </c>
      <c r="U86" s="76"/>
      <c r="V86" s="77"/>
      <c r="W86" s="2"/>
      <c r="X86" s="2"/>
    </row>
    <row r="87" hidden="1" outlineLevel="1">
      <c r="A87" s="56"/>
      <c r="B87" s="227"/>
      <c r="C87" s="245" t="s">
        <v>14</v>
      </c>
      <c r="D87" s="245" t="s">
        <v>15</v>
      </c>
      <c r="E87" s="68"/>
      <c r="F87" s="235">
        <v>449.82</v>
      </c>
      <c r="G87" s="241">
        <v>18.0</v>
      </c>
      <c r="H87" s="241">
        <v>16.0</v>
      </c>
      <c r="I87" s="71">
        <f t="shared" si="87"/>
        <v>1.125</v>
      </c>
      <c r="J87" s="69">
        <f t="shared" si="88"/>
        <v>28.11375</v>
      </c>
      <c r="K87" s="69">
        <f t="shared" si="89"/>
        <v>24.99</v>
      </c>
      <c r="L87" s="236">
        <v>221.0</v>
      </c>
      <c r="M87" s="73">
        <f t="shared" si="90"/>
        <v>0.0814479638</v>
      </c>
      <c r="N87" s="246">
        <v>31.74</v>
      </c>
      <c r="O87" s="246">
        <v>51.98</v>
      </c>
      <c r="P87" s="247">
        <v>2.0</v>
      </c>
      <c r="Q87" s="248">
        <v>8799.0</v>
      </c>
      <c r="R87" s="155">
        <f t="shared" si="1"/>
        <v>0.610619469</v>
      </c>
      <c r="S87" s="156">
        <f t="shared" si="2"/>
        <v>1.637681159</v>
      </c>
      <c r="T87" s="155">
        <f t="shared" si="91"/>
        <v>0.115557334</v>
      </c>
      <c r="U87" s="76"/>
      <c r="V87" s="77"/>
      <c r="W87" s="2"/>
      <c r="X87" s="2"/>
    </row>
    <row r="88" hidden="1" outlineLevel="1">
      <c r="A88" s="56" t="str">
        <f>iferror(if(B88&gt;0,month(B88)&amp;"-"&amp;year(B88),B88),)</f>
        <v>3-2025</v>
      </c>
      <c r="B88" s="227">
        <v>45738.0</v>
      </c>
      <c r="C88" s="249" t="s">
        <v>63</v>
      </c>
      <c r="D88" s="249" t="s">
        <v>64</v>
      </c>
      <c r="E88" s="68"/>
      <c r="F88" s="235">
        <v>849.66</v>
      </c>
      <c r="G88" s="241">
        <v>34.0</v>
      </c>
      <c r="H88" s="241">
        <v>29.0</v>
      </c>
      <c r="I88" s="71">
        <f t="shared" si="87"/>
        <v>1.172413793</v>
      </c>
      <c r="J88" s="69">
        <f t="shared" si="88"/>
        <v>29.29862069</v>
      </c>
      <c r="K88" s="69">
        <f t="shared" si="89"/>
        <v>24.99</v>
      </c>
      <c r="L88" s="236">
        <v>452.0</v>
      </c>
      <c r="M88" s="73">
        <f t="shared" si="90"/>
        <v>0.07522123894</v>
      </c>
      <c r="N88" s="250">
        <v>37.07</v>
      </c>
      <c r="O88" s="250">
        <v>99.96</v>
      </c>
      <c r="P88" s="251">
        <v>3.0</v>
      </c>
      <c r="Q88" s="252">
        <v>7498.0</v>
      </c>
      <c r="R88" s="155">
        <f t="shared" si="1"/>
        <v>0.3708483393</v>
      </c>
      <c r="S88" s="156">
        <f t="shared" si="2"/>
        <v>2.696520097</v>
      </c>
      <c r="T88" s="155">
        <f t="shared" si="91"/>
        <v>0.1176470588</v>
      </c>
      <c r="U88" s="76"/>
      <c r="V88" s="77"/>
      <c r="W88" s="2"/>
      <c r="X88" s="2"/>
    </row>
    <row r="89" collapsed="1">
      <c r="A89" s="78" t="s">
        <v>79</v>
      </c>
      <c r="B89" s="79"/>
      <c r="C89" s="79"/>
      <c r="D89" s="79"/>
      <c r="E89" s="80"/>
      <c r="F89" s="81">
        <f t="shared" ref="F89:H89" si="92">SUM(F84:F88)</f>
        <v>3856.5</v>
      </c>
      <c r="G89" s="256">
        <f t="shared" si="92"/>
        <v>150</v>
      </c>
      <c r="H89" s="256">
        <f t="shared" si="92"/>
        <v>130</v>
      </c>
      <c r="I89" s="257">
        <f t="shared" si="87"/>
        <v>1.153846154</v>
      </c>
      <c r="J89" s="84">
        <f>F89/G89</f>
        <v>25.71</v>
      </c>
      <c r="K89" s="84">
        <f>J89/I89</f>
        <v>22.282</v>
      </c>
      <c r="L89" s="85">
        <f>SUM(L84:L88)</f>
        <v>1900</v>
      </c>
      <c r="M89" s="86">
        <f t="shared" si="90"/>
        <v>0.07894736842</v>
      </c>
      <c r="N89" s="81">
        <f t="shared" ref="N89:P89" si="93">SUM(N84:N88)</f>
        <v>1136.6</v>
      </c>
      <c r="O89" s="81">
        <f t="shared" si="93"/>
        <v>3041.81</v>
      </c>
      <c r="P89" s="256">
        <f t="shared" si="93"/>
        <v>104</v>
      </c>
      <c r="Q89" s="258">
        <f>sum(Q84:Q88)</f>
        <v>283539</v>
      </c>
      <c r="R89" s="86">
        <f t="shared" si="1"/>
        <v>0.3736591043</v>
      </c>
      <c r="S89" s="259">
        <f t="shared" si="2"/>
        <v>2.676236143</v>
      </c>
      <c r="T89" s="89">
        <f t="shared" si="91"/>
        <v>0.7887488656</v>
      </c>
      <c r="U89" s="80" t="str">
        <f>iferror((F89-#REF!)/F89,)</f>
        <v/>
      </c>
      <c r="V89" s="90" t="str">
        <f>iferror((H89-#REF!)/H89,)</f>
        <v/>
      </c>
      <c r="W89" s="2"/>
      <c r="X89" s="2"/>
    </row>
    <row r="90" hidden="1" outlineLevel="1">
      <c r="A90" s="56" t="str">
        <f>iferror(if(B90&gt;0,month(B90)&amp;"-"&amp;year(B90),B90),)</f>
        <v>3-2025</v>
      </c>
      <c r="B90" s="227">
        <v>45739.0</v>
      </c>
      <c r="C90" s="144"/>
      <c r="D90" s="228" t="s">
        <v>60</v>
      </c>
      <c r="E90" s="58"/>
      <c r="F90" s="146"/>
      <c r="G90" s="147"/>
      <c r="H90" s="147"/>
      <c r="I90" s="148"/>
      <c r="J90" s="149"/>
      <c r="K90" s="149"/>
      <c r="L90" s="150"/>
      <c r="M90" s="151"/>
      <c r="N90" s="229">
        <v>852.57</v>
      </c>
      <c r="O90" s="229">
        <v>2046.71</v>
      </c>
      <c r="P90" s="230">
        <v>72.0</v>
      </c>
      <c r="Q90" s="231">
        <v>198076.0</v>
      </c>
      <c r="R90" s="155">
        <f t="shared" si="1"/>
        <v>0.416556327</v>
      </c>
      <c r="S90" s="156">
        <f t="shared" si="2"/>
        <v>2.400635725</v>
      </c>
      <c r="T90" s="155" t="str">
        <f t="shared" si="91"/>
        <v>#DIV/0!</v>
      </c>
      <c r="U90" s="76"/>
      <c r="V90" s="77"/>
      <c r="W90" s="2"/>
      <c r="X90" s="2"/>
    </row>
    <row r="91" hidden="1" outlineLevel="1">
      <c r="A91" s="157"/>
      <c r="B91" s="158"/>
      <c r="C91" s="232" t="s">
        <v>12</v>
      </c>
      <c r="D91" s="232" t="s">
        <v>13</v>
      </c>
      <c r="E91" s="58"/>
      <c r="F91" s="233">
        <v>275.88</v>
      </c>
      <c r="G91" s="234">
        <v>12.0</v>
      </c>
      <c r="H91" s="234">
        <v>11.0</v>
      </c>
      <c r="I91" s="71">
        <f t="shared" ref="I91:I95" si="94">G91/H91</f>
        <v>1.090909091</v>
      </c>
      <c r="J91" s="69">
        <f t="shared" ref="J91:J94" si="95">F91/H91</f>
        <v>25.08</v>
      </c>
      <c r="K91" s="69">
        <f t="shared" ref="K91:K94" si="96">F91/G91</f>
        <v>22.99</v>
      </c>
      <c r="L91" s="236">
        <v>261.0</v>
      </c>
      <c r="M91" s="73">
        <f t="shared" ref="M91:M95" si="97">G91/L91</f>
        <v>0.04597701149</v>
      </c>
      <c r="N91" s="237">
        <v>24.88</v>
      </c>
      <c r="O91" s="237">
        <v>22.99</v>
      </c>
      <c r="P91" s="238">
        <v>1.0</v>
      </c>
      <c r="Q91" s="239">
        <v>6580.0</v>
      </c>
      <c r="R91" s="155">
        <f t="shared" si="1"/>
        <v>1.082209656</v>
      </c>
      <c r="S91" s="156">
        <f t="shared" si="2"/>
        <v>0.9240353698</v>
      </c>
      <c r="T91" s="155" t="str">
        <f>#REF!/#REF!</f>
        <v>#REF!</v>
      </c>
      <c r="U91" s="76"/>
      <c r="V91" s="77"/>
      <c r="W91" s="2"/>
      <c r="X91" s="2"/>
    </row>
    <row r="92" hidden="1" outlineLevel="1">
      <c r="A92" s="157" t="str">
        <f>iferror(if(D92&gt;0,month(D92)&amp;"-"&amp;year(D92),D92),)</f>
        <v/>
      </c>
      <c r="B92" s="158"/>
      <c r="C92" s="240" t="s">
        <v>61</v>
      </c>
      <c r="D92" s="240" t="s">
        <v>62</v>
      </c>
      <c r="E92" s="68"/>
      <c r="F92" s="235">
        <v>1835.32</v>
      </c>
      <c r="G92" s="241">
        <v>68.0</v>
      </c>
      <c r="H92" s="241">
        <v>64.0</v>
      </c>
      <c r="I92" s="71">
        <f t="shared" si="94"/>
        <v>1.0625</v>
      </c>
      <c r="J92" s="69">
        <f t="shared" si="95"/>
        <v>28.676875</v>
      </c>
      <c r="K92" s="69">
        <f t="shared" si="96"/>
        <v>26.99</v>
      </c>
      <c r="L92" s="236">
        <v>957.0</v>
      </c>
      <c r="M92" s="73">
        <f t="shared" si="97"/>
        <v>0.0710553814</v>
      </c>
      <c r="N92" s="242">
        <v>263.54</v>
      </c>
      <c r="O92" s="242">
        <v>566.79</v>
      </c>
      <c r="P92" s="243">
        <v>18.0</v>
      </c>
      <c r="Q92" s="244">
        <v>58161.0</v>
      </c>
      <c r="R92" s="155">
        <f t="shared" si="1"/>
        <v>0.464969389</v>
      </c>
      <c r="S92" s="156">
        <f t="shared" si="2"/>
        <v>2.150679214</v>
      </c>
      <c r="T92" s="155">
        <f t="shared" ref="T92:T96" si="98">O92/F92</f>
        <v>0.3088235294</v>
      </c>
      <c r="U92" s="76"/>
      <c r="V92" s="77"/>
      <c r="W92" s="2"/>
      <c r="X92" s="2"/>
    </row>
    <row r="93" hidden="1" outlineLevel="1">
      <c r="A93" s="56"/>
      <c r="B93" s="227"/>
      <c r="C93" s="245" t="s">
        <v>14</v>
      </c>
      <c r="D93" s="245" t="s">
        <v>15</v>
      </c>
      <c r="E93" s="68"/>
      <c r="F93" s="235">
        <v>449.82</v>
      </c>
      <c r="G93" s="241">
        <v>18.0</v>
      </c>
      <c r="H93" s="241">
        <v>15.0</v>
      </c>
      <c r="I93" s="71">
        <f t="shared" si="94"/>
        <v>1.2</v>
      </c>
      <c r="J93" s="69">
        <f t="shared" si="95"/>
        <v>29.988</v>
      </c>
      <c r="K93" s="69">
        <f t="shared" si="96"/>
        <v>24.99</v>
      </c>
      <c r="L93" s="236">
        <v>252.0</v>
      </c>
      <c r="M93" s="73">
        <f t="shared" si="97"/>
        <v>0.07142857143</v>
      </c>
      <c r="N93" s="246">
        <v>42.94</v>
      </c>
      <c r="O93" s="246">
        <v>74.97</v>
      </c>
      <c r="P93" s="247">
        <v>3.0</v>
      </c>
      <c r="Q93" s="248">
        <v>10584.0</v>
      </c>
      <c r="R93" s="155">
        <f t="shared" si="1"/>
        <v>0.5727624383</v>
      </c>
      <c r="S93" s="156">
        <f t="shared" si="2"/>
        <v>1.745924546</v>
      </c>
      <c r="T93" s="155">
        <f t="shared" si="98"/>
        <v>0.1666666667</v>
      </c>
      <c r="U93" s="76"/>
      <c r="V93" s="77"/>
      <c r="W93" s="2"/>
      <c r="X93" s="2"/>
    </row>
    <row r="94" hidden="1" outlineLevel="1">
      <c r="A94" s="56" t="str">
        <f>iferror(if(B94&gt;0,month(B94)&amp;"-"&amp;year(B94),B94),)</f>
        <v>3-2025</v>
      </c>
      <c r="B94" s="227">
        <v>45745.0</v>
      </c>
      <c r="C94" s="249" t="s">
        <v>63</v>
      </c>
      <c r="D94" s="249" t="s">
        <v>64</v>
      </c>
      <c r="E94" s="68"/>
      <c r="F94" s="235">
        <v>1049.58</v>
      </c>
      <c r="G94" s="241">
        <v>44.0</v>
      </c>
      <c r="H94" s="241">
        <v>36.0</v>
      </c>
      <c r="I94" s="71">
        <f t="shared" si="94"/>
        <v>1.222222222</v>
      </c>
      <c r="J94" s="69">
        <f t="shared" si="95"/>
        <v>29.155</v>
      </c>
      <c r="K94" s="69">
        <f t="shared" si="96"/>
        <v>23.85409091</v>
      </c>
      <c r="L94" s="236">
        <v>512.0</v>
      </c>
      <c r="M94" s="73">
        <f t="shared" si="97"/>
        <v>0.0859375</v>
      </c>
      <c r="N94" s="250">
        <v>51.39</v>
      </c>
      <c r="O94" s="250">
        <v>249.9</v>
      </c>
      <c r="P94" s="251">
        <v>4.0</v>
      </c>
      <c r="Q94" s="252">
        <v>9451.0</v>
      </c>
      <c r="R94" s="155">
        <f t="shared" si="1"/>
        <v>0.2056422569</v>
      </c>
      <c r="S94" s="156">
        <f t="shared" si="2"/>
        <v>4.862813777</v>
      </c>
      <c r="T94" s="155">
        <f t="shared" si="98"/>
        <v>0.2380952381</v>
      </c>
      <c r="U94" s="76"/>
      <c r="V94" s="77"/>
      <c r="W94" s="2"/>
      <c r="X94" s="2"/>
    </row>
    <row r="95" collapsed="1">
      <c r="A95" s="78" t="s">
        <v>80</v>
      </c>
      <c r="B95" s="79"/>
      <c r="C95" s="79"/>
      <c r="D95" s="79"/>
      <c r="E95" s="80"/>
      <c r="F95" s="81">
        <f t="shared" ref="F95:H95" si="99">SUM(F90:F94)</f>
        <v>3610.6</v>
      </c>
      <c r="G95" s="256">
        <f t="shared" si="99"/>
        <v>142</v>
      </c>
      <c r="H95" s="256">
        <f t="shared" si="99"/>
        <v>126</v>
      </c>
      <c r="I95" s="257">
        <f t="shared" si="94"/>
        <v>1.126984127</v>
      </c>
      <c r="J95" s="84">
        <f>F95/G95</f>
        <v>25.42676056</v>
      </c>
      <c r="K95" s="84">
        <f>J95/I95</f>
        <v>22.56177346</v>
      </c>
      <c r="L95" s="85">
        <f>SUM(L90:L94)</f>
        <v>1982</v>
      </c>
      <c r="M95" s="86">
        <f t="shared" si="97"/>
        <v>0.07164480323</v>
      </c>
      <c r="N95" s="81">
        <f t="shared" ref="N95:P95" si="100">SUM(N90:N94)</f>
        <v>1235.32</v>
      </c>
      <c r="O95" s="81">
        <f t="shared" si="100"/>
        <v>2961.36</v>
      </c>
      <c r="P95" s="256">
        <f t="shared" si="100"/>
        <v>98</v>
      </c>
      <c r="Q95" s="258">
        <f>sum(Q90:Q94)</f>
        <v>282852</v>
      </c>
      <c r="R95" s="86">
        <f t="shared" si="1"/>
        <v>0.4171461761</v>
      </c>
      <c r="S95" s="259">
        <f t="shared" si="2"/>
        <v>2.397241201</v>
      </c>
      <c r="T95" s="89">
        <f t="shared" si="98"/>
        <v>0.8201850108</v>
      </c>
      <c r="U95" s="80" t="str">
        <f>iferror((F95-#REF!)/F95,)</f>
        <v/>
      </c>
      <c r="V95" s="90" t="str">
        <f>iferror((H95-#REF!)/H95,)</f>
        <v/>
      </c>
      <c r="W95" s="2"/>
      <c r="X95" s="2"/>
    </row>
    <row r="96" hidden="1" outlineLevel="1">
      <c r="A96" s="56" t="str">
        <f>iferror(if(B96&gt;0,month(B96)&amp;"-"&amp;year(B96),B96),)</f>
        <v>3-2025</v>
      </c>
      <c r="B96" s="227">
        <v>45746.0</v>
      </c>
      <c r="C96" s="144"/>
      <c r="D96" s="228" t="s">
        <v>60</v>
      </c>
      <c r="E96" s="58"/>
      <c r="F96" s="146"/>
      <c r="G96" s="147"/>
      <c r="H96" s="147"/>
      <c r="I96" s="148"/>
      <c r="J96" s="149"/>
      <c r="K96" s="149"/>
      <c r="L96" s="150"/>
      <c r="M96" s="151"/>
      <c r="N96" s="229">
        <v>770.57</v>
      </c>
      <c r="O96" s="229">
        <v>1646.99</v>
      </c>
      <c r="P96" s="230">
        <v>58.0</v>
      </c>
      <c r="Q96" s="231">
        <v>192116.0</v>
      </c>
      <c r="R96" s="155">
        <f t="shared" si="1"/>
        <v>0.4678656215</v>
      </c>
      <c r="S96" s="156">
        <f t="shared" si="2"/>
        <v>2.137365846</v>
      </c>
      <c r="T96" s="155" t="str">
        <f t="shared" si="98"/>
        <v>#DIV/0!</v>
      </c>
      <c r="U96" s="76"/>
      <c r="V96" s="77"/>
      <c r="W96" s="2"/>
      <c r="X96" s="2"/>
    </row>
    <row r="97" hidden="1" outlineLevel="1">
      <c r="A97" s="157"/>
      <c r="B97" s="158"/>
      <c r="C97" s="232" t="s">
        <v>12</v>
      </c>
      <c r="D97" s="232" t="s">
        <v>13</v>
      </c>
      <c r="E97" s="58"/>
      <c r="F97" s="233">
        <v>410.94</v>
      </c>
      <c r="G97" s="234">
        <v>20.0</v>
      </c>
      <c r="H97" s="234">
        <v>18.0</v>
      </c>
      <c r="I97" s="71">
        <f t="shared" ref="I97:I101" si="101">G97/H97</f>
        <v>1.111111111</v>
      </c>
      <c r="J97" s="69">
        <f t="shared" ref="J97:J100" si="102">F97/H97</f>
        <v>22.83</v>
      </c>
      <c r="K97" s="69">
        <f t="shared" ref="K97:K100" si="103">F97/G97</f>
        <v>20.547</v>
      </c>
      <c r="L97" s="236">
        <v>332.0</v>
      </c>
      <c r="M97" s="73">
        <f t="shared" ref="M97:M101" si="104">G97/L97</f>
        <v>0.06024096386</v>
      </c>
      <c r="N97" s="237">
        <v>24.76</v>
      </c>
      <c r="O97" s="237">
        <v>88.98</v>
      </c>
      <c r="P97" s="238">
        <v>3.0</v>
      </c>
      <c r="Q97" s="239">
        <v>8469.0</v>
      </c>
      <c r="R97" s="155">
        <f t="shared" si="1"/>
        <v>0.2782647786</v>
      </c>
      <c r="S97" s="156">
        <f t="shared" si="2"/>
        <v>3.593699515</v>
      </c>
      <c r="T97" s="155" t="str">
        <f>#REF!/#REF!</f>
        <v>#REF!</v>
      </c>
      <c r="U97" s="76"/>
      <c r="V97" s="77"/>
      <c r="W97" s="2"/>
      <c r="X97" s="2"/>
    </row>
    <row r="98" hidden="1" outlineLevel="1">
      <c r="A98" s="157" t="str">
        <f>iferror(if(D98&gt;0,month(D98)&amp;"-"&amp;year(D98),D98),)</f>
        <v/>
      </c>
      <c r="B98" s="158"/>
      <c r="C98" s="240" t="s">
        <v>61</v>
      </c>
      <c r="D98" s="240" t="s">
        <v>62</v>
      </c>
      <c r="E98" s="68"/>
      <c r="F98" s="235">
        <v>2105.22</v>
      </c>
      <c r="G98" s="241">
        <v>78.0</v>
      </c>
      <c r="H98" s="241">
        <v>71.0</v>
      </c>
      <c r="I98" s="71">
        <f t="shared" si="101"/>
        <v>1.098591549</v>
      </c>
      <c r="J98" s="69">
        <f t="shared" si="102"/>
        <v>29.65098592</v>
      </c>
      <c r="K98" s="69">
        <f t="shared" si="103"/>
        <v>26.99</v>
      </c>
      <c r="L98" s="236">
        <v>818.0</v>
      </c>
      <c r="M98" s="73">
        <f t="shared" si="104"/>
        <v>0.09535452323</v>
      </c>
      <c r="N98" s="242">
        <v>152.36</v>
      </c>
      <c r="O98" s="242">
        <v>350.87</v>
      </c>
      <c r="P98" s="243">
        <v>13.0</v>
      </c>
      <c r="Q98" s="244">
        <v>32576.0</v>
      </c>
      <c r="R98" s="155">
        <f t="shared" si="1"/>
        <v>0.4342349018</v>
      </c>
      <c r="S98" s="156">
        <f t="shared" si="2"/>
        <v>2.302901024</v>
      </c>
      <c r="T98" s="155">
        <f t="shared" ref="T98:T102" si="105">O98/F98</f>
        <v>0.1666666667</v>
      </c>
      <c r="U98" s="76"/>
      <c r="V98" s="77"/>
      <c r="W98" s="2"/>
      <c r="X98" s="2"/>
    </row>
    <row r="99" hidden="1" outlineLevel="1">
      <c r="A99" s="56"/>
      <c r="B99" s="227"/>
      <c r="C99" s="245" t="s">
        <v>14</v>
      </c>
      <c r="D99" s="245" t="s">
        <v>15</v>
      </c>
      <c r="E99" s="68"/>
      <c r="F99" s="235">
        <v>397.46</v>
      </c>
      <c r="G99" s="241">
        <v>18.0</v>
      </c>
      <c r="H99" s="241">
        <v>13.0</v>
      </c>
      <c r="I99" s="71">
        <f t="shared" si="101"/>
        <v>1.384615385</v>
      </c>
      <c r="J99" s="69">
        <f t="shared" si="102"/>
        <v>30.57384615</v>
      </c>
      <c r="K99" s="69">
        <f t="shared" si="103"/>
        <v>22.08111111</v>
      </c>
      <c r="L99" s="236">
        <v>326.0</v>
      </c>
      <c r="M99" s="73">
        <f t="shared" si="104"/>
        <v>0.05521472393</v>
      </c>
      <c r="N99" s="246">
        <v>35.16</v>
      </c>
      <c r="O99" s="246">
        <v>0.0</v>
      </c>
      <c r="P99" s="247">
        <v>0.0</v>
      </c>
      <c r="Q99" s="248">
        <v>12883.0</v>
      </c>
      <c r="R99" s="155" t="str">
        <f t="shared" si="1"/>
        <v>#DIV/0!</v>
      </c>
      <c r="S99" s="156">
        <f t="shared" si="2"/>
        <v>0</v>
      </c>
      <c r="T99" s="155">
        <f t="shared" si="105"/>
        <v>0</v>
      </c>
      <c r="U99" s="76"/>
      <c r="V99" s="77"/>
      <c r="W99" s="2"/>
      <c r="X99" s="2"/>
    </row>
    <row r="100" hidden="1" outlineLevel="1">
      <c r="A100" s="56" t="str">
        <f>iferror(if(B100&gt;0,month(B100)&amp;"-"&amp;year(B100),B100),)</f>
        <v>4-2025</v>
      </c>
      <c r="B100" s="227">
        <v>45752.0</v>
      </c>
      <c r="C100" s="249" t="s">
        <v>63</v>
      </c>
      <c r="D100" s="249" t="s">
        <v>64</v>
      </c>
      <c r="E100" s="68"/>
      <c r="F100" s="235">
        <v>324.87</v>
      </c>
      <c r="G100" s="241">
        <v>13.0</v>
      </c>
      <c r="H100" s="241">
        <v>12.0</v>
      </c>
      <c r="I100" s="71">
        <f t="shared" si="101"/>
        <v>1.083333333</v>
      </c>
      <c r="J100" s="69">
        <f t="shared" si="102"/>
        <v>27.0725</v>
      </c>
      <c r="K100" s="69">
        <f t="shared" si="103"/>
        <v>24.99</v>
      </c>
      <c r="L100" s="236">
        <v>436.0</v>
      </c>
      <c r="M100" s="73">
        <f t="shared" si="104"/>
        <v>0.02981651376</v>
      </c>
      <c r="N100" s="250">
        <v>57.28</v>
      </c>
      <c r="O100" s="250">
        <v>24.99</v>
      </c>
      <c r="P100" s="251">
        <v>1.0</v>
      </c>
      <c r="Q100" s="252">
        <v>13675.0</v>
      </c>
      <c r="R100" s="155">
        <f t="shared" si="1"/>
        <v>2.292116847</v>
      </c>
      <c r="S100" s="156">
        <f t="shared" si="2"/>
        <v>0.436277933</v>
      </c>
      <c r="T100" s="155">
        <f t="shared" si="105"/>
        <v>0.07692307692</v>
      </c>
      <c r="U100" s="76"/>
      <c r="V100" s="77"/>
      <c r="W100" s="2"/>
      <c r="X100" s="2"/>
    </row>
    <row r="101" collapsed="1">
      <c r="A101" s="78" t="s">
        <v>81</v>
      </c>
      <c r="B101" s="79"/>
      <c r="C101" s="79"/>
      <c r="D101" s="79"/>
      <c r="E101" s="80"/>
      <c r="F101" s="81">
        <f t="shared" ref="F101:H101" si="106">SUM(F96:F100)</f>
        <v>3238.49</v>
      </c>
      <c r="G101" s="256">
        <f t="shared" si="106"/>
        <v>129</v>
      </c>
      <c r="H101" s="256">
        <f t="shared" si="106"/>
        <v>114</v>
      </c>
      <c r="I101" s="257">
        <f t="shared" si="101"/>
        <v>1.131578947</v>
      </c>
      <c r="J101" s="84">
        <f>F101/G101</f>
        <v>25.10457364</v>
      </c>
      <c r="K101" s="84">
        <f>J101/I101</f>
        <v>22.18543717</v>
      </c>
      <c r="L101" s="85">
        <f>SUM(L96:L100)</f>
        <v>1912</v>
      </c>
      <c r="M101" s="86">
        <f t="shared" si="104"/>
        <v>0.06746861925</v>
      </c>
      <c r="N101" s="81">
        <f t="shared" ref="N101:P101" si="107">SUM(N96:N100)</f>
        <v>1040.13</v>
      </c>
      <c r="O101" s="81">
        <f t="shared" si="107"/>
        <v>2111.83</v>
      </c>
      <c r="P101" s="256">
        <f t="shared" si="107"/>
        <v>75</v>
      </c>
      <c r="Q101" s="258">
        <f>sum(Q96:Q100)</f>
        <v>259719</v>
      </c>
      <c r="R101" s="86">
        <f t="shared" si="1"/>
        <v>0.49252544</v>
      </c>
      <c r="S101" s="259">
        <f t="shared" si="2"/>
        <v>2.030351975</v>
      </c>
      <c r="T101" s="89">
        <f t="shared" si="105"/>
        <v>0.6521032951</v>
      </c>
      <c r="U101" s="80" t="str">
        <f>iferror((F101-#REF!)/F101,)</f>
        <v/>
      </c>
      <c r="V101" s="90" t="str">
        <f>iferror((H101-#REF!)/H101,)</f>
        <v/>
      </c>
      <c r="W101" s="2"/>
      <c r="X101" s="2"/>
    </row>
    <row r="102" hidden="1" outlineLevel="1">
      <c r="A102" s="56" t="str">
        <f>iferror(if(B102&gt;0,month(B102)&amp;"-"&amp;year(B102),B102),)</f>
        <v>4-2025</v>
      </c>
      <c r="B102" s="227">
        <v>45753.0</v>
      </c>
      <c r="C102" s="144"/>
      <c r="D102" s="228" t="s">
        <v>60</v>
      </c>
      <c r="E102" s="58"/>
      <c r="F102" s="146"/>
      <c r="G102" s="147"/>
      <c r="H102" s="147"/>
      <c r="I102" s="148"/>
      <c r="J102" s="149"/>
      <c r="K102" s="149"/>
      <c r="L102" s="150"/>
      <c r="M102" s="151"/>
      <c r="N102" s="229">
        <v>842.53</v>
      </c>
      <c r="O102" s="229">
        <v>2110.47</v>
      </c>
      <c r="P102" s="230">
        <v>78.0</v>
      </c>
      <c r="Q102" s="231">
        <v>182278.0</v>
      </c>
      <c r="R102" s="155">
        <f t="shared" si="1"/>
        <v>0.399214393</v>
      </c>
      <c r="S102" s="156">
        <f t="shared" si="2"/>
        <v>2.504919706</v>
      </c>
      <c r="T102" s="155" t="str">
        <f t="shared" si="105"/>
        <v>#DIV/0!</v>
      </c>
      <c r="U102" s="76"/>
      <c r="V102" s="77"/>
      <c r="W102" s="2"/>
      <c r="X102" s="2"/>
    </row>
    <row r="103" hidden="1" outlineLevel="1">
      <c r="A103" s="157"/>
      <c r="B103" s="158"/>
      <c r="C103" s="232" t="s">
        <v>12</v>
      </c>
      <c r="D103" s="232" t="s">
        <v>13</v>
      </c>
      <c r="E103" s="58"/>
      <c r="F103" s="233">
        <v>643.5</v>
      </c>
      <c r="G103" s="234">
        <v>33.0</v>
      </c>
      <c r="H103" s="234">
        <v>27.0</v>
      </c>
      <c r="I103" s="71">
        <f t="shared" ref="I103:I107" si="108">G103/H103</f>
        <v>1.222222222</v>
      </c>
      <c r="J103" s="69">
        <f t="shared" ref="J103:J106" si="109">F103/H103</f>
        <v>23.83333333</v>
      </c>
      <c r="K103" s="69">
        <f t="shared" ref="K103:K106" si="110">F103/G103</f>
        <v>19.5</v>
      </c>
      <c r="L103" s="236">
        <v>408.0</v>
      </c>
      <c r="M103" s="73">
        <f t="shared" ref="M103:M107" si="111">G103/L103</f>
        <v>0.08088235294</v>
      </c>
      <c r="N103" s="237">
        <v>34.69</v>
      </c>
      <c r="O103" s="237">
        <v>39.0</v>
      </c>
      <c r="P103" s="238">
        <v>2.0</v>
      </c>
      <c r="Q103" s="239">
        <v>8364.0</v>
      </c>
      <c r="R103" s="155">
        <f t="shared" si="1"/>
        <v>0.8894871795</v>
      </c>
      <c r="S103" s="156">
        <f t="shared" si="2"/>
        <v>1.124243298</v>
      </c>
      <c r="T103" s="155" t="str">
        <f>#REF!/#REF!</f>
        <v>#REF!</v>
      </c>
      <c r="U103" s="76"/>
      <c r="V103" s="77"/>
      <c r="W103" s="2"/>
      <c r="X103" s="2"/>
    </row>
    <row r="104" hidden="1" outlineLevel="1">
      <c r="A104" s="157" t="str">
        <f>iferror(if(D104&gt;0,month(D104)&amp;"-"&amp;year(D104),D104),)</f>
        <v/>
      </c>
      <c r="B104" s="158"/>
      <c r="C104" s="240" t="s">
        <v>61</v>
      </c>
      <c r="D104" s="240" t="s">
        <v>62</v>
      </c>
      <c r="E104" s="68"/>
      <c r="F104" s="235">
        <v>2213.18</v>
      </c>
      <c r="G104" s="241">
        <v>82.0</v>
      </c>
      <c r="H104" s="241">
        <v>74.0</v>
      </c>
      <c r="I104" s="71">
        <f t="shared" si="108"/>
        <v>1.108108108</v>
      </c>
      <c r="J104" s="69">
        <f t="shared" si="109"/>
        <v>29.90783784</v>
      </c>
      <c r="K104" s="69">
        <f t="shared" si="110"/>
        <v>26.99</v>
      </c>
      <c r="L104" s="236">
        <v>865.0</v>
      </c>
      <c r="M104" s="73">
        <f t="shared" si="111"/>
        <v>0.09479768786</v>
      </c>
      <c r="N104" s="242">
        <v>184.87</v>
      </c>
      <c r="O104" s="242">
        <v>492.81</v>
      </c>
      <c r="P104" s="243">
        <v>16.0</v>
      </c>
      <c r="Q104" s="244">
        <v>35603.0</v>
      </c>
      <c r="R104" s="155">
        <f t="shared" si="1"/>
        <v>0.3751344331</v>
      </c>
      <c r="S104" s="156">
        <f t="shared" si="2"/>
        <v>2.66571104</v>
      </c>
      <c r="T104" s="155">
        <f t="shared" ref="T104:T108" si="112">O104/F104</f>
        <v>0.2226705465</v>
      </c>
      <c r="U104" s="76"/>
      <c r="V104" s="77"/>
      <c r="W104" s="2"/>
      <c r="X104" s="2"/>
    </row>
    <row r="105" hidden="1" outlineLevel="1">
      <c r="A105" s="56"/>
      <c r="B105" s="227"/>
      <c r="C105" s="245" t="s">
        <v>14</v>
      </c>
      <c r="D105" s="245" t="s">
        <v>15</v>
      </c>
      <c r="E105" s="68"/>
      <c r="F105" s="235">
        <v>297.5</v>
      </c>
      <c r="G105" s="241">
        <v>14.0</v>
      </c>
      <c r="H105" s="241">
        <v>14.0</v>
      </c>
      <c r="I105" s="71">
        <f t="shared" si="108"/>
        <v>1</v>
      </c>
      <c r="J105" s="69">
        <f t="shared" si="109"/>
        <v>21.25</v>
      </c>
      <c r="K105" s="69">
        <f t="shared" si="110"/>
        <v>21.25</v>
      </c>
      <c r="L105" s="236">
        <v>323.0</v>
      </c>
      <c r="M105" s="73">
        <f t="shared" si="111"/>
        <v>0.04334365325</v>
      </c>
      <c r="N105" s="246">
        <v>24.59</v>
      </c>
      <c r="O105" s="246">
        <v>42.5</v>
      </c>
      <c r="P105" s="247">
        <v>2.0</v>
      </c>
      <c r="Q105" s="248">
        <v>6416.0</v>
      </c>
      <c r="R105" s="155">
        <f t="shared" si="1"/>
        <v>0.5785882353</v>
      </c>
      <c r="S105" s="156">
        <f t="shared" si="2"/>
        <v>1.728344856</v>
      </c>
      <c r="T105" s="155">
        <f t="shared" si="112"/>
        <v>0.1428571429</v>
      </c>
      <c r="U105" s="76"/>
      <c r="V105" s="77"/>
      <c r="W105" s="2"/>
      <c r="X105" s="2"/>
    </row>
    <row r="106" hidden="1" outlineLevel="1">
      <c r="A106" s="56" t="str">
        <f>iferror(if(B106&gt;0,month(B106)&amp;"-"&amp;year(B106),B106),)</f>
        <v>4-2025</v>
      </c>
      <c r="B106" s="227">
        <v>45759.0</v>
      </c>
      <c r="C106" s="249" t="s">
        <v>63</v>
      </c>
      <c r="D106" s="249" t="s">
        <v>64</v>
      </c>
      <c r="E106" s="68"/>
      <c r="F106" s="235">
        <v>374.85</v>
      </c>
      <c r="G106" s="241">
        <v>16.0</v>
      </c>
      <c r="H106" s="241">
        <v>16.0</v>
      </c>
      <c r="I106" s="71">
        <f t="shared" si="108"/>
        <v>1</v>
      </c>
      <c r="J106" s="69">
        <f t="shared" si="109"/>
        <v>23.428125</v>
      </c>
      <c r="K106" s="69">
        <f t="shared" si="110"/>
        <v>23.428125</v>
      </c>
      <c r="L106" s="236">
        <v>375.0</v>
      </c>
      <c r="M106" s="73">
        <f t="shared" si="111"/>
        <v>0.04266666667</v>
      </c>
      <c r="N106" s="250">
        <v>36.64</v>
      </c>
      <c r="O106" s="250">
        <v>49.98</v>
      </c>
      <c r="P106" s="251">
        <v>2.0</v>
      </c>
      <c r="Q106" s="252">
        <v>8742.0</v>
      </c>
      <c r="R106" s="155">
        <f t="shared" si="1"/>
        <v>0.7330932373</v>
      </c>
      <c r="S106" s="156">
        <f t="shared" si="2"/>
        <v>1.364082969</v>
      </c>
      <c r="T106" s="155">
        <f t="shared" si="112"/>
        <v>0.1333333333</v>
      </c>
      <c r="U106" s="76"/>
      <c r="V106" s="77"/>
      <c r="W106" s="2"/>
      <c r="X106" s="2"/>
    </row>
    <row r="107" collapsed="1">
      <c r="A107" s="78" t="s">
        <v>82</v>
      </c>
      <c r="B107" s="79"/>
      <c r="C107" s="79"/>
      <c r="D107" s="79"/>
      <c r="E107" s="80"/>
      <c r="F107" s="81">
        <f t="shared" ref="F107:H107" si="113">SUM(F102:F106)</f>
        <v>3529.03</v>
      </c>
      <c r="G107" s="256">
        <f t="shared" si="113"/>
        <v>145</v>
      </c>
      <c r="H107" s="256">
        <f t="shared" si="113"/>
        <v>131</v>
      </c>
      <c r="I107" s="257">
        <f t="shared" si="108"/>
        <v>1.106870229</v>
      </c>
      <c r="J107" s="84">
        <f>F107/G107</f>
        <v>24.33813793</v>
      </c>
      <c r="K107" s="84">
        <f>J107/I107</f>
        <v>21.98824875</v>
      </c>
      <c r="L107" s="85">
        <f>SUM(L102:L106)</f>
        <v>1971</v>
      </c>
      <c r="M107" s="86">
        <f t="shared" si="111"/>
        <v>0.0735667174</v>
      </c>
      <c r="N107" s="81">
        <f t="shared" ref="N107:P107" si="114">SUM(N102:N106)</f>
        <v>1123.32</v>
      </c>
      <c r="O107" s="81">
        <f t="shared" si="114"/>
        <v>2734.76</v>
      </c>
      <c r="P107" s="256">
        <f t="shared" si="114"/>
        <v>100</v>
      </c>
      <c r="Q107" s="258">
        <f>sum(Q102:Q106)</f>
        <v>241403</v>
      </c>
      <c r="R107" s="86">
        <f t="shared" si="1"/>
        <v>0.4107563369</v>
      </c>
      <c r="S107" s="259">
        <f t="shared" si="2"/>
        <v>2.434533348</v>
      </c>
      <c r="T107" s="89">
        <f t="shared" si="112"/>
        <v>0.7749324885</v>
      </c>
      <c r="U107" s="80" t="str">
        <f>iferror((F107-#REF!)/F107,)</f>
        <v/>
      </c>
      <c r="V107" s="90" t="str">
        <f>iferror((H107-#REF!)/H107,)</f>
        <v/>
      </c>
      <c r="W107" s="2"/>
      <c r="X107" s="2"/>
    </row>
    <row r="108" hidden="1" outlineLevel="1">
      <c r="A108" s="56" t="str">
        <f>iferror(if(B108&gt;0,month(B108)&amp;"-"&amp;year(B108),B108),)</f>
        <v>4-2025</v>
      </c>
      <c r="B108" s="227">
        <v>45760.0</v>
      </c>
      <c r="C108" s="144"/>
      <c r="D108" s="228" t="s">
        <v>60</v>
      </c>
      <c r="E108" s="58"/>
      <c r="F108" s="146"/>
      <c r="G108" s="147"/>
      <c r="H108" s="147"/>
      <c r="I108" s="148"/>
      <c r="J108" s="149"/>
      <c r="K108" s="149"/>
      <c r="L108" s="150"/>
      <c r="M108" s="151"/>
      <c r="N108" s="229">
        <v>633.76</v>
      </c>
      <c r="O108" s="229">
        <v>1907.47</v>
      </c>
      <c r="P108" s="230">
        <v>55.0</v>
      </c>
      <c r="Q108" s="231">
        <v>141947.0</v>
      </c>
      <c r="R108" s="155">
        <f t="shared" si="1"/>
        <v>0.3322516213</v>
      </c>
      <c r="S108" s="156">
        <f t="shared" si="2"/>
        <v>3.009767104</v>
      </c>
      <c r="T108" s="155" t="str">
        <f t="shared" si="112"/>
        <v>#DIV/0!</v>
      </c>
      <c r="U108" s="76"/>
      <c r="V108" s="77"/>
      <c r="W108" s="2"/>
      <c r="X108" s="2"/>
    </row>
    <row r="109" hidden="1" outlineLevel="1">
      <c r="A109" s="157"/>
      <c r="B109" s="158"/>
      <c r="C109" s="232" t="s">
        <v>12</v>
      </c>
      <c r="D109" s="232" t="s">
        <v>13</v>
      </c>
      <c r="E109" s="58"/>
      <c r="F109" s="233">
        <v>924.63</v>
      </c>
      <c r="G109" s="234">
        <v>37.0</v>
      </c>
      <c r="H109" s="234">
        <v>25.0</v>
      </c>
      <c r="I109" s="71">
        <f t="shared" ref="I109:I113" si="115">G109/H109</f>
        <v>1.48</v>
      </c>
      <c r="J109" s="69">
        <f t="shared" ref="J109:J112" si="116">F109/H109</f>
        <v>36.9852</v>
      </c>
      <c r="K109" s="69">
        <f t="shared" ref="K109:K112" si="117">F109/G109</f>
        <v>24.99</v>
      </c>
      <c r="L109" s="236">
        <v>381.0</v>
      </c>
      <c r="M109" s="73">
        <f t="shared" ref="M109:M113" si="118">G109/L109</f>
        <v>0.09711286089</v>
      </c>
      <c r="N109" s="237">
        <v>32.88</v>
      </c>
      <c r="O109" s="237">
        <v>0.0</v>
      </c>
      <c r="P109" s="238">
        <v>0.0</v>
      </c>
      <c r="Q109" s="239">
        <v>8860.0</v>
      </c>
      <c r="R109" s="155" t="str">
        <f t="shared" si="1"/>
        <v>#DIV/0!</v>
      </c>
      <c r="S109" s="156">
        <f t="shared" si="2"/>
        <v>0</v>
      </c>
      <c r="T109" s="155" t="str">
        <f>#REF!/#REF!</f>
        <v>#REF!</v>
      </c>
      <c r="U109" s="76"/>
      <c r="V109" s="77"/>
      <c r="W109" s="2"/>
      <c r="X109" s="2"/>
    </row>
    <row r="110" hidden="1" outlineLevel="1">
      <c r="A110" s="157" t="str">
        <f>iferror(if(D110&gt;0,month(D110)&amp;"-"&amp;year(D110),D110),)</f>
        <v/>
      </c>
      <c r="B110" s="158"/>
      <c r="C110" s="240" t="s">
        <v>61</v>
      </c>
      <c r="D110" s="240" t="s">
        <v>62</v>
      </c>
      <c r="E110" s="68"/>
      <c r="F110" s="235">
        <v>2105.22</v>
      </c>
      <c r="G110" s="241">
        <v>79.0</v>
      </c>
      <c r="H110" s="241">
        <v>58.0</v>
      </c>
      <c r="I110" s="71">
        <f t="shared" si="115"/>
        <v>1.362068966</v>
      </c>
      <c r="J110" s="69">
        <f t="shared" si="116"/>
        <v>36.29689655</v>
      </c>
      <c r="K110" s="69">
        <f t="shared" si="117"/>
        <v>26.64835443</v>
      </c>
      <c r="L110" s="236">
        <v>661.0</v>
      </c>
      <c r="M110" s="73">
        <f t="shared" si="118"/>
        <v>0.119515885</v>
      </c>
      <c r="N110" s="242">
        <v>136.1</v>
      </c>
      <c r="O110" s="242">
        <v>429.84</v>
      </c>
      <c r="P110" s="243">
        <v>12.0</v>
      </c>
      <c r="Q110" s="244">
        <v>24696.0</v>
      </c>
      <c r="R110" s="155">
        <f t="shared" si="1"/>
        <v>0.3166294435</v>
      </c>
      <c r="S110" s="156">
        <f t="shared" si="2"/>
        <v>3.158265981</v>
      </c>
      <c r="T110" s="155">
        <f t="shared" ref="T110:T114" si="119">O110/F110</f>
        <v>0.2041781857</v>
      </c>
      <c r="U110" s="76"/>
      <c r="V110" s="77"/>
      <c r="W110" s="2"/>
      <c r="X110" s="2"/>
    </row>
    <row r="111" hidden="1" outlineLevel="1">
      <c r="A111" s="56"/>
      <c r="B111" s="227"/>
      <c r="C111" s="245" t="s">
        <v>14</v>
      </c>
      <c r="D111" s="245" t="s">
        <v>15</v>
      </c>
      <c r="E111" s="68"/>
      <c r="F111" s="235">
        <v>212.5</v>
      </c>
      <c r="G111" s="241">
        <v>10.0</v>
      </c>
      <c r="H111" s="241">
        <v>9.0</v>
      </c>
      <c r="I111" s="71">
        <f t="shared" si="115"/>
        <v>1.111111111</v>
      </c>
      <c r="J111" s="69">
        <f t="shared" si="116"/>
        <v>23.61111111</v>
      </c>
      <c r="K111" s="69">
        <f t="shared" si="117"/>
        <v>21.25</v>
      </c>
      <c r="L111" s="236">
        <v>286.0</v>
      </c>
      <c r="M111" s="73">
        <f t="shared" si="118"/>
        <v>0.03496503497</v>
      </c>
      <c r="N111" s="246">
        <v>17.84</v>
      </c>
      <c r="O111" s="246">
        <v>21.25</v>
      </c>
      <c r="P111" s="247">
        <v>1.0</v>
      </c>
      <c r="Q111" s="248">
        <v>4630.0</v>
      </c>
      <c r="R111" s="155">
        <f t="shared" si="1"/>
        <v>0.8395294118</v>
      </c>
      <c r="S111" s="156">
        <f t="shared" si="2"/>
        <v>1.191143498</v>
      </c>
      <c r="T111" s="155">
        <f t="shared" si="119"/>
        <v>0.1</v>
      </c>
      <c r="U111" s="76"/>
      <c r="V111" s="77"/>
      <c r="W111" s="2"/>
      <c r="X111" s="2"/>
    </row>
    <row r="112" hidden="1" outlineLevel="1">
      <c r="A112" s="56" t="str">
        <f>iferror(if(B112&gt;0,month(B112)&amp;"-"&amp;year(B112),B112),)</f>
        <v>4-2025</v>
      </c>
      <c r="B112" s="227">
        <v>45766.0</v>
      </c>
      <c r="C112" s="249" t="s">
        <v>63</v>
      </c>
      <c r="D112" s="249" t="s">
        <v>64</v>
      </c>
      <c r="E112" s="68"/>
      <c r="F112" s="235">
        <v>682.5</v>
      </c>
      <c r="G112" s="241">
        <v>35.0</v>
      </c>
      <c r="H112" s="241">
        <v>28.0</v>
      </c>
      <c r="I112" s="71">
        <f t="shared" si="115"/>
        <v>1.25</v>
      </c>
      <c r="J112" s="69">
        <f t="shared" si="116"/>
        <v>24.375</v>
      </c>
      <c r="K112" s="69">
        <f t="shared" si="117"/>
        <v>19.5</v>
      </c>
      <c r="L112" s="236">
        <v>399.0</v>
      </c>
      <c r="M112" s="73">
        <f t="shared" si="118"/>
        <v>0.08771929825</v>
      </c>
      <c r="N112" s="250">
        <v>29.84</v>
      </c>
      <c r="O112" s="250">
        <v>169.44</v>
      </c>
      <c r="P112" s="251">
        <v>4.0</v>
      </c>
      <c r="Q112" s="252">
        <v>8371.0</v>
      </c>
      <c r="R112" s="155">
        <f t="shared" si="1"/>
        <v>0.1761095373</v>
      </c>
      <c r="S112" s="156">
        <f t="shared" si="2"/>
        <v>5.678284182</v>
      </c>
      <c r="T112" s="155">
        <f t="shared" si="119"/>
        <v>0.2482637363</v>
      </c>
      <c r="U112" s="76"/>
      <c r="V112" s="77"/>
      <c r="W112" s="2"/>
      <c r="X112" s="2"/>
    </row>
    <row r="113" collapsed="1">
      <c r="A113" s="78" t="s">
        <v>83</v>
      </c>
      <c r="B113" s="79"/>
      <c r="C113" s="79"/>
      <c r="D113" s="79"/>
      <c r="E113" s="80"/>
      <c r="F113" s="81">
        <f t="shared" ref="F113:H113" si="120">SUM(F108:F112)</f>
        <v>3924.85</v>
      </c>
      <c r="G113" s="256">
        <f t="shared" si="120"/>
        <v>161</v>
      </c>
      <c r="H113" s="256">
        <f t="shared" si="120"/>
        <v>120</v>
      </c>
      <c r="I113" s="257">
        <f t="shared" si="115"/>
        <v>1.341666667</v>
      </c>
      <c r="J113" s="84">
        <f>F113/G113</f>
        <v>24.37795031</v>
      </c>
      <c r="K113" s="84">
        <f>J113/I113</f>
        <v>18.16990085</v>
      </c>
      <c r="L113" s="85">
        <f>SUM(L108:L112)</f>
        <v>1727</v>
      </c>
      <c r="M113" s="86">
        <f t="shared" si="118"/>
        <v>0.09322524609</v>
      </c>
      <c r="N113" s="81">
        <f t="shared" ref="N113:P113" si="121">SUM(N108:N112)</f>
        <v>850.42</v>
      </c>
      <c r="O113" s="81">
        <f t="shared" si="121"/>
        <v>2528</v>
      </c>
      <c r="P113" s="256">
        <f t="shared" si="121"/>
        <v>72</v>
      </c>
      <c r="Q113" s="258">
        <f>sum(Q108:Q112)</f>
        <v>188504</v>
      </c>
      <c r="R113" s="86">
        <f t="shared" si="1"/>
        <v>0.3364003165</v>
      </c>
      <c r="S113" s="259">
        <f t="shared" si="2"/>
        <v>2.972648809</v>
      </c>
      <c r="T113" s="89">
        <f t="shared" si="119"/>
        <v>0.6441010484</v>
      </c>
      <c r="U113" s="80" t="str">
        <f>iferror((F113-#REF!)/F113,)</f>
        <v/>
      </c>
      <c r="V113" s="90" t="str">
        <f>iferror((H113-#REF!)/H113,)</f>
        <v/>
      </c>
      <c r="W113" s="2"/>
      <c r="X113" s="2"/>
    </row>
    <row r="114" hidden="1" outlineLevel="1">
      <c r="A114" s="56" t="str">
        <f>iferror(if(B114&gt;0,month(B114)&amp;"-"&amp;year(B114),B114),)</f>
        <v>4-2025</v>
      </c>
      <c r="B114" s="227">
        <v>45767.0</v>
      </c>
      <c r="C114" s="144"/>
      <c r="D114" s="228" t="s">
        <v>60</v>
      </c>
      <c r="E114" s="58"/>
      <c r="F114" s="146"/>
      <c r="G114" s="147"/>
      <c r="H114" s="147"/>
      <c r="I114" s="148"/>
      <c r="J114" s="149"/>
      <c r="K114" s="149"/>
      <c r="L114" s="150"/>
      <c r="M114" s="151"/>
      <c r="N114" s="229">
        <v>590.74</v>
      </c>
      <c r="O114" s="229">
        <v>1388.22</v>
      </c>
      <c r="P114" s="230">
        <v>55.0</v>
      </c>
      <c r="Q114" s="231">
        <v>134658.0</v>
      </c>
      <c r="R114" s="155">
        <f t="shared" si="1"/>
        <v>0.425537739</v>
      </c>
      <c r="S114" s="156">
        <f t="shared" si="2"/>
        <v>2.349967837</v>
      </c>
      <c r="T114" s="155" t="str">
        <f t="shared" si="119"/>
        <v>#DIV/0!</v>
      </c>
      <c r="U114" s="76"/>
      <c r="V114" s="77"/>
      <c r="W114" s="2"/>
      <c r="X114" s="2"/>
    </row>
    <row r="115" hidden="1" outlineLevel="1">
      <c r="A115" s="157"/>
      <c r="B115" s="158"/>
      <c r="C115" s="232" t="s">
        <v>12</v>
      </c>
      <c r="D115" s="232" t="s">
        <v>13</v>
      </c>
      <c r="E115" s="58"/>
      <c r="F115" s="233">
        <v>546.0</v>
      </c>
      <c r="G115" s="234">
        <v>28.0</v>
      </c>
      <c r="H115" s="234">
        <v>24.0</v>
      </c>
      <c r="I115" s="71">
        <f t="shared" ref="I115:I119" si="122">G115/H115</f>
        <v>1.166666667</v>
      </c>
      <c r="J115" s="69">
        <f t="shared" ref="J115:J118" si="123">F115/H115</f>
        <v>22.75</v>
      </c>
      <c r="K115" s="69">
        <f t="shared" ref="K115:K118" si="124">F115/G115</f>
        <v>19.5</v>
      </c>
      <c r="L115" s="236">
        <v>446.0</v>
      </c>
      <c r="M115" s="73">
        <f t="shared" ref="M115:M119" si="125">G115/L115</f>
        <v>0.06278026906</v>
      </c>
      <c r="N115" s="237">
        <v>25.14</v>
      </c>
      <c r="O115" s="237">
        <v>46.49</v>
      </c>
      <c r="P115" s="238">
        <v>2.0</v>
      </c>
      <c r="Q115" s="239">
        <v>7242.0</v>
      </c>
      <c r="R115" s="155">
        <f t="shared" si="1"/>
        <v>0.5407614541</v>
      </c>
      <c r="S115" s="156">
        <f t="shared" si="2"/>
        <v>1.849244232</v>
      </c>
      <c r="T115" s="155" t="str">
        <f>#REF!/#REF!</f>
        <v>#REF!</v>
      </c>
      <c r="U115" s="76"/>
      <c r="V115" s="77"/>
      <c r="W115" s="2"/>
      <c r="X115" s="2"/>
    </row>
    <row r="116" hidden="1" outlineLevel="1">
      <c r="A116" s="157" t="str">
        <f>iferror(if(D116&gt;0,month(D116)&amp;"-"&amp;year(D116),D116),)</f>
        <v/>
      </c>
      <c r="B116" s="158"/>
      <c r="C116" s="240" t="s">
        <v>61</v>
      </c>
      <c r="D116" s="240" t="s">
        <v>62</v>
      </c>
      <c r="E116" s="68"/>
      <c r="F116" s="235">
        <v>2267.16</v>
      </c>
      <c r="G116" s="241">
        <v>86.0</v>
      </c>
      <c r="H116" s="241">
        <v>71.0</v>
      </c>
      <c r="I116" s="71">
        <f t="shared" si="122"/>
        <v>1.211267606</v>
      </c>
      <c r="J116" s="69">
        <f t="shared" si="123"/>
        <v>31.93183099</v>
      </c>
      <c r="K116" s="69">
        <f t="shared" si="124"/>
        <v>26.36232558</v>
      </c>
      <c r="L116" s="236">
        <v>757.0</v>
      </c>
      <c r="M116" s="73">
        <f t="shared" si="125"/>
        <v>0.1136063408</v>
      </c>
      <c r="N116" s="242">
        <v>236.86</v>
      </c>
      <c r="O116" s="242">
        <v>1052.61</v>
      </c>
      <c r="P116" s="243">
        <v>28.0</v>
      </c>
      <c r="Q116" s="244">
        <v>55794.0</v>
      </c>
      <c r="R116" s="155">
        <f t="shared" si="1"/>
        <v>0.2250216129</v>
      </c>
      <c r="S116" s="156">
        <f t="shared" si="2"/>
        <v>4.444017563</v>
      </c>
      <c r="T116" s="155">
        <f t="shared" ref="T116:T120" si="126">O116/F116</f>
        <v>0.4642857143</v>
      </c>
      <c r="U116" s="76"/>
      <c r="V116" s="77"/>
      <c r="W116" s="2"/>
      <c r="X116" s="2"/>
    </row>
    <row r="117" hidden="1" outlineLevel="1">
      <c r="A117" s="56"/>
      <c r="B117" s="227"/>
      <c r="C117" s="245" t="s">
        <v>14</v>
      </c>
      <c r="D117" s="245" t="s">
        <v>15</v>
      </c>
      <c r="E117" s="68"/>
      <c r="F117" s="235">
        <v>403.75</v>
      </c>
      <c r="G117" s="241">
        <v>19.0</v>
      </c>
      <c r="H117" s="241">
        <v>18.0</v>
      </c>
      <c r="I117" s="71">
        <f t="shared" si="122"/>
        <v>1.055555556</v>
      </c>
      <c r="J117" s="69">
        <f t="shared" si="123"/>
        <v>22.43055556</v>
      </c>
      <c r="K117" s="69">
        <f t="shared" si="124"/>
        <v>21.25</v>
      </c>
      <c r="L117" s="236">
        <v>354.0</v>
      </c>
      <c r="M117" s="73">
        <f t="shared" si="125"/>
        <v>0.05367231638</v>
      </c>
      <c r="N117" s="246">
        <v>32.43</v>
      </c>
      <c r="O117" s="246">
        <v>26.99</v>
      </c>
      <c r="P117" s="247">
        <v>1.0</v>
      </c>
      <c r="Q117" s="248">
        <v>7855.0</v>
      </c>
      <c r="R117" s="155">
        <f t="shared" si="1"/>
        <v>1.201556132</v>
      </c>
      <c r="S117" s="156">
        <f t="shared" si="2"/>
        <v>0.8322540857</v>
      </c>
      <c r="T117" s="155">
        <f t="shared" si="126"/>
        <v>0.06684829721</v>
      </c>
      <c r="U117" s="76"/>
      <c r="V117" s="77"/>
      <c r="W117" s="2"/>
      <c r="X117" s="2"/>
    </row>
    <row r="118" hidden="1" outlineLevel="1">
      <c r="A118" s="56" t="str">
        <f>iferror(if(B118&gt;0,month(B118)&amp;"-"&amp;year(B118),B118),)</f>
        <v>4-2025</v>
      </c>
      <c r="B118" s="227">
        <v>45773.0</v>
      </c>
      <c r="C118" s="249" t="s">
        <v>63</v>
      </c>
      <c r="D118" s="249" t="s">
        <v>64</v>
      </c>
      <c r="E118" s="68"/>
      <c r="F118" s="235">
        <v>924.63</v>
      </c>
      <c r="G118" s="241">
        <v>37.0</v>
      </c>
      <c r="H118" s="241">
        <v>28.0</v>
      </c>
      <c r="I118" s="71">
        <f t="shared" si="122"/>
        <v>1.321428571</v>
      </c>
      <c r="J118" s="69">
        <f t="shared" si="123"/>
        <v>33.0225</v>
      </c>
      <c r="K118" s="69">
        <f t="shared" si="124"/>
        <v>24.99</v>
      </c>
      <c r="L118" s="236">
        <v>386.0</v>
      </c>
      <c r="M118" s="73">
        <f t="shared" si="125"/>
        <v>0.09585492228</v>
      </c>
      <c r="N118" s="250">
        <v>44.46</v>
      </c>
      <c r="O118" s="250">
        <v>149.94</v>
      </c>
      <c r="P118" s="251">
        <v>6.0</v>
      </c>
      <c r="Q118" s="252">
        <v>11918.0</v>
      </c>
      <c r="R118" s="155">
        <f t="shared" si="1"/>
        <v>0.2965186074</v>
      </c>
      <c r="S118" s="156">
        <f t="shared" si="2"/>
        <v>3.372469636</v>
      </c>
      <c r="T118" s="155">
        <f t="shared" si="126"/>
        <v>0.1621621622</v>
      </c>
      <c r="U118" s="76"/>
      <c r="V118" s="77"/>
      <c r="W118" s="2"/>
      <c r="X118" s="2"/>
    </row>
    <row r="119" collapsed="1">
      <c r="A119" s="78" t="s">
        <v>84</v>
      </c>
      <c r="B119" s="79"/>
      <c r="C119" s="79"/>
      <c r="D119" s="79"/>
      <c r="E119" s="80"/>
      <c r="F119" s="81">
        <f t="shared" ref="F119:H119" si="127">SUM(F114:F118)</f>
        <v>4141.54</v>
      </c>
      <c r="G119" s="256">
        <f t="shared" si="127"/>
        <v>170</v>
      </c>
      <c r="H119" s="256">
        <f t="shared" si="127"/>
        <v>141</v>
      </c>
      <c r="I119" s="257">
        <f t="shared" si="122"/>
        <v>1.205673759</v>
      </c>
      <c r="J119" s="84">
        <f>F119/G119</f>
        <v>24.362</v>
      </c>
      <c r="K119" s="84">
        <f>J119/I119</f>
        <v>20.20612941</v>
      </c>
      <c r="L119" s="85">
        <f>SUM(L114:L118)</f>
        <v>1943</v>
      </c>
      <c r="M119" s="86">
        <f t="shared" si="125"/>
        <v>0.08749356665</v>
      </c>
      <c r="N119" s="81">
        <f t="shared" ref="N119:P119" si="128">SUM(N114:N118)</f>
        <v>929.63</v>
      </c>
      <c r="O119" s="81">
        <f t="shared" si="128"/>
        <v>2664.25</v>
      </c>
      <c r="P119" s="256">
        <f t="shared" si="128"/>
        <v>92</v>
      </c>
      <c r="Q119" s="258">
        <f>sum(Q114:Q118)</f>
        <v>217467</v>
      </c>
      <c r="R119" s="86">
        <f t="shared" si="1"/>
        <v>0.3489274655</v>
      </c>
      <c r="S119" s="259">
        <f t="shared" si="2"/>
        <v>2.865925153</v>
      </c>
      <c r="T119" s="89">
        <f t="shared" si="126"/>
        <v>0.6432993524</v>
      </c>
      <c r="U119" s="80" t="str">
        <f>iferror((F119-#REF!)/F119,)</f>
        <v/>
      </c>
      <c r="V119" s="90" t="str">
        <f>iferror((H119-#REF!)/H119,)</f>
        <v/>
      </c>
      <c r="W119" s="2"/>
      <c r="X119" s="2"/>
    </row>
    <row r="120" hidden="1" outlineLevel="1">
      <c r="A120" s="56" t="str">
        <f>iferror(if(B120&gt;0,month(B120)&amp;"-"&amp;year(B120),B120),)</f>
        <v>4-2025</v>
      </c>
      <c r="B120" s="227">
        <v>45774.0</v>
      </c>
      <c r="C120" s="144"/>
      <c r="D120" s="228" t="s">
        <v>60</v>
      </c>
      <c r="E120" s="58"/>
      <c r="F120" s="146"/>
      <c r="G120" s="147"/>
      <c r="H120" s="147"/>
      <c r="I120" s="148"/>
      <c r="J120" s="149"/>
      <c r="K120" s="149"/>
      <c r="L120" s="150"/>
      <c r="M120" s="151"/>
      <c r="N120" s="229">
        <v>381.35</v>
      </c>
      <c r="O120" s="229">
        <v>857.07</v>
      </c>
      <c r="P120" s="230">
        <v>33.0</v>
      </c>
      <c r="Q120" s="231">
        <v>75334.0</v>
      </c>
      <c r="R120" s="155">
        <f t="shared" si="1"/>
        <v>0.4449461538</v>
      </c>
      <c r="S120" s="156">
        <f t="shared" si="2"/>
        <v>2.247462961</v>
      </c>
      <c r="T120" s="155" t="str">
        <f t="shared" si="126"/>
        <v>#DIV/0!</v>
      </c>
      <c r="U120" s="76"/>
      <c r="V120" s="77"/>
      <c r="W120" s="2"/>
      <c r="X120" s="2"/>
    </row>
    <row r="121" hidden="1" outlineLevel="1">
      <c r="A121" s="157"/>
      <c r="B121" s="158"/>
      <c r="C121" s="232" t="s">
        <v>12</v>
      </c>
      <c r="D121" s="232" t="s">
        <v>13</v>
      </c>
      <c r="E121" s="58"/>
      <c r="F121" s="233">
        <v>429.0</v>
      </c>
      <c r="G121" s="234">
        <v>22.0</v>
      </c>
      <c r="H121" s="234">
        <v>20.0</v>
      </c>
      <c r="I121" s="71">
        <f t="shared" ref="I121:I125" si="129">G121/H121</f>
        <v>1.1</v>
      </c>
      <c r="J121" s="69">
        <f t="shared" ref="J121:J124" si="130">F121/H121</f>
        <v>21.45</v>
      </c>
      <c r="K121" s="69">
        <f t="shared" ref="K121:K124" si="131">F121/G121</f>
        <v>19.5</v>
      </c>
      <c r="L121" s="236">
        <v>303.0</v>
      </c>
      <c r="M121" s="73">
        <f t="shared" ref="M121:M125" si="132">G121/L121</f>
        <v>0.07260726073</v>
      </c>
      <c r="N121" s="237">
        <v>17.38</v>
      </c>
      <c r="O121" s="237">
        <v>39.0</v>
      </c>
      <c r="P121" s="238">
        <v>2.0</v>
      </c>
      <c r="Q121" s="239">
        <v>5463.0</v>
      </c>
      <c r="R121" s="155">
        <f t="shared" si="1"/>
        <v>0.4456410256</v>
      </c>
      <c r="S121" s="156">
        <f t="shared" si="2"/>
        <v>2.243958573</v>
      </c>
      <c r="T121" s="155" t="str">
        <f>#REF!/#REF!</f>
        <v>#REF!</v>
      </c>
      <c r="U121" s="76"/>
      <c r="V121" s="77"/>
      <c r="W121" s="2"/>
      <c r="X121" s="2"/>
    </row>
    <row r="122" hidden="1" outlineLevel="1">
      <c r="A122" s="157" t="str">
        <f>iferror(if(D122&gt;0,month(D122)&amp;"-"&amp;year(D122),D122),)</f>
        <v/>
      </c>
      <c r="B122" s="158"/>
      <c r="C122" s="240" t="s">
        <v>61</v>
      </c>
      <c r="D122" s="240" t="s">
        <v>62</v>
      </c>
      <c r="E122" s="68"/>
      <c r="F122" s="235">
        <v>2510.07</v>
      </c>
      <c r="G122" s="241">
        <v>94.0</v>
      </c>
      <c r="H122" s="241">
        <v>86.0</v>
      </c>
      <c r="I122" s="71">
        <f t="shared" si="129"/>
        <v>1.093023256</v>
      </c>
      <c r="J122" s="69">
        <f t="shared" si="130"/>
        <v>29.18686047</v>
      </c>
      <c r="K122" s="69">
        <f t="shared" si="131"/>
        <v>26.70287234</v>
      </c>
      <c r="L122" s="236">
        <v>766.0</v>
      </c>
      <c r="M122" s="73">
        <f t="shared" si="132"/>
        <v>0.1227154047</v>
      </c>
      <c r="N122" s="242">
        <v>293.94</v>
      </c>
      <c r="O122" s="242">
        <v>944.65</v>
      </c>
      <c r="P122" s="243">
        <v>31.0</v>
      </c>
      <c r="Q122" s="244">
        <v>56926.0</v>
      </c>
      <c r="R122" s="155">
        <f t="shared" si="1"/>
        <v>0.3111628646</v>
      </c>
      <c r="S122" s="156">
        <f t="shared" si="2"/>
        <v>3.213751106</v>
      </c>
      <c r="T122" s="155">
        <f t="shared" ref="T122:T126" si="133">O122/F122</f>
        <v>0.376344086</v>
      </c>
      <c r="U122" s="76"/>
      <c r="V122" s="77"/>
      <c r="W122" s="2"/>
      <c r="X122" s="2"/>
    </row>
    <row r="123" hidden="1" outlineLevel="1">
      <c r="A123" s="56"/>
      <c r="B123" s="227"/>
      <c r="C123" s="245" t="s">
        <v>14</v>
      </c>
      <c r="D123" s="245" t="s">
        <v>15</v>
      </c>
      <c r="E123" s="68"/>
      <c r="F123" s="235">
        <v>340.0</v>
      </c>
      <c r="G123" s="241">
        <v>16.0</v>
      </c>
      <c r="H123" s="241">
        <v>14.0</v>
      </c>
      <c r="I123" s="71">
        <f t="shared" si="129"/>
        <v>1.142857143</v>
      </c>
      <c r="J123" s="69">
        <f t="shared" si="130"/>
        <v>24.28571429</v>
      </c>
      <c r="K123" s="69">
        <f t="shared" si="131"/>
        <v>21.25</v>
      </c>
      <c r="L123" s="236">
        <v>260.0</v>
      </c>
      <c r="M123" s="73">
        <f t="shared" si="132"/>
        <v>0.06153846154</v>
      </c>
      <c r="N123" s="246">
        <v>14.998</v>
      </c>
      <c r="O123" s="246">
        <v>0.0</v>
      </c>
      <c r="P123" s="247">
        <v>0.0</v>
      </c>
      <c r="Q123" s="248">
        <v>4004.0</v>
      </c>
      <c r="R123" s="155" t="str">
        <f t="shared" si="1"/>
        <v>#DIV/0!</v>
      </c>
      <c r="S123" s="156">
        <f t="shared" si="2"/>
        <v>0</v>
      </c>
      <c r="T123" s="155">
        <f t="shared" si="133"/>
        <v>0</v>
      </c>
      <c r="U123" s="76"/>
      <c r="V123" s="77"/>
      <c r="W123" s="2"/>
      <c r="X123" s="2"/>
    </row>
    <row r="124" hidden="1" outlineLevel="1">
      <c r="A124" s="56" t="str">
        <f>iferror(if(B124&gt;0,month(B124)&amp;"-"&amp;year(B124),B124),)</f>
        <v>5-2025</v>
      </c>
      <c r="B124" s="227">
        <v>45780.0</v>
      </c>
      <c r="C124" s="249" t="s">
        <v>63</v>
      </c>
      <c r="D124" s="249" t="s">
        <v>64</v>
      </c>
      <c r="E124" s="68"/>
      <c r="F124" s="235">
        <v>499.8</v>
      </c>
      <c r="G124" s="241">
        <v>20.0</v>
      </c>
      <c r="H124" s="241">
        <v>12.0</v>
      </c>
      <c r="I124" s="71">
        <f t="shared" si="129"/>
        <v>1.666666667</v>
      </c>
      <c r="J124" s="69">
        <f t="shared" si="130"/>
        <v>41.65</v>
      </c>
      <c r="K124" s="69">
        <f t="shared" si="131"/>
        <v>24.99</v>
      </c>
      <c r="L124" s="236">
        <v>298.0</v>
      </c>
      <c r="M124" s="73">
        <f t="shared" si="132"/>
        <v>0.06711409396</v>
      </c>
      <c r="N124" s="250">
        <v>33.28</v>
      </c>
      <c r="O124" s="250">
        <v>271.4</v>
      </c>
      <c r="P124" s="251">
        <v>6.0</v>
      </c>
      <c r="Q124" s="252">
        <v>7481.0</v>
      </c>
      <c r="R124" s="155">
        <f t="shared" si="1"/>
        <v>0.122623434</v>
      </c>
      <c r="S124" s="156">
        <f t="shared" si="2"/>
        <v>8.155048077</v>
      </c>
      <c r="T124" s="155">
        <f t="shared" si="133"/>
        <v>0.5430172069</v>
      </c>
      <c r="U124" s="76"/>
      <c r="V124" s="77"/>
      <c r="W124" s="2"/>
      <c r="X124" s="2"/>
    </row>
    <row r="125" collapsed="1">
      <c r="A125" s="78" t="s">
        <v>85</v>
      </c>
      <c r="B125" s="79"/>
      <c r="C125" s="79"/>
      <c r="D125" s="79"/>
      <c r="E125" s="80"/>
      <c r="F125" s="81">
        <f t="shared" ref="F125:H125" si="134">SUM(F120:F124)</f>
        <v>3778.87</v>
      </c>
      <c r="G125" s="256">
        <f t="shared" si="134"/>
        <v>152</v>
      </c>
      <c r="H125" s="256">
        <f t="shared" si="134"/>
        <v>132</v>
      </c>
      <c r="I125" s="257">
        <f t="shared" si="129"/>
        <v>1.151515152</v>
      </c>
      <c r="J125" s="84">
        <f>F125/G125</f>
        <v>24.86098684</v>
      </c>
      <c r="K125" s="84">
        <f>J125/I125</f>
        <v>21.58980436</v>
      </c>
      <c r="L125" s="85">
        <f>SUM(L120:L124)</f>
        <v>1627</v>
      </c>
      <c r="M125" s="86">
        <f t="shared" si="132"/>
        <v>0.0934234788</v>
      </c>
      <c r="N125" s="81">
        <f t="shared" ref="N125:P125" si="135">SUM(N120:N124)</f>
        <v>740.948</v>
      </c>
      <c r="O125" s="81">
        <f t="shared" si="135"/>
        <v>2112.12</v>
      </c>
      <c r="P125" s="256">
        <f t="shared" si="135"/>
        <v>72</v>
      </c>
      <c r="Q125" s="258">
        <f>sum(Q120:Q124)</f>
        <v>149208</v>
      </c>
      <c r="R125" s="86">
        <f t="shared" si="1"/>
        <v>0.3508077193</v>
      </c>
      <c r="S125" s="259">
        <f t="shared" si="2"/>
        <v>2.850564412</v>
      </c>
      <c r="T125" s="89">
        <f t="shared" si="133"/>
        <v>0.558928992</v>
      </c>
      <c r="U125" s="80" t="str">
        <f>iferror((F125-#REF!)/F125,)</f>
        <v/>
      </c>
      <c r="V125" s="90" t="str">
        <f>iferror((H125-#REF!)/H125,)</f>
        <v/>
      </c>
      <c r="W125" s="2"/>
      <c r="X125" s="2"/>
    </row>
    <row r="126" hidden="1" outlineLevel="1">
      <c r="A126" s="56" t="str">
        <f>iferror(if(B126&gt;0,month(B126)&amp;"-"&amp;year(B126),B126),)</f>
        <v>5-2025</v>
      </c>
      <c r="B126" s="227">
        <v>45781.0</v>
      </c>
      <c r="C126" s="144"/>
      <c r="D126" s="228" t="s">
        <v>60</v>
      </c>
      <c r="E126" s="58"/>
      <c r="F126" s="146"/>
      <c r="G126" s="147"/>
      <c r="H126" s="147"/>
      <c r="I126" s="148"/>
      <c r="J126" s="149"/>
      <c r="K126" s="149"/>
      <c r="L126" s="150"/>
      <c r="M126" s="151"/>
      <c r="N126" s="229">
        <v>610.71</v>
      </c>
      <c r="O126" s="229">
        <v>1875.54</v>
      </c>
      <c r="P126" s="230">
        <v>68.0</v>
      </c>
      <c r="Q126" s="231">
        <v>125659.0</v>
      </c>
      <c r="R126" s="155">
        <f t="shared" si="1"/>
        <v>0.325618222</v>
      </c>
      <c r="S126" s="156">
        <f t="shared" si="2"/>
        <v>3.071081201</v>
      </c>
      <c r="T126" s="155" t="str">
        <f t="shared" si="133"/>
        <v>#DIV/0!</v>
      </c>
      <c r="U126" s="76"/>
      <c r="V126" s="77"/>
      <c r="W126" s="2"/>
      <c r="X126" s="2"/>
    </row>
    <row r="127" hidden="1" outlineLevel="1">
      <c r="A127" s="157"/>
      <c r="B127" s="158"/>
      <c r="C127" s="232" t="s">
        <v>12</v>
      </c>
      <c r="D127" s="232" t="s">
        <v>13</v>
      </c>
      <c r="E127" s="58"/>
      <c r="F127" s="233">
        <v>643.5</v>
      </c>
      <c r="G127" s="234">
        <v>33.0</v>
      </c>
      <c r="H127" s="234">
        <v>29.0</v>
      </c>
      <c r="I127" s="71">
        <f t="shared" ref="I127:I131" si="136">G127/H127</f>
        <v>1.137931034</v>
      </c>
      <c r="J127" s="69">
        <f t="shared" ref="J127:J130" si="137">F127/H127</f>
        <v>22.18965517</v>
      </c>
      <c r="K127" s="69">
        <f t="shared" ref="K127:K130" si="138">F127/G127</f>
        <v>19.5</v>
      </c>
      <c r="L127" s="236">
        <v>416.0</v>
      </c>
      <c r="M127" s="73">
        <f t="shared" ref="M127:M131" si="139">G127/L127</f>
        <v>0.07932692308</v>
      </c>
      <c r="N127" s="237">
        <v>31.32</v>
      </c>
      <c r="O127" s="237">
        <v>19.5</v>
      </c>
      <c r="P127" s="238">
        <v>1.0</v>
      </c>
      <c r="Q127" s="239">
        <v>5463.0</v>
      </c>
      <c r="R127" s="155">
        <f t="shared" si="1"/>
        <v>1.606153846</v>
      </c>
      <c r="S127" s="156">
        <f t="shared" si="2"/>
        <v>0.622605364</v>
      </c>
      <c r="T127" s="155" t="str">
        <f>#REF!/#REF!</f>
        <v>#REF!</v>
      </c>
      <c r="U127" s="76"/>
      <c r="V127" s="77"/>
      <c r="W127" s="2"/>
      <c r="X127" s="2"/>
    </row>
    <row r="128" hidden="1" outlineLevel="1">
      <c r="A128" s="157" t="str">
        <f>iferror(if(D128&gt;0,month(D128)&amp;"-"&amp;year(D128),D128),)</f>
        <v/>
      </c>
      <c r="B128" s="158"/>
      <c r="C128" s="240" t="s">
        <v>61</v>
      </c>
      <c r="D128" s="240" t="s">
        <v>62</v>
      </c>
      <c r="E128" s="68"/>
      <c r="F128" s="235">
        <v>2725.99</v>
      </c>
      <c r="G128" s="241">
        <v>102.0</v>
      </c>
      <c r="H128" s="241">
        <v>90.0</v>
      </c>
      <c r="I128" s="71">
        <f t="shared" si="136"/>
        <v>1.133333333</v>
      </c>
      <c r="J128" s="69">
        <f t="shared" si="137"/>
        <v>30.28877778</v>
      </c>
      <c r="K128" s="69">
        <f t="shared" si="138"/>
        <v>26.72539216</v>
      </c>
      <c r="L128" s="236">
        <v>1043.0</v>
      </c>
      <c r="M128" s="73">
        <f t="shared" si="139"/>
        <v>0.09779482263</v>
      </c>
      <c r="N128" s="242">
        <v>488.07</v>
      </c>
      <c r="O128" s="242">
        <v>1504.48</v>
      </c>
      <c r="P128" s="243">
        <v>54.0</v>
      </c>
      <c r="Q128" s="244">
        <v>100641.0</v>
      </c>
      <c r="R128" s="155">
        <f t="shared" si="1"/>
        <v>0.3244110922</v>
      </c>
      <c r="S128" s="156">
        <f t="shared" si="2"/>
        <v>3.082508657</v>
      </c>
      <c r="T128" s="155">
        <f t="shared" ref="T128:T132" si="140">O128/F128</f>
        <v>0.5519022447</v>
      </c>
      <c r="U128" s="76"/>
      <c r="V128" s="77"/>
      <c r="W128" s="2"/>
      <c r="X128" s="2"/>
    </row>
    <row r="129" hidden="1" outlineLevel="1">
      <c r="A129" s="56"/>
      <c r="B129" s="227"/>
      <c r="C129" s="245" t="s">
        <v>14</v>
      </c>
      <c r="D129" s="245" t="s">
        <v>15</v>
      </c>
      <c r="E129" s="68"/>
      <c r="F129" s="235">
        <v>425.0</v>
      </c>
      <c r="G129" s="241">
        <v>20.0</v>
      </c>
      <c r="H129" s="241">
        <v>18.0</v>
      </c>
      <c r="I129" s="71">
        <f t="shared" si="136"/>
        <v>1.111111111</v>
      </c>
      <c r="J129" s="69">
        <f t="shared" si="137"/>
        <v>23.61111111</v>
      </c>
      <c r="K129" s="69">
        <f t="shared" si="138"/>
        <v>21.25</v>
      </c>
      <c r="L129" s="236">
        <v>426.0</v>
      </c>
      <c r="M129" s="73">
        <f t="shared" si="139"/>
        <v>0.04694835681</v>
      </c>
      <c r="N129" s="246">
        <v>28.61</v>
      </c>
      <c r="O129" s="246">
        <v>0.0</v>
      </c>
      <c r="P129" s="247">
        <v>0.0</v>
      </c>
      <c r="Q129" s="248">
        <v>5154.0</v>
      </c>
      <c r="R129" s="155" t="str">
        <f t="shared" si="1"/>
        <v>#DIV/0!</v>
      </c>
      <c r="S129" s="156">
        <f t="shared" si="2"/>
        <v>0</v>
      </c>
      <c r="T129" s="155">
        <f t="shared" si="140"/>
        <v>0</v>
      </c>
      <c r="U129" s="76"/>
      <c r="V129" s="77"/>
      <c r="W129" s="2"/>
      <c r="X129" s="2"/>
    </row>
    <row r="130" hidden="1" outlineLevel="1">
      <c r="A130" s="56" t="str">
        <f>iferror(if(B130&gt;0,month(B130)&amp;"-"&amp;year(B130),B130),)</f>
        <v>5-2025</v>
      </c>
      <c r="B130" s="227">
        <v>45787.0</v>
      </c>
      <c r="C130" s="249" t="s">
        <v>63</v>
      </c>
      <c r="D130" s="249" t="s">
        <v>64</v>
      </c>
      <c r="E130" s="68"/>
      <c r="F130" s="235">
        <v>824.67</v>
      </c>
      <c r="G130" s="241">
        <v>33.0</v>
      </c>
      <c r="H130" s="241">
        <v>24.0</v>
      </c>
      <c r="I130" s="71">
        <f t="shared" si="136"/>
        <v>1.375</v>
      </c>
      <c r="J130" s="69">
        <f t="shared" si="137"/>
        <v>34.36125</v>
      </c>
      <c r="K130" s="69">
        <f t="shared" si="138"/>
        <v>24.99</v>
      </c>
      <c r="L130" s="236">
        <v>468.0</v>
      </c>
      <c r="M130" s="73">
        <f t="shared" si="139"/>
        <v>0.07051282051</v>
      </c>
      <c r="N130" s="250">
        <v>96.46</v>
      </c>
      <c r="O130" s="250">
        <v>187.2</v>
      </c>
      <c r="P130" s="251">
        <v>7.0</v>
      </c>
      <c r="Q130" s="252">
        <v>25767.0</v>
      </c>
      <c r="R130" s="155">
        <f t="shared" si="1"/>
        <v>0.5152777778</v>
      </c>
      <c r="S130" s="156">
        <f t="shared" si="2"/>
        <v>1.940700809</v>
      </c>
      <c r="T130" s="155">
        <f t="shared" si="140"/>
        <v>0.2269998909</v>
      </c>
      <c r="U130" s="76"/>
      <c r="V130" s="77"/>
      <c r="W130" s="2"/>
      <c r="X130" s="2"/>
    </row>
    <row r="131" collapsed="1">
      <c r="A131" s="78" t="s">
        <v>86</v>
      </c>
      <c r="B131" s="79"/>
      <c r="C131" s="79"/>
      <c r="D131" s="79"/>
      <c r="E131" s="80"/>
      <c r="F131" s="81">
        <f t="shared" ref="F131:H131" si="141">SUM(F126:F130)</f>
        <v>4619.16</v>
      </c>
      <c r="G131" s="256">
        <f t="shared" si="141"/>
        <v>188</v>
      </c>
      <c r="H131" s="256">
        <f t="shared" si="141"/>
        <v>161</v>
      </c>
      <c r="I131" s="257">
        <f t="shared" si="136"/>
        <v>1.167701863</v>
      </c>
      <c r="J131" s="84">
        <f>F131/G131</f>
        <v>24.57</v>
      </c>
      <c r="K131" s="84">
        <f>J131/I131</f>
        <v>21.04132979</v>
      </c>
      <c r="L131" s="85">
        <f>SUM(L126:L130)</f>
        <v>2353</v>
      </c>
      <c r="M131" s="86">
        <f t="shared" si="139"/>
        <v>0.07989800255</v>
      </c>
      <c r="N131" s="81">
        <f t="shared" ref="N131:P131" si="142">SUM(N126:N130)</f>
        <v>1255.17</v>
      </c>
      <c r="O131" s="81">
        <f t="shared" si="142"/>
        <v>3586.72</v>
      </c>
      <c r="P131" s="256">
        <f t="shared" si="142"/>
        <v>130</v>
      </c>
      <c r="Q131" s="258">
        <f>sum(Q126:Q130)</f>
        <v>262684</v>
      </c>
      <c r="R131" s="86">
        <f t="shared" si="1"/>
        <v>0.3499492573</v>
      </c>
      <c r="S131" s="259">
        <f t="shared" si="2"/>
        <v>2.857557144</v>
      </c>
      <c r="T131" s="89">
        <f t="shared" si="140"/>
        <v>0.7764874999</v>
      </c>
      <c r="U131" s="80" t="str">
        <f>iferror((F131-#REF!)/F131,)</f>
        <v/>
      </c>
      <c r="V131" s="90" t="str">
        <f>iferror((H131-#REF!)/H131,)</f>
        <v/>
      </c>
      <c r="W131" s="2"/>
      <c r="X131" s="2"/>
    </row>
    <row r="132" hidden="1" outlineLevel="1">
      <c r="A132" s="56" t="str">
        <f>iferror(if(B132&gt;0,month(B132)&amp;"-"&amp;year(B132),B132),)</f>
        <v>5-2025</v>
      </c>
      <c r="B132" s="143">
        <v>45788.0</v>
      </c>
      <c r="C132" s="144"/>
      <c r="D132" s="145" t="s">
        <v>60</v>
      </c>
      <c r="E132" s="58"/>
      <c r="F132" s="146"/>
      <c r="G132" s="147"/>
      <c r="H132" s="147"/>
      <c r="I132" s="148"/>
      <c r="J132" s="149"/>
      <c r="K132" s="149"/>
      <c r="L132" s="150"/>
      <c r="M132" s="151"/>
      <c r="N132" s="152">
        <v>574.73</v>
      </c>
      <c r="O132" s="152">
        <v>1631.87</v>
      </c>
      <c r="P132" s="153">
        <v>60.0</v>
      </c>
      <c r="Q132" s="154">
        <v>116070.0</v>
      </c>
      <c r="R132" s="155">
        <f t="shared" si="1"/>
        <v>0.3521910446</v>
      </c>
      <c r="S132" s="156">
        <f t="shared" si="2"/>
        <v>2.839368051</v>
      </c>
      <c r="T132" s="155" t="str">
        <f t="shared" si="140"/>
        <v>#DIV/0!</v>
      </c>
      <c r="U132" s="76"/>
      <c r="V132" s="77"/>
      <c r="W132" s="2"/>
      <c r="X132" s="2"/>
      <c r="Y132" s="2"/>
      <c r="Z132" s="2"/>
    </row>
    <row r="133" hidden="1" outlineLevel="1">
      <c r="A133" s="157"/>
      <c r="B133" s="158"/>
      <c r="C133" s="159" t="s">
        <v>12</v>
      </c>
      <c r="D133" s="160" t="s">
        <v>13</v>
      </c>
      <c r="E133" s="58"/>
      <c r="F133" s="161">
        <v>546.0</v>
      </c>
      <c r="G133" s="162">
        <v>28.0</v>
      </c>
      <c r="H133" s="162">
        <v>24.0</v>
      </c>
      <c r="I133" s="163">
        <f t="shared" ref="I133:I137" si="143">G133/H133</f>
        <v>1.166666667</v>
      </c>
      <c r="J133" s="164">
        <f t="shared" ref="J133:J136" si="144">F133/H133</f>
        <v>22.75</v>
      </c>
      <c r="K133" s="164">
        <f t="shared" ref="K133:K136" si="145">F133/G133</f>
        <v>19.5</v>
      </c>
      <c r="L133" s="165">
        <v>357.0</v>
      </c>
      <c r="M133" s="155">
        <f t="shared" ref="M133:M137" si="146">G133/L133</f>
        <v>0.07843137255</v>
      </c>
      <c r="N133" s="166">
        <v>19.2</v>
      </c>
      <c r="O133" s="166">
        <v>39.0</v>
      </c>
      <c r="P133" s="167">
        <v>2.0</v>
      </c>
      <c r="Q133" s="168">
        <v>4903.0</v>
      </c>
      <c r="R133" s="155">
        <f t="shared" si="1"/>
        <v>0.4923076923</v>
      </c>
      <c r="S133" s="156">
        <f t="shared" si="2"/>
        <v>2.03125</v>
      </c>
      <c r="T133" s="155" t="str">
        <f>#REF!/#REF!</f>
        <v>#REF!</v>
      </c>
      <c r="U133" s="76"/>
      <c r="V133" s="77"/>
      <c r="W133" s="2"/>
      <c r="X133" s="2"/>
      <c r="Y133" s="2"/>
      <c r="Z133" s="2"/>
    </row>
    <row r="134" hidden="1" outlineLevel="1">
      <c r="A134" s="157" t="str">
        <f>iferror(if(D134&gt;0,month(D134)&amp;"-"&amp;year(D134),D134),)</f>
        <v/>
      </c>
      <c r="B134" s="158"/>
      <c r="C134" s="169" t="s">
        <v>61</v>
      </c>
      <c r="D134" s="170" t="s">
        <v>62</v>
      </c>
      <c r="E134" s="68"/>
      <c r="F134" s="164">
        <v>2564.05</v>
      </c>
      <c r="G134" s="171">
        <v>95.0</v>
      </c>
      <c r="H134" s="171">
        <v>81.0</v>
      </c>
      <c r="I134" s="163">
        <f t="shared" si="143"/>
        <v>1.172839506</v>
      </c>
      <c r="J134" s="164">
        <f t="shared" si="144"/>
        <v>31.65493827</v>
      </c>
      <c r="K134" s="164">
        <f t="shared" si="145"/>
        <v>26.99</v>
      </c>
      <c r="L134" s="165">
        <v>921.0</v>
      </c>
      <c r="M134" s="155">
        <f t="shared" si="146"/>
        <v>0.1031487514</v>
      </c>
      <c r="N134" s="172">
        <v>401.08</v>
      </c>
      <c r="O134" s="172">
        <v>1338.02</v>
      </c>
      <c r="P134" s="173">
        <v>42.0</v>
      </c>
      <c r="Q134" s="174">
        <v>65073.0</v>
      </c>
      <c r="R134" s="155">
        <f t="shared" si="1"/>
        <v>0.2997563564</v>
      </c>
      <c r="S134" s="156">
        <f t="shared" si="2"/>
        <v>3.336042685</v>
      </c>
      <c r="T134" s="155">
        <f t="shared" ref="T134:T138" si="147">O134/F134</f>
        <v>0.5218384977</v>
      </c>
      <c r="U134" s="76"/>
      <c r="V134" s="77"/>
      <c r="W134" s="2"/>
      <c r="X134" s="2"/>
      <c r="Y134" s="2"/>
      <c r="Z134" s="2"/>
    </row>
    <row r="135" hidden="1" outlineLevel="1">
      <c r="A135" s="175"/>
      <c r="B135" s="158"/>
      <c r="C135" s="176" t="s">
        <v>14</v>
      </c>
      <c r="D135" s="177" t="s">
        <v>15</v>
      </c>
      <c r="E135" s="68"/>
      <c r="F135" s="164">
        <v>573.75</v>
      </c>
      <c r="G135" s="171">
        <v>27.0</v>
      </c>
      <c r="H135" s="171">
        <v>25.0</v>
      </c>
      <c r="I135" s="163">
        <f t="shared" si="143"/>
        <v>1.08</v>
      </c>
      <c r="J135" s="164">
        <f t="shared" si="144"/>
        <v>22.95</v>
      </c>
      <c r="K135" s="164">
        <f t="shared" si="145"/>
        <v>21.25</v>
      </c>
      <c r="L135" s="165">
        <v>359.0</v>
      </c>
      <c r="M135" s="155">
        <f t="shared" si="146"/>
        <v>0.07520891365</v>
      </c>
      <c r="N135" s="178">
        <v>19.02</v>
      </c>
      <c r="O135" s="178">
        <v>106.25</v>
      </c>
      <c r="P135" s="179">
        <v>5.0</v>
      </c>
      <c r="Q135" s="180">
        <v>4270.0</v>
      </c>
      <c r="R135" s="155">
        <f t="shared" si="1"/>
        <v>0.1790117647</v>
      </c>
      <c r="S135" s="156">
        <f t="shared" si="2"/>
        <v>5.586225026</v>
      </c>
      <c r="T135" s="155">
        <f t="shared" si="147"/>
        <v>0.1851851852</v>
      </c>
      <c r="U135" s="76"/>
      <c r="V135" s="77"/>
      <c r="W135" s="2"/>
      <c r="X135" s="2"/>
      <c r="Y135" s="2"/>
      <c r="Z135" s="2"/>
    </row>
    <row r="136" hidden="1" outlineLevel="1">
      <c r="A136" s="56" t="str">
        <f>iferror(if(B136&gt;0,month(B136)&amp;"-"&amp;year(B136),B136),)</f>
        <v>5-2025</v>
      </c>
      <c r="B136" s="143">
        <v>45794.0</v>
      </c>
      <c r="C136" s="181" t="s">
        <v>63</v>
      </c>
      <c r="D136" s="182" t="s">
        <v>64</v>
      </c>
      <c r="E136" s="68"/>
      <c r="F136" s="164">
        <v>749.7</v>
      </c>
      <c r="G136" s="171">
        <v>30.0</v>
      </c>
      <c r="H136" s="171">
        <v>21.0</v>
      </c>
      <c r="I136" s="163">
        <f t="shared" si="143"/>
        <v>1.428571429</v>
      </c>
      <c r="J136" s="164">
        <f t="shared" si="144"/>
        <v>35.7</v>
      </c>
      <c r="K136" s="164">
        <f t="shared" si="145"/>
        <v>24.99</v>
      </c>
      <c r="L136" s="165">
        <v>482.0</v>
      </c>
      <c r="M136" s="155">
        <f t="shared" si="146"/>
        <v>0.0622406639</v>
      </c>
      <c r="N136" s="183">
        <v>92.55</v>
      </c>
      <c r="O136" s="183">
        <v>430.83</v>
      </c>
      <c r="P136" s="184">
        <v>12.0</v>
      </c>
      <c r="Q136" s="185">
        <v>23389.0</v>
      </c>
      <c r="R136" s="155">
        <f t="shared" si="1"/>
        <v>0.2148179096</v>
      </c>
      <c r="S136" s="156">
        <f t="shared" si="2"/>
        <v>4.655105348</v>
      </c>
      <c r="T136" s="155">
        <f t="shared" si="147"/>
        <v>0.5746698679</v>
      </c>
      <c r="U136" s="76"/>
      <c r="V136" s="77"/>
      <c r="W136" s="2"/>
      <c r="X136" s="2"/>
      <c r="Y136" s="2"/>
      <c r="Z136" s="2"/>
    </row>
    <row r="137" collapsed="1">
      <c r="A137" s="78" t="s">
        <v>87</v>
      </c>
      <c r="B137" s="79"/>
      <c r="C137" s="79"/>
      <c r="D137" s="79"/>
      <c r="E137" s="80"/>
      <c r="F137" s="190">
        <f t="shared" ref="F137:H137" si="148">SUM(F132:F136)</f>
        <v>4433.5</v>
      </c>
      <c r="G137" s="191">
        <f t="shared" si="148"/>
        <v>180</v>
      </c>
      <c r="H137" s="191">
        <f t="shared" si="148"/>
        <v>151</v>
      </c>
      <c r="I137" s="192">
        <f t="shared" si="143"/>
        <v>1.19205298</v>
      </c>
      <c r="J137" s="193">
        <f>F137/G137</f>
        <v>24.63055556</v>
      </c>
      <c r="K137" s="193">
        <f>J137/I137</f>
        <v>20.66229938</v>
      </c>
      <c r="L137" s="194">
        <f>SUM(L132:L136)</f>
        <v>2119</v>
      </c>
      <c r="M137" s="195">
        <f t="shared" si="146"/>
        <v>0.08494572912</v>
      </c>
      <c r="N137" s="190">
        <f t="shared" ref="N137:P137" si="149">SUM(N132:N136)</f>
        <v>1106.58</v>
      </c>
      <c r="O137" s="190">
        <f t="shared" si="149"/>
        <v>3545.97</v>
      </c>
      <c r="P137" s="196">
        <f t="shared" si="149"/>
        <v>121</v>
      </c>
      <c r="Q137" s="197">
        <f>sum(Q132:Q136)</f>
        <v>213705</v>
      </c>
      <c r="R137" s="195">
        <f t="shared" si="1"/>
        <v>0.312066938</v>
      </c>
      <c r="S137" s="198">
        <f t="shared" si="2"/>
        <v>3.204440709</v>
      </c>
      <c r="T137" s="199">
        <f t="shared" si="147"/>
        <v>0.799812789</v>
      </c>
      <c r="U137" s="80" t="str">
        <f>iferror((F137-#REF!)/F137,)</f>
        <v/>
      </c>
      <c r="V137" s="90" t="str">
        <f>iferror((H137-#REF!)/H137,)</f>
        <v/>
      </c>
      <c r="W137" s="2"/>
      <c r="X137" s="2"/>
      <c r="Y137" s="2"/>
      <c r="Z137" s="2"/>
    </row>
    <row r="138" hidden="1" outlineLevel="1">
      <c r="A138" s="56" t="str">
        <f>iferror(if(B138&gt;0,month(B138)&amp;"-"&amp;year(B138),B138),)</f>
        <v>5-2025</v>
      </c>
      <c r="B138" s="143">
        <v>45795.0</v>
      </c>
      <c r="C138" s="144"/>
      <c r="D138" s="145" t="s">
        <v>60</v>
      </c>
      <c r="E138" s="58"/>
      <c r="F138" s="146"/>
      <c r="G138" s="147"/>
      <c r="H138" s="147"/>
      <c r="I138" s="148"/>
      <c r="J138" s="149"/>
      <c r="K138" s="149"/>
      <c r="L138" s="150"/>
      <c r="M138" s="151"/>
      <c r="N138" s="152">
        <v>645.85</v>
      </c>
      <c r="O138" s="152">
        <v>1180.23</v>
      </c>
      <c r="P138" s="153">
        <v>41.0</v>
      </c>
      <c r="Q138" s="154">
        <v>116963.0</v>
      </c>
      <c r="R138" s="155">
        <f t="shared" si="1"/>
        <v>0.5472238462</v>
      </c>
      <c r="S138" s="156">
        <f t="shared" si="2"/>
        <v>1.827405744</v>
      </c>
      <c r="T138" s="155" t="str">
        <f t="shared" si="147"/>
        <v>#DIV/0!</v>
      </c>
      <c r="U138" s="76"/>
      <c r="V138" s="77"/>
      <c r="W138" s="2"/>
      <c r="X138" s="2"/>
      <c r="Y138" s="2"/>
      <c r="Z138" s="2"/>
    </row>
    <row r="139" hidden="1" outlineLevel="1">
      <c r="A139" s="157"/>
      <c r="B139" s="158"/>
      <c r="C139" s="159" t="s">
        <v>12</v>
      </c>
      <c r="D139" s="160" t="s">
        <v>13</v>
      </c>
      <c r="E139" s="58"/>
      <c r="F139" s="161">
        <v>507.0</v>
      </c>
      <c r="G139" s="162">
        <v>26.0</v>
      </c>
      <c r="H139" s="162">
        <v>23.0</v>
      </c>
      <c r="I139" s="163">
        <f t="shared" ref="I139:I143" si="150">G139/H139</f>
        <v>1.130434783</v>
      </c>
      <c r="J139" s="164">
        <f t="shared" ref="J139:J142" si="151">F139/H139</f>
        <v>22.04347826</v>
      </c>
      <c r="K139" s="164">
        <f t="shared" ref="K139:K142" si="152">F139/G139</f>
        <v>19.5</v>
      </c>
      <c r="L139" s="165">
        <v>331.0</v>
      </c>
      <c r="M139" s="155">
        <f t="shared" ref="M139:M143" si="153">G139/L139</f>
        <v>0.07854984894</v>
      </c>
      <c r="N139" s="166">
        <v>14.61</v>
      </c>
      <c r="O139" s="166">
        <v>39.0</v>
      </c>
      <c r="P139" s="167">
        <v>2.0</v>
      </c>
      <c r="Q139" s="168">
        <v>4773.0</v>
      </c>
      <c r="R139" s="155">
        <f t="shared" si="1"/>
        <v>0.3746153846</v>
      </c>
      <c r="S139" s="156">
        <f t="shared" si="2"/>
        <v>2.669404517</v>
      </c>
      <c r="T139" s="155" t="str">
        <f>#REF!/#REF!</f>
        <v>#REF!</v>
      </c>
      <c r="U139" s="76"/>
      <c r="V139" s="77"/>
      <c r="W139" s="2"/>
      <c r="X139" s="2"/>
      <c r="Y139" s="2"/>
      <c r="Z139" s="2"/>
    </row>
    <row r="140" hidden="1" outlineLevel="1">
      <c r="A140" s="157" t="str">
        <f>iferror(if(D140&gt;0,month(D140)&amp;"-"&amp;year(D140),D140),)</f>
        <v/>
      </c>
      <c r="B140" s="158"/>
      <c r="C140" s="169" t="s">
        <v>61</v>
      </c>
      <c r="D140" s="170" t="s">
        <v>62</v>
      </c>
      <c r="E140" s="68"/>
      <c r="F140" s="164">
        <v>1565.42</v>
      </c>
      <c r="G140" s="171">
        <v>59.0</v>
      </c>
      <c r="H140" s="171">
        <v>56.0</v>
      </c>
      <c r="I140" s="163">
        <f t="shared" si="150"/>
        <v>1.053571429</v>
      </c>
      <c r="J140" s="164">
        <f t="shared" si="151"/>
        <v>27.95392857</v>
      </c>
      <c r="K140" s="164">
        <f t="shared" si="152"/>
        <v>26.53254237</v>
      </c>
      <c r="L140" s="165">
        <v>789.0</v>
      </c>
      <c r="M140" s="155">
        <f t="shared" si="153"/>
        <v>0.07477820025</v>
      </c>
      <c r="N140" s="172">
        <v>327.63</v>
      </c>
      <c r="O140" s="172">
        <v>657.77</v>
      </c>
      <c r="P140" s="173">
        <v>22.0</v>
      </c>
      <c r="Q140" s="174">
        <v>55157.0</v>
      </c>
      <c r="R140" s="155">
        <f t="shared" si="1"/>
        <v>0.4980920383</v>
      </c>
      <c r="S140" s="156">
        <f t="shared" si="2"/>
        <v>2.007661081</v>
      </c>
      <c r="T140" s="155">
        <f t="shared" ref="T140:T144" si="154">O140/F140</f>
        <v>0.4201875535</v>
      </c>
      <c r="U140" s="76"/>
      <c r="V140" s="77"/>
      <c r="W140" s="2"/>
      <c r="X140" s="2"/>
      <c r="Y140" s="2"/>
      <c r="Z140" s="2"/>
    </row>
    <row r="141" hidden="1" outlineLevel="1">
      <c r="A141" s="175"/>
      <c r="B141" s="158"/>
      <c r="C141" s="176" t="s">
        <v>14</v>
      </c>
      <c r="D141" s="177" t="s">
        <v>15</v>
      </c>
      <c r="E141" s="68"/>
      <c r="F141" s="164">
        <v>531.25</v>
      </c>
      <c r="G141" s="171">
        <v>25.0</v>
      </c>
      <c r="H141" s="171">
        <v>22.0</v>
      </c>
      <c r="I141" s="163">
        <f t="shared" si="150"/>
        <v>1.136363636</v>
      </c>
      <c r="J141" s="164">
        <f t="shared" si="151"/>
        <v>24.14772727</v>
      </c>
      <c r="K141" s="164">
        <f t="shared" si="152"/>
        <v>21.25</v>
      </c>
      <c r="L141" s="165">
        <v>320.0</v>
      </c>
      <c r="M141" s="155">
        <f t="shared" si="153"/>
        <v>0.078125</v>
      </c>
      <c r="N141" s="178">
        <v>26.55</v>
      </c>
      <c r="O141" s="178">
        <v>160.23</v>
      </c>
      <c r="P141" s="179">
        <v>6.0</v>
      </c>
      <c r="Q141" s="180">
        <v>4550.0</v>
      </c>
      <c r="R141" s="155">
        <f t="shared" si="1"/>
        <v>0.1656993072</v>
      </c>
      <c r="S141" s="156">
        <f t="shared" si="2"/>
        <v>6.035028249</v>
      </c>
      <c r="T141" s="155">
        <f t="shared" si="154"/>
        <v>0.3016094118</v>
      </c>
      <c r="U141" s="76"/>
      <c r="V141" s="77"/>
      <c r="W141" s="2"/>
      <c r="X141" s="2"/>
      <c r="Y141" s="2"/>
      <c r="Z141" s="2"/>
    </row>
    <row r="142" hidden="1" outlineLevel="1">
      <c r="A142" s="56" t="str">
        <f>iferror(if(B142&gt;0,month(B142)&amp;"-"&amp;year(B142),B142),)</f>
        <v>5-2025</v>
      </c>
      <c r="B142" s="143">
        <v>45801.0</v>
      </c>
      <c r="C142" s="181" t="s">
        <v>63</v>
      </c>
      <c r="D142" s="182" t="s">
        <v>64</v>
      </c>
      <c r="E142" s="68"/>
      <c r="F142" s="164">
        <v>949.62</v>
      </c>
      <c r="G142" s="171">
        <v>38.0</v>
      </c>
      <c r="H142" s="171">
        <v>27.0</v>
      </c>
      <c r="I142" s="163">
        <f t="shared" si="150"/>
        <v>1.407407407</v>
      </c>
      <c r="J142" s="164">
        <f t="shared" si="151"/>
        <v>35.17111111</v>
      </c>
      <c r="K142" s="164">
        <f t="shared" si="152"/>
        <v>24.99</v>
      </c>
      <c r="L142" s="165">
        <v>482.0</v>
      </c>
      <c r="M142" s="155">
        <f t="shared" si="153"/>
        <v>0.07883817427</v>
      </c>
      <c r="N142" s="183">
        <v>26.84</v>
      </c>
      <c r="O142" s="183">
        <v>201.92</v>
      </c>
      <c r="P142" s="184">
        <v>8.0</v>
      </c>
      <c r="Q142" s="185">
        <v>26679.0</v>
      </c>
      <c r="R142" s="155">
        <f t="shared" si="1"/>
        <v>0.1329239303</v>
      </c>
      <c r="S142" s="156">
        <f t="shared" si="2"/>
        <v>7.523099851</v>
      </c>
      <c r="T142" s="155">
        <f t="shared" si="154"/>
        <v>0.2126324214</v>
      </c>
      <c r="U142" s="76"/>
      <c r="V142" s="77"/>
      <c r="W142" s="2"/>
      <c r="X142" s="2"/>
      <c r="Y142" s="2"/>
      <c r="Z142" s="2"/>
    </row>
    <row r="143" collapsed="1">
      <c r="A143" s="78" t="s">
        <v>88</v>
      </c>
      <c r="B143" s="79"/>
      <c r="C143" s="79"/>
      <c r="D143" s="79"/>
      <c r="E143" s="80"/>
      <c r="F143" s="190">
        <f t="shared" ref="F143:H143" si="155">SUM(F138:F142)</f>
        <v>3553.29</v>
      </c>
      <c r="G143" s="191">
        <f t="shared" si="155"/>
        <v>148</v>
      </c>
      <c r="H143" s="191">
        <f t="shared" si="155"/>
        <v>128</v>
      </c>
      <c r="I143" s="192">
        <f t="shared" si="150"/>
        <v>1.15625</v>
      </c>
      <c r="J143" s="193">
        <f>F143/G143</f>
        <v>24.00871622</v>
      </c>
      <c r="K143" s="193">
        <f>J143/I143</f>
        <v>20.76429511</v>
      </c>
      <c r="L143" s="194">
        <f>SUM(L138:L142)</f>
        <v>1922</v>
      </c>
      <c r="M143" s="195">
        <f t="shared" si="153"/>
        <v>0.07700312175</v>
      </c>
      <c r="N143" s="190">
        <f t="shared" ref="N143:P143" si="156">SUM(N138:N142)</f>
        <v>1041.48</v>
      </c>
      <c r="O143" s="190">
        <f t="shared" si="156"/>
        <v>2239.15</v>
      </c>
      <c r="P143" s="196">
        <f t="shared" si="156"/>
        <v>79</v>
      </c>
      <c r="Q143" s="197">
        <f>sum(Q138:Q142)</f>
        <v>208122</v>
      </c>
      <c r="R143" s="195">
        <f t="shared" si="1"/>
        <v>0.4651229261</v>
      </c>
      <c r="S143" s="198">
        <f t="shared" si="2"/>
        <v>2.149969274</v>
      </c>
      <c r="T143" s="199">
        <f t="shared" si="154"/>
        <v>0.6301624691</v>
      </c>
      <c r="U143" s="80" t="str">
        <f>iferror((F143-#REF!)/F143,)</f>
        <v/>
      </c>
      <c r="V143" s="90" t="str">
        <f>iferror((H143-#REF!)/H143,)</f>
        <v/>
      </c>
      <c r="W143" s="2"/>
      <c r="X143" s="2"/>
      <c r="Y143" s="2"/>
      <c r="Z143" s="2"/>
    </row>
    <row r="144" hidden="1" outlineLevel="1">
      <c r="A144" s="56" t="str">
        <f>iferror(if(B144&gt;0,month(B144)&amp;"-"&amp;year(B144),B144),)</f>
        <v>5-2025</v>
      </c>
      <c r="B144" s="143">
        <v>45802.0</v>
      </c>
      <c r="C144" s="144"/>
      <c r="D144" s="145" t="s">
        <v>60</v>
      </c>
      <c r="E144" s="58"/>
      <c r="F144" s="146"/>
      <c r="G144" s="147"/>
      <c r="H144" s="147"/>
      <c r="I144" s="148"/>
      <c r="J144" s="149"/>
      <c r="K144" s="149"/>
      <c r="L144" s="150"/>
      <c r="M144" s="151"/>
      <c r="N144" s="152">
        <v>346.13</v>
      </c>
      <c r="O144" s="152">
        <v>949.09</v>
      </c>
      <c r="P144" s="153">
        <v>37.0</v>
      </c>
      <c r="Q144" s="154">
        <v>79377.0</v>
      </c>
      <c r="R144" s="155">
        <f t="shared" si="1"/>
        <v>0.3646967095</v>
      </c>
      <c r="S144" s="156">
        <f t="shared" si="2"/>
        <v>2.742004449</v>
      </c>
      <c r="T144" s="155" t="str">
        <f t="shared" si="154"/>
        <v>#DIV/0!</v>
      </c>
      <c r="U144" s="76"/>
      <c r="V144" s="77"/>
      <c r="W144" s="2"/>
      <c r="X144" s="2"/>
      <c r="Y144" s="2"/>
      <c r="Z144" s="2"/>
    </row>
    <row r="145" hidden="1" outlineLevel="1">
      <c r="A145" s="157"/>
      <c r="B145" s="158"/>
      <c r="C145" s="159" t="s">
        <v>12</v>
      </c>
      <c r="D145" s="160" t="s">
        <v>13</v>
      </c>
      <c r="E145" s="58"/>
      <c r="F145" s="161">
        <v>526.5</v>
      </c>
      <c r="G145" s="162">
        <v>27.0</v>
      </c>
      <c r="H145" s="162">
        <v>23.0</v>
      </c>
      <c r="I145" s="163">
        <f t="shared" ref="I145:I149" si="157">G145/H145</f>
        <v>1.173913043</v>
      </c>
      <c r="J145" s="164">
        <f t="shared" ref="J145:J148" si="158">F145/H145</f>
        <v>22.89130435</v>
      </c>
      <c r="K145" s="164">
        <f t="shared" ref="K145:K148" si="159">F145/G145</f>
        <v>19.5</v>
      </c>
      <c r="L145" s="165">
        <v>256.0</v>
      </c>
      <c r="M145" s="155">
        <f t="shared" ref="M145:M149" si="160">G145/L145</f>
        <v>0.10546875</v>
      </c>
      <c r="N145" s="166">
        <v>4.96</v>
      </c>
      <c r="O145" s="166">
        <v>26.99</v>
      </c>
      <c r="P145" s="167">
        <v>1.0</v>
      </c>
      <c r="Q145" s="168">
        <v>2568.0</v>
      </c>
      <c r="R145" s="155">
        <f t="shared" si="1"/>
        <v>0.1837717673</v>
      </c>
      <c r="S145" s="156">
        <f t="shared" si="2"/>
        <v>5.441532258</v>
      </c>
      <c r="T145" s="155" t="str">
        <f>#REF!/#REF!</f>
        <v>#REF!</v>
      </c>
      <c r="U145" s="76"/>
      <c r="V145" s="77"/>
      <c r="W145" s="2"/>
      <c r="X145" s="2"/>
      <c r="Y145" s="2"/>
      <c r="Z145" s="2"/>
    </row>
    <row r="146" hidden="1" outlineLevel="1">
      <c r="A146" s="157" t="str">
        <f>iferror(if(D146&gt;0,month(D146)&amp;"-"&amp;year(D146),D146),)</f>
        <v/>
      </c>
      <c r="B146" s="158"/>
      <c r="C146" s="169" t="s">
        <v>61</v>
      </c>
      <c r="D146" s="170" t="s">
        <v>62</v>
      </c>
      <c r="E146" s="68"/>
      <c r="F146" s="164">
        <v>944.65</v>
      </c>
      <c r="G146" s="171">
        <v>35.0</v>
      </c>
      <c r="H146" s="171">
        <v>31.0</v>
      </c>
      <c r="I146" s="163">
        <f t="shared" si="157"/>
        <v>1.129032258</v>
      </c>
      <c r="J146" s="164">
        <f t="shared" si="158"/>
        <v>30.47258065</v>
      </c>
      <c r="K146" s="164">
        <f t="shared" si="159"/>
        <v>26.99</v>
      </c>
      <c r="L146" s="165">
        <v>480.0</v>
      </c>
      <c r="M146" s="155">
        <f t="shared" si="160"/>
        <v>0.07291666667</v>
      </c>
      <c r="N146" s="172">
        <v>109.93</v>
      </c>
      <c r="O146" s="172">
        <v>264.16</v>
      </c>
      <c r="P146" s="173">
        <v>9.0</v>
      </c>
      <c r="Q146" s="174">
        <v>19552.0</v>
      </c>
      <c r="R146" s="155">
        <f t="shared" si="1"/>
        <v>0.4161493035</v>
      </c>
      <c r="S146" s="156">
        <f t="shared" si="2"/>
        <v>2.402983717</v>
      </c>
      <c r="T146" s="155">
        <f t="shared" ref="T146:T150" si="161">O146/F146</f>
        <v>0.2796379611</v>
      </c>
      <c r="U146" s="76"/>
      <c r="V146" s="77"/>
      <c r="W146" s="2"/>
      <c r="X146" s="2"/>
      <c r="Y146" s="2"/>
      <c r="Z146" s="2"/>
    </row>
    <row r="147" hidden="1" outlineLevel="1">
      <c r="A147" s="175"/>
      <c r="B147" s="158"/>
      <c r="C147" s="176" t="s">
        <v>14</v>
      </c>
      <c r="D147" s="177" t="s">
        <v>15</v>
      </c>
      <c r="E147" s="68"/>
      <c r="F147" s="164">
        <v>510.0</v>
      </c>
      <c r="G147" s="171">
        <v>24.0</v>
      </c>
      <c r="H147" s="171">
        <v>22.0</v>
      </c>
      <c r="I147" s="163">
        <f t="shared" si="157"/>
        <v>1.090909091</v>
      </c>
      <c r="J147" s="164">
        <f t="shared" si="158"/>
        <v>23.18181818</v>
      </c>
      <c r="K147" s="164">
        <f t="shared" si="159"/>
        <v>21.25</v>
      </c>
      <c r="L147" s="165">
        <v>224.0</v>
      </c>
      <c r="M147" s="155">
        <f t="shared" si="160"/>
        <v>0.1071428571</v>
      </c>
      <c r="N147" s="178">
        <v>15.77</v>
      </c>
      <c r="O147" s="178">
        <v>0.0</v>
      </c>
      <c r="P147" s="179">
        <v>0.0</v>
      </c>
      <c r="Q147" s="180">
        <v>5033.0</v>
      </c>
      <c r="R147" s="155" t="str">
        <f t="shared" si="1"/>
        <v>#DIV/0!</v>
      </c>
      <c r="S147" s="156">
        <f t="shared" si="2"/>
        <v>0</v>
      </c>
      <c r="T147" s="155">
        <f t="shared" si="161"/>
        <v>0</v>
      </c>
      <c r="U147" s="76"/>
      <c r="V147" s="77"/>
      <c r="W147" s="2"/>
      <c r="X147" s="2"/>
      <c r="Y147" s="2"/>
      <c r="Z147" s="2"/>
    </row>
    <row r="148" hidden="1" outlineLevel="1">
      <c r="A148" s="56" t="str">
        <f>iferror(if(B148&gt;0,month(B148)&amp;"-"&amp;year(B148),B148),)</f>
        <v>5-2025</v>
      </c>
      <c r="B148" s="143">
        <v>45808.0</v>
      </c>
      <c r="C148" s="181" t="s">
        <v>63</v>
      </c>
      <c r="D148" s="182" t="s">
        <v>64</v>
      </c>
      <c r="E148" s="68"/>
      <c r="F148" s="164">
        <v>724.71</v>
      </c>
      <c r="G148" s="171">
        <v>29.0</v>
      </c>
      <c r="H148" s="171">
        <v>22.0</v>
      </c>
      <c r="I148" s="163">
        <f t="shared" si="157"/>
        <v>1.318181818</v>
      </c>
      <c r="J148" s="164">
        <f t="shared" si="158"/>
        <v>32.94136364</v>
      </c>
      <c r="K148" s="164">
        <f t="shared" si="159"/>
        <v>24.99</v>
      </c>
      <c r="L148" s="165">
        <v>305.0</v>
      </c>
      <c r="M148" s="155">
        <f t="shared" si="160"/>
        <v>0.09508196721</v>
      </c>
      <c r="N148" s="183">
        <v>38.47</v>
      </c>
      <c r="O148" s="183">
        <v>71.23</v>
      </c>
      <c r="P148" s="184">
        <v>3.0</v>
      </c>
      <c r="Q148" s="185">
        <v>9855.0</v>
      </c>
      <c r="R148" s="155">
        <f t="shared" si="1"/>
        <v>0.5400814264</v>
      </c>
      <c r="S148" s="156">
        <f t="shared" si="2"/>
        <v>1.851572654</v>
      </c>
      <c r="T148" s="155">
        <f t="shared" si="161"/>
        <v>0.0982875909</v>
      </c>
      <c r="U148" s="76"/>
      <c r="V148" s="77"/>
      <c r="W148" s="2"/>
      <c r="X148" s="2"/>
      <c r="Y148" s="2"/>
      <c r="Z148" s="2"/>
    </row>
    <row r="149" collapsed="1">
      <c r="A149" s="78" t="s">
        <v>89</v>
      </c>
      <c r="B149" s="79"/>
      <c r="C149" s="79"/>
      <c r="D149" s="79"/>
      <c r="E149" s="80"/>
      <c r="F149" s="190">
        <f t="shared" ref="F149:H149" si="162">SUM(F144:F148)</f>
        <v>2705.86</v>
      </c>
      <c r="G149" s="191">
        <f t="shared" si="162"/>
        <v>115</v>
      </c>
      <c r="H149" s="191">
        <f t="shared" si="162"/>
        <v>98</v>
      </c>
      <c r="I149" s="192">
        <f t="shared" si="157"/>
        <v>1.173469388</v>
      </c>
      <c r="J149" s="193">
        <f>F149/G149</f>
        <v>23.52921739</v>
      </c>
      <c r="K149" s="193">
        <f>J149/I149</f>
        <v>20.05098526</v>
      </c>
      <c r="L149" s="194">
        <f>SUM(L144:L148)</f>
        <v>1265</v>
      </c>
      <c r="M149" s="195">
        <f t="shared" si="160"/>
        <v>0.09090909091</v>
      </c>
      <c r="N149" s="190">
        <f t="shared" ref="N149:P149" si="163">SUM(N144:N148)</f>
        <v>515.26</v>
      </c>
      <c r="O149" s="190">
        <f t="shared" si="163"/>
        <v>1311.47</v>
      </c>
      <c r="P149" s="196">
        <f t="shared" si="163"/>
        <v>50</v>
      </c>
      <c r="Q149" s="197">
        <f>sum(Q144:Q148)</f>
        <v>116385</v>
      </c>
      <c r="R149" s="195">
        <f t="shared" si="1"/>
        <v>0.3928873707</v>
      </c>
      <c r="S149" s="198">
        <f t="shared" si="2"/>
        <v>2.545258704</v>
      </c>
      <c r="T149" s="199">
        <f t="shared" si="161"/>
        <v>0.4846776995</v>
      </c>
      <c r="U149" s="80" t="str">
        <f>iferror((F149-#REF!)/F149,)</f>
        <v/>
      </c>
      <c r="V149" s="90" t="str">
        <f>iferror((H149-#REF!)/H149,)</f>
        <v/>
      </c>
      <c r="W149" s="2"/>
      <c r="X149" s="2"/>
      <c r="Y149" s="2"/>
      <c r="Z149" s="2"/>
    </row>
    <row r="150" hidden="1" outlineLevel="1">
      <c r="A150" s="56" t="str">
        <f>iferror(if(B150&gt;0,month(B150)&amp;"-"&amp;year(B150),B150),)</f>
        <v>6-2025</v>
      </c>
      <c r="B150" s="143">
        <v>45809.0</v>
      </c>
      <c r="C150" s="144"/>
      <c r="D150" s="145" t="s">
        <v>60</v>
      </c>
      <c r="E150" s="58"/>
      <c r="F150" s="146"/>
      <c r="G150" s="147"/>
      <c r="H150" s="147"/>
      <c r="I150" s="148"/>
      <c r="J150" s="149"/>
      <c r="K150" s="149"/>
      <c r="L150" s="150"/>
      <c r="M150" s="151"/>
      <c r="N150" s="152">
        <v>407.89</v>
      </c>
      <c r="O150" s="152">
        <v>1461.38</v>
      </c>
      <c r="P150" s="153">
        <v>54.0</v>
      </c>
      <c r="Q150" s="154">
        <v>99071.0</v>
      </c>
      <c r="R150" s="155">
        <f t="shared" si="1"/>
        <v>0.2791128933</v>
      </c>
      <c r="S150" s="156">
        <f t="shared" si="2"/>
        <v>3.582779671</v>
      </c>
      <c r="T150" s="155" t="str">
        <f t="shared" si="161"/>
        <v>#DIV/0!</v>
      </c>
      <c r="U150" s="76"/>
      <c r="V150" s="77"/>
      <c r="W150" s="2"/>
      <c r="X150" s="2"/>
      <c r="Y150" s="2"/>
      <c r="Z150" s="2"/>
    </row>
    <row r="151" hidden="1" outlineLevel="1">
      <c r="A151" s="157"/>
      <c r="B151" s="158"/>
      <c r="C151" s="159" t="s">
        <v>12</v>
      </c>
      <c r="D151" s="160" t="s">
        <v>13</v>
      </c>
      <c r="E151" s="58"/>
      <c r="F151" s="161">
        <v>409.5</v>
      </c>
      <c r="G151" s="162">
        <v>21.0</v>
      </c>
      <c r="H151" s="162">
        <v>19.0</v>
      </c>
      <c r="I151" s="163">
        <f t="shared" ref="I151:I155" si="164">G151/H151</f>
        <v>1.105263158</v>
      </c>
      <c r="J151" s="164">
        <f t="shared" ref="J151:J154" si="165">F151/H151</f>
        <v>21.55263158</v>
      </c>
      <c r="K151" s="164">
        <f t="shared" ref="K151:K154" si="166">F151/G151</f>
        <v>19.5</v>
      </c>
      <c r="L151" s="165">
        <v>271.0</v>
      </c>
      <c r="M151" s="155">
        <f t="shared" ref="M151:M155" si="167">G151/L151</f>
        <v>0.07749077491</v>
      </c>
      <c r="N151" s="166">
        <v>13.27</v>
      </c>
      <c r="O151" s="166">
        <v>58.5</v>
      </c>
      <c r="P151" s="167">
        <v>3.0</v>
      </c>
      <c r="Q151" s="168">
        <v>2267.0</v>
      </c>
      <c r="R151" s="155">
        <f t="shared" si="1"/>
        <v>0.2268376068</v>
      </c>
      <c r="S151" s="156">
        <f t="shared" si="2"/>
        <v>4.40844009</v>
      </c>
      <c r="T151" s="155" t="str">
        <f>#REF!/#REF!</f>
        <v>#REF!</v>
      </c>
      <c r="U151" s="76"/>
      <c r="V151" s="77"/>
      <c r="W151" s="2"/>
      <c r="X151" s="2"/>
      <c r="Y151" s="2"/>
      <c r="Z151" s="2"/>
    </row>
    <row r="152" hidden="1" outlineLevel="1">
      <c r="A152" s="157" t="str">
        <f>iferror(if(D152&gt;0,month(D152)&amp;"-"&amp;year(D152),D152),)</f>
        <v/>
      </c>
      <c r="B152" s="158"/>
      <c r="C152" s="169" t="s">
        <v>61</v>
      </c>
      <c r="D152" s="170" t="s">
        <v>62</v>
      </c>
      <c r="E152" s="68"/>
      <c r="F152" s="164">
        <v>1619.4</v>
      </c>
      <c r="G152" s="171">
        <v>60.0</v>
      </c>
      <c r="H152" s="171">
        <v>42.0</v>
      </c>
      <c r="I152" s="163">
        <f t="shared" si="164"/>
        <v>1.428571429</v>
      </c>
      <c r="J152" s="164">
        <f t="shared" si="165"/>
        <v>38.55714286</v>
      </c>
      <c r="K152" s="164">
        <f t="shared" si="166"/>
        <v>26.99</v>
      </c>
      <c r="L152" s="165">
        <v>592.0</v>
      </c>
      <c r="M152" s="155">
        <f t="shared" si="167"/>
        <v>0.1013513514</v>
      </c>
      <c r="N152" s="172">
        <v>184.06</v>
      </c>
      <c r="O152" s="172">
        <v>564.79</v>
      </c>
      <c r="P152" s="173">
        <v>14.0</v>
      </c>
      <c r="Q152" s="174">
        <v>25996.0</v>
      </c>
      <c r="R152" s="155">
        <f t="shared" si="1"/>
        <v>0.3258910391</v>
      </c>
      <c r="S152" s="156">
        <f t="shared" si="2"/>
        <v>3.068510268</v>
      </c>
      <c r="T152" s="155">
        <f t="shared" ref="T152:T156" si="168">O152/F152</f>
        <v>0.3487649747</v>
      </c>
      <c r="U152" s="76"/>
      <c r="V152" s="77"/>
      <c r="W152" s="2"/>
      <c r="X152" s="2"/>
      <c r="Y152" s="2"/>
      <c r="Z152" s="2"/>
    </row>
    <row r="153" hidden="1" outlineLevel="1">
      <c r="A153" s="175"/>
      <c r="B153" s="158"/>
      <c r="C153" s="176" t="s">
        <v>14</v>
      </c>
      <c r="D153" s="177" t="s">
        <v>15</v>
      </c>
      <c r="E153" s="68"/>
      <c r="F153" s="164">
        <v>701.25</v>
      </c>
      <c r="G153" s="171">
        <v>33.0</v>
      </c>
      <c r="H153" s="171">
        <v>30.0</v>
      </c>
      <c r="I153" s="163">
        <f t="shared" si="164"/>
        <v>1.1</v>
      </c>
      <c r="J153" s="164">
        <f t="shared" si="165"/>
        <v>23.375</v>
      </c>
      <c r="K153" s="164">
        <f t="shared" si="166"/>
        <v>21.25</v>
      </c>
      <c r="L153" s="165">
        <v>370.0</v>
      </c>
      <c r="M153" s="155">
        <f t="shared" si="167"/>
        <v>0.08918918919</v>
      </c>
      <c r="N153" s="178">
        <v>74.59</v>
      </c>
      <c r="O153" s="178">
        <v>233.75</v>
      </c>
      <c r="P153" s="179">
        <v>9.0</v>
      </c>
      <c r="Q153" s="180">
        <v>12760.0</v>
      </c>
      <c r="R153" s="155">
        <f t="shared" si="1"/>
        <v>0.3191016043</v>
      </c>
      <c r="S153" s="156">
        <f t="shared" si="2"/>
        <v>3.133798096</v>
      </c>
      <c r="T153" s="155">
        <f t="shared" si="168"/>
        <v>0.3333333333</v>
      </c>
      <c r="U153" s="76"/>
      <c r="V153" s="77"/>
      <c r="W153" s="2"/>
      <c r="X153" s="2"/>
      <c r="Y153" s="2"/>
      <c r="Z153" s="2"/>
    </row>
    <row r="154" hidden="1" outlineLevel="1">
      <c r="A154" s="56" t="str">
        <f>iferror(if(B154&gt;0,month(B154)&amp;"-"&amp;year(B154),B154),)</f>
        <v>6-2025</v>
      </c>
      <c r="B154" s="143">
        <v>45815.0</v>
      </c>
      <c r="C154" s="181" t="s">
        <v>63</v>
      </c>
      <c r="D154" s="182" t="s">
        <v>64</v>
      </c>
      <c r="E154" s="68"/>
      <c r="F154" s="164">
        <v>774.69</v>
      </c>
      <c r="G154" s="171">
        <v>32.0</v>
      </c>
      <c r="H154" s="171">
        <v>25.0</v>
      </c>
      <c r="I154" s="163">
        <f t="shared" si="164"/>
        <v>1.28</v>
      </c>
      <c r="J154" s="164">
        <f t="shared" si="165"/>
        <v>30.9876</v>
      </c>
      <c r="K154" s="164">
        <f t="shared" si="166"/>
        <v>24.2090625</v>
      </c>
      <c r="L154" s="165">
        <v>399.0</v>
      </c>
      <c r="M154" s="155">
        <f t="shared" si="167"/>
        <v>0.08020050125</v>
      </c>
      <c r="N154" s="183">
        <v>65.86</v>
      </c>
      <c r="O154" s="183">
        <v>199.92</v>
      </c>
      <c r="P154" s="184">
        <v>7.0</v>
      </c>
      <c r="Q154" s="185">
        <v>13180.0</v>
      </c>
      <c r="R154" s="155">
        <f t="shared" si="1"/>
        <v>0.3294317727</v>
      </c>
      <c r="S154" s="156">
        <f t="shared" si="2"/>
        <v>3.035529912</v>
      </c>
      <c r="T154" s="155">
        <f t="shared" si="168"/>
        <v>0.2580645161</v>
      </c>
      <c r="U154" s="76"/>
      <c r="V154" s="77"/>
      <c r="W154" s="2"/>
      <c r="X154" s="2"/>
      <c r="Y154" s="2"/>
      <c r="Z154" s="2"/>
    </row>
    <row r="155" collapsed="1">
      <c r="A155" s="78" t="s">
        <v>90</v>
      </c>
      <c r="B155" s="79"/>
      <c r="C155" s="79"/>
      <c r="D155" s="79"/>
      <c r="E155" s="80"/>
      <c r="F155" s="190">
        <f t="shared" ref="F155:H155" si="169">SUM(F150:F154)</f>
        <v>3504.84</v>
      </c>
      <c r="G155" s="191">
        <f t="shared" si="169"/>
        <v>146</v>
      </c>
      <c r="H155" s="191">
        <f t="shared" si="169"/>
        <v>116</v>
      </c>
      <c r="I155" s="192">
        <f t="shared" si="164"/>
        <v>1.25862069</v>
      </c>
      <c r="J155" s="193">
        <f>F155/G155</f>
        <v>24.00575342</v>
      </c>
      <c r="K155" s="193">
        <f>J155/I155</f>
        <v>19.07306436</v>
      </c>
      <c r="L155" s="194">
        <f>SUM(L150:L154)</f>
        <v>1632</v>
      </c>
      <c r="M155" s="195">
        <f t="shared" si="167"/>
        <v>0.08946078431</v>
      </c>
      <c r="N155" s="190">
        <f t="shared" ref="N155:P155" si="170">SUM(N150:N154)</f>
        <v>745.67</v>
      </c>
      <c r="O155" s="190">
        <f t="shared" si="170"/>
        <v>2518.34</v>
      </c>
      <c r="P155" s="196">
        <f t="shared" si="170"/>
        <v>87</v>
      </c>
      <c r="Q155" s="197">
        <f>sum(Q150:Q154)</f>
        <v>153274</v>
      </c>
      <c r="R155" s="195">
        <f t="shared" si="1"/>
        <v>0.2960958409</v>
      </c>
      <c r="S155" s="198">
        <f t="shared" si="2"/>
        <v>3.377284858</v>
      </c>
      <c r="T155" s="199">
        <f t="shared" si="168"/>
        <v>0.7185320871</v>
      </c>
      <c r="U155" s="80" t="str">
        <f>iferror((F155-#REF!)/F155,)</f>
        <v/>
      </c>
      <c r="V155" s="90" t="str">
        <f>iferror((H155-#REF!)/H155,)</f>
        <v/>
      </c>
      <c r="W155" s="2"/>
      <c r="X155" s="2"/>
      <c r="Y155" s="2"/>
      <c r="Z155" s="2"/>
    </row>
    <row r="156" hidden="1" outlineLevel="1">
      <c r="A156" s="56" t="str">
        <f>iferror(if(B156&gt;0,month(B156)&amp;"-"&amp;year(B156),B156),)</f>
        <v>6-2025</v>
      </c>
      <c r="B156" s="143">
        <v>45816.0</v>
      </c>
      <c r="C156" s="144"/>
      <c r="D156" s="145" t="s">
        <v>60</v>
      </c>
      <c r="E156" s="58"/>
      <c r="F156" s="146"/>
      <c r="G156" s="147"/>
      <c r="H156" s="147"/>
      <c r="I156" s="148"/>
      <c r="J156" s="149"/>
      <c r="K156" s="149"/>
      <c r="L156" s="150"/>
      <c r="M156" s="151"/>
      <c r="N156" s="152">
        <v>638.88</v>
      </c>
      <c r="O156" s="152">
        <v>1852.8</v>
      </c>
      <c r="P156" s="153">
        <v>70.0</v>
      </c>
      <c r="Q156" s="154">
        <v>160912.0</v>
      </c>
      <c r="R156" s="155">
        <f t="shared" si="1"/>
        <v>0.3448186528</v>
      </c>
      <c r="S156" s="156">
        <f t="shared" si="2"/>
        <v>2.900075131</v>
      </c>
      <c r="T156" s="155" t="str">
        <f t="shared" si="168"/>
        <v>#DIV/0!</v>
      </c>
      <c r="U156" s="76"/>
      <c r="V156" s="77"/>
      <c r="W156" s="2"/>
      <c r="X156" s="2"/>
      <c r="Y156" s="2"/>
      <c r="Z156" s="2"/>
    </row>
    <row r="157" hidden="1" outlineLevel="1">
      <c r="A157" s="157"/>
      <c r="B157" s="158"/>
      <c r="C157" s="159" t="s">
        <v>12</v>
      </c>
      <c r="D157" s="160" t="s">
        <v>13</v>
      </c>
      <c r="E157" s="58"/>
      <c r="F157" s="161">
        <v>409.5</v>
      </c>
      <c r="G157" s="162">
        <v>21.0</v>
      </c>
      <c r="H157" s="162">
        <v>20.0</v>
      </c>
      <c r="I157" s="163">
        <f t="shared" ref="I157:I161" si="171">G157/H157</f>
        <v>1.05</v>
      </c>
      <c r="J157" s="164">
        <f t="shared" ref="J157:J160" si="172">F157/H157</f>
        <v>20.475</v>
      </c>
      <c r="K157" s="164">
        <f t="shared" ref="K157:K160" si="173">F157/G157</f>
        <v>19.5</v>
      </c>
      <c r="L157" s="165">
        <v>388.0</v>
      </c>
      <c r="M157" s="155">
        <f t="shared" ref="M157:M161" si="174">G157/L157</f>
        <v>0.05412371134</v>
      </c>
      <c r="N157" s="166">
        <v>18.33</v>
      </c>
      <c r="O157" s="166">
        <v>78.0</v>
      </c>
      <c r="P157" s="167">
        <v>4.0</v>
      </c>
      <c r="Q157" s="168">
        <v>4744.0</v>
      </c>
      <c r="R157" s="155">
        <f t="shared" si="1"/>
        <v>0.235</v>
      </c>
      <c r="S157" s="156">
        <f t="shared" si="2"/>
        <v>4.255319149</v>
      </c>
      <c r="T157" s="155" t="str">
        <f>#REF!/#REF!</f>
        <v>#REF!</v>
      </c>
      <c r="U157" s="76"/>
      <c r="V157" s="77"/>
      <c r="W157" s="2"/>
      <c r="X157" s="2"/>
      <c r="Y157" s="2"/>
      <c r="Z157" s="2"/>
    </row>
    <row r="158" hidden="1" outlineLevel="1">
      <c r="A158" s="157" t="str">
        <f>iferror(if(D158&gt;0,month(D158)&amp;"-"&amp;year(D158),D158),)</f>
        <v/>
      </c>
      <c r="B158" s="158"/>
      <c r="C158" s="169" t="s">
        <v>61</v>
      </c>
      <c r="D158" s="170" t="s">
        <v>62</v>
      </c>
      <c r="E158" s="68"/>
      <c r="F158" s="164">
        <v>2024.45</v>
      </c>
      <c r="G158" s="171">
        <v>79.0</v>
      </c>
      <c r="H158" s="171">
        <v>58.0</v>
      </c>
      <c r="I158" s="163">
        <f t="shared" si="171"/>
        <v>1.362068966</v>
      </c>
      <c r="J158" s="164">
        <f t="shared" si="172"/>
        <v>34.90431034</v>
      </c>
      <c r="K158" s="164">
        <f t="shared" si="173"/>
        <v>25.62594937</v>
      </c>
      <c r="L158" s="165">
        <v>710.0</v>
      </c>
      <c r="M158" s="155">
        <f t="shared" si="174"/>
        <v>0.1112676056</v>
      </c>
      <c r="N158" s="172">
        <v>216.31</v>
      </c>
      <c r="O158" s="172">
        <v>431.84</v>
      </c>
      <c r="P158" s="173">
        <v>15.0</v>
      </c>
      <c r="Q158" s="174">
        <v>35309.0</v>
      </c>
      <c r="R158" s="155">
        <f t="shared" si="1"/>
        <v>0.5009031123</v>
      </c>
      <c r="S158" s="156">
        <f t="shared" si="2"/>
        <v>1.996394064</v>
      </c>
      <c r="T158" s="155">
        <f t="shared" ref="T158:T162" si="175">O158/F158</f>
        <v>0.2133122577</v>
      </c>
      <c r="U158" s="76"/>
      <c r="V158" s="77"/>
      <c r="W158" s="2"/>
      <c r="X158" s="2"/>
      <c r="Y158" s="2"/>
      <c r="Z158" s="2"/>
    </row>
    <row r="159" hidden="1" outlineLevel="1">
      <c r="A159" s="175"/>
      <c r="B159" s="158"/>
      <c r="C159" s="176" t="s">
        <v>14</v>
      </c>
      <c r="D159" s="177" t="s">
        <v>15</v>
      </c>
      <c r="E159" s="68"/>
      <c r="F159" s="164">
        <v>892.5</v>
      </c>
      <c r="G159" s="171">
        <v>42.0</v>
      </c>
      <c r="H159" s="171">
        <v>40.0</v>
      </c>
      <c r="I159" s="163">
        <f t="shared" si="171"/>
        <v>1.05</v>
      </c>
      <c r="J159" s="164">
        <f t="shared" si="172"/>
        <v>22.3125</v>
      </c>
      <c r="K159" s="164">
        <f t="shared" si="173"/>
        <v>21.25</v>
      </c>
      <c r="L159" s="165">
        <v>482.0</v>
      </c>
      <c r="M159" s="155">
        <f t="shared" si="174"/>
        <v>0.08713692946</v>
      </c>
      <c r="N159" s="178">
        <v>99.21</v>
      </c>
      <c r="O159" s="178">
        <v>148.75</v>
      </c>
      <c r="P159" s="179">
        <v>7.0</v>
      </c>
      <c r="Q159" s="180">
        <v>13336.0</v>
      </c>
      <c r="R159" s="155">
        <f t="shared" si="1"/>
        <v>0.6669579832</v>
      </c>
      <c r="S159" s="156">
        <f t="shared" si="2"/>
        <v>1.499344824</v>
      </c>
      <c r="T159" s="155">
        <f t="shared" si="175"/>
        <v>0.1666666667</v>
      </c>
      <c r="U159" s="76"/>
      <c r="V159" s="77"/>
      <c r="W159" s="2"/>
      <c r="X159" s="2"/>
      <c r="Y159" s="2"/>
      <c r="Z159" s="2"/>
    </row>
    <row r="160" hidden="1" outlineLevel="1">
      <c r="A160" s="56" t="str">
        <f>iferror(if(B160&gt;0,month(B160)&amp;"-"&amp;year(B160),B160),)</f>
        <v>6-2025</v>
      </c>
      <c r="B160" s="143">
        <v>45822.0</v>
      </c>
      <c r="C160" s="181" t="s">
        <v>63</v>
      </c>
      <c r="D160" s="182" t="s">
        <v>64</v>
      </c>
      <c r="E160" s="68"/>
      <c r="F160" s="164">
        <v>524.79</v>
      </c>
      <c r="G160" s="171">
        <v>21.0</v>
      </c>
      <c r="H160" s="171">
        <v>21.0</v>
      </c>
      <c r="I160" s="163">
        <f t="shared" si="171"/>
        <v>1</v>
      </c>
      <c r="J160" s="164">
        <f t="shared" si="172"/>
        <v>24.99</v>
      </c>
      <c r="K160" s="164">
        <f t="shared" si="173"/>
        <v>24.99</v>
      </c>
      <c r="L160" s="165">
        <v>576.0</v>
      </c>
      <c r="M160" s="155">
        <f t="shared" si="174"/>
        <v>0.03645833333</v>
      </c>
      <c r="N160" s="183">
        <v>89.86</v>
      </c>
      <c r="O160" s="183">
        <v>124.95</v>
      </c>
      <c r="P160" s="184">
        <v>5.0</v>
      </c>
      <c r="Q160" s="185">
        <v>19288.0</v>
      </c>
      <c r="R160" s="155">
        <f t="shared" si="1"/>
        <v>0.7191676671</v>
      </c>
      <c r="S160" s="156">
        <f t="shared" si="2"/>
        <v>1.390496328</v>
      </c>
      <c r="T160" s="155">
        <f t="shared" si="175"/>
        <v>0.2380952381</v>
      </c>
      <c r="U160" s="76"/>
      <c r="V160" s="77"/>
      <c r="W160" s="2"/>
      <c r="X160" s="2"/>
      <c r="Y160" s="2"/>
      <c r="Z160" s="2"/>
    </row>
    <row r="161" collapsed="1">
      <c r="A161" s="78" t="s">
        <v>91</v>
      </c>
      <c r="B161" s="79"/>
      <c r="C161" s="79"/>
      <c r="D161" s="79"/>
      <c r="E161" s="80"/>
      <c r="F161" s="190">
        <f t="shared" ref="F161:H161" si="176">SUM(F156:F160)</f>
        <v>3851.24</v>
      </c>
      <c r="G161" s="191">
        <f t="shared" si="176"/>
        <v>163</v>
      </c>
      <c r="H161" s="191">
        <f t="shared" si="176"/>
        <v>139</v>
      </c>
      <c r="I161" s="192">
        <f t="shared" si="171"/>
        <v>1.172661871</v>
      </c>
      <c r="J161" s="193">
        <f>F161/G161</f>
        <v>23.62723926</v>
      </c>
      <c r="K161" s="193">
        <f>J161/I161</f>
        <v>20.14838195</v>
      </c>
      <c r="L161" s="194">
        <f>SUM(L156:L160)</f>
        <v>2156</v>
      </c>
      <c r="M161" s="195">
        <f t="shared" si="174"/>
        <v>0.07560296846</v>
      </c>
      <c r="N161" s="190">
        <f t="shared" ref="N161:P161" si="177">SUM(N156:N160)</f>
        <v>1062.59</v>
      </c>
      <c r="O161" s="190">
        <f t="shared" si="177"/>
        <v>2636.34</v>
      </c>
      <c r="P161" s="196">
        <f t="shared" si="177"/>
        <v>101</v>
      </c>
      <c r="Q161" s="197">
        <f>sum(Q156:Q160)</f>
        <v>233589</v>
      </c>
      <c r="R161" s="195">
        <f t="shared" si="1"/>
        <v>0.4030549929</v>
      </c>
      <c r="S161" s="198">
        <f t="shared" si="2"/>
        <v>2.481051017</v>
      </c>
      <c r="T161" s="199">
        <f t="shared" si="175"/>
        <v>0.6845431601</v>
      </c>
      <c r="U161" s="80" t="str">
        <f>iferror((F161-#REF!)/F161,)</f>
        <v/>
      </c>
      <c r="V161" s="90" t="str">
        <f>iferror((H161-#REF!)/H161,)</f>
        <v/>
      </c>
      <c r="W161" s="2"/>
      <c r="X161" s="2"/>
      <c r="Y161" s="2"/>
      <c r="Z161" s="2"/>
    </row>
    <row r="162" hidden="1" outlineLevel="1">
      <c r="A162" s="56" t="str">
        <f>iferror(if(B162&gt;0,month(B162)&amp;"-"&amp;year(B162),B162),)</f>
        <v>6-2025</v>
      </c>
      <c r="B162" s="143">
        <v>45823.0</v>
      </c>
      <c r="C162" s="144"/>
      <c r="D162" s="145" t="s">
        <v>60</v>
      </c>
      <c r="E162" s="58"/>
      <c r="F162" s="146"/>
      <c r="G162" s="147"/>
      <c r="H162" s="147"/>
      <c r="I162" s="148"/>
      <c r="J162" s="149"/>
      <c r="K162" s="149"/>
      <c r="L162" s="150"/>
      <c r="M162" s="151"/>
      <c r="N162" s="152">
        <v>710.73</v>
      </c>
      <c r="O162" s="152">
        <v>1704.89</v>
      </c>
      <c r="P162" s="153">
        <v>69.0</v>
      </c>
      <c r="Q162" s="154">
        <v>154262.0</v>
      </c>
      <c r="R162" s="155">
        <f t="shared" si="1"/>
        <v>0.4168773352</v>
      </c>
      <c r="S162" s="156">
        <f t="shared" si="2"/>
        <v>2.398787162</v>
      </c>
      <c r="T162" s="155" t="str">
        <f t="shared" si="175"/>
        <v>#DIV/0!</v>
      </c>
      <c r="U162" s="76"/>
      <c r="V162" s="77"/>
      <c r="W162" s="2"/>
      <c r="X162" s="2"/>
      <c r="Y162" s="2"/>
      <c r="Z162" s="2"/>
    </row>
    <row r="163" hidden="1" outlineLevel="1">
      <c r="A163" s="157"/>
      <c r="B163" s="158"/>
      <c r="C163" s="159" t="s">
        <v>12</v>
      </c>
      <c r="D163" s="160" t="s">
        <v>13</v>
      </c>
      <c r="E163" s="58"/>
      <c r="F163" s="161">
        <v>507.0</v>
      </c>
      <c r="G163" s="162">
        <v>26.0</v>
      </c>
      <c r="H163" s="162">
        <v>23.0</v>
      </c>
      <c r="I163" s="163">
        <f t="shared" ref="I163:I167" si="178">G163/H163</f>
        <v>1.130434783</v>
      </c>
      <c r="J163" s="164">
        <f t="shared" ref="J163:J166" si="179">F163/H163</f>
        <v>22.04347826</v>
      </c>
      <c r="K163" s="164">
        <f t="shared" ref="K163:K166" si="180">F163/G163</f>
        <v>19.5</v>
      </c>
      <c r="L163" s="165">
        <v>359.0</v>
      </c>
      <c r="M163" s="155">
        <f t="shared" ref="M163:M167" si="181">G163/L163</f>
        <v>0.07242339833</v>
      </c>
      <c r="N163" s="166">
        <v>15.16</v>
      </c>
      <c r="O163" s="166">
        <v>63.99</v>
      </c>
      <c r="P163" s="167">
        <v>3.0</v>
      </c>
      <c r="Q163" s="168">
        <v>6867.0</v>
      </c>
      <c r="R163" s="155">
        <f t="shared" si="1"/>
        <v>0.2369120175</v>
      </c>
      <c r="S163" s="156">
        <f t="shared" si="2"/>
        <v>4.220976253</v>
      </c>
      <c r="T163" s="155" t="str">
        <f>#REF!/#REF!</f>
        <v>#REF!</v>
      </c>
      <c r="U163" s="76"/>
      <c r="V163" s="77"/>
      <c r="W163" s="2"/>
      <c r="X163" s="2"/>
      <c r="Y163" s="2"/>
      <c r="Z163" s="2"/>
    </row>
    <row r="164" hidden="1" outlineLevel="1">
      <c r="A164" s="157" t="str">
        <f>iferror(if(D164&gt;0,month(D164)&amp;"-"&amp;year(D164),D164),)</f>
        <v/>
      </c>
      <c r="B164" s="158"/>
      <c r="C164" s="169" t="s">
        <v>61</v>
      </c>
      <c r="D164" s="170" t="s">
        <v>62</v>
      </c>
      <c r="E164" s="68"/>
      <c r="F164" s="164">
        <v>1187.56</v>
      </c>
      <c r="G164" s="171">
        <v>47.0</v>
      </c>
      <c r="H164" s="171">
        <v>45.0</v>
      </c>
      <c r="I164" s="163">
        <f t="shared" si="178"/>
        <v>1.044444444</v>
      </c>
      <c r="J164" s="164">
        <f t="shared" si="179"/>
        <v>26.39022222</v>
      </c>
      <c r="K164" s="164">
        <f t="shared" si="180"/>
        <v>25.26723404</v>
      </c>
      <c r="L164" s="165">
        <v>601.0</v>
      </c>
      <c r="M164" s="155">
        <f t="shared" si="181"/>
        <v>0.07820299501</v>
      </c>
      <c r="N164" s="172">
        <v>92.21</v>
      </c>
      <c r="O164" s="172">
        <v>156.2</v>
      </c>
      <c r="P164" s="173">
        <v>6.0</v>
      </c>
      <c r="Q164" s="174">
        <v>17541.0</v>
      </c>
      <c r="R164" s="155">
        <f t="shared" si="1"/>
        <v>0.5903329065</v>
      </c>
      <c r="S164" s="156">
        <f t="shared" si="2"/>
        <v>1.69395944</v>
      </c>
      <c r="T164" s="155">
        <f t="shared" ref="T164:T168" si="182">O164/F164</f>
        <v>0.1315301964</v>
      </c>
      <c r="U164" s="76"/>
      <c r="V164" s="77"/>
      <c r="W164" s="2"/>
      <c r="X164" s="2"/>
      <c r="Y164" s="2"/>
      <c r="Z164" s="2"/>
    </row>
    <row r="165" hidden="1" outlineLevel="1">
      <c r="A165" s="175"/>
      <c r="B165" s="158"/>
      <c r="C165" s="176" t="s">
        <v>14</v>
      </c>
      <c r="D165" s="177" t="s">
        <v>15</v>
      </c>
      <c r="E165" s="68"/>
      <c r="F165" s="164">
        <v>935.0</v>
      </c>
      <c r="G165" s="171">
        <v>44.0</v>
      </c>
      <c r="H165" s="171">
        <v>39.0</v>
      </c>
      <c r="I165" s="163">
        <f t="shared" si="178"/>
        <v>1.128205128</v>
      </c>
      <c r="J165" s="164">
        <f t="shared" si="179"/>
        <v>23.97435897</v>
      </c>
      <c r="K165" s="164">
        <f t="shared" si="180"/>
        <v>21.25</v>
      </c>
      <c r="L165" s="165">
        <v>479.0</v>
      </c>
      <c r="M165" s="155">
        <f t="shared" si="181"/>
        <v>0.09185803758</v>
      </c>
      <c r="N165" s="178">
        <v>82.29</v>
      </c>
      <c r="O165" s="178">
        <v>191.25</v>
      </c>
      <c r="P165" s="179">
        <v>8.0</v>
      </c>
      <c r="Q165" s="180">
        <v>12973.0</v>
      </c>
      <c r="R165" s="155">
        <f t="shared" si="1"/>
        <v>0.4302745098</v>
      </c>
      <c r="S165" s="156">
        <f t="shared" si="2"/>
        <v>2.324097703</v>
      </c>
      <c r="T165" s="155">
        <f t="shared" si="182"/>
        <v>0.2045454545</v>
      </c>
      <c r="U165" s="76"/>
      <c r="V165" s="77"/>
      <c r="W165" s="2"/>
      <c r="X165" s="2"/>
      <c r="Y165" s="2"/>
      <c r="Z165" s="2"/>
    </row>
    <row r="166" hidden="1" outlineLevel="1">
      <c r="A166" s="56" t="str">
        <f>iferror(if(B166&gt;0,month(B166)&amp;"-"&amp;year(B166),B166),)</f>
        <v>6-2025</v>
      </c>
      <c r="B166" s="143">
        <v>45829.0</v>
      </c>
      <c r="C166" s="181" t="s">
        <v>63</v>
      </c>
      <c r="D166" s="182" t="s">
        <v>64</v>
      </c>
      <c r="E166" s="68"/>
      <c r="F166" s="164">
        <v>674.73</v>
      </c>
      <c r="G166" s="171">
        <v>27.0</v>
      </c>
      <c r="H166" s="171">
        <v>26.0</v>
      </c>
      <c r="I166" s="163">
        <f t="shared" si="178"/>
        <v>1.038461538</v>
      </c>
      <c r="J166" s="164">
        <f t="shared" si="179"/>
        <v>25.95115385</v>
      </c>
      <c r="K166" s="164">
        <f t="shared" si="180"/>
        <v>24.99</v>
      </c>
      <c r="L166" s="165">
        <v>568.0</v>
      </c>
      <c r="M166" s="155">
        <f t="shared" si="181"/>
        <v>0.04753521127</v>
      </c>
      <c r="N166" s="183">
        <v>71.49</v>
      </c>
      <c r="O166" s="183">
        <v>74.97</v>
      </c>
      <c r="P166" s="184">
        <v>3.0</v>
      </c>
      <c r="Q166" s="185">
        <v>13718.0</v>
      </c>
      <c r="R166" s="155">
        <f t="shared" si="1"/>
        <v>0.9535814326</v>
      </c>
      <c r="S166" s="156">
        <f t="shared" si="2"/>
        <v>1.048678137</v>
      </c>
      <c r="T166" s="155">
        <f t="shared" si="182"/>
        <v>0.1111111111</v>
      </c>
      <c r="U166" s="76"/>
      <c r="V166" s="77"/>
      <c r="W166" s="2"/>
      <c r="X166" s="2"/>
      <c r="Y166" s="2"/>
      <c r="Z166" s="2"/>
    </row>
    <row r="167" collapsed="1">
      <c r="A167" s="78" t="s">
        <v>92</v>
      </c>
      <c r="B167" s="79"/>
      <c r="C167" s="79"/>
      <c r="D167" s="79"/>
      <c r="E167" s="80"/>
      <c r="F167" s="190">
        <f t="shared" ref="F167:H167" si="183">SUM(F162:F166)</f>
        <v>3304.29</v>
      </c>
      <c r="G167" s="191">
        <f t="shared" si="183"/>
        <v>144</v>
      </c>
      <c r="H167" s="191">
        <f t="shared" si="183"/>
        <v>133</v>
      </c>
      <c r="I167" s="192">
        <f t="shared" si="178"/>
        <v>1.082706767</v>
      </c>
      <c r="J167" s="193">
        <f>F167/G167</f>
        <v>22.94645833</v>
      </c>
      <c r="K167" s="193">
        <f>J167/I167</f>
        <v>21.19360388</v>
      </c>
      <c r="L167" s="194">
        <f>SUM(L162:L166)</f>
        <v>2007</v>
      </c>
      <c r="M167" s="195">
        <f t="shared" si="181"/>
        <v>0.07174887892</v>
      </c>
      <c r="N167" s="190">
        <f t="shared" ref="N167:P167" si="184">SUM(N162:N166)</f>
        <v>971.88</v>
      </c>
      <c r="O167" s="190">
        <f t="shared" si="184"/>
        <v>2191.3</v>
      </c>
      <c r="P167" s="196">
        <f t="shared" si="184"/>
        <v>89</v>
      </c>
      <c r="Q167" s="197">
        <f>sum(Q162:Q166)</f>
        <v>205361</v>
      </c>
      <c r="R167" s="195">
        <f t="shared" si="1"/>
        <v>0.4435175467</v>
      </c>
      <c r="S167" s="198">
        <f t="shared" si="2"/>
        <v>2.254702227</v>
      </c>
      <c r="T167" s="199">
        <f t="shared" si="182"/>
        <v>0.6631681844</v>
      </c>
      <c r="U167" s="80" t="str">
        <f>iferror((F167-#REF!)/F167,)</f>
        <v/>
      </c>
      <c r="V167" s="90" t="str">
        <f>iferror((H167-#REF!)/H167,)</f>
        <v/>
      </c>
      <c r="W167" s="2"/>
      <c r="X167" s="2"/>
      <c r="Y167" s="2"/>
      <c r="Z167" s="2"/>
    </row>
    <row r="168" hidden="1" outlineLevel="1">
      <c r="A168" s="56" t="str">
        <f>iferror(if(B168&gt;0,month(B168)&amp;"-"&amp;year(B168),B168),)</f>
        <v>6-2025</v>
      </c>
      <c r="B168" s="143">
        <v>45830.0</v>
      </c>
      <c r="C168" s="144"/>
      <c r="D168" s="145" t="s">
        <v>60</v>
      </c>
      <c r="E168" s="58"/>
      <c r="F168" s="146"/>
      <c r="G168" s="147"/>
      <c r="H168" s="147"/>
      <c r="I168" s="148"/>
      <c r="J168" s="149"/>
      <c r="K168" s="149"/>
      <c r="L168" s="150"/>
      <c r="M168" s="151"/>
      <c r="N168" s="152">
        <v>912.82</v>
      </c>
      <c r="O168" s="152">
        <v>2477.62</v>
      </c>
      <c r="P168" s="153">
        <v>93.0</v>
      </c>
      <c r="Q168" s="154">
        <v>228270.0</v>
      </c>
      <c r="R168" s="155">
        <f t="shared" si="1"/>
        <v>0.3684261509</v>
      </c>
      <c r="S168" s="156">
        <f t="shared" si="2"/>
        <v>2.714248154</v>
      </c>
      <c r="T168" s="155" t="str">
        <f t="shared" si="182"/>
        <v>#DIV/0!</v>
      </c>
      <c r="U168" s="76"/>
      <c r="V168" s="77"/>
      <c r="W168" s="2"/>
      <c r="X168" s="2"/>
      <c r="Y168" s="2"/>
      <c r="Z168" s="2"/>
    </row>
    <row r="169" hidden="1" outlineLevel="1">
      <c r="A169" s="157"/>
      <c r="B169" s="158"/>
      <c r="C169" s="159" t="s">
        <v>12</v>
      </c>
      <c r="D169" s="160" t="s">
        <v>13</v>
      </c>
      <c r="E169" s="58"/>
      <c r="F169" s="161">
        <v>624.0</v>
      </c>
      <c r="G169" s="162">
        <v>32.0</v>
      </c>
      <c r="H169" s="162">
        <v>29.0</v>
      </c>
      <c r="I169" s="163">
        <f t="shared" ref="I169:I173" si="185">G169/H169</f>
        <v>1.103448276</v>
      </c>
      <c r="J169" s="164">
        <f t="shared" ref="J169:J172" si="186">F169/H169</f>
        <v>21.51724138</v>
      </c>
      <c r="K169" s="164">
        <f t="shared" ref="K169:K172" si="187">F169/G169</f>
        <v>19.5</v>
      </c>
      <c r="L169" s="165">
        <v>411.0</v>
      </c>
      <c r="M169" s="155">
        <f t="shared" ref="M169:M173" si="188">G169/L169</f>
        <v>0.07785888078</v>
      </c>
      <c r="N169" s="166">
        <v>30.41</v>
      </c>
      <c r="O169" s="166">
        <v>0.0</v>
      </c>
      <c r="P169" s="167">
        <v>0.0</v>
      </c>
      <c r="Q169" s="168">
        <v>6598.0</v>
      </c>
      <c r="R169" s="155" t="str">
        <f t="shared" si="1"/>
        <v>#DIV/0!</v>
      </c>
      <c r="S169" s="156">
        <f t="shared" si="2"/>
        <v>0</v>
      </c>
      <c r="T169" s="155" t="str">
        <f>#REF!/#REF!</f>
        <v>#REF!</v>
      </c>
      <c r="U169" s="76"/>
      <c r="V169" s="77"/>
      <c r="W169" s="2"/>
      <c r="X169" s="2"/>
      <c r="Y169" s="2"/>
      <c r="Z169" s="2"/>
    </row>
    <row r="170" hidden="1" outlineLevel="1">
      <c r="A170" s="157" t="str">
        <f>iferror(if(D170&gt;0,month(D170)&amp;"-"&amp;year(D170),D170),)</f>
        <v/>
      </c>
      <c r="B170" s="158"/>
      <c r="C170" s="169" t="s">
        <v>61</v>
      </c>
      <c r="D170" s="170" t="s">
        <v>62</v>
      </c>
      <c r="E170" s="68"/>
      <c r="F170" s="164">
        <v>1997.26</v>
      </c>
      <c r="G170" s="171">
        <v>76.0</v>
      </c>
      <c r="H170" s="171">
        <v>70.0</v>
      </c>
      <c r="I170" s="163">
        <f t="shared" si="185"/>
        <v>1.085714286</v>
      </c>
      <c r="J170" s="164">
        <f t="shared" si="186"/>
        <v>28.53228571</v>
      </c>
      <c r="K170" s="164">
        <f t="shared" si="187"/>
        <v>26.27973684</v>
      </c>
      <c r="L170" s="165">
        <v>799.0</v>
      </c>
      <c r="M170" s="155">
        <f t="shared" si="188"/>
        <v>0.09511889862</v>
      </c>
      <c r="N170" s="172">
        <v>127.48</v>
      </c>
      <c r="O170" s="172">
        <v>458.83</v>
      </c>
      <c r="P170" s="173">
        <v>15.0</v>
      </c>
      <c r="Q170" s="174">
        <v>22051.0</v>
      </c>
      <c r="R170" s="155">
        <f t="shared" si="1"/>
        <v>0.2778371074</v>
      </c>
      <c r="S170" s="156">
        <f t="shared" si="2"/>
        <v>3.599231252</v>
      </c>
      <c r="T170" s="155">
        <f t="shared" ref="T170:T174" si="189">O170/F170</f>
        <v>0.2297297297</v>
      </c>
      <c r="U170" s="76"/>
      <c r="V170" s="77"/>
      <c r="W170" s="2"/>
      <c r="X170" s="2"/>
      <c r="Y170" s="2"/>
      <c r="Z170" s="2"/>
    </row>
    <row r="171" hidden="1" outlineLevel="1">
      <c r="A171" s="175"/>
      <c r="B171" s="158"/>
      <c r="C171" s="176" t="s">
        <v>14</v>
      </c>
      <c r="D171" s="177" t="s">
        <v>15</v>
      </c>
      <c r="E171" s="68"/>
      <c r="F171" s="164">
        <v>807.5</v>
      </c>
      <c r="G171" s="171">
        <v>38.0</v>
      </c>
      <c r="H171" s="171">
        <v>34.0</v>
      </c>
      <c r="I171" s="163">
        <f t="shared" si="185"/>
        <v>1.117647059</v>
      </c>
      <c r="J171" s="164">
        <f t="shared" si="186"/>
        <v>23.75</v>
      </c>
      <c r="K171" s="164">
        <f t="shared" si="187"/>
        <v>21.25</v>
      </c>
      <c r="L171" s="165">
        <v>583.0</v>
      </c>
      <c r="M171" s="155">
        <f t="shared" si="188"/>
        <v>0.06518010292</v>
      </c>
      <c r="N171" s="178">
        <v>74.99</v>
      </c>
      <c r="O171" s="178">
        <v>158.23</v>
      </c>
      <c r="P171" s="179">
        <v>7.0</v>
      </c>
      <c r="Q171" s="180">
        <v>13961.0</v>
      </c>
      <c r="R171" s="155">
        <f t="shared" si="1"/>
        <v>0.4739303545</v>
      </c>
      <c r="S171" s="156">
        <f t="shared" si="2"/>
        <v>2.110014669</v>
      </c>
      <c r="T171" s="155">
        <f t="shared" si="189"/>
        <v>0.1959504644</v>
      </c>
      <c r="U171" s="76"/>
      <c r="V171" s="77"/>
      <c r="W171" s="2"/>
      <c r="X171" s="2"/>
      <c r="Y171" s="2"/>
      <c r="Z171" s="2"/>
    </row>
    <row r="172" hidden="1" outlineLevel="1">
      <c r="A172" s="56" t="str">
        <f>iferror(if(B172&gt;0,month(B172)&amp;"-"&amp;year(B172),B172),)</f>
        <v>6-2025</v>
      </c>
      <c r="B172" s="143">
        <v>45836.0</v>
      </c>
      <c r="C172" s="181" t="s">
        <v>63</v>
      </c>
      <c r="D172" s="182" t="s">
        <v>64</v>
      </c>
      <c r="E172" s="68"/>
      <c r="F172" s="164">
        <v>1024.59</v>
      </c>
      <c r="G172" s="171">
        <v>41.0</v>
      </c>
      <c r="H172" s="171">
        <v>33.0</v>
      </c>
      <c r="I172" s="163">
        <f t="shared" si="185"/>
        <v>1.242424242</v>
      </c>
      <c r="J172" s="164">
        <f t="shared" si="186"/>
        <v>31.04818182</v>
      </c>
      <c r="K172" s="164">
        <f t="shared" si="187"/>
        <v>24.99</v>
      </c>
      <c r="L172" s="165">
        <v>752.0</v>
      </c>
      <c r="M172" s="155">
        <f t="shared" si="188"/>
        <v>0.0545212766</v>
      </c>
      <c r="N172" s="183">
        <v>103.89</v>
      </c>
      <c r="O172" s="183">
        <v>261.92</v>
      </c>
      <c r="P172" s="184">
        <v>9.0</v>
      </c>
      <c r="Q172" s="185">
        <v>20388.0</v>
      </c>
      <c r="R172" s="155">
        <f t="shared" si="1"/>
        <v>0.3966478314</v>
      </c>
      <c r="S172" s="156">
        <f t="shared" si="2"/>
        <v>2.521128116</v>
      </c>
      <c r="T172" s="155">
        <f t="shared" si="189"/>
        <v>0.2556339609</v>
      </c>
      <c r="U172" s="76"/>
      <c r="V172" s="77"/>
      <c r="W172" s="2"/>
      <c r="X172" s="2"/>
      <c r="Y172" s="2"/>
      <c r="Z172" s="2"/>
    </row>
    <row r="173" collapsed="1">
      <c r="A173" s="78" t="s">
        <v>93</v>
      </c>
      <c r="B173" s="79"/>
      <c r="C173" s="79"/>
      <c r="D173" s="79"/>
      <c r="E173" s="80"/>
      <c r="F173" s="190">
        <f t="shared" ref="F173:H173" si="190">SUM(F168:F172)</f>
        <v>4453.35</v>
      </c>
      <c r="G173" s="191">
        <f t="shared" si="190"/>
        <v>187</v>
      </c>
      <c r="H173" s="191">
        <f t="shared" si="190"/>
        <v>166</v>
      </c>
      <c r="I173" s="192">
        <f t="shared" si="185"/>
        <v>1.126506024</v>
      </c>
      <c r="J173" s="193">
        <f>F173/G173</f>
        <v>23.81470588</v>
      </c>
      <c r="K173" s="193">
        <f>J173/I173</f>
        <v>21.14032715</v>
      </c>
      <c r="L173" s="194">
        <f>SUM(L168:L172)</f>
        <v>2545</v>
      </c>
      <c r="M173" s="195">
        <f t="shared" si="188"/>
        <v>0.07347740668</v>
      </c>
      <c r="N173" s="190">
        <f t="shared" ref="N173:P173" si="191">SUM(N168:N172)</f>
        <v>1249.59</v>
      </c>
      <c r="O173" s="190">
        <f t="shared" si="191"/>
        <v>3356.6</v>
      </c>
      <c r="P173" s="196">
        <f t="shared" si="191"/>
        <v>124</v>
      </c>
      <c r="Q173" s="197">
        <f>sum(Q168:Q172)</f>
        <v>291268</v>
      </c>
      <c r="R173" s="195">
        <f t="shared" si="1"/>
        <v>0.3722784961</v>
      </c>
      <c r="S173" s="198">
        <f t="shared" si="2"/>
        <v>2.686161061</v>
      </c>
      <c r="T173" s="199">
        <f t="shared" si="189"/>
        <v>0.7537247241</v>
      </c>
      <c r="U173" s="80" t="str">
        <f>iferror((F173-#REF!)/F173,)</f>
        <v/>
      </c>
      <c r="V173" s="90" t="str">
        <f>iferror((H173-#REF!)/H173,)</f>
        <v/>
      </c>
      <c r="W173" s="2"/>
      <c r="X173" s="2"/>
      <c r="Y173" s="2"/>
      <c r="Z173" s="2"/>
    </row>
    <row r="174" hidden="1" outlineLevel="1">
      <c r="A174" s="56" t="str">
        <f>iferror(if(B174&gt;0,month(B174)&amp;"-"&amp;year(B174),B174),)</f>
        <v>6-2025</v>
      </c>
      <c r="B174" s="143">
        <v>45837.0</v>
      </c>
      <c r="C174" s="144"/>
      <c r="D174" s="145" t="s">
        <v>60</v>
      </c>
      <c r="E174" s="58"/>
      <c r="F174" s="146"/>
      <c r="G174" s="147"/>
      <c r="H174" s="147"/>
      <c r="I174" s="148"/>
      <c r="J174" s="149"/>
      <c r="K174" s="149"/>
      <c r="L174" s="150"/>
      <c r="M174" s="151"/>
      <c r="N174" s="152">
        <v>254.61</v>
      </c>
      <c r="O174" s="152">
        <v>536.64</v>
      </c>
      <c r="P174" s="153">
        <v>20.0</v>
      </c>
      <c r="Q174" s="154">
        <v>54274.0</v>
      </c>
      <c r="R174" s="155">
        <f t="shared" si="1"/>
        <v>0.4744521467</v>
      </c>
      <c r="S174" s="156">
        <f t="shared" si="2"/>
        <v>2.10769412</v>
      </c>
      <c r="T174" s="155" t="str">
        <f t="shared" si="189"/>
        <v>#DIV/0!</v>
      </c>
      <c r="U174" s="76"/>
      <c r="V174" s="77"/>
      <c r="W174" s="2"/>
      <c r="X174" s="2"/>
      <c r="Y174" s="2"/>
      <c r="Z174" s="2"/>
    </row>
    <row r="175" hidden="1" outlineLevel="1">
      <c r="A175" s="157"/>
      <c r="B175" s="158"/>
      <c r="C175" s="159" t="s">
        <v>12</v>
      </c>
      <c r="D175" s="160" t="s">
        <v>13</v>
      </c>
      <c r="E175" s="58"/>
      <c r="F175" s="161">
        <v>370.5</v>
      </c>
      <c r="G175" s="162">
        <v>19.0</v>
      </c>
      <c r="H175" s="162">
        <v>17.0</v>
      </c>
      <c r="I175" s="163">
        <f t="shared" ref="I175:I179" si="192">G175/H175</f>
        <v>1.117647059</v>
      </c>
      <c r="J175" s="164">
        <f t="shared" ref="J175:J178" si="193">F175/H175</f>
        <v>21.79411765</v>
      </c>
      <c r="K175" s="164">
        <f t="shared" ref="K175:K178" si="194">F175/G175</f>
        <v>19.5</v>
      </c>
      <c r="L175" s="165">
        <v>199.0</v>
      </c>
      <c r="M175" s="155">
        <f t="shared" ref="M175:M179" si="195">G175/L175</f>
        <v>0.09547738693</v>
      </c>
      <c r="N175" s="166">
        <v>4.45</v>
      </c>
      <c r="O175" s="166">
        <v>19.5</v>
      </c>
      <c r="P175" s="167">
        <v>1.0</v>
      </c>
      <c r="Q175" s="168">
        <v>1781.0</v>
      </c>
      <c r="R175" s="155">
        <f t="shared" si="1"/>
        <v>0.2282051282</v>
      </c>
      <c r="S175" s="156">
        <f t="shared" si="2"/>
        <v>4.382022472</v>
      </c>
      <c r="T175" s="155" t="str">
        <f>#REF!/#REF!</f>
        <v>#REF!</v>
      </c>
      <c r="U175" s="76"/>
      <c r="V175" s="77"/>
      <c r="W175" s="2"/>
      <c r="X175" s="2"/>
      <c r="Y175" s="2"/>
      <c r="Z175" s="2"/>
    </row>
    <row r="176" hidden="1" outlineLevel="1">
      <c r="A176" s="157" t="str">
        <f>iferror(if(D176&gt;0,month(D176)&amp;"-"&amp;year(D176),D176),)</f>
        <v/>
      </c>
      <c r="B176" s="158"/>
      <c r="C176" s="169" t="s">
        <v>61</v>
      </c>
      <c r="D176" s="170" t="s">
        <v>62</v>
      </c>
      <c r="E176" s="68"/>
      <c r="F176" s="164">
        <v>863.68</v>
      </c>
      <c r="G176" s="171">
        <v>33.0</v>
      </c>
      <c r="H176" s="171">
        <v>32.0</v>
      </c>
      <c r="I176" s="163">
        <f t="shared" si="192"/>
        <v>1.03125</v>
      </c>
      <c r="J176" s="164">
        <f t="shared" si="193"/>
        <v>26.99</v>
      </c>
      <c r="K176" s="164">
        <f t="shared" si="194"/>
        <v>26.17212121</v>
      </c>
      <c r="L176" s="165">
        <v>370.0</v>
      </c>
      <c r="M176" s="155">
        <f t="shared" si="195"/>
        <v>0.08918918919</v>
      </c>
      <c r="N176" s="172">
        <v>40.85</v>
      </c>
      <c r="O176" s="172">
        <v>75.23</v>
      </c>
      <c r="P176" s="173">
        <v>3.0</v>
      </c>
      <c r="Q176" s="174">
        <v>9727.0</v>
      </c>
      <c r="R176" s="155">
        <f t="shared" si="1"/>
        <v>0.5430014622</v>
      </c>
      <c r="S176" s="156">
        <f t="shared" si="2"/>
        <v>1.841615667</v>
      </c>
      <c r="T176" s="155">
        <f t="shared" ref="T176:T180" si="196">O176/F176</f>
        <v>0.08710402001</v>
      </c>
      <c r="U176" s="76"/>
      <c r="V176" s="77"/>
      <c r="W176" s="2"/>
      <c r="X176" s="2"/>
      <c r="Y176" s="2"/>
      <c r="Z176" s="2"/>
    </row>
    <row r="177" hidden="1" outlineLevel="1">
      <c r="A177" s="175"/>
      <c r="B177" s="158"/>
      <c r="C177" s="176" t="s">
        <v>14</v>
      </c>
      <c r="D177" s="177" t="s">
        <v>15</v>
      </c>
      <c r="E177" s="68"/>
      <c r="F177" s="164">
        <v>531.25</v>
      </c>
      <c r="G177" s="171">
        <v>25.0</v>
      </c>
      <c r="H177" s="171">
        <v>23.0</v>
      </c>
      <c r="I177" s="163">
        <f t="shared" si="192"/>
        <v>1.086956522</v>
      </c>
      <c r="J177" s="164">
        <f t="shared" si="193"/>
        <v>23.09782609</v>
      </c>
      <c r="K177" s="164">
        <f t="shared" si="194"/>
        <v>21.25</v>
      </c>
      <c r="L177" s="165">
        <v>250.0</v>
      </c>
      <c r="M177" s="155">
        <f t="shared" si="195"/>
        <v>0.1</v>
      </c>
      <c r="N177" s="178">
        <v>24.39</v>
      </c>
      <c r="O177" s="178">
        <v>175.74</v>
      </c>
      <c r="P177" s="179">
        <v>7.0</v>
      </c>
      <c r="Q177" s="180">
        <v>3469.0</v>
      </c>
      <c r="R177" s="155">
        <f t="shared" si="1"/>
        <v>0.1387845681</v>
      </c>
      <c r="S177" s="156">
        <f t="shared" si="2"/>
        <v>7.205412054</v>
      </c>
      <c r="T177" s="155">
        <f t="shared" si="196"/>
        <v>0.3308047059</v>
      </c>
      <c r="U177" s="76"/>
      <c r="V177" s="77"/>
      <c r="W177" s="2"/>
      <c r="X177" s="2"/>
      <c r="Y177" s="2"/>
      <c r="Z177" s="2"/>
    </row>
    <row r="178" hidden="1" outlineLevel="1">
      <c r="A178" s="56" t="str">
        <f>iferror(if(B178&gt;0,month(B178)&amp;"-"&amp;year(B178),B178),)</f>
        <v>7-2025</v>
      </c>
      <c r="B178" s="143">
        <v>45843.0</v>
      </c>
      <c r="C178" s="181" t="s">
        <v>63</v>
      </c>
      <c r="D178" s="182" t="s">
        <v>64</v>
      </c>
      <c r="E178" s="68"/>
      <c r="F178" s="164">
        <v>599.76</v>
      </c>
      <c r="G178" s="171">
        <v>25.0</v>
      </c>
      <c r="H178" s="171">
        <v>21.0</v>
      </c>
      <c r="I178" s="163">
        <f t="shared" si="192"/>
        <v>1.19047619</v>
      </c>
      <c r="J178" s="164">
        <f t="shared" si="193"/>
        <v>28.56</v>
      </c>
      <c r="K178" s="164">
        <f t="shared" si="194"/>
        <v>23.9904</v>
      </c>
      <c r="L178" s="165">
        <v>305.0</v>
      </c>
      <c r="M178" s="155">
        <f t="shared" si="195"/>
        <v>0.08196721311</v>
      </c>
      <c r="N178" s="183">
        <v>19.85</v>
      </c>
      <c r="O178" s="183">
        <v>49.98</v>
      </c>
      <c r="P178" s="184">
        <v>2.0</v>
      </c>
      <c r="Q178" s="185">
        <v>5736.0</v>
      </c>
      <c r="R178" s="155">
        <f t="shared" si="1"/>
        <v>0.3971588635</v>
      </c>
      <c r="S178" s="156">
        <f t="shared" si="2"/>
        <v>2.517884131</v>
      </c>
      <c r="T178" s="155">
        <f t="shared" si="196"/>
        <v>0.08333333333</v>
      </c>
      <c r="U178" s="76"/>
      <c r="V178" s="77"/>
      <c r="W178" s="2"/>
      <c r="X178" s="2"/>
      <c r="Y178" s="2"/>
      <c r="Z178" s="2"/>
    </row>
    <row r="179" collapsed="1">
      <c r="A179" s="78" t="s">
        <v>94</v>
      </c>
      <c r="B179" s="79"/>
      <c r="C179" s="79"/>
      <c r="D179" s="79"/>
      <c r="E179" s="80"/>
      <c r="F179" s="190">
        <f t="shared" ref="F179:H179" si="197">SUM(F174:F178)</f>
        <v>2365.19</v>
      </c>
      <c r="G179" s="191">
        <f t="shared" si="197"/>
        <v>102</v>
      </c>
      <c r="H179" s="191">
        <f t="shared" si="197"/>
        <v>93</v>
      </c>
      <c r="I179" s="192">
        <f t="shared" si="192"/>
        <v>1.096774194</v>
      </c>
      <c r="J179" s="193">
        <f>F179/G179</f>
        <v>23.18813725</v>
      </c>
      <c r="K179" s="193">
        <f>J179/I179</f>
        <v>21.14212514</v>
      </c>
      <c r="L179" s="194">
        <f>SUM(L174:L178)</f>
        <v>1124</v>
      </c>
      <c r="M179" s="195">
        <f t="shared" si="195"/>
        <v>0.09074733096</v>
      </c>
      <c r="N179" s="190">
        <f t="shared" ref="N179:P179" si="198">SUM(N174:N178)</f>
        <v>344.15</v>
      </c>
      <c r="O179" s="190">
        <f t="shared" si="198"/>
        <v>857.09</v>
      </c>
      <c r="P179" s="196">
        <f t="shared" si="198"/>
        <v>33</v>
      </c>
      <c r="Q179" s="197">
        <f>sum(Q174:Q178)</f>
        <v>74987</v>
      </c>
      <c r="R179" s="195">
        <f t="shared" si="1"/>
        <v>0.4015330945</v>
      </c>
      <c r="S179" s="198">
        <f t="shared" si="2"/>
        <v>2.490454744</v>
      </c>
      <c r="T179" s="199">
        <f t="shared" si="196"/>
        <v>0.3623768069</v>
      </c>
      <c r="U179" s="80" t="str">
        <f>iferror((F179-#REF!)/F179,)</f>
        <v/>
      </c>
      <c r="V179" s="90" t="str">
        <f>iferror((H179-#REF!)/H179,)</f>
        <v/>
      </c>
      <c r="W179" s="2"/>
      <c r="X179" s="2"/>
      <c r="Y179" s="2"/>
      <c r="Z179" s="2"/>
    </row>
    <row r="180" hidden="1" outlineLevel="1">
      <c r="A180" s="56" t="str">
        <f>iferror(if(B180&gt;0,month(B180)&amp;"-"&amp;year(B180),B180),)</f>
        <v>7-2025</v>
      </c>
      <c r="B180" s="143">
        <v>45844.0</v>
      </c>
      <c r="C180" s="144"/>
      <c r="D180" s="145" t="s">
        <v>60</v>
      </c>
      <c r="E180" s="58"/>
      <c r="F180" s="146"/>
      <c r="G180" s="147"/>
      <c r="H180" s="147"/>
      <c r="I180" s="148"/>
      <c r="J180" s="149"/>
      <c r="K180" s="149"/>
      <c r="L180" s="150"/>
      <c r="M180" s="151"/>
      <c r="N180" s="152">
        <v>727.4</v>
      </c>
      <c r="O180" s="152">
        <v>1431.48</v>
      </c>
      <c r="P180" s="153">
        <v>54.0</v>
      </c>
      <c r="Q180" s="154">
        <v>183362.0</v>
      </c>
      <c r="R180" s="155">
        <f t="shared" si="1"/>
        <v>0.5081454159</v>
      </c>
      <c r="S180" s="156">
        <f t="shared" si="2"/>
        <v>1.96794061</v>
      </c>
      <c r="T180" s="155" t="str">
        <f t="shared" si="196"/>
        <v>#DIV/0!</v>
      </c>
      <c r="U180" s="76"/>
      <c r="V180" s="77"/>
      <c r="W180" s="2"/>
      <c r="X180" s="2"/>
      <c r="Y180" s="2"/>
      <c r="Z180" s="2"/>
    </row>
    <row r="181" hidden="1" outlineLevel="1">
      <c r="A181" s="157"/>
      <c r="B181" s="158"/>
      <c r="C181" s="159" t="s">
        <v>12</v>
      </c>
      <c r="D181" s="160" t="s">
        <v>13</v>
      </c>
      <c r="E181" s="58"/>
      <c r="F181" s="161">
        <v>390.0</v>
      </c>
      <c r="G181" s="162">
        <v>22.0</v>
      </c>
      <c r="H181" s="162">
        <v>18.0</v>
      </c>
      <c r="I181" s="163">
        <f t="shared" ref="I181:I185" si="199">G181/H181</f>
        <v>1.222222222</v>
      </c>
      <c r="J181" s="164">
        <f t="shared" ref="J181:J184" si="200">F181/H181</f>
        <v>21.66666667</v>
      </c>
      <c r="K181" s="164">
        <f t="shared" ref="K181:K184" si="201">F181/G181</f>
        <v>17.72727273</v>
      </c>
      <c r="L181" s="165">
        <v>360.0</v>
      </c>
      <c r="M181" s="155">
        <f t="shared" ref="M181:M185" si="202">G181/L181</f>
        <v>0.06111111111</v>
      </c>
      <c r="N181" s="166">
        <v>10.87</v>
      </c>
      <c r="O181" s="166">
        <v>19.5</v>
      </c>
      <c r="P181" s="167">
        <v>1.0</v>
      </c>
      <c r="Q181" s="168">
        <v>5290.0</v>
      </c>
      <c r="R181" s="155">
        <f t="shared" si="1"/>
        <v>0.5574358974</v>
      </c>
      <c r="S181" s="156">
        <f t="shared" si="2"/>
        <v>1.793928243</v>
      </c>
      <c r="T181" s="155" t="str">
        <f>#REF!/#REF!</f>
        <v>#REF!</v>
      </c>
      <c r="U181" s="76"/>
      <c r="V181" s="77"/>
      <c r="W181" s="2"/>
      <c r="X181" s="2"/>
      <c r="Y181" s="2"/>
      <c r="Z181" s="2"/>
    </row>
    <row r="182" hidden="1" outlineLevel="1">
      <c r="A182" s="157" t="str">
        <f>iferror(if(D182&gt;0,month(D182)&amp;"-"&amp;year(D182),D182),)</f>
        <v/>
      </c>
      <c r="B182" s="158"/>
      <c r="C182" s="169" t="s">
        <v>61</v>
      </c>
      <c r="D182" s="170" t="s">
        <v>62</v>
      </c>
      <c r="E182" s="68"/>
      <c r="F182" s="164">
        <v>2132.21</v>
      </c>
      <c r="G182" s="171">
        <v>80.0</v>
      </c>
      <c r="H182" s="171">
        <v>73.0</v>
      </c>
      <c r="I182" s="163">
        <f t="shared" si="199"/>
        <v>1.095890411</v>
      </c>
      <c r="J182" s="164">
        <f t="shared" si="200"/>
        <v>29.20835616</v>
      </c>
      <c r="K182" s="164">
        <f t="shared" si="201"/>
        <v>26.652625</v>
      </c>
      <c r="L182" s="165">
        <v>1006.0</v>
      </c>
      <c r="M182" s="155">
        <f t="shared" si="202"/>
        <v>0.07952286282</v>
      </c>
      <c r="N182" s="172">
        <v>378.86</v>
      </c>
      <c r="O182" s="172">
        <v>800.5</v>
      </c>
      <c r="P182" s="173">
        <v>29.0</v>
      </c>
      <c r="Q182" s="174">
        <v>74617.0</v>
      </c>
      <c r="R182" s="155">
        <f t="shared" si="1"/>
        <v>0.4732792005</v>
      </c>
      <c r="S182" s="156">
        <f t="shared" si="2"/>
        <v>2.1129177</v>
      </c>
      <c r="T182" s="155">
        <f t="shared" ref="T182:T186" si="203">O182/F182</f>
        <v>0.3754320634</v>
      </c>
      <c r="U182" s="76"/>
      <c r="V182" s="77"/>
      <c r="W182" s="2"/>
      <c r="X182" s="2"/>
      <c r="Y182" s="2"/>
      <c r="Z182" s="2"/>
    </row>
    <row r="183" hidden="1" outlineLevel="1">
      <c r="A183" s="175"/>
      <c r="B183" s="158"/>
      <c r="C183" s="176" t="s">
        <v>14</v>
      </c>
      <c r="D183" s="177" t="s">
        <v>15</v>
      </c>
      <c r="E183" s="68"/>
      <c r="F183" s="164">
        <v>956.25</v>
      </c>
      <c r="G183" s="171">
        <v>45.0</v>
      </c>
      <c r="H183" s="171">
        <v>40.0</v>
      </c>
      <c r="I183" s="163">
        <f t="shared" si="199"/>
        <v>1.125</v>
      </c>
      <c r="J183" s="164">
        <f t="shared" si="200"/>
        <v>23.90625</v>
      </c>
      <c r="K183" s="164">
        <f t="shared" si="201"/>
        <v>21.25</v>
      </c>
      <c r="L183" s="165">
        <v>557.0</v>
      </c>
      <c r="M183" s="155">
        <f t="shared" si="202"/>
        <v>0.08078994614</v>
      </c>
      <c r="N183" s="178">
        <v>90.79</v>
      </c>
      <c r="O183" s="178">
        <v>127.5</v>
      </c>
      <c r="P183" s="179">
        <v>6.0</v>
      </c>
      <c r="Q183" s="180">
        <v>20423.0</v>
      </c>
      <c r="R183" s="155">
        <f t="shared" si="1"/>
        <v>0.7120784314</v>
      </c>
      <c r="S183" s="156">
        <f t="shared" si="2"/>
        <v>1.404339685</v>
      </c>
      <c r="T183" s="155">
        <f t="shared" si="203"/>
        <v>0.1333333333</v>
      </c>
      <c r="U183" s="76"/>
      <c r="V183" s="77"/>
      <c r="W183" s="2"/>
      <c r="X183" s="2"/>
      <c r="Y183" s="2"/>
      <c r="Z183" s="2"/>
    </row>
    <row r="184" hidden="1" outlineLevel="1">
      <c r="A184" s="56" t="str">
        <f>iferror(if(B184&gt;0,month(B184)&amp;"-"&amp;year(B184),B184),)</f>
        <v>7-2025</v>
      </c>
      <c r="B184" s="143">
        <v>45850.0</v>
      </c>
      <c r="C184" s="181" t="s">
        <v>63</v>
      </c>
      <c r="D184" s="182" t="s">
        <v>64</v>
      </c>
      <c r="E184" s="68"/>
      <c r="F184" s="164">
        <v>599.76</v>
      </c>
      <c r="G184" s="171">
        <v>25.0</v>
      </c>
      <c r="H184" s="171">
        <v>22.0</v>
      </c>
      <c r="I184" s="163">
        <f t="shared" si="199"/>
        <v>1.136363636</v>
      </c>
      <c r="J184" s="164">
        <f t="shared" si="200"/>
        <v>27.26181818</v>
      </c>
      <c r="K184" s="164">
        <f t="shared" si="201"/>
        <v>23.9904</v>
      </c>
      <c r="L184" s="165">
        <v>559.0</v>
      </c>
      <c r="M184" s="155">
        <f t="shared" si="202"/>
        <v>0.04472271914</v>
      </c>
      <c r="N184" s="183">
        <v>91.18</v>
      </c>
      <c r="O184" s="183">
        <v>153.94</v>
      </c>
      <c r="P184" s="184">
        <v>7.0</v>
      </c>
      <c r="Q184" s="185">
        <v>28117.0</v>
      </c>
      <c r="R184" s="155">
        <f t="shared" si="1"/>
        <v>0.5923086917</v>
      </c>
      <c r="S184" s="156">
        <f t="shared" si="2"/>
        <v>1.68830884</v>
      </c>
      <c r="T184" s="155">
        <f t="shared" si="203"/>
        <v>0.2566693344</v>
      </c>
      <c r="U184" s="76"/>
      <c r="V184" s="77"/>
      <c r="W184" s="2"/>
      <c r="X184" s="2"/>
      <c r="Y184" s="2"/>
      <c r="Z184" s="2"/>
    </row>
    <row r="185" collapsed="1">
      <c r="A185" s="78" t="s">
        <v>95</v>
      </c>
      <c r="B185" s="79"/>
      <c r="C185" s="79"/>
      <c r="D185" s="79"/>
      <c r="E185" s="80"/>
      <c r="F185" s="190">
        <f t="shared" ref="F185:H185" si="204">SUM(F180:F184)</f>
        <v>4078.22</v>
      </c>
      <c r="G185" s="191">
        <f t="shared" si="204"/>
        <v>172</v>
      </c>
      <c r="H185" s="191">
        <f t="shared" si="204"/>
        <v>153</v>
      </c>
      <c r="I185" s="192">
        <f t="shared" si="199"/>
        <v>1.124183007</v>
      </c>
      <c r="J185" s="193">
        <f>F185/G185</f>
        <v>23.7105814</v>
      </c>
      <c r="K185" s="193">
        <f>J185/I185</f>
        <v>21.09138926</v>
      </c>
      <c r="L185" s="194">
        <f>SUM(L180:L184)</f>
        <v>2482</v>
      </c>
      <c r="M185" s="195">
        <f t="shared" si="202"/>
        <v>0.06929895246</v>
      </c>
      <c r="N185" s="190">
        <f t="shared" ref="N185:P185" si="205">SUM(N180:N184)</f>
        <v>1299.1</v>
      </c>
      <c r="O185" s="190">
        <f t="shared" si="205"/>
        <v>2532.92</v>
      </c>
      <c r="P185" s="196">
        <f t="shared" si="205"/>
        <v>97</v>
      </c>
      <c r="Q185" s="197">
        <f>sum(Q180:Q184)</f>
        <v>311809</v>
      </c>
      <c r="R185" s="195">
        <f t="shared" si="1"/>
        <v>0.512886313</v>
      </c>
      <c r="S185" s="198">
        <f t="shared" si="2"/>
        <v>1.949749827</v>
      </c>
      <c r="T185" s="199">
        <f t="shared" si="203"/>
        <v>0.6210846889</v>
      </c>
      <c r="U185" s="80" t="str">
        <f>iferror((F185-#REF!)/F185,)</f>
        <v/>
      </c>
      <c r="V185" s="90" t="str">
        <f>iferror((H185-#REF!)/H185,)</f>
        <v/>
      </c>
      <c r="W185" s="2"/>
      <c r="X185" s="2"/>
      <c r="Y185" s="2"/>
      <c r="Z185" s="2"/>
    </row>
    <row r="186" hidden="1" outlineLevel="1">
      <c r="A186" s="56" t="str">
        <f>iferror(if(B186&gt;0,month(B186)&amp;"-"&amp;year(B186),B186),)</f>
        <v>7-2025</v>
      </c>
      <c r="B186" s="143">
        <v>45851.0</v>
      </c>
      <c r="C186" s="144"/>
      <c r="D186" s="145" t="s">
        <v>60</v>
      </c>
      <c r="E186" s="58"/>
      <c r="F186" s="146"/>
      <c r="G186" s="147"/>
      <c r="H186" s="147"/>
      <c r="I186" s="148"/>
      <c r="J186" s="149"/>
      <c r="K186" s="149"/>
      <c r="L186" s="150"/>
      <c r="M186" s="151"/>
      <c r="N186" s="152">
        <v>554.53</v>
      </c>
      <c r="O186" s="152">
        <v>1356.61</v>
      </c>
      <c r="P186" s="153">
        <v>53.0</v>
      </c>
      <c r="Q186" s="154">
        <v>157711.0</v>
      </c>
      <c r="R186" s="155">
        <f t="shared" si="1"/>
        <v>0.4087615453</v>
      </c>
      <c r="S186" s="156">
        <f t="shared" si="2"/>
        <v>2.44641408</v>
      </c>
      <c r="T186" s="155" t="str">
        <f t="shared" si="203"/>
        <v>#DIV/0!</v>
      </c>
      <c r="U186" s="76"/>
      <c r="V186" s="77"/>
      <c r="W186" s="2"/>
      <c r="X186" s="2"/>
      <c r="Y186" s="2"/>
      <c r="Z186" s="2"/>
    </row>
    <row r="187" hidden="1" outlineLevel="1">
      <c r="A187" s="157"/>
      <c r="B187" s="158"/>
      <c r="C187" s="159" t="s">
        <v>12</v>
      </c>
      <c r="D187" s="160" t="s">
        <v>13</v>
      </c>
      <c r="E187" s="58"/>
      <c r="F187" s="161">
        <v>526.5</v>
      </c>
      <c r="G187" s="162">
        <v>28.0</v>
      </c>
      <c r="H187" s="162">
        <v>23.0</v>
      </c>
      <c r="I187" s="163">
        <f t="shared" ref="I187:I191" si="206">G187/H187</f>
        <v>1.217391304</v>
      </c>
      <c r="J187" s="164">
        <f t="shared" ref="J187:J190" si="207">F187/H187</f>
        <v>22.89130435</v>
      </c>
      <c r="K187" s="164">
        <f t="shared" ref="K187:K190" si="208">F187/G187</f>
        <v>18.80357143</v>
      </c>
      <c r="L187" s="165">
        <v>318.0</v>
      </c>
      <c r="M187" s="155">
        <f t="shared" ref="M187:M191" si="209">G187/L187</f>
        <v>0.08805031447</v>
      </c>
      <c r="N187" s="166">
        <v>12.01</v>
      </c>
      <c r="O187" s="166">
        <v>99.96</v>
      </c>
      <c r="P187" s="167">
        <v>1.0</v>
      </c>
      <c r="Q187" s="168">
        <v>8221.0</v>
      </c>
      <c r="R187" s="155">
        <f t="shared" si="1"/>
        <v>0.1201480592</v>
      </c>
      <c r="S187" s="156">
        <f t="shared" si="2"/>
        <v>8.323064113</v>
      </c>
      <c r="T187" s="155" t="str">
        <f>#REF!/#REF!</f>
        <v>#REF!</v>
      </c>
      <c r="U187" s="76"/>
      <c r="V187" s="77"/>
      <c r="W187" s="2"/>
      <c r="X187" s="2"/>
      <c r="Y187" s="2"/>
      <c r="Z187" s="2"/>
    </row>
    <row r="188" hidden="1" outlineLevel="1">
      <c r="A188" s="157" t="str">
        <f>iferror(if(D188&gt;0,month(D188)&amp;"-"&amp;year(D188),D188),)</f>
        <v/>
      </c>
      <c r="B188" s="158"/>
      <c r="C188" s="169" t="s">
        <v>61</v>
      </c>
      <c r="D188" s="170" t="s">
        <v>62</v>
      </c>
      <c r="E188" s="68"/>
      <c r="F188" s="164">
        <v>107.96</v>
      </c>
      <c r="G188" s="171">
        <v>4.0</v>
      </c>
      <c r="H188" s="171">
        <v>3.0</v>
      </c>
      <c r="I188" s="163">
        <f t="shared" si="206"/>
        <v>1.333333333</v>
      </c>
      <c r="J188" s="164">
        <f t="shared" si="207"/>
        <v>35.98666667</v>
      </c>
      <c r="K188" s="164">
        <f t="shared" si="208"/>
        <v>26.99</v>
      </c>
      <c r="L188" s="165">
        <v>152.0</v>
      </c>
      <c r="M188" s="155">
        <f t="shared" si="209"/>
        <v>0.02631578947</v>
      </c>
      <c r="N188" s="172">
        <v>23.94</v>
      </c>
      <c r="O188" s="172">
        <v>53.98</v>
      </c>
      <c r="P188" s="173">
        <v>1.0</v>
      </c>
      <c r="Q188" s="174">
        <v>6442.0</v>
      </c>
      <c r="R188" s="155">
        <f t="shared" si="1"/>
        <v>0.4434975917</v>
      </c>
      <c r="S188" s="156">
        <f t="shared" si="2"/>
        <v>2.254803676</v>
      </c>
      <c r="T188" s="155">
        <f t="shared" ref="T188:T192" si="210">O188/F188</f>
        <v>0.5</v>
      </c>
      <c r="U188" s="76"/>
      <c r="V188" s="77"/>
      <c r="W188" s="2"/>
      <c r="X188" s="2"/>
      <c r="Y188" s="2"/>
      <c r="Z188" s="2"/>
    </row>
    <row r="189" hidden="1" outlineLevel="1">
      <c r="A189" s="175"/>
      <c r="B189" s="158"/>
      <c r="C189" s="176" t="s">
        <v>14</v>
      </c>
      <c r="D189" s="177" t="s">
        <v>15</v>
      </c>
      <c r="E189" s="68"/>
      <c r="F189" s="164">
        <v>913.75</v>
      </c>
      <c r="G189" s="171">
        <v>43.0</v>
      </c>
      <c r="H189" s="171">
        <v>41.0</v>
      </c>
      <c r="I189" s="163">
        <f t="shared" si="206"/>
        <v>1.048780488</v>
      </c>
      <c r="J189" s="164">
        <f t="shared" si="207"/>
        <v>22.28658537</v>
      </c>
      <c r="K189" s="164">
        <f t="shared" si="208"/>
        <v>21.25</v>
      </c>
      <c r="L189" s="165">
        <v>533.0</v>
      </c>
      <c r="M189" s="155">
        <f t="shared" si="209"/>
        <v>0.08067542214</v>
      </c>
      <c r="N189" s="178">
        <v>62.63</v>
      </c>
      <c r="O189" s="178">
        <v>85.0</v>
      </c>
      <c r="P189" s="179">
        <v>4.0</v>
      </c>
      <c r="Q189" s="180">
        <v>11556.0</v>
      </c>
      <c r="R189" s="155">
        <f t="shared" si="1"/>
        <v>0.7368235294</v>
      </c>
      <c r="S189" s="156">
        <f t="shared" si="2"/>
        <v>1.357177072</v>
      </c>
      <c r="T189" s="155">
        <f t="shared" si="210"/>
        <v>0.09302325581</v>
      </c>
      <c r="U189" s="76"/>
      <c r="V189" s="77"/>
      <c r="W189" s="2"/>
      <c r="X189" s="2"/>
      <c r="Y189" s="2"/>
      <c r="Z189" s="2"/>
    </row>
    <row r="190" hidden="1" outlineLevel="1">
      <c r="A190" s="56" t="str">
        <f>iferror(if(B190&gt;0,month(B190)&amp;"-"&amp;year(B190),B190),)</f>
        <v>7-2025</v>
      </c>
      <c r="B190" s="143">
        <v>45857.0</v>
      </c>
      <c r="C190" s="181" t="s">
        <v>63</v>
      </c>
      <c r="D190" s="182" t="s">
        <v>64</v>
      </c>
      <c r="E190" s="68"/>
      <c r="F190" s="164">
        <v>649.74</v>
      </c>
      <c r="G190" s="171">
        <v>26.0</v>
      </c>
      <c r="H190" s="171">
        <v>17.0</v>
      </c>
      <c r="I190" s="163">
        <f t="shared" si="206"/>
        <v>1.529411765</v>
      </c>
      <c r="J190" s="164">
        <f t="shared" si="207"/>
        <v>38.22</v>
      </c>
      <c r="K190" s="164">
        <f t="shared" si="208"/>
        <v>24.99</v>
      </c>
      <c r="L190" s="165">
        <v>492.0</v>
      </c>
      <c r="M190" s="155">
        <f t="shared" si="209"/>
        <v>0.05284552846</v>
      </c>
      <c r="N190" s="183">
        <v>60.27</v>
      </c>
      <c r="O190" s="183">
        <v>88.74</v>
      </c>
      <c r="P190" s="184">
        <v>4.0</v>
      </c>
      <c r="Q190" s="185">
        <v>16941.0</v>
      </c>
      <c r="R190" s="155">
        <f t="shared" si="1"/>
        <v>0.6791751183</v>
      </c>
      <c r="S190" s="156">
        <f t="shared" si="2"/>
        <v>1.472374316</v>
      </c>
      <c r="T190" s="155">
        <f t="shared" si="210"/>
        <v>0.136577708</v>
      </c>
      <c r="U190" s="76"/>
      <c r="V190" s="77"/>
      <c r="W190" s="2"/>
      <c r="X190" s="2"/>
      <c r="Y190" s="2"/>
      <c r="Z190" s="2"/>
    </row>
    <row r="191" collapsed="1">
      <c r="A191" s="78" t="s">
        <v>96</v>
      </c>
      <c r="B191" s="79"/>
      <c r="C191" s="79"/>
      <c r="D191" s="79"/>
      <c r="E191" s="80"/>
      <c r="F191" s="190">
        <f t="shared" ref="F191:H191" si="211">SUM(F186:F190)</f>
        <v>2197.95</v>
      </c>
      <c r="G191" s="191">
        <f t="shared" si="211"/>
        <v>101</v>
      </c>
      <c r="H191" s="191">
        <f t="shared" si="211"/>
        <v>84</v>
      </c>
      <c r="I191" s="192">
        <f t="shared" si="206"/>
        <v>1.202380952</v>
      </c>
      <c r="J191" s="193">
        <f>F191/G191</f>
        <v>21.76188119</v>
      </c>
      <c r="K191" s="193">
        <f>J191/I191</f>
        <v>18.0989903</v>
      </c>
      <c r="L191" s="194">
        <f>SUM(L186:L190)</f>
        <v>1495</v>
      </c>
      <c r="M191" s="195">
        <f t="shared" si="209"/>
        <v>0.06755852843</v>
      </c>
      <c r="N191" s="190">
        <f t="shared" ref="N191:P191" si="212">SUM(N186:N190)</f>
        <v>713.38</v>
      </c>
      <c r="O191" s="190">
        <f t="shared" si="212"/>
        <v>1684.29</v>
      </c>
      <c r="P191" s="196">
        <f t="shared" si="212"/>
        <v>63</v>
      </c>
      <c r="Q191" s="197">
        <f>sum(Q186:Q190)</f>
        <v>200871</v>
      </c>
      <c r="R191" s="195">
        <f t="shared" si="1"/>
        <v>0.4235493888</v>
      </c>
      <c r="S191" s="198">
        <f t="shared" si="2"/>
        <v>2.360999748</v>
      </c>
      <c r="T191" s="199">
        <f t="shared" si="210"/>
        <v>0.7663004163</v>
      </c>
      <c r="U191" s="80" t="str">
        <f>iferror((F191-#REF!)/F191,)</f>
        <v/>
      </c>
      <c r="V191" s="90" t="str">
        <f>iferror((H191-#REF!)/H191,)</f>
        <v/>
      </c>
      <c r="W191" s="2"/>
      <c r="X191" s="2"/>
      <c r="Y191" s="2"/>
      <c r="Z191" s="2"/>
    </row>
    <row r="192" hidden="1" outlineLevel="1">
      <c r="A192" s="56" t="str">
        <f>iferror(if(B192&gt;0,month(B192)&amp;"-"&amp;year(B192),B192),)</f>
        <v>7-2025</v>
      </c>
      <c r="B192" s="143">
        <v>45858.0</v>
      </c>
      <c r="C192" s="144"/>
      <c r="D192" s="145" t="s">
        <v>60</v>
      </c>
      <c r="E192" s="58"/>
      <c r="F192" s="146"/>
      <c r="G192" s="147"/>
      <c r="H192" s="147"/>
      <c r="I192" s="148"/>
      <c r="J192" s="149"/>
      <c r="K192" s="149"/>
      <c r="L192" s="150"/>
      <c r="M192" s="151"/>
      <c r="N192" s="152">
        <v>0.0</v>
      </c>
      <c r="O192" s="152">
        <v>0.0</v>
      </c>
      <c r="P192" s="153">
        <v>0.0</v>
      </c>
      <c r="Q192" s="154">
        <v>0.0</v>
      </c>
      <c r="R192" s="155" t="str">
        <f t="shared" si="1"/>
        <v>#DIV/0!</v>
      </c>
      <c r="S192" s="156" t="str">
        <f t="shared" si="2"/>
        <v>#DIV/0!</v>
      </c>
      <c r="T192" s="155" t="str">
        <f t="shared" si="210"/>
        <v>#DIV/0!</v>
      </c>
      <c r="U192" s="76"/>
      <c r="V192" s="77"/>
      <c r="W192" s="2"/>
      <c r="X192" s="2"/>
      <c r="Y192" s="2"/>
      <c r="Z192" s="2"/>
    </row>
    <row r="193" hidden="1" outlineLevel="1">
      <c r="A193" s="157"/>
      <c r="B193" s="158"/>
      <c r="C193" s="159" t="s">
        <v>12</v>
      </c>
      <c r="D193" s="160" t="s">
        <v>13</v>
      </c>
      <c r="E193" s="58"/>
      <c r="F193" s="161">
        <v>351.0</v>
      </c>
      <c r="G193" s="162">
        <v>18.0</v>
      </c>
      <c r="H193" s="162">
        <v>14.0</v>
      </c>
      <c r="I193" s="163">
        <f t="shared" ref="I193:I197" si="213">G193/H193</f>
        <v>1.285714286</v>
      </c>
      <c r="J193" s="164">
        <f t="shared" ref="J193:J196" si="214">F193/H193</f>
        <v>25.07142857</v>
      </c>
      <c r="K193" s="164">
        <f t="shared" ref="K193:K196" si="215">F193/G193</f>
        <v>19.5</v>
      </c>
      <c r="L193" s="165">
        <v>119.0</v>
      </c>
      <c r="M193" s="155">
        <f t="shared" ref="M193:M197" si="216">G193/L193</f>
        <v>0.1512605042</v>
      </c>
      <c r="N193" s="166">
        <v>0.0</v>
      </c>
      <c r="O193" s="166">
        <v>0.0</v>
      </c>
      <c r="P193" s="167">
        <v>0.0</v>
      </c>
      <c r="Q193" s="168">
        <v>0.0</v>
      </c>
      <c r="R193" s="155" t="str">
        <f t="shared" si="1"/>
        <v>#DIV/0!</v>
      </c>
      <c r="S193" s="156" t="str">
        <f t="shared" si="2"/>
        <v>#DIV/0!</v>
      </c>
      <c r="T193" s="155" t="str">
        <f>#REF!/#REF!</f>
        <v>#REF!</v>
      </c>
      <c r="U193" s="76"/>
      <c r="V193" s="77"/>
      <c r="W193" s="2"/>
      <c r="X193" s="2"/>
      <c r="Y193" s="2"/>
      <c r="Z193" s="2"/>
    </row>
    <row r="194" hidden="1" outlineLevel="1">
      <c r="A194" s="157" t="str">
        <f>iferror(if(D194&gt;0,month(D194)&amp;"-"&amp;year(D194),D194),)</f>
        <v/>
      </c>
      <c r="B194" s="158"/>
      <c r="C194" s="169" t="s">
        <v>61</v>
      </c>
      <c r="D194" s="170" t="s">
        <v>62</v>
      </c>
      <c r="E194" s="68"/>
      <c r="F194" s="164">
        <v>26.99</v>
      </c>
      <c r="G194" s="171">
        <v>1.0</v>
      </c>
      <c r="H194" s="171">
        <v>1.0</v>
      </c>
      <c r="I194" s="163">
        <f t="shared" si="213"/>
        <v>1</v>
      </c>
      <c r="J194" s="164">
        <f t="shared" si="214"/>
        <v>26.99</v>
      </c>
      <c r="K194" s="164">
        <f t="shared" si="215"/>
        <v>26.99</v>
      </c>
      <c r="L194" s="165">
        <v>13.0</v>
      </c>
      <c r="M194" s="155">
        <f t="shared" si="216"/>
        <v>0.07692307692</v>
      </c>
      <c r="N194" s="172">
        <v>0.0</v>
      </c>
      <c r="O194" s="172">
        <v>0.0</v>
      </c>
      <c r="P194" s="173">
        <v>0.0</v>
      </c>
      <c r="Q194" s="174">
        <v>0.0</v>
      </c>
      <c r="R194" s="155" t="str">
        <f t="shared" si="1"/>
        <v>#DIV/0!</v>
      </c>
      <c r="S194" s="156" t="str">
        <f t="shared" si="2"/>
        <v>#DIV/0!</v>
      </c>
      <c r="T194" s="155">
        <f t="shared" ref="T194:T198" si="217">O194/F194</f>
        <v>0</v>
      </c>
      <c r="U194" s="76"/>
      <c r="V194" s="77"/>
      <c r="W194" s="2"/>
      <c r="X194" s="2"/>
      <c r="Y194" s="2"/>
      <c r="Z194" s="2"/>
    </row>
    <row r="195" hidden="1" outlineLevel="1">
      <c r="A195" s="175"/>
      <c r="B195" s="158"/>
      <c r="C195" s="176" t="s">
        <v>14</v>
      </c>
      <c r="D195" s="177" t="s">
        <v>15</v>
      </c>
      <c r="E195" s="68"/>
      <c r="F195" s="164">
        <v>382.5</v>
      </c>
      <c r="G195" s="171">
        <v>18.0</v>
      </c>
      <c r="H195" s="171">
        <v>18.0</v>
      </c>
      <c r="I195" s="163">
        <f t="shared" si="213"/>
        <v>1</v>
      </c>
      <c r="J195" s="164">
        <f t="shared" si="214"/>
        <v>21.25</v>
      </c>
      <c r="K195" s="164">
        <f t="shared" si="215"/>
        <v>21.25</v>
      </c>
      <c r="L195" s="165">
        <v>132.0</v>
      </c>
      <c r="M195" s="155">
        <f t="shared" si="216"/>
        <v>0.1363636364</v>
      </c>
      <c r="N195" s="178">
        <v>0.0</v>
      </c>
      <c r="O195" s="178">
        <v>0.0</v>
      </c>
      <c r="P195" s="179">
        <v>0.0</v>
      </c>
      <c r="Q195" s="180">
        <v>0.0</v>
      </c>
      <c r="R195" s="155" t="str">
        <f t="shared" si="1"/>
        <v>#DIV/0!</v>
      </c>
      <c r="S195" s="156" t="str">
        <f t="shared" si="2"/>
        <v>#DIV/0!</v>
      </c>
      <c r="T195" s="155">
        <f t="shared" si="217"/>
        <v>0</v>
      </c>
      <c r="U195" s="76"/>
      <c r="V195" s="77"/>
      <c r="W195" s="2"/>
      <c r="X195" s="2"/>
      <c r="Y195" s="2"/>
      <c r="Z195" s="2"/>
    </row>
    <row r="196" hidden="1" outlineLevel="1">
      <c r="A196" s="56" t="str">
        <f>iferror(if(B196&gt;0,month(B196)&amp;"-"&amp;year(B196),B196),)</f>
        <v>7-2025</v>
      </c>
      <c r="B196" s="143">
        <v>45864.0</v>
      </c>
      <c r="C196" s="181" t="s">
        <v>63</v>
      </c>
      <c r="D196" s="182" t="s">
        <v>64</v>
      </c>
      <c r="E196" s="68"/>
      <c r="F196" s="164">
        <v>474.81</v>
      </c>
      <c r="G196" s="171">
        <v>20.0</v>
      </c>
      <c r="H196" s="171">
        <v>15.0</v>
      </c>
      <c r="I196" s="163">
        <f t="shared" si="213"/>
        <v>1.333333333</v>
      </c>
      <c r="J196" s="164">
        <f t="shared" si="214"/>
        <v>31.654</v>
      </c>
      <c r="K196" s="164">
        <f t="shared" si="215"/>
        <v>23.7405</v>
      </c>
      <c r="L196" s="165">
        <v>129.0</v>
      </c>
      <c r="M196" s="155">
        <f t="shared" si="216"/>
        <v>0.1550387597</v>
      </c>
      <c r="N196" s="183">
        <v>0.0</v>
      </c>
      <c r="O196" s="183">
        <v>0.0</v>
      </c>
      <c r="P196" s="184">
        <v>0.0</v>
      </c>
      <c r="Q196" s="185">
        <v>0.0</v>
      </c>
      <c r="R196" s="155" t="str">
        <f t="shared" si="1"/>
        <v>#DIV/0!</v>
      </c>
      <c r="S196" s="156" t="str">
        <f t="shared" si="2"/>
        <v>#DIV/0!</v>
      </c>
      <c r="T196" s="155">
        <f t="shared" si="217"/>
        <v>0</v>
      </c>
      <c r="U196" s="76"/>
      <c r="V196" s="77"/>
      <c r="W196" s="2"/>
      <c r="X196" s="2"/>
      <c r="Y196" s="2"/>
      <c r="Z196" s="2"/>
    </row>
    <row r="197" collapsed="1">
      <c r="A197" s="78" t="s">
        <v>97</v>
      </c>
      <c r="B197" s="79"/>
      <c r="C197" s="79"/>
      <c r="D197" s="79"/>
      <c r="E197" s="80"/>
      <c r="F197" s="190">
        <f t="shared" ref="F197:H197" si="218">SUM(F192:F196)</f>
        <v>1235.3</v>
      </c>
      <c r="G197" s="191">
        <f t="shared" si="218"/>
        <v>57</v>
      </c>
      <c r="H197" s="191">
        <f t="shared" si="218"/>
        <v>48</v>
      </c>
      <c r="I197" s="192">
        <f t="shared" si="213"/>
        <v>1.1875</v>
      </c>
      <c r="J197" s="193">
        <f>F197/G197</f>
        <v>21.67192982</v>
      </c>
      <c r="K197" s="193">
        <f>J197/I197</f>
        <v>18.25004617</v>
      </c>
      <c r="L197" s="194">
        <f>SUM(L192:L196)</f>
        <v>393</v>
      </c>
      <c r="M197" s="195">
        <f t="shared" si="216"/>
        <v>0.1450381679</v>
      </c>
      <c r="N197" s="190">
        <f t="shared" ref="N197:P197" si="219">SUM(N192:N196)</f>
        <v>0</v>
      </c>
      <c r="O197" s="190">
        <f t="shared" si="219"/>
        <v>0</v>
      </c>
      <c r="P197" s="196">
        <f t="shared" si="219"/>
        <v>0</v>
      </c>
      <c r="Q197" s="197">
        <f>sum(Q192:Q196)</f>
        <v>0</v>
      </c>
      <c r="R197" s="264" t="str">
        <f t="shared" si="1"/>
        <v>#DIV/0!</v>
      </c>
      <c r="S197" s="265" t="str">
        <f t="shared" si="2"/>
        <v>#DIV/0!</v>
      </c>
      <c r="T197" s="199">
        <f t="shared" si="217"/>
        <v>0</v>
      </c>
      <c r="U197" s="80" t="str">
        <f>iferror((F197-#REF!)/F197,)</f>
        <v/>
      </c>
      <c r="V197" s="90" t="str">
        <f>iferror((H197-#REF!)/H197,)</f>
        <v/>
      </c>
      <c r="W197" s="2"/>
      <c r="X197" s="2"/>
      <c r="Y197" s="2"/>
      <c r="Z197" s="2"/>
    </row>
    <row r="198" hidden="1" outlineLevel="1">
      <c r="A198" s="56" t="str">
        <f>iferror(if(B198&gt;0,month(B198)&amp;"-"&amp;year(B198),B198),)</f>
        <v>7-2025</v>
      </c>
      <c r="B198" s="143">
        <v>45865.0</v>
      </c>
      <c r="C198" s="144"/>
      <c r="D198" s="145" t="s">
        <v>60</v>
      </c>
      <c r="E198" s="58"/>
      <c r="F198" s="146"/>
      <c r="G198" s="147"/>
      <c r="H198" s="147"/>
      <c r="I198" s="148"/>
      <c r="J198" s="149"/>
      <c r="K198" s="149"/>
      <c r="L198" s="150"/>
      <c r="M198" s="151"/>
      <c r="N198" s="152">
        <v>153.79</v>
      </c>
      <c r="O198" s="152">
        <v>691.46</v>
      </c>
      <c r="P198" s="153">
        <v>25.0</v>
      </c>
      <c r="Q198" s="154">
        <v>35900.0</v>
      </c>
      <c r="R198" s="155">
        <f t="shared" si="1"/>
        <v>0.222413444</v>
      </c>
      <c r="S198" s="156">
        <f t="shared" si="2"/>
        <v>4.496131088</v>
      </c>
      <c r="T198" s="155" t="str">
        <f t="shared" si="217"/>
        <v>#DIV/0!</v>
      </c>
      <c r="U198" s="76"/>
      <c r="V198" s="77"/>
      <c r="W198" s="2"/>
      <c r="X198" s="2"/>
      <c r="Y198" s="2"/>
      <c r="Z198" s="2"/>
    </row>
    <row r="199" hidden="1" outlineLevel="1">
      <c r="A199" s="157"/>
      <c r="B199" s="158"/>
      <c r="C199" s="159" t="s">
        <v>12</v>
      </c>
      <c r="D199" s="160" t="s">
        <v>13</v>
      </c>
      <c r="E199" s="58"/>
      <c r="F199" s="161">
        <v>273.0</v>
      </c>
      <c r="G199" s="162">
        <v>14.0</v>
      </c>
      <c r="H199" s="162">
        <v>14.0</v>
      </c>
      <c r="I199" s="163">
        <f t="shared" ref="I199:I203" si="220">G199/H199</f>
        <v>1</v>
      </c>
      <c r="J199" s="164">
        <f t="shared" ref="J199:J202" si="221">F199/H199</f>
        <v>19.5</v>
      </c>
      <c r="K199" s="164">
        <f t="shared" ref="K199:K202" si="222">F199/G199</f>
        <v>19.5</v>
      </c>
      <c r="L199" s="165">
        <v>165.0</v>
      </c>
      <c r="M199" s="155">
        <f t="shared" ref="M199:M203" si="223">G199/L199</f>
        <v>0.08484848485</v>
      </c>
      <c r="N199" s="166">
        <v>6.82</v>
      </c>
      <c r="O199" s="166">
        <v>39.0</v>
      </c>
      <c r="P199" s="167">
        <v>2.0</v>
      </c>
      <c r="Q199" s="168">
        <v>1888.0</v>
      </c>
      <c r="R199" s="155">
        <f t="shared" si="1"/>
        <v>0.1748717949</v>
      </c>
      <c r="S199" s="156">
        <f t="shared" si="2"/>
        <v>5.718475073</v>
      </c>
      <c r="T199" s="155" t="str">
        <f>#REF!/#REF!</f>
        <v>#REF!</v>
      </c>
      <c r="U199" s="76"/>
      <c r="V199" s="77"/>
      <c r="W199" s="2"/>
      <c r="X199" s="2"/>
      <c r="Y199" s="2"/>
      <c r="Z199" s="2"/>
    </row>
    <row r="200" hidden="1" outlineLevel="1">
      <c r="A200" s="157" t="str">
        <f>iferror(if(D200&gt;0,month(D200)&amp;"-"&amp;year(D200),D200),)</f>
        <v/>
      </c>
      <c r="B200" s="158"/>
      <c r="C200" s="169" t="s">
        <v>61</v>
      </c>
      <c r="D200" s="170" t="s">
        <v>62</v>
      </c>
      <c r="E200" s="68"/>
      <c r="F200" s="164">
        <v>26.99</v>
      </c>
      <c r="G200" s="171">
        <v>1.0</v>
      </c>
      <c r="H200" s="171">
        <v>1.0</v>
      </c>
      <c r="I200" s="163">
        <f t="shared" si="220"/>
        <v>1</v>
      </c>
      <c r="J200" s="164">
        <f t="shared" si="221"/>
        <v>26.99</v>
      </c>
      <c r="K200" s="164">
        <f t="shared" si="222"/>
        <v>26.99</v>
      </c>
      <c r="L200" s="165">
        <v>55.0</v>
      </c>
      <c r="M200" s="155">
        <f t="shared" si="223"/>
        <v>0.01818181818</v>
      </c>
      <c r="N200" s="172">
        <v>10.08</v>
      </c>
      <c r="O200" s="172">
        <v>0.0</v>
      </c>
      <c r="P200" s="173">
        <v>0.0</v>
      </c>
      <c r="Q200" s="174">
        <v>2046.0</v>
      </c>
      <c r="R200" s="155" t="str">
        <f t="shared" si="1"/>
        <v>#DIV/0!</v>
      </c>
      <c r="S200" s="156">
        <f t="shared" si="2"/>
        <v>0</v>
      </c>
      <c r="T200" s="155">
        <f t="shared" ref="T200:T204" si="224">O200/F200</f>
        <v>0</v>
      </c>
      <c r="U200" s="76"/>
      <c r="V200" s="77"/>
      <c r="W200" s="2"/>
      <c r="X200" s="2"/>
      <c r="Y200" s="2"/>
      <c r="Z200" s="2"/>
    </row>
    <row r="201" hidden="1" outlineLevel="1">
      <c r="A201" s="175"/>
      <c r="B201" s="158"/>
      <c r="C201" s="176" t="s">
        <v>14</v>
      </c>
      <c r="D201" s="177" t="s">
        <v>15</v>
      </c>
      <c r="E201" s="68"/>
      <c r="F201" s="164">
        <v>892.5</v>
      </c>
      <c r="G201" s="171">
        <v>42.0</v>
      </c>
      <c r="H201" s="171">
        <v>34.0</v>
      </c>
      <c r="I201" s="163">
        <f t="shared" si="220"/>
        <v>1.235294118</v>
      </c>
      <c r="J201" s="164">
        <f t="shared" si="221"/>
        <v>26.25</v>
      </c>
      <c r="K201" s="164">
        <f t="shared" si="222"/>
        <v>21.25</v>
      </c>
      <c r="L201" s="165">
        <v>221.0</v>
      </c>
      <c r="M201" s="155">
        <f t="shared" si="223"/>
        <v>0.1900452489</v>
      </c>
      <c r="N201" s="178">
        <v>8.67</v>
      </c>
      <c r="O201" s="178">
        <v>21.25</v>
      </c>
      <c r="P201" s="179">
        <v>1.0</v>
      </c>
      <c r="Q201" s="180">
        <v>2078.0</v>
      </c>
      <c r="R201" s="155">
        <f t="shared" si="1"/>
        <v>0.408</v>
      </c>
      <c r="S201" s="156">
        <f t="shared" si="2"/>
        <v>2.450980392</v>
      </c>
      <c r="T201" s="155">
        <f t="shared" si="224"/>
        <v>0.02380952381</v>
      </c>
      <c r="U201" s="76"/>
      <c r="V201" s="77"/>
      <c r="W201" s="2"/>
      <c r="X201" s="2"/>
      <c r="Y201" s="2"/>
      <c r="Z201" s="2"/>
    </row>
    <row r="202" hidden="1" outlineLevel="1">
      <c r="A202" s="56" t="str">
        <f>iferror(if(B202&gt;0,month(B202)&amp;"-"&amp;year(B202),B202),)</f>
        <v>8-2025</v>
      </c>
      <c r="B202" s="143">
        <v>45871.0</v>
      </c>
      <c r="C202" s="181" t="s">
        <v>63</v>
      </c>
      <c r="D202" s="182" t="s">
        <v>64</v>
      </c>
      <c r="E202" s="68"/>
      <c r="F202" s="164">
        <v>424.83</v>
      </c>
      <c r="G202" s="171">
        <v>17.0</v>
      </c>
      <c r="H202" s="171">
        <v>15.0</v>
      </c>
      <c r="I202" s="163">
        <f t="shared" si="220"/>
        <v>1.133333333</v>
      </c>
      <c r="J202" s="164">
        <f t="shared" si="221"/>
        <v>28.322</v>
      </c>
      <c r="K202" s="164">
        <f t="shared" si="222"/>
        <v>24.99</v>
      </c>
      <c r="L202" s="165">
        <v>188.0</v>
      </c>
      <c r="M202" s="155">
        <f t="shared" si="223"/>
        <v>0.09042553191</v>
      </c>
      <c r="N202" s="183">
        <v>12.53</v>
      </c>
      <c r="O202" s="183">
        <v>99.47</v>
      </c>
      <c r="P202" s="184">
        <v>4.0</v>
      </c>
      <c r="Q202" s="185">
        <v>2965.0</v>
      </c>
      <c r="R202" s="155">
        <f t="shared" si="1"/>
        <v>0.1259676284</v>
      </c>
      <c r="S202" s="156">
        <f t="shared" si="2"/>
        <v>7.938547486</v>
      </c>
      <c r="T202" s="155">
        <f t="shared" si="224"/>
        <v>0.2341407151</v>
      </c>
      <c r="U202" s="76"/>
      <c r="V202" s="77"/>
      <c r="W202" s="2"/>
      <c r="X202" s="2"/>
      <c r="Y202" s="2"/>
      <c r="Z202" s="2"/>
    </row>
    <row r="203" collapsed="1">
      <c r="A203" s="78" t="s">
        <v>98</v>
      </c>
      <c r="B203" s="79"/>
      <c r="C203" s="79"/>
      <c r="D203" s="79"/>
      <c r="E203" s="80"/>
      <c r="F203" s="190">
        <f t="shared" ref="F203:H203" si="225">SUM(F198:F202)</f>
        <v>1617.32</v>
      </c>
      <c r="G203" s="191">
        <f t="shared" si="225"/>
        <v>74</v>
      </c>
      <c r="H203" s="191">
        <f t="shared" si="225"/>
        <v>64</v>
      </c>
      <c r="I203" s="192">
        <f t="shared" si="220"/>
        <v>1.15625</v>
      </c>
      <c r="J203" s="193">
        <f>F203/G203</f>
        <v>21.85567568</v>
      </c>
      <c r="K203" s="193">
        <f>J203/I203</f>
        <v>18.90220599</v>
      </c>
      <c r="L203" s="194">
        <f>SUM(L198:L202)</f>
        <v>629</v>
      </c>
      <c r="M203" s="195">
        <f t="shared" si="223"/>
        <v>0.1176470588</v>
      </c>
      <c r="N203" s="190">
        <f t="shared" ref="N203:P203" si="226">SUM(N198:N202)</f>
        <v>191.89</v>
      </c>
      <c r="O203" s="190">
        <f t="shared" si="226"/>
        <v>851.18</v>
      </c>
      <c r="P203" s="196">
        <f t="shared" si="226"/>
        <v>32</v>
      </c>
      <c r="Q203" s="197">
        <f>sum(Q198:Q202)</f>
        <v>44877</v>
      </c>
      <c r="R203" s="195">
        <f t="shared" si="1"/>
        <v>0.2254399774</v>
      </c>
      <c r="S203" s="198">
        <f t="shared" si="2"/>
        <v>4.435770494</v>
      </c>
      <c r="T203" s="199">
        <f t="shared" si="224"/>
        <v>0.5262904064</v>
      </c>
      <c r="U203" s="80" t="str">
        <f>iferror((F203-#REF!)/F203,)</f>
        <v/>
      </c>
      <c r="V203" s="90" t="str">
        <f>iferror((H203-#REF!)/H203,)</f>
        <v/>
      </c>
      <c r="W203" s="2"/>
      <c r="X203" s="2"/>
      <c r="Y203" s="2"/>
      <c r="Z203" s="2"/>
    </row>
    <row r="204" hidden="1" outlineLevel="1">
      <c r="A204" s="56" t="str">
        <f>iferror(if(B204&gt;0,month(B204)&amp;"-"&amp;year(B204),B204),)</f>
        <v>8-2025</v>
      </c>
      <c r="B204" s="143">
        <v>45872.0</v>
      </c>
      <c r="C204" s="144"/>
      <c r="D204" s="145" t="s">
        <v>60</v>
      </c>
      <c r="E204" s="58"/>
      <c r="F204" s="146"/>
      <c r="G204" s="147"/>
      <c r="H204" s="147"/>
      <c r="I204" s="148"/>
      <c r="J204" s="149"/>
      <c r="K204" s="149"/>
      <c r="L204" s="150"/>
      <c r="M204" s="151"/>
      <c r="N204" s="152">
        <v>426.4</v>
      </c>
      <c r="O204" s="152">
        <v>1905.09</v>
      </c>
      <c r="P204" s="153">
        <v>63.0</v>
      </c>
      <c r="Q204" s="154">
        <v>117340.0</v>
      </c>
      <c r="R204" s="155">
        <f t="shared" si="1"/>
        <v>0.2238214468</v>
      </c>
      <c r="S204" s="156">
        <f t="shared" si="2"/>
        <v>4.467847092</v>
      </c>
      <c r="T204" s="155" t="str">
        <f t="shared" si="224"/>
        <v>#DIV/0!</v>
      </c>
      <c r="U204" s="76"/>
      <c r="V204" s="77"/>
      <c r="W204" s="2"/>
      <c r="X204" s="2"/>
      <c r="Y204" s="2"/>
      <c r="Z204" s="2"/>
    </row>
    <row r="205" hidden="1" outlineLevel="1">
      <c r="A205" s="157"/>
      <c r="B205" s="158"/>
      <c r="C205" s="159" t="s">
        <v>12</v>
      </c>
      <c r="D205" s="160" t="s">
        <v>13</v>
      </c>
      <c r="E205" s="58"/>
      <c r="F205" s="161">
        <v>897.0</v>
      </c>
      <c r="G205" s="162">
        <v>46.0</v>
      </c>
      <c r="H205" s="162">
        <v>24.0</v>
      </c>
      <c r="I205" s="163">
        <f t="shared" ref="I205:I209" si="227">G205/H205</f>
        <v>1.916666667</v>
      </c>
      <c r="J205" s="164">
        <f t="shared" ref="J205:J208" si="228">F205/H205</f>
        <v>37.375</v>
      </c>
      <c r="K205" s="164">
        <f t="shared" ref="K205:K208" si="229">F205/G205</f>
        <v>19.5</v>
      </c>
      <c r="L205" s="165">
        <v>285.0</v>
      </c>
      <c r="M205" s="155">
        <f t="shared" ref="M205:M209" si="230">G205/L205</f>
        <v>0.1614035088</v>
      </c>
      <c r="N205" s="166">
        <v>19.58</v>
      </c>
      <c r="O205" s="166">
        <v>19.5</v>
      </c>
      <c r="P205" s="167">
        <v>1.0</v>
      </c>
      <c r="Q205" s="168">
        <v>5477.0</v>
      </c>
      <c r="R205" s="155">
        <f t="shared" si="1"/>
        <v>1.004102564</v>
      </c>
      <c r="S205" s="156">
        <f t="shared" si="2"/>
        <v>0.9959141982</v>
      </c>
      <c r="T205" s="155" t="str">
        <f>#REF!/#REF!</f>
        <v>#REF!</v>
      </c>
      <c r="U205" s="76"/>
      <c r="V205" s="77"/>
      <c r="W205" s="2"/>
      <c r="X205" s="2"/>
      <c r="Y205" s="2"/>
      <c r="Z205" s="2"/>
    </row>
    <row r="206" hidden="1" outlineLevel="1">
      <c r="A206" s="157" t="str">
        <f>iferror(if(D206&gt;0,month(D206)&amp;"-"&amp;year(D206),D206),)</f>
        <v/>
      </c>
      <c r="B206" s="158"/>
      <c r="C206" s="169" t="s">
        <v>61</v>
      </c>
      <c r="D206" s="170" t="s">
        <v>62</v>
      </c>
      <c r="E206" s="68"/>
      <c r="F206" s="164">
        <v>26.99</v>
      </c>
      <c r="G206" s="171">
        <v>1.0</v>
      </c>
      <c r="H206" s="171">
        <v>1.0</v>
      </c>
      <c r="I206" s="163">
        <f t="shared" si="227"/>
        <v>1</v>
      </c>
      <c r="J206" s="164">
        <f t="shared" si="228"/>
        <v>26.99</v>
      </c>
      <c r="K206" s="164">
        <f t="shared" si="229"/>
        <v>26.99</v>
      </c>
      <c r="L206" s="165">
        <v>28.0</v>
      </c>
      <c r="M206" s="155">
        <f t="shared" si="230"/>
        <v>0.03571428571</v>
      </c>
      <c r="N206" s="172">
        <v>1.26</v>
      </c>
      <c r="O206" s="172">
        <v>0.0</v>
      </c>
      <c r="P206" s="173">
        <v>0.0</v>
      </c>
      <c r="Q206" s="174">
        <v>275.0</v>
      </c>
      <c r="R206" s="155" t="str">
        <f t="shared" si="1"/>
        <v>#DIV/0!</v>
      </c>
      <c r="S206" s="156">
        <f t="shared" si="2"/>
        <v>0</v>
      </c>
      <c r="T206" s="155">
        <f t="shared" ref="T206:T210" si="231">O206/F206</f>
        <v>0</v>
      </c>
      <c r="U206" s="76"/>
      <c r="V206" s="77"/>
      <c r="W206" s="2"/>
      <c r="X206" s="2"/>
      <c r="Y206" s="2"/>
      <c r="Z206" s="2"/>
    </row>
    <row r="207" hidden="1" outlineLevel="1">
      <c r="A207" s="175"/>
      <c r="B207" s="158"/>
      <c r="C207" s="176" t="s">
        <v>14</v>
      </c>
      <c r="D207" s="177" t="s">
        <v>15</v>
      </c>
      <c r="E207" s="68"/>
      <c r="F207" s="164">
        <v>1062.5</v>
      </c>
      <c r="G207" s="171">
        <v>50.0</v>
      </c>
      <c r="H207" s="171">
        <v>43.0</v>
      </c>
      <c r="I207" s="163">
        <f t="shared" si="227"/>
        <v>1.162790698</v>
      </c>
      <c r="J207" s="164">
        <f t="shared" si="228"/>
        <v>24.70930233</v>
      </c>
      <c r="K207" s="164">
        <f t="shared" si="229"/>
        <v>21.25</v>
      </c>
      <c r="L207" s="165">
        <v>442.0</v>
      </c>
      <c r="M207" s="155">
        <f t="shared" si="230"/>
        <v>0.1131221719</v>
      </c>
      <c r="N207" s="178">
        <v>34.03</v>
      </c>
      <c r="O207" s="178">
        <v>63.75</v>
      </c>
      <c r="P207" s="179">
        <v>3.0</v>
      </c>
      <c r="Q207" s="180">
        <v>8961.0</v>
      </c>
      <c r="R207" s="155">
        <f t="shared" si="1"/>
        <v>0.5338039216</v>
      </c>
      <c r="S207" s="156">
        <f t="shared" si="2"/>
        <v>1.873347047</v>
      </c>
      <c r="T207" s="155">
        <f t="shared" si="231"/>
        <v>0.06</v>
      </c>
      <c r="U207" s="76"/>
      <c r="V207" s="77"/>
      <c r="W207" s="2"/>
      <c r="X207" s="2"/>
      <c r="Y207" s="2"/>
      <c r="Z207" s="2"/>
    </row>
    <row r="208" hidden="1" outlineLevel="1">
      <c r="A208" s="56" t="str">
        <f>iferror(if(B208&gt;0,month(B208)&amp;"-"&amp;year(B208),B208),)</f>
        <v>8-2025</v>
      </c>
      <c r="B208" s="143">
        <v>45878.0</v>
      </c>
      <c r="C208" s="181" t="s">
        <v>63</v>
      </c>
      <c r="D208" s="182" t="s">
        <v>64</v>
      </c>
      <c r="E208" s="68"/>
      <c r="F208" s="164">
        <v>1124.55</v>
      </c>
      <c r="G208" s="171">
        <v>46.0</v>
      </c>
      <c r="H208" s="171">
        <v>27.0</v>
      </c>
      <c r="I208" s="163">
        <f t="shared" si="227"/>
        <v>1.703703704</v>
      </c>
      <c r="J208" s="164">
        <f t="shared" si="228"/>
        <v>41.65</v>
      </c>
      <c r="K208" s="164">
        <f t="shared" si="229"/>
        <v>24.44673913</v>
      </c>
      <c r="L208" s="165">
        <v>498.0</v>
      </c>
      <c r="M208" s="155">
        <f t="shared" si="230"/>
        <v>0.09236947791</v>
      </c>
      <c r="N208" s="183">
        <v>91.97</v>
      </c>
      <c r="O208" s="183">
        <v>192.44</v>
      </c>
      <c r="P208" s="184">
        <v>6.0</v>
      </c>
      <c r="Q208" s="185">
        <v>26712.0</v>
      </c>
      <c r="R208" s="155">
        <f t="shared" si="1"/>
        <v>0.4779151943</v>
      </c>
      <c r="S208" s="156">
        <f t="shared" si="2"/>
        <v>2.092421442</v>
      </c>
      <c r="T208" s="155">
        <f t="shared" si="231"/>
        <v>0.1711262283</v>
      </c>
      <c r="U208" s="76"/>
      <c r="V208" s="77"/>
      <c r="W208" s="2"/>
      <c r="X208" s="2"/>
      <c r="Y208" s="2"/>
      <c r="Z208" s="2"/>
    </row>
    <row r="209" collapsed="1">
      <c r="A209" s="78" t="s">
        <v>99</v>
      </c>
      <c r="B209" s="79"/>
      <c r="C209" s="79"/>
      <c r="D209" s="79"/>
      <c r="E209" s="80"/>
      <c r="F209" s="190">
        <f t="shared" ref="F209:H209" si="232">SUM(F204:F208)</f>
        <v>3111.04</v>
      </c>
      <c r="G209" s="191">
        <f t="shared" si="232"/>
        <v>143</v>
      </c>
      <c r="H209" s="191">
        <f t="shared" si="232"/>
        <v>95</v>
      </c>
      <c r="I209" s="192">
        <f t="shared" si="227"/>
        <v>1.505263158</v>
      </c>
      <c r="J209" s="193">
        <f>F209/G209</f>
        <v>21.75552448</v>
      </c>
      <c r="K209" s="193">
        <f>J209/I209</f>
        <v>14.45297081</v>
      </c>
      <c r="L209" s="194">
        <f>SUM(L204:L208)</f>
        <v>1253</v>
      </c>
      <c r="M209" s="195">
        <f t="shared" si="230"/>
        <v>0.1141260974</v>
      </c>
      <c r="N209" s="190">
        <f t="shared" ref="N209:P209" si="233">SUM(N204:N208)</f>
        <v>573.24</v>
      </c>
      <c r="O209" s="190">
        <f t="shared" si="233"/>
        <v>2180.78</v>
      </c>
      <c r="P209" s="196">
        <f t="shared" si="233"/>
        <v>73</v>
      </c>
      <c r="Q209" s="197">
        <f>sum(Q204:Q208)</f>
        <v>158765</v>
      </c>
      <c r="R209" s="195">
        <f t="shared" si="1"/>
        <v>0.2628600776</v>
      </c>
      <c r="S209" s="198">
        <f t="shared" si="2"/>
        <v>3.804305352</v>
      </c>
      <c r="T209" s="199">
        <f t="shared" si="231"/>
        <v>0.7009810224</v>
      </c>
      <c r="U209" s="80" t="str">
        <f>iferror((F209-#REF!)/F209,)</f>
        <v/>
      </c>
      <c r="V209" s="90" t="str">
        <f>iferror((H209-#REF!)/H209,)</f>
        <v/>
      </c>
      <c r="W209" s="2"/>
      <c r="X209" s="2"/>
      <c r="Y209" s="2"/>
      <c r="Z209" s="2"/>
    </row>
    <row r="210" hidden="1" outlineLevel="1">
      <c r="A210" s="56" t="str">
        <f>iferror(if(B210&gt;0,month(B210)&amp;"-"&amp;year(B210),B210),)</f>
        <v>8-2025</v>
      </c>
      <c r="B210" s="143">
        <v>45879.0</v>
      </c>
      <c r="C210" s="144"/>
      <c r="D210" s="145" t="s">
        <v>60</v>
      </c>
      <c r="E210" s="58"/>
      <c r="F210" s="146"/>
      <c r="G210" s="147"/>
      <c r="H210" s="147"/>
      <c r="I210" s="148"/>
      <c r="J210" s="149"/>
      <c r="K210" s="149"/>
      <c r="L210" s="150"/>
      <c r="M210" s="151"/>
      <c r="N210" s="152">
        <v>495.13</v>
      </c>
      <c r="O210" s="152">
        <v>1424.32</v>
      </c>
      <c r="P210" s="153">
        <v>57.0</v>
      </c>
      <c r="Q210" s="154">
        <v>128332.0</v>
      </c>
      <c r="R210" s="155">
        <f t="shared" si="1"/>
        <v>0.3476255336</v>
      </c>
      <c r="S210" s="156">
        <f t="shared" si="2"/>
        <v>2.876658655</v>
      </c>
      <c r="T210" s="155" t="str">
        <f t="shared" si="231"/>
        <v>#DIV/0!</v>
      </c>
      <c r="U210" s="76"/>
      <c r="V210" s="77"/>
      <c r="W210" s="2"/>
      <c r="X210" s="2"/>
      <c r="Y210" s="2"/>
      <c r="Z210" s="2"/>
    </row>
    <row r="211" hidden="1" outlineLevel="1">
      <c r="A211" s="157"/>
      <c r="B211" s="158"/>
      <c r="C211" s="159" t="s">
        <v>12</v>
      </c>
      <c r="D211" s="160" t="s">
        <v>13</v>
      </c>
      <c r="E211" s="58"/>
      <c r="F211" s="161">
        <v>370.5</v>
      </c>
      <c r="G211" s="162">
        <v>20.0</v>
      </c>
      <c r="H211" s="162">
        <v>19.0</v>
      </c>
      <c r="I211" s="163">
        <f t="shared" ref="I211:I215" si="234">G211/H211</f>
        <v>1.052631579</v>
      </c>
      <c r="J211" s="164">
        <f t="shared" ref="J211:J214" si="235">F211/H211</f>
        <v>19.5</v>
      </c>
      <c r="K211" s="164">
        <f t="shared" ref="K211:K214" si="236">F211/G211</f>
        <v>18.525</v>
      </c>
      <c r="L211" s="165">
        <v>354.0</v>
      </c>
      <c r="M211" s="155">
        <f t="shared" ref="M211:M215" si="237">G211/L211</f>
        <v>0.05649717514</v>
      </c>
      <c r="N211" s="166">
        <v>15.03</v>
      </c>
      <c r="O211" s="166">
        <v>0.0</v>
      </c>
      <c r="P211" s="167">
        <v>0.0</v>
      </c>
      <c r="Q211" s="168">
        <v>7284.0</v>
      </c>
      <c r="R211" s="155" t="str">
        <f t="shared" si="1"/>
        <v>#DIV/0!</v>
      </c>
      <c r="S211" s="156">
        <f t="shared" si="2"/>
        <v>0</v>
      </c>
      <c r="T211" s="155" t="str">
        <f>#REF!/#REF!</f>
        <v>#REF!</v>
      </c>
      <c r="U211" s="76"/>
      <c r="V211" s="77"/>
      <c r="W211" s="2"/>
      <c r="X211" s="2"/>
      <c r="Y211" s="2"/>
      <c r="Z211" s="2"/>
    </row>
    <row r="212" hidden="1" outlineLevel="1">
      <c r="A212" s="157" t="str">
        <f>iferror(if(D212&gt;0,month(D212)&amp;"-"&amp;year(D212),D212),)</f>
        <v/>
      </c>
      <c r="B212" s="158"/>
      <c r="C212" s="169" t="s">
        <v>61</v>
      </c>
      <c r="D212" s="170" t="s">
        <v>62</v>
      </c>
      <c r="E212" s="68"/>
      <c r="F212" s="164">
        <v>53.98</v>
      </c>
      <c r="G212" s="171">
        <v>2.0</v>
      </c>
      <c r="H212" s="171">
        <v>2.0</v>
      </c>
      <c r="I212" s="163">
        <f t="shared" si="234"/>
        <v>1</v>
      </c>
      <c r="J212" s="164">
        <f t="shared" si="235"/>
        <v>26.99</v>
      </c>
      <c r="K212" s="164">
        <f t="shared" si="236"/>
        <v>26.99</v>
      </c>
      <c r="L212" s="165">
        <v>51.0</v>
      </c>
      <c r="M212" s="155">
        <f t="shared" si="237"/>
        <v>0.03921568627</v>
      </c>
      <c r="N212" s="172">
        <v>5.56</v>
      </c>
      <c r="O212" s="172">
        <v>26.99</v>
      </c>
      <c r="P212" s="173">
        <v>1.0</v>
      </c>
      <c r="Q212" s="174">
        <v>900.0</v>
      </c>
      <c r="R212" s="155">
        <f t="shared" si="1"/>
        <v>0.206002223</v>
      </c>
      <c r="S212" s="156">
        <f t="shared" si="2"/>
        <v>4.854316547</v>
      </c>
      <c r="T212" s="155">
        <f t="shared" ref="T212:T216" si="238">O212/F212</f>
        <v>0.5</v>
      </c>
      <c r="U212" s="76"/>
      <c r="V212" s="77"/>
      <c r="W212" s="2"/>
      <c r="X212" s="2"/>
      <c r="Y212" s="2"/>
      <c r="Z212" s="2"/>
    </row>
    <row r="213" hidden="1" outlineLevel="1">
      <c r="A213" s="175"/>
      <c r="B213" s="158"/>
      <c r="C213" s="176" t="s">
        <v>14</v>
      </c>
      <c r="D213" s="177" t="s">
        <v>15</v>
      </c>
      <c r="E213" s="68"/>
      <c r="F213" s="164">
        <v>977.5</v>
      </c>
      <c r="G213" s="171">
        <v>46.0</v>
      </c>
      <c r="H213" s="171">
        <v>39.0</v>
      </c>
      <c r="I213" s="163">
        <f t="shared" si="234"/>
        <v>1.179487179</v>
      </c>
      <c r="J213" s="164">
        <f t="shared" si="235"/>
        <v>25.06410256</v>
      </c>
      <c r="K213" s="164">
        <f t="shared" si="236"/>
        <v>21.25</v>
      </c>
      <c r="L213" s="165">
        <v>469.0</v>
      </c>
      <c r="M213" s="155">
        <f t="shared" si="237"/>
        <v>0.09808102345</v>
      </c>
      <c r="N213" s="178">
        <v>35.94</v>
      </c>
      <c r="O213" s="178">
        <v>85.0</v>
      </c>
      <c r="P213" s="179">
        <v>4.0</v>
      </c>
      <c r="Q213" s="180">
        <v>9087.0</v>
      </c>
      <c r="R213" s="155">
        <f t="shared" si="1"/>
        <v>0.4228235294</v>
      </c>
      <c r="S213" s="156">
        <f t="shared" si="2"/>
        <v>2.365052866</v>
      </c>
      <c r="T213" s="155">
        <f t="shared" si="238"/>
        <v>0.08695652174</v>
      </c>
      <c r="U213" s="76"/>
      <c r="V213" s="77"/>
      <c r="W213" s="2"/>
      <c r="X213" s="2"/>
      <c r="Y213" s="2"/>
      <c r="Z213" s="2"/>
    </row>
    <row r="214" hidden="1" outlineLevel="1">
      <c r="A214" s="56" t="str">
        <f>iferror(if(B214&gt;0,month(B214)&amp;"-"&amp;year(B214),B214),)</f>
        <v>8-2025</v>
      </c>
      <c r="B214" s="143">
        <v>45885.0</v>
      </c>
      <c r="C214" s="181" t="s">
        <v>63</v>
      </c>
      <c r="D214" s="182" t="s">
        <v>64</v>
      </c>
      <c r="E214" s="68"/>
      <c r="F214" s="164">
        <v>999.6</v>
      </c>
      <c r="G214" s="171">
        <v>40.0</v>
      </c>
      <c r="H214" s="171">
        <v>33.0</v>
      </c>
      <c r="I214" s="163">
        <f t="shared" si="234"/>
        <v>1.212121212</v>
      </c>
      <c r="J214" s="164">
        <f t="shared" si="235"/>
        <v>30.29090909</v>
      </c>
      <c r="K214" s="164">
        <f t="shared" si="236"/>
        <v>24.99</v>
      </c>
      <c r="L214" s="165">
        <v>520.0</v>
      </c>
      <c r="M214" s="155">
        <f t="shared" si="237"/>
        <v>0.07692307692</v>
      </c>
      <c r="N214" s="183">
        <v>97.82</v>
      </c>
      <c r="O214" s="183">
        <v>399.84</v>
      </c>
      <c r="P214" s="184">
        <v>10.0</v>
      </c>
      <c r="Q214" s="185">
        <v>28092.0</v>
      </c>
      <c r="R214" s="155">
        <f t="shared" si="1"/>
        <v>0.2446478591</v>
      </c>
      <c r="S214" s="156">
        <f t="shared" si="2"/>
        <v>4.087507667</v>
      </c>
      <c r="T214" s="155">
        <f t="shared" si="238"/>
        <v>0.4</v>
      </c>
      <c r="U214" s="76"/>
      <c r="V214" s="77"/>
      <c r="W214" s="2"/>
      <c r="X214" s="2"/>
      <c r="Y214" s="2"/>
      <c r="Z214" s="2"/>
    </row>
    <row r="215" collapsed="1">
      <c r="A215" s="78" t="s">
        <v>100</v>
      </c>
      <c r="B215" s="79"/>
      <c r="C215" s="79"/>
      <c r="D215" s="79"/>
      <c r="E215" s="80"/>
      <c r="F215" s="190">
        <f t="shared" ref="F215:H215" si="239">SUM(F210:F214)</f>
        <v>2401.58</v>
      </c>
      <c r="G215" s="191">
        <f t="shared" si="239"/>
        <v>108</v>
      </c>
      <c r="H215" s="191">
        <f t="shared" si="239"/>
        <v>93</v>
      </c>
      <c r="I215" s="192">
        <f t="shared" si="234"/>
        <v>1.161290323</v>
      </c>
      <c r="J215" s="193">
        <f>F215/G215</f>
        <v>22.23685185</v>
      </c>
      <c r="K215" s="193">
        <f>J215/I215</f>
        <v>19.14840021</v>
      </c>
      <c r="L215" s="194">
        <f>SUM(L210:L214)</f>
        <v>1394</v>
      </c>
      <c r="M215" s="195">
        <f t="shared" si="237"/>
        <v>0.0774748924</v>
      </c>
      <c r="N215" s="190">
        <f t="shared" ref="N215:P215" si="240">SUM(N210:N214)</f>
        <v>649.48</v>
      </c>
      <c r="O215" s="190">
        <f t="shared" si="240"/>
        <v>1936.15</v>
      </c>
      <c r="P215" s="196">
        <f t="shared" si="240"/>
        <v>72</v>
      </c>
      <c r="Q215" s="197">
        <f>sum(Q210:Q214)</f>
        <v>173695</v>
      </c>
      <c r="R215" s="195">
        <f t="shared" si="1"/>
        <v>0.3354492162</v>
      </c>
      <c r="S215" s="198">
        <f t="shared" si="2"/>
        <v>2.981077169</v>
      </c>
      <c r="T215" s="199">
        <f t="shared" si="238"/>
        <v>0.8061984194</v>
      </c>
      <c r="U215" s="80" t="str">
        <f>iferror((F215-#REF!)/F215,)</f>
        <v/>
      </c>
      <c r="V215" s="90" t="str">
        <f>iferror((H215-#REF!)/H215,)</f>
        <v/>
      </c>
      <c r="W215" s="2"/>
      <c r="X215" s="2"/>
      <c r="Y215" s="2"/>
      <c r="Z215" s="2"/>
    </row>
    <row r="216" hidden="1" outlineLevel="1">
      <c r="A216" s="56" t="str">
        <f>iferror(if(B216&gt;0,month(B216)&amp;"-"&amp;year(B216),B216),)</f>
        <v>8-2025</v>
      </c>
      <c r="B216" s="143">
        <v>45886.0</v>
      </c>
      <c r="C216" s="144"/>
      <c r="D216" s="145" t="s">
        <v>60</v>
      </c>
      <c r="E216" s="58"/>
      <c r="F216" s="146"/>
      <c r="G216" s="147"/>
      <c r="H216" s="147"/>
      <c r="I216" s="148"/>
      <c r="J216" s="149"/>
      <c r="K216" s="149"/>
      <c r="L216" s="150"/>
      <c r="M216" s="151"/>
      <c r="N216" s="152">
        <v>790.1</v>
      </c>
      <c r="O216" s="152">
        <v>1677.49</v>
      </c>
      <c r="P216" s="153">
        <v>68.0</v>
      </c>
      <c r="Q216" s="154">
        <v>213198.0</v>
      </c>
      <c r="R216" s="155">
        <f t="shared" si="1"/>
        <v>0.4710013174</v>
      </c>
      <c r="S216" s="156">
        <f t="shared" si="2"/>
        <v>2.123136312</v>
      </c>
      <c r="T216" s="155" t="str">
        <f t="shared" si="238"/>
        <v>#DIV/0!</v>
      </c>
      <c r="U216" s="76"/>
      <c r="V216" s="77"/>
      <c r="W216" s="2"/>
      <c r="X216" s="2"/>
      <c r="Y216" s="2"/>
      <c r="Z216" s="2"/>
    </row>
    <row r="217" hidden="1" outlineLevel="1">
      <c r="A217" s="157"/>
      <c r="B217" s="158"/>
      <c r="C217" s="159" t="s">
        <v>12</v>
      </c>
      <c r="D217" s="160" t="s">
        <v>13</v>
      </c>
      <c r="E217" s="58"/>
      <c r="F217" s="161">
        <v>663.0</v>
      </c>
      <c r="G217" s="162">
        <v>34.0</v>
      </c>
      <c r="H217" s="162">
        <v>30.0</v>
      </c>
      <c r="I217" s="163">
        <f t="shared" ref="I217:I221" si="241">G217/H217</f>
        <v>1.133333333</v>
      </c>
      <c r="J217" s="164">
        <f t="shared" ref="J217:J220" si="242">F217/H217</f>
        <v>22.1</v>
      </c>
      <c r="K217" s="164">
        <f t="shared" ref="K217:K220" si="243">F217/G217</f>
        <v>19.5</v>
      </c>
      <c r="L217" s="165">
        <v>434.0</v>
      </c>
      <c r="M217" s="155">
        <f t="shared" ref="M217:M221" si="244">G217/L217</f>
        <v>0.07834101382</v>
      </c>
      <c r="N217" s="166">
        <v>17.7</v>
      </c>
      <c r="O217" s="166">
        <v>19.5</v>
      </c>
      <c r="P217" s="167">
        <v>1.0</v>
      </c>
      <c r="Q217" s="168">
        <v>7806.0</v>
      </c>
      <c r="R217" s="155">
        <f t="shared" si="1"/>
        <v>0.9076923077</v>
      </c>
      <c r="S217" s="156">
        <f t="shared" si="2"/>
        <v>1.101694915</v>
      </c>
      <c r="T217" s="155" t="str">
        <f>#REF!/#REF!</f>
        <v>#REF!</v>
      </c>
      <c r="U217" s="76"/>
      <c r="V217" s="77"/>
      <c r="W217" s="2"/>
      <c r="X217" s="2"/>
      <c r="Y217" s="2"/>
      <c r="Z217" s="2"/>
    </row>
    <row r="218" hidden="1" outlineLevel="1">
      <c r="A218" s="157" t="str">
        <f>iferror(if(D218&gt;0,month(D218)&amp;"-"&amp;year(D218),D218),)</f>
        <v/>
      </c>
      <c r="B218" s="158"/>
      <c r="C218" s="169" t="s">
        <v>61</v>
      </c>
      <c r="D218" s="170" t="s">
        <v>62</v>
      </c>
      <c r="E218" s="68"/>
      <c r="F218" s="164">
        <v>53.98</v>
      </c>
      <c r="G218" s="171">
        <v>2.0</v>
      </c>
      <c r="H218" s="171">
        <v>2.0</v>
      </c>
      <c r="I218" s="163">
        <f t="shared" si="241"/>
        <v>1</v>
      </c>
      <c r="J218" s="164">
        <f t="shared" si="242"/>
        <v>26.99</v>
      </c>
      <c r="K218" s="164">
        <f t="shared" si="243"/>
        <v>26.99</v>
      </c>
      <c r="L218" s="165">
        <v>191.0</v>
      </c>
      <c r="M218" s="155">
        <f t="shared" si="244"/>
        <v>0.01047120419</v>
      </c>
      <c r="N218" s="172">
        <v>20.02</v>
      </c>
      <c r="O218" s="172">
        <v>21.25</v>
      </c>
      <c r="P218" s="173">
        <v>1.0</v>
      </c>
      <c r="Q218" s="174">
        <v>3114.0</v>
      </c>
      <c r="R218" s="155">
        <f t="shared" si="1"/>
        <v>0.9421176471</v>
      </c>
      <c r="S218" s="156">
        <f t="shared" si="2"/>
        <v>1.061438561</v>
      </c>
      <c r="T218" s="155">
        <f t="shared" ref="T218:T222" si="245">O218/F218</f>
        <v>0.3936643201</v>
      </c>
      <c r="U218" s="76"/>
      <c r="V218" s="77"/>
      <c r="W218" s="2"/>
      <c r="X218" s="2"/>
      <c r="Y218" s="2"/>
      <c r="Z218" s="2"/>
    </row>
    <row r="219" hidden="1" outlineLevel="1">
      <c r="A219" s="175"/>
      <c r="B219" s="158"/>
      <c r="C219" s="176" t="s">
        <v>14</v>
      </c>
      <c r="D219" s="177" t="s">
        <v>15</v>
      </c>
      <c r="E219" s="68"/>
      <c r="F219" s="164">
        <v>977.5</v>
      </c>
      <c r="G219" s="171">
        <v>47.0</v>
      </c>
      <c r="H219" s="171">
        <v>44.0</v>
      </c>
      <c r="I219" s="163">
        <f t="shared" si="241"/>
        <v>1.068181818</v>
      </c>
      <c r="J219" s="164">
        <f t="shared" si="242"/>
        <v>22.21590909</v>
      </c>
      <c r="K219" s="164">
        <f t="shared" si="243"/>
        <v>20.79787234</v>
      </c>
      <c r="L219" s="165">
        <v>583.0</v>
      </c>
      <c r="M219" s="155">
        <f t="shared" si="244"/>
        <v>0.08061749571</v>
      </c>
      <c r="N219" s="178">
        <v>40.79</v>
      </c>
      <c r="O219" s="178">
        <v>216.24</v>
      </c>
      <c r="P219" s="179">
        <v>9.0</v>
      </c>
      <c r="Q219" s="180">
        <v>11429.0</v>
      </c>
      <c r="R219" s="155">
        <f t="shared" si="1"/>
        <v>0.1886330004</v>
      </c>
      <c r="S219" s="156">
        <f t="shared" si="2"/>
        <v>5.301299338</v>
      </c>
      <c r="T219" s="155">
        <f t="shared" si="245"/>
        <v>0.2212173913</v>
      </c>
      <c r="U219" s="76"/>
      <c r="V219" s="77"/>
      <c r="W219" s="2"/>
      <c r="X219" s="2"/>
      <c r="Y219" s="2"/>
      <c r="Z219" s="2"/>
    </row>
    <row r="220" hidden="1" outlineLevel="1">
      <c r="A220" s="56" t="str">
        <f>iferror(if(B220&gt;0,month(B220)&amp;"-"&amp;year(B220),B220),)</f>
        <v>8-2025</v>
      </c>
      <c r="B220" s="143">
        <v>45892.0</v>
      </c>
      <c r="C220" s="181" t="s">
        <v>63</v>
      </c>
      <c r="D220" s="182" t="s">
        <v>64</v>
      </c>
      <c r="E220" s="68"/>
      <c r="F220" s="164">
        <v>1374.45</v>
      </c>
      <c r="G220" s="171">
        <v>56.0</v>
      </c>
      <c r="H220" s="171">
        <v>47.0</v>
      </c>
      <c r="I220" s="163">
        <f t="shared" si="241"/>
        <v>1.191489362</v>
      </c>
      <c r="J220" s="164">
        <f t="shared" si="242"/>
        <v>29.24361702</v>
      </c>
      <c r="K220" s="164">
        <f t="shared" si="243"/>
        <v>24.54375</v>
      </c>
      <c r="L220" s="165">
        <v>675.0</v>
      </c>
      <c r="M220" s="155">
        <f t="shared" si="244"/>
        <v>0.08296296296</v>
      </c>
      <c r="N220" s="183">
        <v>160.99</v>
      </c>
      <c r="O220" s="183">
        <v>590.53</v>
      </c>
      <c r="P220" s="184">
        <v>19.0</v>
      </c>
      <c r="Q220" s="185">
        <v>34019.0</v>
      </c>
      <c r="R220" s="155">
        <f t="shared" si="1"/>
        <v>0.2726195113</v>
      </c>
      <c r="S220" s="156">
        <f t="shared" si="2"/>
        <v>3.668116032</v>
      </c>
      <c r="T220" s="155">
        <f t="shared" si="245"/>
        <v>0.4296482229</v>
      </c>
      <c r="U220" s="76"/>
      <c r="V220" s="77"/>
      <c r="W220" s="2"/>
      <c r="X220" s="2"/>
      <c r="Y220" s="2"/>
      <c r="Z220" s="2"/>
    </row>
    <row r="221" collapsed="1">
      <c r="A221" s="78" t="s">
        <v>101</v>
      </c>
      <c r="B221" s="79"/>
      <c r="C221" s="79"/>
      <c r="D221" s="79"/>
      <c r="E221" s="80"/>
      <c r="F221" s="190">
        <f t="shared" ref="F221:H221" si="246">SUM(F216:F220)</f>
        <v>3068.93</v>
      </c>
      <c r="G221" s="191">
        <f t="shared" si="246"/>
        <v>139</v>
      </c>
      <c r="H221" s="191">
        <f t="shared" si="246"/>
        <v>123</v>
      </c>
      <c r="I221" s="192">
        <f t="shared" si="241"/>
        <v>1.130081301</v>
      </c>
      <c r="J221" s="193">
        <f>F221/G221</f>
        <v>22.07863309</v>
      </c>
      <c r="K221" s="193">
        <f>J221/I221</f>
        <v>19.5372077</v>
      </c>
      <c r="L221" s="194">
        <f>SUM(L216:L220)</f>
        <v>1883</v>
      </c>
      <c r="M221" s="195">
        <f t="shared" si="244"/>
        <v>0.07381837493</v>
      </c>
      <c r="N221" s="190">
        <f t="shared" ref="N221:P221" si="247">SUM(N216:N220)</f>
        <v>1029.6</v>
      </c>
      <c r="O221" s="190">
        <f t="shared" si="247"/>
        <v>2525.01</v>
      </c>
      <c r="P221" s="196">
        <f t="shared" si="247"/>
        <v>98</v>
      </c>
      <c r="Q221" s="197">
        <f>sum(Q216:Q220)</f>
        <v>269566</v>
      </c>
      <c r="R221" s="195">
        <f t="shared" si="1"/>
        <v>0.4077607613</v>
      </c>
      <c r="S221" s="198">
        <f t="shared" si="2"/>
        <v>2.452418415</v>
      </c>
      <c r="T221" s="199">
        <f t="shared" si="245"/>
        <v>0.8227655893</v>
      </c>
      <c r="U221" s="80" t="str">
        <f>iferror((F221-#REF!)/F221,)</f>
        <v/>
      </c>
      <c r="V221" s="90" t="str">
        <f>iferror((H221-#REF!)/H221,)</f>
        <v/>
      </c>
      <c r="W221" s="2"/>
      <c r="X221" s="2"/>
      <c r="Y221" s="2"/>
      <c r="Z221" s="2"/>
    </row>
    <row r="222" hidden="1" outlineLevel="1">
      <c r="A222" s="56" t="str">
        <f>iferror(if(B222&gt;0,month(B222)&amp;"-"&amp;year(B222),B222),)</f>
        <v>8-2025</v>
      </c>
      <c r="B222" s="143">
        <v>45893.0</v>
      </c>
      <c r="C222" s="144"/>
      <c r="D222" s="145" t="s">
        <v>60</v>
      </c>
      <c r="E222" s="58"/>
      <c r="F222" s="146"/>
      <c r="G222" s="147"/>
      <c r="H222" s="147"/>
      <c r="I222" s="148"/>
      <c r="J222" s="149"/>
      <c r="K222" s="149"/>
      <c r="L222" s="150"/>
      <c r="M222" s="151"/>
      <c r="N222" s="152">
        <v>918.15</v>
      </c>
      <c r="O222" s="152">
        <v>2323.23</v>
      </c>
      <c r="P222" s="153">
        <v>92.0</v>
      </c>
      <c r="Q222" s="154">
        <v>244894.0</v>
      </c>
      <c r="R222" s="155">
        <f t="shared" si="1"/>
        <v>0.3952040909</v>
      </c>
      <c r="S222" s="156">
        <f t="shared" si="2"/>
        <v>2.53033818</v>
      </c>
      <c r="T222" s="155" t="str">
        <f t="shared" si="245"/>
        <v>#DIV/0!</v>
      </c>
      <c r="U222" s="76"/>
      <c r="V222" s="77"/>
      <c r="W222" s="2"/>
      <c r="X222" s="2"/>
      <c r="Y222" s="2"/>
      <c r="Z222" s="2"/>
    </row>
    <row r="223" hidden="1" outlineLevel="1">
      <c r="A223" s="157"/>
      <c r="B223" s="158"/>
      <c r="C223" s="159" t="s">
        <v>12</v>
      </c>
      <c r="D223" s="160" t="s">
        <v>13</v>
      </c>
      <c r="E223" s="58"/>
      <c r="F223" s="161">
        <v>819.0</v>
      </c>
      <c r="G223" s="162">
        <v>42.0</v>
      </c>
      <c r="H223" s="162">
        <v>38.0</v>
      </c>
      <c r="I223" s="163">
        <f t="shared" ref="I223:I228" si="248">G223/H223</f>
        <v>1.105263158</v>
      </c>
      <c r="J223" s="164">
        <f t="shared" ref="J223:J227" si="249">F223/H223</f>
        <v>21.55263158</v>
      </c>
      <c r="K223" s="164">
        <f t="shared" ref="K223:K227" si="250">F223/G223</f>
        <v>19.5</v>
      </c>
      <c r="L223" s="165">
        <v>455.0</v>
      </c>
      <c r="M223" s="155">
        <f t="shared" ref="M223:M228" si="251">G223/L223</f>
        <v>0.09230769231</v>
      </c>
      <c r="N223" s="166">
        <v>10.98</v>
      </c>
      <c r="O223" s="166">
        <v>19.5</v>
      </c>
      <c r="P223" s="167">
        <v>1.0</v>
      </c>
      <c r="Q223" s="168">
        <v>7756.0</v>
      </c>
      <c r="R223" s="155">
        <f t="shared" si="1"/>
        <v>0.5630769231</v>
      </c>
      <c r="S223" s="156">
        <f t="shared" si="2"/>
        <v>1.775956284</v>
      </c>
      <c r="T223" s="155" t="str">
        <f>#REF!/#REF!</f>
        <v>#REF!</v>
      </c>
      <c r="U223" s="76"/>
      <c r="V223" s="77"/>
      <c r="W223" s="2"/>
      <c r="X223" s="2"/>
      <c r="Y223" s="2"/>
      <c r="Z223" s="2"/>
    </row>
    <row r="224" hidden="1" outlineLevel="1">
      <c r="A224" s="157" t="str">
        <f>iferror(if(D224&gt;0,month(D224)&amp;"-"&amp;year(D224),D224),)</f>
        <v/>
      </c>
      <c r="B224" s="158"/>
      <c r="C224" s="169" t="s">
        <v>61</v>
      </c>
      <c r="D224" s="170" t="s">
        <v>62</v>
      </c>
      <c r="E224" s="68"/>
      <c r="F224" s="164">
        <v>944.65</v>
      </c>
      <c r="G224" s="171">
        <v>35.0</v>
      </c>
      <c r="H224" s="171">
        <v>31.0</v>
      </c>
      <c r="I224" s="163">
        <f t="shared" si="248"/>
        <v>1.129032258</v>
      </c>
      <c r="J224" s="164">
        <f t="shared" si="249"/>
        <v>30.47258065</v>
      </c>
      <c r="K224" s="164">
        <f t="shared" si="250"/>
        <v>26.99</v>
      </c>
      <c r="L224" s="165">
        <v>494.0</v>
      </c>
      <c r="M224" s="155">
        <f t="shared" si="251"/>
        <v>0.07085020243</v>
      </c>
      <c r="N224" s="172">
        <v>53.1</v>
      </c>
      <c r="O224" s="172">
        <v>235.17</v>
      </c>
      <c r="P224" s="173">
        <v>8.0</v>
      </c>
      <c r="Q224" s="174">
        <v>11640.0</v>
      </c>
      <c r="R224" s="155">
        <f t="shared" si="1"/>
        <v>0.2257941064</v>
      </c>
      <c r="S224" s="156">
        <f t="shared" si="2"/>
        <v>4.428813559</v>
      </c>
      <c r="T224" s="155">
        <f t="shared" ref="T224:T229" si="252">O224/F224</f>
        <v>0.2489493463</v>
      </c>
      <c r="U224" s="76"/>
      <c r="V224" s="77"/>
      <c r="W224" s="2"/>
      <c r="X224" s="2"/>
      <c r="Y224" s="2"/>
      <c r="Z224" s="2"/>
    </row>
    <row r="225" hidden="1" outlineLevel="1">
      <c r="A225" s="175"/>
      <c r="B225" s="158"/>
      <c r="C225" s="176" t="s">
        <v>14</v>
      </c>
      <c r="D225" s="177" t="s">
        <v>15</v>
      </c>
      <c r="E225" s="68"/>
      <c r="F225" s="164">
        <v>807.5</v>
      </c>
      <c r="G225" s="171">
        <v>38.0</v>
      </c>
      <c r="H225" s="171">
        <v>37.0</v>
      </c>
      <c r="I225" s="163">
        <f t="shared" si="248"/>
        <v>1.027027027</v>
      </c>
      <c r="J225" s="164">
        <f t="shared" si="249"/>
        <v>21.82432432</v>
      </c>
      <c r="K225" s="164">
        <f t="shared" si="250"/>
        <v>21.25</v>
      </c>
      <c r="L225" s="165">
        <v>505.0</v>
      </c>
      <c r="M225" s="155">
        <f t="shared" si="251"/>
        <v>0.07524752475</v>
      </c>
      <c r="N225" s="178">
        <v>36.36</v>
      </c>
      <c r="O225" s="178">
        <v>131.24</v>
      </c>
      <c r="P225" s="179">
        <v>6.0</v>
      </c>
      <c r="Q225" s="180">
        <v>9154.0</v>
      </c>
      <c r="R225" s="155">
        <f t="shared" si="1"/>
        <v>0.27704968</v>
      </c>
      <c r="S225" s="156">
        <f t="shared" si="2"/>
        <v>3.609460946</v>
      </c>
      <c r="T225" s="155">
        <f t="shared" si="252"/>
        <v>0.1625263158</v>
      </c>
      <c r="U225" s="76"/>
      <c r="V225" s="77"/>
      <c r="W225" s="2"/>
      <c r="X225" s="2"/>
      <c r="Y225" s="2"/>
      <c r="Z225" s="2"/>
    </row>
    <row r="226" hidden="1" outlineLevel="1">
      <c r="A226" s="175"/>
      <c r="B226" s="158"/>
      <c r="C226" s="181" t="s">
        <v>63</v>
      </c>
      <c r="D226" s="182" t="s">
        <v>64</v>
      </c>
      <c r="E226" s="68"/>
      <c r="F226" s="164">
        <v>1424.43</v>
      </c>
      <c r="G226" s="171">
        <v>57.0</v>
      </c>
      <c r="H226" s="171">
        <v>53.0</v>
      </c>
      <c r="I226" s="163">
        <f t="shared" si="248"/>
        <v>1.075471698</v>
      </c>
      <c r="J226" s="164">
        <f t="shared" si="249"/>
        <v>26.87603774</v>
      </c>
      <c r="K226" s="164">
        <f t="shared" si="250"/>
        <v>24.99</v>
      </c>
      <c r="L226" s="165">
        <v>777.0</v>
      </c>
      <c r="M226" s="155">
        <f t="shared" si="251"/>
        <v>0.07335907336</v>
      </c>
      <c r="N226" s="183">
        <v>216.75</v>
      </c>
      <c r="O226" s="183">
        <v>388.62</v>
      </c>
      <c r="P226" s="184">
        <v>15.0</v>
      </c>
      <c r="Q226" s="185">
        <v>50654.0</v>
      </c>
      <c r="R226" s="155">
        <f t="shared" si="1"/>
        <v>0.5577427822</v>
      </c>
      <c r="S226" s="156">
        <f t="shared" si="2"/>
        <v>1.792941176</v>
      </c>
      <c r="T226" s="155">
        <f t="shared" si="252"/>
        <v>0.2728249194</v>
      </c>
      <c r="U226" s="76"/>
      <c r="V226" s="77"/>
      <c r="W226" s="2"/>
      <c r="X226" s="2"/>
      <c r="Y226" s="2"/>
      <c r="Z226" s="2"/>
    </row>
    <row r="227" hidden="1" outlineLevel="1">
      <c r="A227" s="56" t="str">
        <f>iferror(if(B227&gt;0,month(B227)&amp;"-"&amp;year(B227),B227),)</f>
        <v>8-2025</v>
      </c>
      <c r="B227" s="143">
        <v>45899.0</v>
      </c>
      <c r="C227" s="186" t="s">
        <v>65</v>
      </c>
      <c r="D227" s="187" t="s">
        <v>66</v>
      </c>
      <c r="E227" s="68"/>
      <c r="F227" s="164">
        <v>929.69</v>
      </c>
      <c r="G227" s="171">
        <v>31.0</v>
      </c>
      <c r="H227" s="171">
        <v>31.0</v>
      </c>
      <c r="I227" s="163">
        <f t="shared" si="248"/>
        <v>1</v>
      </c>
      <c r="J227" s="164">
        <f t="shared" si="249"/>
        <v>29.99</v>
      </c>
      <c r="K227" s="164">
        <f t="shared" si="250"/>
        <v>29.99</v>
      </c>
      <c r="L227" s="165">
        <v>107.0</v>
      </c>
      <c r="M227" s="155">
        <f t="shared" si="251"/>
        <v>0.2897196262</v>
      </c>
      <c r="N227" s="266"/>
      <c r="O227" s="266"/>
      <c r="P227" s="267"/>
      <c r="Q227" s="267"/>
      <c r="R227" s="155" t="str">
        <f t="shared" si="1"/>
        <v>#DIV/0!</v>
      </c>
      <c r="S227" s="156" t="str">
        <f t="shared" si="2"/>
        <v>#DIV/0!</v>
      </c>
      <c r="T227" s="155">
        <f t="shared" si="252"/>
        <v>0</v>
      </c>
      <c r="U227" s="76"/>
      <c r="V227" s="77"/>
      <c r="W227" s="2"/>
      <c r="X227" s="2"/>
      <c r="Y227" s="2"/>
      <c r="Z227" s="2"/>
    </row>
    <row r="228" collapsed="1">
      <c r="A228" s="78" t="s">
        <v>102</v>
      </c>
      <c r="B228" s="79"/>
      <c r="C228" s="79"/>
      <c r="D228" s="79"/>
      <c r="E228" s="80"/>
      <c r="F228" s="190">
        <f t="shared" ref="F228:H228" si="253">SUM(F222:F227)</f>
        <v>4925.27</v>
      </c>
      <c r="G228" s="191">
        <f t="shared" si="253"/>
        <v>203</v>
      </c>
      <c r="H228" s="191">
        <f t="shared" si="253"/>
        <v>190</v>
      </c>
      <c r="I228" s="192">
        <f t="shared" si="248"/>
        <v>1.068421053</v>
      </c>
      <c r="J228" s="193">
        <f>F228/G228</f>
        <v>24.26241379</v>
      </c>
      <c r="K228" s="193">
        <f>J228/I228</f>
        <v>22.70866316</v>
      </c>
      <c r="L228" s="194">
        <f>SUM(L222:L227)</f>
        <v>2338</v>
      </c>
      <c r="M228" s="195">
        <f t="shared" si="251"/>
        <v>0.08682634731</v>
      </c>
      <c r="N228" s="190">
        <f t="shared" ref="N228:P228" si="254">SUM(N222:N227)</f>
        <v>1235.34</v>
      </c>
      <c r="O228" s="190">
        <f t="shared" si="254"/>
        <v>3097.76</v>
      </c>
      <c r="P228" s="196">
        <f t="shared" si="254"/>
        <v>122</v>
      </c>
      <c r="Q228" s="197">
        <f>sum(Q222:Q227)</f>
        <v>324098</v>
      </c>
      <c r="R228" s="195">
        <f t="shared" si="1"/>
        <v>0.3987849285</v>
      </c>
      <c r="S228" s="198">
        <f t="shared" si="2"/>
        <v>2.507617336</v>
      </c>
      <c r="T228" s="199">
        <f t="shared" si="252"/>
        <v>0.6289523214</v>
      </c>
      <c r="U228" s="80" t="str">
        <f>iferror((F228-#REF!)/F228,)</f>
        <v/>
      </c>
      <c r="V228" s="90" t="str">
        <f>iferror((H228-#REF!)/H228,)</f>
        <v/>
      </c>
      <c r="W228" s="2"/>
      <c r="X228" s="2"/>
      <c r="Y228" s="2"/>
      <c r="Z228" s="2"/>
    </row>
    <row r="229" hidden="1" outlineLevel="1">
      <c r="A229" s="56" t="str">
        <f>iferror(if(B229&gt;0,month(B229)&amp;"-"&amp;year(B229),B229),)</f>
        <v>8-2025</v>
      </c>
      <c r="B229" s="143">
        <v>45900.0</v>
      </c>
      <c r="C229" s="144"/>
      <c r="D229" s="145" t="s">
        <v>60</v>
      </c>
      <c r="E229" s="58"/>
      <c r="F229" s="146"/>
      <c r="G229" s="147"/>
      <c r="H229" s="147"/>
      <c r="I229" s="148"/>
      <c r="J229" s="149"/>
      <c r="K229" s="149"/>
      <c r="L229" s="150"/>
      <c r="M229" s="151"/>
      <c r="N229" s="152">
        <v>967.05</v>
      </c>
      <c r="O229" s="152">
        <v>2039.78</v>
      </c>
      <c r="P229" s="153">
        <v>79.0</v>
      </c>
      <c r="Q229" s="154">
        <v>196772.0</v>
      </c>
      <c r="R229" s="155">
        <f t="shared" si="1"/>
        <v>0.4740952456</v>
      </c>
      <c r="S229" s="156">
        <f t="shared" si="2"/>
        <v>2.109280802</v>
      </c>
      <c r="T229" s="155" t="str">
        <f t="shared" si="252"/>
        <v>#DIV/0!</v>
      </c>
      <c r="U229" s="76"/>
      <c r="V229" s="77"/>
      <c r="W229" s="2"/>
      <c r="X229" s="2"/>
      <c r="Y229" s="2"/>
      <c r="Z229" s="2"/>
    </row>
    <row r="230" hidden="1" outlineLevel="1">
      <c r="A230" s="157"/>
      <c r="B230" s="158"/>
      <c r="C230" s="159" t="s">
        <v>12</v>
      </c>
      <c r="D230" s="160" t="s">
        <v>13</v>
      </c>
      <c r="E230" s="58"/>
      <c r="F230" s="161">
        <v>390.0</v>
      </c>
      <c r="G230" s="162">
        <v>20.0</v>
      </c>
      <c r="H230" s="162">
        <v>19.0</v>
      </c>
      <c r="I230" s="163">
        <f t="shared" ref="I230:I235" si="255">G230/H230</f>
        <v>1.052631579</v>
      </c>
      <c r="J230" s="164">
        <f t="shared" ref="J230:J234" si="256">F230/H230</f>
        <v>20.52631579</v>
      </c>
      <c r="K230" s="164">
        <f t="shared" ref="K230:K234" si="257">F230/G230</f>
        <v>19.5</v>
      </c>
      <c r="L230" s="165">
        <v>439.0</v>
      </c>
      <c r="M230" s="155">
        <f t="shared" ref="M230:M235" si="258">G230/L230</f>
        <v>0.04555808656</v>
      </c>
      <c r="N230" s="166">
        <v>20.73</v>
      </c>
      <c r="O230" s="166">
        <v>58.5</v>
      </c>
      <c r="P230" s="167">
        <v>3.0</v>
      </c>
      <c r="Q230" s="168">
        <v>8096.0</v>
      </c>
      <c r="R230" s="155">
        <f t="shared" si="1"/>
        <v>0.3543589744</v>
      </c>
      <c r="S230" s="156">
        <f t="shared" si="2"/>
        <v>2.821997106</v>
      </c>
      <c r="T230" s="155" t="str">
        <f>#REF!/#REF!</f>
        <v>#REF!</v>
      </c>
      <c r="U230" s="76"/>
      <c r="V230" s="77"/>
      <c r="W230" s="2"/>
      <c r="X230" s="2"/>
      <c r="Y230" s="2"/>
      <c r="Z230" s="2"/>
    </row>
    <row r="231" hidden="1" outlineLevel="1">
      <c r="A231" s="157" t="str">
        <f>iferror(if(D231&gt;0,month(D231)&amp;"-"&amp;year(D231),D231),)</f>
        <v/>
      </c>
      <c r="B231" s="158"/>
      <c r="C231" s="169" t="s">
        <v>61</v>
      </c>
      <c r="D231" s="170" t="s">
        <v>62</v>
      </c>
      <c r="E231" s="68"/>
      <c r="F231" s="164">
        <v>944.65</v>
      </c>
      <c r="G231" s="171">
        <v>35.0</v>
      </c>
      <c r="H231" s="171">
        <v>31.0</v>
      </c>
      <c r="I231" s="163">
        <f t="shared" si="255"/>
        <v>1.129032258</v>
      </c>
      <c r="J231" s="164">
        <f t="shared" si="256"/>
        <v>30.47258065</v>
      </c>
      <c r="K231" s="164">
        <f t="shared" si="257"/>
        <v>26.99</v>
      </c>
      <c r="L231" s="165">
        <v>554.0</v>
      </c>
      <c r="M231" s="155">
        <f t="shared" si="258"/>
        <v>0.06317689531</v>
      </c>
      <c r="N231" s="172">
        <v>96.43</v>
      </c>
      <c r="O231" s="172">
        <v>213.18</v>
      </c>
      <c r="P231" s="173">
        <v>7.0</v>
      </c>
      <c r="Q231" s="174">
        <v>11301.0</v>
      </c>
      <c r="R231" s="155">
        <f t="shared" si="1"/>
        <v>0.4523407449</v>
      </c>
      <c r="S231" s="156">
        <f t="shared" si="2"/>
        <v>2.210722804</v>
      </c>
      <c r="T231" s="155">
        <f t="shared" ref="T231:T236" si="259">O231/F231</f>
        <v>0.2256708834</v>
      </c>
      <c r="U231" s="76"/>
      <c r="V231" s="77"/>
      <c r="W231" s="2"/>
      <c r="X231" s="2"/>
      <c r="Y231" s="2"/>
      <c r="Z231" s="2"/>
    </row>
    <row r="232" hidden="1" outlineLevel="1">
      <c r="A232" s="175"/>
      <c r="B232" s="158"/>
      <c r="C232" s="176" t="s">
        <v>14</v>
      </c>
      <c r="D232" s="177" t="s">
        <v>15</v>
      </c>
      <c r="E232" s="68"/>
      <c r="F232" s="164">
        <v>1168.75</v>
      </c>
      <c r="G232" s="171">
        <v>55.0</v>
      </c>
      <c r="H232" s="171">
        <v>52.0</v>
      </c>
      <c r="I232" s="163">
        <f t="shared" si="255"/>
        <v>1.057692308</v>
      </c>
      <c r="J232" s="164">
        <f t="shared" si="256"/>
        <v>22.47596154</v>
      </c>
      <c r="K232" s="164">
        <f t="shared" si="257"/>
        <v>21.25</v>
      </c>
      <c r="L232" s="165">
        <v>499.0</v>
      </c>
      <c r="M232" s="155">
        <f t="shared" si="258"/>
        <v>0.1102204409</v>
      </c>
      <c r="N232" s="178">
        <v>60.63</v>
      </c>
      <c r="O232" s="178">
        <v>142.24</v>
      </c>
      <c r="P232" s="179">
        <v>7.0</v>
      </c>
      <c r="Q232" s="180">
        <v>12439.0</v>
      </c>
      <c r="R232" s="155">
        <f t="shared" si="1"/>
        <v>0.4262514061</v>
      </c>
      <c r="S232" s="156">
        <f t="shared" si="2"/>
        <v>2.346033317</v>
      </c>
      <c r="T232" s="155">
        <f t="shared" si="259"/>
        <v>0.1217026738</v>
      </c>
      <c r="U232" s="76"/>
      <c r="V232" s="77"/>
      <c r="W232" s="2"/>
      <c r="X232" s="2"/>
      <c r="Y232" s="2"/>
      <c r="Z232" s="2"/>
    </row>
    <row r="233" hidden="1" outlineLevel="1">
      <c r="A233" s="175"/>
      <c r="B233" s="158"/>
      <c r="C233" s="181" t="s">
        <v>63</v>
      </c>
      <c r="D233" s="182" t="s">
        <v>64</v>
      </c>
      <c r="E233" s="68"/>
      <c r="F233" s="164">
        <v>824.67</v>
      </c>
      <c r="G233" s="171">
        <v>33.0</v>
      </c>
      <c r="H233" s="171">
        <v>31.0</v>
      </c>
      <c r="I233" s="163">
        <f t="shared" si="255"/>
        <v>1.064516129</v>
      </c>
      <c r="J233" s="164">
        <f t="shared" si="256"/>
        <v>26.60225806</v>
      </c>
      <c r="K233" s="164">
        <f t="shared" si="257"/>
        <v>24.99</v>
      </c>
      <c r="L233" s="165">
        <v>704.0</v>
      </c>
      <c r="M233" s="155">
        <f t="shared" si="258"/>
        <v>0.046875</v>
      </c>
      <c r="N233" s="183">
        <v>120.58</v>
      </c>
      <c r="O233" s="183">
        <v>149.94</v>
      </c>
      <c r="P233" s="184">
        <v>6.0</v>
      </c>
      <c r="Q233" s="185">
        <v>24042.0</v>
      </c>
      <c r="R233" s="155">
        <f t="shared" si="1"/>
        <v>0.804188342</v>
      </c>
      <c r="S233" s="156">
        <f t="shared" si="2"/>
        <v>1.243489799</v>
      </c>
      <c r="T233" s="155">
        <f t="shared" si="259"/>
        <v>0.1818181818</v>
      </c>
      <c r="U233" s="76"/>
      <c r="V233" s="77"/>
      <c r="W233" s="2"/>
      <c r="X233" s="2"/>
      <c r="Y233" s="2"/>
      <c r="Z233" s="2"/>
    </row>
    <row r="234" hidden="1" outlineLevel="1">
      <c r="A234" s="56" t="str">
        <f>iferror(if(B234&gt;0,month(B234)&amp;"-"&amp;year(B234),B234),)</f>
        <v>9-2025</v>
      </c>
      <c r="B234" s="143">
        <v>45906.0</v>
      </c>
      <c r="C234" s="186" t="s">
        <v>65</v>
      </c>
      <c r="D234" s="187" t="s">
        <v>66</v>
      </c>
      <c r="E234" s="68"/>
      <c r="F234" s="164">
        <v>149.95</v>
      </c>
      <c r="G234" s="171">
        <v>5.0</v>
      </c>
      <c r="H234" s="171">
        <v>5.0</v>
      </c>
      <c r="I234" s="163">
        <f t="shared" si="255"/>
        <v>1</v>
      </c>
      <c r="J234" s="164">
        <f t="shared" si="256"/>
        <v>29.99</v>
      </c>
      <c r="K234" s="164">
        <f t="shared" si="257"/>
        <v>29.99</v>
      </c>
      <c r="L234" s="165">
        <v>134.0</v>
      </c>
      <c r="M234" s="155">
        <f t="shared" si="258"/>
        <v>0.03731343284</v>
      </c>
      <c r="N234" s="266"/>
      <c r="O234" s="266"/>
      <c r="P234" s="267"/>
      <c r="Q234" s="267"/>
      <c r="R234" s="155" t="str">
        <f t="shared" si="1"/>
        <v>#DIV/0!</v>
      </c>
      <c r="S234" s="156" t="str">
        <f t="shared" si="2"/>
        <v>#DIV/0!</v>
      </c>
      <c r="T234" s="155">
        <f t="shared" si="259"/>
        <v>0</v>
      </c>
      <c r="U234" s="76"/>
      <c r="V234" s="77"/>
      <c r="W234" s="2"/>
      <c r="X234" s="2"/>
      <c r="Y234" s="2"/>
      <c r="Z234" s="2"/>
    </row>
    <row r="235" collapsed="1">
      <c r="A235" s="78" t="s">
        <v>103</v>
      </c>
      <c r="B235" s="79"/>
      <c r="C235" s="79"/>
      <c r="D235" s="79"/>
      <c r="E235" s="80"/>
      <c r="F235" s="190">
        <f t="shared" ref="F235:H235" si="260">SUM(F229:F234)</f>
        <v>3478.02</v>
      </c>
      <c r="G235" s="191">
        <f t="shared" si="260"/>
        <v>148</v>
      </c>
      <c r="H235" s="191">
        <f t="shared" si="260"/>
        <v>138</v>
      </c>
      <c r="I235" s="192">
        <f t="shared" si="255"/>
        <v>1.072463768</v>
      </c>
      <c r="J235" s="193">
        <f>F235/G235</f>
        <v>23.50013514</v>
      </c>
      <c r="K235" s="193">
        <f>J235/I235</f>
        <v>21.91228817</v>
      </c>
      <c r="L235" s="194">
        <f>SUM(L229:L234)</f>
        <v>2330</v>
      </c>
      <c r="M235" s="195">
        <f t="shared" si="258"/>
        <v>0.0635193133</v>
      </c>
      <c r="N235" s="190">
        <f t="shared" ref="N235:P235" si="261">SUM(N229:N234)</f>
        <v>1265.42</v>
      </c>
      <c r="O235" s="190">
        <f t="shared" si="261"/>
        <v>2603.64</v>
      </c>
      <c r="P235" s="196">
        <f t="shared" si="261"/>
        <v>102</v>
      </c>
      <c r="Q235" s="197">
        <f>sum(Q229:Q234)</f>
        <v>252650</v>
      </c>
      <c r="R235" s="195">
        <f t="shared" si="1"/>
        <v>0.4860195726</v>
      </c>
      <c r="S235" s="198">
        <f t="shared" si="2"/>
        <v>2.057530306</v>
      </c>
      <c r="T235" s="199">
        <f t="shared" si="259"/>
        <v>0.7485983404</v>
      </c>
      <c r="U235" s="80" t="str">
        <f>iferror((F235-#REF!)/F235,)</f>
        <v/>
      </c>
      <c r="V235" s="90" t="str">
        <f>iferror((H235-#REF!)/H235,)</f>
        <v/>
      </c>
      <c r="W235" s="2"/>
      <c r="X235" s="2"/>
      <c r="Y235" s="2"/>
      <c r="Z235" s="2"/>
    </row>
    <row r="236" hidden="1" outlineLevel="1">
      <c r="A236" s="56" t="str">
        <f>iferror(if(B236&gt;0,month(B236)&amp;"-"&amp;year(B236),B236),)</f>
        <v>9-2025</v>
      </c>
      <c r="B236" s="143">
        <v>45907.0</v>
      </c>
      <c r="C236" s="144"/>
      <c r="D236" s="145" t="s">
        <v>60</v>
      </c>
      <c r="E236" s="58"/>
      <c r="F236" s="146"/>
      <c r="G236" s="147"/>
      <c r="H236" s="147"/>
      <c r="I236" s="148"/>
      <c r="J236" s="149"/>
      <c r="K236" s="149"/>
      <c r="L236" s="150"/>
      <c r="M236" s="151"/>
      <c r="N236" s="152">
        <v>819.13</v>
      </c>
      <c r="O236" s="152">
        <v>2374.97</v>
      </c>
      <c r="P236" s="153">
        <v>84.0</v>
      </c>
      <c r="Q236" s="154">
        <v>165895.0</v>
      </c>
      <c r="R236" s="155">
        <f t="shared" si="1"/>
        <v>0.3449011988</v>
      </c>
      <c r="S236" s="156">
        <f t="shared" si="2"/>
        <v>2.899381051</v>
      </c>
      <c r="T236" s="155" t="str">
        <f t="shared" si="259"/>
        <v>#DIV/0!</v>
      </c>
      <c r="U236" s="76"/>
      <c r="V236" s="77"/>
      <c r="W236" s="2"/>
      <c r="X236" s="2"/>
      <c r="Y236" s="2"/>
      <c r="Z236" s="2"/>
    </row>
    <row r="237" hidden="1" outlineLevel="1">
      <c r="A237" s="157"/>
      <c r="B237" s="158"/>
      <c r="C237" s="159" t="s">
        <v>12</v>
      </c>
      <c r="D237" s="160" t="s">
        <v>13</v>
      </c>
      <c r="E237" s="58"/>
      <c r="F237" s="161">
        <v>351.0</v>
      </c>
      <c r="G237" s="162">
        <v>18.0</v>
      </c>
      <c r="H237" s="162">
        <v>16.0</v>
      </c>
      <c r="I237" s="163">
        <f t="shared" ref="I237:I242" si="262">G237/H237</f>
        <v>1.125</v>
      </c>
      <c r="J237" s="164">
        <f t="shared" ref="J237:J241" si="263">F237/H237</f>
        <v>21.9375</v>
      </c>
      <c r="K237" s="164">
        <f t="shared" ref="K237:K241" si="264">F237/G237</f>
        <v>19.5</v>
      </c>
      <c r="L237" s="165">
        <v>323.0</v>
      </c>
      <c r="M237" s="155">
        <f t="shared" ref="M237:M242" si="265">G237/L237</f>
        <v>0.05572755418</v>
      </c>
      <c r="N237" s="166">
        <v>13.28</v>
      </c>
      <c r="O237" s="166">
        <v>0.0</v>
      </c>
      <c r="P237" s="167">
        <v>0.0</v>
      </c>
      <c r="Q237" s="168">
        <v>6965.0</v>
      </c>
      <c r="R237" s="155" t="str">
        <f t="shared" si="1"/>
        <v>#DIV/0!</v>
      </c>
      <c r="S237" s="156">
        <f t="shared" si="2"/>
        <v>0</v>
      </c>
      <c r="T237" s="155" t="str">
        <f>#REF!/#REF!</f>
        <v>#REF!</v>
      </c>
      <c r="U237" s="76"/>
      <c r="V237" s="77"/>
      <c r="W237" s="2"/>
      <c r="X237" s="2"/>
      <c r="Y237" s="2"/>
      <c r="Z237" s="2"/>
    </row>
    <row r="238" hidden="1" outlineLevel="1">
      <c r="A238" s="157" t="str">
        <f>iferror(if(D238&gt;0,month(D238)&amp;"-"&amp;year(D238),D238),)</f>
        <v/>
      </c>
      <c r="B238" s="158"/>
      <c r="C238" s="169" t="s">
        <v>61</v>
      </c>
      <c r="D238" s="170" t="s">
        <v>62</v>
      </c>
      <c r="E238" s="68"/>
      <c r="F238" s="164">
        <v>890.67</v>
      </c>
      <c r="G238" s="171">
        <v>33.0</v>
      </c>
      <c r="H238" s="171">
        <v>29.0</v>
      </c>
      <c r="I238" s="163">
        <f t="shared" si="262"/>
        <v>1.137931034</v>
      </c>
      <c r="J238" s="164">
        <f t="shared" si="263"/>
        <v>30.71275862</v>
      </c>
      <c r="K238" s="164">
        <f t="shared" si="264"/>
        <v>26.99</v>
      </c>
      <c r="L238" s="165">
        <v>416.0</v>
      </c>
      <c r="M238" s="155">
        <f t="shared" si="265"/>
        <v>0.07932692308</v>
      </c>
      <c r="N238" s="172">
        <v>97.06</v>
      </c>
      <c r="O238" s="172">
        <v>218.92</v>
      </c>
      <c r="P238" s="173">
        <v>8.0</v>
      </c>
      <c r="Q238" s="174">
        <v>11980.0</v>
      </c>
      <c r="R238" s="155">
        <f t="shared" si="1"/>
        <v>0.4433583044</v>
      </c>
      <c r="S238" s="156">
        <f t="shared" si="2"/>
        <v>2.255512054</v>
      </c>
      <c r="T238" s="155">
        <f t="shared" ref="T238:T243" si="266">O238/F238</f>
        <v>0.2457924933</v>
      </c>
      <c r="U238" s="76"/>
      <c r="V238" s="77"/>
      <c r="W238" s="2"/>
      <c r="X238" s="2"/>
      <c r="Y238" s="2"/>
      <c r="Z238" s="2"/>
    </row>
    <row r="239" hidden="1" outlineLevel="1">
      <c r="A239" s="175"/>
      <c r="B239" s="158"/>
      <c r="C239" s="176" t="s">
        <v>14</v>
      </c>
      <c r="D239" s="177" t="s">
        <v>15</v>
      </c>
      <c r="E239" s="68"/>
      <c r="F239" s="164">
        <v>1083.75</v>
      </c>
      <c r="G239" s="171">
        <v>51.0</v>
      </c>
      <c r="H239" s="171">
        <v>41.0</v>
      </c>
      <c r="I239" s="163">
        <f t="shared" si="262"/>
        <v>1.243902439</v>
      </c>
      <c r="J239" s="164">
        <f t="shared" si="263"/>
        <v>26.43292683</v>
      </c>
      <c r="K239" s="164">
        <f t="shared" si="264"/>
        <v>21.25</v>
      </c>
      <c r="L239" s="165">
        <v>438.0</v>
      </c>
      <c r="M239" s="155">
        <f t="shared" si="265"/>
        <v>0.1164383562</v>
      </c>
      <c r="N239" s="178">
        <v>55.49</v>
      </c>
      <c r="O239" s="178">
        <v>63.75</v>
      </c>
      <c r="P239" s="179">
        <v>3.0</v>
      </c>
      <c r="Q239" s="180">
        <v>10373.0</v>
      </c>
      <c r="R239" s="155">
        <f t="shared" si="1"/>
        <v>0.8704313725</v>
      </c>
      <c r="S239" s="156">
        <f t="shared" si="2"/>
        <v>1.14885565</v>
      </c>
      <c r="T239" s="155">
        <f t="shared" si="266"/>
        <v>0.05882352941</v>
      </c>
      <c r="U239" s="76"/>
      <c r="V239" s="77"/>
      <c r="W239" s="2"/>
      <c r="X239" s="2"/>
      <c r="Y239" s="2"/>
      <c r="Z239" s="2"/>
    </row>
    <row r="240" hidden="1" outlineLevel="1">
      <c r="A240" s="175"/>
      <c r="B240" s="158"/>
      <c r="C240" s="181" t="s">
        <v>63</v>
      </c>
      <c r="D240" s="182" t="s">
        <v>64</v>
      </c>
      <c r="E240" s="68"/>
      <c r="F240" s="164">
        <v>699.72</v>
      </c>
      <c r="G240" s="171">
        <v>28.0</v>
      </c>
      <c r="H240" s="171">
        <v>27.0</v>
      </c>
      <c r="I240" s="163">
        <f t="shared" si="262"/>
        <v>1.037037037</v>
      </c>
      <c r="J240" s="164">
        <f t="shared" si="263"/>
        <v>25.91555556</v>
      </c>
      <c r="K240" s="164">
        <f t="shared" si="264"/>
        <v>24.99</v>
      </c>
      <c r="L240" s="165">
        <v>512.0</v>
      </c>
      <c r="M240" s="155">
        <f t="shared" si="265"/>
        <v>0.0546875</v>
      </c>
      <c r="N240" s="183">
        <v>70.08</v>
      </c>
      <c r="O240" s="183">
        <v>119.46</v>
      </c>
      <c r="P240" s="184">
        <v>5.0</v>
      </c>
      <c r="Q240" s="185">
        <v>17629.0</v>
      </c>
      <c r="R240" s="155">
        <f t="shared" si="1"/>
        <v>0.5866398795</v>
      </c>
      <c r="S240" s="156">
        <f t="shared" si="2"/>
        <v>1.704623288</v>
      </c>
      <c r="T240" s="155">
        <f t="shared" si="266"/>
        <v>0.170725433</v>
      </c>
      <c r="U240" s="76"/>
      <c r="V240" s="77"/>
      <c r="W240" s="2"/>
      <c r="X240" s="2"/>
      <c r="Y240" s="2"/>
      <c r="Z240" s="2"/>
    </row>
    <row r="241" hidden="1" outlineLevel="1">
      <c r="A241" s="56" t="str">
        <f>iferror(if(B241&gt;0,month(B241)&amp;"-"&amp;year(B241),B241),)</f>
        <v>9-2025</v>
      </c>
      <c r="B241" s="143">
        <v>45913.0</v>
      </c>
      <c r="C241" s="186" t="s">
        <v>65</v>
      </c>
      <c r="D241" s="187" t="s">
        <v>66</v>
      </c>
      <c r="E241" s="68"/>
      <c r="F241" s="164">
        <v>959.68</v>
      </c>
      <c r="G241" s="171">
        <v>32.0</v>
      </c>
      <c r="H241" s="171">
        <v>30.0</v>
      </c>
      <c r="I241" s="163">
        <f t="shared" si="262"/>
        <v>1.066666667</v>
      </c>
      <c r="J241" s="164">
        <f t="shared" si="263"/>
        <v>31.98933333</v>
      </c>
      <c r="K241" s="164">
        <f t="shared" si="264"/>
        <v>29.99</v>
      </c>
      <c r="L241" s="165">
        <v>320.0</v>
      </c>
      <c r="M241" s="155">
        <f t="shared" si="265"/>
        <v>0.1</v>
      </c>
      <c r="N241" s="266"/>
      <c r="O241" s="266"/>
      <c r="P241" s="267"/>
      <c r="Q241" s="267"/>
      <c r="R241" s="155" t="str">
        <f t="shared" si="1"/>
        <v>#DIV/0!</v>
      </c>
      <c r="S241" s="156" t="str">
        <f t="shared" si="2"/>
        <v>#DIV/0!</v>
      </c>
      <c r="T241" s="155">
        <f t="shared" si="266"/>
        <v>0</v>
      </c>
      <c r="U241" s="76"/>
      <c r="V241" s="77"/>
      <c r="W241" s="2"/>
      <c r="X241" s="2"/>
      <c r="Y241" s="2"/>
      <c r="Z241" s="2"/>
    </row>
    <row r="242" collapsed="1">
      <c r="A242" s="78" t="s">
        <v>104</v>
      </c>
      <c r="B242" s="79"/>
      <c r="C242" s="79"/>
      <c r="D242" s="79"/>
      <c r="E242" s="80"/>
      <c r="F242" s="190">
        <f t="shared" ref="F242:H242" si="267">SUM(F236:F241)</f>
        <v>3984.82</v>
      </c>
      <c r="G242" s="191">
        <f t="shared" si="267"/>
        <v>162</v>
      </c>
      <c r="H242" s="191">
        <f t="shared" si="267"/>
        <v>143</v>
      </c>
      <c r="I242" s="192">
        <f t="shared" si="262"/>
        <v>1.132867133</v>
      </c>
      <c r="J242" s="193">
        <f>F242/G242</f>
        <v>24.59765432</v>
      </c>
      <c r="K242" s="193">
        <f>J242/I242</f>
        <v>21.71274425</v>
      </c>
      <c r="L242" s="194">
        <f>SUM(L236:L241)</f>
        <v>2009</v>
      </c>
      <c r="M242" s="195">
        <f t="shared" si="265"/>
        <v>0.0806371329</v>
      </c>
      <c r="N242" s="190">
        <f t="shared" ref="N242:P242" si="268">SUM(N236:N241)</f>
        <v>1055.04</v>
      </c>
      <c r="O242" s="190">
        <f t="shared" si="268"/>
        <v>2777.1</v>
      </c>
      <c r="P242" s="196">
        <f t="shared" si="268"/>
        <v>100</v>
      </c>
      <c r="Q242" s="197">
        <f>sum(Q236:Q241)</f>
        <v>212842</v>
      </c>
      <c r="R242" s="195">
        <f t="shared" si="1"/>
        <v>0.3799070973</v>
      </c>
      <c r="S242" s="198">
        <f t="shared" si="2"/>
        <v>2.632222475</v>
      </c>
      <c r="T242" s="199">
        <f t="shared" si="266"/>
        <v>0.6969198107</v>
      </c>
      <c r="U242" s="80" t="str">
        <f>iferror((F242-#REF!)/F242,)</f>
        <v/>
      </c>
      <c r="V242" s="90" t="str">
        <f>iferror((H242-#REF!)/H242,)</f>
        <v/>
      </c>
      <c r="W242" s="2"/>
      <c r="X242" s="2"/>
      <c r="Y242" s="2"/>
      <c r="Z242" s="2"/>
    </row>
    <row r="243" hidden="1" outlineLevel="1">
      <c r="A243" s="56" t="str">
        <f>iferror(if(B243&gt;0,month(B243)&amp;"-"&amp;year(B243),B243),)</f>
        <v>9-2025</v>
      </c>
      <c r="B243" s="143">
        <v>45914.0</v>
      </c>
      <c r="C243" s="144"/>
      <c r="D243" s="145" t="s">
        <v>60</v>
      </c>
      <c r="E243" s="58"/>
      <c r="F243" s="146"/>
      <c r="G243" s="147"/>
      <c r="H243" s="147"/>
      <c r="I243" s="148"/>
      <c r="J243" s="149"/>
      <c r="K243" s="149"/>
      <c r="L243" s="150"/>
      <c r="M243" s="151"/>
      <c r="N243" s="152">
        <v>542.63</v>
      </c>
      <c r="O243" s="152">
        <v>1765.76</v>
      </c>
      <c r="P243" s="153">
        <v>63.0</v>
      </c>
      <c r="Q243" s="154">
        <v>114771.0</v>
      </c>
      <c r="R243" s="155">
        <f t="shared" si="1"/>
        <v>0.3073067688</v>
      </c>
      <c r="S243" s="156">
        <f t="shared" si="2"/>
        <v>3.254077364</v>
      </c>
      <c r="T243" s="155" t="str">
        <f t="shared" si="266"/>
        <v>#DIV/0!</v>
      </c>
      <c r="U243" s="76"/>
      <c r="V243" s="77"/>
      <c r="W243" s="2"/>
      <c r="X243" s="2"/>
      <c r="Y243" s="2"/>
      <c r="Z243" s="2"/>
    </row>
    <row r="244" hidden="1" outlineLevel="1">
      <c r="A244" s="157"/>
      <c r="B244" s="158"/>
      <c r="C244" s="159" t="s">
        <v>12</v>
      </c>
      <c r="D244" s="160" t="s">
        <v>13</v>
      </c>
      <c r="E244" s="58"/>
      <c r="F244" s="161">
        <v>253.5</v>
      </c>
      <c r="G244" s="162">
        <v>13.0</v>
      </c>
      <c r="H244" s="162">
        <v>11.0</v>
      </c>
      <c r="I244" s="163">
        <f t="shared" ref="I244:I249" si="269">G244/H244</f>
        <v>1.181818182</v>
      </c>
      <c r="J244" s="164">
        <f t="shared" ref="J244:J248" si="270">F244/H244</f>
        <v>23.04545455</v>
      </c>
      <c r="K244" s="164">
        <f t="shared" ref="K244:K248" si="271">F244/G244</f>
        <v>19.5</v>
      </c>
      <c r="L244" s="165">
        <v>202.0</v>
      </c>
      <c r="M244" s="155">
        <f t="shared" ref="M244:M249" si="272">G244/L244</f>
        <v>0.06435643564</v>
      </c>
      <c r="N244" s="166">
        <v>6.12</v>
      </c>
      <c r="O244" s="166">
        <v>0.0</v>
      </c>
      <c r="P244" s="167">
        <v>0.0</v>
      </c>
      <c r="Q244" s="168">
        <v>3851.0</v>
      </c>
      <c r="R244" s="155" t="str">
        <f t="shared" si="1"/>
        <v>#DIV/0!</v>
      </c>
      <c r="S244" s="156">
        <f t="shared" si="2"/>
        <v>0</v>
      </c>
      <c r="T244" s="155" t="str">
        <f>#REF!/#REF!</f>
        <v>#REF!</v>
      </c>
      <c r="U244" s="76"/>
      <c r="V244" s="77"/>
      <c r="W244" s="2"/>
      <c r="X244" s="2"/>
      <c r="Y244" s="2"/>
      <c r="Z244" s="2"/>
    </row>
    <row r="245" hidden="1" outlineLevel="1">
      <c r="A245" s="157" t="str">
        <f>iferror(if(D245&gt;0,month(D245)&amp;"-"&amp;year(D245),D245),)</f>
        <v/>
      </c>
      <c r="B245" s="158"/>
      <c r="C245" s="169" t="s">
        <v>61</v>
      </c>
      <c r="D245" s="170" t="s">
        <v>62</v>
      </c>
      <c r="E245" s="68"/>
      <c r="F245" s="164">
        <v>755.72</v>
      </c>
      <c r="G245" s="171">
        <v>28.0</v>
      </c>
      <c r="H245" s="171">
        <v>26.0</v>
      </c>
      <c r="I245" s="163">
        <f t="shared" si="269"/>
        <v>1.076923077</v>
      </c>
      <c r="J245" s="164">
        <f t="shared" si="270"/>
        <v>29.06615385</v>
      </c>
      <c r="K245" s="164">
        <f t="shared" si="271"/>
        <v>26.99</v>
      </c>
      <c r="L245" s="165">
        <v>384.0</v>
      </c>
      <c r="M245" s="155">
        <f t="shared" si="272"/>
        <v>0.07291666667</v>
      </c>
      <c r="N245" s="172">
        <v>48.37</v>
      </c>
      <c r="O245" s="172">
        <v>134.95</v>
      </c>
      <c r="P245" s="173">
        <v>4.0</v>
      </c>
      <c r="Q245" s="174">
        <v>4655.0</v>
      </c>
      <c r="R245" s="155">
        <f t="shared" si="1"/>
        <v>0.3584290478</v>
      </c>
      <c r="S245" s="156">
        <f t="shared" si="2"/>
        <v>2.78995245</v>
      </c>
      <c r="T245" s="155">
        <f t="shared" ref="T245:T250" si="273">O245/F245</f>
        <v>0.1785714286</v>
      </c>
      <c r="U245" s="76"/>
      <c r="V245" s="77"/>
      <c r="W245" s="2"/>
      <c r="X245" s="2"/>
      <c r="Y245" s="2"/>
      <c r="Z245" s="2"/>
    </row>
    <row r="246" hidden="1" outlineLevel="1">
      <c r="A246" s="175"/>
      <c r="B246" s="158"/>
      <c r="C246" s="176" t="s">
        <v>14</v>
      </c>
      <c r="D246" s="177" t="s">
        <v>15</v>
      </c>
      <c r="E246" s="68"/>
      <c r="F246" s="164">
        <v>637.5</v>
      </c>
      <c r="G246" s="171">
        <v>31.0</v>
      </c>
      <c r="H246" s="171">
        <v>28.0</v>
      </c>
      <c r="I246" s="163">
        <f t="shared" si="269"/>
        <v>1.107142857</v>
      </c>
      <c r="J246" s="164">
        <f t="shared" si="270"/>
        <v>22.76785714</v>
      </c>
      <c r="K246" s="164">
        <f t="shared" si="271"/>
        <v>20.56451613</v>
      </c>
      <c r="L246" s="165">
        <v>269.0</v>
      </c>
      <c r="M246" s="155">
        <f t="shared" si="272"/>
        <v>0.1152416357</v>
      </c>
      <c r="N246" s="178">
        <v>36.12</v>
      </c>
      <c r="O246" s="178">
        <v>237.49</v>
      </c>
      <c r="P246" s="179">
        <v>11.0</v>
      </c>
      <c r="Q246" s="180">
        <v>6992.0</v>
      </c>
      <c r="R246" s="155">
        <f t="shared" si="1"/>
        <v>0.1520906143</v>
      </c>
      <c r="S246" s="156">
        <f t="shared" si="2"/>
        <v>6.575027685</v>
      </c>
      <c r="T246" s="155">
        <f t="shared" si="273"/>
        <v>0.3725333333</v>
      </c>
      <c r="U246" s="76"/>
      <c r="V246" s="77"/>
      <c r="W246" s="2"/>
      <c r="X246" s="2"/>
      <c r="Y246" s="2"/>
      <c r="Z246" s="2"/>
    </row>
    <row r="247" hidden="1" outlineLevel="1">
      <c r="A247" s="175"/>
      <c r="B247" s="158"/>
      <c r="C247" s="181" t="s">
        <v>63</v>
      </c>
      <c r="D247" s="182" t="s">
        <v>64</v>
      </c>
      <c r="E247" s="68"/>
      <c r="F247" s="164">
        <v>624.75</v>
      </c>
      <c r="G247" s="171">
        <v>25.0</v>
      </c>
      <c r="H247" s="171">
        <v>23.0</v>
      </c>
      <c r="I247" s="163">
        <f t="shared" si="269"/>
        <v>1.086956522</v>
      </c>
      <c r="J247" s="164">
        <f t="shared" si="270"/>
        <v>27.16304348</v>
      </c>
      <c r="K247" s="164">
        <f t="shared" si="271"/>
        <v>24.99</v>
      </c>
      <c r="L247" s="165">
        <v>362.0</v>
      </c>
      <c r="M247" s="155">
        <f t="shared" si="272"/>
        <v>0.06906077348</v>
      </c>
      <c r="N247" s="183">
        <v>41.12</v>
      </c>
      <c r="O247" s="183">
        <v>99.96</v>
      </c>
      <c r="P247" s="184">
        <v>3.0</v>
      </c>
      <c r="Q247" s="185">
        <v>7982.0</v>
      </c>
      <c r="R247" s="155">
        <f t="shared" si="1"/>
        <v>0.4113645458</v>
      </c>
      <c r="S247" s="156">
        <f t="shared" si="2"/>
        <v>2.430933852</v>
      </c>
      <c r="T247" s="155">
        <f t="shared" si="273"/>
        <v>0.16</v>
      </c>
      <c r="U247" s="76"/>
      <c r="V247" s="77"/>
      <c r="W247" s="2"/>
      <c r="X247" s="2"/>
      <c r="Y247" s="2"/>
      <c r="Z247" s="2"/>
    </row>
    <row r="248" hidden="1" outlineLevel="1">
      <c r="A248" s="56" t="str">
        <f>iferror(if(B248&gt;0,month(B248)&amp;"-"&amp;year(B248),B248),)</f>
        <v>9-2025</v>
      </c>
      <c r="B248" s="143">
        <v>45920.0</v>
      </c>
      <c r="C248" s="186" t="s">
        <v>65</v>
      </c>
      <c r="D248" s="187" t="s">
        <v>66</v>
      </c>
      <c r="E248" s="68"/>
      <c r="F248" s="164">
        <v>1289.57</v>
      </c>
      <c r="G248" s="171">
        <v>43.0</v>
      </c>
      <c r="H248" s="171">
        <v>40.0</v>
      </c>
      <c r="I248" s="163">
        <f t="shared" si="269"/>
        <v>1.075</v>
      </c>
      <c r="J248" s="164">
        <f t="shared" si="270"/>
        <v>32.23925</v>
      </c>
      <c r="K248" s="164">
        <f t="shared" si="271"/>
        <v>29.99</v>
      </c>
      <c r="L248" s="165">
        <v>362.0</v>
      </c>
      <c r="M248" s="155">
        <f t="shared" si="272"/>
        <v>0.1187845304</v>
      </c>
      <c r="N248" s="188">
        <v>1.12</v>
      </c>
      <c r="O248" s="188">
        <v>0.0</v>
      </c>
      <c r="P248" s="189">
        <v>0.0</v>
      </c>
      <c r="Q248" s="189">
        <v>1782.0</v>
      </c>
      <c r="R248" s="155" t="str">
        <f t="shared" si="1"/>
        <v>#DIV/0!</v>
      </c>
      <c r="S248" s="156">
        <f t="shared" si="2"/>
        <v>0</v>
      </c>
      <c r="T248" s="155">
        <f t="shared" si="273"/>
        <v>0</v>
      </c>
      <c r="U248" s="76"/>
      <c r="V248" s="77"/>
      <c r="W248" s="2"/>
      <c r="X248" s="2"/>
      <c r="Y248" s="2"/>
      <c r="Z248" s="2"/>
    </row>
    <row r="249" collapsed="1">
      <c r="A249" s="78" t="s">
        <v>105</v>
      </c>
      <c r="B249" s="79"/>
      <c r="C249" s="79"/>
      <c r="D249" s="79"/>
      <c r="E249" s="80"/>
      <c r="F249" s="190">
        <f t="shared" ref="F249:H249" si="274">SUM(F243:F248)</f>
        <v>3561.04</v>
      </c>
      <c r="G249" s="191">
        <f t="shared" si="274"/>
        <v>140</v>
      </c>
      <c r="H249" s="191">
        <f t="shared" si="274"/>
        <v>128</v>
      </c>
      <c r="I249" s="192">
        <f t="shared" si="269"/>
        <v>1.09375</v>
      </c>
      <c r="J249" s="193">
        <f>F249/G249</f>
        <v>25.436</v>
      </c>
      <c r="K249" s="193">
        <f>J249/I249</f>
        <v>23.25577143</v>
      </c>
      <c r="L249" s="194">
        <f>SUM(L243:L248)</f>
        <v>1579</v>
      </c>
      <c r="M249" s="195">
        <f t="shared" si="272"/>
        <v>0.08866371121</v>
      </c>
      <c r="N249" s="190">
        <f t="shared" ref="N249:P249" si="275">SUM(N243:N248)</f>
        <v>675.48</v>
      </c>
      <c r="O249" s="190">
        <f t="shared" si="275"/>
        <v>2238.16</v>
      </c>
      <c r="P249" s="196">
        <f t="shared" si="275"/>
        <v>81</v>
      </c>
      <c r="Q249" s="197">
        <f>sum(Q243:Q248)</f>
        <v>140033</v>
      </c>
      <c r="R249" s="195">
        <f t="shared" si="1"/>
        <v>0.3018014798</v>
      </c>
      <c r="S249" s="198">
        <f t="shared" si="2"/>
        <v>3.313436371</v>
      </c>
      <c r="T249" s="199">
        <f t="shared" si="273"/>
        <v>0.6285130187</v>
      </c>
      <c r="U249" s="80" t="str">
        <f>iferror((F249-#REF!)/F249,)</f>
        <v/>
      </c>
      <c r="V249" s="90" t="str">
        <f>iferror((H249-#REF!)/H249,)</f>
        <v/>
      </c>
      <c r="W249" s="2"/>
      <c r="X249" s="2"/>
      <c r="Y249" s="2"/>
      <c r="Z249" s="2"/>
    </row>
    <row r="250" hidden="1" outlineLevel="1">
      <c r="A250" s="56" t="str">
        <f>iferror(if(B250&gt;0,month(B250)&amp;"-"&amp;year(B250),B250),)</f>
        <v>9-2025</v>
      </c>
      <c r="B250" s="143">
        <v>45921.0</v>
      </c>
      <c r="C250" s="144"/>
      <c r="D250" s="145" t="s">
        <v>60</v>
      </c>
      <c r="E250" s="58"/>
      <c r="F250" s="146"/>
      <c r="G250" s="147"/>
      <c r="H250" s="147"/>
      <c r="I250" s="148"/>
      <c r="J250" s="149"/>
      <c r="K250" s="149"/>
      <c r="L250" s="150"/>
      <c r="M250" s="151"/>
      <c r="N250" s="152">
        <v>362.98</v>
      </c>
      <c r="O250" s="152">
        <v>1030.97</v>
      </c>
      <c r="P250" s="153">
        <v>35.0</v>
      </c>
      <c r="Q250" s="154">
        <v>68884.0</v>
      </c>
      <c r="R250" s="155">
        <f t="shared" si="1"/>
        <v>0.3520762001</v>
      </c>
      <c r="S250" s="156">
        <f t="shared" si="2"/>
        <v>2.840294231</v>
      </c>
      <c r="T250" s="155" t="str">
        <f t="shared" si="273"/>
        <v>#DIV/0!</v>
      </c>
      <c r="U250" s="76"/>
      <c r="V250" s="77"/>
      <c r="W250" s="2"/>
      <c r="X250" s="2"/>
      <c r="Y250" s="2"/>
      <c r="Z250" s="2"/>
    </row>
    <row r="251" hidden="1" outlineLevel="1">
      <c r="A251" s="157"/>
      <c r="B251" s="158"/>
      <c r="C251" s="159" t="s">
        <v>12</v>
      </c>
      <c r="D251" s="160" t="s">
        <v>13</v>
      </c>
      <c r="E251" s="58"/>
      <c r="F251" s="161">
        <v>195.0</v>
      </c>
      <c r="G251" s="162">
        <v>10.0</v>
      </c>
      <c r="H251" s="162">
        <v>8.0</v>
      </c>
      <c r="I251" s="163">
        <f t="shared" ref="I251:I256" si="276">G251/H251</f>
        <v>1.25</v>
      </c>
      <c r="J251" s="164">
        <f t="shared" ref="J251:J255" si="277">F251/H251</f>
        <v>24.375</v>
      </c>
      <c r="K251" s="164">
        <f t="shared" ref="K251:K255" si="278">F251/G251</f>
        <v>19.5</v>
      </c>
      <c r="L251" s="165">
        <v>139.0</v>
      </c>
      <c r="M251" s="155">
        <f t="shared" ref="M251:M256" si="279">G251/L251</f>
        <v>0.07194244604</v>
      </c>
      <c r="N251" s="166">
        <v>5.18</v>
      </c>
      <c r="O251" s="166">
        <v>0.0</v>
      </c>
      <c r="P251" s="167">
        <v>0.0</v>
      </c>
      <c r="Q251" s="168">
        <v>3753.0</v>
      </c>
      <c r="R251" s="155" t="str">
        <f t="shared" si="1"/>
        <v>#DIV/0!</v>
      </c>
      <c r="S251" s="156">
        <f t="shared" si="2"/>
        <v>0</v>
      </c>
      <c r="T251" s="155" t="str">
        <f>#REF!/#REF!</f>
        <v>#REF!</v>
      </c>
      <c r="U251" s="76"/>
      <c r="V251" s="77"/>
      <c r="W251" s="2"/>
      <c r="X251" s="2"/>
      <c r="Y251" s="2"/>
      <c r="Z251" s="2"/>
    </row>
    <row r="252" hidden="1" outlineLevel="1">
      <c r="A252" s="157" t="str">
        <f>iferror(if(D252&gt;0,month(D252)&amp;"-"&amp;year(D252),D252),)</f>
        <v/>
      </c>
      <c r="B252" s="158"/>
      <c r="C252" s="169" t="s">
        <v>61</v>
      </c>
      <c r="D252" s="170" t="s">
        <v>62</v>
      </c>
      <c r="E252" s="68"/>
      <c r="F252" s="164">
        <v>674.75</v>
      </c>
      <c r="G252" s="171">
        <v>26.0</v>
      </c>
      <c r="H252" s="171">
        <v>23.0</v>
      </c>
      <c r="I252" s="163">
        <f t="shared" si="276"/>
        <v>1.130434783</v>
      </c>
      <c r="J252" s="164">
        <f t="shared" si="277"/>
        <v>29.33695652</v>
      </c>
      <c r="K252" s="164">
        <f t="shared" si="278"/>
        <v>25.95192308</v>
      </c>
      <c r="L252" s="165">
        <v>219.0</v>
      </c>
      <c r="M252" s="155">
        <f t="shared" si="279"/>
        <v>0.1187214612</v>
      </c>
      <c r="N252" s="172">
        <v>27.58</v>
      </c>
      <c r="O252" s="172">
        <v>22.99</v>
      </c>
      <c r="P252" s="173">
        <v>1.0</v>
      </c>
      <c r="Q252" s="174">
        <v>4831.0</v>
      </c>
      <c r="R252" s="155">
        <f t="shared" si="1"/>
        <v>1.199652023</v>
      </c>
      <c r="S252" s="156">
        <f t="shared" si="2"/>
        <v>0.8335750544</v>
      </c>
      <c r="T252" s="155">
        <f t="shared" ref="T252:T257" si="280">O252/F252</f>
        <v>0.03407187847</v>
      </c>
      <c r="U252" s="76"/>
      <c r="V252" s="77"/>
      <c r="W252" s="2"/>
      <c r="X252" s="2"/>
      <c r="Y252" s="2"/>
      <c r="Z252" s="2"/>
    </row>
    <row r="253" hidden="1" outlineLevel="1">
      <c r="A253" s="175"/>
      <c r="B253" s="158"/>
      <c r="C253" s="176" t="s">
        <v>14</v>
      </c>
      <c r="D253" s="177" t="s">
        <v>15</v>
      </c>
      <c r="E253" s="68"/>
      <c r="F253" s="164">
        <v>446.25</v>
      </c>
      <c r="G253" s="171">
        <v>21.0</v>
      </c>
      <c r="H253" s="171">
        <v>13.0</v>
      </c>
      <c r="I253" s="163">
        <f t="shared" si="276"/>
        <v>1.615384615</v>
      </c>
      <c r="J253" s="164">
        <f t="shared" si="277"/>
        <v>34.32692308</v>
      </c>
      <c r="K253" s="164">
        <f t="shared" si="278"/>
        <v>21.25</v>
      </c>
      <c r="L253" s="165">
        <v>225.0</v>
      </c>
      <c r="M253" s="155">
        <f t="shared" si="279"/>
        <v>0.09333333333</v>
      </c>
      <c r="N253" s="178">
        <v>57.07</v>
      </c>
      <c r="O253" s="178">
        <v>69.49</v>
      </c>
      <c r="P253" s="179">
        <v>3.0</v>
      </c>
      <c r="Q253" s="180">
        <v>10354.0</v>
      </c>
      <c r="R253" s="155">
        <f t="shared" si="1"/>
        <v>0.8212692474</v>
      </c>
      <c r="S253" s="156">
        <f t="shared" si="2"/>
        <v>1.217627475</v>
      </c>
      <c r="T253" s="155">
        <f t="shared" si="280"/>
        <v>0.155719888</v>
      </c>
      <c r="U253" s="76"/>
      <c r="V253" s="77"/>
      <c r="W253" s="2"/>
      <c r="X253" s="2"/>
      <c r="Y253" s="2"/>
      <c r="Z253" s="2"/>
    </row>
    <row r="254" hidden="1" outlineLevel="1">
      <c r="A254" s="175"/>
      <c r="B254" s="158"/>
      <c r="C254" s="181" t="s">
        <v>63</v>
      </c>
      <c r="D254" s="182" t="s">
        <v>64</v>
      </c>
      <c r="E254" s="68"/>
      <c r="F254" s="164">
        <v>399.84</v>
      </c>
      <c r="G254" s="171">
        <v>16.0</v>
      </c>
      <c r="H254" s="171">
        <v>14.0</v>
      </c>
      <c r="I254" s="163">
        <f t="shared" si="276"/>
        <v>1.142857143</v>
      </c>
      <c r="J254" s="164">
        <f t="shared" si="277"/>
        <v>28.56</v>
      </c>
      <c r="K254" s="164">
        <f t="shared" si="278"/>
        <v>24.99</v>
      </c>
      <c r="L254" s="165">
        <v>286.0</v>
      </c>
      <c r="M254" s="155">
        <f t="shared" si="279"/>
        <v>0.05594405594</v>
      </c>
      <c r="N254" s="183">
        <v>41.63</v>
      </c>
      <c r="O254" s="183">
        <v>74.97</v>
      </c>
      <c r="P254" s="184">
        <v>3.0</v>
      </c>
      <c r="Q254" s="185">
        <v>8025.0</v>
      </c>
      <c r="R254" s="155">
        <f t="shared" si="1"/>
        <v>0.5552887822</v>
      </c>
      <c r="S254" s="156">
        <f t="shared" si="2"/>
        <v>1.800864761</v>
      </c>
      <c r="T254" s="155">
        <f t="shared" si="280"/>
        <v>0.1875</v>
      </c>
      <c r="U254" s="76"/>
      <c r="V254" s="77"/>
      <c r="W254" s="2"/>
      <c r="X254" s="2"/>
      <c r="Y254" s="2"/>
      <c r="Z254" s="2"/>
    </row>
    <row r="255" hidden="1" outlineLevel="1">
      <c r="A255" s="56" t="str">
        <f>iferror(if(B255&gt;0,month(B255)&amp;"-"&amp;year(B255),B255),)</f>
        <v>9-2025</v>
      </c>
      <c r="B255" s="143">
        <v>45927.0</v>
      </c>
      <c r="C255" s="186" t="s">
        <v>65</v>
      </c>
      <c r="D255" s="187" t="s">
        <v>66</v>
      </c>
      <c r="E255" s="68"/>
      <c r="F255" s="164">
        <v>569.81</v>
      </c>
      <c r="G255" s="171">
        <v>19.0</v>
      </c>
      <c r="H255" s="171">
        <v>18.0</v>
      </c>
      <c r="I255" s="163">
        <f t="shared" si="276"/>
        <v>1.055555556</v>
      </c>
      <c r="J255" s="164">
        <f t="shared" si="277"/>
        <v>31.65611111</v>
      </c>
      <c r="K255" s="164">
        <f t="shared" si="278"/>
        <v>29.99</v>
      </c>
      <c r="L255" s="165">
        <v>167.0</v>
      </c>
      <c r="M255" s="155">
        <f t="shared" si="279"/>
        <v>0.1137724551</v>
      </c>
      <c r="N255" s="188">
        <v>5.65</v>
      </c>
      <c r="O255" s="188">
        <v>0.0</v>
      </c>
      <c r="P255" s="189">
        <v>0.0</v>
      </c>
      <c r="Q255" s="189">
        <v>641.0</v>
      </c>
      <c r="R255" s="155" t="str">
        <f t="shared" si="1"/>
        <v>#DIV/0!</v>
      </c>
      <c r="S255" s="156">
        <f t="shared" si="2"/>
        <v>0</v>
      </c>
      <c r="T255" s="155">
        <f t="shared" si="280"/>
        <v>0</v>
      </c>
      <c r="U255" s="76"/>
      <c r="V255" s="77"/>
      <c r="W255" s="2"/>
      <c r="X255" s="2"/>
      <c r="Y255" s="2"/>
      <c r="Z255" s="2"/>
    </row>
    <row r="256" collapsed="1">
      <c r="A256" s="78" t="s">
        <v>106</v>
      </c>
      <c r="B256" s="79"/>
      <c r="C256" s="79"/>
      <c r="D256" s="79"/>
      <c r="E256" s="80"/>
      <c r="F256" s="190">
        <f t="shared" ref="F256:H256" si="281">SUM(F250:F255)</f>
        <v>2285.65</v>
      </c>
      <c r="G256" s="191">
        <f t="shared" si="281"/>
        <v>92</v>
      </c>
      <c r="H256" s="191">
        <f t="shared" si="281"/>
        <v>76</v>
      </c>
      <c r="I256" s="192">
        <f t="shared" si="276"/>
        <v>1.210526316</v>
      </c>
      <c r="J256" s="193">
        <f>F256/G256</f>
        <v>24.84402174</v>
      </c>
      <c r="K256" s="193">
        <f>J256/I256</f>
        <v>20.52332231</v>
      </c>
      <c r="L256" s="194">
        <f>SUM(L250:L255)</f>
        <v>1036</v>
      </c>
      <c r="M256" s="195">
        <f t="shared" si="279"/>
        <v>0.0888030888</v>
      </c>
      <c r="N256" s="190">
        <f t="shared" ref="N256:P256" si="282">SUM(N250:N255)</f>
        <v>500.09</v>
      </c>
      <c r="O256" s="190">
        <f t="shared" si="282"/>
        <v>1198.42</v>
      </c>
      <c r="P256" s="196">
        <f t="shared" si="282"/>
        <v>42</v>
      </c>
      <c r="Q256" s="197">
        <f>sum(Q250:Q255)</f>
        <v>96488</v>
      </c>
      <c r="R256" s="195">
        <f t="shared" si="1"/>
        <v>0.4172910999</v>
      </c>
      <c r="S256" s="198">
        <f t="shared" si="2"/>
        <v>2.396408646</v>
      </c>
      <c r="T256" s="199">
        <f t="shared" si="280"/>
        <v>0.5243234966</v>
      </c>
      <c r="U256" s="80" t="str">
        <f>iferror((F256-#REF!)/F256,)</f>
        <v/>
      </c>
      <c r="V256" s="90" t="str">
        <f>iferror((H256-#REF!)/H256,)</f>
        <v/>
      </c>
      <c r="W256" s="2"/>
      <c r="X256" s="2"/>
      <c r="Y256" s="2"/>
      <c r="Z256" s="2"/>
    </row>
    <row r="257" hidden="1" outlineLevel="1">
      <c r="A257" s="56" t="str">
        <f>iferror(if(B257&gt;0,month(B257)&amp;"-"&amp;year(B257),B257),)</f>
        <v>9-2025</v>
      </c>
      <c r="B257" s="143">
        <v>45928.0</v>
      </c>
      <c r="C257" s="144"/>
      <c r="D257" s="145" t="s">
        <v>60</v>
      </c>
      <c r="E257" s="58"/>
      <c r="F257" s="146"/>
      <c r="G257" s="147"/>
      <c r="H257" s="147"/>
      <c r="I257" s="148"/>
      <c r="J257" s="149"/>
      <c r="K257" s="149"/>
      <c r="L257" s="150"/>
      <c r="M257" s="151"/>
      <c r="N257" s="152">
        <v>522.14</v>
      </c>
      <c r="O257" s="152">
        <v>1546.04</v>
      </c>
      <c r="P257" s="153">
        <v>53.0</v>
      </c>
      <c r="Q257" s="154">
        <v>95522.0</v>
      </c>
      <c r="R257" s="155">
        <f t="shared" si="1"/>
        <v>0.337727355</v>
      </c>
      <c r="S257" s="156">
        <f t="shared" si="2"/>
        <v>2.960968323</v>
      </c>
      <c r="T257" s="155" t="str">
        <f t="shared" si="280"/>
        <v>#DIV/0!</v>
      </c>
      <c r="U257" s="76"/>
      <c r="V257" s="77"/>
      <c r="W257" s="2"/>
      <c r="X257" s="2"/>
      <c r="Y257" s="2"/>
      <c r="Z257" s="2"/>
    </row>
    <row r="258" hidden="1" outlineLevel="1">
      <c r="A258" s="157"/>
      <c r="B258" s="158"/>
      <c r="C258" s="159" t="s">
        <v>12</v>
      </c>
      <c r="D258" s="160" t="s">
        <v>13</v>
      </c>
      <c r="E258" s="58"/>
      <c r="F258" s="161">
        <v>214.5</v>
      </c>
      <c r="G258" s="162">
        <v>11.0</v>
      </c>
      <c r="H258" s="162">
        <v>10.0</v>
      </c>
      <c r="I258" s="163">
        <f t="shared" ref="I258:I263" si="283">G258/H258</f>
        <v>1.1</v>
      </c>
      <c r="J258" s="164">
        <f t="shared" ref="J258:J262" si="284">F258/H258</f>
        <v>21.45</v>
      </c>
      <c r="K258" s="164">
        <f t="shared" ref="K258:K262" si="285">F258/G258</f>
        <v>19.5</v>
      </c>
      <c r="L258" s="165">
        <v>186.0</v>
      </c>
      <c r="M258" s="155">
        <f t="shared" ref="M258:M263" si="286">G258/L258</f>
        <v>0.05913978495</v>
      </c>
      <c r="N258" s="166">
        <v>6.78</v>
      </c>
      <c r="O258" s="166">
        <v>58.5</v>
      </c>
      <c r="P258" s="167">
        <v>2.0</v>
      </c>
      <c r="Q258" s="168">
        <v>4643.0</v>
      </c>
      <c r="R258" s="155">
        <f t="shared" si="1"/>
        <v>0.1158974359</v>
      </c>
      <c r="S258" s="156">
        <f t="shared" si="2"/>
        <v>8.628318584</v>
      </c>
      <c r="T258" s="155" t="str">
        <f>#REF!/#REF!</f>
        <v>#REF!</v>
      </c>
      <c r="U258" s="76"/>
      <c r="V258" s="77"/>
      <c r="W258" s="2"/>
      <c r="X258" s="2"/>
      <c r="Y258" s="2"/>
      <c r="Z258" s="2"/>
    </row>
    <row r="259" hidden="1" outlineLevel="1">
      <c r="A259" s="157" t="str">
        <f>iferror(if(D259&gt;0,month(D259)&amp;"-"&amp;year(D259),D259),)</f>
        <v/>
      </c>
      <c r="B259" s="158"/>
      <c r="C259" s="169" t="s">
        <v>61</v>
      </c>
      <c r="D259" s="170" t="s">
        <v>62</v>
      </c>
      <c r="E259" s="68"/>
      <c r="F259" s="164">
        <v>674.75</v>
      </c>
      <c r="G259" s="171">
        <v>25.0</v>
      </c>
      <c r="H259" s="171">
        <v>21.0</v>
      </c>
      <c r="I259" s="163">
        <f t="shared" si="283"/>
        <v>1.19047619</v>
      </c>
      <c r="J259" s="164">
        <f t="shared" si="284"/>
        <v>32.13095238</v>
      </c>
      <c r="K259" s="164">
        <f t="shared" si="285"/>
        <v>26.99</v>
      </c>
      <c r="L259" s="165">
        <v>280.0</v>
      </c>
      <c r="M259" s="155">
        <f t="shared" si="286"/>
        <v>0.08928571429</v>
      </c>
      <c r="N259" s="172">
        <v>63.89</v>
      </c>
      <c r="O259" s="172">
        <v>113.96</v>
      </c>
      <c r="P259" s="173">
        <v>4.0</v>
      </c>
      <c r="Q259" s="174">
        <v>13338.0</v>
      </c>
      <c r="R259" s="155">
        <f t="shared" si="1"/>
        <v>0.5606353106</v>
      </c>
      <c r="S259" s="156">
        <f t="shared" si="2"/>
        <v>1.783690718</v>
      </c>
      <c r="T259" s="155">
        <f t="shared" ref="T259:T264" si="287">O259/F259</f>
        <v>0.1688921823</v>
      </c>
      <c r="U259" s="76"/>
      <c r="V259" s="77"/>
      <c r="W259" s="2"/>
      <c r="X259" s="2"/>
      <c r="Y259" s="2"/>
      <c r="Z259" s="2"/>
    </row>
    <row r="260" hidden="1" outlineLevel="1">
      <c r="A260" s="175"/>
      <c r="B260" s="158"/>
      <c r="C260" s="176" t="s">
        <v>14</v>
      </c>
      <c r="D260" s="177" t="s">
        <v>15</v>
      </c>
      <c r="E260" s="68"/>
      <c r="F260" s="164">
        <v>276.25</v>
      </c>
      <c r="G260" s="171">
        <v>14.0</v>
      </c>
      <c r="H260" s="171">
        <v>13.0</v>
      </c>
      <c r="I260" s="163">
        <f t="shared" si="283"/>
        <v>1.076923077</v>
      </c>
      <c r="J260" s="164">
        <f t="shared" si="284"/>
        <v>21.25</v>
      </c>
      <c r="K260" s="164">
        <f t="shared" si="285"/>
        <v>19.73214286</v>
      </c>
      <c r="L260" s="165">
        <v>217.0</v>
      </c>
      <c r="M260" s="155">
        <f t="shared" si="286"/>
        <v>0.06451612903</v>
      </c>
      <c r="N260" s="178">
        <v>29.74</v>
      </c>
      <c r="O260" s="178">
        <v>21.25</v>
      </c>
      <c r="P260" s="179">
        <v>1.0</v>
      </c>
      <c r="Q260" s="180">
        <v>10076.0</v>
      </c>
      <c r="R260" s="155">
        <f t="shared" si="1"/>
        <v>1.399529412</v>
      </c>
      <c r="S260" s="156">
        <f t="shared" si="2"/>
        <v>0.7145258911</v>
      </c>
      <c r="T260" s="155">
        <f t="shared" si="287"/>
        <v>0.07692307692</v>
      </c>
      <c r="U260" s="76"/>
      <c r="V260" s="77"/>
      <c r="W260" s="2"/>
      <c r="X260" s="2"/>
      <c r="Y260" s="2"/>
      <c r="Z260" s="2"/>
    </row>
    <row r="261" hidden="1" outlineLevel="1">
      <c r="A261" s="175"/>
      <c r="B261" s="158"/>
      <c r="C261" s="181" t="s">
        <v>63</v>
      </c>
      <c r="D261" s="182" t="s">
        <v>64</v>
      </c>
      <c r="E261" s="68"/>
      <c r="F261" s="164">
        <v>349.86</v>
      </c>
      <c r="G261" s="171">
        <v>14.0</v>
      </c>
      <c r="H261" s="171">
        <v>13.0</v>
      </c>
      <c r="I261" s="163">
        <f t="shared" si="283"/>
        <v>1.076923077</v>
      </c>
      <c r="J261" s="164">
        <f t="shared" si="284"/>
        <v>26.91230769</v>
      </c>
      <c r="K261" s="164">
        <f t="shared" si="285"/>
        <v>24.99</v>
      </c>
      <c r="L261" s="165">
        <v>295.0</v>
      </c>
      <c r="M261" s="155">
        <f t="shared" si="286"/>
        <v>0.04745762712</v>
      </c>
      <c r="N261" s="183">
        <v>38.63</v>
      </c>
      <c r="O261" s="183">
        <v>24.99</v>
      </c>
      <c r="P261" s="184">
        <v>1.0</v>
      </c>
      <c r="Q261" s="185">
        <v>9903.0</v>
      </c>
      <c r="R261" s="155">
        <f t="shared" si="1"/>
        <v>1.545818327</v>
      </c>
      <c r="S261" s="156">
        <f t="shared" si="2"/>
        <v>0.6469065493</v>
      </c>
      <c r="T261" s="155">
        <f t="shared" si="287"/>
        <v>0.07142857143</v>
      </c>
      <c r="U261" s="76"/>
      <c r="V261" s="77"/>
      <c r="W261" s="2"/>
      <c r="X261" s="2"/>
      <c r="Y261" s="2"/>
      <c r="Z261" s="2"/>
    </row>
    <row r="262" hidden="1" outlineLevel="1">
      <c r="A262" s="56" t="str">
        <f>iferror(if(B262&gt;0,month(B262)&amp;"-"&amp;year(B262),B262),)</f>
        <v>10-2025</v>
      </c>
      <c r="B262" s="143">
        <v>45934.0</v>
      </c>
      <c r="C262" s="186" t="s">
        <v>65</v>
      </c>
      <c r="D262" s="187" t="s">
        <v>66</v>
      </c>
      <c r="E262" s="68"/>
      <c r="F262" s="164">
        <v>1019.66</v>
      </c>
      <c r="G262" s="171">
        <v>34.0</v>
      </c>
      <c r="H262" s="171">
        <v>30.0</v>
      </c>
      <c r="I262" s="163">
        <f t="shared" si="283"/>
        <v>1.133333333</v>
      </c>
      <c r="J262" s="164">
        <f t="shared" si="284"/>
        <v>33.98866667</v>
      </c>
      <c r="K262" s="164">
        <f t="shared" si="285"/>
        <v>29.99</v>
      </c>
      <c r="L262" s="165">
        <v>282.0</v>
      </c>
      <c r="M262" s="155">
        <f t="shared" si="286"/>
        <v>0.1205673759</v>
      </c>
      <c r="N262" s="188">
        <v>9.47</v>
      </c>
      <c r="O262" s="188">
        <v>89.97</v>
      </c>
      <c r="P262" s="189">
        <v>2.0</v>
      </c>
      <c r="Q262" s="189">
        <v>537.0</v>
      </c>
      <c r="R262" s="155">
        <f t="shared" si="1"/>
        <v>0.105257308</v>
      </c>
      <c r="S262" s="156">
        <f t="shared" si="2"/>
        <v>9.500527983</v>
      </c>
      <c r="T262" s="155">
        <f t="shared" si="287"/>
        <v>0.08823529412</v>
      </c>
      <c r="U262" s="76"/>
      <c r="V262" s="77"/>
      <c r="W262" s="2"/>
      <c r="X262" s="2"/>
      <c r="Y262" s="2"/>
      <c r="Z262" s="2"/>
    </row>
    <row r="263" collapsed="1">
      <c r="A263" s="78" t="s">
        <v>107</v>
      </c>
      <c r="B263" s="79"/>
      <c r="C263" s="79"/>
      <c r="D263" s="79"/>
      <c r="E263" s="80"/>
      <c r="F263" s="190">
        <f t="shared" ref="F263:H263" si="288">SUM(F257:F262)</f>
        <v>2535.02</v>
      </c>
      <c r="G263" s="191">
        <f t="shared" si="288"/>
        <v>98</v>
      </c>
      <c r="H263" s="191">
        <f t="shared" si="288"/>
        <v>87</v>
      </c>
      <c r="I263" s="192">
        <f t="shared" si="283"/>
        <v>1.126436782</v>
      </c>
      <c r="J263" s="193">
        <f>F263/G263</f>
        <v>25.86755102</v>
      </c>
      <c r="K263" s="193">
        <f>J263/I263</f>
        <v>22.9640504</v>
      </c>
      <c r="L263" s="194">
        <f>SUM(L257:L262)</f>
        <v>1260</v>
      </c>
      <c r="M263" s="195">
        <f t="shared" si="286"/>
        <v>0.07777777778</v>
      </c>
      <c r="N263" s="190">
        <f t="shared" ref="N263:P263" si="289">SUM(N257:N262)</f>
        <v>670.65</v>
      </c>
      <c r="O263" s="190">
        <f t="shared" si="289"/>
        <v>1854.71</v>
      </c>
      <c r="P263" s="196">
        <f t="shared" si="289"/>
        <v>63</v>
      </c>
      <c r="Q263" s="197">
        <f>sum(Q257:Q262)</f>
        <v>134019</v>
      </c>
      <c r="R263" s="195">
        <f t="shared" si="1"/>
        <v>0.3615929175</v>
      </c>
      <c r="S263" s="198">
        <f t="shared" si="2"/>
        <v>2.765540893</v>
      </c>
      <c r="T263" s="199">
        <f t="shared" si="287"/>
        <v>0.7316352534</v>
      </c>
      <c r="U263" s="80" t="str">
        <f>iferror((F263-#REF!)/F263,)</f>
        <v/>
      </c>
      <c r="V263" s="90" t="str">
        <f>iferror((H263-#REF!)/H263,)</f>
        <v/>
      </c>
      <c r="W263" s="2"/>
      <c r="X263" s="2"/>
      <c r="Y263" s="2"/>
      <c r="Z263" s="2"/>
    </row>
    <row r="264" hidden="1" outlineLevel="1">
      <c r="A264" s="56" t="str">
        <f>iferror(if(B264&gt;0,month(B264)&amp;"-"&amp;year(B264),B264),)</f>
        <v>10-2025</v>
      </c>
      <c r="B264" s="143">
        <v>45935.0</v>
      </c>
      <c r="C264" s="144"/>
      <c r="D264" s="145" t="s">
        <v>60</v>
      </c>
      <c r="E264" s="58"/>
      <c r="F264" s="146"/>
      <c r="G264" s="147"/>
      <c r="H264" s="147"/>
      <c r="I264" s="148"/>
      <c r="J264" s="149"/>
      <c r="K264" s="149"/>
      <c r="L264" s="150"/>
      <c r="M264" s="151"/>
      <c r="N264" s="152">
        <v>1255.82</v>
      </c>
      <c r="O264" s="152">
        <v>2962.81</v>
      </c>
      <c r="P264" s="153">
        <v>99.0</v>
      </c>
      <c r="Q264" s="154">
        <v>225161.0</v>
      </c>
      <c r="R264" s="155">
        <f t="shared" si="1"/>
        <v>0.4238611318</v>
      </c>
      <c r="S264" s="156">
        <f t="shared" si="2"/>
        <v>2.35926327</v>
      </c>
      <c r="T264" s="155" t="str">
        <f t="shared" si="287"/>
        <v>#DIV/0!</v>
      </c>
      <c r="U264" s="76"/>
      <c r="V264" s="77"/>
      <c r="W264" s="2"/>
      <c r="X264" s="2"/>
      <c r="Y264" s="2"/>
      <c r="Z264" s="2"/>
    </row>
    <row r="265" hidden="1" outlineLevel="1">
      <c r="A265" s="157"/>
      <c r="B265" s="158"/>
      <c r="C265" s="159" t="s">
        <v>12</v>
      </c>
      <c r="D265" s="160" t="s">
        <v>13</v>
      </c>
      <c r="E265" s="58"/>
      <c r="F265" s="161">
        <v>273.0</v>
      </c>
      <c r="G265" s="162">
        <v>14.0</v>
      </c>
      <c r="H265" s="162">
        <v>11.0</v>
      </c>
      <c r="I265" s="163">
        <f t="shared" ref="I265:I270" si="290">G265/H265</f>
        <v>1.272727273</v>
      </c>
      <c r="J265" s="164">
        <f t="shared" ref="J265:J269" si="291">F265/H265</f>
        <v>24.81818182</v>
      </c>
      <c r="K265" s="164">
        <f t="shared" ref="K265:K269" si="292">F265/G265</f>
        <v>19.5</v>
      </c>
      <c r="L265" s="165">
        <v>221.0</v>
      </c>
      <c r="M265" s="155">
        <f t="shared" ref="M265:M270" si="293">G265/L265</f>
        <v>0.06334841629</v>
      </c>
      <c r="N265" s="166">
        <v>5.46</v>
      </c>
      <c r="O265" s="166">
        <v>0.0</v>
      </c>
      <c r="P265" s="167">
        <v>0.0</v>
      </c>
      <c r="Q265" s="168">
        <v>9510.0</v>
      </c>
      <c r="R265" s="155" t="str">
        <f t="shared" si="1"/>
        <v>#DIV/0!</v>
      </c>
      <c r="S265" s="156">
        <f t="shared" si="2"/>
        <v>0</v>
      </c>
      <c r="T265" s="155" t="str">
        <f>#REF!/#REF!</f>
        <v>#REF!</v>
      </c>
      <c r="U265" s="76"/>
      <c r="V265" s="77"/>
      <c r="W265" s="2"/>
      <c r="X265" s="2"/>
      <c r="Y265" s="2"/>
      <c r="Z265" s="2"/>
    </row>
    <row r="266" hidden="1" outlineLevel="1">
      <c r="A266" s="157" t="str">
        <f>iferror(if(D266&gt;0,month(D266)&amp;"-"&amp;year(D266),D266),)</f>
        <v/>
      </c>
      <c r="B266" s="158"/>
      <c r="C266" s="169" t="s">
        <v>61</v>
      </c>
      <c r="D266" s="170" t="s">
        <v>62</v>
      </c>
      <c r="E266" s="68"/>
      <c r="F266" s="164">
        <v>782.71</v>
      </c>
      <c r="G266" s="171">
        <v>29.0</v>
      </c>
      <c r="H266" s="171">
        <v>26.0</v>
      </c>
      <c r="I266" s="163">
        <f t="shared" si="290"/>
        <v>1.115384615</v>
      </c>
      <c r="J266" s="164">
        <f t="shared" si="291"/>
        <v>30.10423077</v>
      </c>
      <c r="K266" s="164">
        <f t="shared" si="292"/>
        <v>26.99</v>
      </c>
      <c r="L266" s="165">
        <v>372.0</v>
      </c>
      <c r="M266" s="155">
        <f t="shared" si="293"/>
        <v>0.07795698925</v>
      </c>
      <c r="N266" s="172">
        <v>185.75</v>
      </c>
      <c r="O266" s="172">
        <v>644.78</v>
      </c>
      <c r="P266" s="173">
        <v>21.0</v>
      </c>
      <c r="Q266" s="174">
        <v>27728.0</v>
      </c>
      <c r="R266" s="155">
        <f t="shared" si="1"/>
        <v>0.2880827569</v>
      </c>
      <c r="S266" s="156">
        <f t="shared" si="2"/>
        <v>3.471224764</v>
      </c>
      <c r="T266" s="155">
        <f t="shared" ref="T266:T271" si="294">O266/F266</f>
        <v>0.823778922</v>
      </c>
      <c r="U266" s="76"/>
      <c r="V266" s="77"/>
      <c r="W266" s="2"/>
      <c r="X266" s="2"/>
      <c r="Y266" s="2"/>
      <c r="Z266" s="2"/>
    </row>
    <row r="267" hidden="1" outlineLevel="1">
      <c r="A267" s="175"/>
      <c r="B267" s="158"/>
      <c r="C267" s="176" t="s">
        <v>14</v>
      </c>
      <c r="D267" s="177" t="s">
        <v>15</v>
      </c>
      <c r="E267" s="68"/>
      <c r="F267" s="164">
        <v>255.0</v>
      </c>
      <c r="G267" s="171">
        <v>12.0</v>
      </c>
      <c r="H267" s="171">
        <v>12.0</v>
      </c>
      <c r="I267" s="163">
        <f t="shared" si="290"/>
        <v>1</v>
      </c>
      <c r="J267" s="164">
        <f t="shared" si="291"/>
        <v>21.25</v>
      </c>
      <c r="K267" s="164">
        <f t="shared" si="292"/>
        <v>21.25</v>
      </c>
      <c r="L267" s="165">
        <v>273.0</v>
      </c>
      <c r="M267" s="155">
        <f t="shared" si="293"/>
        <v>0.04395604396</v>
      </c>
      <c r="N267" s="178">
        <v>27.07</v>
      </c>
      <c r="O267" s="178">
        <v>40.75</v>
      </c>
      <c r="P267" s="179">
        <v>2.0</v>
      </c>
      <c r="Q267" s="180">
        <v>11289.0</v>
      </c>
      <c r="R267" s="155">
        <f t="shared" si="1"/>
        <v>0.6642944785</v>
      </c>
      <c r="S267" s="156">
        <f t="shared" si="2"/>
        <v>1.505356483</v>
      </c>
      <c r="T267" s="155">
        <f t="shared" si="294"/>
        <v>0.1598039216</v>
      </c>
      <c r="U267" s="76"/>
      <c r="V267" s="77"/>
      <c r="W267" s="2"/>
      <c r="X267" s="2"/>
      <c r="Y267" s="2"/>
      <c r="Z267" s="2"/>
    </row>
    <row r="268" hidden="1" outlineLevel="1">
      <c r="A268" s="175"/>
      <c r="B268" s="158"/>
      <c r="C268" s="181" t="s">
        <v>63</v>
      </c>
      <c r="D268" s="182" t="s">
        <v>64</v>
      </c>
      <c r="E268" s="68"/>
      <c r="F268" s="164">
        <v>624.75</v>
      </c>
      <c r="G268" s="171">
        <v>25.0</v>
      </c>
      <c r="H268" s="171">
        <v>22.0</v>
      </c>
      <c r="I268" s="163">
        <f t="shared" si="290"/>
        <v>1.136363636</v>
      </c>
      <c r="J268" s="164">
        <f t="shared" si="291"/>
        <v>28.39772727</v>
      </c>
      <c r="K268" s="164">
        <f t="shared" si="292"/>
        <v>24.99</v>
      </c>
      <c r="L268" s="165">
        <v>497.0</v>
      </c>
      <c r="M268" s="155">
        <f t="shared" si="293"/>
        <v>0.05030181087</v>
      </c>
      <c r="N268" s="183">
        <v>50.8</v>
      </c>
      <c r="O268" s="183">
        <v>144.45</v>
      </c>
      <c r="P268" s="184">
        <v>5.0</v>
      </c>
      <c r="Q268" s="185">
        <v>10635.0</v>
      </c>
      <c r="R268" s="155">
        <f t="shared" si="1"/>
        <v>0.3516787816</v>
      </c>
      <c r="S268" s="156">
        <f t="shared" si="2"/>
        <v>2.843503937</v>
      </c>
      <c r="T268" s="155">
        <f t="shared" si="294"/>
        <v>0.231212485</v>
      </c>
      <c r="U268" s="76"/>
      <c r="V268" s="77"/>
      <c r="W268" s="2"/>
      <c r="X268" s="2"/>
      <c r="Y268" s="2"/>
      <c r="Z268" s="2"/>
    </row>
    <row r="269" hidden="1" outlineLevel="1">
      <c r="A269" s="56" t="str">
        <f>iferror(if(B269&gt;0,month(B269)&amp;"-"&amp;year(B269),B269),)</f>
        <v>10-2025</v>
      </c>
      <c r="B269" s="143">
        <v>45941.0</v>
      </c>
      <c r="C269" s="186" t="s">
        <v>65</v>
      </c>
      <c r="D269" s="187" t="s">
        <v>66</v>
      </c>
      <c r="E269" s="68"/>
      <c r="F269" s="164">
        <v>2549.15</v>
      </c>
      <c r="G269" s="171">
        <v>85.0</v>
      </c>
      <c r="H269" s="171">
        <v>79.0</v>
      </c>
      <c r="I269" s="163">
        <f t="shared" si="290"/>
        <v>1.075949367</v>
      </c>
      <c r="J269" s="164">
        <f t="shared" si="291"/>
        <v>32.26772152</v>
      </c>
      <c r="K269" s="164">
        <f t="shared" si="292"/>
        <v>29.99</v>
      </c>
      <c r="L269" s="165">
        <v>936.0</v>
      </c>
      <c r="M269" s="155">
        <f t="shared" si="293"/>
        <v>0.09081196581</v>
      </c>
      <c r="N269" s="188">
        <v>11.63</v>
      </c>
      <c r="O269" s="188">
        <v>0.0</v>
      </c>
      <c r="P269" s="189">
        <v>0.0</v>
      </c>
      <c r="Q269" s="189">
        <v>2516.0</v>
      </c>
      <c r="R269" s="155" t="str">
        <f t="shared" si="1"/>
        <v>#DIV/0!</v>
      </c>
      <c r="S269" s="156">
        <f t="shared" si="2"/>
        <v>0</v>
      </c>
      <c r="T269" s="155">
        <f t="shared" si="294"/>
        <v>0</v>
      </c>
      <c r="U269" s="76"/>
      <c r="V269" s="77"/>
      <c r="W269" s="2"/>
      <c r="X269" s="2"/>
      <c r="Y269" s="2"/>
      <c r="Z269" s="2"/>
    </row>
    <row r="270" collapsed="1">
      <c r="A270" s="78" t="s">
        <v>108</v>
      </c>
      <c r="B270" s="79"/>
      <c r="C270" s="79"/>
      <c r="D270" s="79"/>
      <c r="E270" s="80"/>
      <c r="F270" s="190">
        <f t="shared" ref="F270:H270" si="295">SUM(F264:F269)</f>
        <v>4484.61</v>
      </c>
      <c r="G270" s="191">
        <f t="shared" si="295"/>
        <v>165</v>
      </c>
      <c r="H270" s="191">
        <f t="shared" si="295"/>
        <v>150</v>
      </c>
      <c r="I270" s="192">
        <f t="shared" si="290"/>
        <v>1.1</v>
      </c>
      <c r="J270" s="193">
        <f>F270/G270</f>
        <v>27.17945455</v>
      </c>
      <c r="K270" s="193">
        <f>J270/I270</f>
        <v>24.70859504</v>
      </c>
      <c r="L270" s="194">
        <f>SUM(L264:L269)</f>
        <v>2299</v>
      </c>
      <c r="M270" s="195">
        <f t="shared" si="293"/>
        <v>0.07177033493</v>
      </c>
      <c r="N270" s="190">
        <f t="shared" ref="N270:P270" si="296">SUM(N264:N269)</f>
        <v>1536.53</v>
      </c>
      <c r="O270" s="190">
        <f t="shared" si="296"/>
        <v>3792.79</v>
      </c>
      <c r="P270" s="196">
        <f t="shared" si="296"/>
        <v>127</v>
      </c>
      <c r="Q270" s="197">
        <f>sum(Q264:Q269)</f>
        <v>286839</v>
      </c>
      <c r="R270" s="195">
        <f t="shared" si="1"/>
        <v>0.4051186594</v>
      </c>
      <c r="S270" s="198">
        <f t="shared" si="2"/>
        <v>2.468412592</v>
      </c>
      <c r="T270" s="199">
        <f t="shared" si="294"/>
        <v>0.8457346347</v>
      </c>
      <c r="U270" s="80" t="str">
        <f>iferror((F270-#REF!)/F270,)</f>
        <v/>
      </c>
      <c r="V270" s="90" t="str">
        <f>iferror((H270-#REF!)/H270,)</f>
        <v/>
      </c>
      <c r="W270" s="2"/>
      <c r="X270" s="2"/>
      <c r="Y270" s="2"/>
      <c r="Z270" s="2"/>
    </row>
    <row r="271" hidden="1" outlineLevel="1">
      <c r="A271" s="56" t="str">
        <f>iferror(if(B271&gt;0,month(B271)&amp;"-"&amp;year(B271),B271),)</f>
        <v>10-2025</v>
      </c>
      <c r="B271" s="143">
        <v>45942.0</v>
      </c>
      <c r="C271" s="144"/>
      <c r="D271" s="145" t="s">
        <v>60</v>
      </c>
      <c r="E271" s="58"/>
      <c r="F271" s="146"/>
      <c r="G271" s="147"/>
      <c r="H271" s="147"/>
      <c r="I271" s="148"/>
      <c r="J271" s="149"/>
      <c r="K271" s="149"/>
      <c r="L271" s="150"/>
      <c r="M271" s="151"/>
      <c r="N271" s="152">
        <v>350.16</v>
      </c>
      <c r="O271" s="152">
        <v>1048.44</v>
      </c>
      <c r="P271" s="153">
        <v>35.0</v>
      </c>
      <c r="Q271" s="154">
        <v>69604.0</v>
      </c>
      <c r="R271" s="155">
        <f t="shared" si="1"/>
        <v>0.333981916</v>
      </c>
      <c r="S271" s="156">
        <f t="shared" si="2"/>
        <v>2.994174092</v>
      </c>
      <c r="T271" s="155" t="str">
        <f t="shared" si="294"/>
        <v>#DIV/0!</v>
      </c>
      <c r="U271" s="76"/>
      <c r="V271" s="77"/>
      <c r="W271" s="2"/>
      <c r="X271" s="2"/>
      <c r="Y271" s="2"/>
      <c r="Z271" s="2"/>
    </row>
    <row r="272" hidden="1" outlineLevel="1">
      <c r="A272" s="157"/>
      <c r="B272" s="158"/>
      <c r="C272" s="159" t="s">
        <v>12</v>
      </c>
      <c r="D272" s="160" t="s">
        <v>13</v>
      </c>
      <c r="E272" s="58"/>
      <c r="F272" s="161">
        <v>214.5</v>
      </c>
      <c r="G272" s="162">
        <v>11.0</v>
      </c>
      <c r="H272" s="162">
        <v>9.0</v>
      </c>
      <c r="I272" s="163">
        <f t="shared" ref="I272:I277" si="297">G272/H272</f>
        <v>1.222222222</v>
      </c>
      <c r="J272" s="164">
        <f t="shared" ref="J272:J276" si="298">F272/H272</f>
        <v>23.83333333</v>
      </c>
      <c r="K272" s="164">
        <f t="shared" ref="K272:K276" si="299">F272/G272</f>
        <v>19.5</v>
      </c>
      <c r="L272" s="165">
        <v>137.0</v>
      </c>
      <c r="M272" s="155">
        <f t="shared" ref="M272:M277" si="300">G272/L272</f>
        <v>0.0802919708</v>
      </c>
      <c r="N272" s="166">
        <v>7.3</v>
      </c>
      <c r="O272" s="166">
        <v>0.0</v>
      </c>
      <c r="P272" s="167">
        <v>0.0</v>
      </c>
      <c r="Q272" s="168">
        <v>6312.0</v>
      </c>
      <c r="R272" s="155" t="str">
        <f t="shared" si="1"/>
        <v>#DIV/0!</v>
      </c>
      <c r="S272" s="156">
        <f t="shared" si="2"/>
        <v>0</v>
      </c>
      <c r="T272" s="155" t="str">
        <f>#REF!/#REF!</f>
        <v>#REF!</v>
      </c>
      <c r="U272" s="76"/>
      <c r="V272" s="77"/>
      <c r="W272" s="2"/>
      <c r="X272" s="2"/>
      <c r="Y272" s="2"/>
      <c r="Z272" s="2"/>
    </row>
    <row r="273" hidden="1" outlineLevel="1">
      <c r="A273" s="157" t="str">
        <f>iferror(if(D273&gt;0,month(D273)&amp;"-"&amp;year(D273),D273),)</f>
        <v/>
      </c>
      <c r="B273" s="158"/>
      <c r="C273" s="169" t="s">
        <v>61</v>
      </c>
      <c r="D273" s="170" t="s">
        <v>62</v>
      </c>
      <c r="E273" s="68"/>
      <c r="F273" s="164">
        <v>674.75</v>
      </c>
      <c r="G273" s="171">
        <v>26.0</v>
      </c>
      <c r="H273" s="171">
        <v>22.0</v>
      </c>
      <c r="I273" s="163">
        <f t="shared" si="297"/>
        <v>1.181818182</v>
      </c>
      <c r="J273" s="164">
        <f t="shared" si="298"/>
        <v>30.67045455</v>
      </c>
      <c r="K273" s="164">
        <f t="shared" si="299"/>
        <v>25.95192308</v>
      </c>
      <c r="L273" s="165">
        <v>202.0</v>
      </c>
      <c r="M273" s="155">
        <f t="shared" si="300"/>
        <v>0.1287128713</v>
      </c>
      <c r="N273" s="172">
        <v>216.98</v>
      </c>
      <c r="O273" s="172">
        <v>500.83</v>
      </c>
      <c r="P273" s="173">
        <v>16.0</v>
      </c>
      <c r="Q273" s="174">
        <v>40788.0</v>
      </c>
      <c r="R273" s="155">
        <f t="shared" si="1"/>
        <v>0.4332408202</v>
      </c>
      <c r="S273" s="156">
        <f t="shared" si="2"/>
        <v>2.308185086</v>
      </c>
      <c r="T273" s="155">
        <f t="shared" ref="T273:T278" si="301">O273/F273</f>
        <v>0.742245276</v>
      </c>
      <c r="U273" s="76"/>
      <c r="V273" s="77"/>
      <c r="W273" s="2"/>
      <c r="X273" s="2"/>
      <c r="Y273" s="2"/>
      <c r="Z273" s="2"/>
    </row>
    <row r="274" hidden="1" outlineLevel="1">
      <c r="A274" s="175"/>
      <c r="B274" s="158"/>
      <c r="C274" s="176" t="s">
        <v>14</v>
      </c>
      <c r="D274" s="177" t="s">
        <v>15</v>
      </c>
      <c r="E274" s="68"/>
      <c r="F274" s="164">
        <v>276.25</v>
      </c>
      <c r="G274" s="171">
        <v>13.0</v>
      </c>
      <c r="H274" s="171">
        <v>11.0</v>
      </c>
      <c r="I274" s="163">
        <f t="shared" si="297"/>
        <v>1.181818182</v>
      </c>
      <c r="J274" s="164">
        <f t="shared" si="298"/>
        <v>25.11363636</v>
      </c>
      <c r="K274" s="164">
        <f t="shared" si="299"/>
        <v>21.25</v>
      </c>
      <c r="L274" s="165">
        <v>141.0</v>
      </c>
      <c r="M274" s="155">
        <f t="shared" si="300"/>
        <v>0.09219858156</v>
      </c>
      <c r="N274" s="178">
        <v>8.08</v>
      </c>
      <c r="O274" s="178">
        <v>42.5</v>
      </c>
      <c r="P274" s="179">
        <v>2.0</v>
      </c>
      <c r="Q274" s="180">
        <v>4942.0</v>
      </c>
      <c r="R274" s="155">
        <f t="shared" si="1"/>
        <v>0.1901176471</v>
      </c>
      <c r="S274" s="156">
        <f t="shared" si="2"/>
        <v>5.25990099</v>
      </c>
      <c r="T274" s="155">
        <f t="shared" si="301"/>
        <v>0.1538461538</v>
      </c>
      <c r="U274" s="76"/>
      <c r="V274" s="77"/>
      <c r="W274" s="2"/>
      <c r="X274" s="2"/>
      <c r="Y274" s="2"/>
      <c r="Z274" s="2"/>
    </row>
    <row r="275" hidden="1" outlineLevel="1">
      <c r="A275" s="175"/>
      <c r="B275" s="158"/>
      <c r="C275" s="181" t="s">
        <v>63</v>
      </c>
      <c r="D275" s="182" t="s">
        <v>64</v>
      </c>
      <c r="E275" s="68"/>
      <c r="F275" s="164">
        <v>549.78</v>
      </c>
      <c r="G275" s="171">
        <v>22.0</v>
      </c>
      <c r="H275" s="171">
        <v>16.0</v>
      </c>
      <c r="I275" s="163">
        <f t="shared" si="297"/>
        <v>1.375</v>
      </c>
      <c r="J275" s="164">
        <f t="shared" si="298"/>
        <v>34.36125</v>
      </c>
      <c r="K275" s="164">
        <f t="shared" si="299"/>
        <v>24.99</v>
      </c>
      <c r="L275" s="165">
        <v>247.0</v>
      </c>
      <c r="M275" s="155">
        <f t="shared" si="300"/>
        <v>0.08906882591</v>
      </c>
      <c r="N275" s="183">
        <v>19.17</v>
      </c>
      <c r="O275" s="183">
        <v>46.49</v>
      </c>
      <c r="P275" s="184">
        <v>2.0</v>
      </c>
      <c r="Q275" s="185">
        <v>4103.0</v>
      </c>
      <c r="R275" s="155">
        <f t="shared" si="1"/>
        <v>0.4123467412</v>
      </c>
      <c r="S275" s="156">
        <f t="shared" si="2"/>
        <v>2.425143453</v>
      </c>
      <c r="T275" s="155">
        <f t="shared" si="301"/>
        <v>0.08456109717</v>
      </c>
      <c r="U275" s="76"/>
      <c r="V275" s="77"/>
      <c r="W275" s="2"/>
      <c r="X275" s="2"/>
      <c r="Y275" s="2"/>
      <c r="Z275" s="2"/>
    </row>
    <row r="276" hidden="1" outlineLevel="1">
      <c r="A276" s="56" t="str">
        <f>iferror(if(B276&gt;0,month(B276)&amp;"-"&amp;year(B276),B276),)</f>
        <v>10-2025</v>
      </c>
      <c r="B276" s="143">
        <v>45948.0</v>
      </c>
      <c r="C276" s="186" t="s">
        <v>65</v>
      </c>
      <c r="D276" s="187" t="s">
        <v>66</v>
      </c>
      <c r="E276" s="68"/>
      <c r="F276" s="164">
        <v>1379.54</v>
      </c>
      <c r="G276" s="171">
        <v>47.0</v>
      </c>
      <c r="H276" s="171">
        <v>44.0</v>
      </c>
      <c r="I276" s="163">
        <f t="shared" si="297"/>
        <v>1.068181818</v>
      </c>
      <c r="J276" s="164">
        <f t="shared" si="298"/>
        <v>31.35318182</v>
      </c>
      <c r="K276" s="164">
        <f t="shared" si="299"/>
        <v>29.35191489</v>
      </c>
      <c r="L276" s="165">
        <v>571.0</v>
      </c>
      <c r="M276" s="155">
        <f t="shared" si="300"/>
        <v>0.0823117338</v>
      </c>
      <c r="N276" s="188">
        <v>8.33</v>
      </c>
      <c r="O276" s="188">
        <v>119.96</v>
      </c>
      <c r="P276" s="189">
        <v>3.0</v>
      </c>
      <c r="Q276" s="189">
        <v>1298.0</v>
      </c>
      <c r="R276" s="155">
        <f t="shared" si="1"/>
        <v>0.06943981327</v>
      </c>
      <c r="S276" s="156">
        <f t="shared" si="2"/>
        <v>14.40096038</v>
      </c>
      <c r="T276" s="155">
        <f t="shared" si="301"/>
        <v>0.08695652174</v>
      </c>
      <c r="U276" s="76"/>
      <c r="V276" s="77"/>
      <c r="W276" s="2"/>
      <c r="X276" s="2"/>
      <c r="Y276" s="2"/>
      <c r="Z276" s="2"/>
    </row>
    <row r="277" collapsed="1">
      <c r="A277" s="78" t="s">
        <v>109</v>
      </c>
      <c r="B277" s="79"/>
      <c r="C277" s="79"/>
      <c r="D277" s="79"/>
      <c r="E277" s="80"/>
      <c r="F277" s="190">
        <f t="shared" ref="F277:H277" si="302">SUM(F271:F276)</f>
        <v>3094.82</v>
      </c>
      <c r="G277" s="191">
        <f t="shared" si="302"/>
        <v>119</v>
      </c>
      <c r="H277" s="191">
        <f t="shared" si="302"/>
        <v>102</v>
      </c>
      <c r="I277" s="192">
        <f t="shared" si="297"/>
        <v>1.166666667</v>
      </c>
      <c r="J277" s="193">
        <f>F277/G277</f>
        <v>26.00689076</v>
      </c>
      <c r="K277" s="193">
        <f>J277/I277</f>
        <v>22.29162065</v>
      </c>
      <c r="L277" s="194">
        <f>SUM(L271:L276)</f>
        <v>1298</v>
      </c>
      <c r="M277" s="195">
        <f t="shared" si="300"/>
        <v>0.09167950693</v>
      </c>
      <c r="N277" s="190">
        <f t="shared" ref="N277:P277" si="303">SUM(N271:N276)</f>
        <v>610.02</v>
      </c>
      <c r="O277" s="190">
        <f t="shared" si="303"/>
        <v>1758.22</v>
      </c>
      <c r="P277" s="196">
        <f t="shared" si="303"/>
        <v>58</v>
      </c>
      <c r="Q277" s="197">
        <f>sum(Q271:Q276)</f>
        <v>127047</v>
      </c>
      <c r="R277" s="195">
        <f t="shared" si="1"/>
        <v>0.3469531685</v>
      </c>
      <c r="S277" s="198">
        <f t="shared" si="2"/>
        <v>2.882233369</v>
      </c>
      <c r="T277" s="199">
        <f t="shared" si="301"/>
        <v>0.5681170472</v>
      </c>
      <c r="U277" s="80" t="str">
        <f>iferror((F277-#REF!)/F277,)</f>
        <v/>
      </c>
      <c r="V277" s="90" t="str">
        <f>iferror((H277-#REF!)/H277,)</f>
        <v/>
      </c>
      <c r="W277" s="2"/>
      <c r="X277" s="2"/>
      <c r="Y277" s="2"/>
      <c r="Z277" s="2"/>
    </row>
    <row r="278" hidden="1" outlineLevel="1">
      <c r="A278" s="56" t="str">
        <f>iferror(if(B278&gt;0,month(B278)&amp;"-"&amp;year(B278),B278),)</f>
        <v>10-2025</v>
      </c>
      <c r="B278" s="143">
        <v>45949.0</v>
      </c>
      <c r="C278" s="144"/>
      <c r="D278" s="145" t="s">
        <v>60</v>
      </c>
      <c r="E278" s="58"/>
      <c r="F278" s="146"/>
      <c r="G278" s="147"/>
      <c r="H278" s="147"/>
      <c r="I278" s="148"/>
      <c r="J278" s="149"/>
      <c r="K278" s="149"/>
      <c r="L278" s="150"/>
      <c r="M278" s="151"/>
      <c r="N278" s="152">
        <v>359.84</v>
      </c>
      <c r="O278" s="152">
        <v>864.96</v>
      </c>
      <c r="P278" s="153">
        <v>27.0</v>
      </c>
      <c r="Q278" s="154">
        <v>76184.0</v>
      </c>
      <c r="R278" s="155">
        <f t="shared" si="1"/>
        <v>0.4160192379</v>
      </c>
      <c r="S278" s="156">
        <f t="shared" si="2"/>
        <v>2.403734993</v>
      </c>
      <c r="T278" s="155" t="str">
        <f t="shared" si="301"/>
        <v>#DIV/0!</v>
      </c>
      <c r="U278" s="76"/>
      <c r="V278" s="77"/>
      <c r="W278" s="2"/>
      <c r="X278" s="2"/>
      <c r="Y278" s="2"/>
      <c r="Z278" s="2"/>
    </row>
    <row r="279" hidden="1" outlineLevel="1">
      <c r="A279" s="157"/>
      <c r="B279" s="158"/>
      <c r="C279" s="159" t="s">
        <v>12</v>
      </c>
      <c r="D279" s="160" t="s">
        <v>13</v>
      </c>
      <c r="E279" s="58"/>
      <c r="F279" s="161">
        <v>175.5</v>
      </c>
      <c r="G279" s="162">
        <v>9.0</v>
      </c>
      <c r="H279" s="162">
        <v>8.0</v>
      </c>
      <c r="I279" s="163">
        <f t="shared" ref="I279:I284" si="304">G279/H279</f>
        <v>1.125</v>
      </c>
      <c r="J279" s="164">
        <f t="shared" ref="J279:J283" si="305">F279/H279</f>
        <v>21.9375</v>
      </c>
      <c r="K279" s="164">
        <f t="shared" ref="K279:K283" si="306">F279/G279</f>
        <v>19.5</v>
      </c>
      <c r="L279" s="165">
        <v>120.0</v>
      </c>
      <c r="M279" s="155">
        <f t="shared" ref="M279:M284" si="307">G279/L279</f>
        <v>0.075</v>
      </c>
      <c r="N279" s="166">
        <v>5.73</v>
      </c>
      <c r="O279" s="166">
        <v>39.0</v>
      </c>
      <c r="P279" s="167">
        <v>2.0</v>
      </c>
      <c r="Q279" s="168">
        <v>6093.0</v>
      </c>
      <c r="R279" s="155">
        <f t="shared" si="1"/>
        <v>0.1469230769</v>
      </c>
      <c r="S279" s="156">
        <f t="shared" si="2"/>
        <v>6.806282723</v>
      </c>
      <c r="T279" s="155" t="str">
        <f>#REF!/#REF!</f>
        <v>#REF!</v>
      </c>
      <c r="U279" s="76"/>
      <c r="V279" s="77"/>
      <c r="W279" s="2"/>
      <c r="X279" s="2"/>
      <c r="Y279" s="2"/>
      <c r="Z279" s="2"/>
    </row>
    <row r="280" hidden="1" outlineLevel="1">
      <c r="A280" s="157" t="str">
        <f>iferror(if(D280&gt;0,month(D280)&amp;"-"&amp;year(D280),D280),)</f>
        <v/>
      </c>
      <c r="B280" s="158"/>
      <c r="C280" s="169" t="s">
        <v>61</v>
      </c>
      <c r="D280" s="170" t="s">
        <v>62</v>
      </c>
      <c r="E280" s="68"/>
      <c r="F280" s="164">
        <v>566.79</v>
      </c>
      <c r="G280" s="171">
        <v>21.0</v>
      </c>
      <c r="H280" s="171">
        <v>17.0</v>
      </c>
      <c r="I280" s="163">
        <f t="shared" si="304"/>
        <v>1.235294118</v>
      </c>
      <c r="J280" s="164">
        <f t="shared" si="305"/>
        <v>33.34058824</v>
      </c>
      <c r="K280" s="164">
        <f t="shared" si="306"/>
        <v>26.99</v>
      </c>
      <c r="L280" s="165">
        <v>177.0</v>
      </c>
      <c r="M280" s="155">
        <f t="shared" si="307"/>
        <v>0.1186440678</v>
      </c>
      <c r="N280" s="172">
        <v>64.21</v>
      </c>
      <c r="O280" s="172">
        <v>227.92</v>
      </c>
      <c r="P280" s="173">
        <v>7.0</v>
      </c>
      <c r="Q280" s="174">
        <v>13278.0</v>
      </c>
      <c r="R280" s="155">
        <f t="shared" si="1"/>
        <v>0.2817216567</v>
      </c>
      <c r="S280" s="156">
        <f t="shared" si="2"/>
        <v>3.549602866</v>
      </c>
      <c r="T280" s="155">
        <f t="shared" ref="T280:T285" si="308">O280/F280</f>
        <v>0.4021242435</v>
      </c>
      <c r="U280" s="76"/>
      <c r="V280" s="77"/>
      <c r="W280" s="2"/>
      <c r="X280" s="2"/>
      <c r="Y280" s="2"/>
      <c r="Z280" s="2"/>
    </row>
    <row r="281" hidden="1" outlineLevel="1">
      <c r="A281" s="175"/>
      <c r="B281" s="158"/>
      <c r="C281" s="176" t="s">
        <v>14</v>
      </c>
      <c r="D281" s="177" t="s">
        <v>15</v>
      </c>
      <c r="E281" s="68"/>
      <c r="F281" s="164">
        <v>106.25</v>
      </c>
      <c r="G281" s="171">
        <v>5.0</v>
      </c>
      <c r="H281" s="171">
        <v>4.0</v>
      </c>
      <c r="I281" s="163">
        <f t="shared" si="304"/>
        <v>1.25</v>
      </c>
      <c r="J281" s="164">
        <f t="shared" si="305"/>
        <v>26.5625</v>
      </c>
      <c r="K281" s="164">
        <f t="shared" si="306"/>
        <v>21.25</v>
      </c>
      <c r="L281" s="165">
        <v>138.0</v>
      </c>
      <c r="M281" s="155">
        <f t="shared" si="307"/>
        <v>0.03623188406</v>
      </c>
      <c r="N281" s="178">
        <v>4.96</v>
      </c>
      <c r="O281" s="178">
        <v>0.0</v>
      </c>
      <c r="P281" s="179">
        <v>0.0</v>
      </c>
      <c r="Q281" s="180">
        <v>5598.0</v>
      </c>
      <c r="R281" s="155" t="str">
        <f t="shared" si="1"/>
        <v>#DIV/0!</v>
      </c>
      <c r="S281" s="156">
        <f t="shared" si="2"/>
        <v>0</v>
      </c>
      <c r="T281" s="155">
        <f t="shared" si="308"/>
        <v>0</v>
      </c>
      <c r="U281" s="76"/>
      <c r="V281" s="77"/>
      <c r="W281" s="2"/>
      <c r="X281" s="2"/>
      <c r="Y281" s="2"/>
      <c r="Z281" s="2"/>
    </row>
    <row r="282" hidden="1" outlineLevel="1">
      <c r="A282" s="175"/>
      <c r="B282" s="158"/>
      <c r="C282" s="181" t="s">
        <v>63</v>
      </c>
      <c r="D282" s="182" t="s">
        <v>64</v>
      </c>
      <c r="E282" s="68"/>
      <c r="F282" s="164">
        <v>524.79</v>
      </c>
      <c r="G282" s="171">
        <v>21.0</v>
      </c>
      <c r="H282" s="171">
        <v>18.0</v>
      </c>
      <c r="I282" s="163">
        <f t="shared" si="304"/>
        <v>1.166666667</v>
      </c>
      <c r="J282" s="164">
        <f t="shared" si="305"/>
        <v>29.155</v>
      </c>
      <c r="K282" s="164">
        <f t="shared" si="306"/>
        <v>24.99</v>
      </c>
      <c r="L282" s="165">
        <v>223.0</v>
      </c>
      <c r="M282" s="155">
        <f t="shared" si="307"/>
        <v>0.09417040359</v>
      </c>
      <c r="N282" s="183">
        <v>21.35</v>
      </c>
      <c r="O282" s="183">
        <v>99.96</v>
      </c>
      <c r="P282" s="184">
        <v>4.0</v>
      </c>
      <c r="Q282" s="185">
        <v>5853.0</v>
      </c>
      <c r="R282" s="155">
        <f t="shared" si="1"/>
        <v>0.2135854342</v>
      </c>
      <c r="S282" s="156">
        <f t="shared" si="2"/>
        <v>4.681967213</v>
      </c>
      <c r="T282" s="155">
        <f t="shared" si="308"/>
        <v>0.1904761905</v>
      </c>
      <c r="U282" s="76"/>
      <c r="V282" s="77"/>
      <c r="W282" s="2"/>
      <c r="X282" s="2"/>
      <c r="Y282" s="2"/>
      <c r="Z282" s="2"/>
    </row>
    <row r="283" hidden="1" outlineLevel="1">
      <c r="A283" s="56" t="str">
        <f>iferror(if(B283&gt;0,month(B283)&amp;"-"&amp;year(B283),B283),)</f>
        <v>10-2025</v>
      </c>
      <c r="B283" s="143">
        <v>45955.0</v>
      </c>
      <c r="C283" s="186" t="s">
        <v>65</v>
      </c>
      <c r="D283" s="187" t="s">
        <v>66</v>
      </c>
      <c r="E283" s="68"/>
      <c r="F283" s="164">
        <v>1049.65</v>
      </c>
      <c r="G283" s="171">
        <v>35.0</v>
      </c>
      <c r="H283" s="171">
        <v>30.0</v>
      </c>
      <c r="I283" s="163">
        <f t="shared" si="304"/>
        <v>1.166666667</v>
      </c>
      <c r="J283" s="164">
        <f t="shared" si="305"/>
        <v>34.98833333</v>
      </c>
      <c r="K283" s="164">
        <f t="shared" si="306"/>
        <v>29.99</v>
      </c>
      <c r="L283" s="165">
        <v>418.0</v>
      </c>
      <c r="M283" s="155">
        <f t="shared" si="307"/>
        <v>0.08373205742</v>
      </c>
      <c r="N283" s="188">
        <v>5.41</v>
      </c>
      <c r="O283" s="188">
        <v>29.99</v>
      </c>
      <c r="P283" s="189">
        <v>1.0</v>
      </c>
      <c r="Q283" s="189">
        <v>1284.0</v>
      </c>
      <c r="R283" s="155">
        <f t="shared" si="1"/>
        <v>0.1803934645</v>
      </c>
      <c r="S283" s="156">
        <f t="shared" si="2"/>
        <v>5.543438078</v>
      </c>
      <c r="T283" s="155">
        <f t="shared" si="308"/>
        <v>0.02857142857</v>
      </c>
      <c r="U283" s="76"/>
      <c r="V283" s="77"/>
      <c r="W283" s="2"/>
      <c r="X283" s="2"/>
      <c r="Y283" s="2"/>
      <c r="Z283" s="2"/>
    </row>
    <row r="284" collapsed="1">
      <c r="A284" s="78" t="s">
        <v>110</v>
      </c>
      <c r="B284" s="79"/>
      <c r="C284" s="79"/>
      <c r="D284" s="79"/>
      <c r="E284" s="80"/>
      <c r="F284" s="190">
        <f t="shared" ref="F284:H284" si="309">SUM(F278:F283)</f>
        <v>2422.98</v>
      </c>
      <c r="G284" s="191">
        <f t="shared" si="309"/>
        <v>91</v>
      </c>
      <c r="H284" s="191">
        <f t="shared" si="309"/>
        <v>77</v>
      </c>
      <c r="I284" s="192">
        <f t="shared" si="304"/>
        <v>1.181818182</v>
      </c>
      <c r="J284" s="193">
        <f>F284/G284</f>
        <v>26.62615385</v>
      </c>
      <c r="K284" s="193">
        <f>J284/I284</f>
        <v>22.52982249</v>
      </c>
      <c r="L284" s="194">
        <f>SUM(L278:L283)</f>
        <v>1076</v>
      </c>
      <c r="M284" s="195">
        <f t="shared" si="307"/>
        <v>0.08457249071</v>
      </c>
      <c r="N284" s="190">
        <f t="shared" ref="N284:P284" si="310">SUM(N278:N283)</f>
        <v>461.5</v>
      </c>
      <c r="O284" s="190">
        <f t="shared" si="310"/>
        <v>1261.83</v>
      </c>
      <c r="P284" s="196">
        <f t="shared" si="310"/>
        <v>41</v>
      </c>
      <c r="Q284" s="197">
        <f>sum(Q278:Q283)</f>
        <v>108290</v>
      </c>
      <c r="R284" s="195">
        <f t="shared" si="1"/>
        <v>0.3657386494</v>
      </c>
      <c r="S284" s="198">
        <f t="shared" si="2"/>
        <v>2.734192849</v>
      </c>
      <c r="T284" s="199">
        <f t="shared" si="308"/>
        <v>0.5207760691</v>
      </c>
      <c r="U284" s="80" t="str">
        <f>iferror((F284-#REF!)/F284,)</f>
        <v/>
      </c>
      <c r="V284" s="90" t="str">
        <f>iferror((H284-#REF!)/H284,)</f>
        <v/>
      </c>
      <c r="W284" s="2"/>
      <c r="X284" s="2"/>
      <c r="Y284" s="2"/>
      <c r="Z284" s="2"/>
    </row>
    <row r="285" hidden="1" outlineLevel="1">
      <c r="A285" s="56" t="str">
        <f>iferror(if(B285&gt;0,month(B285)&amp;"-"&amp;year(B285),B285),)</f>
        <v>10-2025</v>
      </c>
      <c r="B285" s="143">
        <v>45956.0</v>
      </c>
      <c r="C285" s="144"/>
      <c r="D285" s="145" t="s">
        <v>60</v>
      </c>
      <c r="E285" s="58"/>
      <c r="F285" s="146"/>
      <c r="G285" s="147"/>
      <c r="H285" s="147"/>
      <c r="I285" s="148"/>
      <c r="J285" s="149"/>
      <c r="K285" s="149"/>
      <c r="L285" s="150"/>
      <c r="M285" s="151"/>
      <c r="N285" s="152">
        <v>755.03</v>
      </c>
      <c r="O285" s="152">
        <v>2448.5</v>
      </c>
      <c r="P285" s="153">
        <v>84.0</v>
      </c>
      <c r="Q285" s="154">
        <v>150583.0</v>
      </c>
      <c r="R285" s="155">
        <f t="shared" si="1"/>
        <v>0.3083643047</v>
      </c>
      <c r="S285" s="156">
        <f t="shared" si="2"/>
        <v>3.2429175</v>
      </c>
      <c r="T285" s="155" t="str">
        <f t="shared" si="308"/>
        <v>#DIV/0!</v>
      </c>
      <c r="U285" s="76"/>
      <c r="V285" s="77"/>
      <c r="W285" s="2"/>
      <c r="X285" s="2"/>
      <c r="Y285" s="2"/>
      <c r="Z285" s="2"/>
    </row>
    <row r="286" hidden="1" outlineLevel="1">
      <c r="A286" s="157"/>
      <c r="B286" s="158"/>
      <c r="C286" s="159" t="s">
        <v>12</v>
      </c>
      <c r="D286" s="160" t="s">
        <v>13</v>
      </c>
      <c r="E286" s="58"/>
      <c r="F286" s="161">
        <v>156.0</v>
      </c>
      <c r="G286" s="162">
        <v>8.0</v>
      </c>
      <c r="H286" s="162">
        <v>6.0</v>
      </c>
      <c r="I286" s="163">
        <f t="shared" ref="I286:I291" si="311">G286/H286</f>
        <v>1.333333333</v>
      </c>
      <c r="J286" s="164">
        <f t="shared" ref="J286:J290" si="312">F286/H286</f>
        <v>26</v>
      </c>
      <c r="K286" s="164">
        <f t="shared" ref="K286:K290" si="313">F286/G286</f>
        <v>19.5</v>
      </c>
      <c r="L286" s="165">
        <v>227.0</v>
      </c>
      <c r="M286" s="155">
        <f t="shared" ref="M286:M291" si="314">G286/L286</f>
        <v>0.03524229075</v>
      </c>
      <c r="N286" s="166">
        <v>10.89</v>
      </c>
      <c r="O286" s="166">
        <v>0.0</v>
      </c>
      <c r="P286" s="167">
        <v>0.0</v>
      </c>
      <c r="Q286" s="168">
        <v>10517.0</v>
      </c>
      <c r="R286" s="155" t="str">
        <f t="shared" si="1"/>
        <v>#DIV/0!</v>
      </c>
      <c r="S286" s="156">
        <f t="shared" si="2"/>
        <v>0</v>
      </c>
      <c r="T286" s="155" t="str">
        <f>#REF!/#REF!</f>
        <v>#REF!</v>
      </c>
      <c r="U286" s="76"/>
      <c r="V286" s="77"/>
      <c r="W286" s="2"/>
      <c r="X286" s="2"/>
      <c r="Y286" s="2"/>
      <c r="Z286" s="2"/>
    </row>
    <row r="287" hidden="1" outlineLevel="1">
      <c r="A287" s="157" t="str">
        <f>iferror(if(D287&gt;0,month(D287)&amp;"-"&amp;year(D287),D287),)</f>
        <v/>
      </c>
      <c r="B287" s="158"/>
      <c r="C287" s="169" t="s">
        <v>61</v>
      </c>
      <c r="D287" s="170" t="s">
        <v>62</v>
      </c>
      <c r="E287" s="68"/>
      <c r="F287" s="164">
        <v>971.64</v>
      </c>
      <c r="G287" s="171">
        <v>36.0</v>
      </c>
      <c r="H287" s="171">
        <v>34.0</v>
      </c>
      <c r="I287" s="163">
        <f t="shared" si="311"/>
        <v>1.058823529</v>
      </c>
      <c r="J287" s="164">
        <f t="shared" si="312"/>
        <v>28.57764706</v>
      </c>
      <c r="K287" s="164">
        <f t="shared" si="313"/>
        <v>26.99</v>
      </c>
      <c r="L287" s="165">
        <v>322.0</v>
      </c>
      <c r="M287" s="155">
        <f t="shared" si="314"/>
        <v>0.1118012422</v>
      </c>
      <c r="N287" s="172">
        <v>180.34</v>
      </c>
      <c r="O287" s="172">
        <v>632.78</v>
      </c>
      <c r="P287" s="173">
        <v>22.0</v>
      </c>
      <c r="Q287" s="174">
        <v>44881.0</v>
      </c>
      <c r="R287" s="155">
        <f t="shared" si="1"/>
        <v>0.2849963652</v>
      </c>
      <c r="S287" s="156">
        <f t="shared" si="2"/>
        <v>3.50881668</v>
      </c>
      <c r="T287" s="155">
        <f t="shared" ref="T287:T292" si="315">O287/F287</f>
        <v>0.6512494339</v>
      </c>
      <c r="U287" s="76"/>
      <c r="V287" s="77"/>
      <c r="W287" s="2"/>
      <c r="X287" s="2"/>
      <c r="Y287" s="2"/>
      <c r="Z287" s="2"/>
    </row>
    <row r="288" hidden="1" outlineLevel="1">
      <c r="A288" s="175"/>
      <c r="B288" s="158"/>
      <c r="C288" s="176" t="s">
        <v>14</v>
      </c>
      <c r="D288" s="177" t="s">
        <v>15</v>
      </c>
      <c r="E288" s="68"/>
      <c r="F288" s="164">
        <v>212.5</v>
      </c>
      <c r="G288" s="171">
        <v>10.0</v>
      </c>
      <c r="H288" s="171">
        <v>8.0</v>
      </c>
      <c r="I288" s="163">
        <f t="shared" si="311"/>
        <v>1.25</v>
      </c>
      <c r="J288" s="164">
        <f t="shared" si="312"/>
        <v>26.5625</v>
      </c>
      <c r="K288" s="164">
        <f t="shared" si="313"/>
        <v>21.25</v>
      </c>
      <c r="L288" s="165">
        <v>188.0</v>
      </c>
      <c r="M288" s="155">
        <f t="shared" si="314"/>
        <v>0.05319148936</v>
      </c>
      <c r="N288" s="178">
        <v>18.73</v>
      </c>
      <c r="O288" s="178">
        <v>51.24</v>
      </c>
      <c r="P288" s="179">
        <v>2.0</v>
      </c>
      <c r="Q288" s="180">
        <v>9058.0</v>
      </c>
      <c r="R288" s="155">
        <f t="shared" si="1"/>
        <v>0.3655347385</v>
      </c>
      <c r="S288" s="156">
        <f t="shared" si="2"/>
        <v>2.735718099</v>
      </c>
      <c r="T288" s="155">
        <f t="shared" si="315"/>
        <v>0.2411294118</v>
      </c>
      <c r="U288" s="76"/>
      <c r="V288" s="77"/>
      <c r="W288" s="2"/>
      <c r="X288" s="2"/>
      <c r="Y288" s="2"/>
      <c r="Z288" s="2"/>
    </row>
    <row r="289" hidden="1" outlineLevel="1">
      <c r="A289" s="175"/>
      <c r="B289" s="158"/>
      <c r="C289" s="181" t="s">
        <v>63</v>
      </c>
      <c r="D289" s="182" t="s">
        <v>64</v>
      </c>
      <c r="E289" s="68"/>
      <c r="F289" s="164">
        <v>549.78</v>
      </c>
      <c r="G289" s="171">
        <v>22.0</v>
      </c>
      <c r="H289" s="171">
        <v>19.0</v>
      </c>
      <c r="I289" s="163">
        <f t="shared" si="311"/>
        <v>1.157894737</v>
      </c>
      <c r="J289" s="164">
        <f t="shared" si="312"/>
        <v>28.93578947</v>
      </c>
      <c r="K289" s="164">
        <f t="shared" si="313"/>
        <v>24.99</v>
      </c>
      <c r="L289" s="165">
        <v>366.0</v>
      </c>
      <c r="M289" s="155">
        <f t="shared" si="314"/>
        <v>0.06010928962</v>
      </c>
      <c r="N289" s="183">
        <v>42.37</v>
      </c>
      <c r="O289" s="183">
        <v>121.21</v>
      </c>
      <c r="P289" s="184">
        <v>4.0</v>
      </c>
      <c r="Q289" s="185">
        <v>13642.0</v>
      </c>
      <c r="R289" s="155">
        <f t="shared" si="1"/>
        <v>0.3495586173</v>
      </c>
      <c r="S289" s="156">
        <f t="shared" si="2"/>
        <v>2.860750531</v>
      </c>
      <c r="T289" s="155">
        <f t="shared" si="315"/>
        <v>0.2204700062</v>
      </c>
      <c r="U289" s="76"/>
      <c r="V289" s="77"/>
      <c r="W289" s="2"/>
      <c r="X289" s="2"/>
      <c r="Y289" s="2"/>
      <c r="Z289" s="2"/>
    </row>
    <row r="290" hidden="1" outlineLevel="1">
      <c r="A290" s="56" t="str">
        <f>iferror(if(B290&gt;0,month(B290)&amp;"-"&amp;year(B290),B290),)</f>
        <v>11-2025</v>
      </c>
      <c r="B290" s="143">
        <v>45962.0</v>
      </c>
      <c r="C290" s="186" t="s">
        <v>65</v>
      </c>
      <c r="D290" s="187" t="s">
        <v>66</v>
      </c>
      <c r="E290" s="68"/>
      <c r="F290" s="164">
        <v>2279.24</v>
      </c>
      <c r="G290" s="171">
        <v>76.0</v>
      </c>
      <c r="H290" s="171">
        <v>72.0</v>
      </c>
      <c r="I290" s="163">
        <f t="shared" si="311"/>
        <v>1.055555556</v>
      </c>
      <c r="J290" s="164">
        <f t="shared" si="312"/>
        <v>31.65611111</v>
      </c>
      <c r="K290" s="164">
        <f t="shared" si="313"/>
        <v>29.99</v>
      </c>
      <c r="L290" s="165">
        <v>751.0</v>
      </c>
      <c r="M290" s="155">
        <f t="shared" si="314"/>
        <v>0.1011984021</v>
      </c>
      <c r="N290" s="188">
        <v>9.52</v>
      </c>
      <c r="O290" s="188">
        <v>0.0</v>
      </c>
      <c r="P290" s="189">
        <v>0.0</v>
      </c>
      <c r="Q290" s="189">
        <v>3901.0</v>
      </c>
      <c r="R290" s="155" t="str">
        <f t="shared" si="1"/>
        <v>#DIV/0!</v>
      </c>
      <c r="S290" s="156">
        <f t="shared" si="2"/>
        <v>0</v>
      </c>
      <c r="T290" s="155">
        <f t="shared" si="315"/>
        <v>0</v>
      </c>
      <c r="U290" s="76"/>
      <c r="V290" s="77"/>
      <c r="W290" s="2"/>
      <c r="X290" s="2"/>
      <c r="Y290" s="2"/>
      <c r="Z290" s="2"/>
    </row>
    <row r="291" collapsed="1">
      <c r="A291" s="78" t="s">
        <v>111</v>
      </c>
      <c r="B291" s="79"/>
      <c r="C291" s="79"/>
      <c r="D291" s="79"/>
      <c r="E291" s="80"/>
      <c r="F291" s="190">
        <f t="shared" ref="F291:H291" si="316">SUM(F285:F290)</f>
        <v>4169.16</v>
      </c>
      <c r="G291" s="191">
        <f t="shared" si="316"/>
        <v>152</v>
      </c>
      <c r="H291" s="191">
        <f t="shared" si="316"/>
        <v>139</v>
      </c>
      <c r="I291" s="192">
        <f t="shared" si="311"/>
        <v>1.09352518</v>
      </c>
      <c r="J291" s="193">
        <f>F291/G291</f>
        <v>27.42868421</v>
      </c>
      <c r="K291" s="193">
        <f>J291/I291</f>
        <v>25.0828099</v>
      </c>
      <c r="L291" s="194">
        <f>SUM(L285:L290)</f>
        <v>1854</v>
      </c>
      <c r="M291" s="195">
        <f t="shared" si="314"/>
        <v>0.08198489752</v>
      </c>
      <c r="N291" s="190">
        <f t="shared" ref="N291:P291" si="317">SUM(N285:N290)</f>
        <v>1016.88</v>
      </c>
      <c r="O291" s="190">
        <f t="shared" si="317"/>
        <v>3253.73</v>
      </c>
      <c r="P291" s="196">
        <f t="shared" si="317"/>
        <v>112</v>
      </c>
      <c r="Q291" s="197">
        <f>sum(Q285:Q290)</f>
        <v>232582</v>
      </c>
      <c r="R291" s="195">
        <f t="shared" si="1"/>
        <v>0.3125274685</v>
      </c>
      <c r="S291" s="198">
        <f t="shared" si="2"/>
        <v>3.199718748</v>
      </c>
      <c r="T291" s="199">
        <f t="shared" si="315"/>
        <v>0.7804281918</v>
      </c>
      <c r="U291" s="80" t="str">
        <f>iferror((F291-#REF!)/F291,)</f>
        <v/>
      </c>
      <c r="V291" s="90" t="str">
        <f>iferror((H291-#REF!)/H291,)</f>
        <v/>
      </c>
      <c r="W291" s="2"/>
      <c r="X291" s="2"/>
      <c r="Y291" s="2"/>
      <c r="Z291" s="2"/>
    </row>
    <row r="292" hidden="1" outlineLevel="1">
      <c r="A292" s="56" t="str">
        <f>iferror(if(B292&gt;0,month(B292)&amp;"-"&amp;year(B292),B292),)</f>
        <v>11-2025</v>
      </c>
      <c r="B292" s="143">
        <v>45963.0</v>
      </c>
      <c r="C292" s="144"/>
      <c r="D292" s="145" t="s">
        <v>60</v>
      </c>
      <c r="E292" s="58"/>
      <c r="F292" s="146"/>
      <c r="G292" s="147"/>
      <c r="H292" s="147"/>
      <c r="I292" s="148"/>
      <c r="J292" s="149"/>
      <c r="K292" s="149"/>
      <c r="L292" s="150"/>
      <c r="M292" s="151"/>
      <c r="N292" s="152">
        <v>1249.37</v>
      </c>
      <c r="O292" s="152">
        <v>4040.76</v>
      </c>
      <c r="P292" s="153">
        <v>132.0</v>
      </c>
      <c r="Q292" s="154">
        <v>270595.0</v>
      </c>
      <c r="R292" s="155">
        <f t="shared" si="1"/>
        <v>0.3091918352</v>
      </c>
      <c r="S292" s="156">
        <f t="shared" si="2"/>
        <v>3.234238056</v>
      </c>
      <c r="T292" s="155" t="str">
        <f t="shared" si="315"/>
        <v>#DIV/0!</v>
      </c>
      <c r="U292" s="76"/>
      <c r="V292" s="77"/>
      <c r="W292" s="2"/>
      <c r="X292" s="2"/>
      <c r="Y292" s="2"/>
      <c r="Z292" s="2"/>
    </row>
    <row r="293" hidden="1" outlineLevel="1">
      <c r="A293" s="157"/>
      <c r="B293" s="158"/>
      <c r="C293" s="159" t="s">
        <v>12</v>
      </c>
      <c r="D293" s="160" t="s">
        <v>13</v>
      </c>
      <c r="E293" s="58"/>
      <c r="F293" s="161">
        <v>468.0</v>
      </c>
      <c r="G293" s="162">
        <v>24.0</v>
      </c>
      <c r="H293" s="162">
        <v>24.0</v>
      </c>
      <c r="I293" s="163">
        <f t="shared" ref="I293:I298" si="318">G293/H293</f>
        <v>1</v>
      </c>
      <c r="J293" s="164">
        <f t="shared" ref="J293:J297" si="319">F293/H293</f>
        <v>19.5</v>
      </c>
      <c r="K293" s="164">
        <f t="shared" ref="K293:K297" si="320">F293/G293</f>
        <v>19.5</v>
      </c>
      <c r="L293" s="165">
        <v>298.0</v>
      </c>
      <c r="M293" s="155">
        <f t="shared" ref="M293:M298" si="321">G293/L293</f>
        <v>0.08053691275</v>
      </c>
      <c r="N293" s="166">
        <v>8.73</v>
      </c>
      <c r="O293" s="166">
        <v>19.5</v>
      </c>
      <c r="P293" s="167">
        <v>1.0</v>
      </c>
      <c r="Q293" s="168">
        <v>12906.0</v>
      </c>
      <c r="R293" s="155">
        <f t="shared" si="1"/>
        <v>0.4476923077</v>
      </c>
      <c r="S293" s="156">
        <f t="shared" si="2"/>
        <v>2.233676976</v>
      </c>
      <c r="T293" s="155" t="str">
        <f>#REF!/#REF!</f>
        <v>#REF!</v>
      </c>
      <c r="U293" s="76"/>
      <c r="V293" s="77"/>
      <c r="W293" s="2"/>
      <c r="X293" s="2"/>
      <c r="Y293" s="2"/>
      <c r="Z293" s="2"/>
    </row>
    <row r="294" hidden="1" outlineLevel="1">
      <c r="A294" s="157" t="str">
        <f>iferror(if(D294&gt;0,month(D294)&amp;"-"&amp;year(D294),D294),)</f>
        <v/>
      </c>
      <c r="B294" s="158"/>
      <c r="C294" s="169" t="s">
        <v>61</v>
      </c>
      <c r="D294" s="170" t="s">
        <v>62</v>
      </c>
      <c r="E294" s="68"/>
      <c r="F294" s="164">
        <v>1187.56</v>
      </c>
      <c r="G294" s="171">
        <v>44.0</v>
      </c>
      <c r="H294" s="171">
        <v>38.0</v>
      </c>
      <c r="I294" s="163">
        <f t="shared" si="318"/>
        <v>1.157894737</v>
      </c>
      <c r="J294" s="164">
        <f t="shared" si="319"/>
        <v>31.25157895</v>
      </c>
      <c r="K294" s="164">
        <f t="shared" si="320"/>
        <v>26.99</v>
      </c>
      <c r="L294" s="165">
        <v>443.0</v>
      </c>
      <c r="M294" s="155">
        <f t="shared" si="321"/>
        <v>0.0993227991</v>
      </c>
      <c r="N294" s="172">
        <v>391.42</v>
      </c>
      <c r="O294" s="172">
        <v>1486.0</v>
      </c>
      <c r="P294" s="173">
        <v>49.0</v>
      </c>
      <c r="Q294" s="174">
        <v>75298.0</v>
      </c>
      <c r="R294" s="155">
        <f t="shared" si="1"/>
        <v>0.2634051144</v>
      </c>
      <c r="S294" s="156">
        <f t="shared" si="2"/>
        <v>3.796433499</v>
      </c>
      <c r="T294" s="155">
        <f t="shared" ref="T294:T299" si="322">O294/F294</f>
        <v>1.251305197</v>
      </c>
      <c r="U294" s="76"/>
      <c r="V294" s="77"/>
      <c r="W294" s="2"/>
      <c r="X294" s="2"/>
      <c r="Y294" s="2"/>
      <c r="Z294" s="2"/>
    </row>
    <row r="295" hidden="1" outlineLevel="1">
      <c r="A295" s="175"/>
      <c r="B295" s="158"/>
      <c r="C295" s="176" t="s">
        <v>14</v>
      </c>
      <c r="D295" s="177" t="s">
        <v>15</v>
      </c>
      <c r="E295" s="68"/>
      <c r="F295" s="164">
        <v>255.0</v>
      </c>
      <c r="G295" s="171">
        <v>12.0</v>
      </c>
      <c r="H295" s="171">
        <v>10.0</v>
      </c>
      <c r="I295" s="163">
        <f t="shared" si="318"/>
        <v>1.2</v>
      </c>
      <c r="J295" s="164">
        <f t="shared" si="319"/>
        <v>25.5</v>
      </c>
      <c r="K295" s="164">
        <f t="shared" si="320"/>
        <v>21.25</v>
      </c>
      <c r="L295" s="165">
        <v>246.0</v>
      </c>
      <c r="M295" s="155">
        <f t="shared" si="321"/>
        <v>0.0487804878</v>
      </c>
      <c r="N295" s="178">
        <v>33.9</v>
      </c>
      <c r="O295" s="178">
        <v>0.0</v>
      </c>
      <c r="P295" s="179">
        <v>0.0</v>
      </c>
      <c r="Q295" s="180">
        <v>11948.0</v>
      </c>
      <c r="R295" s="155" t="str">
        <f t="shared" si="1"/>
        <v>#DIV/0!</v>
      </c>
      <c r="S295" s="156">
        <f t="shared" si="2"/>
        <v>0</v>
      </c>
      <c r="T295" s="155">
        <f t="shared" si="322"/>
        <v>0</v>
      </c>
      <c r="U295" s="76"/>
      <c r="V295" s="77"/>
      <c r="W295" s="2"/>
      <c r="X295" s="2"/>
      <c r="Y295" s="2"/>
      <c r="Z295" s="2"/>
    </row>
    <row r="296" hidden="1" outlineLevel="1">
      <c r="A296" s="175"/>
      <c r="B296" s="158"/>
      <c r="C296" s="181" t="s">
        <v>63</v>
      </c>
      <c r="D296" s="182" t="s">
        <v>64</v>
      </c>
      <c r="E296" s="68"/>
      <c r="F296" s="164">
        <v>774.69</v>
      </c>
      <c r="G296" s="171">
        <v>31.0</v>
      </c>
      <c r="H296" s="171">
        <v>28.0</v>
      </c>
      <c r="I296" s="163">
        <f t="shared" si="318"/>
        <v>1.107142857</v>
      </c>
      <c r="J296" s="164">
        <f t="shared" si="319"/>
        <v>27.6675</v>
      </c>
      <c r="K296" s="164">
        <f t="shared" si="320"/>
        <v>24.99</v>
      </c>
      <c r="L296" s="165">
        <v>472.0</v>
      </c>
      <c r="M296" s="155">
        <f t="shared" si="321"/>
        <v>0.0656779661</v>
      </c>
      <c r="N296" s="183">
        <v>56.81</v>
      </c>
      <c r="O296" s="183">
        <v>149.94</v>
      </c>
      <c r="P296" s="184">
        <v>5.0</v>
      </c>
      <c r="Q296" s="185">
        <v>17548.0</v>
      </c>
      <c r="R296" s="155">
        <f t="shared" si="1"/>
        <v>0.3788848873</v>
      </c>
      <c r="S296" s="156">
        <f t="shared" si="2"/>
        <v>2.639324063</v>
      </c>
      <c r="T296" s="155">
        <f t="shared" si="322"/>
        <v>0.1935483871</v>
      </c>
      <c r="U296" s="76"/>
      <c r="V296" s="77"/>
      <c r="W296" s="2"/>
      <c r="X296" s="2"/>
      <c r="Y296" s="2"/>
      <c r="Z296" s="2"/>
    </row>
    <row r="297" hidden="1" outlineLevel="1">
      <c r="A297" s="56" t="str">
        <f>iferror(if(B297&gt;0,month(B297)&amp;"-"&amp;year(B297),B297),)</f>
        <v>11-2025</v>
      </c>
      <c r="B297" s="143">
        <v>45969.0</v>
      </c>
      <c r="C297" s="186" t="s">
        <v>65</v>
      </c>
      <c r="D297" s="187" t="s">
        <v>66</v>
      </c>
      <c r="E297" s="68"/>
      <c r="F297" s="164">
        <v>4618.46</v>
      </c>
      <c r="G297" s="171">
        <v>154.0</v>
      </c>
      <c r="H297" s="171">
        <v>136.0</v>
      </c>
      <c r="I297" s="163">
        <f t="shared" si="318"/>
        <v>1.132352941</v>
      </c>
      <c r="J297" s="164">
        <f t="shared" si="319"/>
        <v>33.95926471</v>
      </c>
      <c r="K297" s="164">
        <f t="shared" si="320"/>
        <v>29.99</v>
      </c>
      <c r="L297" s="165">
        <v>1387.0</v>
      </c>
      <c r="M297" s="155">
        <f t="shared" si="321"/>
        <v>0.1110310022</v>
      </c>
      <c r="N297" s="188">
        <v>12.75</v>
      </c>
      <c r="O297" s="188">
        <v>59.98</v>
      </c>
      <c r="P297" s="189">
        <v>2.0</v>
      </c>
      <c r="Q297" s="189">
        <v>3634.0</v>
      </c>
      <c r="R297" s="155">
        <f t="shared" si="1"/>
        <v>0.212570857</v>
      </c>
      <c r="S297" s="156">
        <f t="shared" si="2"/>
        <v>4.704313725</v>
      </c>
      <c r="T297" s="155">
        <f t="shared" si="322"/>
        <v>0.01298701299</v>
      </c>
      <c r="U297" s="76"/>
      <c r="V297" s="77"/>
      <c r="W297" s="2"/>
      <c r="X297" s="2"/>
      <c r="Y297" s="2"/>
      <c r="Z297" s="2"/>
    </row>
    <row r="298" collapsed="1">
      <c r="A298" s="78" t="s">
        <v>112</v>
      </c>
      <c r="B298" s="79"/>
      <c r="C298" s="79"/>
      <c r="D298" s="79"/>
      <c r="E298" s="80"/>
      <c r="F298" s="190">
        <f t="shared" ref="F298:H298" si="323">SUM(F292:F297)</f>
        <v>7303.71</v>
      </c>
      <c r="G298" s="191">
        <f t="shared" si="323"/>
        <v>265</v>
      </c>
      <c r="H298" s="191">
        <f t="shared" si="323"/>
        <v>236</v>
      </c>
      <c r="I298" s="192">
        <f t="shared" si="318"/>
        <v>1.122881356</v>
      </c>
      <c r="J298" s="193">
        <f>F298/G298</f>
        <v>27.56116981</v>
      </c>
      <c r="K298" s="193">
        <f>J298/I298</f>
        <v>24.54504179</v>
      </c>
      <c r="L298" s="194">
        <f>SUM(L292:L297)</f>
        <v>2846</v>
      </c>
      <c r="M298" s="195">
        <f t="shared" si="321"/>
        <v>0.09311314125</v>
      </c>
      <c r="N298" s="190">
        <f t="shared" ref="N298:P298" si="324">SUM(N292:N297)</f>
        <v>1752.98</v>
      </c>
      <c r="O298" s="190">
        <f t="shared" si="324"/>
        <v>5756.18</v>
      </c>
      <c r="P298" s="196">
        <f t="shared" si="324"/>
        <v>189</v>
      </c>
      <c r="Q298" s="197">
        <f>sum(Q292:Q297)</f>
        <v>391929</v>
      </c>
      <c r="R298" s="195">
        <f t="shared" si="1"/>
        <v>0.304538774</v>
      </c>
      <c r="S298" s="198">
        <f t="shared" si="2"/>
        <v>3.28365412</v>
      </c>
      <c r="T298" s="199">
        <f t="shared" si="322"/>
        <v>0.7881172719</v>
      </c>
      <c r="U298" s="80" t="str">
        <f>iferror((F298-#REF!)/F298,)</f>
        <v/>
      </c>
      <c r="V298" s="90" t="str">
        <f>iferror((H298-#REF!)/H298,)</f>
        <v/>
      </c>
      <c r="W298" s="2"/>
      <c r="X298" s="2"/>
      <c r="Y298" s="2"/>
      <c r="Z298" s="2"/>
    </row>
    <row r="299" hidden="1" outlineLevel="1">
      <c r="A299" s="56" t="str">
        <f>iferror(if(B299&gt;0,month(B299)&amp;"-"&amp;year(B299),B299),)</f>
        <v>11-2025</v>
      </c>
      <c r="B299" s="143">
        <v>45970.0</v>
      </c>
      <c r="C299" s="144"/>
      <c r="D299" s="145" t="s">
        <v>60</v>
      </c>
      <c r="E299" s="58"/>
      <c r="F299" s="146"/>
      <c r="G299" s="147"/>
      <c r="H299" s="147"/>
      <c r="I299" s="148"/>
      <c r="J299" s="149"/>
      <c r="K299" s="149"/>
      <c r="L299" s="150"/>
      <c r="M299" s="151"/>
      <c r="N299" s="152">
        <v>1197.79</v>
      </c>
      <c r="O299" s="152">
        <v>2593.71</v>
      </c>
      <c r="P299" s="153">
        <v>88.0</v>
      </c>
      <c r="Q299" s="154">
        <v>246755.0</v>
      </c>
      <c r="R299" s="155">
        <f t="shared" si="1"/>
        <v>0.461805676</v>
      </c>
      <c r="S299" s="156">
        <f t="shared" si="2"/>
        <v>2.165412969</v>
      </c>
      <c r="T299" s="155" t="str">
        <f t="shared" si="322"/>
        <v>#DIV/0!</v>
      </c>
      <c r="U299" s="76"/>
      <c r="V299" s="77"/>
      <c r="W299" s="2"/>
      <c r="X299" s="2"/>
      <c r="Y299" s="2"/>
      <c r="Z299" s="2"/>
    </row>
    <row r="300" hidden="1" outlineLevel="1">
      <c r="A300" s="157"/>
      <c r="B300" s="158"/>
      <c r="C300" s="159" t="s">
        <v>12</v>
      </c>
      <c r="D300" s="160" t="s">
        <v>13</v>
      </c>
      <c r="E300" s="58"/>
      <c r="F300" s="161">
        <v>273.0</v>
      </c>
      <c r="G300" s="162">
        <v>14.0</v>
      </c>
      <c r="H300" s="162">
        <v>13.0</v>
      </c>
      <c r="I300" s="163">
        <f t="shared" ref="I300:I305" si="325">G300/H300</f>
        <v>1.076923077</v>
      </c>
      <c r="J300" s="164">
        <f t="shared" ref="J300:J304" si="326">F300/H300</f>
        <v>21</v>
      </c>
      <c r="K300" s="164">
        <f t="shared" ref="K300:K304" si="327">F300/G300</f>
        <v>19.5</v>
      </c>
      <c r="L300" s="165">
        <v>237.0</v>
      </c>
      <c r="M300" s="155">
        <f t="shared" ref="M300:M305" si="328">G300/L300</f>
        <v>0.05907172996</v>
      </c>
      <c r="N300" s="166">
        <v>13.03</v>
      </c>
      <c r="O300" s="166">
        <v>0.0</v>
      </c>
      <c r="P300" s="167">
        <v>0.0</v>
      </c>
      <c r="Q300" s="168">
        <v>9758.0</v>
      </c>
      <c r="R300" s="155" t="str">
        <f t="shared" si="1"/>
        <v>#DIV/0!</v>
      </c>
      <c r="S300" s="156">
        <f t="shared" si="2"/>
        <v>0</v>
      </c>
      <c r="T300" s="155" t="str">
        <f>#REF!/#REF!</f>
        <v>#REF!</v>
      </c>
      <c r="U300" s="76"/>
      <c r="V300" s="77"/>
      <c r="W300" s="2"/>
      <c r="X300" s="2"/>
      <c r="Y300" s="2"/>
      <c r="Z300" s="2"/>
    </row>
    <row r="301" hidden="1" outlineLevel="1">
      <c r="A301" s="157" t="str">
        <f>iferror(if(D301&gt;0,month(D301)&amp;"-"&amp;year(D301),D301),)</f>
        <v/>
      </c>
      <c r="B301" s="158"/>
      <c r="C301" s="169" t="s">
        <v>61</v>
      </c>
      <c r="D301" s="170" t="s">
        <v>62</v>
      </c>
      <c r="E301" s="68"/>
      <c r="F301" s="164">
        <v>1187.56</v>
      </c>
      <c r="G301" s="171">
        <v>44.0</v>
      </c>
      <c r="H301" s="171">
        <v>40.0</v>
      </c>
      <c r="I301" s="163">
        <f t="shared" si="325"/>
        <v>1.1</v>
      </c>
      <c r="J301" s="164">
        <f t="shared" si="326"/>
        <v>29.689</v>
      </c>
      <c r="K301" s="164">
        <f t="shared" si="327"/>
        <v>26.99</v>
      </c>
      <c r="L301" s="165">
        <v>393.0</v>
      </c>
      <c r="M301" s="155">
        <f t="shared" si="328"/>
        <v>0.1119592875</v>
      </c>
      <c r="N301" s="172">
        <v>370.7</v>
      </c>
      <c r="O301" s="172">
        <v>997.66</v>
      </c>
      <c r="P301" s="173">
        <v>31.0</v>
      </c>
      <c r="Q301" s="174">
        <v>60637.0</v>
      </c>
      <c r="R301" s="155">
        <f t="shared" si="1"/>
        <v>0.3715694726</v>
      </c>
      <c r="S301" s="156">
        <f t="shared" si="2"/>
        <v>2.691286755</v>
      </c>
      <c r="T301" s="155">
        <f t="shared" ref="T301:T306" si="329">O301/F301</f>
        <v>0.8400922901</v>
      </c>
      <c r="U301" s="76"/>
      <c r="V301" s="77"/>
      <c r="W301" s="2"/>
      <c r="X301" s="2"/>
      <c r="Y301" s="2"/>
      <c r="Z301" s="2"/>
    </row>
    <row r="302" hidden="1" outlineLevel="1">
      <c r="A302" s="175"/>
      <c r="B302" s="158"/>
      <c r="C302" s="176" t="s">
        <v>14</v>
      </c>
      <c r="D302" s="177" t="s">
        <v>15</v>
      </c>
      <c r="E302" s="68"/>
      <c r="F302" s="164">
        <v>170.0</v>
      </c>
      <c r="G302" s="171">
        <v>8.0</v>
      </c>
      <c r="H302" s="171">
        <v>8.0</v>
      </c>
      <c r="I302" s="163">
        <f t="shared" si="325"/>
        <v>1</v>
      </c>
      <c r="J302" s="164">
        <f t="shared" si="326"/>
        <v>21.25</v>
      </c>
      <c r="K302" s="164">
        <f t="shared" si="327"/>
        <v>21.25</v>
      </c>
      <c r="L302" s="165">
        <v>205.0</v>
      </c>
      <c r="M302" s="155">
        <f t="shared" si="328"/>
        <v>0.03902439024</v>
      </c>
      <c r="N302" s="178">
        <v>15.56</v>
      </c>
      <c r="O302" s="178">
        <v>42.5</v>
      </c>
      <c r="P302" s="179">
        <v>2.0</v>
      </c>
      <c r="Q302" s="180">
        <v>8996.0</v>
      </c>
      <c r="R302" s="155">
        <f t="shared" si="1"/>
        <v>0.3661176471</v>
      </c>
      <c r="S302" s="156">
        <f t="shared" si="2"/>
        <v>2.731362468</v>
      </c>
      <c r="T302" s="155">
        <f t="shared" si="329"/>
        <v>0.25</v>
      </c>
      <c r="U302" s="76"/>
      <c r="V302" s="77"/>
      <c r="W302" s="2"/>
      <c r="X302" s="2"/>
      <c r="Y302" s="2"/>
      <c r="Z302" s="2"/>
    </row>
    <row r="303" hidden="1" outlineLevel="1">
      <c r="A303" s="175"/>
      <c r="B303" s="158"/>
      <c r="C303" s="181" t="s">
        <v>63</v>
      </c>
      <c r="D303" s="182" t="s">
        <v>64</v>
      </c>
      <c r="E303" s="68"/>
      <c r="F303" s="164">
        <v>724.71</v>
      </c>
      <c r="G303" s="171">
        <v>29.0</v>
      </c>
      <c r="H303" s="171">
        <v>24.0</v>
      </c>
      <c r="I303" s="163">
        <f t="shared" si="325"/>
        <v>1.208333333</v>
      </c>
      <c r="J303" s="164">
        <f t="shared" si="326"/>
        <v>30.19625</v>
      </c>
      <c r="K303" s="164">
        <f t="shared" si="327"/>
        <v>24.99</v>
      </c>
      <c r="L303" s="165">
        <v>389.0</v>
      </c>
      <c r="M303" s="155">
        <f t="shared" si="328"/>
        <v>0.07455012853</v>
      </c>
      <c r="N303" s="183">
        <v>78.5</v>
      </c>
      <c r="O303" s="183">
        <v>402.1</v>
      </c>
      <c r="P303" s="184">
        <v>13.0</v>
      </c>
      <c r="Q303" s="185">
        <v>22695.0</v>
      </c>
      <c r="R303" s="155">
        <f t="shared" si="1"/>
        <v>0.1952250684</v>
      </c>
      <c r="S303" s="156">
        <f t="shared" si="2"/>
        <v>5.122292994</v>
      </c>
      <c r="T303" s="155">
        <f t="shared" si="329"/>
        <v>0.5548426267</v>
      </c>
      <c r="U303" s="76"/>
      <c r="V303" s="77"/>
      <c r="W303" s="2"/>
      <c r="X303" s="2"/>
      <c r="Y303" s="2"/>
      <c r="Z303" s="2"/>
    </row>
    <row r="304" hidden="1" outlineLevel="1">
      <c r="A304" s="56" t="str">
        <f>iferror(if(B304&gt;0,month(B304)&amp;"-"&amp;year(B304),B304),)</f>
        <v>11-2025</v>
      </c>
      <c r="B304" s="143">
        <v>45976.0</v>
      </c>
      <c r="C304" s="186" t="s">
        <v>65</v>
      </c>
      <c r="D304" s="187" t="s">
        <v>66</v>
      </c>
      <c r="E304" s="68"/>
      <c r="F304" s="164">
        <v>3299.92</v>
      </c>
      <c r="G304" s="171">
        <v>109.0</v>
      </c>
      <c r="H304" s="171">
        <v>101.0</v>
      </c>
      <c r="I304" s="163">
        <f t="shared" si="325"/>
        <v>1.079207921</v>
      </c>
      <c r="J304" s="164">
        <f t="shared" si="326"/>
        <v>32.67247525</v>
      </c>
      <c r="K304" s="164">
        <f t="shared" si="327"/>
        <v>30.27449541</v>
      </c>
      <c r="L304" s="165">
        <v>1294.0</v>
      </c>
      <c r="M304" s="155">
        <f t="shared" si="328"/>
        <v>0.08423493045</v>
      </c>
      <c r="N304" s="188">
        <v>40.9</v>
      </c>
      <c r="O304" s="188">
        <v>152.95</v>
      </c>
      <c r="P304" s="189">
        <v>5.0</v>
      </c>
      <c r="Q304" s="189">
        <v>10144.0</v>
      </c>
      <c r="R304" s="155">
        <f t="shared" si="1"/>
        <v>0.2674076496</v>
      </c>
      <c r="S304" s="156">
        <f t="shared" si="2"/>
        <v>3.739608802</v>
      </c>
      <c r="T304" s="155">
        <f t="shared" si="329"/>
        <v>0.04634960848</v>
      </c>
      <c r="U304" s="76"/>
      <c r="V304" s="77"/>
      <c r="W304" s="2"/>
      <c r="X304" s="2"/>
      <c r="Y304" s="2"/>
      <c r="Z304" s="2"/>
    </row>
    <row r="305" collapsed="1">
      <c r="A305" s="78" t="s">
        <v>119</v>
      </c>
      <c r="B305" s="79"/>
      <c r="C305" s="79"/>
      <c r="D305" s="79"/>
      <c r="E305" s="80"/>
      <c r="F305" s="190">
        <f t="shared" ref="F305:H305" si="330">SUM(F299:F304)</f>
        <v>5655.19</v>
      </c>
      <c r="G305" s="191">
        <f t="shared" si="330"/>
        <v>204</v>
      </c>
      <c r="H305" s="191">
        <f t="shared" si="330"/>
        <v>186</v>
      </c>
      <c r="I305" s="192">
        <f t="shared" si="325"/>
        <v>1.096774194</v>
      </c>
      <c r="J305" s="193">
        <f>F305/G305</f>
        <v>27.72151961</v>
      </c>
      <c r="K305" s="193">
        <f>J305/I305</f>
        <v>25.27550317</v>
      </c>
      <c r="L305" s="194">
        <f>SUM(L299:L304)</f>
        <v>2518</v>
      </c>
      <c r="M305" s="195">
        <f t="shared" si="328"/>
        <v>0.0810166799</v>
      </c>
      <c r="N305" s="190">
        <f t="shared" ref="N305:P305" si="331">SUM(N299:N304)</f>
        <v>1716.48</v>
      </c>
      <c r="O305" s="190">
        <f t="shared" si="331"/>
        <v>4188.92</v>
      </c>
      <c r="P305" s="196">
        <f t="shared" si="331"/>
        <v>139</v>
      </c>
      <c r="Q305" s="197">
        <f>sum(Q299:Q304)</f>
        <v>358985</v>
      </c>
      <c r="R305" s="195">
        <f t="shared" si="1"/>
        <v>0.4097667179</v>
      </c>
      <c r="S305" s="198">
        <f t="shared" si="2"/>
        <v>2.440412938</v>
      </c>
      <c r="T305" s="199">
        <f t="shared" si="329"/>
        <v>0.7407213551</v>
      </c>
      <c r="U305" s="80" t="str">
        <f>iferror((F305-#REF!)/F305,)</f>
        <v/>
      </c>
      <c r="V305" s="90" t="str">
        <f>iferror((H305-#REF!)/H305,)</f>
        <v/>
      </c>
      <c r="W305" s="2"/>
      <c r="X305" s="2"/>
      <c r="Y305" s="2"/>
      <c r="Z305" s="2"/>
    </row>
    <row r="306" hidden="1" outlineLevel="1">
      <c r="A306" s="56" t="str">
        <f>iferror(if(B306&gt;0,month(B306)&amp;"-"&amp;year(B306),B306),)</f>
        <v>11-2025</v>
      </c>
      <c r="B306" s="143">
        <v>45977.0</v>
      </c>
      <c r="C306" s="144"/>
      <c r="D306" s="145" t="s">
        <v>60</v>
      </c>
      <c r="E306" s="58"/>
      <c r="F306" s="146"/>
      <c r="G306" s="147"/>
      <c r="H306" s="147"/>
      <c r="I306" s="148"/>
      <c r="J306" s="149"/>
      <c r="K306" s="149"/>
      <c r="L306" s="150"/>
      <c r="M306" s="151"/>
      <c r="N306" s="152">
        <v>991.88</v>
      </c>
      <c r="O306" s="152">
        <v>2260.32</v>
      </c>
      <c r="P306" s="153">
        <v>74.0</v>
      </c>
      <c r="Q306" s="154">
        <v>208733.0</v>
      </c>
      <c r="R306" s="155">
        <f t="shared" si="1"/>
        <v>0.4388228215</v>
      </c>
      <c r="S306" s="156">
        <f t="shared" si="2"/>
        <v>2.278824051</v>
      </c>
      <c r="T306" s="155" t="str">
        <f t="shared" si="329"/>
        <v>#DIV/0!</v>
      </c>
      <c r="U306" s="76"/>
      <c r="V306" s="77"/>
      <c r="W306" s="2"/>
      <c r="X306" s="2"/>
      <c r="Y306" s="2"/>
      <c r="Z306" s="2"/>
    </row>
    <row r="307" hidden="1" outlineLevel="1">
      <c r="A307" s="157"/>
      <c r="B307" s="158"/>
      <c r="C307" s="159" t="s">
        <v>12</v>
      </c>
      <c r="D307" s="160" t="s">
        <v>13</v>
      </c>
      <c r="E307" s="58"/>
      <c r="F307" s="161">
        <v>273.0</v>
      </c>
      <c r="G307" s="162">
        <v>14.0</v>
      </c>
      <c r="H307" s="162">
        <v>13.0</v>
      </c>
      <c r="I307" s="163">
        <f t="shared" ref="I307:I312" si="332">G307/H307</f>
        <v>1.076923077</v>
      </c>
      <c r="J307" s="164">
        <f t="shared" ref="J307:J311" si="333">F307/H307</f>
        <v>21</v>
      </c>
      <c r="K307" s="164">
        <f t="shared" ref="K307:K311" si="334">F307/G307</f>
        <v>19.5</v>
      </c>
      <c r="L307" s="165">
        <v>209.0</v>
      </c>
      <c r="M307" s="155">
        <f t="shared" ref="M307:M312" si="335">G307/L307</f>
        <v>0.06698564593</v>
      </c>
      <c r="N307" s="166">
        <v>19.34</v>
      </c>
      <c r="O307" s="166">
        <v>0.0</v>
      </c>
      <c r="P307" s="167">
        <v>0.0</v>
      </c>
      <c r="Q307" s="168">
        <v>5455.0</v>
      </c>
      <c r="R307" s="155" t="str">
        <f t="shared" si="1"/>
        <v>#DIV/0!</v>
      </c>
      <c r="S307" s="156">
        <f t="shared" si="2"/>
        <v>0</v>
      </c>
      <c r="T307" s="155" t="str">
        <f>#REF!/#REF!</f>
        <v>#REF!</v>
      </c>
      <c r="U307" s="76"/>
      <c r="V307" s="77"/>
      <c r="W307" s="2"/>
      <c r="X307" s="2"/>
      <c r="Y307" s="2"/>
      <c r="Z307" s="2"/>
    </row>
    <row r="308" hidden="1" outlineLevel="1">
      <c r="A308" s="157" t="str">
        <f>iferror(if(D308&gt;0,month(D308)&amp;"-"&amp;year(D308),D308),)</f>
        <v/>
      </c>
      <c r="B308" s="158"/>
      <c r="C308" s="169" t="s">
        <v>61</v>
      </c>
      <c r="D308" s="170" t="s">
        <v>62</v>
      </c>
      <c r="E308" s="68"/>
      <c r="F308" s="164">
        <v>863.68</v>
      </c>
      <c r="G308" s="171">
        <v>33.0</v>
      </c>
      <c r="H308" s="171">
        <v>25.0</v>
      </c>
      <c r="I308" s="163">
        <f t="shared" si="332"/>
        <v>1.32</v>
      </c>
      <c r="J308" s="164">
        <f t="shared" si="333"/>
        <v>34.5472</v>
      </c>
      <c r="K308" s="164">
        <f t="shared" si="334"/>
        <v>26.17212121</v>
      </c>
      <c r="L308" s="165">
        <v>358.0</v>
      </c>
      <c r="M308" s="155">
        <f t="shared" si="335"/>
        <v>0.09217877095</v>
      </c>
      <c r="N308" s="172">
        <v>222.24</v>
      </c>
      <c r="O308" s="172">
        <v>226.18</v>
      </c>
      <c r="P308" s="173">
        <v>7.0</v>
      </c>
      <c r="Q308" s="174">
        <v>41626.0</v>
      </c>
      <c r="R308" s="155">
        <f t="shared" si="1"/>
        <v>0.9825802458</v>
      </c>
      <c r="S308" s="156">
        <f t="shared" si="2"/>
        <v>1.017728582</v>
      </c>
      <c r="T308" s="155">
        <f t="shared" ref="T308:T313" si="336">O308/F308</f>
        <v>0.2618793998</v>
      </c>
      <c r="U308" s="76"/>
      <c r="V308" s="77"/>
      <c r="W308" s="2"/>
      <c r="X308" s="2"/>
      <c r="Y308" s="2"/>
      <c r="Z308" s="2"/>
    </row>
    <row r="309" hidden="1" outlineLevel="1">
      <c r="A309" s="175"/>
      <c r="B309" s="158"/>
      <c r="C309" s="176" t="s">
        <v>14</v>
      </c>
      <c r="D309" s="177" t="s">
        <v>15</v>
      </c>
      <c r="E309" s="68"/>
      <c r="F309" s="164">
        <v>425.0</v>
      </c>
      <c r="G309" s="171">
        <v>20.0</v>
      </c>
      <c r="H309" s="171">
        <v>17.0</v>
      </c>
      <c r="I309" s="163">
        <f t="shared" si="332"/>
        <v>1.176470588</v>
      </c>
      <c r="J309" s="164">
        <f t="shared" si="333"/>
        <v>25</v>
      </c>
      <c r="K309" s="164">
        <f t="shared" si="334"/>
        <v>21.25</v>
      </c>
      <c r="L309" s="165">
        <v>198.0</v>
      </c>
      <c r="M309" s="155">
        <f t="shared" si="335"/>
        <v>0.101010101</v>
      </c>
      <c r="N309" s="178">
        <v>12.17</v>
      </c>
      <c r="O309" s="178">
        <v>46.24</v>
      </c>
      <c r="P309" s="179">
        <v>2.0</v>
      </c>
      <c r="Q309" s="180">
        <v>7322.0</v>
      </c>
      <c r="R309" s="155">
        <f t="shared" si="1"/>
        <v>0.2631920415</v>
      </c>
      <c r="S309" s="156">
        <f t="shared" si="2"/>
        <v>3.799506984</v>
      </c>
      <c r="T309" s="155">
        <f t="shared" si="336"/>
        <v>0.1088</v>
      </c>
      <c r="U309" s="76"/>
      <c r="V309" s="77"/>
      <c r="W309" s="2"/>
      <c r="X309" s="2"/>
      <c r="Y309" s="2"/>
      <c r="Z309" s="2"/>
    </row>
    <row r="310" hidden="1" outlineLevel="1">
      <c r="A310" s="175"/>
      <c r="B310" s="158"/>
      <c r="C310" s="181" t="s">
        <v>63</v>
      </c>
      <c r="D310" s="182" t="s">
        <v>64</v>
      </c>
      <c r="E310" s="68"/>
      <c r="F310" s="164">
        <v>524.79</v>
      </c>
      <c r="G310" s="171">
        <v>21.0</v>
      </c>
      <c r="H310" s="171">
        <v>20.0</v>
      </c>
      <c r="I310" s="163">
        <f t="shared" si="332"/>
        <v>1.05</v>
      </c>
      <c r="J310" s="164">
        <f t="shared" si="333"/>
        <v>26.2395</v>
      </c>
      <c r="K310" s="164">
        <f t="shared" si="334"/>
        <v>24.99</v>
      </c>
      <c r="L310" s="165">
        <v>443.0</v>
      </c>
      <c r="M310" s="155">
        <f t="shared" si="335"/>
        <v>0.04740406321</v>
      </c>
      <c r="N310" s="183">
        <v>88.48</v>
      </c>
      <c r="O310" s="183">
        <v>131.46</v>
      </c>
      <c r="P310" s="184">
        <v>4.0</v>
      </c>
      <c r="Q310" s="185">
        <v>25283.0</v>
      </c>
      <c r="R310" s="155">
        <f t="shared" si="1"/>
        <v>0.673056443</v>
      </c>
      <c r="S310" s="156">
        <f t="shared" si="2"/>
        <v>1.485759494</v>
      </c>
      <c r="T310" s="155">
        <f t="shared" si="336"/>
        <v>0.2505002001</v>
      </c>
      <c r="U310" s="76"/>
      <c r="V310" s="77"/>
      <c r="W310" s="2"/>
      <c r="X310" s="2"/>
      <c r="Y310" s="2"/>
      <c r="Z310" s="2"/>
    </row>
    <row r="311" hidden="1" outlineLevel="1">
      <c r="A311" s="56" t="str">
        <f>iferror(if(B311&gt;0,month(B311)&amp;"-"&amp;year(B311),B311),)</f>
        <v>11-2025</v>
      </c>
      <c r="B311" s="143">
        <v>45983.0</v>
      </c>
      <c r="C311" s="186" t="s">
        <v>65</v>
      </c>
      <c r="D311" s="187" t="s">
        <v>66</v>
      </c>
      <c r="E311" s="68"/>
      <c r="F311" s="164">
        <v>2231.28</v>
      </c>
      <c r="G311" s="171">
        <v>72.0</v>
      </c>
      <c r="H311" s="171">
        <v>66.0</v>
      </c>
      <c r="I311" s="163">
        <f t="shared" si="332"/>
        <v>1.090909091</v>
      </c>
      <c r="J311" s="164">
        <f t="shared" si="333"/>
        <v>33.80727273</v>
      </c>
      <c r="K311" s="164">
        <f t="shared" si="334"/>
        <v>30.99</v>
      </c>
      <c r="L311" s="165">
        <v>1009.0</v>
      </c>
      <c r="M311" s="155">
        <f t="shared" si="335"/>
        <v>0.07135777998</v>
      </c>
      <c r="N311" s="188">
        <v>48.29</v>
      </c>
      <c r="O311" s="188">
        <v>92.97</v>
      </c>
      <c r="P311" s="189">
        <v>3.0</v>
      </c>
      <c r="Q311" s="189">
        <v>11754.0</v>
      </c>
      <c r="R311" s="155">
        <f t="shared" si="1"/>
        <v>0.519414865</v>
      </c>
      <c r="S311" s="156">
        <f t="shared" si="2"/>
        <v>1.925243322</v>
      </c>
      <c r="T311" s="155">
        <f t="shared" si="336"/>
        <v>0.04166666667</v>
      </c>
      <c r="U311" s="76"/>
      <c r="V311" s="77"/>
      <c r="W311" s="2"/>
      <c r="X311" s="2"/>
      <c r="Y311" s="2"/>
      <c r="Z311" s="2"/>
    </row>
    <row r="312" collapsed="1">
      <c r="A312" s="78" t="s">
        <v>114</v>
      </c>
      <c r="B312" s="79"/>
      <c r="C312" s="79"/>
      <c r="D312" s="79"/>
      <c r="E312" s="80"/>
      <c r="F312" s="190">
        <f t="shared" ref="F312:H312" si="337">SUM(F306:F311)</f>
        <v>4317.75</v>
      </c>
      <c r="G312" s="191">
        <f t="shared" si="337"/>
        <v>160</v>
      </c>
      <c r="H312" s="191">
        <f t="shared" si="337"/>
        <v>141</v>
      </c>
      <c r="I312" s="192">
        <f t="shared" si="332"/>
        <v>1.134751773</v>
      </c>
      <c r="J312" s="193">
        <f>F312/G312</f>
        <v>26.9859375</v>
      </c>
      <c r="K312" s="193">
        <f>J312/I312</f>
        <v>23.78135742</v>
      </c>
      <c r="L312" s="194">
        <f>SUM(L306:L311)</f>
        <v>2217</v>
      </c>
      <c r="M312" s="195">
        <f t="shared" si="335"/>
        <v>0.07216959856</v>
      </c>
      <c r="N312" s="190">
        <f t="shared" ref="N312:P312" si="338">SUM(N306:N311)</f>
        <v>1382.4</v>
      </c>
      <c r="O312" s="190">
        <f t="shared" si="338"/>
        <v>2757.17</v>
      </c>
      <c r="P312" s="196">
        <f t="shared" si="338"/>
        <v>90</v>
      </c>
      <c r="Q312" s="197">
        <f>sum(Q306:Q311)</f>
        <v>300173</v>
      </c>
      <c r="R312" s="195">
        <f t="shared" si="1"/>
        <v>0.5013836651</v>
      </c>
      <c r="S312" s="198">
        <f t="shared" si="2"/>
        <v>1.994480613</v>
      </c>
      <c r="T312" s="199">
        <f t="shared" si="336"/>
        <v>0.638566383</v>
      </c>
      <c r="U312" s="80" t="str">
        <f>iferror((F312-#REF!)/F312,)</f>
        <v/>
      </c>
      <c r="V312" s="90" t="str">
        <f>iferror((H312-#REF!)/H312,)</f>
        <v/>
      </c>
      <c r="W312" s="2"/>
      <c r="X312" s="2"/>
      <c r="Y312" s="2"/>
      <c r="Z312" s="2"/>
    </row>
    <row r="313" hidden="1" outlineLevel="1">
      <c r="A313" s="56" t="str">
        <f>iferror(if(B313&gt;0,month(B313)&amp;"-"&amp;year(B313),B313),)</f>
        <v>11-2025</v>
      </c>
      <c r="B313" s="143">
        <v>45984.0</v>
      </c>
      <c r="C313" s="144"/>
      <c r="D313" s="145" t="s">
        <v>60</v>
      </c>
      <c r="E313" s="58"/>
      <c r="F313" s="146"/>
      <c r="G313" s="147"/>
      <c r="H313" s="147"/>
      <c r="I313" s="148"/>
      <c r="J313" s="149"/>
      <c r="K313" s="149"/>
      <c r="L313" s="150"/>
      <c r="M313" s="151"/>
      <c r="N313" s="152">
        <v>1424.14</v>
      </c>
      <c r="O313" s="152">
        <v>3550.22</v>
      </c>
      <c r="P313" s="153">
        <v>121.0</v>
      </c>
      <c r="Q313" s="154">
        <v>318952.0</v>
      </c>
      <c r="R313" s="155">
        <f t="shared" si="1"/>
        <v>0.4011413377</v>
      </c>
      <c r="S313" s="156">
        <f t="shared" si="2"/>
        <v>2.492886935</v>
      </c>
      <c r="T313" s="155" t="str">
        <f t="shared" si="336"/>
        <v>#DIV/0!</v>
      </c>
      <c r="U313" s="76"/>
      <c r="V313" s="77"/>
      <c r="W313" s="2"/>
      <c r="X313" s="2"/>
      <c r="Y313" s="2"/>
      <c r="Z313" s="2"/>
    </row>
    <row r="314" hidden="1" outlineLevel="1">
      <c r="A314" s="157"/>
      <c r="B314" s="158"/>
      <c r="C314" s="159" t="s">
        <v>12</v>
      </c>
      <c r="D314" s="160" t="s">
        <v>13</v>
      </c>
      <c r="E314" s="58"/>
      <c r="F314" s="161">
        <v>234.0</v>
      </c>
      <c r="G314" s="162">
        <v>12.0</v>
      </c>
      <c r="H314" s="162">
        <v>10.0</v>
      </c>
      <c r="I314" s="163">
        <f t="shared" ref="I314:I319" si="339">G314/H314</f>
        <v>1.2</v>
      </c>
      <c r="J314" s="164">
        <f t="shared" ref="J314:J318" si="340">F314/H314</f>
        <v>23.4</v>
      </c>
      <c r="K314" s="164">
        <f t="shared" ref="K314:K318" si="341">F314/G314</f>
        <v>19.5</v>
      </c>
      <c r="L314" s="165">
        <v>232.0</v>
      </c>
      <c r="M314" s="155">
        <f t="shared" ref="M314:M319" si="342">G314/L314</f>
        <v>0.05172413793</v>
      </c>
      <c r="N314" s="166">
        <v>13.65</v>
      </c>
      <c r="O314" s="166">
        <v>0.0</v>
      </c>
      <c r="P314" s="167">
        <v>0.0</v>
      </c>
      <c r="Q314" s="168">
        <v>2967.0</v>
      </c>
      <c r="R314" s="155" t="str">
        <f t="shared" si="1"/>
        <v>#DIV/0!</v>
      </c>
      <c r="S314" s="156">
        <f t="shared" si="2"/>
        <v>0</v>
      </c>
      <c r="T314" s="155" t="str">
        <f>#REF!/#REF!</f>
        <v>#REF!</v>
      </c>
      <c r="U314" s="76"/>
      <c r="V314" s="77"/>
      <c r="W314" s="2"/>
      <c r="X314" s="2"/>
      <c r="Y314" s="2"/>
      <c r="Z314" s="2"/>
    </row>
    <row r="315" hidden="1" outlineLevel="1">
      <c r="A315" s="157" t="str">
        <f>iferror(if(D315&gt;0,month(D315)&amp;"-"&amp;year(D315),D315),)</f>
        <v/>
      </c>
      <c r="B315" s="158"/>
      <c r="C315" s="169" t="s">
        <v>61</v>
      </c>
      <c r="D315" s="170" t="s">
        <v>62</v>
      </c>
      <c r="E315" s="68"/>
      <c r="F315" s="164">
        <v>701.74</v>
      </c>
      <c r="G315" s="171">
        <v>26.0</v>
      </c>
      <c r="H315" s="171">
        <v>25.0</v>
      </c>
      <c r="I315" s="163">
        <f t="shared" si="339"/>
        <v>1.04</v>
      </c>
      <c r="J315" s="164">
        <f t="shared" si="340"/>
        <v>28.0696</v>
      </c>
      <c r="K315" s="164">
        <f t="shared" si="341"/>
        <v>26.99</v>
      </c>
      <c r="L315" s="165">
        <v>364.0</v>
      </c>
      <c r="M315" s="155">
        <f t="shared" si="342"/>
        <v>0.07142857143</v>
      </c>
      <c r="N315" s="172">
        <v>109.01</v>
      </c>
      <c r="O315" s="172">
        <v>230.18</v>
      </c>
      <c r="P315" s="173">
        <v>7.0</v>
      </c>
      <c r="Q315" s="174">
        <v>19406.0</v>
      </c>
      <c r="R315" s="155">
        <f t="shared" si="1"/>
        <v>0.4735858893</v>
      </c>
      <c r="S315" s="156">
        <f t="shared" si="2"/>
        <v>2.111549399</v>
      </c>
      <c r="T315" s="155">
        <f t="shared" ref="T315:T320" si="343">O315/F315</f>
        <v>0.3280132243</v>
      </c>
      <c r="U315" s="76"/>
      <c r="V315" s="77"/>
      <c r="W315" s="2"/>
      <c r="X315" s="2"/>
      <c r="Y315" s="2"/>
      <c r="Z315" s="2"/>
    </row>
    <row r="316" hidden="1" outlineLevel="1">
      <c r="A316" s="175"/>
      <c r="B316" s="158"/>
      <c r="C316" s="176" t="s">
        <v>14</v>
      </c>
      <c r="D316" s="177" t="s">
        <v>15</v>
      </c>
      <c r="E316" s="68"/>
      <c r="F316" s="164">
        <v>382.5</v>
      </c>
      <c r="G316" s="171">
        <v>18.0</v>
      </c>
      <c r="H316" s="171">
        <v>16.0</v>
      </c>
      <c r="I316" s="163">
        <f t="shared" si="339"/>
        <v>1.125</v>
      </c>
      <c r="J316" s="164">
        <f t="shared" si="340"/>
        <v>23.90625</v>
      </c>
      <c r="K316" s="164">
        <f t="shared" si="341"/>
        <v>21.25</v>
      </c>
      <c r="L316" s="165">
        <v>250.0</v>
      </c>
      <c r="M316" s="155">
        <f t="shared" si="342"/>
        <v>0.072</v>
      </c>
      <c r="N316" s="178">
        <v>21.94</v>
      </c>
      <c r="O316" s="178">
        <v>83.74</v>
      </c>
      <c r="P316" s="179">
        <v>3.0</v>
      </c>
      <c r="Q316" s="180">
        <v>7248.0</v>
      </c>
      <c r="R316" s="155">
        <f t="shared" si="1"/>
        <v>0.262001433</v>
      </c>
      <c r="S316" s="156">
        <f t="shared" si="2"/>
        <v>3.816773017</v>
      </c>
      <c r="T316" s="155">
        <f t="shared" si="343"/>
        <v>0.2189281046</v>
      </c>
      <c r="U316" s="76"/>
      <c r="V316" s="77"/>
      <c r="W316" s="2"/>
      <c r="X316" s="2"/>
      <c r="Y316" s="2"/>
      <c r="Z316" s="2"/>
    </row>
    <row r="317" hidden="1" outlineLevel="1">
      <c r="A317" s="175"/>
      <c r="B317" s="158"/>
      <c r="C317" s="181" t="s">
        <v>63</v>
      </c>
      <c r="D317" s="182" t="s">
        <v>64</v>
      </c>
      <c r="E317" s="68"/>
      <c r="F317" s="164">
        <v>549.78</v>
      </c>
      <c r="G317" s="171">
        <v>22.0</v>
      </c>
      <c r="H317" s="171">
        <v>20.0</v>
      </c>
      <c r="I317" s="163">
        <f t="shared" si="339"/>
        <v>1.1</v>
      </c>
      <c r="J317" s="164">
        <f t="shared" si="340"/>
        <v>27.489</v>
      </c>
      <c r="K317" s="164">
        <f t="shared" si="341"/>
        <v>24.99</v>
      </c>
      <c r="L317" s="165">
        <v>445.0</v>
      </c>
      <c r="M317" s="155">
        <f t="shared" si="342"/>
        <v>0.04943820225</v>
      </c>
      <c r="N317" s="183">
        <v>69.65</v>
      </c>
      <c r="O317" s="183">
        <v>176.93</v>
      </c>
      <c r="P317" s="184">
        <v>6.0</v>
      </c>
      <c r="Q317" s="185">
        <v>29802.0</v>
      </c>
      <c r="R317" s="155">
        <f t="shared" si="1"/>
        <v>0.393658509</v>
      </c>
      <c r="S317" s="156">
        <f t="shared" si="2"/>
        <v>2.540272793</v>
      </c>
      <c r="T317" s="155">
        <f t="shared" si="343"/>
        <v>0.3218196369</v>
      </c>
      <c r="U317" s="76"/>
      <c r="V317" s="77"/>
      <c r="W317" s="2"/>
      <c r="X317" s="2"/>
      <c r="Y317" s="2"/>
      <c r="Z317" s="2"/>
    </row>
    <row r="318" hidden="1" outlineLevel="1">
      <c r="A318" s="56" t="str">
        <f>iferror(if(B318&gt;0,month(B318)&amp;"-"&amp;year(B318),B318),)</f>
        <v>11-2025</v>
      </c>
      <c r="B318" s="143">
        <v>45990.0</v>
      </c>
      <c r="C318" s="186" t="s">
        <v>65</v>
      </c>
      <c r="D318" s="187" t="s">
        <v>66</v>
      </c>
      <c r="E318" s="68"/>
      <c r="F318" s="164">
        <v>3470.88</v>
      </c>
      <c r="G318" s="171">
        <v>112.0</v>
      </c>
      <c r="H318" s="171">
        <v>103.0</v>
      </c>
      <c r="I318" s="163">
        <f t="shared" si="339"/>
        <v>1.087378641</v>
      </c>
      <c r="J318" s="164">
        <f t="shared" si="340"/>
        <v>33.69786408</v>
      </c>
      <c r="K318" s="164">
        <f t="shared" si="341"/>
        <v>30.99</v>
      </c>
      <c r="L318" s="165">
        <v>1250.0</v>
      </c>
      <c r="M318" s="155">
        <f t="shared" si="342"/>
        <v>0.0896</v>
      </c>
      <c r="N318" s="188">
        <v>29.3</v>
      </c>
      <c r="O318" s="188">
        <v>61.98</v>
      </c>
      <c r="P318" s="189">
        <v>2.0</v>
      </c>
      <c r="Q318" s="189">
        <v>7567.0</v>
      </c>
      <c r="R318" s="155">
        <f t="shared" si="1"/>
        <v>0.4727331397</v>
      </c>
      <c r="S318" s="156">
        <f t="shared" si="2"/>
        <v>2.115358362</v>
      </c>
      <c r="T318" s="155">
        <f t="shared" si="343"/>
        <v>0.01785714286</v>
      </c>
      <c r="U318" s="76"/>
      <c r="V318" s="77"/>
      <c r="W318" s="2"/>
      <c r="X318" s="2"/>
      <c r="Y318" s="2"/>
      <c r="Z318" s="2"/>
    </row>
    <row r="319" collapsed="1">
      <c r="A319" s="78" t="s">
        <v>115</v>
      </c>
      <c r="B319" s="79"/>
      <c r="C319" s="79"/>
      <c r="D319" s="79"/>
      <c r="E319" s="80"/>
      <c r="F319" s="190">
        <f t="shared" ref="F319:H319" si="344">SUM(F313:F318)</f>
        <v>5338.9</v>
      </c>
      <c r="G319" s="191">
        <f t="shared" si="344"/>
        <v>190</v>
      </c>
      <c r="H319" s="191">
        <f t="shared" si="344"/>
        <v>174</v>
      </c>
      <c r="I319" s="192">
        <f t="shared" si="339"/>
        <v>1.091954023</v>
      </c>
      <c r="J319" s="193">
        <f>F319/G319</f>
        <v>28.09947368</v>
      </c>
      <c r="K319" s="193">
        <f>J319/I319</f>
        <v>25.73320222</v>
      </c>
      <c r="L319" s="194">
        <f>SUM(L313:L318)</f>
        <v>2541</v>
      </c>
      <c r="M319" s="195">
        <f t="shared" si="342"/>
        <v>0.07477371114</v>
      </c>
      <c r="N319" s="190">
        <f t="shared" ref="N319:P319" si="345">SUM(N313:N318)</f>
        <v>1667.69</v>
      </c>
      <c r="O319" s="190">
        <f t="shared" si="345"/>
        <v>4103.05</v>
      </c>
      <c r="P319" s="196">
        <f t="shared" si="345"/>
        <v>139</v>
      </c>
      <c r="Q319" s="197">
        <f>sum(Q313:Q318)</f>
        <v>385942</v>
      </c>
      <c r="R319" s="195">
        <f t="shared" si="1"/>
        <v>0.4064512984</v>
      </c>
      <c r="S319" s="198">
        <f t="shared" si="2"/>
        <v>2.460319364</v>
      </c>
      <c r="T319" s="199">
        <f t="shared" si="343"/>
        <v>0.7685197325</v>
      </c>
      <c r="U319" s="80" t="str">
        <f>iferror((F319-#REF!)/F319,)</f>
        <v/>
      </c>
      <c r="V319" s="90" t="str">
        <f>iferror((H319-#REF!)/H319,)</f>
        <v/>
      </c>
      <c r="W319" s="2"/>
      <c r="X319" s="2"/>
      <c r="Y319" s="2"/>
      <c r="Z319" s="2"/>
    </row>
    <row r="320" hidden="1" outlineLevel="1">
      <c r="A320" s="56" t="str">
        <f>iferror(if(B320&gt;0,month(B320)&amp;"-"&amp;year(B320),B320),)</f>
        <v>11-2025</v>
      </c>
      <c r="B320" s="143">
        <v>45991.0</v>
      </c>
      <c r="C320" s="144"/>
      <c r="D320" s="145" t="s">
        <v>60</v>
      </c>
      <c r="E320" s="58"/>
      <c r="F320" s="146"/>
      <c r="G320" s="147"/>
      <c r="H320" s="147"/>
      <c r="I320" s="148"/>
      <c r="J320" s="149"/>
      <c r="K320" s="149"/>
      <c r="L320" s="150"/>
      <c r="M320" s="151"/>
      <c r="N320" s="152">
        <v>1430.5</v>
      </c>
      <c r="O320" s="152">
        <v>3646.61</v>
      </c>
      <c r="P320" s="153">
        <v>117.0</v>
      </c>
      <c r="Q320" s="154">
        <v>287203.0</v>
      </c>
      <c r="R320" s="155">
        <f t="shared" si="1"/>
        <v>0.392282147</v>
      </c>
      <c r="S320" s="156">
        <f t="shared" si="2"/>
        <v>2.549185599</v>
      </c>
      <c r="T320" s="155" t="str">
        <f t="shared" si="343"/>
        <v>#DIV/0!</v>
      </c>
      <c r="U320" s="76"/>
      <c r="V320" s="77"/>
      <c r="W320" s="2"/>
      <c r="X320" s="2"/>
      <c r="Y320" s="2"/>
      <c r="Z320" s="2"/>
    </row>
    <row r="321" hidden="1" outlineLevel="1">
      <c r="A321" s="157"/>
      <c r="B321" s="158"/>
      <c r="C321" s="159" t="s">
        <v>12</v>
      </c>
      <c r="D321" s="160" t="s">
        <v>13</v>
      </c>
      <c r="E321" s="58"/>
      <c r="F321" s="161">
        <v>331.5</v>
      </c>
      <c r="G321" s="162">
        <v>17.0</v>
      </c>
      <c r="H321" s="162">
        <v>15.0</v>
      </c>
      <c r="I321" s="163">
        <f t="shared" ref="I321:I326" si="346">G321/H321</f>
        <v>1.133333333</v>
      </c>
      <c r="J321" s="164">
        <f t="shared" ref="J321:J325" si="347">F321/H321</f>
        <v>22.1</v>
      </c>
      <c r="K321" s="164">
        <f t="shared" ref="K321:K325" si="348">F321/G321</f>
        <v>19.5</v>
      </c>
      <c r="L321" s="165">
        <v>253.0</v>
      </c>
      <c r="M321" s="155">
        <f t="shared" ref="M321:M326" si="349">G321/L321</f>
        <v>0.06719367589</v>
      </c>
      <c r="N321" s="166">
        <v>10.06</v>
      </c>
      <c r="O321" s="166">
        <v>0.0</v>
      </c>
      <c r="P321" s="167">
        <v>0.0</v>
      </c>
      <c r="Q321" s="168">
        <v>3615.0</v>
      </c>
      <c r="R321" s="155" t="str">
        <f t="shared" si="1"/>
        <v>#DIV/0!</v>
      </c>
      <c r="S321" s="156">
        <f t="shared" si="2"/>
        <v>0</v>
      </c>
      <c r="T321" s="155" t="str">
        <f>#REF!/#REF!</f>
        <v>#REF!</v>
      </c>
      <c r="U321" s="76"/>
      <c r="V321" s="77"/>
      <c r="W321" s="2"/>
      <c r="X321" s="2"/>
      <c r="Y321" s="2"/>
      <c r="Z321" s="2"/>
    </row>
    <row r="322" hidden="1" outlineLevel="1">
      <c r="A322" s="157" t="str">
        <f>iferror(if(D322&gt;0,month(D322)&amp;"-"&amp;year(D322),D322),)</f>
        <v/>
      </c>
      <c r="B322" s="158"/>
      <c r="C322" s="169" t="s">
        <v>61</v>
      </c>
      <c r="D322" s="170" t="s">
        <v>62</v>
      </c>
      <c r="E322" s="68"/>
      <c r="F322" s="164">
        <v>836.69</v>
      </c>
      <c r="G322" s="171">
        <v>31.0</v>
      </c>
      <c r="H322" s="171">
        <v>28.0</v>
      </c>
      <c r="I322" s="163">
        <f t="shared" si="346"/>
        <v>1.107142857</v>
      </c>
      <c r="J322" s="164">
        <f t="shared" si="347"/>
        <v>29.88178571</v>
      </c>
      <c r="K322" s="164">
        <f t="shared" si="348"/>
        <v>26.99</v>
      </c>
      <c r="L322" s="165">
        <v>373.0</v>
      </c>
      <c r="M322" s="155">
        <f t="shared" si="349"/>
        <v>0.08310991957</v>
      </c>
      <c r="N322" s="172">
        <v>87.17</v>
      </c>
      <c r="O322" s="172">
        <v>181.94</v>
      </c>
      <c r="P322" s="173">
        <v>6.0</v>
      </c>
      <c r="Q322" s="174">
        <v>16250.0</v>
      </c>
      <c r="R322" s="155">
        <f t="shared" si="1"/>
        <v>0.4791139936</v>
      </c>
      <c r="S322" s="156">
        <f t="shared" si="2"/>
        <v>2.087185958</v>
      </c>
      <c r="T322" s="155">
        <f t="shared" ref="T322:T327" si="350">O322/F322</f>
        <v>0.2174521029</v>
      </c>
      <c r="U322" s="76"/>
      <c r="V322" s="77"/>
      <c r="W322" s="2"/>
      <c r="X322" s="2"/>
      <c r="Y322" s="2"/>
      <c r="Z322" s="2"/>
    </row>
    <row r="323" hidden="1" outlineLevel="1">
      <c r="A323" s="175"/>
      <c r="B323" s="158"/>
      <c r="C323" s="176" t="s">
        <v>14</v>
      </c>
      <c r="D323" s="177" t="s">
        <v>15</v>
      </c>
      <c r="E323" s="68"/>
      <c r="F323" s="164">
        <v>255.0</v>
      </c>
      <c r="G323" s="171">
        <v>12.0</v>
      </c>
      <c r="H323" s="171">
        <v>11.0</v>
      </c>
      <c r="I323" s="163">
        <f t="shared" si="346"/>
        <v>1.090909091</v>
      </c>
      <c r="J323" s="164">
        <f t="shared" si="347"/>
        <v>23.18181818</v>
      </c>
      <c r="K323" s="164">
        <f t="shared" si="348"/>
        <v>21.25</v>
      </c>
      <c r="L323" s="165">
        <v>290.0</v>
      </c>
      <c r="M323" s="155">
        <f t="shared" si="349"/>
        <v>0.04137931034</v>
      </c>
      <c r="N323" s="178">
        <v>25.24</v>
      </c>
      <c r="O323" s="178">
        <v>21.25</v>
      </c>
      <c r="P323" s="179">
        <v>1.0</v>
      </c>
      <c r="Q323" s="180">
        <v>9667.0</v>
      </c>
      <c r="R323" s="155">
        <f t="shared" si="1"/>
        <v>1.187764706</v>
      </c>
      <c r="S323" s="156">
        <f t="shared" si="2"/>
        <v>0.8419175911</v>
      </c>
      <c r="T323" s="155">
        <f t="shared" si="350"/>
        <v>0.08333333333</v>
      </c>
      <c r="U323" s="76"/>
      <c r="V323" s="77"/>
      <c r="W323" s="2"/>
      <c r="X323" s="2"/>
      <c r="Y323" s="2"/>
      <c r="Z323" s="2"/>
    </row>
    <row r="324" hidden="1" outlineLevel="1">
      <c r="A324" s="175"/>
      <c r="B324" s="158"/>
      <c r="C324" s="181" t="s">
        <v>63</v>
      </c>
      <c r="D324" s="182" t="s">
        <v>64</v>
      </c>
      <c r="E324" s="68"/>
      <c r="F324" s="164">
        <v>1099.56</v>
      </c>
      <c r="G324" s="171">
        <v>45.0</v>
      </c>
      <c r="H324" s="171">
        <v>35.0</v>
      </c>
      <c r="I324" s="163">
        <f t="shared" si="346"/>
        <v>1.285714286</v>
      </c>
      <c r="J324" s="164">
        <f t="shared" si="347"/>
        <v>31.416</v>
      </c>
      <c r="K324" s="164">
        <f t="shared" si="348"/>
        <v>24.43466667</v>
      </c>
      <c r="L324" s="165">
        <v>463.0</v>
      </c>
      <c r="M324" s="155">
        <f t="shared" si="349"/>
        <v>0.09719222462</v>
      </c>
      <c r="N324" s="183">
        <v>68.49</v>
      </c>
      <c r="O324" s="183">
        <v>165.95</v>
      </c>
      <c r="P324" s="184">
        <v>7.0</v>
      </c>
      <c r="Q324" s="185">
        <v>23366.0</v>
      </c>
      <c r="R324" s="155">
        <f t="shared" si="1"/>
        <v>0.4127146731</v>
      </c>
      <c r="S324" s="156">
        <f t="shared" si="2"/>
        <v>2.422981457</v>
      </c>
      <c r="T324" s="155">
        <f t="shared" si="350"/>
        <v>0.150924006</v>
      </c>
      <c r="U324" s="76"/>
      <c r="V324" s="77"/>
      <c r="W324" s="2"/>
      <c r="X324" s="2"/>
      <c r="Y324" s="2"/>
      <c r="Z324" s="2"/>
    </row>
    <row r="325" hidden="1" outlineLevel="1">
      <c r="A325" s="56" t="str">
        <f>iferror(if(B325&gt;0,month(B325)&amp;"-"&amp;year(B325),B325),)</f>
        <v>12-2025</v>
      </c>
      <c r="B325" s="143">
        <v>45997.0</v>
      </c>
      <c r="C325" s="186" t="s">
        <v>65</v>
      </c>
      <c r="D325" s="187" t="s">
        <v>66</v>
      </c>
      <c r="E325" s="68"/>
      <c r="F325" s="164">
        <v>3222.96</v>
      </c>
      <c r="G325" s="171">
        <v>104.0</v>
      </c>
      <c r="H325" s="171">
        <v>96.0</v>
      </c>
      <c r="I325" s="163">
        <f t="shared" si="346"/>
        <v>1.083333333</v>
      </c>
      <c r="J325" s="164">
        <f t="shared" si="347"/>
        <v>33.5725</v>
      </c>
      <c r="K325" s="164">
        <f t="shared" si="348"/>
        <v>30.99</v>
      </c>
      <c r="L325" s="165">
        <v>1080.0</v>
      </c>
      <c r="M325" s="155">
        <f t="shared" si="349"/>
        <v>0.0962962963</v>
      </c>
      <c r="N325" s="188">
        <v>27.56</v>
      </c>
      <c r="O325" s="188">
        <v>0.0</v>
      </c>
      <c r="P325" s="189">
        <v>0.0</v>
      </c>
      <c r="Q325" s="189">
        <v>6935.0</v>
      </c>
      <c r="R325" s="155" t="str">
        <f t="shared" si="1"/>
        <v>#DIV/0!</v>
      </c>
      <c r="S325" s="156">
        <f t="shared" si="2"/>
        <v>0</v>
      </c>
      <c r="T325" s="155">
        <f t="shared" si="350"/>
        <v>0</v>
      </c>
      <c r="U325" s="76"/>
      <c r="V325" s="77"/>
      <c r="W325" s="2"/>
      <c r="X325" s="2"/>
      <c r="Y325" s="2"/>
      <c r="Z325" s="2"/>
    </row>
    <row r="326" collapsed="1">
      <c r="A326" s="78" t="s">
        <v>116</v>
      </c>
      <c r="B326" s="79"/>
      <c r="C326" s="79"/>
      <c r="D326" s="79"/>
      <c r="E326" s="80"/>
      <c r="F326" s="190">
        <f t="shared" ref="F326:H326" si="351">SUM(F320:F325)</f>
        <v>5745.71</v>
      </c>
      <c r="G326" s="191">
        <f t="shared" si="351"/>
        <v>209</v>
      </c>
      <c r="H326" s="191">
        <f t="shared" si="351"/>
        <v>185</v>
      </c>
      <c r="I326" s="192">
        <f t="shared" si="346"/>
        <v>1.12972973</v>
      </c>
      <c r="J326" s="193">
        <f>F326/G326</f>
        <v>27.49143541</v>
      </c>
      <c r="K326" s="193">
        <f>J326/I326</f>
        <v>24.33452416</v>
      </c>
      <c r="L326" s="194">
        <f>SUM(L320:L325)</f>
        <v>2459</v>
      </c>
      <c r="M326" s="195">
        <f t="shared" si="349"/>
        <v>0.08499389996</v>
      </c>
      <c r="N326" s="190">
        <f t="shared" ref="N326:P326" si="352">SUM(N320:N325)</f>
        <v>1649.02</v>
      </c>
      <c r="O326" s="190">
        <f t="shared" si="352"/>
        <v>4015.75</v>
      </c>
      <c r="P326" s="196">
        <f t="shared" si="352"/>
        <v>131</v>
      </c>
      <c r="Q326" s="197">
        <f>sum(Q320:Q325)</f>
        <v>347036</v>
      </c>
      <c r="R326" s="195">
        <f t="shared" si="1"/>
        <v>0.4106381124</v>
      </c>
      <c r="S326" s="198">
        <f t="shared" si="2"/>
        <v>2.43523426</v>
      </c>
      <c r="T326" s="199">
        <f t="shared" si="350"/>
        <v>0.698912754</v>
      </c>
      <c r="U326" s="80" t="str">
        <f>iferror((F326-#REF!)/F326,)</f>
        <v/>
      </c>
      <c r="V326" s="90" t="str">
        <f>iferror((H326-#REF!)/H326,)</f>
        <v/>
      </c>
      <c r="W326" s="2"/>
      <c r="X326" s="2"/>
      <c r="Y326" s="2"/>
      <c r="Z326" s="2"/>
    </row>
    <row r="327" hidden="1" outlineLevel="1">
      <c r="A327" s="56" t="str">
        <f>iferror(if(B327&gt;0,month(B327)&amp;"-"&amp;year(B327),B327),)</f>
        <v>12-2025</v>
      </c>
      <c r="B327" s="143">
        <v>45998.0</v>
      </c>
      <c r="C327" s="144"/>
      <c r="D327" s="145" t="s">
        <v>60</v>
      </c>
      <c r="E327" s="58"/>
      <c r="F327" s="146"/>
      <c r="G327" s="147"/>
      <c r="H327" s="147"/>
      <c r="I327" s="148"/>
      <c r="J327" s="149"/>
      <c r="K327" s="149"/>
      <c r="L327" s="150"/>
      <c r="M327" s="151"/>
      <c r="N327" s="152">
        <v>1236.01</v>
      </c>
      <c r="O327" s="152">
        <v>3508.16</v>
      </c>
      <c r="P327" s="153">
        <v>103.0</v>
      </c>
      <c r="Q327" s="154">
        <v>257963.0</v>
      </c>
      <c r="R327" s="155">
        <f t="shared" si="1"/>
        <v>0.3523242954</v>
      </c>
      <c r="S327" s="156">
        <f t="shared" si="2"/>
        <v>2.838294189</v>
      </c>
      <c r="T327" s="155" t="str">
        <f t="shared" si="350"/>
        <v>#DIV/0!</v>
      </c>
      <c r="U327" s="76"/>
      <c r="V327" s="77"/>
      <c r="W327" s="2"/>
      <c r="X327" s="2"/>
      <c r="Y327" s="2"/>
      <c r="Z327" s="2"/>
    </row>
    <row r="328" hidden="1" outlineLevel="1">
      <c r="A328" s="157"/>
      <c r="B328" s="158"/>
      <c r="C328" s="159" t="s">
        <v>12</v>
      </c>
      <c r="D328" s="160" t="s">
        <v>13</v>
      </c>
      <c r="E328" s="58"/>
      <c r="F328" s="161">
        <v>175.5</v>
      </c>
      <c r="G328" s="162">
        <v>9.0</v>
      </c>
      <c r="H328" s="162">
        <v>9.0</v>
      </c>
      <c r="I328" s="163">
        <f t="shared" ref="I328:I333" si="353">G328/H328</f>
        <v>1</v>
      </c>
      <c r="J328" s="164">
        <f t="shared" ref="J328:J332" si="354">F328/H328</f>
        <v>19.5</v>
      </c>
      <c r="K328" s="164">
        <v>173.0</v>
      </c>
      <c r="L328" s="165">
        <v>253.0</v>
      </c>
      <c r="M328" s="155">
        <f t="shared" ref="M328:M333" si="355">G328/L328</f>
        <v>0.03557312253</v>
      </c>
      <c r="N328" s="166">
        <v>0.41</v>
      </c>
      <c r="O328" s="166">
        <v>0.0</v>
      </c>
      <c r="P328" s="167">
        <v>0.0</v>
      </c>
      <c r="Q328" s="168">
        <v>991.0</v>
      </c>
      <c r="R328" s="155" t="str">
        <f t="shared" si="1"/>
        <v>#DIV/0!</v>
      </c>
      <c r="S328" s="156">
        <f t="shared" si="2"/>
        <v>0</v>
      </c>
      <c r="T328" s="155" t="str">
        <f>#REF!/#REF!</f>
        <v>#REF!</v>
      </c>
      <c r="U328" s="76"/>
      <c r="V328" s="77"/>
      <c r="W328" s="2"/>
      <c r="X328" s="2"/>
      <c r="Y328" s="2"/>
      <c r="Z328" s="2"/>
    </row>
    <row r="329" hidden="1" outlineLevel="1">
      <c r="A329" s="157" t="str">
        <f>iferror(if(D329&gt;0,month(D329)&amp;"-"&amp;year(D329),D329),)</f>
        <v/>
      </c>
      <c r="B329" s="158"/>
      <c r="C329" s="169" t="s">
        <v>61</v>
      </c>
      <c r="D329" s="170" t="s">
        <v>62</v>
      </c>
      <c r="E329" s="68"/>
      <c r="F329" s="164">
        <v>836.69</v>
      </c>
      <c r="G329" s="171">
        <v>31.0</v>
      </c>
      <c r="H329" s="171">
        <v>28.0</v>
      </c>
      <c r="I329" s="163">
        <f t="shared" si="353"/>
        <v>1.107142857</v>
      </c>
      <c r="J329" s="164">
        <f t="shared" si="354"/>
        <v>29.88178571</v>
      </c>
      <c r="K329" s="164">
        <f t="shared" ref="K329:K332" si="356">F329/G329</f>
        <v>26.99</v>
      </c>
      <c r="L329" s="165">
        <v>318.0</v>
      </c>
      <c r="M329" s="155">
        <f t="shared" si="355"/>
        <v>0.09748427673</v>
      </c>
      <c r="N329" s="172">
        <v>115.47</v>
      </c>
      <c r="O329" s="172">
        <v>498.83</v>
      </c>
      <c r="P329" s="173">
        <v>15.0</v>
      </c>
      <c r="Q329" s="174">
        <v>20889.0</v>
      </c>
      <c r="R329" s="155">
        <f t="shared" si="1"/>
        <v>0.2314816671</v>
      </c>
      <c r="S329" s="156">
        <f t="shared" si="2"/>
        <v>4.319996536</v>
      </c>
      <c r="T329" s="155">
        <f t="shared" ref="T329:T334" si="357">O329/F329</f>
        <v>0.5961945284</v>
      </c>
      <c r="U329" s="76"/>
      <c r="V329" s="77"/>
      <c r="W329" s="2"/>
      <c r="X329" s="2"/>
      <c r="Y329" s="2"/>
      <c r="Z329" s="2"/>
    </row>
    <row r="330" hidden="1" outlineLevel="1">
      <c r="A330" s="175"/>
      <c r="B330" s="158"/>
      <c r="C330" s="176" t="s">
        <v>14</v>
      </c>
      <c r="D330" s="177" t="s">
        <v>15</v>
      </c>
      <c r="E330" s="68"/>
      <c r="F330" s="164">
        <v>276.25</v>
      </c>
      <c r="G330" s="171">
        <v>13.0</v>
      </c>
      <c r="H330" s="171">
        <v>12.0</v>
      </c>
      <c r="I330" s="163">
        <f t="shared" si="353"/>
        <v>1.083333333</v>
      </c>
      <c r="J330" s="164">
        <f t="shared" si="354"/>
        <v>23.02083333</v>
      </c>
      <c r="K330" s="164">
        <f t="shared" si="356"/>
        <v>21.25</v>
      </c>
      <c r="L330" s="165">
        <v>271.0</v>
      </c>
      <c r="M330" s="155">
        <f t="shared" si="355"/>
        <v>0.0479704797</v>
      </c>
      <c r="N330" s="178">
        <v>10.53</v>
      </c>
      <c r="O330" s="178">
        <v>0.0</v>
      </c>
      <c r="P330" s="179">
        <v>0.0</v>
      </c>
      <c r="Q330" s="180">
        <v>6659.0</v>
      </c>
      <c r="R330" s="155" t="str">
        <f t="shared" si="1"/>
        <v>#DIV/0!</v>
      </c>
      <c r="S330" s="156">
        <f t="shared" si="2"/>
        <v>0</v>
      </c>
      <c r="T330" s="155">
        <f t="shared" si="357"/>
        <v>0</v>
      </c>
      <c r="U330" s="76"/>
      <c r="V330" s="77"/>
      <c r="W330" s="2"/>
      <c r="X330" s="2"/>
      <c r="Y330" s="2"/>
      <c r="Z330" s="2"/>
    </row>
    <row r="331" hidden="1" outlineLevel="1">
      <c r="A331" s="175"/>
      <c r="B331" s="158"/>
      <c r="C331" s="181" t="s">
        <v>63</v>
      </c>
      <c r="D331" s="182" t="s">
        <v>64</v>
      </c>
      <c r="E331" s="68"/>
      <c r="F331" s="164">
        <v>1049.58</v>
      </c>
      <c r="G331" s="171">
        <v>42.0</v>
      </c>
      <c r="H331" s="171">
        <v>23.0</v>
      </c>
      <c r="I331" s="163">
        <f t="shared" si="353"/>
        <v>1.826086957</v>
      </c>
      <c r="J331" s="164">
        <f t="shared" si="354"/>
        <v>45.63391304</v>
      </c>
      <c r="K331" s="164">
        <f t="shared" si="356"/>
        <v>24.99</v>
      </c>
      <c r="L331" s="165">
        <v>373.0</v>
      </c>
      <c r="M331" s="155">
        <f t="shared" si="355"/>
        <v>0.1126005362</v>
      </c>
      <c r="N331" s="183">
        <v>19.02</v>
      </c>
      <c r="O331" s="183">
        <v>24.99</v>
      </c>
      <c r="P331" s="184">
        <v>1.0</v>
      </c>
      <c r="Q331" s="185">
        <v>5898.0</v>
      </c>
      <c r="R331" s="155">
        <f t="shared" si="1"/>
        <v>0.7611044418</v>
      </c>
      <c r="S331" s="156">
        <f t="shared" si="2"/>
        <v>1.313880126</v>
      </c>
      <c r="T331" s="155">
        <f t="shared" si="357"/>
        <v>0.02380952381</v>
      </c>
      <c r="U331" s="76"/>
      <c r="V331" s="77"/>
      <c r="W331" s="2"/>
      <c r="X331" s="2"/>
      <c r="Y331" s="2"/>
      <c r="Z331" s="2"/>
    </row>
    <row r="332" hidden="1" outlineLevel="1">
      <c r="A332" s="56" t="str">
        <f>iferror(if(B332&gt;0,month(B332)&amp;"-"&amp;year(B332),B332),)</f>
        <v>12-2025</v>
      </c>
      <c r="B332" s="143">
        <v>46004.0</v>
      </c>
      <c r="C332" s="186" t="s">
        <v>65</v>
      </c>
      <c r="D332" s="187" t="s">
        <v>66</v>
      </c>
      <c r="E332" s="68"/>
      <c r="F332" s="164">
        <v>3501.87</v>
      </c>
      <c r="G332" s="171">
        <v>113.0</v>
      </c>
      <c r="H332" s="171">
        <v>102.0</v>
      </c>
      <c r="I332" s="163">
        <f t="shared" si="353"/>
        <v>1.107843137</v>
      </c>
      <c r="J332" s="164">
        <f t="shared" si="354"/>
        <v>34.33205882</v>
      </c>
      <c r="K332" s="164">
        <f t="shared" si="356"/>
        <v>30.99</v>
      </c>
      <c r="L332" s="165">
        <v>1102.0</v>
      </c>
      <c r="M332" s="155">
        <f t="shared" si="355"/>
        <v>0.1025408348</v>
      </c>
      <c r="N332" s="188">
        <v>12.27</v>
      </c>
      <c r="O332" s="188">
        <v>0.0</v>
      </c>
      <c r="P332" s="189">
        <v>0.0</v>
      </c>
      <c r="Q332" s="189">
        <v>7654.0</v>
      </c>
      <c r="R332" s="155" t="str">
        <f t="shared" si="1"/>
        <v>#DIV/0!</v>
      </c>
      <c r="S332" s="156">
        <f t="shared" si="2"/>
        <v>0</v>
      </c>
      <c r="T332" s="155">
        <f t="shared" si="357"/>
        <v>0</v>
      </c>
      <c r="U332" s="76"/>
      <c r="V332" s="77"/>
      <c r="W332" s="2"/>
      <c r="X332" s="2"/>
      <c r="Y332" s="2"/>
      <c r="Z332" s="2"/>
    </row>
    <row r="333" collapsed="1">
      <c r="A333" s="78" t="s">
        <v>117</v>
      </c>
      <c r="B333" s="79"/>
      <c r="C333" s="79"/>
      <c r="D333" s="79"/>
      <c r="E333" s="80"/>
      <c r="F333" s="190">
        <f t="shared" ref="F333:H333" si="358">SUM(F327:F332)</f>
        <v>5839.89</v>
      </c>
      <c r="G333" s="191">
        <f t="shared" si="358"/>
        <v>208</v>
      </c>
      <c r="H333" s="191">
        <f t="shared" si="358"/>
        <v>174</v>
      </c>
      <c r="I333" s="192">
        <f t="shared" si="353"/>
        <v>1.195402299</v>
      </c>
      <c r="J333" s="193">
        <f>F333/G333</f>
        <v>28.07639423</v>
      </c>
      <c r="K333" s="193">
        <f>J333/I333</f>
        <v>23.48698364</v>
      </c>
      <c r="L333" s="194">
        <f>SUM(L327:L332)</f>
        <v>2317</v>
      </c>
      <c r="M333" s="195">
        <f t="shared" si="355"/>
        <v>0.08977125593</v>
      </c>
      <c r="N333" s="190">
        <f t="shared" ref="N333:P333" si="359">SUM(N327:N332)</f>
        <v>1393.71</v>
      </c>
      <c r="O333" s="190">
        <f t="shared" si="359"/>
        <v>4031.98</v>
      </c>
      <c r="P333" s="196">
        <f t="shared" si="359"/>
        <v>119</v>
      </c>
      <c r="Q333" s="197">
        <f>sum(Q327:Q332)</f>
        <v>300054</v>
      </c>
      <c r="R333" s="195">
        <f t="shared" si="1"/>
        <v>0.345663917</v>
      </c>
      <c r="S333" s="198">
        <f t="shared" si="2"/>
        <v>2.892983476</v>
      </c>
      <c r="T333" s="199">
        <f t="shared" si="357"/>
        <v>0.6904205387</v>
      </c>
      <c r="U333" s="80" t="str">
        <f>iferror((F333-#REF!)/F333,)</f>
        <v/>
      </c>
      <c r="V333" s="90" t="str">
        <f>iferror((H333-#REF!)/H333,)</f>
        <v/>
      </c>
      <c r="W333" s="2"/>
      <c r="X333" s="2"/>
      <c r="Y333" s="2"/>
      <c r="Z333" s="2"/>
    </row>
    <row r="334" hidden="1" outlineLevel="1">
      <c r="A334" s="56" t="str">
        <f>iferror(if(B334&gt;0,month(B334)&amp;"-"&amp;year(B334),B334),)</f>
        <v>12-2025</v>
      </c>
      <c r="B334" s="143">
        <v>46005.0</v>
      </c>
      <c r="C334" s="144"/>
      <c r="D334" s="145" t="s">
        <v>60</v>
      </c>
      <c r="E334" s="58"/>
      <c r="F334" s="146"/>
      <c r="G334" s="147"/>
      <c r="H334" s="147"/>
      <c r="I334" s="148"/>
      <c r="J334" s="149"/>
      <c r="K334" s="149"/>
      <c r="L334" s="150"/>
      <c r="M334" s="151"/>
      <c r="N334" s="152">
        <v>1374.09</v>
      </c>
      <c r="O334" s="152">
        <v>3780.97</v>
      </c>
      <c r="P334" s="153">
        <v>115.0</v>
      </c>
      <c r="Q334" s="154">
        <v>269984.0</v>
      </c>
      <c r="R334" s="155">
        <f t="shared" si="1"/>
        <v>0.3634226138</v>
      </c>
      <c r="S334" s="156">
        <f t="shared" si="2"/>
        <v>2.751617434</v>
      </c>
      <c r="T334" s="155" t="str">
        <f t="shared" si="357"/>
        <v>#DIV/0!</v>
      </c>
      <c r="U334" s="76"/>
      <c r="V334" s="77"/>
      <c r="W334" s="2"/>
      <c r="X334" s="2"/>
      <c r="Y334" s="2"/>
      <c r="Z334" s="2"/>
    </row>
    <row r="335" hidden="1" outlineLevel="1">
      <c r="A335" s="157"/>
      <c r="B335" s="158"/>
      <c r="C335" s="159" t="s">
        <v>12</v>
      </c>
      <c r="D335" s="160" t="s">
        <v>13</v>
      </c>
      <c r="E335" s="58"/>
      <c r="F335" s="161">
        <v>292.5</v>
      </c>
      <c r="G335" s="162">
        <v>15.0</v>
      </c>
      <c r="H335" s="162">
        <v>10.0</v>
      </c>
      <c r="I335" s="163">
        <f t="shared" ref="I335:I340" si="360">G335/H335</f>
        <v>1.5</v>
      </c>
      <c r="J335" s="164">
        <f t="shared" ref="J335:J339" si="361">F335/H335</f>
        <v>29.25</v>
      </c>
      <c r="K335" s="164">
        <v>173.0</v>
      </c>
      <c r="L335" s="165">
        <v>190.0</v>
      </c>
      <c r="M335" s="155">
        <f t="shared" ref="M335:M340" si="362">G335/L335</f>
        <v>0.07894736842</v>
      </c>
      <c r="N335" s="166">
        <v>0.9</v>
      </c>
      <c r="O335" s="166">
        <v>0.0</v>
      </c>
      <c r="P335" s="167">
        <v>0.0</v>
      </c>
      <c r="Q335" s="168">
        <v>495.0</v>
      </c>
      <c r="R335" s="155" t="str">
        <f t="shared" si="1"/>
        <v>#DIV/0!</v>
      </c>
      <c r="S335" s="156">
        <f t="shared" si="2"/>
        <v>0</v>
      </c>
      <c r="T335" s="155" t="str">
        <f>#REF!/#REF!</f>
        <v>#REF!</v>
      </c>
      <c r="U335" s="76"/>
      <c r="V335" s="77"/>
      <c r="W335" s="2"/>
      <c r="X335" s="2"/>
      <c r="Y335" s="2"/>
      <c r="Z335" s="2"/>
    </row>
    <row r="336" hidden="1" outlineLevel="1">
      <c r="A336" s="157" t="str">
        <f>iferror(if(D336&gt;0,month(D336)&amp;"-"&amp;year(D336),D336),)</f>
        <v/>
      </c>
      <c r="B336" s="158"/>
      <c r="C336" s="169" t="s">
        <v>61</v>
      </c>
      <c r="D336" s="170" t="s">
        <v>62</v>
      </c>
      <c r="E336" s="68"/>
      <c r="F336" s="164">
        <v>971.64</v>
      </c>
      <c r="G336" s="171">
        <v>36.0</v>
      </c>
      <c r="H336" s="171">
        <v>33.0</v>
      </c>
      <c r="I336" s="163">
        <f t="shared" si="360"/>
        <v>1.090909091</v>
      </c>
      <c r="J336" s="164">
        <f t="shared" si="361"/>
        <v>29.44363636</v>
      </c>
      <c r="K336" s="164">
        <f t="shared" ref="K336:K339" si="363">F336/G336</f>
        <v>26.99</v>
      </c>
      <c r="L336" s="165">
        <v>472.0</v>
      </c>
      <c r="M336" s="155">
        <f t="shared" si="362"/>
        <v>0.07627118644</v>
      </c>
      <c r="N336" s="172">
        <v>395.53</v>
      </c>
      <c r="O336" s="172">
        <v>1061.66</v>
      </c>
      <c r="P336" s="173">
        <v>31.0</v>
      </c>
      <c r="Q336" s="174">
        <v>88752.0</v>
      </c>
      <c r="R336" s="155">
        <f t="shared" si="1"/>
        <v>0.3725580694</v>
      </c>
      <c r="S336" s="156">
        <f t="shared" si="2"/>
        <v>2.684145324</v>
      </c>
      <c r="T336" s="155">
        <f t="shared" ref="T336:T341" si="364">O336/F336</f>
        <v>1.092647483</v>
      </c>
      <c r="U336" s="76"/>
      <c r="V336" s="77"/>
      <c r="W336" s="2"/>
      <c r="X336" s="2"/>
      <c r="Y336" s="2"/>
      <c r="Z336" s="2"/>
    </row>
    <row r="337" hidden="1" outlineLevel="1">
      <c r="A337" s="175"/>
      <c r="B337" s="158"/>
      <c r="C337" s="176" t="s">
        <v>14</v>
      </c>
      <c r="D337" s="177" t="s">
        <v>15</v>
      </c>
      <c r="E337" s="68"/>
      <c r="F337" s="164">
        <v>552.5</v>
      </c>
      <c r="G337" s="171">
        <v>26.0</v>
      </c>
      <c r="H337" s="171">
        <v>24.0</v>
      </c>
      <c r="I337" s="163">
        <f t="shared" si="360"/>
        <v>1.083333333</v>
      </c>
      <c r="J337" s="164">
        <f t="shared" si="361"/>
        <v>23.02083333</v>
      </c>
      <c r="K337" s="164">
        <f t="shared" si="363"/>
        <v>21.25</v>
      </c>
      <c r="L337" s="165">
        <v>281.0</v>
      </c>
      <c r="M337" s="155">
        <f t="shared" si="362"/>
        <v>0.09252669039</v>
      </c>
      <c r="N337" s="178">
        <v>4.33</v>
      </c>
      <c r="O337" s="178">
        <v>0.0</v>
      </c>
      <c r="P337" s="179">
        <v>0.0</v>
      </c>
      <c r="Q337" s="180">
        <v>4340.0</v>
      </c>
      <c r="R337" s="155" t="str">
        <f t="shared" si="1"/>
        <v>#DIV/0!</v>
      </c>
      <c r="S337" s="156">
        <f t="shared" si="2"/>
        <v>0</v>
      </c>
      <c r="T337" s="155">
        <f t="shared" si="364"/>
        <v>0</v>
      </c>
      <c r="U337" s="76"/>
      <c r="V337" s="77"/>
      <c r="W337" s="2"/>
      <c r="X337" s="2"/>
      <c r="Y337" s="2"/>
      <c r="Z337" s="2"/>
    </row>
    <row r="338" hidden="1" outlineLevel="1">
      <c r="A338" s="175"/>
      <c r="B338" s="158"/>
      <c r="C338" s="181" t="s">
        <v>63</v>
      </c>
      <c r="D338" s="182" t="s">
        <v>64</v>
      </c>
      <c r="E338" s="68"/>
      <c r="F338" s="164">
        <v>549.78</v>
      </c>
      <c r="G338" s="171">
        <v>22.0</v>
      </c>
      <c r="H338" s="171">
        <v>18.0</v>
      </c>
      <c r="I338" s="163">
        <f t="shared" si="360"/>
        <v>1.222222222</v>
      </c>
      <c r="J338" s="164">
        <f t="shared" si="361"/>
        <v>30.54333333</v>
      </c>
      <c r="K338" s="164">
        <f t="shared" si="363"/>
        <v>24.99</v>
      </c>
      <c r="L338" s="165">
        <v>355.0</v>
      </c>
      <c r="M338" s="155">
        <f t="shared" si="362"/>
        <v>0.06197183099</v>
      </c>
      <c r="N338" s="183">
        <v>12.07</v>
      </c>
      <c r="O338" s="183">
        <v>0.0</v>
      </c>
      <c r="P338" s="184">
        <v>0.0</v>
      </c>
      <c r="Q338" s="185">
        <v>3799.0</v>
      </c>
      <c r="R338" s="155" t="str">
        <f t="shared" si="1"/>
        <v>#DIV/0!</v>
      </c>
      <c r="S338" s="156">
        <f t="shared" si="2"/>
        <v>0</v>
      </c>
      <c r="T338" s="155">
        <f t="shared" si="364"/>
        <v>0</v>
      </c>
      <c r="U338" s="76"/>
      <c r="V338" s="77"/>
      <c r="W338" s="2"/>
      <c r="X338" s="2"/>
      <c r="Y338" s="2"/>
      <c r="Z338" s="2"/>
    </row>
    <row r="339" hidden="1" outlineLevel="1">
      <c r="A339" s="56" t="str">
        <f>iferror(if(B339&gt;0,month(B339)&amp;"-"&amp;year(B339),B339),)</f>
        <v>12-2025</v>
      </c>
      <c r="B339" s="143">
        <v>46011.0</v>
      </c>
      <c r="C339" s="186" t="s">
        <v>65</v>
      </c>
      <c r="D339" s="187" t="s">
        <v>66</v>
      </c>
      <c r="E339" s="68"/>
      <c r="F339" s="164">
        <v>3750.84</v>
      </c>
      <c r="G339" s="171">
        <v>118.0</v>
      </c>
      <c r="H339" s="171">
        <v>107.0</v>
      </c>
      <c r="I339" s="163">
        <f t="shared" si="360"/>
        <v>1.102803738</v>
      </c>
      <c r="J339" s="164">
        <f t="shared" si="361"/>
        <v>35.05457944</v>
      </c>
      <c r="K339" s="164">
        <f t="shared" si="363"/>
        <v>31.78677966</v>
      </c>
      <c r="L339" s="165">
        <v>1163.0</v>
      </c>
      <c r="M339" s="155">
        <f t="shared" si="362"/>
        <v>0.1014617369</v>
      </c>
      <c r="N339" s="188">
        <v>12.3</v>
      </c>
      <c r="O339" s="188">
        <v>0.0</v>
      </c>
      <c r="P339" s="189">
        <v>0.0</v>
      </c>
      <c r="Q339" s="189">
        <v>3222.0</v>
      </c>
      <c r="R339" s="155" t="str">
        <f t="shared" si="1"/>
        <v>#DIV/0!</v>
      </c>
      <c r="S339" s="156">
        <f t="shared" si="2"/>
        <v>0</v>
      </c>
      <c r="T339" s="155">
        <f t="shared" si="364"/>
        <v>0</v>
      </c>
      <c r="U339" s="76"/>
      <c r="V339" s="77"/>
      <c r="W339" s="2"/>
      <c r="X339" s="2"/>
      <c r="Y339" s="2"/>
      <c r="Z339" s="2"/>
    </row>
    <row r="340" collapsed="1">
      <c r="A340" s="78" t="s">
        <v>118</v>
      </c>
      <c r="B340" s="79"/>
      <c r="C340" s="79"/>
      <c r="D340" s="79"/>
      <c r="E340" s="80"/>
      <c r="F340" s="190">
        <f t="shared" ref="F340:H340" si="365">SUM(F334:F339)</f>
        <v>6117.26</v>
      </c>
      <c r="G340" s="191">
        <f t="shared" si="365"/>
        <v>217</v>
      </c>
      <c r="H340" s="191">
        <f t="shared" si="365"/>
        <v>192</v>
      </c>
      <c r="I340" s="192">
        <f t="shared" si="360"/>
        <v>1.130208333</v>
      </c>
      <c r="J340" s="193">
        <f>F340/G340</f>
        <v>28.19013825</v>
      </c>
      <c r="K340" s="193">
        <f>J340/I340</f>
        <v>24.94242647</v>
      </c>
      <c r="L340" s="194">
        <f>SUM(L334:L339)</f>
        <v>2461</v>
      </c>
      <c r="M340" s="195">
        <f t="shared" si="362"/>
        <v>0.0881755384</v>
      </c>
      <c r="N340" s="190">
        <f t="shared" ref="N340:P340" si="366">SUM(N334:N339)</f>
        <v>1799.22</v>
      </c>
      <c r="O340" s="190">
        <f t="shared" si="366"/>
        <v>4842.63</v>
      </c>
      <c r="P340" s="196">
        <f t="shared" si="366"/>
        <v>146</v>
      </c>
      <c r="Q340" s="197">
        <f>sum(Q334:Q339)</f>
        <v>370592</v>
      </c>
      <c r="R340" s="195">
        <f t="shared" si="1"/>
        <v>0.3715377801</v>
      </c>
      <c r="S340" s="198">
        <f t="shared" si="2"/>
        <v>2.691516324</v>
      </c>
      <c r="T340" s="199">
        <f t="shared" si="364"/>
        <v>0.7916338361</v>
      </c>
      <c r="U340" s="80" t="str">
        <f>iferror((F340-#REF!)/F340,)</f>
        <v/>
      </c>
      <c r="V340" s="90" t="str">
        <f>iferror((H340-#REF!)/H340,)</f>
        <v/>
      </c>
      <c r="W340" s="2"/>
      <c r="X340" s="2"/>
      <c r="Y340" s="2"/>
      <c r="Z340" s="2"/>
    </row>
    <row r="341" hidden="1" outlineLevel="1">
      <c r="A341" s="56" t="str">
        <f>iferror(if(B341&gt;0,month(B341)&amp;"-"&amp;year(B341),B341),)</f>
        <v>12-2025</v>
      </c>
      <c r="B341" s="143">
        <v>46012.0</v>
      </c>
      <c r="C341" s="144"/>
      <c r="D341" s="145" t="s">
        <v>60</v>
      </c>
      <c r="E341" s="58"/>
      <c r="F341" s="146"/>
      <c r="G341" s="147"/>
      <c r="H341" s="147"/>
      <c r="I341" s="148"/>
      <c r="J341" s="149"/>
      <c r="K341" s="149"/>
      <c r="L341" s="150"/>
      <c r="M341" s="151"/>
      <c r="N341" s="152">
        <v>868.43</v>
      </c>
      <c r="O341" s="152">
        <v>1870.22</v>
      </c>
      <c r="P341" s="153">
        <v>64.0</v>
      </c>
      <c r="Q341" s="154">
        <v>196186.0</v>
      </c>
      <c r="R341" s="155">
        <f t="shared" si="1"/>
        <v>0.4643464405</v>
      </c>
      <c r="S341" s="156">
        <f t="shared" si="2"/>
        <v>2.153564478</v>
      </c>
      <c r="T341" s="155" t="str">
        <f t="shared" si="364"/>
        <v>#DIV/0!</v>
      </c>
      <c r="U341" s="76"/>
      <c r="V341" s="77"/>
      <c r="W341" s="2"/>
      <c r="X341" s="2"/>
      <c r="Y341" s="2"/>
      <c r="Z341" s="2"/>
    </row>
    <row r="342" hidden="1" outlineLevel="1">
      <c r="A342" s="157"/>
      <c r="B342" s="158"/>
      <c r="C342" s="159" t="s">
        <v>12</v>
      </c>
      <c r="D342" s="160" t="s">
        <v>13</v>
      </c>
      <c r="E342" s="58"/>
      <c r="F342" s="161">
        <v>156.0</v>
      </c>
      <c r="G342" s="162">
        <v>8.0</v>
      </c>
      <c r="H342" s="162">
        <v>8.0</v>
      </c>
      <c r="I342" s="163">
        <f t="shared" ref="I342:I347" si="367">G342/H342</f>
        <v>1</v>
      </c>
      <c r="J342" s="164">
        <f t="shared" ref="J342:J346" si="368">F342/H342</f>
        <v>19.5</v>
      </c>
      <c r="K342" s="164">
        <v>173.0</v>
      </c>
      <c r="L342" s="165">
        <v>216.0</v>
      </c>
      <c r="M342" s="155">
        <f t="shared" ref="M342:M347" si="369">G342/L342</f>
        <v>0.03703703704</v>
      </c>
      <c r="N342" s="166">
        <v>2.13</v>
      </c>
      <c r="O342" s="166">
        <v>0.0</v>
      </c>
      <c r="P342" s="167">
        <v>0.0</v>
      </c>
      <c r="Q342" s="168">
        <v>637.0</v>
      </c>
      <c r="R342" s="155" t="str">
        <f t="shared" si="1"/>
        <v>#DIV/0!</v>
      </c>
      <c r="S342" s="156">
        <f t="shared" si="2"/>
        <v>0</v>
      </c>
      <c r="T342" s="155" t="str">
        <f>#REF!/#REF!</f>
        <v>#REF!</v>
      </c>
      <c r="U342" s="76"/>
      <c r="V342" s="77"/>
      <c r="W342" s="2"/>
      <c r="X342" s="2"/>
      <c r="Y342" s="2"/>
      <c r="Z342" s="2"/>
    </row>
    <row r="343" hidden="1" outlineLevel="1">
      <c r="A343" s="157" t="str">
        <f>iferror(if(D343&gt;0,month(D343)&amp;"-"&amp;year(D343),D343),)</f>
        <v/>
      </c>
      <c r="B343" s="158"/>
      <c r="C343" s="169" t="s">
        <v>61</v>
      </c>
      <c r="D343" s="170" t="s">
        <v>62</v>
      </c>
      <c r="E343" s="68"/>
      <c r="F343" s="164">
        <v>1133.58</v>
      </c>
      <c r="G343" s="171">
        <v>42.0</v>
      </c>
      <c r="H343" s="171">
        <v>36.0</v>
      </c>
      <c r="I343" s="163">
        <f t="shared" si="367"/>
        <v>1.166666667</v>
      </c>
      <c r="J343" s="164">
        <f t="shared" si="368"/>
        <v>31.48833333</v>
      </c>
      <c r="K343" s="164">
        <f t="shared" ref="K343:K346" si="370">F343/G343</f>
        <v>26.99</v>
      </c>
      <c r="L343" s="165">
        <v>343.0</v>
      </c>
      <c r="M343" s="155">
        <f t="shared" si="369"/>
        <v>0.1224489796</v>
      </c>
      <c r="N343" s="172">
        <v>92.31</v>
      </c>
      <c r="O343" s="172">
        <v>221.92</v>
      </c>
      <c r="P343" s="173">
        <v>7.0</v>
      </c>
      <c r="Q343" s="174">
        <v>17142.0</v>
      </c>
      <c r="R343" s="155">
        <f t="shared" si="1"/>
        <v>0.4159607066</v>
      </c>
      <c r="S343" s="156">
        <f t="shared" si="2"/>
        <v>2.404073232</v>
      </c>
      <c r="T343" s="155">
        <f t="shared" ref="T343:T348" si="371">O343/F343</f>
        <v>0.1957691561</v>
      </c>
      <c r="U343" s="76"/>
      <c r="V343" s="77"/>
      <c r="W343" s="2"/>
      <c r="X343" s="2"/>
      <c r="Y343" s="2"/>
      <c r="Z343" s="2"/>
    </row>
    <row r="344" hidden="1" outlineLevel="1">
      <c r="A344" s="175"/>
      <c r="B344" s="158"/>
      <c r="C344" s="176" t="s">
        <v>14</v>
      </c>
      <c r="D344" s="177" t="s">
        <v>15</v>
      </c>
      <c r="E344" s="68"/>
      <c r="F344" s="164">
        <v>361.25</v>
      </c>
      <c r="G344" s="171">
        <v>17.0</v>
      </c>
      <c r="H344" s="171">
        <v>15.0</v>
      </c>
      <c r="I344" s="163">
        <f t="shared" si="367"/>
        <v>1.133333333</v>
      </c>
      <c r="J344" s="164">
        <f t="shared" si="368"/>
        <v>24.08333333</v>
      </c>
      <c r="K344" s="164">
        <f t="shared" si="370"/>
        <v>21.25</v>
      </c>
      <c r="L344" s="165">
        <v>273.0</v>
      </c>
      <c r="M344" s="155">
        <f t="shared" si="369"/>
        <v>0.06227106227</v>
      </c>
      <c r="N344" s="178">
        <v>5.31</v>
      </c>
      <c r="O344" s="178">
        <v>0.0</v>
      </c>
      <c r="P344" s="179">
        <v>0.0</v>
      </c>
      <c r="Q344" s="180">
        <v>2996.0</v>
      </c>
      <c r="R344" s="155" t="str">
        <f t="shared" si="1"/>
        <v>#DIV/0!</v>
      </c>
      <c r="S344" s="156">
        <f t="shared" si="2"/>
        <v>0</v>
      </c>
      <c r="T344" s="155">
        <f t="shared" si="371"/>
        <v>0</v>
      </c>
      <c r="U344" s="76"/>
      <c r="V344" s="77"/>
      <c r="W344" s="2"/>
      <c r="X344" s="2"/>
      <c r="Y344" s="2"/>
      <c r="Z344" s="2"/>
    </row>
    <row r="345" hidden="1" outlineLevel="1">
      <c r="A345" s="175"/>
      <c r="B345" s="158"/>
      <c r="C345" s="181" t="s">
        <v>63</v>
      </c>
      <c r="D345" s="182" t="s">
        <v>64</v>
      </c>
      <c r="E345" s="68"/>
      <c r="F345" s="164">
        <v>549.78</v>
      </c>
      <c r="G345" s="171">
        <v>22.0</v>
      </c>
      <c r="H345" s="171">
        <v>17.0</v>
      </c>
      <c r="I345" s="163">
        <f t="shared" si="367"/>
        <v>1.294117647</v>
      </c>
      <c r="J345" s="164">
        <f t="shared" si="368"/>
        <v>32.34</v>
      </c>
      <c r="K345" s="164">
        <f t="shared" si="370"/>
        <v>24.99</v>
      </c>
      <c r="L345" s="165">
        <v>335.0</v>
      </c>
      <c r="M345" s="155">
        <f t="shared" si="369"/>
        <v>0.06567164179</v>
      </c>
      <c r="N345" s="183">
        <v>16.2</v>
      </c>
      <c r="O345" s="183">
        <v>49.98</v>
      </c>
      <c r="P345" s="184">
        <v>1.0</v>
      </c>
      <c r="Q345" s="185">
        <v>3317.0</v>
      </c>
      <c r="R345" s="155">
        <f t="shared" si="1"/>
        <v>0.3241296519</v>
      </c>
      <c r="S345" s="156">
        <f t="shared" si="2"/>
        <v>3.085185185</v>
      </c>
      <c r="T345" s="155">
        <f t="shared" si="371"/>
        <v>0.09090909091</v>
      </c>
      <c r="U345" s="76"/>
      <c r="V345" s="77"/>
      <c r="W345" s="2"/>
      <c r="X345" s="2"/>
      <c r="Y345" s="2"/>
      <c r="Z345" s="2"/>
    </row>
    <row r="346" hidden="1" outlineLevel="1">
      <c r="A346" s="56" t="str">
        <f>iferror(if(B346&gt;0,month(B346)&amp;"-"&amp;year(B346),B346),)</f>
        <v>12-2025</v>
      </c>
      <c r="B346" s="143">
        <v>46018.0</v>
      </c>
      <c r="C346" s="186" t="s">
        <v>65</v>
      </c>
      <c r="D346" s="187" t="s">
        <v>66</v>
      </c>
      <c r="E346" s="68"/>
      <c r="F346" s="164">
        <v>329.5</v>
      </c>
      <c r="G346" s="171">
        <v>10.0</v>
      </c>
      <c r="H346" s="171">
        <v>10.0</v>
      </c>
      <c r="I346" s="163">
        <f t="shared" si="367"/>
        <v>1</v>
      </c>
      <c r="J346" s="164">
        <f t="shared" si="368"/>
        <v>32.95</v>
      </c>
      <c r="K346" s="164">
        <f t="shared" si="370"/>
        <v>32.95</v>
      </c>
      <c r="L346" s="165">
        <v>353.0</v>
      </c>
      <c r="M346" s="155">
        <f t="shared" si="369"/>
        <v>0.0283286119</v>
      </c>
      <c r="N346" s="188">
        <v>3.52</v>
      </c>
      <c r="O346" s="188">
        <v>0.0</v>
      </c>
      <c r="P346" s="189">
        <v>0.0</v>
      </c>
      <c r="Q346" s="189">
        <v>464.0</v>
      </c>
      <c r="R346" s="155" t="str">
        <f t="shared" si="1"/>
        <v>#DIV/0!</v>
      </c>
      <c r="S346" s="156">
        <f t="shared" si="2"/>
        <v>0</v>
      </c>
      <c r="T346" s="155">
        <f t="shared" si="371"/>
        <v>0</v>
      </c>
      <c r="U346" s="76"/>
      <c r="V346" s="77"/>
      <c r="W346" s="2"/>
      <c r="X346" s="2"/>
      <c r="Y346" s="2"/>
      <c r="Z346" s="2"/>
    </row>
    <row r="347" collapsed="1">
      <c r="A347" s="78" t="s">
        <v>44</v>
      </c>
      <c r="B347" s="79"/>
      <c r="C347" s="79"/>
      <c r="D347" s="79"/>
      <c r="E347" s="80"/>
      <c r="F347" s="190">
        <f t="shared" ref="F347:H347" si="372">SUM(F341:F346)</f>
        <v>2530.11</v>
      </c>
      <c r="G347" s="191">
        <f t="shared" si="372"/>
        <v>99</v>
      </c>
      <c r="H347" s="191">
        <f t="shared" si="372"/>
        <v>86</v>
      </c>
      <c r="I347" s="192">
        <f t="shared" si="367"/>
        <v>1.151162791</v>
      </c>
      <c r="J347" s="193">
        <f>F347/G347</f>
        <v>25.55666667</v>
      </c>
      <c r="K347" s="193">
        <f>J347/I347</f>
        <v>22.20074074</v>
      </c>
      <c r="L347" s="194">
        <f>SUM(L341:L346)</f>
        <v>1520</v>
      </c>
      <c r="M347" s="195">
        <f t="shared" si="369"/>
        <v>0.06513157895</v>
      </c>
      <c r="N347" s="190">
        <f t="shared" ref="N347:P347" si="373">SUM(N341:N346)</f>
        <v>987.9</v>
      </c>
      <c r="O347" s="190">
        <f t="shared" si="373"/>
        <v>2142.12</v>
      </c>
      <c r="P347" s="196">
        <f t="shared" si="373"/>
        <v>72</v>
      </c>
      <c r="Q347" s="197">
        <f>sum(Q341:Q346)</f>
        <v>220742</v>
      </c>
      <c r="R347" s="195">
        <f t="shared" si="1"/>
        <v>0.4611786455</v>
      </c>
      <c r="S347" s="198">
        <f t="shared" si="2"/>
        <v>2.168357121</v>
      </c>
      <c r="T347" s="199">
        <f t="shared" si="371"/>
        <v>0.8466509361</v>
      </c>
      <c r="U347" s="80" t="str">
        <f>iferror((F347-#REF!)/F347,)</f>
        <v/>
      </c>
      <c r="V347" s="90" t="str">
        <f>iferror((H347-#REF!)/H347,)</f>
        <v/>
      </c>
      <c r="W347" s="2"/>
      <c r="X347" s="2"/>
      <c r="Y347" s="2"/>
      <c r="Z347" s="2"/>
    </row>
    <row r="348" hidden="1" outlineLevel="1">
      <c r="A348" s="56" t="str">
        <f>iferror(if(B348&gt;0,month(B348)&amp;"-"&amp;year(B348),B348),)</f>
        <v>12-2025</v>
      </c>
      <c r="B348" s="143">
        <v>46019.0</v>
      </c>
      <c r="C348" s="144"/>
      <c r="D348" s="145" t="s">
        <v>60</v>
      </c>
      <c r="E348" s="58"/>
      <c r="F348" s="146"/>
      <c r="G348" s="147"/>
      <c r="H348" s="147"/>
      <c r="I348" s="148"/>
      <c r="J348" s="149"/>
      <c r="K348" s="149"/>
      <c r="L348" s="150"/>
      <c r="M348" s="151"/>
      <c r="N348" s="152">
        <v>926.15</v>
      </c>
      <c r="O348" s="152">
        <v>2437.68</v>
      </c>
      <c r="P348" s="153">
        <v>86.0</v>
      </c>
      <c r="Q348" s="154">
        <v>234127.0</v>
      </c>
      <c r="R348" s="155">
        <f t="shared" si="1"/>
        <v>0.3799309179</v>
      </c>
      <c r="S348" s="156">
        <f t="shared" si="2"/>
        <v>2.632057442</v>
      </c>
      <c r="T348" s="155" t="str">
        <f t="shared" si="371"/>
        <v>#DIV/0!</v>
      </c>
      <c r="U348" s="76"/>
      <c r="V348" s="77"/>
      <c r="W348" s="2"/>
      <c r="X348" s="2"/>
      <c r="Y348" s="2"/>
      <c r="Z348" s="2"/>
    </row>
    <row r="349" hidden="1" outlineLevel="1">
      <c r="A349" s="157"/>
      <c r="B349" s="158"/>
      <c r="C349" s="159" t="s">
        <v>12</v>
      </c>
      <c r="D349" s="160" t="s">
        <v>13</v>
      </c>
      <c r="E349" s="58"/>
      <c r="F349" s="161">
        <v>526.5</v>
      </c>
      <c r="G349" s="162">
        <v>27.0</v>
      </c>
      <c r="H349" s="162">
        <v>23.0</v>
      </c>
      <c r="I349" s="163">
        <f t="shared" ref="I349:I354" si="374">G349/H349</f>
        <v>1.173913043</v>
      </c>
      <c r="J349" s="164">
        <f t="shared" ref="J349:J353" si="375">F349/H349</f>
        <v>22.89130435</v>
      </c>
      <c r="K349" s="164">
        <v>173.0</v>
      </c>
      <c r="L349" s="165">
        <v>309.0</v>
      </c>
      <c r="M349" s="155">
        <f t="shared" ref="M349:M354" si="376">G349/L349</f>
        <v>0.08737864078</v>
      </c>
      <c r="N349" s="166">
        <v>3.91</v>
      </c>
      <c r="O349" s="166">
        <v>19.5</v>
      </c>
      <c r="P349" s="167">
        <v>1.0</v>
      </c>
      <c r="Q349" s="168">
        <v>1806.0</v>
      </c>
      <c r="R349" s="155">
        <f t="shared" si="1"/>
        <v>0.2005128205</v>
      </c>
      <c r="S349" s="156">
        <f t="shared" si="2"/>
        <v>4.987212276</v>
      </c>
      <c r="T349" s="155" t="str">
        <f>#REF!/#REF!</f>
        <v>#REF!</v>
      </c>
      <c r="U349" s="76"/>
      <c r="V349" s="77"/>
      <c r="W349" s="2"/>
      <c r="X349" s="2"/>
      <c r="Y349" s="2"/>
      <c r="Z349" s="2"/>
    </row>
    <row r="350" hidden="1" outlineLevel="1">
      <c r="A350" s="157" t="str">
        <f>iferror(if(D350&gt;0,month(D350)&amp;"-"&amp;year(D350),D350),)</f>
        <v/>
      </c>
      <c r="B350" s="158"/>
      <c r="C350" s="169" t="s">
        <v>61</v>
      </c>
      <c r="D350" s="170" t="s">
        <v>62</v>
      </c>
      <c r="E350" s="68"/>
      <c r="F350" s="164">
        <v>1619.4</v>
      </c>
      <c r="G350" s="171">
        <v>60.0</v>
      </c>
      <c r="H350" s="171">
        <v>51.0</v>
      </c>
      <c r="I350" s="163">
        <f t="shared" si="374"/>
        <v>1.176470588</v>
      </c>
      <c r="J350" s="164">
        <f t="shared" si="375"/>
        <v>31.75294118</v>
      </c>
      <c r="K350" s="164">
        <f t="shared" ref="K350:K353" si="377">F350/G350</f>
        <v>26.99</v>
      </c>
      <c r="L350" s="165">
        <v>653.0</v>
      </c>
      <c r="M350" s="155">
        <f t="shared" si="376"/>
        <v>0.09188361409</v>
      </c>
      <c r="N350" s="172">
        <v>120.39</v>
      </c>
      <c r="O350" s="172">
        <v>296.89</v>
      </c>
      <c r="P350" s="173">
        <v>9.0</v>
      </c>
      <c r="Q350" s="174">
        <v>36763.0</v>
      </c>
      <c r="R350" s="155">
        <f t="shared" si="1"/>
        <v>0.4055037219</v>
      </c>
      <c r="S350" s="156">
        <f t="shared" si="2"/>
        <v>2.46606861</v>
      </c>
      <c r="T350" s="155">
        <f t="shared" ref="T350:T355" si="378">O350/F350</f>
        <v>0.1833333333</v>
      </c>
      <c r="U350" s="76"/>
      <c r="V350" s="77"/>
      <c r="W350" s="2"/>
      <c r="X350" s="2"/>
      <c r="Y350" s="2"/>
      <c r="Z350" s="2"/>
    </row>
    <row r="351" hidden="1" outlineLevel="1">
      <c r="A351" s="175"/>
      <c r="B351" s="158"/>
      <c r="C351" s="176" t="s">
        <v>14</v>
      </c>
      <c r="D351" s="177" t="s">
        <v>15</v>
      </c>
      <c r="E351" s="68"/>
      <c r="F351" s="164">
        <v>573.75</v>
      </c>
      <c r="G351" s="171">
        <v>27.0</v>
      </c>
      <c r="H351" s="171">
        <v>25.0</v>
      </c>
      <c r="I351" s="163">
        <f t="shared" si="374"/>
        <v>1.08</v>
      </c>
      <c r="J351" s="164">
        <f t="shared" si="375"/>
        <v>22.95</v>
      </c>
      <c r="K351" s="164">
        <f t="shared" si="377"/>
        <v>21.25</v>
      </c>
      <c r="L351" s="165">
        <v>342.0</v>
      </c>
      <c r="M351" s="155">
        <f t="shared" si="376"/>
        <v>0.07894736842</v>
      </c>
      <c r="N351" s="178">
        <v>1.57</v>
      </c>
      <c r="O351" s="178">
        <v>0.0</v>
      </c>
      <c r="P351" s="179">
        <v>0.0</v>
      </c>
      <c r="Q351" s="180">
        <v>3723.0</v>
      </c>
      <c r="R351" s="155" t="str">
        <f t="shared" si="1"/>
        <v>#DIV/0!</v>
      </c>
      <c r="S351" s="156">
        <f t="shared" si="2"/>
        <v>0</v>
      </c>
      <c r="T351" s="155">
        <f t="shared" si="378"/>
        <v>0</v>
      </c>
      <c r="U351" s="76"/>
      <c r="V351" s="77"/>
      <c r="W351" s="2"/>
      <c r="X351" s="2"/>
      <c r="Y351" s="2"/>
      <c r="Z351" s="2"/>
    </row>
    <row r="352" hidden="1" outlineLevel="1">
      <c r="A352" s="175"/>
      <c r="B352" s="158"/>
      <c r="C352" s="181" t="s">
        <v>63</v>
      </c>
      <c r="D352" s="182" t="s">
        <v>64</v>
      </c>
      <c r="E352" s="68"/>
      <c r="F352" s="164">
        <v>899.64</v>
      </c>
      <c r="G352" s="171">
        <v>36.0</v>
      </c>
      <c r="H352" s="171">
        <v>29.0</v>
      </c>
      <c r="I352" s="163">
        <f t="shared" si="374"/>
        <v>1.24137931</v>
      </c>
      <c r="J352" s="164">
        <f t="shared" si="375"/>
        <v>31.02206897</v>
      </c>
      <c r="K352" s="164">
        <f t="shared" si="377"/>
        <v>24.99</v>
      </c>
      <c r="L352" s="165">
        <v>550.0</v>
      </c>
      <c r="M352" s="155">
        <f t="shared" si="376"/>
        <v>0.06545454545</v>
      </c>
      <c r="N352" s="183">
        <v>44.47</v>
      </c>
      <c r="O352" s="183">
        <v>171.44</v>
      </c>
      <c r="P352" s="184">
        <v>7.0</v>
      </c>
      <c r="Q352" s="185">
        <v>13462.0</v>
      </c>
      <c r="R352" s="155">
        <f t="shared" si="1"/>
        <v>0.2593910406</v>
      </c>
      <c r="S352" s="156">
        <f t="shared" si="2"/>
        <v>3.85518327</v>
      </c>
      <c r="T352" s="155">
        <f t="shared" si="378"/>
        <v>0.1905651149</v>
      </c>
      <c r="U352" s="76"/>
      <c r="V352" s="77"/>
      <c r="W352" s="2"/>
      <c r="X352" s="2"/>
      <c r="Y352" s="2"/>
      <c r="Z352" s="2"/>
    </row>
    <row r="353" hidden="1" outlineLevel="1">
      <c r="A353" s="56" t="str">
        <f>iferror(if(B353&gt;0,month(B353)&amp;"-"&amp;year(B353),B353),)</f>
        <v>1-2026</v>
      </c>
      <c r="B353" s="143">
        <v>46025.0</v>
      </c>
      <c r="C353" s="186" t="s">
        <v>65</v>
      </c>
      <c r="D353" s="187" t="s">
        <v>66</v>
      </c>
      <c r="E353" s="68"/>
      <c r="F353" s="164">
        <v>98.97</v>
      </c>
      <c r="G353" s="171">
        <v>3.0</v>
      </c>
      <c r="H353" s="171">
        <v>3.0</v>
      </c>
      <c r="I353" s="163">
        <f t="shared" si="374"/>
        <v>1</v>
      </c>
      <c r="J353" s="164">
        <f t="shared" si="375"/>
        <v>32.99</v>
      </c>
      <c r="K353" s="164">
        <f t="shared" si="377"/>
        <v>32.99</v>
      </c>
      <c r="L353" s="165">
        <v>48.0</v>
      </c>
      <c r="M353" s="155">
        <f t="shared" si="376"/>
        <v>0.0625</v>
      </c>
      <c r="N353" s="188">
        <v>0.0</v>
      </c>
      <c r="O353" s="188">
        <v>0.0</v>
      </c>
      <c r="P353" s="189">
        <v>0.0</v>
      </c>
      <c r="Q353" s="189">
        <v>58.0</v>
      </c>
      <c r="R353" s="155" t="str">
        <f t="shared" si="1"/>
        <v>#DIV/0!</v>
      </c>
      <c r="S353" s="156" t="str">
        <f t="shared" si="2"/>
        <v>#DIV/0!</v>
      </c>
      <c r="T353" s="155">
        <f t="shared" si="378"/>
        <v>0</v>
      </c>
      <c r="U353" s="76"/>
      <c r="V353" s="77"/>
      <c r="W353" s="2"/>
      <c r="X353" s="2"/>
      <c r="Y353" s="2"/>
      <c r="Z353" s="2"/>
    </row>
    <row r="354" collapsed="1">
      <c r="A354" s="78" t="s">
        <v>45</v>
      </c>
      <c r="B354" s="79"/>
      <c r="C354" s="79"/>
      <c r="D354" s="79"/>
      <c r="E354" s="80"/>
      <c r="F354" s="190">
        <f t="shared" ref="F354:H354" si="379">SUM(F348:F353)</f>
        <v>3718.26</v>
      </c>
      <c r="G354" s="191">
        <f t="shared" si="379"/>
        <v>153</v>
      </c>
      <c r="H354" s="191">
        <f t="shared" si="379"/>
        <v>131</v>
      </c>
      <c r="I354" s="192">
        <f t="shared" si="374"/>
        <v>1.167938931</v>
      </c>
      <c r="J354" s="193">
        <f>F354/G354</f>
        <v>24.30235294</v>
      </c>
      <c r="K354" s="193">
        <f>J354/I354</f>
        <v>20.80789696</v>
      </c>
      <c r="L354" s="194">
        <f>SUM(L348:L353)</f>
        <v>1902</v>
      </c>
      <c r="M354" s="195">
        <f t="shared" si="376"/>
        <v>0.08044164038</v>
      </c>
      <c r="N354" s="190">
        <f t="shared" ref="N354:P354" si="380">SUM(N348:N353)</f>
        <v>1096.49</v>
      </c>
      <c r="O354" s="190">
        <f t="shared" si="380"/>
        <v>2925.51</v>
      </c>
      <c r="P354" s="196">
        <f t="shared" si="380"/>
        <v>103</v>
      </c>
      <c r="Q354" s="197">
        <f>sum(Q348:Q353)</f>
        <v>289939</v>
      </c>
      <c r="R354" s="195">
        <f t="shared" si="1"/>
        <v>0.3748030258</v>
      </c>
      <c r="S354" s="198">
        <f t="shared" si="2"/>
        <v>2.668068108</v>
      </c>
      <c r="T354" s="199">
        <f t="shared" si="378"/>
        <v>0.7867954366</v>
      </c>
      <c r="U354" s="80" t="str">
        <f>iferror((F354-#REF!)/F354,)</f>
        <v/>
      </c>
      <c r="V354" s="90" t="str">
        <f>iferror((H354-#REF!)/H354,)</f>
        <v/>
      </c>
      <c r="W354" s="2"/>
      <c r="X354" s="2"/>
      <c r="Y354" s="2"/>
      <c r="Z354" s="2"/>
    </row>
    <row r="355" hidden="1" outlineLevel="1">
      <c r="A355" s="56" t="str">
        <f>iferror(if(B355&gt;0,month(B355)&amp;"-"&amp;year(B355),B355),)</f>
        <v>1-2026</v>
      </c>
      <c r="B355" s="143">
        <v>46026.0</v>
      </c>
      <c r="C355" s="144"/>
      <c r="D355" s="145" t="s">
        <v>60</v>
      </c>
      <c r="E355" s="58"/>
      <c r="F355" s="146"/>
      <c r="G355" s="147"/>
      <c r="H355" s="147"/>
      <c r="I355" s="148"/>
      <c r="J355" s="149"/>
      <c r="K355" s="149"/>
      <c r="L355" s="150"/>
      <c r="M355" s="151"/>
      <c r="N355" s="152">
        <v>820.25</v>
      </c>
      <c r="O355" s="152">
        <v>1599.13</v>
      </c>
      <c r="P355" s="153">
        <v>61.0</v>
      </c>
      <c r="Q355" s="154">
        <v>207819.0</v>
      </c>
      <c r="R355" s="155">
        <f t="shared" si="1"/>
        <v>0.5129351585</v>
      </c>
      <c r="S355" s="156">
        <f t="shared" si="2"/>
        <v>1.949564157</v>
      </c>
      <c r="T355" s="155" t="str">
        <f t="shared" si="378"/>
        <v>#DIV/0!</v>
      </c>
      <c r="U355" s="76"/>
      <c r="V355" s="77"/>
      <c r="W355" s="2"/>
      <c r="X355" s="2"/>
      <c r="Y355" s="2"/>
      <c r="Z355" s="2"/>
    </row>
    <row r="356" hidden="1" outlineLevel="1">
      <c r="A356" s="157"/>
      <c r="B356" s="158"/>
      <c r="C356" s="159" t="s">
        <v>12</v>
      </c>
      <c r="D356" s="160" t="s">
        <v>13</v>
      </c>
      <c r="E356" s="58"/>
      <c r="F356" s="161">
        <v>526.5</v>
      </c>
      <c r="G356" s="162">
        <v>27.0</v>
      </c>
      <c r="H356" s="162">
        <v>22.0</v>
      </c>
      <c r="I356" s="163">
        <f t="shared" ref="I356:I361" si="381">G356/H356</f>
        <v>1.227272727</v>
      </c>
      <c r="J356" s="164">
        <f t="shared" ref="J356:J360" si="382">F356/H356</f>
        <v>23.93181818</v>
      </c>
      <c r="K356" s="164">
        <v>173.0</v>
      </c>
      <c r="L356" s="165">
        <v>385.0</v>
      </c>
      <c r="M356" s="155">
        <f t="shared" ref="M356:M361" si="383">G356/L356</f>
        <v>0.07012987013</v>
      </c>
      <c r="N356" s="166">
        <v>8.61</v>
      </c>
      <c r="O356" s="166">
        <v>19.5</v>
      </c>
      <c r="P356" s="167">
        <v>1.0</v>
      </c>
      <c r="Q356" s="168">
        <v>4551.0</v>
      </c>
      <c r="R356" s="155">
        <f t="shared" si="1"/>
        <v>0.4415384615</v>
      </c>
      <c r="S356" s="156">
        <f t="shared" si="2"/>
        <v>2.264808362</v>
      </c>
      <c r="T356" s="155" t="str">
        <f>#REF!/#REF!</f>
        <v>#REF!</v>
      </c>
      <c r="U356" s="76"/>
      <c r="V356" s="77"/>
      <c r="W356" s="2"/>
      <c r="X356" s="2"/>
      <c r="Y356" s="2"/>
      <c r="Z356" s="2"/>
    </row>
    <row r="357" hidden="1" outlineLevel="1">
      <c r="A357" s="157" t="str">
        <f>iferror(if(D357&gt;0,month(D357)&amp;"-"&amp;year(D357),D357),)</f>
        <v/>
      </c>
      <c r="B357" s="158"/>
      <c r="C357" s="169" t="s">
        <v>61</v>
      </c>
      <c r="D357" s="170" t="s">
        <v>62</v>
      </c>
      <c r="E357" s="68"/>
      <c r="F357" s="164">
        <v>1106.59</v>
      </c>
      <c r="G357" s="171">
        <v>41.0</v>
      </c>
      <c r="H357" s="171">
        <v>35.0</v>
      </c>
      <c r="I357" s="163">
        <f t="shared" si="381"/>
        <v>1.171428571</v>
      </c>
      <c r="J357" s="164">
        <f t="shared" si="382"/>
        <v>31.61685714</v>
      </c>
      <c r="K357" s="164">
        <f t="shared" ref="K357:K360" si="384">F357/G357</f>
        <v>26.99</v>
      </c>
      <c r="L357" s="165">
        <v>455.0</v>
      </c>
      <c r="M357" s="155">
        <f t="shared" si="383"/>
        <v>0.09010989011</v>
      </c>
      <c r="N357" s="172">
        <v>93.91</v>
      </c>
      <c r="O357" s="172">
        <v>323.88</v>
      </c>
      <c r="P357" s="173">
        <v>10.0</v>
      </c>
      <c r="Q357" s="174">
        <v>21188.0</v>
      </c>
      <c r="R357" s="155">
        <f t="shared" si="1"/>
        <v>0.289953069</v>
      </c>
      <c r="S357" s="156">
        <f t="shared" si="2"/>
        <v>3.44883399</v>
      </c>
      <c r="T357" s="155">
        <f t="shared" ref="T357:T362" si="385">O357/F357</f>
        <v>0.2926829268</v>
      </c>
      <c r="U357" s="76"/>
      <c r="V357" s="77"/>
      <c r="W357" s="2"/>
      <c r="X357" s="2"/>
      <c r="Y357" s="2"/>
      <c r="Z357" s="2"/>
    </row>
    <row r="358" hidden="1" outlineLevel="1">
      <c r="A358" s="175"/>
      <c r="B358" s="158"/>
      <c r="C358" s="176" t="s">
        <v>14</v>
      </c>
      <c r="D358" s="177" t="s">
        <v>15</v>
      </c>
      <c r="E358" s="68"/>
      <c r="F358" s="164">
        <v>701.25</v>
      </c>
      <c r="G358" s="171">
        <v>33.0</v>
      </c>
      <c r="H358" s="171">
        <v>31.0</v>
      </c>
      <c r="I358" s="163">
        <f t="shared" si="381"/>
        <v>1.064516129</v>
      </c>
      <c r="J358" s="164">
        <f t="shared" si="382"/>
        <v>22.62096774</v>
      </c>
      <c r="K358" s="164">
        <f t="shared" si="384"/>
        <v>21.25</v>
      </c>
      <c r="L358" s="165">
        <v>453.0</v>
      </c>
      <c r="M358" s="155">
        <f t="shared" si="383"/>
        <v>0.07284768212</v>
      </c>
      <c r="N358" s="178">
        <v>4.71</v>
      </c>
      <c r="O358" s="178">
        <v>85.0</v>
      </c>
      <c r="P358" s="179">
        <v>3.0</v>
      </c>
      <c r="Q358" s="180">
        <v>6091.0</v>
      </c>
      <c r="R358" s="155">
        <f t="shared" si="1"/>
        <v>0.05541176471</v>
      </c>
      <c r="S358" s="156">
        <f t="shared" si="2"/>
        <v>18.04670913</v>
      </c>
      <c r="T358" s="155">
        <f t="shared" si="385"/>
        <v>0.1212121212</v>
      </c>
      <c r="U358" s="76"/>
      <c r="V358" s="77"/>
      <c r="W358" s="2"/>
      <c r="X358" s="2"/>
      <c r="Y358" s="2"/>
      <c r="Z358" s="2"/>
    </row>
    <row r="359" hidden="1" outlineLevel="1">
      <c r="A359" s="175"/>
      <c r="B359" s="158"/>
      <c r="C359" s="181" t="s">
        <v>63</v>
      </c>
      <c r="D359" s="182" t="s">
        <v>64</v>
      </c>
      <c r="E359" s="68"/>
      <c r="F359" s="164">
        <v>149.94</v>
      </c>
      <c r="G359" s="171">
        <v>6.0</v>
      </c>
      <c r="H359" s="171">
        <v>2.0</v>
      </c>
      <c r="I359" s="163">
        <f t="shared" si="381"/>
        <v>3</v>
      </c>
      <c r="J359" s="164">
        <f t="shared" si="382"/>
        <v>74.97</v>
      </c>
      <c r="K359" s="164">
        <f t="shared" si="384"/>
        <v>24.99</v>
      </c>
      <c r="L359" s="165">
        <v>37.0</v>
      </c>
      <c r="M359" s="155">
        <f t="shared" si="383"/>
        <v>0.1621621622</v>
      </c>
      <c r="N359" s="183">
        <v>2.98</v>
      </c>
      <c r="O359" s="183">
        <v>0.0</v>
      </c>
      <c r="P359" s="184">
        <v>0.0</v>
      </c>
      <c r="Q359" s="185">
        <v>488.0</v>
      </c>
      <c r="R359" s="155" t="str">
        <f t="shared" si="1"/>
        <v>#DIV/0!</v>
      </c>
      <c r="S359" s="156">
        <f t="shared" si="2"/>
        <v>0</v>
      </c>
      <c r="T359" s="155">
        <f t="shared" si="385"/>
        <v>0</v>
      </c>
      <c r="U359" s="76"/>
      <c r="V359" s="77"/>
      <c r="W359" s="2"/>
      <c r="X359" s="2"/>
      <c r="Y359" s="2"/>
      <c r="Z359" s="2"/>
    </row>
    <row r="360" hidden="1" outlineLevel="1">
      <c r="A360" s="56" t="str">
        <f>iferror(if(B360&gt;0,month(B360)&amp;"-"&amp;year(B360),B360),)</f>
        <v>1-2026</v>
      </c>
      <c r="B360" s="143">
        <v>46032.0</v>
      </c>
      <c r="C360" s="186" t="s">
        <v>65</v>
      </c>
      <c r="D360" s="187" t="s">
        <v>66</v>
      </c>
      <c r="E360" s="68"/>
      <c r="F360" s="164">
        <v>32.99</v>
      </c>
      <c r="G360" s="171">
        <v>1.0</v>
      </c>
      <c r="H360" s="171">
        <v>1.0</v>
      </c>
      <c r="I360" s="163">
        <f t="shared" si="381"/>
        <v>1</v>
      </c>
      <c r="J360" s="164">
        <f t="shared" si="382"/>
        <v>32.99</v>
      </c>
      <c r="K360" s="164">
        <f t="shared" si="384"/>
        <v>32.99</v>
      </c>
      <c r="L360" s="165">
        <v>12.0</v>
      </c>
      <c r="M360" s="155">
        <f t="shared" si="383"/>
        <v>0.08333333333</v>
      </c>
      <c r="N360" s="188">
        <v>0.0</v>
      </c>
      <c r="O360" s="188">
        <v>0.0</v>
      </c>
      <c r="P360" s="189">
        <v>0.0</v>
      </c>
      <c r="Q360" s="189">
        <v>95.0</v>
      </c>
      <c r="R360" s="155" t="str">
        <f t="shared" si="1"/>
        <v>#DIV/0!</v>
      </c>
      <c r="S360" s="156" t="str">
        <f t="shared" si="2"/>
        <v>#DIV/0!</v>
      </c>
      <c r="T360" s="155">
        <f t="shared" si="385"/>
        <v>0</v>
      </c>
      <c r="U360" s="76"/>
      <c r="V360" s="77"/>
      <c r="W360" s="2"/>
      <c r="X360" s="2"/>
      <c r="Y360" s="2"/>
      <c r="Z360" s="2"/>
    </row>
    <row r="361" collapsed="1">
      <c r="A361" s="78" t="s">
        <v>46</v>
      </c>
      <c r="B361" s="79"/>
      <c r="C361" s="79"/>
      <c r="D361" s="79"/>
      <c r="E361" s="80"/>
      <c r="F361" s="190">
        <f t="shared" ref="F361:H361" si="386">SUM(F355:F360)</f>
        <v>2517.27</v>
      </c>
      <c r="G361" s="191">
        <f t="shared" si="386"/>
        <v>108</v>
      </c>
      <c r="H361" s="191">
        <f t="shared" si="386"/>
        <v>91</v>
      </c>
      <c r="I361" s="192">
        <f t="shared" si="381"/>
        <v>1.186813187</v>
      </c>
      <c r="J361" s="193">
        <f>F361/G361</f>
        <v>23.30805556</v>
      </c>
      <c r="K361" s="193">
        <f>J361/I361</f>
        <v>19.63919496</v>
      </c>
      <c r="L361" s="194">
        <f>SUM(L355:L360)</f>
        <v>1342</v>
      </c>
      <c r="M361" s="195">
        <f t="shared" si="383"/>
        <v>0.08047690015</v>
      </c>
      <c r="N361" s="190">
        <f t="shared" ref="N361:P361" si="387">SUM(N355:N360)</f>
        <v>930.46</v>
      </c>
      <c r="O361" s="190">
        <f t="shared" si="387"/>
        <v>2027.51</v>
      </c>
      <c r="P361" s="196">
        <f t="shared" si="387"/>
        <v>75</v>
      </c>
      <c r="Q361" s="197">
        <f>sum(Q355:Q360)</f>
        <v>240232</v>
      </c>
      <c r="R361" s="195">
        <f t="shared" si="1"/>
        <v>0.4589175886</v>
      </c>
      <c r="S361" s="198">
        <f t="shared" si="2"/>
        <v>2.179040475</v>
      </c>
      <c r="T361" s="199">
        <f t="shared" si="385"/>
        <v>0.8054400203</v>
      </c>
      <c r="U361" s="80" t="str">
        <f>iferror((F361-#REF!)/F361,)</f>
        <v/>
      </c>
      <c r="V361" s="90" t="str">
        <f>iferror((H361-#REF!)/H361,)</f>
        <v/>
      </c>
      <c r="W361" s="2"/>
      <c r="X361" s="2"/>
      <c r="Y361" s="2"/>
      <c r="Z361" s="2"/>
    </row>
    <row r="362">
      <c r="A362" s="56" t="str">
        <f>iferror(if(B362&gt;0,month(B362)&amp;"-"&amp;year(B362),B362),)</f>
        <v>1-2026</v>
      </c>
      <c r="B362" s="227">
        <v>46033.0</v>
      </c>
      <c r="C362" s="144"/>
      <c r="D362" s="228" t="s">
        <v>60</v>
      </c>
      <c r="E362" s="58"/>
      <c r="F362" s="146"/>
      <c r="G362" s="147"/>
      <c r="H362" s="147"/>
      <c r="I362" s="148"/>
      <c r="J362" s="149"/>
      <c r="K362" s="149"/>
      <c r="L362" s="150"/>
      <c r="M362" s="151"/>
      <c r="N362" s="229">
        <v>738.9</v>
      </c>
      <c r="O362" s="229">
        <v>1368.96</v>
      </c>
      <c r="P362" s="230">
        <v>53.0</v>
      </c>
      <c r="Q362" s="231">
        <v>177510.0</v>
      </c>
      <c r="R362" s="155">
        <f t="shared" si="1"/>
        <v>0.539752805</v>
      </c>
      <c r="S362" s="156">
        <f t="shared" si="2"/>
        <v>1.852699959</v>
      </c>
      <c r="T362" s="155" t="str">
        <f t="shared" si="385"/>
        <v>#DIV/0!</v>
      </c>
      <c r="U362" s="76"/>
      <c r="V362" s="77"/>
      <c r="W362" s="2"/>
      <c r="X362" s="2"/>
    </row>
    <row r="363">
      <c r="A363" s="157"/>
      <c r="B363" s="158"/>
      <c r="C363" s="232" t="s">
        <v>12</v>
      </c>
      <c r="D363" s="232" t="s">
        <v>13</v>
      </c>
      <c r="E363" s="58"/>
      <c r="F363" s="233">
        <v>370.5</v>
      </c>
      <c r="G363" s="234">
        <v>19.0</v>
      </c>
      <c r="H363" s="234">
        <v>17.0</v>
      </c>
      <c r="I363" s="71">
        <f t="shared" ref="I363:I368" si="388">G363/H363</f>
        <v>1.117647059</v>
      </c>
      <c r="J363" s="69">
        <f t="shared" ref="J363:J367" si="389">F363/H363</f>
        <v>21.79411765</v>
      </c>
      <c r="K363" s="235">
        <v>173.0</v>
      </c>
      <c r="L363" s="236">
        <v>437.0</v>
      </c>
      <c r="M363" s="73">
        <f t="shared" ref="M363:M368" si="390">G363/L363</f>
        <v>0.04347826087</v>
      </c>
      <c r="N363" s="237">
        <v>21.58</v>
      </c>
      <c r="O363" s="237">
        <v>78.0</v>
      </c>
      <c r="P363" s="238">
        <v>4.0</v>
      </c>
      <c r="Q363" s="239">
        <v>8225.0</v>
      </c>
      <c r="R363" s="155">
        <f t="shared" si="1"/>
        <v>0.2766666667</v>
      </c>
      <c r="S363" s="156">
        <f t="shared" si="2"/>
        <v>3.614457831</v>
      </c>
      <c r="T363" s="155" t="str">
        <f>#REF!/#REF!</f>
        <v>#REF!</v>
      </c>
      <c r="U363" s="76"/>
      <c r="V363" s="77"/>
      <c r="W363" s="2"/>
      <c r="X363" s="2"/>
    </row>
    <row r="364">
      <c r="A364" s="157" t="str">
        <f>iferror(if(D364&gt;0,month(D364)&amp;"-"&amp;year(D364),D364),)</f>
        <v/>
      </c>
      <c r="B364" s="158"/>
      <c r="C364" s="240" t="s">
        <v>61</v>
      </c>
      <c r="D364" s="240" t="s">
        <v>62</v>
      </c>
      <c r="E364" s="68"/>
      <c r="F364" s="235">
        <v>1133.58</v>
      </c>
      <c r="G364" s="241">
        <v>42.0</v>
      </c>
      <c r="H364" s="241">
        <v>39.0</v>
      </c>
      <c r="I364" s="71">
        <f t="shared" si="388"/>
        <v>1.076923077</v>
      </c>
      <c r="J364" s="69">
        <f t="shared" si="389"/>
        <v>29.06615385</v>
      </c>
      <c r="K364" s="69">
        <f t="shared" ref="K364:K367" si="391">F364/G364</f>
        <v>26.99</v>
      </c>
      <c r="L364" s="236">
        <v>518.0</v>
      </c>
      <c r="M364" s="73">
        <f t="shared" si="390"/>
        <v>0.08108108108</v>
      </c>
      <c r="N364" s="242">
        <v>44.9</v>
      </c>
      <c r="O364" s="242">
        <v>80.97</v>
      </c>
      <c r="P364" s="243">
        <v>2.0</v>
      </c>
      <c r="Q364" s="244">
        <v>12274.0</v>
      </c>
      <c r="R364" s="155">
        <f t="shared" si="1"/>
        <v>0.5545263678</v>
      </c>
      <c r="S364" s="156">
        <f t="shared" si="2"/>
        <v>1.803340757</v>
      </c>
      <c r="T364" s="155">
        <f t="shared" ref="T364:T369" si="392">O364/F364</f>
        <v>0.07142857143</v>
      </c>
      <c r="U364" s="76"/>
      <c r="V364" s="77"/>
      <c r="W364" s="2"/>
      <c r="X364" s="2"/>
    </row>
    <row r="365">
      <c r="A365" s="56"/>
      <c r="B365" s="227"/>
      <c r="C365" s="245" t="s">
        <v>14</v>
      </c>
      <c r="D365" s="245" t="s">
        <v>15</v>
      </c>
      <c r="E365" s="68"/>
      <c r="F365" s="235">
        <v>446.25</v>
      </c>
      <c r="G365" s="241">
        <v>21.0</v>
      </c>
      <c r="H365" s="241">
        <v>19.0</v>
      </c>
      <c r="I365" s="71">
        <f t="shared" si="388"/>
        <v>1.105263158</v>
      </c>
      <c r="J365" s="69">
        <f t="shared" si="389"/>
        <v>23.48684211</v>
      </c>
      <c r="K365" s="69">
        <f t="shared" si="391"/>
        <v>21.25</v>
      </c>
      <c r="L365" s="236">
        <v>397.0</v>
      </c>
      <c r="M365" s="73">
        <f t="shared" si="390"/>
        <v>0.05289672544</v>
      </c>
      <c r="N365" s="246">
        <v>13.31</v>
      </c>
      <c r="O365" s="246">
        <v>21.25</v>
      </c>
      <c r="P365" s="247">
        <v>1.0</v>
      </c>
      <c r="Q365" s="248">
        <v>7760.0</v>
      </c>
      <c r="R365" s="155">
        <f t="shared" si="1"/>
        <v>0.6263529412</v>
      </c>
      <c r="S365" s="156">
        <f t="shared" si="2"/>
        <v>1.596543952</v>
      </c>
      <c r="T365" s="155">
        <f t="shared" si="392"/>
        <v>0.04761904762</v>
      </c>
      <c r="U365" s="76"/>
      <c r="V365" s="77"/>
      <c r="W365" s="2"/>
      <c r="X365" s="2"/>
    </row>
    <row r="366">
      <c r="A366" s="56"/>
      <c r="B366" s="227"/>
      <c r="C366" s="249" t="s">
        <v>63</v>
      </c>
      <c r="D366" s="249" t="s">
        <v>64</v>
      </c>
      <c r="E366" s="68"/>
      <c r="F366" s="235">
        <v>49.98</v>
      </c>
      <c r="G366" s="241">
        <v>2.0</v>
      </c>
      <c r="H366" s="241">
        <v>2.0</v>
      </c>
      <c r="I366" s="71">
        <f t="shared" si="388"/>
        <v>1</v>
      </c>
      <c r="J366" s="69">
        <f t="shared" si="389"/>
        <v>24.99</v>
      </c>
      <c r="K366" s="69">
        <f t="shared" si="391"/>
        <v>24.99</v>
      </c>
      <c r="L366" s="236">
        <v>128.0</v>
      </c>
      <c r="M366" s="73">
        <f t="shared" si="390"/>
        <v>0.015625</v>
      </c>
      <c r="N366" s="250">
        <v>7.54</v>
      </c>
      <c r="O366" s="250">
        <v>0.0</v>
      </c>
      <c r="P366" s="251">
        <v>0.0</v>
      </c>
      <c r="Q366" s="252">
        <v>1147.0</v>
      </c>
      <c r="R366" s="155" t="str">
        <f t="shared" si="1"/>
        <v>#DIV/0!</v>
      </c>
      <c r="S366" s="156">
        <f t="shared" si="2"/>
        <v>0</v>
      </c>
      <c r="T366" s="155">
        <f t="shared" si="392"/>
        <v>0</v>
      </c>
      <c r="U366" s="76"/>
      <c r="V366" s="77"/>
      <c r="W366" s="2"/>
      <c r="X366" s="2"/>
    </row>
    <row r="367">
      <c r="A367" s="56" t="str">
        <f>iferror(if(B367&gt;0,month(B367)&amp;"-"&amp;year(B367),B367),)</f>
        <v>1-2026</v>
      </c>
      <c r="B367" s="227">
        <v>46039.0</v>
      </c>
      <c r="C367" s="253" t="s">
        <v>65</v>
      </c>
      <c r="D367" s="253" t="s">
        <v>66</v>
      </c>
      <c r="E367" s="68"/>
      <c r="F367" s="235">
        <v>0.0</v>
      </c>
      <c r="G367" s="241">
        <v>0.0</v>
      </c>
      <c r="H367" s="241">
        <v>0.0</v>
      </c>
      <c r="I367" s="71" t="str">
        <f t="shared" si="388"/>
        <v>#DIV/0!</v>
      </c>
      <c r="J367" s="69" t="str">
        <f t="shared" si="389"/>
        <v>#DIV/0!</v>
      </c>
      <c r="K367" s="69" t="str">
        <f t="shared" si="391"/>
        <v>#DIV/0!</v>
      </c>
      <c r="L367" s="236">
        <v>0.0</v>
      </c>
      <c r="M367" s="73" t="str">
        <f t="shared" si="390"/>
        <v>#DIV/0!</v>
      </c>
      <c r="N367" s="254">
        <v>0.0</v>
      </c>
      <c r="O367" s="254">
        <v>0.0</v>
      </c>
      <c r="P367" s="255">
        <v>0.0</v>
      </c>
      <c r="Q367" s="255">
        <v>0.0</v>
      </c>
      <c r="R367" s="155" t="str">
        <f t="shared" si="1"/>
        <v>#DIV/0!</v>
      </c>
      <c r="S367" s="156" t="str">
        <f t="shared" si="2"/>
        <v>#DIV/0!</v>
      </c>
      <c r="T367" s="155" t="str">
        <f t="shared" si="392"/>
        <v>#DIV/0!</v>
      </c>
      <c r="U367" s="76"/>
      <c r="V367" s="77"/>
      <c r="W367" s="2"/>
      <c r="X367" s="2"/>
    </row>
    <row r="368">
      <c r="A368" s="256" t="s">
        <v>55</v>
      </c>
      <c r="B368" s="79"/>
      <c r="C368" s="79"/>
      <c r="D368" s="79"/>
      <c r="E368" s="80"/>
      <c r="F368" s="81">
        <f t="shared" ref="F368:H368" si="393">SUM(F362:F367)</f>
        <v>2000.31</v>
      </c>
      <c r="G368" s="256">
        <f t="shared" si="393"/>
        <v>84</v>
      </c>
      <c r="H368" s="256">
        <f t="shared" si="393"/>
        <v>77</v>
      </c>
      <c r="I368" s="257">
        <f t="shared" si="388"/>
        <v>1.090909091</v>
      </c>
      <c r="J368" s="84">
        <f>F368/G368</f>
        <v>23.81321429</v>
      </c>
      <c r="K368" s="84">
        <f>J368/I368</f>
        <v>21.82877976</v>
      </c>
      <c r="L368" s="85">
        <f>SUM(L362:L367)</f>
        <v>1480</v>
      </c>
      <c r="M368" s="86">
        <f t="shared" si="390"/>
        <v>0.05675675676</v>
      </c>
      <c r="N368" s="81">
        <f t="shared" ref="N368:P368" si="394">SUM(N362:N367)</f>
        <v>826.23</v>
      </c>
      <c r="O368" s="81">
        <f t="shared" si="394"/>
        <v>1549.18</v>
      </c>
      <c r="P368" s="256">
        <f t="shared" si="394"/>
        <v>60</v>
      </c>
      <c r="Q368" s="258">
        <f>sum(Q362:Q367)</f>
        <v>206916</v>
      </c>
      <c r="R368" s="86">
        <f t="shared" si="1"/>
        <v>0.5333337637</v>
      </c>
      <c r="S368" s="259">
        <f t="shared" si="2"/>
        <v>1.874998487</v>
      </c>
      <c r="T368" s="89">
        <f t="shared" si="392"/>
        <v>0.7744699572</v>
      </c>
      <c r="U368" s="80" t="str">
        <f>iferror((F368-#REF!)/F368,)</f>
        <v/>
      </c>
      <c r="V368" s="90" t="str">
        <f>iferror((H368-#REF!)/H368,)</f>
        <v/>
      </c>
      <c r="W368" s="2"/>
      <c r="X368" s="2"/>
    </row>
    <row r="369">
      <c r="A369" s="56" t="str">
        <f>iferror(if(B369&gt;0,month(B369)&amp;"-"&amp;year(B369),B369),)</f>
        <v>1-2026</v>
      </c>
      <c r="B369" s="227">
        <v>46040.0</v>
      </c>
      <c r="C369" s="144"/>
      <c r="D369" s="228" t="s">
        <v>60</v>
      </c>
      <c r="E369" s="58"/>
      <c r="F369" s="146"/>
      <c r="G369" s="147"/>
      <c r="H369" s="147"/>
      <c r="I369" s="148"/>
      <c r="J369" s="149"/>
      <c r="K369" s="149"/>
      <c r="L369" s="150"/>
      <c r="M369" s="151"/>
      <c r="N369" s="229">
        <v>686.4</v>
      </c>
      <c r="O369" s="229">
        <v>1569.42</v>
      </c>
      <c r="P369" s="230">
        <v>56.0</v>
      </c>
      <c r="Q369" s="231">
        <v>147016.0</v>
      </c>
      <c r="R369" s="155">
        <f t="shared" si="1"/>
        <v>0.4373590244</v>
      </c>
      <c r="S369" s="156">
        <f t="shared" si="2"/>
        <v>2.286451049</v>
      </c>
      <c r="T369" s="155" t="str">
        <f t="shared" si="392"/>
        <v>#DIV/0!</v>
      </c>
      <c r="U369" s="76"/>
      <c r="V369" s="77"/>
      <c r="W369" s="2"/>
      <c r="X369" s="2"/>
    </row>
    <row r="370">
      <c r="A370" s="157"/>
      <c r="B370" s="158"/>
      <c r="C370" s="232" t="s">
        <v>12</v>
      </c>
      <c r="D370" s="232" t="s">
        <v>13</v>
      </c>
      <c r="E370" s="58"/>
      <c r="F370" s="233">
        <v>546.0</v>
      </c>
      <c r="G370" s="234">
        <v>28.0</v>
      </c>
      <c r="H370" s="234">
        <v>25.0</v>
      </c>
      <c r="I370" s="71">
        <f t="shared" ref="I370:I375" si="395">G370/H370</f>
        <v>1.12</v>
      </c>
      <c r="J370" s="69">
        <f t="shared" ref="J370:J374" si="396">F370/H370</f>
        <v>21.84</v>
      </c>
      <c r="K370" s="235">
        <v>173.0</v>
      </c>
      <c r="L370" s="236">
        <v>396.0</v>
      </c>
      <c r="M370" s="73">
        <f t="shared" ref="M370:M375" si="397">G370/L370</f>
        <v>0.07070707071</v>
      </c>
      <c r="N370" s="237">
        <v>19.71</v>
      </c>
      <c r="O370" s="237">
        <v>19.5</v>
      </c>
      <c r="P370" s="238">
        <v>1.0</v>
      </c>
      <c r="Q370" s="239">
        <v>8856.0</v>
      </c>
      <c r="R370" s="155">
        <f t="shared" si="1"/>
        <v>1.010769231</v>
      </c>
      <c r="S370" s="156">
        <f t="shared" si="2"/>
        <v>0.9893455099</v>
      </c>
      <c r="T370" s="155" t="str">
        <f>#REF!/#REF!</f>
        <v>#REF!</v>
      </c>
      <c r="U370" s="76"/>
      <c r="V370" s="77"/>
      <c r="W370" s="2"/>
      <c r="X370" s="2"/>
    </row>
    <row r="371">
      <c r="A371" s="157" t="str">
        <f>iferror(if(D371&gt;0,month(D371)&amp;"-"&amp;year(D371),D371),)</f>
        <v/>
      </c>
      <c r="B371" s="158"/>
      <c r="C371" s="240" t="s">
        <v>61</v>
      </c>
      <c r="D371" s="240" t="s">
        <v>62</v>
      </c>
      <c r="E371" s="68"/>
      <c r="F371" s="235">
        <v>1592.41</v>
      </c>
      <c r="G371" s="241">
        <v>59.0</v>
      </c>
      <c r="H371" s="241">
        <v>55.0</v>
      </c>
      <c r="I371" s="71">
        <f t="shared" si="395"/>
        <v>1.072727273</v>
      </c>
      <c r="J371" s="69">
        <f t="shared" si="396"/>
        <v>28.95290909</v>
      </c>
      <c r="K371" s="69">
        <f t="shared" ref="K371:K374" si="398">F371/G371</f>
        <v>26.99</v>
      </c>
      <c r="L371" s="236">
        <v>530.0</v>
      </c>
      <c r="M371" s="73">
        <f t="shared" si="397"/>
        <v>0.1113207547</v>
      </c>
      <c r="N371" s="242">
        <v>97.07</v>
      </c>
      <c r="O371" s="242">
        <v>422.9</v>
      </c>
      <c r="P371" s="243">
        <v>14.0</v>
      </c>
      <c r="Q371" s="244">
        <v>20208.0</v>
      </c>
      <c r="R371" s="155">
        <f t="shared" si="1"/>
        <v>0.2295341688</v>
      </c>
      <c r="S371" s="156">
        <f t="shared" si="2"/>
        <v>4.35664984</v>
      </c>
      <c r="T371" s="155">
        <f t="shared" ref="T371:T375" si="399">O371/F371</f>
        <v>0.2655723086</v>
      </c>
      <c r="U371" s="76"/>
      <c r="V371" s="77"/>
      <c r="W371" s="2"/>
      <c r="X371" s="2"/>
    </row>
    <row r="372">
      <c r="A372" s="56"/>
      <c r="B372" s="227"/>
      <c r="C372" s="245" t="s">
        <v>14</v>
      </c>
      <c r="D372" s="245" t="s">
        <v>15</v>
      </c>
      <c r="E372" s="68"/>
      <c r="F372" s="235">
        <v>403.75</v>
      </c>
      <c r="G372" s="241">
        <v>19.0</v>
      </c>
      <c r="H372" s="241">
        <v>17.0</v>
      </c>
      <c r="I372" s="71">
        <f t="shared" si="395"/>
        <v>1.117647059</v>
      </c>
      <c r="J372" s="69">
        <f t="shared" si="396"/>
        <v>23.75</v>
      </c>
      <c r="K372" s="69">
        <f t="shared" si="398"/>
        <v>21.25</v>
      </c>
      <c r="L372" s="236">
        <v>326.0</v>
      </c>
      <c r="M372" s="73">
        <f t="shared" si="397"/>
        <v>0.05828220859</v>
      </c>
      <c r="N372" s="246">
        <v>19.9</v>
      </c>
      <c r="O372" s="246">
        <v>21.25</v>
      </c>
      <c r="P372" s="247">
        <v>1.0</v>
      </c>
      <c r="Q372" s="248">
        <v>7672.0</v>
      </c>
      <c r="R372" s="155">
        <f t="shared" si="1"/>
        <v>0.9364705882</v>
      </c>
      <c r="S372" s="156">
        <f t="shared" si="2"/>
        <v>1.067839196</v>
      </c>
      <c r="T372" s="155">
        <f t="shared" si="399"/>
        <v>0.05263157895</v>
      </c>
      <c r="U372" s="76"/>
      <c r="V372" s="77"/>
      <c r="W372" s="2"/>
      <c r="X372" s="2"/>
    </row>
    <row r="373">
      <c r="A373" s="56"/>
      <c r="B373" s="227"/>
      <c r="C373" s="249" t="s">
        <v>63</v>
      </c>
      <c r="D373" s="249" t="s">
        <v>64</v>
      </c>
      <c r="E373" s="68"/>
      <c r="F373" s="235">
        <v>149.94</v>
      </c>
      <c r="G373" s="241">
        <v>6.0</v>
      </c>
      <c r="H373" s="241">
        <v>5.0</v>
      </c>
      <c r="I373" s="71">
        <f t="shared" si="395"/>
        <v>1.2</v>
      </c>
      <c r="J373" s="69">
        <f t="shared" si="396"/>
        <v>29.988</v>
      </c>
      <c r="K373" s="69">
        <f t="shared" si="398"/>
        <v>24.99</v>
      </c>
      <c r="L373" s="236">
        <v>199.0</v>
      </c>
      <c r="M373" s="73">
        <f t="shared" si="397"/>
        <v>0.03015075377</v>
      </c>
      <c r="N373" s="250">
        <v>24.71</v>
      </c>
      <c r="O373" s="250">
        <v>69.48</v>
      </c>
      <c r="P373" s="251">
        <v>3.0</v>
      </c>
      <c r="Q373" s="252">
        <v>5079.0</v>
      </c>
      <c r="R373" s="155">
        <f t="shared" si="1"/>
        <v>0.3556419113</v>
      </c>
      <c r="S373" s="156">
        <f t="shared" si="2"/>
        <v>2.811817078</v>
      </c>
      <c r="T373" s="155">
        <f t="shared" si="399"/>
        <v>0.4633853541</v>
      </c>
      <c r="U373" s="76"/>
      <c r="V373" s="77"/>
      <c r="W373" s="2"/>
      <c r="X373" s="2"/>
    </row>
    <row r="374">
      <c r="A374" s="56" t="str">
        <f>iferror(if(B374&gt;0,month(B374)&amp;"-"&amp;year(B374),B374),)</f>
        <v>1-2026</v>
      </c>
      <c r="B374" s="227">
        <v>46046.0</v>
      </c>
      <c r="C374" s="253" t="s">
        <v>65</v>
      </c>
      <c r="D374" s="253" t="s">
        <v>66</v>
      </c>
      <c r="E374" s="68"/>
      <c r="F374" s="235">
        <v>461.86</v>
      </c>
      <c r="G374" s="241">
        <v>14.0</v>
      </c>
      <c r="H374" s="241">
        <v>9.0</v>
      </c>
      <c r="I374" s="71">
        <f t="shared" si="395"/>
        <v>1.555555556</v>
      </c>
      <c r="J374" s="69">
        <f t="shared" si="396"/>
        <v>51.31777778</v>
      </c>
      <c r="K374" s="69">
        <f t="shared" si="398"/>
        <v>32.99</v>
      </c>
      <c r="L374" s="236">
        <v>275.0</v>
      </c>
      <c r="M374" s="73">
        <f t="shared" si="397"/>
        <v>0.05090909091</v>
      </c>
      <c r="N374" s="254">
        <v>26.91</v>
      </c>
      <c r="O374" s="254">
        <v>0.0</v>
      </c>
      <c r="P374" s="255">
        <v>0.0</v>
      </c>
      <c r="Q374" s="255">
        <v>5220.0</v>
      </c>
      <c r="R374" s="155" t="str">
        <f t="shared" si="1"/>
        <v>#DIV/0!</v>
      </c>
      <c r="S374" s="156">
        <f t="shared" si="2"/>
        <v>0</v>
      </c>
      <c r="T374" s="155">
        <f t="shared" si="399"/>
        <v>0</v>
      </c>
      <c r="U374" s="76"/>
      <c r="V374" s="77"/>
      <c r="W374" s="2"/>
      <c r="X374" s="2"/>
    </row>
    <row r="375">
      <c r="A375" s="256" t="s">
        <v>56</v>
      </c>
      <c r="B375" s="79"/>
      <c r="C375" s="79"/>
      <c r="D375" s="79"/>
      <c r="E375" s="80"/>
      <c r="F375" s="81">
        <f t="shared" ref="F375:H375" si="400">SUM(F369:F374)</f>
        <v>3153.96</v>
      </c>
      <c r="G375" s="256">
        <f t="shared" si="400"/>
        <v>126</v>
      </c>
      <c r="H375" s="256">
        <f t="shared" si="400"/>
        <v>111</v>
      </c>
      <c r="I375" s="257">
        <f t="shared" si="395"/>
        <v>1.135135135</v>
      </c>
      <c r="J375" s="84">
        <f>F375/G375</f>
        <v>25.03142857</v>
      </c>
      <c r="K375" s="84">
        <f>J375/I375</f>
        <v>22.0514966</v>
      </c>
      <c r="L375" s="85">
        <f>SUM(L369:L374)</f>
        <v>1726</v>
      </c>
      <c r="M375" s="86">
        <f t="shared" si="397"/>
        <v>0.07300115875</v>
      </c>
      <c r="N375" s="81">
        <f t="shared" ref="N375:P375" si="401">SUM(N369:N374)</f>
        <v>874.7</v>
      </c>
      <c r="O375" s="81">
        <f t="shared" si="401"/>
        <v>2102.55</v>
      </c>
      <c r="P375" s="256">
        <f t="shared" si="401"/>
        <v>75</v>
      </c>
      <c r="Q375" s="258">
        <f>sum(Q369:Q374)</f>
        <v>194051</v>
      </c>
      <c r="R375" s="86">
        <f t="shared" si="1"/>
        <v>0.416018644</v>
      </c>
      <c r="S375" s="259">
        <f t="shared" si="2"/>
        <v>2.403738425</v>
      </c>
      <c r="T375" s="89">
        <f t="shared" si="399"/>
        <v>0.6666381311</v>
      </c>
      <c r="U375" s="80">
        <f>iferror((F375-F368)/F375,)</f>
        <v>0.3657782597</v>
      </c>
      <c r="V375" s="90">
        <f>iferror((H375-G368)/H375,)</f>
        <v>0.2432432432</v>
      </c>
      <c r="W375" s="2"/>
      <c r="X375" s="2"/>
    </row>
  </sheetData>
  <mergeCells count="26">
    <mergeCell ref="I3:K3"/>
    <mergeCell ref="I4:K4"/>
    <mergeCell ref="E4:G4"/>
    <mergeCell ref="E5:H5"/>
    <mergeCell ref="I5:K5"/>
    <mergeCell ref="L5:N5"/>
    <mergeCell ref="E3:H3"/>
    <mergeCell ref="E7:H7"/>
    <mergeCell ref="I7:K7"/>
    <mergeCell ref="L7:N7"/>
    <mergeCell ref="E8:G8"/>
    <mergeCell ref="I8:K8"/>
    <mergeCell ref="L8:N8"/>
    <mergeCell ref="E9:H9"/>
    <mergeCell ref="I9:K9"/>
    <mergeCell ref="L9:N9"/>
    <mergeCell ref="F10:M10"/>
    <mergeCell ref="N10:T10"/>
    <mergeCell ref="U10:V10"/>
    <mergeCell ref="A1:D1"/>
    <mergeCell ref="A2:V2"/>
    <mergeCell ref="A3:D9"/>
    <mergeCell ref="L3:N3"/>
    <mergeCell ref="O3:O9"/>
    <mergeCell ref="L4:N4"/>
    <mergeCell ref="L6:N6"/>
  </mergeCells>
  <dataValidations>
    <dataValidation type="list" allowBlank="1" sqref="A2 A17 A23 A29 A35 A41 A47 A53 A59 A65 A71 A77 A83 A89 A95 A101 A107 A113 A119 A125 A131 A137 A143 A149 A155 A161 A167 A173 A179 A185 A191 A197 A203 A209 A215 A221 A228 A235 A242 A249 A256 A263 A270 A277 A284 A291 A298 A305 A312 A319 A326 A333 A340 A347 A354 A361 A368 A375">
      <formula1>"Previous Week,Current Week"</formula1>
    </dataValidation>
  </dataValidations>
  <hyperlinks>
    <hyperlink r:id="rId1" location="/report?id=102%3ADetailSalesTrafficBySKU&amp;chartCols=&amp;columns=0%2F1%2F2%2F3%2F8%2F9%2F14%2F15%2F20%2F21%2F26%2F27%2F28%2F29%2F30%2F31%2F32%2F33%2F34%2F35%2F36%2F37&amp;fromDate=2025-02-16&amp;toDate=2025-02-22" ref="A1"/>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ySplit="11.0" topLeftCell="A12" activePane="bottomLeft" state="frozen"/>
      <selection activeCell="B13" sqref="B13" pane="bottomLeft"/>
    </sheetView>
  </sheetViews>
  <sheetFormatPr customHeight="1" defaultColWidth="12.63" defaultRowHeight="15.75" outlineLevelRow="1"/>
  <cols>
    <col customWidth="1" min="1" max="1" width="19.0"/>
  </cols>
  <sheetData>
    <row r="1">
      <c r="A1" s="6" t="s">
        <v>16</v>
      </c>
      <c r="B1" s="7"/>
      <c r="C1" s="8"/>
      <c r="D1" s="8"/>
      <c r="E1" s="8"/>
      <c r="F1" s="8"/>
      <c r="G1" s="8"/>
      <c r="H1" s="8"/>
      <c r="I1" s="8"/>
      <c r="J1" s="8"/>
      <c r="K1" s="8"/>
      <c r="L1" s="8"/>
      <c r="M1" s="8"/>
      <c r="N1" s="8"/>
      <c r="O1" s="8"/>
      <c r="P1" s="8"/>
      <c r="Q1" s="8"/>
      <c r="R1" s="8"/>
      <c r="S1" s="8"/>
      <c r="T1" s="8"/>
      <c r="U1" s="9"/>
      <c r="V1" s="9"/>
      <c r="W1" s="10"/>
      <c r="X1" s="10"/>
      <c r="Y1" s="10"/>
      <c r="Z1" s="10"/>
    </row>
    <row r="2">
      <c r="A2" s="11" t="s">
        <v>17</v>
      </c>
      <c r="B2" s="12"/>
      <c r="C2" s="12"/>
      <c r="D2" s="12"/>
      <c r="E2" s="12"/>
      <c r="F2" s="12"/>
      <c r="G2" s="12"/>
      <c r="H2" s="12"/>
      <c r="I2" s="12"/>
      <c r="J2" s="12"/>
      <c r="K2" s="12"/>
      <c r="L2" s="12"/>
      <c r="M2" s="12"/>
      <c r="N2" s="12"/>
      <c r="O2" s="12"/>
      <c r="P2" s="12"/>
      <c r="Q2" s="12"/>
      <c r="R2" s="12"/>
      <c r="S2" s="12"/>
      <c r="T2" s="13"/>
      <c r="U2" s="9"/>
      <c r="V2" s="9"/>
      <c r="W2" s="10"/>
      <c r="X2" s="10"/>
      <c r="Y2" s="10"/>
      <c r="Z2" s="10"/>
    </row>
    <row r="3">
      <c r="A3" s="9"/>
      <c r="C3" s="14" t="s">
        <v>18</v>
      </c>
      <c r="D3" s="12"/>
      <c r="E3" s="12"/>
      <c r="F3" s="13"/>
      <c r="G3" s="14" t="s">
        <v>19</v>
      </c>
      <c r="H3" s="12"/>
      <c r="I3" s="13"/>
      <c r="J3" s="14" t="s">
        <v>20</v>
      </c>
      <c r="K3" s="12"/>
      <c r="L3" s="12"/>
      <c r="M3" s="9"/>
      <c r="N3" s="15"/>
      <c r="O3" s="15"/>
      <c r="P3" s="15"/>
      <c r="Q3" s="15"/>
      <c r="R3" s="15"/>
      <c r="S3" s="15"/>
      <c r="T3" s="15"/>
      <c r="U3" s="9"/>
      <c r="V3" s="9"/>
      <c r="W3" s="10"/>
      <c r="X3" s="10"/>
      <c r="Y3" s="10"/>
      <c r="Z3" s="10"/>
    </row>
    <row r="4">
      <c r="C4" s="16">
        <f>VLOOKUP("Current Week",$A$11:$T$514,match("SALES",$A$11:$T$11,0),FALSE)</f>
        <v>2245.1</v>
      </c>
      <c r="D4" s="12"/>
      <c r="E4" s="13"/>
      <c r="F4" s="15"/>
      <c r="G4" s="17">
        <f>VLOOKUP("Current Week",$A$11:$T$514,match("ORDERS",$A$11:$T$11,0),FALSE)</f>
        <v>83</v>
      </c>
      <c r="H4" s="12"/>
      <c r="I4" s="13"/>
      <c r="J4" s="17">
        <f>VLOOKUP("Current Week",$A$11:$T$514,match("UNITS SOLD",$A$11:$T$11,0),FALSE)</f>
        <v>91</v>
      </c>
      <c r="K4" s="12"/>
      <c r="L4" s="12"/>
      <c r="N4" s="15"/>
      <c r="O4" s="15"/>
      <c r="P4" s="15"/>
      <c r="Q4" s="15"/>
      <c r="R4" s="15"/>
      <c r="S4" s="15"/>
      <c r="T4" s="15"/>
      <c r="U4" s="9"/>
      <c r="V4" s="9"/>
      <c r="W4" s="10"/>
      <c r="X4" s="10"/>
      <c r="Y4" s="10"/>
      <c r="Z4" s="10"/>
    </row>
    <row r="5">
      <c r="C5" s="18">
        <f>(C4-(VLOOKUP("Previous Week",$A$11:$T514,match("SALES",$A$11:$T$11,0),FALSE)))/C4</f>
        <v>0.4354371743</v>
      </c>
      <c r="D5" s="12"/>
      <c r="E5" s="12"/>
      <c r="F5" s="13"/>
      <c r="G5" s="18">
        <f>(G4-(VLOOKUP("Previous Week",$A$11:$T514,match("ORDERS",$A$11:$T$11,0),FALSE)))/G4</f>
        <v>0.4457831325</v>
      </c>
      <c r="H5" s="12"/>
      <c r="I5" s="13"/>
      <c r="J5" s="18">
        <f>(J4-(VLOOKUP("Previous Week",$A$11:$T514,match("UNITS SOLD",$A$11:$T$11,0),FALSE)))/J4</f>
        <v>0.4285714286</v>
      </c>
      <c r="K5" s="12"/>
      <c r="L5" s="12"/>
      <c r="N5" s="15"/>
      <c r="O5" s="15"/>
      <c r="P5" s="15"/>
      <c r="Q5" s="15"/>
      <c r="R5" s="15"/>
      <c r="S5" s="15"/>
      <c r="T5" s="15"/>
      <c r="U5" s="9"/>
      <c r="V5" s="9"/>
      <c r="W5" s="10"/>
      <c r="X5" s="10"/>
      <c r="Y5" s="10"/>
      <c r="Z5" s="10"/>
    </row>
    <row r="6">
      <c r="C6" s="15"/>
      <c r="D6" s="15"/>
      <c r="E6" s="15"/>
      <c r="F6" s="15"/>
      <c r="G6" s="15"/>
      <c r="H6" s="15"/>
      <c r="I6" s="15"/>
      <c r="J6" s="19"/>
      <c r="K6" s="12"/>
      <c r="L6" s="13"/>
      <c r="N6" s="15"/>
      <c r="O6" s="15"/>
      <c r="P6" s="15"/>
      <c r="Q6" s="15"/>
      <c r="R6" s="15"/>
      <c r="S6" s="15"/>
      <c r="T6" s="15"/>
      <c r="U6" s="9"/>
      <c r="V6" s="9"/>
      <c r="W6" s="10"/>
      <c r="X6" s="10"/>
      <c r="Y6" s="10"/>
      <c r="Z6" s="10"/>
    </row>
    <row r="7">
      <c r="C7" s="14" t="s">
        <v>21</v>
      </c>
      <c r="D7" s="12"/>
      <c r="E7" s="12"/>
      <c r="F7" s="13"/>
      <c r="G7" s="14" t="s">
        <v>22</v>
      </c>
      <c r="H7" s="12"/>
      <c r="I7" s="13"/>
      <c r="J7" s="14" t="s">
        <v>23</v>
      </c>
      <c r="K7" s="12"/>
      <c r="L7" s="12"/>
      <c r="N7" s="15"/>
      <c r="O7" s="15"/>
      <c r="P7" s="15"/>
      <c r="Q7" s="15"/>
      <c r="R7" s="15"/>
      <c r="S7" s="15"/>
      <c r="T7" s="15"/>
      <c r="U7" s="9"/>
      <c r="V7" s="9"/>
      <c r="W7" s="10"/>
      <c r="X7" s="10"/>
      <c r="Y7" s="10"/>
      <c r="Z7" s="10"/>
    </row>
    <row r="8">
      <c r="C8" s="16">
        <f>VLOOKUP("Current Week",$A$11:$T$514,match("AD SALES",$A$11:$T$11,0),FALSE)</f>
        <v>1522.39</v>
      </c>
      <c r="D8" s="12"/>
      <c r="E8" s="13"/>
      <c r="F8" s="15"/>
      <c r="G8" s="16">
        <f>VLOOKUP("Current Week",$A$11:$T$514,match("SP AD SPEND",$A$11:$T$11,0),FALSE)</f>
        <v>796.28</v>
      </c>
      <c r="H8" s="12"/>
      <c r="I8" s="13"/>
      <c r="J8" s="20" t="str">
        <f>I8/E8</f>
        <v>#DIV/0!</v>
      </c>
      <c r="K8" s="12"/>
      <c r="L8" s="12"/>
      <c r="N8" s="15"/>
      <c r="O8" s="15"/>
      <c r="P8" s="15"/>
      <c r="Q8" s="15"/>
      <c r="R8" s="15"/>
      <c r="S8" s="15"/>
      <c r="T8" s="15"/>
      <c r="U8" s="9"/>
      <c r="V8" s="9"/>
      <c r="W8" s="10"/>
      <c r="X8" s="10"/>
      <c r="Y8" s="10"/>
      <c r="Z8" s="10"/>
    </row>
    <row r="9">
      <c r="A9" s="21"/>
      <c r="B9" s="21"/>
      <c r="C9" s="22">
        <f>(C8-(VLOOKUP("Previous Week",$A$11:$T514,match("AD SALES",$A$11:$T$11,0),FALSE)))/C8</f>
        <v>0.2586984938</v>
      </c>
      <c r="D9" s="21"/>
      <c r="E9" s="21"/>
      <c r="F9" s="23"/>
      <c r="G9" s="24">
        <f>(G8-(VLOOKUP("Previous Week",$A$11:$T514,match("SP AD SPEND",$A$11:$T$11,0),FALSE)))/G8</f>
        <v>0.4261440699</v>
      </c>
      <c r="H9" s="21"/>
      <c r="I9" s="23"/>
      <c r="J9" s="25" t="str">
        <f>(J8-(VLOOKUP("Previous Week",$A$11:$T514,match("ACoS",$A$11:$T$11,0),FALSE)))/J8</f>
        <v>#DIV/0!</v>
      </c>
      <c r="K9" s="21"/>
      <c r="L9" s="21"/>
      <c r="M9" s="21"/>
      <c r="N9" s="26"/>
      <c r="O9" s="26"/>
      <c r="P9" s="26"/>
      <c r="Q9" s="26"/>
      <c r="R9" s="26"/>
      <c r="S9" s="26"/>
      <c r="T9" s="26"/>
      <c r="U9" s="9"/>
      <c r="V9" s="9"/>
      <c r="W9" s="10"/>
      <c r="X9" s="10"/>
      <c r="Y9" s="10"/>
      <c r="Z9" s="10"/>
    </row>
    <row r="10">
      <c r="A10" s="27"/>
      <c r="B10" s="28"/>
      <c r="C10" s="28"/>
      <c r="D10" s="17" t="s">
        <v>24</v>
      </c>
      <c r="E10" s="12"/>
      <c r="F10" s="12"/>
      <c r="G10" s="12"/>
      <c r="H10" s="12"/>
      <c r="I10" s="12"/>
      <c r="J10" s="12"/>
      <c r="K10" s="29"/>
      <c r="L10" s="30" t="s">
        <v>25</v>
      </c>
      <c r="M10" s="12"/>
      <c r="N10" s="12"/>
      <c r="O10" s="12"/>
      <c r="P10" s="12"/>
      <c r="Q10" s="12"/>
      <c r="R10" s="29"/>
      <c r="S10" s="17" t="s">
        <v>26</v>
      </c>
      <c r="T10" s="29"/>
      <c r="U10" s="9"/>
      <c r="V10" s="9"/>
      <c r="W10" s="10"/>
      <c r="X10" s="10"/>
      <c r="Y10" s="10"/>
      <c r="Z10" s="10"/>
    </row>
    <row r="11">
      <c r="A11" s="31" t="s">
        <v>27</v>
      </c>
      <c r="B11" s="32" t="s">
        <v>28</v>
      </c>
      <c r="C11" s="33"/>
      <c r="D11" s="34" t="s">
        <v>29</v>
      </c>
      <c r="E11" s="34" t="s">
        <v>30</v>
      </c>
      <c r="F11" s="34" t="s">
        <v>31</v>
      </c>
      <c r="G11" s="34" t="s">
        <v>32</v>
      </c>
      <c r="H11" s="34" t="s">
        <v>33</v>
      </c>
      <c r="I11" s="34" t="s">
        <v>34</v>
      </c>
      <c r="J11" s="34" t="s">
        <v>35</v>
      </c>
      <c r="K11" s="32" t="s">
        <v>36</v>
      </c>
      <c r="L11" s="34" t="s">
        <v>37</v>
      </c>
      <c r="M11" s="34" t="s">
        <v>38</v>
      </c>
      <c r="N11" s="34" t="s">
        <v>39</v>
      </c>
      <c r="O11" s="34" t="s">
        <v>40</v>
      </c>
      <c r="P11" s="34" t="s">
        <v>23</v>
      </c>
      <c r="Q11" s="34" t="s">
        <v>41</v>
      </c>
      <c r="R11" s="32" t="s">
        <v>42</v>
      </c>
      <c r="S11" s="35" t="s">
        <v>29</v>
      </c>
      <c r="T11" s="32" t="s">
        <v>43</v>
      </c>
      <c r="U11" s="9"/>
      <c r="V11" s="9"/>
      <c r="W11" s="10"/>
      <c r="X11" s="10"/>
      <c r="Y11" s="10"/>
      <c r="Z11" s="10"/>
    </row>
    <row r="12" hidden="1" outlineLevel="1">
      <c r="A12" s="36" t="str">
        <f t="shared" ref="A12:A18" si="1">iferror(if(B12&gt;0,month(B12)&amp;"-"&amp;year(B12),B12),)</f>
        <v>6-2024</v>
      </c>
      <c r="B12" s="37">
        <v>45473.0</v>
      </c>
      <c r="C12" s="38"/>
      <c r="D12" s="92">
        <v>0.0</v>
      </c>
      <c r="E12" s="93">
        <v>0.0</v>
      </c>
      <c r="F12" s="93">
        <v>0.0</v>
      </c>
      <c r="G12" s="41" t="str">
        <f t="shared" ref="G12:G227" si="2">E12/F12</f>
        <v>#DIV/0!</v>
      </c>
      <c r="H12" s="39" t="str">
        <f t="shared" ref="H12:H18" si="3">D12/F12</f>
        <v>#DIV/0!</v>
      </c>
      <c r="I12" s="39" t="str">
        <f t="shared" ref="I12:I18" si="4">D12/E12</f>
        <v>#DIV/0!</v>
      </c>
      <c r="J12" s="94">
        <v>0.0</v>
      </c>
      <c r="K12" s="43" t="str">
        <f t="shared" ref="K12:K227" si="5">E12/J12</f>
        <v>#DIV/0!</v>
      </c>
      <c r="L12" s="92">
        <v>0.0</v>
      </c>
      <c r="M12" s="92">
        <v>0.0</v>
      </c>
      <c r="N12" s="93">
        <v>0.0</v>
      </c>
      <c r="O12" s="94">
        <v>0.0</v>
      </c>
      <c r="P12" s="43" t="str">
        <f t="shared" ref="P12:P227" si="6">L12/M12</f>
        <v>#DIV/0!</v>
      </c>
      <c r="Q12" s="44" t="str">
        <f t="shared" ref="Q12:Q227" si="7">M12/L12</f>
        <v>#DIV/0!</v>
      </c>
      <c r="R12" s="43" t="str">
        <f t="shared" ref="R12:R227" si="8">M12/D12</f>
        <v>#DIV/0!</v>
      </c>
      <c r="S12" s="45"/>
      <c r="T12" s="46"/>
      <c r="U12" s="9"/>
      <c r="V12" s="9"/>
      <c r="W12" s="9"/>
      <c r="X12" s="9"/>
      <c r="Y12" s="9"/>
      <c r="Z12" s="9"/>
    </row>
    <row r="13" hidden="1" outlineLevel="1">
      <c r="A13" s="47" t="str">
        <f t="shared" si="1"/>
        <v>7-2024</v>
      </c>
      <c r="B13" s="37">
        <v>45474.0</v>
      </c>
      <c r="C13" s="48"/>
      <c r="D13" s="96">
        <v>0.0</v>
      </c>
      <c r="E13" s="97">
        <v>0.0</v>
      </c>
      <c r="F13" s="97">
        <v>0.0</v>
      </c>
      <c r="G13" s="51" t="str">
        <f t="shared" si="2"/>
        <v>#DIV/0!</v>
      </c>
      <c r="H13" s="49" t="str">
        <f t="shared" si="3"/>
        <v>#DIV/0!</v>
      </c>
      <c r="I13" s="49" t="str">
        <f t="shared" si="4"/>
        <v>#DIV/0!</v>
      </c>
      <c r="J13" s="98">
        <v>0.0</v>
      </c>
      <c r="K13" s="53" t="str">
        <f t="shared" si="5"/>
        <v>#DIV/0!</v>
      </c>
      <c r="L13" s="92">
        <v>0.0</v>
      </c>
      <c r="M13" s="92">
        <v>0.0</v>
      </c>
      <c r="N13" s="93">
        <v>0.0</v>
      </c>
      <c r="O13" s="94">
        <v>0.0</v>
      </c>
      <c r="P13" s="53" t="str">
        <f t="shared" si="6"/>
        <v>#DIV/0!</v>
      </c>
      <c r="Q13" s="55" t="str">
        <f t="shared" si="7"/>
        <v>#DIV/0!</v>
      </c>
      <c r="R13" s="53" t="str">
        <f t="shared" si="8"/>
        <v>#DIV/0!</v>
      </c>
      <c r="S13" s="19"/>
      <c r="T13" s="28"/>
      <c r="U13" s="9"/>
      <c r="V13" s="9"/>
      <c r="W13" s="9"/>
      <c r="X13" s="9"/>
      <c r="Y13" s="9"/>
      <c r="Z13" s="9"/>
    </row>
    <row r="14" hidden="1" outlineLevel="1">
      <c r="A14" s="47" t="str">
        <f t="shared" si="1"/>
        <v>7-2024</v>
      </c>
      <c r="B14" s="37">
        <v>45475.0</v>
      </c>
      <c r="C14" s="48"/>
      <c r="D14" s="96">
        <v>0.0</v>
      </c>
      <c r="E14" s="97">
        <v>0.0</v>
      </c>
      <c r="F14" s="97">
        <v>0.0</v>
      </c>
      <c r="G14" s="51" t="str">
        <f t="shared" si="2"/>
        <v>#DIV/0!</v>
      </c>
      <c r="H14" s="49" t="str">
        <f t="shared" si="3"/>
        <v>#DIV/0!</v>
      </c>
      <c r="I14" s="49" t="str">
        <f t="shared" si="4"/>
        <v>#DIV/0!</v>
      </c>
      <c r="J14" s="98">
        <v>0.0</v>
      </c>
      <c r="K14" s="53" t="str">
        <f t="shared" si="5"/>
        <v>#DIV/0!</v>
      </c>
      <c r="L14" s="92">
        <v>0.0</v>
      </c>
      <c r="M14" s="92">
        <v>0.0</v>
      </c>
      <c r="N14" s="93">
        <v>0.0</v>
      </c>
      <c r="O14" s="94">
        <v>0.0</v>
      </c>
      <c r="P14" s="53" t="str">
        <f t="shared" si="6"/>
        <v>#DIV/0!</v>
      </c>
      <c r="Q14" s="55" t="str">
        <f t="shared" si="7"/>
        <v>#DIV/0!</v>
      </c>
      <c r="R14" s="53" t="str">
        <f t="shared" si="8"/>
        <v>#DIV/0!</v>
      </c>
      <c r="S14" s="19"/>
      <c r="T14" s="28"/>
      <c r="U14" s="9"/>
      <c r="V14" s="9"/>
      <c r="W14" s="9"/>
      <c r="X14" s="9"/>
      <c r="Y14" s="9"/>
      <c r="Z14" s="9"/>
    </row>
    <row r="15" hidden="1" outlineLevel="1">
      <c r="A15" s="47" t="str">
        <f t="shared" si="1"/>
        <v>7-2024</v>
      </c>
      <c r="B15" s="37">
        <v>45476.0</v>
      </c>
      <c r="C15" s="48"/>
      <c r="D15" s="96">
        <v>0.0</v>
      </c>
      <c r="E15" s="97">
        <v>0.0</v>
      </c>
      <c r="F15" s="97">
        <v>0.0</v>
      </c>
      <c r="G15" s="51" t="str">
        <f t="shared" si="2"/>
        <v>#DIV/0!</v>
      </c>
      <c r="H15" s="49" t="str">
        <f t="shared" si="3"/>
        <v>#DIV/0!</v>
      </c>
      <c r="I15" s="49" t="str">
        <f t="shared" si="4"/>
        <v>#DIV/0!</v>
      </c>
      <c r="J15" s="98">
        <v>0.0</v>
      </c>
      <c r="K15" s="53" t="str">
        <f t="shared" si="5"/>
        <v>#DIV/0!</v>
      </c>
      <c r="L15" s="92">
        <v>0.0</v>
      </c>
      <c r="M15" s="92">
        <v>0.0</v>
      </c>
      <c r="N15" s="93">
        <v>0.0</v>
      </c>
      <c r="O15" s="94">
        <v>0.0</v>
      </c>
      <c r="P15" s="53" t="str">
        <f t="shared" si="6"/>
        <v>#DIV/0!</v>
      </c>
      <c r="Q15" s="55" t="str">
        <f t="shared" si="7"/>
        <v>#DIV/0!</v>
      </c>
      <c r="R15" s="53" t="str">
        <f t="shared" si="8"/>
        <v>#DIV/0!</v>
      </c>
      <c r="S15" s="19"/>
      <c r="T15" s="28"/>
      <c r="U15" s="9"/>
      <c r="V15" s="9"/>
      <c r="W15" s="9"/>
      <c r="X15" s="9"/>
      <c r="Y15" s="9"/>
      <c r="Z15" s="9"/>
    </row>
    <row r="16" hidden="1" outlineLevel="1">
      <c r="A16" s="47" t="str">
        <f t="shared" si="1"/>
        <v>7-2024</v>
      </c>
      <c r="B16" s="37">
        <v>45477.0</v>
      </c>
      <c r="C16" s="48"/>
      <c r="D16" s="96">
        <v>0.0</v>
      </c>
      <c r="E16" s="97">
        <v>0.0</v>
      </c>
      <c r="F16" s="97">
        <v>0.0</v>
      </c>
      <c r="G16" s="51" t="str">
        <f t="shared" si="2"/>
        <v>#DIV/0!</v>
      </c>
      <c r="H16" s="49" t="str">
        <f t="shared" si="3"/>
        <v>#DIV/0!</v>
      </c>
      <c r="I16" s="49" t="str">
        <f t="shared" si="4"/>
        <v>#DIV/0!</v>
      </c>
      <c r="J16" s="98">
        <v>0.0</v>
      </c>
      <c r="K16" s="53" t="str">
        <f t="shared" si="5"/>
        <v>#DIV/0!</v>
      </c>
      <c r="L16" s="92">
        <v>0.0</v>
      </c>
      <c r="M16" s="92">
        <v>0.0</v>
      </c>
      <c r="N16" s="93">
        <v>0.0</v>
      </c>
      <c r="O16" s="94">
        <v>0.0</v>
      </c>
      <c r="P16" s="53" t="str">
        <f t="shared" si="6"/>
        <v>#DIV/0!</v>
      </c>
      <c r="Q16" s="55" t="str">
        <f t="shared" si="7"/>
        <v>#DIV/0!</v>
      </c>
      <c r="R16" s="53" t="str">
        <f t="shared" si="8"/>
        <v>#DIV/0!</v>
      </c>
      <c r="S16" s="19"/>
      <c r="T16" s="28"/>
      <c r="U16" s="9"/>
      <c r="V16" s="9"/>
      <c r="W16" s="9"/>
      <c r="X16" s="9"/>
      <c r="Y16" s="9"/>
      <c r="Z16" s="9"/>
    </row>
    <row r="17" hidden="1" outlineLevel="1">
      <c r="A17" s="47" t="str">
        <f t="shared" si="1"/>
        <v>7-2024</v>
      </c>
      <c r="B17" s="37">
        <v>45478.0</v>
      </c>
      <c r="C17" s="48"/>
      <c r="D17" s="96">
        <v>0.0</v>
      </c>
      <c r="E17" s="97">
        <v>0.0</v>
      </c>
      <c r="F17" s="97">
        <v>0.0</v>
      </c>
      <c r="G17" s="51" t="str">
        <f t="shared" si="2"/>
        <v>#DIV/0!</v>
      </c>
      <c r="H17" s="49" t="str">
        <f t="shared" si="3"/>
        <v>#DIV/0!</v>
      </c>
      <c r="I17" s="49" t="str">
        <f t="shared" si="4"/>
        <v>#DIV/0!</v>
      </c>
      <c r="J17" s="98">
        <v>0.0</v>
      </c>
      <c r="K17" s="53" t="str">
        <f t="shared" si="5"/>
        <v>#DIV/0!</v>
      </c>
      <c r="L17" s="92">
        <v>0.0</v>
      </c>
      <c r="M17" s="92">
        <v>0.0</v>
      </c>
      <c r="N17" s="93">
        <v>0.0</v>
      </c>
      <c r="O17" s="94">
        <v>0.0</v>
      </c>
      <c r="P17" s="53" t="str">
        <f t="shared" si="6"/>
        <v>#DIV/0!</v>
      </c>
      <c r="Q17" s="55" t="str">
        <f t="shared" si="7"/>
        <v>#DIV/0!</v>
      </c>
      <c r="R17" s="53" t="str">
        <f t="shared" si="8"/>
        <v>#DIV/0!</v>
      </c>
      <c r="S17" s="19"/>
      <c r="T17" s="28"/>
      <c r="U17" s="9"/>
      <c r="V17" s="9"/>
      <c r="W17" s="9"/>
      <c r="X17" s="9"/>
      <c r="Y17" s="9"/>
      <c r="Z17" s="9"/>
    </row>
    <row r="18" hidden="1" outlineLevel="1">
      <c r="A18" s="47" t="str">
        <f t="shared" si="1"/>
        <v>7-2024</v>
      </c>
      <c r="B18" s="37">
        <v>45479.0</v>
      </c>
      <c r="C18" s="48"/>
      <c r="D18" s="96">
        <v>0.0</v>
      </c>
      <c r="E18" s="97">
        <v>0.0</v>
      </c>
      <c r="F18" s="97">
        <v>0.0</v>
      </c>
      <c r="G18" s="51" t="str">
        <f t="shared" si="2"/>
        <v>#DIV/0!</v>
      </c>
      <c r="H18" s="49" t="str">
        <f t="shared" si="3"/>
        <v>#DIV/0!</v>
      </c>
      <c r="I18" s="49" t="str">
        <f t="shared" si="4"/>
        <v>#DIV/0!</v>
      </c>
      <c r="J18" s="98">
        <v>0.0</v>
      </c>
      <c r="K18" s="53" t="str">
        <f t="shared" si="5"/>
        <v>#DIV/0!</v>
      </c>
      <c r="L18" s="92">
        <v>0.0</v>
      </c>
      <c r="M18" s="92">
        <v>0.0</v>
      </c>
      <c r="N18" s="93">
        <v>0.0</v>
      </c>
      <c r="O18" s="94">
        <v>0.0</v>
      </c>
      <c r="P18" s="53" t="str">
        <f t="shared" si="6"/>
        <v>#DIV/0!</v>
      </c>
      <c r="Q18" s="55" t="str">
        <f t="shared" si="7"/>
        <v>#DIV/0!</v>
      </c>
      <c r="R18" s="53" t="str">
        <f t="shared" si="8"/>
        <v>#DIV/0!</v>
      </c>
      <c r="S18" s="19"/>
      <c r="T18" s="28"/>
      <c r="U18" s="9"/>
      <c r="V18" s="9"/>
      <c r="W18" s="9"/>
      <c r="X18" s="9"/>
      <c r="Y18" s="9"/>
      <c r="Z18" s="9"/>
    </row>
    <row r="19" collapsed="1">
      <c r="A19" s="101" t="s">
        <v>120</v>
      </c>
      <c r="B19" s="102"/>
      <c r="C19" s="103"/>
      <c r="D19" s="104">
        <f t="shared" ref="D19:F19" si="9">SUM(D12:D18)</f>
        <v>0</v>
      </c>
      <c r="E19" s="105">
        <f t="shared" si="9"/>
        <v>0</v>
      </c>
      <c r="F19" s="105">
        <f t="shared" si="9"/>
        <v>0</v>
      </c>
      <c r="G19" s="260" t="str">
        <f t="shared" si="2"/>
        <v>#DIV/0!</v>
      </c>
      <c r="H19" s="104" t="str">
        <f>AVERAGE(#REF!)</f>
        <v>#REF!</v>
      </c>
      <c r="I19" s="261" t="str">
        <f>H19/G19</f>
        <v>#REF!</v>
      </c>
      <c r="J19" s="108">
        <f>SUM(J12:J18)</f>
        <v>0</v>
      </c>
      <c r="K19" s="109" t="str">
        <f t="shared" si="5"/>
        <v>#DIV/0!</v>
      </c>
      <c r="L19" s="104">
        <f t="shared" ref="L19:N19" si="10">SUM(L12:L18)</f>
        <v>0</v>
      </c>
      <c r="M19" s="104">
        <f t="shared" si="10"/>
        <v>0</v>
      </c>
      <c r="N19" s="262">
        <f t="shared" si="10"/>
        <v>0</v>
      </c>
      <c r="O19" s="108">
        <f>sum(O12:O18)</f>
        <v>0</v>
      </c>
      <c r="P19" s="109" t="str">
        <f t="shared" si="6"/>
        <v>#DIV/0!</v>
      </c>
      <c r="Q19" s="263" t="str">
        <f t="shared" si="7"/>
        <v>#DIV/0!</v>
      </c>
      <c r="R19" s="113" t="str">
        <f t="shared" si="8"/>
        <v>#DIV/0!</v>
      </c>
      <c r="S19" s="103" t="str">
        <f>iferror((D19-#REF!)/D19,)</f>
        <v/>
      </c>
      <c r="T19" s="114" t="str">
        <f>iferror((F19-#REF!)/F19,)</f>
        <v/>
      </c>
      <c r="U19" s="9"/>
      <c r="V19" s="9"/>
      <c r="W19" s="9"/>
      <c r="X19" s="9"/>
      <c r="Y19" s="9"/>
      <c r="Z19" s="9"/>
    </row>
    <row r="20" hidden="1" outlineLevel="1">
      <c r="A20" s="36" t="str">
        <f t="shared" ref="A20:A26" si="11">iferror(if(B20&gt;0,month(B20)&amp;"-"&amp;year(B20),B20),)</f>
        <v>7-2024</v>
      </c>
      <c r="B20" s="37">
        <v>45480.0</v>
      </c>
      <c r="C20" s="38"/>
      <c r="D20" s="92">
        <v>0.0</v>
      </c>
      <c r="E20" s="93">
        <v>0.0</v>
      </c>
      <c r="F20" s="93">
        <v>0.0</v>
      </c>
      <c r="G20" s="41" t="str">
        <f t="shared" si="2"/>
        <v>#DIV/0!</v>
      </c>
      <c r="H20" s="39" t="str">
        <f t="shared" ref="H20:H26" si="12">D20/F20</f>
        <v>#DIV/0!</v>
      </c>
      <c r="I20" s="39" t="str">
        <f t="shared" ref="I20:I26" si="13">D20/E20</f>
        <v>#DIV/0!</v>
      </c>
      <c r="J20" s="94">
        <v>0.0</v>
      </c>
      <c r="K20" s="43" t="str">
        <f t="shared" si="5"/>
        <v>#DIV/0!</v>
      </c>
      <c r="L20" s="92">
        <v>0.0</v>
      </c>
      <c r="M20" s="92">
        <v>0.0</v>
      </c>
      <c r="N20" s="93">
        <v>0.0</v>
      </c>
      <c r="O20" s="94">
        <v>0.0</v>
      </c>
      <c r="P20" s="43" t="str">
        <f t="shared" si="6"/>
        <v>#DIV/0!</v>
      </c>
      <c r="Q20" s="44" t="str">
        <f t="shared" si="7"/>
        <v>#DIV/0!</v>
      </c>
      <c r="R20" s="43" t="str">
        <f t="shared" si="8"/>
        <v>#DIV/0!</v>
      </c>
      <c r="S20" s="45"/>
      <c r="T20" s="46"/>
      <c r="U20" s="9"/>
      <c r="V20" s="9"/>
      <c r="W20" s="9"/>
      <c r="X20" s="9"/>
      <c r="Y20" s="9"/>
      <c r="Z20" s="9"/>
    </row>
    <row r="21" hidden="1" outlineLevel="1">
      <c r="A21" s="47" t="str">
        <f t="shared" si="11"/>
        <v>7-2024</v>
      </c>
      <c r="B21" s="37">
        <v>45481.0</v>
      </c>
      <c r="C21" s="48"/>
      <c r="D21" s="96">
        <v>0.0</v>
      </c>
      <c r="E21" s="97">
        <v>0.0</v>
      </c>
      <c r="F21" s="97">
        <v>0.0</v>
      </c>
      <c r="G21" s="51" t="str">
        <f t="shared" si="2"/>
        <v>#DIV/0!</v>
      </c>
      <c r="H21" s="49" t="str">
        <f t="shared" si="12"/>
        <v>#DIV/0!</v>
      </c>
      <c r="I21" s="49" t="str">
        <f t="shared" si="13"/>
        <v>#DIV/0!</v>
      </c>
      <c r="J21" s="98">
        <v>0.0</v>
      </c>
      <c r="K21" s="53" t="str">
        <f t="shared" si="5"/>
        <v>#DIV/0!</v>
      </c>
      <c r="L21" s="92">
        <v>0.0</v>
      </c>
      <c r="M21" s="92">
        <v>0.0</v>
      </c>
      <c r="N21" s="93">
        <v>0.0</v>
      </c>
      <c r="O21" s="94">
        <v>0.0</v>
      </c>
      <c r="P21" s="53" t="str">
        <f t="shared" si="6"/>
        <v>#DIV/0!</v>
      </c>
      <c r="Q21" s="55" t="str">
        <f t="shared" si="7"/>
        <v>#DIV/0!</v>
      </c>
      <c r="R21" s="53" t="str">
        <f t="shared" si="8"/>
        <v>#DIV/0!</v>
      </c>
      <c r="S21" s="19"/>
      <c r="T21" s="28"/>
      <c r="U21" s="9"/>
      <c r="V21" s="9"/>
      <c r="W21" s="9"/>
      <c r="X21" s="9"/>
      <c r="Y21" s="9"/>
      <c r="Z21" s="9"/>
    </row>
    <row r="22" hidden="1" outlineLevel="1">
      <c r="A22" s="47" t="str">
        <f t="shared" si="11"/>
        <v>7-2024</v>
      </c>
      <c r="B22" s="37">
        <v>45482.0</v>
      </c>
      <c r="C22" s="48"/>
      <c r="D22" s="96">
        <v>0.0</v>
      </c>
      <c r="E22" s="97">
        <v>0.0</v>
      </c>
      <c r="F22" s="97">
        <v>0.0</v>
      </c>
      <c r="G22" s="51" t="str">
        <f t="shared" si="2"/>
        <v>#DIV/0!</v>
      </c>
      <c r="H22" s="49" t="str">
        <f t="shared" si="12"/>
        <v>#DIV/0!</v>
      </c>
      <c r="I22" s="49" t="str">
        <f t="shared" si="13"/>
        <v>#DIV/0!</v>
      </c>
      <c r="J22" s="98">
        <v>0.0</v>
      </c>
      <c r="K22" s="53" t="str">
        <f t="shared" si="5"/>
        <v>#DIV/0!</v>
      </c>
      <c r="L22" s="92">
        <v>0.0</v>
      </c>
      <c r="M22" s="92">
        <v>0.0</v>
      </c>
      <c r="N22" s="93">
        <v>0.0</v>
      </c>
      <c r="O22" s="94">
        <v>0.0</v>
      </c>
      <c r="P22" s="53" t="str">
        <f t="shared" si="6"/>
        <v>#DIV/0!</v>
      </c>
      <c r="Q22" s="55" t="str">
        <f t="shared" si="7"/>
        <v>#DIV/0!</v>
      </c>
      <c r="R22" s="53" t="str">
        <f t="shared" si="8"/>
        <v>#DIV/0!</v>
      </c>
      <c r="S22" s="19"/>
      <c r="T22" s="28"/>
      <c r="U22" s="9"/>
      <c r="V22" s="9"/>
      <c r="W22" s="9"/>
      <c r="X22" s="9"/>
      <c r="Y22" s="9"/>
      <c r="Z22" s="9"/>
    </row>
    <row r="23" hidden="1" outlineLevel="1">
      <c r="A23" s="47" t="str">
        <f t="shared" si="11"/>
        <v>7-2024</v>
      </c>
      <c r="B23" s="37">
        <v>45483.0</v>
      </c>
      <c r="C23" s="48"/>
      <c r="D23" s="96">
        <v>0.0</v>
      </c>
      <c r="E23" s="97">
        <v>0.0</v>
      </c>
      <c r="F23" s="97">
        <v>0.0</v>
      </c>
      <c r="G23" s="51" t="str">
        <f t="shared" si="2"/>
        <v>#DIV/0!</v>
      </c>
      <c r="H23" s="49" t="str">
        <f t="shared" si="12"/>
        <v>#DIV/0!</v>
      </c>
      <c r="I23" s="49" t="str">
        <f t="shared" si="13"/>
        <v>#DIV/0!</v>
      </c>
      <c r="J23" s="98">
        <v>0.0</v>
      </c>
      <c r="K23" s="53" t="str">
        <f t="shared" si="5"/>
        <v>#DIV/0!</v>
      </c>
      <c r="L23" s="92">
        <v>0.0</v>
      </c>
      <c r="M23" s="92">
        <v>0.0</v>
      </c>
      <c r="N23" s="93">
        <v>0.0</v>
      </c>
      <c r="O23" s="94">
        <v>0.0</v>
      </c>
      <c r="P23" s="53" t="str">
        <f t="shared" si="6"/>
        <v>#DIV/0!</v>
      </c>
      <c r="Q23" s="55" t="str">
        <f t="shared" si="7"/>
        <v>#DIV/0!</v>
      </c>
      <c r="R23" s="53" t="str">
        <f t="shared" si="8"/>
        <v>#DIV/0!</v>
      </c>
      <c r="S23" s="19"/>
      <c r="T23" s="28"/>
      <c r="U23" s="9"/>
      <c r="V23" s="9"/>
      <c r="W23" s="9"/>
      <c r="X23" s="9"/>
      <c r="Y23" s="9"/>
      <c r="Z23" s="9"/>
    </row>
    <row r="24" hidden="1" outlineLevel="1">
      <c r="A24" s="47" t="str">
        <f t="shared" si="11"/>
        <v>7-2024</v>
      </c>
      <c r="B24" s="37">
        <v>45484.0</v>
      </c>
      <c r="C24" s="48"/>
      <c r="D24" s="96">
        <v>0.0</v>
      </c>
      <c r="E24" s="97">
        <v>0.0</v>
      </c>
      <c r="F24" s="97">
        <v>0.0</v>
      </c>
      <c r="G24" s="51" t="str">
        <f t="shared" si="2"/>
        <v>#DIV/0!</v>
      </c>
      <c r="H24" s="49" t="str">
        <f t="shared" si="12"/>
        <v>#DIV/0!</v>
      </c>
      <c r="I24" s="49" t="str">
        <f t="shared" si="13"/>
        <v>#DIV/0!</v>
      </c>
      <c r="J24" s="98">
        <v>0.0</v>
      </c>
      <c r="K24" s="53" t="str">
        <f t="shared" si="5"/>
        <v>#DIV/0!</v>
      </c>
      <c r="L24" s="92">
        <v>0.0</v>
      </c>
      <c r="M24" s="92">
        <v>0.0</v>
      </c>
      <c r="N24" s="93">
        <v>0.0</v>
      </c>
      <c r="O24" s="94">
        <v>0.0</v>
      </c>
      <c r="P24" s="53" t="str">
        <f t="shared" si="6"/>
        <v>#DIV/0!</v>
      </c>
      <c r="Q24" s="55" t="str">
        <f t="shared" si="7"/>
        <v>#DIV/0!</v>
      </c>
      <c r="R24" s="53" t="str">
        <f t="shared" si="8"/>
        <v>#DIV/0!</v>
      </c>
      <c r="S24" s="19"/>
      <c r="T24" s="28"/>
      <c r="U24" s="9"/>
      <c r="V24" s="9"/>
      <c r="W24" s="9"/>
      <c r="X24" s="9"/>
      <c r="Y24" s="9"/>
      <c r="Z24" s="9"/>
    </row>
    <row r="25" hidden="1" outlineLevel="1">
      <c r="A25" s="47" t="str">
        <f t="shared" si="11"/>
        <v>7-2024</v>
      </c>
      <c r="B25" s="37">
        <v>45485.0</v>
      </c>
      <c r="C25" s="48"/>
      <c r="D25" s="96">
        <v>0.0</v>
      </c>
      <c r="E25" s="97">
        <v>0.0</v>
      </c>
      <c r="F25" s="97">
        <v>0.0</v>
      </c>
      <c r="G25" s="51" t="str">
        <f t="shared" si="2"/>
        <v>#DIV/0!</v>
      </c>
      <c r="H25" s="49" t="str">
        <f t="shared" si="12"/>
        <v>#DIV/0!</v>
      </c>
      <c r="I25" s="49" t="str">
        <f t="shared" si="13"/>
        <v>#DIV/0!</v>
      </c>
      <c r="J25" s="98">
        <v>0.0</v>
      </c>
      <c r="K25" s="53" t="str">
        <f t="shared" si="5"/>
        <v>#DIV/0!</v>
      </c>
      <c r="L25" s="92">
        <v>0.0</v>
      </c>
      <c r="M25" s="92">
        <v>0.0</v>
      </c>
      <c r="N25" s="93">
        <v>0.0</v>
      </c>
      <c r="O25" s="94">
        <v>0.0</v>
      </c>
      <c r="P25" s="53" t="str">
        <f t="shared" si="6"/>
        <v>#DIV/0!</v>
      </c>
      <c r="Q25" s="55" t="str">
        <f t="shared" si="7"/>
        <v>#DIV/0!</v>
      </c>
      <c r="R25" s="53" t="str">
        <f t="shared" si="8"/>
        <v>#DIV/0!</v>
      </c>
      <c r="S25" s="19"/>
      <c r="T25" s="28"/>
      <c r="U25" s="9"/>
      <c r="V25" s="9"/>
      <c r="W25" s="9"/>
      <c r="X25" s="9"/>
      <c r="Y25" s="9"/>
      <c r="Z25" s="9"/>
    </row>
    <row r="26" hidden="1" outlineLevel="1">
      <c r="A26" s="47" t="str">
        <f t="shared" si="11"/>
        <v>7-2024</v>
      </c>
      <c r="B26" s="37">
        <v>45486.0</v>
      </c>
      <c r="C26" s="48"/>
      <c r="D26" s="96">
        <v>0.0</v>
      </c>
      <c r="E26" s="97">
        <v>0.0</v>
      </c>
      <c r="F26" s="97">
        <v>0.0</v>
      </c>
      <c r="G26" s="51" t="str">
        <f t="shared" si="2"/>
        <v>#DIV/0!</v>
      </c>
      <c r="H26" s="49" t="str">
        <f t="shared" si="12"/>
        <v>#DIV/0!</v>
      </c>
      <c r="I26" s="49" t="str">
        <f t="shared" si="13"/>
        <v>#DIV/0!</v>
      </c>
      <c r="J26" s="98">
        <v>0.0</v>
      </c>
      <c r="K26" s="53" t="str">
        <f t="shared" si="5"/>
        <v>#DIV/0!</v>
      </c>
      <c r="L26" s="92">
        <v>0.0</v>
      </c>
      <c r="M26" s="92">
        <v>0.0</v>
      </c>
      <c r="N26" s="93">
        <v>0.0</v>
      </c>
      <c r="O26" s="94">
        <v>0.0</v>
      </c>
      <c r="P26" s="53" t="str">
        <f t="shared" si="6"/>
        <v>#DIV/0!</v>
      </c>
      <c r="Q26" s="55" t="str">
        <f t="shared" si="7"/>
        <v>#DIV/0!</v>
      </c>
      <c r="R26" s="53" t="str">
        <f t="shared" si="8"/>
        <v>#DIV/0!</v>
      </c>
      <c r="S26" s="19"/>
      <c r="T26" s="28"/>
      <c r="U26" s="9"/>
      <c r="V26" s="9"/>
      <c r="W26" s="9"/>
      <c r="X26" s="9"/>
      <c r="Y26" s="9"/>
      <c r="Z26" s="9"/>
    </row>
    <row r="27" collapsed="1">
      <c r="A27" s="101" t="s">
        <v>121</v>
      </c>
      <c r="B27" s="102"/>
      <c r="C27" s="103"/>
      <c r="D27" s="104">
        <f t="shared" ref="D27:F27" si="14">SUM(D20:D26)</f>
        <v>0</v>
      </c>
      <c r="E27" s="105">
        <f t="shared" si="14"/>
        <v>0</v>
      </c>
      <c r="F27" s="105">
        <f t="shared" si="14"/>
        <v>0</v>
      </c>
      <c r="G27" s="260" t="str">
        <f t="shared" si="2"/>
        <v>#DIV/0!</v>
      </c>
      <c r="H27" s="104" t="str">
        <f>AVERAGE(#REF!)</f>
        <v>#REF!</v>
      </c>
      <c r="I27" s="261" t="str">
        <f>H27/G27</f>
        <v>#REF!</v>
      </c>
      <c r="J27" s="108">
        <f>SUM(J20:J26)</f>
        <v>0</v>
      </c>
      <c r="K27" s="109" t="str">
        <f t="shared" si="5"/>
        <v>#DIV/0!</v>
      </c>
      <c r="L27" s="104">
        <f t="shared" ref="L27:N27" si="15">SUM(L20:L26)</f>
        <v>0</v>
      </c>
      <c r="M27" s="104">
        <f t="shared" si="15"/>
        <v>0</v>
      </c>
      <c r="N27" s="262">
        <f t="shared" si="15"/>
        <v>0</v>
      </c>
      <c r="O27" s="108">
        <f>sum(O20:O26)</f>
        <v>0</v>
      </c>
      <c r="P27" s="109" t="str">
        <f t="shared" si="6"/>
        <v>#DIV/0!</v>
      </c>
      <c r="Q27" s="263" t="str">
        <f t="shared" si="7"/>
        <v>#DIV/0!</v>
      </c>
      <c r="R27" s="113" t="str">
        <f t="shared" si="8"/>
        <v>#DIV/0!</v>
      </c>
      <c r="S27" s="103" t="str">
        <f>iferror((D27-#REF!)/D27,)</f>
        <v/>
      </c>
      <c r="T27" s="114" t="str">
        <f>iferror((F27-#REF!)/F27,)</f>
        <v/>
      </c>
      <c r="U27" s="9"/>
      <c r="V27" s="9"/>
      <c r="W27" s="9"/>
      <c r="X27" s="9"/>
      <c r="Y27" s="9"/>
      <c r="Z27" s="9"/>
    </row>
    <row r="28" hidden="1" outlineLevel="1">
      <c r="A28" s="36" t="str">
        <f t="shared" ref="A28:A34" si="16">iferror(if(B28&gt;0,month(B28)&amp;"-"&amp;year(B28),B28),)</f>
        <v>7-2024</v>
      </c>
      <c r="B28" s="37">
        <v>45487.0</v>
      </c>
      <c r="C28" s="38"/>
      <c r="D28" s="92">
        <v>0.0</v>
      </c>
      <c r="E28" s="93">
        <v>0.0</v>
      </c>
      <c r="F28" s="93">
        <v>0.0</v>
      </c>
      <c r="G28" s="41" t="str">
        <f t="shared" si="2"/>
        <v>#DIV/0!</v>
      </c>
      <c r="H28" s="39" t="str">
        <f t="shared" ref="H28:H34" si="17">D28/F28</f>
        <v>#DIV/0!</v>
      </c>
      <c r="I28" s="39" t="str">
        <f t="shared" ref="I28:I34" si="18">D28/E28</f>
        <v>#DIV/0!</v>
      </c>
      <c r="J28" s="94">
        <v>0.0</v>
      </c>
      <c r="K28" s="43" t="str">
        <f t="shared" si="5"/>
        <v>#DIV/0!</v>
      </c>
      <c r="L28" s="92">
        <v>0.0</v>
      </c>
      <c r="M28" s="92">
        <v>0.0</v>
      </c>
      <c r="N28" s="93">
        <v>0.0</v>
      </c>
      <c r="O28" s="94">
        <v>0.0</v>
      </c>
      <c r="P28" s="43" t="str">
        <f t="shared" si="6"/>
        <v>#DIV/0!</v>
      </c>
      <c r="Q28" s="44" t="str">
        <f t="shared" si="7"/>
        <v>#DIV/0!</v>
      </c>
      <c r="R28" s="43" t="str">
        <f t="shared" si="8"/>
        <v>#DIV/0!</v>
      </c>
      <c r="S28" s="45"/>
      <c r="T28" s="46"/>
      <c r="U28" s="9"/>
      <c r="V28" s="9"/>
      <c r="W28" s="9"/>
      <c r="X28" s="9"/>
      <c r="Y28" s="9"/>
      <c r="Z28" s="9"/>
    </row>
    <row r="29" hidden="1" outlineLevel="1">
      <c r="A29" s="47" t="str">
        <f t="shared" si="16"/>
        <v>7-2024</v>
      </c>
      <c r="B29" s="37">
        <v>45488.0</v>
      </c>
      <c r="C29" s="48"/>
      <c r="D29" s="96">
        <v>0.0</v>
      </c>
      <c r="E29" s="97">
        <v>0.0</v>
      </c>
      <c r="F29" s="97">
        <v>0.0</v>
      </c>
      <c r="G29" s="51" t="str">
        <f t="shared" si="2"/>
        <v>#DIV/0!</v>
      </c>
      <c r="H29" s="49" t="str">
        <f t="shared" si="17"/>
        <v>#DIV/0!</v>
      </c>
      <c r="I29" s="49" t="str">
        <f t="shared" si="18"/>
        <v>#DIV/0!</v>
      </c>
      <c r="J29" s="98">
        <v>0.0</v>
      </c>
      <c r="K29" s="53" t="str">
        <f t="shared" si="5"/>
        <v>#DIV/0!</v>
      </c>
      <c r="L29" s="92">
        <v>0.0</v>
      </c>
      <c r="M29" s="92">
        <v>0.0</v>
      </c>
      <c r="N29" s="93">
        <v>0.0</v>
      </c>
      <c r="O29" s="94">
        <v>0.0</v>
      </c>
      <c r="P29" s="53" t="str">
        <f t="shared" si="6"/>
        <v>#DIV/0!</v>
      </c>
      <c r="Q29" s="55" t="str">
        <f t="shared" si="7"/>
        <v>#DIV/0!</v>
      </c>
      <c r="R29" s="53" t="str">
        <f t="shared" si="8"/>
        <v>#DIV/0!</v>
      </c>
      <c r="S29" s="19"/>
      <c r="T29" s="28"/>
      <c r="U29" s="9"/>
      <c r="V29" s="9"/>
      <c r="W29" s="9"/>
      <c r="X29" s="9"/>
      <c r="Y29" s="9"/>
      <c r="Z29" s="9"/>
    </row>
    <row r="30" hidden="1" outlineLevel="1">
      <c r="A30" s="47" t="str">
        <f t="shared" si="16"/>
        <v>7-2024</v>
      </c>
      <c r="B30" s="37">
        <v>45489.0</v>
      </c>
      <c r="C30" s="48"/>
      <c r="D30" s="96">
        <v>0.0</v>
      </c>
      <c r="E30" s="97">
        <v>0.0</v>
      </c>
      <c r="F30" s="97">
        <v>0.0</v>
      </c>
      <c r="G30" s="51" t="str">
        <f t="shared" si="2"/>
        <v>#DIV/0!</v>
      </c>
      <c r="H30" s="49" t="str">
        <f t="shared" si="17"/>
        <v>#DIV/0!</v>
      </c>
      <c r="I30" s="49" t="str">
        <f t="shared" si="18"/>
        <v>#DIV/0!</v>
      </c>
      <c r="J30" s="98">
        <v>0.0</v>
      </c>
      <c r="K30" s="53" t="str">
        <f t="shared" si="5"/>
        <v>#DIV/0!</v>
      </c>
      <c r="L30" s="92">
        <v>0.0</v>
      </c>
      <c r="M30" s="92">
        <v>0.0</v>
      </c>
      <c r="N30" s="93">
        <v>0.0</v>
      </c>
      <c r="O30" s="94">
        <v>0.0</v>
      </c>
      <c r="P30" s="53" t="str">
        <f t="shared" si="6"/>
        <v>#DIV/0!</v>
      </c>
      <c r="Q30" s="55" t="str">
        <f t="shared" si="7"/>
        <v>#DIV/0!</v>
      </c>
      <c r="R30" s="53" t="str">
        <f t="shared" si="8"/>
        <v>#DIV/0!</v>
      </c>
      <c r="S30" s="19"/>
      <c r="T30" s="28"/>
      <c r="U30" s="9"/>
      <c r="V30" s="9"/>
      <c r="W30" s="9"/>
      <c r="X30" s="9"/>
      <c r="Y30" s="9"/>
      <c r="Z30" s="9"/>
    </row>
    <row r="31" hidden="1" outlineLevel="1">
      <c r="A31" s="47" t="str">
        <f t="shared" si="16"/>
        <v>7-2024</v>
      </c>
      <c r="B31" s="37">
        <v>45490.0</v>
      </c>
      <c r="C31" s="48"/>
      <c r="D31" s="96">
        <v>0.0</v>
      </c>
      <c r="E31" s="97">
        <v>0.0</v>
      </c>
      <c r="F31" s="97">
        <v>0.0</v>
      </c>
      <c r="G31" s="51" t="str">
        <f t="shared" si="2"/>
        <v>#DIV/0!</v>
      </c>
      <c r="H31" s="49" t="str">
        <f t="shared" si="17"/>
        <v>#DIV/0!</v>
      </c>
      <c r="I31" s="49" t="str">
        <f t="shared" si="18"/>
        <v>#DIV/0!</v>
      </c>
      <c r="J31" s="98">
        <v>0.0</v>
      </c>
      <c r="K31" s="53" t="str">
        <f t="shared" si="5"/>
        <v>#DIV/0!</v>
      </c>
      <c r="L31" s="92">
        <v>0.0</v>
      </c>
      <c r="M31" s="92">
        <v>0.0</v>
      </c>
      <c r="N31" s="93">
        <v>0.0</v>
      </c>
      <c r="O31" s="94">
        <v>0.0</v>
      </c>
      <c r="P31" s="53" t="str">
        <f t="shared" si="6"/>
        <v>#DIV/0!</v>
      </c>
      <c r="Q31" s="55" t="str">
        <f t="shared" si="7"/>
        <v>#DIV/0!</v>
      </c>
      <c r="R31" s="53" t="str">
        <f t="shared" si="8"/>
        <v>#DIV/0!</v>
      </c>
      <c r="S31" s="19"/>
      <c r="T31" s="28"/>
      <c r="U31" s="9"/>
      <c r="V31" s="9"/>
      <c r="W31" s="9"/>
      <c r="X31" s="9"/>
      <c r="Y31" s="9"/>
      <c r="Z31" s="9"/>
    </row>
    <row r="32" hidden="1" outlineLevel="1">
      <c r="A32" s="47" t="str">
        <f t="shared" si="16"/>
        <v>7-2024</v>
      </c>
      <c r="B32" s="37">
        <v>45491.0</v>
      </c>
      <c r="C32" s="48"/>
      <c r="D32" s="96">
        <v>0.0</v>
      </c>
      <c r="E32" s="97">
        <v>0.0</v>
      </c>
      <c r="F32" s="97">
        <v>0.0</v>
      </c>
      <c r="G32" s="51" t="str">
        <f t="shared" si="2"/>
        <v>#DIV/0!</v>
      </c>
      <c r="H32" s="49" t="str">
        <f t="shared" si="17"/>
        <v>#DIV/0!</v>
      </c>
      <c r="I32" s="49" t="str">
        <f t="shared" si="18"/>
        <v>#DIV/0!</v>
      </c>
      <c r="J32" s="98">
        <v>0.0</v>
      </c>
      <c r="K32" s="53" t="str">
        <f t="shared" si="5"/>
        <v>#DIV/0!</v>
      </c>
      <c r="L32" s="92">
        <v>0.0</v>
      </c>
      <c r="M32" s="92">
        <v>0.0</v>
      </c>
      <c r="N32" s="93">
        <v>0.0</v>
      </c>
      <c r="O32" s="94">
        <v>0.0</v>
      </c>
      <c r="P32" s="53" t="str">
        <f t="shared" si="6"/>
        <v>#DIV/0!</v>
      </c>
      <c r="Q32" s="55" t="str">
        <f t="shared" si="7"/>
        <v>#DIV/0!</v>
      </c>
      <c r="R32" s="53" t="str">
        <f t="shared" si="8"/>
        <v>#DIV/0!</v>
      </c>
      <c r="S32" s="19"/>
      <c r="T32" s="28"/>
      <c r="U32" s="9"/>
      <c r="V32" s="9"/>
      <c r="W32" s="9"/>
      <c r="X32" s="9"/>
      <c r="Y32" s="9"/>
      <c r="Z32" s="9"/>
    </row>
    <row r="33" hidden="1" outlineLevel="1">
      <c r="A33" s="47" t="str">
        <f t="shared" si="16"/>
        <v>7-2024</v>
      </c>
      <c r="B33" s="37">
        <v>45492.0</v>
      </c>
      <c r="C33" s="48"/>
      <c r="D33" s="96">
        <v>0.0</v>
      </c>
      <c r="E33" s="97">
        <v>0.0</v>
      </c>
      <c r="F33" s="97">
        <v>0.0</v>
      </c>
      <c r="G33" s="51" t="str">
        <f t="shared" si="2"/>
        <v>#DIV/0!</v>
      </c>
      <c r="H33" s="49" t="str">
        <f t="shared" si="17"/>
        <v>#DIV/0!</v>
      </c>
      <c r="I33" s="49" t="str">
        <f t="shared" si="18"/>
        <v>#DIV/0!</v>
      </c>
      <c r="J33" s="98">
        <v>0.0</v>
      </c>
      <c r="K33" s="53" t="str">
        <f t="shared" si="5"/>
        <v>#DIV/0!</v>
      </c>
      <c r="L33" s="92">
        <v>0.0</v>
      </c>
      <c r="M33" s="92">
        <v>0.0</v>
      </c>
      <c r="N33" s="93">
        <v>0.0</v>
      </c>
      <c r="O33" s="94">
        <v>0.0</v>
      </c>
      <c r="P33" s="53" t="str">
        <f t="shared" si="6"/>
        <v>#DIV/0!</v>
      </c>
      <c r="Q33" s="55" t="str">
        <f t="shared" si="7"/>
        <v>#DIV/0!</v>
      </c>
      <c r="R33" s="53" t="str">
        <f t="shared" si="8"/>
        <v>#DIV/0!</v>
      </c>
      <c r="S33" s="19"/>
      <c r="T33" s="28"/>
      <c r="U33" s="9"/>
      <c r="V33" s="9"/>
      <c r="W33" s="9"/>
      <c r="X33" s="9"/>
      <c r="Y33" s="9"/>
      <c r="Z33" s="9"/>
    </row>
    <row r="34" hidden="1" outlineLevel="1">
      <c r="A34" s="47" t="str">
        <f t="shared" si="16"/>
        <v>7-2024</v>
      </c>
      <c r="B34" s="37">
        <v>45493.0</v>
      </c>
      <c r="C34" s="48"/>
      <c r="D34" s="96">
        <v>0.0</v>
      </c>
      <c r="E34" s="97">
        <v>0.0</v>
      </c>
      <c r="F34" s="97">
        <v>0.0</v>
      </c>
      <c r="G34" s="51" t="str">
        <f t="shared" si="2"/>
        <v>#DIV/0!</v>
      </c>
      <c r="H34" s="49" t="str">
        <f t="shared" si="17"/>
        <v>#DIV/0!</v>
      </c>
      <c r="I34" s="49" t="str">
        <f t="shared" si="18"/>
        <v>#DIV/0!</v>
      </c>
      <c r="J34" s="98">
        <v>0.0</v>
      </c>
      <c r="K34" s="53" t="str">
        <f t="shared" si="5"/>
        <v>#DIV/0!</v>
      </c>
      <c r="L34" s="92">
        <v>0.0</v>
      </c>
      <c r="M34" s="92">
        <v>0.0</v>
      </c>
      <c r="N34" s="93">
        <v>0.0</v>
      </c>
      <c r="O34" s="94">
        <v>0.0</v>
      </c>
      <c r="P34" s="53" t="str">
        <f t="shared" si="6"/>
        <v>#DIV/0!</v>
      </c>
      <c r="Q34" s="55" t="str">
        <f t="shared" si="7"/>
        <v>#DIV/0!</v>
      </c>
      <c r="R34" s="53" t="str">
        <f t="shared" si="8"/>
        <v>#DIV/0!</v>
      </c>
      <c r="S34" s="19"/>
      <c r="T34" s="28"/>
      <c r="U34" s="9"/>
      <c r="V34" s="9"/>
      <c r="W34" s="9"/>
      <c r="X34" s="9"/>
      <c r="Y34" s="9"/>
      <c r="Z34" s="9"/>
    </row>
    <row r="35" collapsed="1">
      <c r="A35" s="101" t="s">
        <v>122</v>
      </c>
      <c r="B35" s="102"/>
      <c r="C35" s="103"/>
      <c r="D35" s="104">
        <f t="shared" ref="D35:F35" si="19">SUM(D28:D34)</f>
        <v>0</v>
      </c>
      <c r="E35" s="105">
        <f t="shared" si="19"/>
        <v>0</v>
      </c>
      <c r="F35" s="105">
        <f t="shared" si="19"/>
        <v>0</v>
      </c>
      <c r="G35" s="260" t="str">
        <f t="shared" si="2"/>
        <v>#DIV/0!</v>
      </c>
      <c r="H35" s="104" t="str">
        <f>AVERAGE(#REF!)</f>
        <v>#REF!</v>
      </c>
      <c r="I35" s="261" t="str">
        <f>H35/G35</f>
        <v>#REF!</v>
      </c>
      <c r="J35" s="108">
        <f>SUM(J28:J34)</f>
        <v>0</v>
      </c>
      <c r="K35" s="109" t="str">
        <f t="shared" si="5"/>
        <v>#DIV/0!</v>
      </c>
      <c r="L35" s="104">
        <f t="shared" ref="L35:N35" si="20">SUM(L28:L34)</f>
        <v>0</v>
      </c>
      <c r="M35" s="104">
        <f t="shared" si="20"/>
        <v>0</v>
      </c>
      <c r="N35" s="262">
        <f t="shared" si="20"/>
        <v>0</v>
      </c>
      <c r="O35" s="108">
        <f>sum(O28:O34)</f>
        <v>0</v>
      </c>
      <c r="P35" s="109" t="str">
        <f t="shared" si="6"/>
        <v>#DIV/0!</v>
      </c>
      <c r="Q35" s="263" t="str">
        <f t="shared" si="7"/>
        <v>#DIV/0!</v>
      </c>
      <c r="R35" s="113" t="str">
        <f t="shared" si="8"/>
        <v>#DIV/0!</v>
      </c>
      <c r="S35" s="103" t="str">
        <f>iferror((D35-#REF!)/D35,)</f>
        <v/>
      </c>
      <c r="T35" s="114" t="str">
        <f>iferror((F35-#REF!)/F35,)</f>
        <v/>
      </c>
      <c r="U35" s="9"/>
      <c r="V35" s="9"/>
      <c r="W35" s="9"/>
      <c r="X35" s="9"/>
      <c r="Y35" s="9"/>
      <c r="Z35" s="9"/>
    </row>
    <row r="36" hidden="1" outlineLevel="1">
      <c r="A36" s="36" t="str">
        <f t="shared" ref="A36:A42" si="21">iferror(if(B36&gt;0,month(B36)&amp;"-"&amp;year(B36),B36),)</f>
        <v>7-2024</v>
      </c>
      <c r="B36" s="37">
        <v>45494.0</v>
      </c>
      <c r="C36" s="38"/>
      <c r="D36" s="39">
        <v>0.0</v>
      </c>
      <c r="E36" s="40">
        <v>0.0</v>
      </c>
      <c r="F36" s="40">
        <v>0.0</v>
      </c>
      <c r="G36" s="41" t="str">
        <f t="shared" si="2"/>
        <v>#DIV/0!</v>
      </c>
      <c r="H36" s="92">
        <v>0.0</v>
      </c>
      <c r="I36" s="39" t="str">
        <f t="shared" ref="I36:I42" si="22">D36/E36</f>
        <v>#DIV/0!</v>
      </c>
      <c r="J36" s="42">
        <v>2.0</v>
      </c>
      <c r="K36" s="43">
        <f t="shared" si="5"/>
        <v>0</v>
      </c>
      <c r="L36" s="39">
        <v>0.0</v>
      </c>
      <c r="M36" s="39">
        <v>0.0</v>
      </c>
      <c r="N36" s="40">
        <v>0.0</v>
      </c>
      <c r="O36" s="42">
        <v>0.0</v>
      </c>
      <c r="P36" s="43" t="str">
        <f t="shared" si="6"/>
        <v>#DIV/0!</v>
      </c>
      <c r="Q36" s="44" t="str">
        <f t="shared" si="7"/>
        <v>#DIV/0!</v>
      </c>
      <c r="R36" s="43" t="str">
        <f t="shared" si="8"/>
        <v>#DIV/0!</v>
      </c>
      <c r="S36" s="45"/>
      <c r="T36" s="46"/>
      <c r="U36" s="9"/>
      <c r="V36" s="9"/>
      <c r="W36" s="9"/>
      <c r="X36" s="9"/>
      <c r="Y36" s="9"/>
      <c r="Z36" s="9"/>
    </row>
    <row r="37" hidden="1" outlineLevel="1">
      <c r="A37" s="47" t="str">
        <f t="shared" si="21"/>
        <v>7-2024</v>
      </c>
      <c r="B37" s="37">
        <v>45495.0</v>
      </c>
      <c r="C37" s="48"/>
      <c r="D37" s="49">
        <v>0.0</v>
      </c>
      <c r="E37" s="50">
        <v>0.0</v>
      </c>
      <c r="F37" s="50">
        <v>0.0</v>
      </c>
      <c r="G37" s="51" t="str">
        <f t="shared" si="2"/>
        <v>#DIV/0!</v>
      </c>
      <c r="H37" s="96">
        <v>0.0</v>
      </c>
      <c r="I37" s="49" t="str">
        <f t="shared" si="22"/>
        <v>#DIV/0!</v>
      </c>
      <c r="J37" s="52">
        <v>13.0</v>
      </c>
      <c r="K37" s="53">
        <f t="shared" si="5"/>
        <v>0</v>
      </c>
      <c r="L37" s="39">
        <v>0.0</v>
      </c>
      <c r="M37" s="39">
        <v>0.0</v>
      </c>
      <c r="N37" s="40">
        <v>0.0</v>
      </c>
      <c r="O37" s="42">
        <v>0.0</v>
      </c>
      <c r="P37" s="53" t="str">
        <f t="shared" si="6"/>
        <v>#DIV/0!</v>
      </c>
      <c r="Q37" s="55" t="str">
        <f t="shared" si="7"/>
        <v>#DIV/0!</v>
      </c>
      <c r="R37" s="53" t="str">
        <f t="shared" si="8"/>
        <v>#DIV/0!</v>
      </c>
      <c r="S37" s="19"/>
      <c r="T37" s="28"/>
      <c r="U37" s="9"/>
      <c r="V37" s="9"/>
      <c r="W37" s="9"/>
      <c r="X37" s="9"/>
      <c r="Y37" s="9"/>
      <c r="Z37" s="9"/>
    </row>
    <row r="38" hidden="1" outlineLevel="1">
      <c r="A38" s="47" t="str">
        <f t="shared" si="21"/>
        <v>7-2024</v>
      </c>
      <c r="B38" s="37">
        <v>45496.0</v>
      </c>
      <c r="C38" s="48"/>
      <c r="D38" s="49">
        <v>0.0</v>
      </c>
      <c r="E38" s="50">
        <v>23.0</v>
      </c>
      <c r="F38" s="50">
        <v>23.0</v>
      </c>
      <c r="G38" s="51">
        <f t="shared" si="2"/>
        <v>1</v>
      </c>
      <c r="H38" s="49">
        <f t="shared" ref="H38:H42" si="23">D38/F38</f>
        <v>0</v>
      </c>
      <c r="I38" s="49">
        <f t="shared" si="22"/>
        <v>0</v>
      </c>
      <c r="J38" s="52">
        <v>255.0</v>
      </c>
      <c r="K38" s="53">
        <f t="shared" si="5"/>
        <v>0.09019607843</v>
      </c>
      <c r="L38" s="39">
        <v>0.0</v>
      </c>
      <c r="M38" s="39">
        <v>0.0</v>
      </c>
      <c r="N38" s="40">
        <v>0.0</v>
      </c>
      <c r="O38" s="42">
        <v>0.0</v>
      </c>
      <c r="P38" s="53" t="str">
        <f t="shared" si="6"/>
        <v>#DIV/0!</v>
      </c>
      <c r="Q38" s="55" t="str">
        <f t="shared" si="7"/>
        <v>#DIV/0!</v>
      </c>
      <c r="R38" s="53" t="str">
        <f t="shared" si="8"/>
        <v>#DIV/0!</v>
      </c>
      <c r="S38" s="19"/>
      <c r="T38" s="28"/>
      <c r="U38" s="9"/>
      <c r="V38" s="9"/>
      <c r="W38" s="9"/>
      <c r="X38" s="9"/>
      <c r="Y38" s="9"/>
      <c r="Z38" s="9"/>
    </row>
    <row r="39" hidden="1" outlineLevel="1">
      <c r="A39" s="47" t="str">
        <f t="shared" si="21"/>
        <v>7-2024</v>
      </c>
      <c r="B39" s="37">
        <v>45497.0</v>
      </c>
      <c r="C39" s="48"/>
      <c r="D39" s="49">
        <v>24.99</v>
      </c>
      <c r="E39" s="50">
        <v>26.0</v>
      </c>
      <c r="F39" s="50">
        <v>26.0</v>
      </c>
      <c r="G39" s="51">
        <f t="shared" si="2"/>
        <v>1</v>
      </c>
      <c r="H39" s="49">
        <f t="shared" si="23"/>
        <v>0.9611538462</v>
      </c>
      <c r="I39" s="49">
        <f t="shared" si="22"/>
        <v>0.9611538462</v>
      </c>
      <c r="J39" s="52">
        <v>158.0</v>
      </c>
      <c r="K39" s="53">
        <f t="shared" si="5"/>
        <v>0.164556962</v>
      </c>
      <c r="L39" s="39">
        <v>0.0</v>
      </c>
      <c r="M39" s="39">
        <v>0.0</v>
      </c>
      <c r="N39" s="40">
        <v>0.0</v>
      </c>
      <c r="O39" s="42">
        <v>0.0</v>
      </c>
      <c r="P39" s="53" t="str">
        <f t="shared" si="6"/>
        <v>#DIV/0!</v>
      </c>
      <c r="Q39" s="55" t="str">
        <f t="shared" si="7"/>
        <v>#DIV/0!</v>
      </c>
      <c r="R39" s="53">
        <f t="shared" si="8"/>
        <v>0</v>
      </c>
      <c r="S39" s="19"/>
      <c r="T39" s="28"/>
      <c r="U39" s="9"/>
      <c r="V39" s="9"/>
      <c r="W39" s="9"/>
      <c r="X39" s="9"/>
      <c r="Y39" s="9"/>
      <c r="Z39" s="9"/>
    </row>
    <row r="40" hidden="1" outlineLevel="1">
      <c r="A40" s="47" t="str">
        <f t="shared" si="21"/>
        <v>7-2024</v>
      </c>
      <c r="B40" s="37">
        <v>45498.0</v>
      </c>
      <c r="C40" s="48"/>
      <c r="D40" s="49">
        <v>0.0</v>
      </c>
      <c r="E40" s="50">
        <v>17.0</v>
      </c>
      <c r="F40" s="50">
        <v>17.0</v>
      </c>
      <c r="G40" s="51">
        <f t="shared" si="2"/>
        <v>1</v>
      </c>
      <c r="H40" s="49">
        <f t="shared" si="23"/>
        <v>0</v>
      </c>
      <c r="I40" s="49">
        <f t="shared" si="22"/>
        <v>0</v>
      </c>
      <c r="J40" s="52">
        <v>88.0</v>
      </c>
      <c r="K40" s="53">
        <f t="shared" si="5"/>
        <v>0.1931818182</v>
      </c>
      <c r="L40" s="49">
        <v>0.35</v>
      </c>
      <c r="M40" s="49">
        <v>0.0</v>
      </c>
      <c r="N40" s="50">
        <v>0.0</v>
      </c>
      <c r="O40" s="52">
        <v>264.0</v>
      </c>
      <c r="P40" s="53" t="str">
        <f t="shared" si="6"/>
        <v>#DIV/0!</v>
      </c>
      <c r="Q40" s="55">
        <f t="shared" si="7"/>
        <v>0</v>
      </c>
      <c r="R40" s="53" t="str">
        <f t="shared" si="8"/>
        <v>#DIV/0!</v>
      </c>
      <c r="S40" s="19"/>
      <c r="T40" s="28"/>
      <c r="U40" s="9"/>
      <c r="V40" s="9"/>
      <c r="W40" s="9"/>
      <c r="X40" s="9"/>
      <c r="Y40" s="9"/>
      <c r="Z40" s="9"/>
    </row>
    <row r="41" hidden="1" outlineLevel="1">
      <c r="A41" s="47" t="str">
        <f t="shared" si="21"/>
        <v>7-2024</v>
      </c>
      <c r="B41" s="37">
        <v>45499.0</v>
      </c>
      <c r="C41" s="48"/>
      <c r="D41" s="49">
        <v>107.96</v>
      </c>
      <c r="E41" s="50">
        <v>8.0</v>
      </c>
      <c r="F41" s="50">
        <v>6.0</v>
      </c>
      <c r="G41" s="51">
        <f t="shared" si="2"/>
        <v>1.333333333</v>
      </c>
      <c r="H41" s="49">
        <f t="shared" si="23"/>
        <v>17.99333333</v>
      </c>
      <c r="I41" s="49">
        <f t="shared" si="22"/>
        <v>13.495</v>
      </c>
      <c r="J41" s="52">
        <v>65.0</v>
      </c>
      <c r="K41" s="53">
        <f t="shared" si="5"/>
        <v>0.1230769231</v>
      </c>
      <c r="L41" s="39">
        <v>0.0</v>
      </c>
      <c r="M41" s="39">
        <v>0.0</v>
      </c>
      <c r="N41" s="40">
        <v>0.0</v>
      </c>
      <c r="O41" s="52">
        <v>257.0</v>
      </c>
      <c r="P41" s="53" t="str">
        <f t="shared" si="6"/>
        <v>#DIV/0!</v>
      </c>
      <c r="Q41" s="55" t="str">
        <f t="shared" si="7"/>
        <v>#DIV/0!</v>
      </c>
      <c r="R41" s="53">
        <f t="shared" si="8"/>
        <v>0</v>
      </c>
      <c r="S41" s="19"/>
      <c r="T41" s="28"/>
      <c r="U41" s="9"/>
      <c r="V41" s="9"/>
      <c r="W41" s="9"/>
      <c r="X41" s="9"/>
      <c r="Y41" s="9"/>
      <c r="Z41" s="9"/>
    </row>
    <row r="42" hidden="1" outlineLevel="1">
      <c r="A42" s="47" t="str">
        <f t="shared" si="21"/>
        <v>7-2024</v>
      </c>
      <c r="B42" s="37">
        <v>45500.0</v>
      </c>
      <c r="C42" s="48"/>
      <c r="D42" s="49">
        <v>0.0</v>
      </c>
      <c r="E42" s="50">
        <v>10.0</v>
      </c>
      <c r="F42" s="50">
        <v>10.0</v>
      </c>
      <c r="G42" s="51">
        <f t="shared" si="2"/>
        <v>1</v>
      </c>
      <c r="H42" s="49">
        <f t="shared" si="23"/>
        <v>0</v>
      </c>
      <c r="I42" s="49">
        <f t="shared" si="22"/>
        <v>0</v>
      </c>
      <c r="J42" s="52">
        <v>31.0</v>
      </c>
      <c r="K42" s="53">
        <f t="shared" si="5"/>
        <v>0.3225806452</v>
      </c>
      <c r="L42" s="39">
        <v>0.0</v>
      </c>
      <c r="M42" s="39">
        <v>0.0</v>
      </c>
      <c r="N42" s="40">
        <v>0.0</v>
      </c>
      <c r="O42" s="52">
        <v>183.0</v>
      </c>
      <c r="P42" s="53" t="str">
        <f t="shared" si="6"/>
        <v>#DIV/0!</v>
      </c>
      <c r="Q42" s="55" t="str">
        <f t="shared" si="7"/>
        <v>#DIV/0!</v>
      </c>
      <c r="R42" s="53" t="str">
        <f t="shared" si="8"/>
        <v>#DIV/0!</v>
      </c>
      <c r="S42" s="19"/>
      <c r="T42" s="28"/>
      <c r="U42" s="9"/>
      <c r="V42" s="9"/>
      <c r="W42" s="9"/>
      <c r="X42" s="9"/>
      <c r="Y42" s="9"/>
      <c r="Z42" s="9"/>
    </row>
    <row r="43" collapsed="1">
      <c r="A43" s="101" t="s">
        <v>123</v>
      </c>
      <c r="B43" s="102"/>
      <c r="C43" s="103"/>
      <c r="D43" s="104">
        <f t="shared" ref="D43:F43" si="24">SUM(D36:D42)</f>
        <v>132.95</v>
      </c>
      <c r="E43" s="105">
        <f t="shared" si="24"/>
        <v>84</v>
      </c>
      <c r="F43" s="105">
        <f t="shared" si="24"/>
        <v>82</v>
      </c>
      <c r="G43" s="260">
        <f t="shared" si="2"/>
        <v>1.024390244</v>
      </c>
      <c r="H43" s="104">
        <f>average(H36:H42)</f>
        <v>2.707783883</v>
      </c>
      <c r="I43" s="261">
        <f>H43/G43</f>
        <v>2.643312838</v>
      </c>
      <c r="J43" s="108">
        <f>SUM(J36:J42)</f>
        <v>612</v>
      </c>
      <c r="K43" s="109">
        <f t="shared" si="5"/>
        <v>0.137254902</v>
      </c>
      <c r="L43" s="104">
        <f t="shared" ref="L43:N43" si="25">SUM(L36:L42)</f>
        <v>0.35</v>
      </c>
      <c r="M43" s="104">
        <f t="shared" si="25"/>
        <v>0</v>
      </c>
      <c r="N43" s="262">
        <f t="shared" si="25"/>
        <v>0</v>
      </c>
      <c r="O43" s="108">
        <f>sum(O36:O42)</f>
        <v>704</v>
      </c>
      <c r="P43" s="109" t="str">
        <f t="shared" si="6"/>
        <v>#DIV/0!</v>
      </c>
      <c r="Q43" s="263">
        <f t="shared" si="7"/>
        <v>0</v>
      </c>
      <c r="R43" s="113">
        <f t="shared" si="8"/>
        <v>0</v>
      </c>
      <c r="S43" s="103" t="str">
        <f>iferror((D43-#REF!)/D43,)</f>
        <v/>
      </c>
      <c r="T43" s="114" t="str">
        <f>iferror((F43-#REF!)/F43,)</f>
        <v/>
      </c>
      <c r="U43" s="9"/>
      <c r="V43" s="9"/>
      <c r="W43" s="9"/>
      <c r="X43" s="9"/>
      <c r="Y43" s="9"/>
      <c r="Z43" s="9"/>
    </row>
    <row r="44" hidden="1" outlineLevel="1">
      <c r="A44" s="36" t="str">
        <f t="shared" ref="A44:A50" si="26">iferror(if(B44&gt;0,month(B44)&amp;"-"&amp;year(B44),B44),)</f>
        <v>7-2024</v>
      </c>
      <c r="B44" s="37">
        <v>45501.0</v>
      </c>
      <c r="C44" s="38"/>
      <c r="D44" s="39">
        <v>22.99</v>
      </c>
      <c r="E44" s="40">
        <v>4.0</v>
      </c>
      <c r="F44" s="40">
        <v>4.0</v>
      </c>
      <c r="G44" s="41">
        <f t="shared" si="2"/>
        <v>1</v>
      </c>
      <c r="H44" s="39">
        <f t="shared" ref="H44:H50" si="27">D44/F44</f>
        <v>5.7475</v>
      </c>
      <c r="I44" s="39">
        <f t="shared" ref="I44:I50" si="28">D44/E44</f>
        <v>5.7475</v>
      </c>
      <c r="J44" s="42">
        <v>40.0</v>
      </c>
      <c r="K44" s="43">
        <f t="shared" si="5"/>
        <v>0.1</v>
      </c>
      <c r="L44" s="39">
        <v>0.0</v>
      </c>
      <c r="M44" s="39">
        <v>0.0</v>
      </c>
      <c r="N44" s="40">
        <v>0.0</v>
      </c>
      <c r="O44" s="42">
        <v>254.0</v>
      </c>
      <c r="P44" s="43" t="str">
        <f t="shared" si="6"/>
        <v>#DIV/0!</v>
      </c>
      <c r="Q44" s="44" t="str">
        <f t="shared" si="7"/>
        <v>#DIV/0!</v>
      </c>
      <c r="R44" s="43">
        <f t="shared" si="8"/>
        <v>0</v>
      </c>
      <c r="S44" s="45"/>
      <c r="T44" s="46"/>
      <c r="U44" s="9"/>
      <c r="V44" s="9"/>
      <c r="W44" s="9"/>
      <c r="X44" s="9"/>
      <c r="Y44" s="9"/>
      <c r="Z44" s="9"/>
    </row>
    <row r="45" hidden="1" outlineLevel="1">
      <c r="A45" s="47" t="str">
        <f t="shared" si="26"/>
        <v>7-2024</v>
      </c>
      <c r="B45" s="37">
        <v>45502.0</v>
      </c>
      <c r="C45" s="48"/>
      <c r="D45" s="49">
        <v>0.0</v>
      </c>
      <c r="E45" s="50">
        <v>10.0</v>
      </c>
      <c r="F45" s="50">
        <v>10.0</v>
      </c>
      <c r="G45" s="51">
        <f t="shared" si="2"/>
        <v>1</v>
      </c>
      <c r="H45" s="49">
        <f t="shared" si="27"/>
        <v>0</v>
      </c>
      <c r="I45" s="49">
        <f t="shared" si="28"/>
        <v>0</v>
      </c>
      <c r="J45" s="52">
        <v>50.0</v>
      </c>
      <c r="K45" s="53">
        <f t="shared" si="5"/>
        <v>0.2</v>
      </c>
      <c r="L45" s="49">
        <v>1.17</v>
      </c>
      <c r="M45" s="268">
        <v>0.0</v>
      </c>
      <c r="N45" s="50">
        <v>1.0</v>
      </c>
      <c r="O45" s="52">
        <v>355.0</v>
      </c>
      <c r="P45" s="53" t="str">
        <f t="shared" si="6"/>
        <v>#DIV/0!</v>
      </c>
      <c r="Q45" s="55">
        <f t="shared" si="7"/>
        <v>0</v>
      </c>
      <c r="R45" s="53" t="str">
        <f t="shared" si="8"/>
        <v>#DIV/0!</v>
      </c>
      <c r="S45" s="19"/>
      <c r="T45" s="28"/>
      <c r="U45" s="9"/>
      <c r="V45" s="9"/>
      <c r="W45" s="9"/>
      <c r="X45" s="9"/>
      <c r="Y45" s="9"/>
      <c r="Z45" s="9"/>
    </row>
    <row r="46" hidden="1" outlineLevel="1">
      <c r="A46" s="47" t="str">
        <f t="shared" si="26"/>
        <v>7-2024</v>
      </c>
      <c r="B46" s="37">
        <v>45503.0</v>
      </c>
      <c r="C46" s="48"/>
      <c r="D46" s="49">
        <v>0.0</v>
      </c>
      <c r="E46" s="50">
        <v>6.0</v>
      </c>
      <c r="F46" s="50">
        <v>6.0</v>
      </c>
      <c r="G46" s="51">
        <f t="shared" si="2"/>
        <v>1</v>
      </c>
      <c r="H46" s="49">
        <f t="shared" si="27"/>
        <v>0</v>
      </c>
      <c r="I46" s="49">
        <f t="shared" si="28"/>
        <v>0</v>
      </c>
      <c r="J46" s="52">
        <v>47.0</v>
      </c>
      <c r="K46" s="53">
        <f t="shared" si="5"/>
        <v>0.1276595745</v>
      </c>
      <c r="L46" s="39">
        <v>0.0</v>
      </c>
      <c r="M46" s="39">
        <v>0.0</v>
      </c>
      <c r="N46" s="40">
        <v>0.0</v>
      </c>
      <c r="O46" s="52">
        <v>0.0</v>
      </c>
      <c r="P46" s="53" t="str">
        <f t="shared" si="6"/>
        <v>#DIV/0!</v>
      </c>
      <c r="Q46" s="55" t="str">
        <f t="shared" si="7"/>
        <v>#DIV/0!</v>
      </c>
      <c r="R46" s="53" t="str">
        <f t="shared" si="8"/>
        <v>#DIV/0!</v>
      </c>
      <c r="S46" s="19"/>
      <c r="T46" s="28"/>
      <c r="U46" s="9"/>
      <c r="V46" s="9"/>
      <c r="W46" s="9"/>
      <c r="X46" s="9"/>
      <c r="Y46" s="9"/>
      <c r="Z46" s="9"/>
    </row>
    <row r="47" hidden="1" outlineLevel="1">
      <c r="A47" s="47" t="str">
        <f t="shared" si="26"/>
        <v>7-2024</v>
      </c>
      <c r="B47" s="37">
        <v>45504.0</v>
      </c>
      <c r="C47" s="48"/>
      <c r="D47" s="49">
        <v>74.97</v>
      </c>
      <c r="E47" s="50">
        <v>6.0</v>
      </c>
      <c r="F47" s="50">
        <v>6.0</v>
      </c>
      <c r="G47" s="51">
        <f t="shared" si="2"/>
        <v>1</v>
      </c>
      <c r="H47" s="49">
        <f t="shared" si="27"/>
        <v>12.495</v>
      </c>
      <c r="I47" s="49">
        <f t="shared" si="28"/>
        <v>12.495</v>
      </c>
      <c r="J47" s="52">
        <v>49.0</v>
      </c>
      <c r="K47" s="53">
        <f t="shared" si="5"/>
        <v>0.1224489796</v>
      </c>
      <c r="L47" s="49">
        <v>1.37</v>
      </c>
      <c r="M47" s="49">
        <v>22.99</v>
      </c>
      <c r="N47" s="50">
        <v>1.0</v>
      </c>
      <c r="O47" s="52">
        <v>80.0</v>
      </c>
      <c r="P47" s="53">
        <f t="shared" si="6"/>
        <v>0.05959112658</v>
      </c>
      <c r="Q47" s="55">
        <f t="shared" si="7"/>
        <v>16.7810219</v>
      </c>
      <c r="R47" s="53">
        <f t="shared" si="8"/>
        <v>0.3066559957</v>
      </c>
      <c r="S47" s="19"/>
      <c r="T47" s="28"/>
      <c r="U47" s="9"/>
      <c r="V47" s="9"/>
      <c r="W47" s="9"/>
      <c r="X47" s="9"/>
      <c r="Y47" s="9"/>
      <c r="Z47" s="9"/>
    </row>
    <row r="48" hidden="1" outlineLevel="1">
      <c r="A48" s="47" t="str">
        <f t="shared" si="26"/>
        <v>8-2024</v>
      </c>
      <c r="B48" s="37">
        <v>45505.0</v>
      </c>
      <c r="C48" s="48"/>
      <c r="D48" s="49">
        <v>47.98</v>
      </c>
      <c r="E48" s="50">
        <v>3.0</v>
      </c>
      <c r="F48" s="50">
        <v>3.0</v>
      </c>
      <c r="G48" s="51">
        <f t="shared" si="2"/>
        <v>1</v>
      </c>
      <c r="H48" s="49">
        <f t="shared" si="27"/>
        <v>15.99333333</v>
      </c>
      <c r="I48" s="49">
        <f t="shared" si="28"/>
        <v>15.99333333</v>
      </c>
      <c r="J48" s="52">
        <v>27.0</v>
      </c>
      <c r="K48" s="53">
        <f t="shared" si="5"/>
        <v>0.1111111111</v>
      </c>
      <c r="L48" s="49">
        <v>1.75</v>
      </c>
      <c r="M48" s="49">
        <v>0.0</v>
      </c>
      <c r="N48" s="50">
        <v>0.0</v>
      </c>
      <c r="O48" s="52">
        <v>312.0</v>
      </c>
      <c r="P48" s="53" t="str">
        <f t="shared" si="6"/>
        <v>#DIV/0!</v>
      </c>
      <c r="Q48" s="55">
        <f t="shared" si="7"/>
        <v>0</v>
      </c>
      <c r="R48" s="53">
        <f t="shared" si="8"/>
        <v>0</v>
      </c>
      <c r="S48" s="19"/>
      <c r="T48" s="28"/>
      <c r="U48" s="9"/>
      <c r="V48" s="9"/>
      <c r="W48" s="9"/>
      <c r="X48" s="9"/>
      <c r="Y48" s="9"/>
      <c r="Z48" s="9"/>
    </row>
    <row r="49" hidden="1" outlineLevel="1">
      <c r="A49" s="47" t="str">
        <f t="shared" si="26"/>
        <v>8-2024</v>
      </c>
      <c r="B49" s="37">
        <v>45506.0</v>
      </c>
      <c r="C49" s="48"/>
      <c r="D49" s="49">
        <v>53.98</v>
      </c>
      <c r="E49" s="50">
        <v>7.0</v>
      </c>
      <c r="F49" s="50">
        <v>6.0</v>
      </c>
      <c r="G49" s="51">
        <f t="shared" si="2"/>
        <v>1.166666667</v>
      </c>
      <c r="H49" s="49">
        <f t="shared" si="27"/>
        <v>8.996666667</v>
      </c>
      <c r="I49" s="49">
        <f t="shared" si="28"/>
        <v>7.711428571</v>
      </c>
      <c r="J49" s="52">
        <v>63.0</v>
      </c>
      <c r="K49" s="53">
        <f t="shared" si="5"/>
        <v>0.1111111111</v>
      </c>
      <c r="L49" s="49">
        <v>11.34</v>
      </c>
      <c r="M49" s="49">
        <v>26.99</v>
      </c>
      <c r="N49" s="50">
        <v>1.0</v>
      </c>
      <c r="O49" s="52">
        <v>4429.0</v>
      </c>
      <c r="P49" s="53">
        <f t="shared" si="6"/>
        <v>0.4201556132</v>
      </c>
      <c r="Q49" s="55">
        <f t="shared" si="7"/>
        <v>2.380070547</v>
      </c>
      <c r="R49" s="53">
        <f t="shared" si="8"/>
        <v>0.5</v>
      </c>
      <c r="S49" s="19"/>
      <c r="T49" s="28"/>
      <c r="U49" s="9"/>
      <c r="V49" s="9"/>
      <c r="W49" s="9"/>
      <c r="X49" s="9"/>
      <c r="Y49" s="9"/>
      <c r="Z49" s="9"/>
    </row>
    <row r="50" hidden="1" outlineLevel="1">
      <c r="A50" s="47" t="str">
        <f t="shared" si="26"/>
        <v>8-2024</v>
      </c>
      <c r="B50" s="37">
        <v>45507.0</v>
      </c>
      <c r="C50" s="48"/>
      <c r="D50" s="49">
        <v>74.97</v>
      </c>
      <c r="E50" s="50">
        <v>9.0</v>
      </c>
      <c r="F50" s="50">
        <v>9.0</v>
      </c>
      <c r="G50" s="51">
        <f t="shared" si="2"/>
        <v>1</v>
      </c>
      <c r="H50" s="49">
        <f t="shared" si="27"/>
        <v>8.33</v>
      </c>
      <c r="I50" s="49">
        <f t="shared" si="28"/>
        <v>8.33</v>
      </c>
      <c r="J50" s="52">
        <v>57.0</v>
      </c>
      <c r="K50" s="53">
        <f t="shared" si="5"/>
        <v>0.1578947368</v>
      </c>
      <c r="L50" s="49">
        <v>34.25</v>
      </c>
      <c r="M50" s="49">
        <v>24.99</v>
      </c>
      <c r="N50" s="50">
        <v>1.0</v>
      </c>
      <c r="O50" s="52">
        <v>8961.0</v>
      </c>
      <c r="P50" s="53">
        <f t="shared" si="6"/>
        <v>1.370548219</v>
      </c>
      <c r="Q50" s="55">
        <f t="shared" si="7"/>
        <v>0.7296350365</v>
      </c>
      <c r="R50" s="53">
        <f t="shared" si="8"/>
        <v>0.3333333333</v>
      </c>
      <c r="S50" s="19"/>
      <c r="T50" s="28"/>
      <c r="U50" s="9"/>
      <c r="V50" s="9"/>
      <c r="W50" s="9"/>
      <c r="X50" s="9"/>
      <c r="Y50" s="9"/>
      <c r="Z50" s="9"/>
    </row>
    <row r="51" collapsed="1">
      <c r="A51" s="101" t="s">
        <v>124</v>
      </c>
      <c r="B51" s="102"/>
      <c r="C51" s="103"/>
      <c r="D51" s="104">
        <f t="shared" ref="D51:F51" si="29">SUM(D44:D50)</f>
        <v>274.89</v>
      </c>
      <c r="E51" s="105">
        <f t="shared" si="29"/>
        <v>45</v>
      </c>
      <c r="F51" s="105">
        <f t="shared" si="29"/>
        <v>44</v>
      </c>
      <c r="G51" s="260">
        <f t="shared" si="2"/>
        <v>1.022727273</v>
      </c>
      <c r="H51" s="104">
        <f>average(H44:H50)</f>
        <v>7.366071429</v>
      </c>
      <c r="I51" s="261">
        <f>H51/G51</f>
        <v>7.202380952</v>
      </c>
      <c r="J51" s="108">
        <f>SUM(J44:J50)</f>
        <v>333</v>
      </c>
      <c r="K51" s="109">
        <f t="shared" si="5"/>
        <v>0.1351351351</v>
      </c>
      <c r="L51" s="104">
        <f t="shared" ref="L51:N51" si="30">SUM(L44:L50)</f>
        <v>49.88</v>
      </c>
      <c r="M51" s="104">
        <f t="shared" si="30"/>
        <v>74.97</v>
      </c>
      <c r="N51" s="262">
        <f t="shared" si="30"/>
        <v>4</v>
      </c>
      <c r="O51" s="108">
        <f>sum(O44:O50)</f>
        <v>14391</v>
      </c>
      <c r="P51" s="109">
        <f t="shared" si="6"/>
        <v>0.6653327998</v>
      </c>
      <c r="Q51" s="263">
        <f t="shared" si="7"/>
        <v>1.503007217</v>
      </c>
      <c r="R51" s="113">
        <f t="shared" si="8"/>
        <v>0.2727272727</v>
      </c>
      <c r="S51" s="103" t="str">
        <f>iferror((D51-#REF!)/D51,)</f>
        <v/>
      </c>
      <c r="T51" s="114" t="str">
        <f>iferror((F51-#REF!)/F51,)</f>
        <v/>
      </c>
      <c r="U51" s="9"/>
      <c r="V51" s="9"/>
      <c r="W51" s="9"/>
      <c r="X51" s="9"/>
      <c r="Y51" s="9"/>
      <c r="Z51" s="9"/>
    </row>
    <row r="52" hidden="1" outlineLevel="1">
      <c r="A52" s="36" t="str">
        <f t="shared" ref="A52:A58" si="31">iferror(if(B52&gt;0,month(B52)&amp;"-"&amp;year(B52),B52),)</f>
        <v>8-2024</v>
      </c>
      <c r="B52" s="37">
        <v>45508.0</v>
      </c>
      <c r="C52" s="38"/>
      <c r="D52" s="39">
        <v>174.93</v>
      </c>
      <c r="E52" s="40">
        <v>9.0</v>
      </c>
      <c r="F52" s="40">
        <v>9.0</v>
      </c>
      <c r="G52" s="41">
        <f t="shared" si="2"/>
        <v>1</v>
      </c>
      <c r="H52" s="39">
        <f t="shared" ref="H52:H58" si="32">D52/F52</f>
        <v>19.43666667</v>
      </c>
      <c r="I52" s="39">
        <f t="shared" ref="I52:I58" si="33">D52/E52</f>
        <v>19.43666667</v>
      </c>
      <c r="J52" s="42">
        <v>121.0</v>
      </c>
      <c r="K52" s="43">
        <f t="shared" si="5"/>
        <v>0.07438016529</v>
      </c>
      <c r="L52" s="39">
        <v>99.47</v>
      </c>
      <c r="M52" s="39">
        <v>120.95</v>
      </c>
      <c r="N52" s="40">
        <v>6.0</v>
      </c>
      <c r="O52" s="42">
        <v>21987.0</v>
      </c>
      <c r="P52" s="43">
        <f t="shared" si="6"/>
        <v>0.8224059529</v>
      </c>
      <c r="Q52" s="44">
        <f t="shared" si="7"/>
        <v>1.215944506</v>
      </c>
      <c r="R52" s="43">
        <f t="shared" si="8"/>
        <v>0.6914194249</v>
      </c>
      <c r="S52" s="45"/>
      <c r="T52" s="46"/>
      <c r="U52" s="9"/>
      <c r="V52" s="9"/>
      <c r="W52" s="9"/>
      <c r="X52" s="9"/>
      <c r="Y52" s="9"/>
      <c r="Z52" s="9"/>
    </row>
    <row r="53" hidden="1" outlineLevel="1">
      <c r="A53" s="47" t="str">
        <f t="shared" si="31"/>
        <v>8-2024</v>
      </c>
      <c r="B53" s="37">
        <v>45509.0</v>
      </c>
      <c r="C53" s="48"/>
      <c r="D53" s="49">
        <v>155.94</v>
      </c>
      <c r="E53" s="50">
        <v>6.0</v>
      </c>
      <c r="F53" s="50">
        <v>6.0</v>
      </c>
      <c r="G53" s="51">
        <f t="shared" si="2"/>
        <v>1</v>
      </c>
      <c r="H53" s="49">
        <f t="shared" si="32"/>
        <v>25.99</v>
      </c>
      <c r="I53" s="49">
        <f t="shared" si="33"/>
        <v>25.99</v>
      </c>
      <c r="J53" s="52">
        <v>120.0</v>
      </c>
      <c r="K53" s="53">
        <f t="shared" si="5"/>
        <v>0.05</v>
      </c>
      <c r="L53" s="49">
        <v>78.88</v>
      </c>
      <c r="M53" s="54">
        <v>232.91</v>
      </c>
      <c r="N53" s="50">
        <v>9.0</v>
      </c>
      <c r="O53" s="52">
        <v>14687.0</v>
      </c>
      <c r="P53" s="53">
        <f t="shared" si="6"/>
        <v>0.3386715899</v>
      </c>
      <c r="Q53" s="55">
        <f t="shared" si="7"/>
        <v>2.952712982</v>
      </c>
      <c r="R53" s="53">
        <f t="shared" si="8"/>
        <v>1.493587277</v>
      </c>
      <c r="S53" s="19"/>
      <c r="T53" s="28"/>
      <c r="U53" s="9"/>
      <c r="V53" s="9"/>
      <c r="W53" s="9"/>
      <c r="X53" s="9"/>
      <c r="Y53" s="9"/>
      <c r="Z53" s="9"/>
    </row>
    <row r="54" hidden="1" outlineLevel="1">
      <c r="A54" s="47" t="str">
        <f t="shared" si="31"/>
        <v>8-2024</v>
      </c>
      <c r="B54" s="37">
        <v>45510.0</v>
      </c>
      <c r="C54" s="48"/>
      <c r="D54" s="49">
        <v>197.92</v>
      </c>
      <c r="E54" s="50">
        <v>8.0</v>
      </c>
      <c r="F54" s="50">
        <v>7.0</v>
      </c>
      <c r="G54" s="51">
        <f t="shared" si="2"/>
        <v>1.142857143</v>
      </c>
      <c r="H54" s="49">
        <f t="shared" si="32"/>
        <v>28.27428571</v>
      </c>
      <c r="I54" s="49">
        <f t="shared" si="33"/>
        <v>24.74</v>
      </c>
      <c r="J54" s="52">
        <v>108.0</v>
      </c>
      <c r="K54" s="53">
        <f t="shared" si="5"/>
        <v>0.07407407407</v>
      </c>
      <c r="L54" s="39">
        <v>80.37</v>
      </c>
      <c r="M54" s="39">
        <v>197.92</v>
      </c>
      <c r="N54" s="40">
        <v>7.0</v>
      </c>
      <c r="O54" s="52">
        <v>17025.0</v>
      </c>
      <c r="P54" s="53">
        <f t="shared" si="6"/>
        <v>0.4060731609</v>
      </c>
      <c r="Q54" s="55">
        <f t="shared" si="7"/>
        <v>2.462610427</v>
      </c>
      <c r="R54" s="53">
        <f t="shared" si="8"/>
        <v>1</v>
      </c>
      <c r="S54" s="19"/>
      <c r="T54" s="28"/>
      <c r="U54" s="9"/>
      <c r="V54" s="9"/>
      <c r="W54" s="9"/>
      <c r="X54" s="9"/>
      <c r="Y54" s="9"/>
      <c r="Z54" s="9"/>
    </row>
    <row r="55" hidden="1" outlineLevel="1">
      <c r="A55" s="47" t="str">
        <f t="shared" si="31"/>
        <v>8-2024</v>
      </c>
      <c r="B55" s="37">
        <v>45511.0</v>
      </c>
      <c r="C55" s="48"/>
      <c r="D55" s="49">
        <v>51.98</v>
      </c>
      <c r="E55" s="50">
        <v>2.0</v>
      </c>
      <c r="F55" s="50">
        <v>2.0</v>
      </c>
      <c r="G55" s="51">
        <f t="shared" si="2"/>
        <v>1</v>
      </c>
      <c r="H55" s="49">
        <f t="shared" si="32"/>
        <v>25.99</v>
      </c>
      <c r="I55" s="49">
        <f t="shared" si="33"/>
        <v>25.99</v>
      </c>
      <c r="J55" s="52">
        <v>32.0</v>
      </c>
      <c r="K55" s="53">
        <f t="shared" si="5"/>
        <v>0.0625</v>
      </c>
      <c r="L55" s="49">
        <v>0.0</v>
      </c>
      <c r="M55" s="49">
        <v>0.0</v>
      </c>
      <c r="N55" s="50">
        <v>0.0</v>
      </c>
      <c r="O55" s="52">
        <v>0.0</v>
      </c>
      <c r="P55" s="53" t="str">
        <f t="shared" si="6"/>
        <v>#DIV/0!</v>
      </c>
      <c r="Q55" s="55" t="str">
        <f t="shared" si="7"/>
        <v>#DIV/0!</v>
      </c>
      <c r="R55" s="53">
        <f t="shared" si="8"/>
        <v>0</v>
      </c>
      <c r="S55" s="19"/>
      <c r="T55" s="28"/>
      <c r="U55" s="9"/>
      <c r="V55" s="9"/>
      <c r="W55" s="9"/>
      <c r="X55" s="9"/>
      <c r="Y55" s="9"/>
      <c r="Z55" s="9"/>
    </row>
    <row r="56" hidden="1" outlineLevel="1">
      <c r="A56" s="47" t="str">
        <f t="shared" si="31"/>
        <v>8-2024</v>
      </c>
      <c r="B56" s="37">
        <v>45512.0</v>
      </c>
      <c r="C56" s="48"/>
      <c r="D56" s="49">
        <v>612.77</v>
      </c>
      <c r="E56" s="50">
        <v>23.0</v>
      </c>
      <c r="F56" s="50">
        <v>5.0</v>
      </c>
      <c r="G56" s="51">
        <f t="shared" si="2"/>
        <v>4.6</v>
      </c>
      <c r="H56" s="49">
        <f t="shared" si="32"/>
        <v>122.554</v>
      </c>
      <c r="I56" s="49">
        <f t="shared" si="33"/>
        <v>26.64217391</v>
      </c>
      <c r="J56" s="52">
        <v>70.0</v>
      </c>
      <c r="K56" s="53">
        <f t="shared" si="5"/>
        <v>0.3285714286</v>
      </c>
      <c r="L56" s="49">
        <v>53.58</v>
      </c>
      <c r="M56" s="49">
        <v>664.75</v>
      </c>
      <c r="N56" s="50">
        <v>7.0</v>
      </c>
      <c r="O56" s="52">
        <v>7505.0</v>
      </c>
      <c r="P56" s="53">
        <f t="shared" si="6"/>
        <v>0.08060172997</v>
      </c>
      <c r="Q56" s="55">
        <f t="shared" si="7"/>
        <v>12.4066816</v>
      </c>
      <c r="R56" s="53">
        <f t="shared" si="8"/>
        <v>1.084827913</v>
      </c>
      <c r="S56" s="19"/>
      <c r="T56" s="28"/>
      <c r="U56" s="9"/>
      <c r="V56" s="9"/>
      <c r="W56" s="9"/>
      <c r="X56" s="9"/>
      <c r="Y56" s="9"/>
      <c r="Z56" s="9"/>
    </row>
    <row r="57" hidden="1" outlineLevel="1">
      <c r="A57" s="47" t="str">
        <f t="shared" si="31"/>
        <v>8-2024</v>
      </c>
      <c r="B57" s="37">
        <v>45513.0</v>
      </c>
      <c r="C57" s="48"/>
      <c r="D57" s="49">
        <v>324.87</v>
      </c>
      <c r="E57" s="50">
        <v>13.0</v>
      </c>
      <c r="F57" s="50">
        <v>11.0</v>
      </c>
      <c r="G57" s="51">
        <f t="shared" si="2"/>
        <v>1.181818182</v>
      </c>
      <c r="H57" s="49">
        <f t="shared" si="32"/>
        <v>29.53363636</v>
      </c>
      <c r="I57" s="49">
        <f t="shared" si="33"/>
        <v>24.99</v>
      </c>
      <c r="J57" s="52">
        <v>86.0</v>
      </c>
      <c r="K57" s="53">
        <f t="shared" si="5"/>
        <v>0.1511627907</v>
      </c>
      <c r="L57" s="49">
        <v>60.82</v>
      </c>
      <c r="M57" s="49">
        <v>166.93</v>
      </c>
      <c r="N57" s="50">
        <v>6.0</v>
      </c>
      <c r="O57" s="52">
        <v>9292.0</v>
      </c>
      <c r="P57" s="53">
        <f t="shared" si="6"/>
        <v>0.3643443359</v>
      </c>
      <c r="Q57" s="55">
        <f t="shared" si="7"/>
        <v>2.744656363</v>
      </c>
      <c r="R57" s="53">
        <f t="shared" si="8"/>
        <v>0.5138363038</v>
      </c>
      <c r="S57" s="19"/>
      <c r="T57" s="28"/>
      <c r="U57" s="9"/>
      <c r="V57" s="9"/>
      <c r="W57" s="9"/>
      <c r="X57" s="9"/>
      <c r="Y57" s="9"/>
      <c r="Z57" s="9"/>
    </row>
    <row r="58" hidden="1" outlineLevel="1">
      <c r="A58" s="47" t="str">
        <f t="shared" si="31"/>
        <v>8-2024</v>
      </c>
      <c r="B58" s="37">
        <v>45514.0</v>
      </c>
      <c r="C58" s="48"/>
      <c r="D58" s="49">
        <v>243.9</v>
      </c>
      <c r="E58" s="50">
        <v>15.0</v>
      </c>
      <c r="F58" s="50">
        <v>14.0</v>
      </c>
      <c r="G58" s="51">
        <f t="shared" si="2"/>
        <v>1.071428571</v>
      </c>
      <c r="H58" s="49">
        <f t="shared" si="32"/>
        <v>17.42142857</v>
      </c>
      <c r="I58" s="49">
        <f t="shared" si="33"/>
        <v>16.26</v>
      </c>
      <c r="J58" s="52">
        <v>149.0</v>
      </c>
      <c r="K58" s="53">
        <f t="shared" si="5"/>
        <v>0.1006711409</v>
      </c>
      <c r="L58" s="49">
        <v>101.43</v>
      </c>
      <c r="M58" s="49">
        <v>289.88</v>
      </c>
      <c r="N58" s="50">
        <v>9.0</v>
      </c>
      <c r="O58" s="52">
        <v>20143.0</v>
      </c>
      <c r="P58" s="53">
        <f t="shared" si="6"/>
        <v>0.3499034083</v>
      </c>
      <c r="Q58" s="55">
        <f t="shared" si="7"/>
        <v>2.857931578</v>
      </c>
      <c r="R58" s="53">
        <f t="shared" si="8"/>
        <v>1.188519885</v>
      </c>
      <c r="S58" s="19"/>
      <c r="T58" s="28"/>
      <c r="U58" s="9"/>
      <c r="V58" s="9"/>
      <c r="W58" s="9"/>
      <c r="X58" s="9"/>
      <c r="Y58" s="9"/>
      <c r="Z58" s="9"/>
    </row>
    <row r="59" collapsed="1">
      <c r="A59" s="101" t="s">
        <v>125</v>
      </c>
      <c r="B59" s="102"/>
      <c r="C59" s="103"/>
      <c r="D59" s="104">
        <f t="shared" ref="D59:F59" si="34">SUM(D52:D58)</f>
        <v>1762.31</v>
      </c>
      <c r="E59" s="105">
        <f t="shared" si="34"/>
        <v>76</v>
      </c>
      <c r="F59" s="105">
        <f t="shared" si="34"/>
        <v>54</v>
      </c>
      <c r="G59" s="260">
        <f t="shared" si="2"/>
        <v>1.407407407</v>
      </c>
      <c r="H59" s="104">
        <f>average(H52:H58)</f>
        <v>38.45714533</v>
      </c>
      <c r="I59" s="261">
        <f>H59/G59</f>
        <v>27.32481379</v>
      </c>
      <c r="J59" s="108">
        <f>SUM(J52:J58)</f>
        <v>686</v>
      </c>
      <c r="K59" s="109">
        <f t="shared" si="5"/>
        <v>0.110787172</v>
      </c>
      <c r="L59" s="104">
        <f t="shared" ref="L59:N59" si="35">SUM(L52:L58)</f>
        <v>474.55</v>
      </c>
      <c r="M59" s="104">
        <f t="shared" si="35"/>
        <v>1673.34</v>
      </c>
      <c r="N59" s="262">
        <f t="shared" si="35"/>
        <v>44</v>
      </c>
      <c r="O59" s="108">
        <f>sum(O52:O58)</f>
        <v>90639</v>
      </c>
      <c r="P59" s="109">
        <f t="shared" si="6"/>
        <v>0.2835944877</v>
      </c>
      <c r="Q59" s="263">
        <f t="shared" si="7"/>
        <v>3.526161627</v>
      </c>
      <c r="R59" s="113">
        <f t="shared" si="8"/>
        <v>0.949515125</v>
      </c>
      <c r="S59" s="103" t="str">
        <f>iferror((D59-#REF!)/D59,)</f>
        <v/>
      </c>
      <c r="T59" s="114" t="str">
        <f>iferror((F59-#REF!)/F59,)</f>
        <v/>
      </c>
      <c r="U59" s="9"/>
      <c r="V59" s="9"/>
      <c r="W59" s="9"/>
      <c r="X59" s="9"/>
      <c r="Y59" s="9"/>
      <c r="Z59" s="9"/>
    </row>
    <row r="60" hidden="1" outlineLevel="1">
      <c r="A60" s="36" t="str">
        <f t="shared" ref="A60:A66" si="36">iferror(if(B60&gt;0,month(B60)&amp;"-"&amp;year(B60),B60),)</f>
        <v>8-2024</v>
      </c>
      <c r="B60" s="37">
        <v>45515.0</v>
      </c>
      <c r="C60" s="38"/>
      <c r="D60" s="39">
        <v>345.86</v>
      </c>
      <c r="E60" s="40">
        <v>14.0</v>
      </c>
      <c r="F60" s="40">
        <v>10.0</v>
      </c>
      <c r="G60" s="41">
        <f t="shared" si="2"/>
        <v>1.4</v>
      </c>
      <c r="H60" s="39">
        <f t="shared" ref="H60:H66" si="37">D60/F60</f>
        <v>34.586</v>
      </c>
      <c r="I60" s="39">
        <f t="shared" ref="I60:I66" si="38">D60/E60</f>
        <v>24.70428571</v>
      </c>
      <c r="J60" s="42">
        <v>157.0</v>
      </c>
      <c r="K60" s="43">
        <f t="shared" si="5"/>
        <v>0.08917197452</v>
      </c>
      <c r="L60" s="39">
        <v>138.05</v>
      </c>
      <c r="M60" s="39">
        <v>303.88</v>
      </c>
      <c r="N60" s="40">
        <v>10.0</v>
      </c>
      <c r="O60" s="42">
        <v>24416.0</v>
      </c>
      <c r="P60" s="43">
        <f t="shared" si="6"/>
        <v>0.4542911676</v>
      </c>
      <c r="Q60" s="44">
        <f t="shared" si="7"/>
        <v>2.201231438</v>
      </c>
      <c r="R60" s="43">
        <f t="shared" si="8"/>
        <v>0.8786214075</v>
      </c>
      <c r="S60" s="45"/>
      <c r="T60" s="46"/>
      <c r="U60" s="9"/>
      <c r="V60" s="9"/>
      <c r="W60" s="9"/>
      <c r="X60" s="9"/>
      <c r="Y60" s="9"/>
      <c r="Z60" s="9"/>
    </row>
    <row r="61" hidden="1" outlineLevel="1">
      <c r="A61" s="47" t="str">
        <f t="shared" si="36"/>
        <v>8-2024</v>
      </c>
      <c r="B61" s="37">
        <v>45516.0</v>
      </c>
      <c r="C61" s="48"/>
      <c r="D61" s="49">
        <v>386.85</v>
      </c>
      <c r="E61" s="50">
        <v>15.0</v>
      </c>
      <c r="F61" s="50">
        <v>12.0</v>
      </c>
      <c r="G61" s="51">
        <f t="shared" si="2"/>
        <v>1.25</v>
      </c>
      <c r="H61" s="49">
        <f t="shared" si="37"/>
        <v>32.2375</v>
      </c>
      <c r="I61" s="49">
        <f t="shared" si="38"/>
        <v>25.79</v>
      </c>
      <c r="J61" s="52">
        <v>134.0</v>
      </c>
      <c r="K61" s="53">
        <f t="shared" si="5"/>
        <v>0.1119402985</v>
      </c>
      <c r="L61" s="49">
        <v>111.39</v>
      </c>
      <c r="M61" s="54">
        <v>259.9</v>
      </c>
      <c r="N61" s="50">
        <v>8.0</v>
      </c>
      <c r="O61" s="52">
        <v>28035.0</v>
      </c>
      <c r="P61" s="53">
        <f t="shared" si="6"/>
        <v>0.4285879184</v>
      </c>
      <c r="Q61" s="55">
        <f t="shared" si="7"/>
        <v>2.333243559</v>
      </c>
      <c r="R61" s="53">
        <f t="shared" si="8"/>
        <v>0.6718366292</v>
      </c>
      <c r="S61" s="19"/>
      <c r="T61" s="28"/>
      <c r="U61" s="9"/>
      <c r="V61" s="9"/>
      <c r="W61" s="9"/>
      <c r="X61" s="9"/>
      <c r="Y61" s="9"/>
      <c r="Z61" s="9"/>
    </row>
    <row r="62" hidden="1" outlineLevel="1">
      <c r="A62" s="47" t="str">
        <f t="shared" si="36"/>
        <v>8-2024</v>
      </c>
      <c r="B62" s="37">
        <v>45517.0</v>
      </c>
      <c r="C62" s="48"/>
      <c r="D62" s="49">
        <v>203.92</v>
      </c>
      <c r="E62" s="50">
        <v>8.0</v>
      </c>
      <c r="F62" s="50">
        <v>8.0</v>
      </c>
      <c r="G62" s="51">
        <f t="shared" si="2"/>
        <v>1</v>
      </c>
      <c r="H62" s="49">
        <f t="shared" si="37"/>
        <v>25.49</v>
      </c>
      <c r="I62" s="49">
        <f t="shared" si="38"/>
        <v>25.49</v>
      </c>
      <c r="J62" s="52">
        <v>167.0</v>
      </c>
      <c r="K62" s="53">
        <f t="shared" si="5"/>
        <v>0.04790419162</v>
      </c>
      <c r="L62" s="39">
        <v>139.98</v>
      </c>
      <c r="M62" s="39">
        <v>259.9</v>
      </c>
      <c r="N62" s="40">
        <v>10.0</v>
      </c>
      <c r="O62" s="52">
        <v>31872.0</v>
      </c>
      <c r="P62" s="53">
        <f t="shared" si="6"/>
        <v>0.5385917661</v>
      </c>
      <c r="Q62" s="55">
        <f t="shared" si="7"/>
        <v>1.856693813</v>
      </c>
      <c r="R62" s="53">
        <f t="shared" si="8"/>
        <v>1.274519419</v>
      </c>
      <c r="S62" s="19"/>
      <c r="T62" s="28"/>
      <c r="U62" s="9"/>
      <c r="V62" s="9"/>
      <c r="W62" s="9"/>
      <c r="X62" s="9"/>
      <c r="Y62" s="9"/>
      <c r="Z62" s="9"/>
    </row>
    <row r="63" hidden="1" outlineLevel="1">
      <c r="A63" s="47" t="str">
        <f t="shared" si="36"/>
        <v>8-2024</v>
      </c>
      <c r="B63" s="37">
        <v>45518.0</v>
      </c>
      <c r="C63" s="48"/>
      <c r="D63" s="49">
        <v>332.87</v>
      </c>
      <c r="E63" s="50">
        <v>13.0</v>
      </c>
      <c r="F63" s="50">
        <v>12.0</v>
      </c>
      <c r="G63" s="51">
        <f t="shared" si="2"/>
        <v>1.083333333</v>
      </c>
      <c r="H63" s="49">
        <f t="shared" si="37"/>
        <v>27.73916667</v>
      </c>
      <c r="I63" s="49">
        <f t="shared" si="38"/>
        <v>25.60538462</v>
      </c>
      <c r="J63" s="52">
        <v>169.0</v>
      </c>
      <c r="K63" s="53">
        <f t="shared" si="5"/>
        <v>0.07692307692</v>
      </c>
      <c r="L63" s="49">
        <v>120.34</v>
      </c>
      <c r="M63" s="49">
        <v>228.91</v>
      </c>
      <c r="N63" s="50">
        <v>8.0</v>
      </c>
      <c r="O63" s="52">
        <v>31505.0</v>
      </c>
      <c r="P63" s="53">
        <f t="shared" si="6"/>
        <v>0.5257087938</v>
      </c>
      <c r="Q63" s="55">
        <f t="shared" si="7"/>
        <v>1.902193784</v>
      </c>
      <c r="R63" s="53">
        <f t="shared" si="8"/>
        <v>0.6876858834</v>
      </c>
      <c r="S63" s="19"/>
      <c r="T63" s="28"/>
      <c r="U63" s="9"/>
      <c r="V63" s="9"/>
      <c r="W63" s="9"/>
      <c r="X63" s="9"/>
      <c r="Y63" s="9"/>
      <c r="Z63" s="9"/>
    </row>
    <row r="64" hidden="1" outlineLevel="1">
      <c r="A64" s="47" t="str">
        <f t="shared" si="36"/>
        <v>8-2024</v>
      </c>
      <c r="B64" s="37">
        <v>45519.0</v>
      </c>
      <c r="C64" s="48"/>
      <c r="D64" s="49">
        <v>149.94</v>
      </c>
      <c r="E64" s="50">
        <v>6.0</v>
      </c>
      <c r="F64" s="50">
        <v>6.0</v>
      </c>
      <c r="G64" s="51">
        <f t="shared" si="2"/>
        <v>1</v>
      </c>
      <c r="H64" s="49">
        <f t="shared" si="37"/>
        <v>24.99</v>
      </c>
      <c r="I64" s="49">
        <f t="shared" si="38"/>
        <v>24.99</v>
      </c>
      <c r="J64" s="52">
        <v>157.0</v>
      </c>
      <c r="K64" s="53">
        <f t="shared" si="5"/>
        <v>0.03821656051</v>
      </c>
      <c r="L64" s="49">
        <v>130.98</v>
      </c>
      <c r="M64" s="49">
        <v>205.92</v>
      </c>
      <c r="N64" s="50">
        <v>8.0</v>
      </c>
      <c r="O64" s="52">
        <v>31229.0</v>
      </c>
      <c r="P64" s="53">
        <f t="shared" si="6"/>
        <v>0.6360722611</v>
      </c>
      <c r="Q64" s="55">
        <f t="shared" si="7"/>
        <v>1.57214842</v>
      </c>
      <c r="R64" s="53">
        <f t="shared" si="8"/>
        <v>1.37334934</v>
      </c>
      <c r="S64" s="19"/>
      <c r="T64" s="28"/>
      <c r="U64" s="9"/>
      <c r="V64" s="9"/>
      <c r="W64" s="9"/>
      <c r="X64" s="9"/>
      <c r="Y64" s="9"/>
      <c r="Z64" s="9"/>
    </row>
    <row r="65" hidden="1" outlineLevel="1">
      <c r="A65" s="47" t="str">
        <f t="shared" si="36"/>
        <v>8-2024</v>
      </c>
      <c r="B65" s="37">
        <v>45520.0</v>
      </c>
      <c r="C65" s="48"/>
      <c r="D65" s="49">
        <v>234.91</v>
      </c>
      <c r="E65" s="50">
        <v>9.0</v>
      </c>
      <c r="F65" s="50">
        <v>9.0</v>
      </c>
      <c r="G65" s="51">
        <f t="shared" si="2"/>
        <v>1</v>
      </c>
      <c r="H65" s="49">
        <f t="shared" si="37"/>
        <v>26.10111111</v>
      </c>
      <c r="I65" s="49">
        <f t="shared" si="38"/>
        <v>26.10111111</v>
      </c>
      <c r="J65" s="52">
        <v>150.0</v>
      </c>
      <c r="K65" s="53">
        <f t="shared" si="5"/>
        <v>0.06</v>
      </c>
      <c r="L65" s="49">
        <v>139.29</v>
      </c>
      <c r="M65" s="49">
        <v>128.95</v>
      </c>
      <c r="N65" s="50">
        <v>5.0</v>
      </c>
      <c r="O65" s="52">
        <v>24674.0</v>
      </c>
      <c r="P65" s="53">
        <f t="shared" si="6"/>
        <v>1.080186119</v>
      </c>
      <c r="Q65" s="55">
        <f t="shared" si="7"/>
        <v>0.9257663867</v>
      </c>
      <c r="R65" s="53">
        <f t="shared" si="8"/>
        <v>0.5489336342</v>
      </c>
      <c r="S65" s="19"/>
      <c r="T65" s="28"/>
      <c r="U65" s="9"/>
      <c r="V65" s="9"/>
      <c r="W65" s="9"/>
      <c r="X65" s="9"/>
      <c r="Y65" s="9"/>
      <c r="Z65" s="9"/>
    </row>
    <row r="66" hidden="1" outlineLevel="1">
      <c r="A66" s="47" t="str">
        <f t="shared" si="36"/>
        <v>8-2024</v>
      </c>
      <c r="B66" s="37">
        <v>45521.0</v>
      </c>
      <c r="C66" s="48"/>
      <c r="D66" s="49">
        <v>257.9</v>
      </c>
      <c r="E66" s="50">
        <v>10.0</v>
      </c>
      <c r="F66" s="50">
        <v>10.0</v>
      </c>
      <c r="G66" s="51">
        <f t="shared" si="2"/>
        <v>1</v>
      </c>
      <c r="H66" s="49">
        <f t="shared" si="37"/>
        <v>25.79</v>
      </c>
      <c r="I66" s="49">
        <f t="shared" si="38"/>
        <v>25.79</v>
      </c>
      <c r="J66" s="52">
        <v>150.0</v>
      </c>
      <c r="K66" s="53">
        <f t="shared" si="5"/>
        <v>0.06666666667</v>
      </c>
      <c r="L66" s="49">
        <v>130.5</v>
      </c>
      <c r="M66" s="49">
        <v>257.9</v>
      </c>
      <c r="N66" s="50">
        <v>10.0</v>
      </c>
      <c r="O66" s="52">
        <v>24138.0</v>
      </c>
      <c r="P66" s="53">
        <f t="shared" si="6"/>
        <v>0.5060100814</v>
      </c>
      <c r="Q66" s="55">
        <f t="shared" si="7"/>
        <v>1.976245211</v>
      </c>
      <c r="R66" s="53">
        <f t="shared" si="8"/>
        <v>1</v>
      </c>
      <c r="S66" s="19"/>
      <c r="T66" s="28"/>
      <c r="U66" s="9"/>
      <c r="V66" s="9"/>
      <c r="W66" s="9"/>
      <c r="X66" s="9"/>
      <c r="Y66" s="9"/>
      <c r="Z66" s="9"/>
    </row>
    <row r="67" collapsed="1">
      <c r="A67" s="101" t="s">
        <v>126</v>
      </c>
      <c r="B67" s="102"/>
      <c r="C67" s="103"/>
      <c r="D67" s="104">
        <f t="shared" ref="D67:F67" si="39">SUM(D60:D66)</f>
        <v>1912.25</v>
      </c>
      <c r="E67" s="105">
        <f t="shared" si="39"/>
        <v>75</v>
      </c>
      <c r="F67" s="105">
        <f t="shared" si="39"/>
        <v>67</v>
      </c>
      <c r="G67" s="260">
        <f t="shared" si="2"/>
        <v>1.119402985</v>
      </c>
      <c r="H67" s="104">
        <f>average(H60:H66)</f>
        <v>28.13339683</v>
      </c>
      <c r="I67" s="261">
        <f>H67/G67</f>
        <v>25.13250116</v>
      </c>
      <c r="J67" s="108">
        <f>SUM(J60:J66)</f>
        <v>1084</v>
      </c>
      <c r="K67" s="109">
        <f t="shared" si="5"/>
        <v>0.06918819188</v>
      </c>
      <c r="L67" s="104">
        <f t="shared" ref="L67:N67" si="40">SUM(L60:L66)</f>
        <v>910.53</v>
      </c>
      <c r="M67" s="104">
        <f t="shared" si="40"/>
        <v>1645.36</v>
      </c>
      <c r="N67" s="262">
        <f t="shared" si="40"/>
        <v>59</v>
      </c>
      <c r="O67" s="108">
        <f>sum(O60:O66)</f>
        <v>195869</v>
      </c>
      <c r="P67" s="109">
        <f t="shared" si="6"/>
        <v>0.5533925706</v>
      </c>
      <c r="Q67" s="263">
        <f t="shared" si="7"/>
        <v>1.807035463</v>
      </c>
      <c r="R67" s="113">
        <f t="shared" si="8"/>
        <v>0.8604314289</v>
      </c>
      <c r="S67" s="103" t="str">
        <f>iferror((D67-#REF!)/D67,)</f>
        <v/>
      </c>
      <c r="T67" s="114" t="str">
        <f>iferror((F67-#REF!)/F67,)</f>
        <v/>
      </c>
      <c r="U67" s="9"/>
      <c r="V67" s="9"/>
      <c r="W67" s="9"/>
      <c r="X67" s="9"/>
      <c r="Y67" s="9"/>
      <c r="Z67" s="9"/>
    </row>
    <row r="68" hidden="1" outlineLevel="1">
      <c r="A68" s="36" t="str">
        <f t="shared" ref="A68:A74" si="41">iferror(if(B68&gt;0,month(B68)&amp;"-"&amp;year(B68),B68),)</f>
        <v>8-2024</v>
      </c>
      <c r="B68" s="37">
        <v>45522.0</v>
      </c>
      <c r="C68" s="38"/>
      <c r="D68" s="39">
        <v>679.74</v>
      </c>
      <c r="E68" s="40">
        <v>26.0</v>
      </c>
      <c r="F68" s="40">
        <v>24.0</v>
      </c>
      <c r="G68" s="41">
        <f t="shared" si="2"/>
        <v>1.083333333</v>
      </c>
      <c r="H68" s="39">
        <f t="shared" ref="H68:H74" si="42">D68/F68</f>
        <v>28.3225</v>
      </c>
      <c r="I68" s="39">
        <f t="shared" ref="I68:I74" si="43">D68/E68</f>
        <v>26.14384615</v>
      </c>
      <c r="J68" s="42">
        <v>326.0</v>
      </c>
      <c r="K68" s="43">
        <f t="shared" si="5"/>
        <v>0.07975460123</v>
      </c>
      <c r="L68" s="39">
        <v>326.0</v>
      </c>
      <c r="M68" s="39">
        <v>972.63</v>
      </c>
      <c r="N68" s="40">
        <v>32.0</v>
      </c>
      <c r="O68" s="42">
        <v>37496.0</v>
      </c>
      <c r="P68" s="43">
        <f t="shared" si="6"/>
        <v>0.3351737043</v>
      </c>
      <c r="Q68" s="44">
        <f t="shared" si="7"/>
        <v>2.983527607</v>
      </c>
      <c r="R68" s="43">
        <f t="shared" si="8"/>
        <v>1.430885339</v>
      </c>
      <c r="S68" s="45"/>
      <c r="T68" s="46"/>
      <c r="U68" s="9"/>
      <c r="V68" s="9"/>
      <c r="W68" s="9"/>
      <c r="X68" s="9"/>
      <c r="Y68" s="9"/>
      <c r="Z68" s="9"/>
    </row>
    <row r="69" hidden="1" outlineLevel="1">
      <c r="A69" s="47" t="str">
        <f t="shared" si="41"/>
        <v>8-2024</v>
      </c>
      <c r="B69" s="37">
        <v>45523.0</v>
      </c>
      <c r="C69" s="48"/>
      <c r="D69" s="49">
        <v>652.75</v>
      </c>
      <c r="E69" s="50">
        <v>25.0</v>
      </c>
      <c r="F69" s="50">
        <v>20.0</v>
      </c>
      <c r="G69" s="51">
        <f t="shared" si="2"/>
        <v>1.25</v>
      </c>
      <c r="H69" s="49">
        <f t="shared" si="42"/>
        <v>32.6375</v>
      </c>
      <c r="I69" s="49">
        <f t="shared" si="43"/>
        <v>26.11</v>
      </c>
      <c r="J69" s="52">
        <v>237.0</v>
      </c>
      <c r="K69" s="53">
        <f t="shared" si="5"/>
        <v>0.1054852321</v>
      </c>
      <c r="L69" s="49">
        <v>218.27</v>
      </c>
      <c r="M69" s="54">
        <v>494.81</v>
      </c>
      <c r="N69" s="50">
        <v>16.0</v>
      </c>
      <c r="O69" s="52">
        <v>27633.0</v>
      </c>
      <c r="P69" s="53">
        <f t="shared" si="6"/>
        <v>0.4411188133</v>
      </c>
      <c r="Q69" s="55">
        <f t="shared" si="7"/>
        <v>2.266962936</v>
      </c>
      <c r="R69" s="53">
        <f t="shared" si="8"/>
        <v>0.7580390655</v>
      </c>
      <c r="S69" s="19"/>
      <c r="T69" s="28"/>
      <c r="U69" s="9"/>
      <c r="V69" s="9"/>
      <c r="W69" s="9"/>
      <c r="X69" s="9"/>
      <c r="Y69" s="9"/>
      <c r="Z69" s="9"/>
    </row>
    <row r="70" hidden="1" outlineLevel="1">
      <c r="A70" s="47" t="str">
        <f t="shared" si="41"/>
        <v>8-2024</v>
      </c>
      <c r="B70" s="37">
        <v>45524.0</v>
      </c>
      <c r="C70" s="48"/>
      <c r="D70" s="49">
        <v>519.8</v>
      </c>
      <c r="E70" s="50">
        <v>20.0</v>
      </c>
      <c r="F70" s="50">
        <v>19.0</v>
      </c>
      <c r="G70" s="51">
        <f t="shared" si="2"/>
        <v>1.052631579</v>
      </c>
      <c r="H70" s="49">
        <f t="shared" si="42"/>
        <v>27.35789474</v>
      </c>
      <c r="I70" s="49">
        <f t="shared" si="43"/>
        <v>25.99</v>
      </c>
      <c r="J70" s="52">
        <v>187.0</v>
      </c>
      <c r="K70" s="53">
        <f t="shared" si="5"/>
        <v>0.1069518717</v>
      </c>
      <c r="L70" s="39">
        <v>162.23</v>
      </c>
      <c r="M70" s="39">
        <v>465.82</v>
      </c>
      <c r="N70" s="40">
        <v>17.0</v>
      </c>
      <c r="O70" s="52">
        <v>22996.0</v>
      </c>
      <c r="P70" s="53">
        <f t="shared" si="6"/>
        <v>0.3482675712</v>
      </c>
      <c r="Q70" s="55">
        <f t="shared" si="7"/>
        <v>2.871355483</v>
      </c>
      <c r="R70" s="53">
        <f t="shared" si="8"/>
        <v>0.8961523663</v>
      </c>
      <c r="S70" s="19"/>
      <c r="T70" s="28"/>
      <c r="U70" s="9"/>
      <c r="V70" s="9"/>
      <c r="W70" s="9"/>
      <c r="X70" s="9"/>
      <c r="Y70" s="9"/>
      <c r="Z70" s="9"/>
    </row>
    <row r="71" hidden="1" outlineLevel="1">
      <c r="A71" s="47" t="str">
        <f t="shared" si="41"/>
        <v>8-2024</v>
      </c>
      <c r="B71" s="37">
        <v>45525.0</v>
      </c>
      <c r="C71" s="48"/>
      <c r="D71" s="49">
        <v>336.87</v>
      </c>
      <c r="E71" s="50">
        <v>13.0</v>
      </c>
      <c r="F71" s="50">
        <v>13.0</v>
      </c>
      <c r="G71" s="51">
        <f t="shared" si="2"/>
        <v>1</v>
      </c>
      <c r="H71" s="49">
        <f t="shared" si="42"/>
        <v>25.91307692</v>
      </c>
      <c r="I71" s="49">
        <f t="shared" si="43"/>
        <v>25.91307692</v>
      </c>
      <c r="J71" s="52">
        <v>224.0</v>
      </c>
      <c r="K71" s="53">
        <f t="shared" si="5"/>
        <v>0.05803571429</v>
      </c>
      <c r="L71" s="49">
        <v>202.27</v>
      </c>
      <c r="M71" s="49">
        <v>340.87</v>
      </c>
      <c r="N71" s="50">
        <v>13.0</v>
      </c>
      <c r="O71" s="52">
        <v>24705.0</v>
      </c>
      <c r="P71" s="53">
        <f t="shared" si="6"/>
        <v>0.5933933758</v>
      </c>
      <c r="Q71" s="55">
        <f t="shared" si="7"/>
        <v>1.685222722</v>
      </c>
      <c r="R71" s="53">
        <f t="shared" si="8"/>
        <v>1.011874017</v>
      </c>
      <c r="S71" s="19"/>
      <c r="T71" s="28"/>
      <c r="U71" s="9"/>
      <c r="V71" s="9"/>
      <c r="W71" s="9"/>
      <c r="X71" s="9"/>
      <c r="Y71" s="9"/>
      <c r="Z71" s="9"/>
    </row>
    <row r="72" hidden="1" outlineLevel="1">
      <c r="A72" s="47" t="str">
        <f t="shared" si="41"/>
        <v>8-2024</v>
      </c>
      <c r="B72" s="37">
        <v>45526.0</v>
      </c>
      <c r="C72" s="48"/>
      <c r="D72" s="49">
        <v>758.71</v>
      </c>
      <c r="E72" s="50">
        <v>29.0</v>
      </c>
      <c r="F72" s="50">
        <v>25.0</v>
      </c>
      <c r="G72" s="51">
        <f t="shared" si="2"/>
        <v>1.16</v>
      </c>
      <c r="H72" s="49">
        <f t="shared" si="42"/>
        <v>30.3484</v>
      </c>
      <c r="I72" s="49">
        <f t="shared" si="43"/>
        <v>26.16241379</v>
      </c>
      <c r="J72" s="52">
        <v>257.0</v>
      </c>
      <c r="K72" s="53">
        <f t="shared" si="5"/>
        <v>0.1128404669</v>
      </c>
      <c r="L72" s="49">
        <v>223.92</v>
      </c>
      <c r="M72" s="49">
        <v>498.81</v>
      </c>
      <c r="N72" s="50">
        <v>17.0</v>
      </c>
      <c r="O72" s="52">
        <v>26246.0</v>
      </c>
      <c r="P72" s="53">
        <f t="shared" si="6"/>
        <v>0.448908402</v>
      </c>
      <c r="Q72" s="55">
        <f t="shared" si="7"/>
        <v>2.227625938</v>
      </c>
      <c r="R72" s="53">
        <f t="shared" si="8"/>
        <v>0.6574448735</v>
      </c>
      <c r="S72" s="19"/>
      <c r="T72" s="28"/>
      <c r="U72" s="9"/>
      <c r="V72" s="9"/>
      <c r="W72" s="9"/>
      <c r="X72" s="9"/>
      <c r="Y72" s="9"/>
      <c r="Z72" s="9"/>
    </row>
    <row r="73" hidden="1" outlineLevel="1">
      <c r="A73" s="47" t="str">
        <f t="shared" si="41"/>
        <v>8-2024</v>
      </c>
      <c r="B73" s="37">
        <v>45527.0</v>
      </c>
      <c r="C73" s="48"/>
      <c r="D73" s="49">
        <v>394.85</v>
      </c>
      <c r="E73" s="50">
        <v>15.0</v>
      </c>
      <c r="F73" s="50">
        <v>14.0</v>
      </c>
      <c r="G73" s="51">
        <f t="shared" si="2"/>
        <v>1.071428571</v>
      </c>
      <c r="H73" s="49">
        <f t="shared" si="42"/>
        <v>28.20357143</v>
      </c>
      <c r="I73" s="49">
        <f t="shared" si="43"/>
        <v>26.32333333</v>
      </c>
      <c r="J73" s="52">
        <v>233.0</v>
      </c>
      <c r="K73" s="53">
        <f t="shared" si="5"/>
        <v>0.0643776824</v>
      </c>
      <c r="L73" s="49">
        <v>212.08</v>
      </c>
      <c r="M73" s="49">
        <v>554.79</v>
      </c>
      <c r="N73" s="50">
        <v>19.0</v>
      </c>
      <c r="O73" s="52">
        <v>28814.0</v>
      </c>
      <c r="P73" s="53">
        <f t="shared" si="6"/>
        <v>0.3822707691</v>
      </c>
      <c r="Q73" s="55">
        <f t="shared" si="7"/>
        <v>2.615946813</v>
      </c>
      <c r="R73" s="53">
        <f t="shared" si="8"/>
        <v>1.405065215</v>
      </c>
      <c r="S73" s="19"/>
      <c r="T73" s="28"/>
      <c r="U73" s="9"/>
      <c r="V73" s="9"/>
      <c r="W73" s="9"/>
      <c r="X73" s="9"/>
      <c r="Y73" s="9"/>
      <c r="Z73" s="9"/>
    </row>
    <row r="74" hidden="1" outlineLevel="1">
      <c r="A74" s="47" t="str">
        <f t="shared" si="41"/>
        <v>8-2024</v>
      </c>
      <c r="B74" s="37">
        <v>45528.0</v>
      </c>
      <c r="C74" s="48"/>
      <c r="D74" s="49">
        <v>710.73</v>
      </c>
      <c r="E74" s="50">
        <v>27.0</v>
      </c>
      <c r="F74" s="50">
        <v>25.0</v>
      </c>
      <c r="G74" s="51">
        <f t="shared" si="2"/>
        <v>1.08</v>
      </c>
      <c r="H74" s="49">
        <f t="shared" si="42"/>
        <v>28.4292</v>
      </c>
      <c r="I74" s="49">
        <f t="shared" si="43"/>
        <v>26.32333333</v>
      </c>
      <c r="J74" s="52">
        <v>311.0</v>
      </c>
      <c r="K74" s="53">
        <f t="shared" si="5"/>
        <v>0.08681672026</v>
      </c>
      <c r="L74" s="49">
        <v>272.03</v>
      </c>
      <c r="M74" s="49">
        <v>604.77</v>
      </c>
      <c r="N74" s="50">
        <v>22.0</v>
      </c>
      <c r="O74" s="52">
        <v>40831.0</v>
      </c>
      <c r="P74" s="53">
        <f t="shared" si="6"/>
        <v>0.4498073648</v>
      </c>
      <c r="Q74" s="55">
        <f t="shared" si="7"/>
        <v>2.223173915</v>
      </c>
      <c r="R74" s="53">
        <f t="shared" si="8"/>
        <v>0.8509138491</v>
      </c>
      <c r="S74" s="19"/>
      <c r="T74" s="28"/>
      <c r="U74" s="9"/>
      <c r="V74" s="9"/>
      <c r="W74" s="9"/>
      <c r="X74" s="9"/>
      <c r="Y74" s="9"/>
      <c r="Z74" s="9"/>
    </row>
    <row r="75" collapsed="1">
      <c r="A75" s="101" t="s">
        <v>127</v>
      </c>
      <c r="B75" s="102"/>
      <c r="C75" s="103"/>
      <c r="D75" s="104">
        <f t="shared" ref="D75:F75" si="44">SUM(D68:D74)</f>
        <v>4053.45</v>
      </c>
      <c r="E75" s="105">
        <f t="shared" si="44"/>
        <v>155</v>
      </c>
      <c r="F75" s="105">
        <f t="shared" si="44"/>
        <v>140</v>
      </c>
      <c r="G75" s="260">
        <f t="shared" si="2"/>
        <v>1.107142857</v>
      </c>
      <c r="H75" s="104">
        <f>average(H68:H74)</f>
        <v>28.74459187</v>
      </c>
      <c r="I75" s="261">
        <f>H75/G75</f>
        <v>25.96285717</v>
      </c>
      <c r="J75" s="108">
        <f>SUM(J68:J74)</f>
        <v>1775</v>
      </c>
      <c r="K75" s="109">
        <f t="shared" si="5"/>
        <v>0.08732394366</v>
      </c>
      <c r="L75" s="104">
        <f t="shared" ref="L75:N75" si="45">SUM(L68:L74)</f>
        <v>1616.8</v>
      </c>
      <c r="M75" s="104">
        <f t="shared" si="45"/>
        <v>3932.5</v>
      </c>
      <c r="N75" s="262">
        <f t="shared" si="45"/>
        <v>136</v>
      </c>
      <c r="O75" s="108">
        <f>sum(O68:O74)</f>
        <v>208721</v>
      </c>
      <c r="P75" s="109">
        <f t="shared" si="6"/>
        <v>0.411137953</v>
      </c>
      <c r="Q75" s="263">
        <f t="shared" si="7"/>
        <v>2.432273627</v>
      </c>
      <c r="R75" s="113">
        <f t="shared" si="8"/>
        <v>0.9701612207</v>
      </c>
      <c r="S75" s="103" t="str">
        <f>iferror((D75-#REF!)/D75,)</f>
        <v/>
      </c>
      <c r="T75" s="114" t="str">
        <f>iferror((F75-#REF!)/F75,)</f>
        <v/>
      </c>
      <c r="U75" s="9"/>
      <c r="V75" s="9"/>
      <c r="W75" s="9"/>
      <c r="X75" s="9"/>
      <c r="Y75" s="9"/>
      <c r="Z75" s="9"/>
    </row>
    <row r="76" hidden="1" outlineLevel="1">
      <c r="A76" s="36" t="str">
        <f t="shared" ref="A76:A82" si="46">iferror(if(B76&gt;0,month(B76)&amp;"-"&amp;year(B76),B76),)</f>
        <v>8-2024</v>
      </c>
      <c r="B76" s="37">
        <v>45529.0</v>
      </c>
      <c r="C76" s="38"/>
      <c r="D76" s="39">
        <v>749.72</v>
      </c>
      <c r="E76" s="40">
        <v>28.0</v>
      </c>
      <c r="F76" s="40">
        <v>25.0</v>
      </c>
      <c r="G76" s="41">
        <f t="shared" si="2"/>
        <v>1.12</v>
      </c>
      <c r="H76" s="39">
        <f t="shared" ref="H76:H82" si="47">D76/F76</f>
        <v>29.9888</v>
      </c>
      <c r="I76" s="39">
        <f t="shared" ref="I76:I82" si="48">D76/E76</f>
        <v>26.77571429</v>
      </c>
      <c r="J76" s="42">
        <v>412.0</v>
      </c>
      <c r="K76" s="43">
        <f t="shared" si="5"/>
        <v>0.06796116505</v>
      </c>
      <c r="L76" s="39">
        <v>323.95</v>
      </c>
      <c r="M76" s="39">
        <v>639.76</v>
      </c>
      <c r="N76" s="40">
        <v>20.0</v>
      </c>
      <c r="O76" s="42">
        <v>57345.0</v>
      </c>
      <c r="P76" s="43">
        <f t="shared" si="6"/>
        <v>0.5063617607</v>
      </c>
      <c r="Q76" s="44">
        <f t="shared" si="7"/>
        <v>1.974872666</v>
      </c>
      <c r="R76" s="43">
        <f t="shared" si="8"/>
        <v>0.8533319106</v>
      </c>
      <c r="S76" s="45"/>
      <c r="T76" s="46"/>
      <c r="U76" s="9"/>
      <c r="V76" s="9"/>
      <c r="W76" s="9"/>
      <c r="X76" s="9"/>
      <c r="Y76" s="9"/>
      <c r="Z76" s="9"/>
    </row>
    <row r="77" hidden="1" outlineLevel="1">
      <c r="A77" s="47" t="str">
        <f t="shared" si="46"/>
        <v>8-2024</v>
      </c>
      <c r="B77" s="37">
        <v>45530.0</v>
      </c>
      <c r="C77" s="48"/>
      <c r="D77" s="49">
        <v>820.69</v>
      </c>
      <c r="E77" s="50">
        <v>31.0</v>
      </c>
      <c r="F77" s="50">
        <v>28.0</v>
      </c>
      <c r="G77" s="51">
        <f t="shared" si="2"/>
        <v>1.107142857</v>
      </c>
      <c r="H77" s="49">
        <f t="shared" si="47"/>
        <v>29.31035714</v>
      </c>
      <c r="I77" s="49">
        <f t="shared" si="48"/>
        <v>26.47387097</v>
      </c>
      <c r="J77" s="52">
        <v>349.0</v>
      </c>
      <c r="K77" s="53">
        <f t="shared" si="5"/>
        <v>0.0888252149</v>
      </c>
      <c r="L77" s="49">
        <v>292.45</v>
      </c>
      <c r="M77" s="54">
        <v>905.66</v>
      </c>
      <c r="N77" s="50">
        <v>31.0</v>
      </c>
      <c r="O77" s="52">
        <v>43874.0</v>
      </c>
      <c r="P77" s="53">
        <f t="shared" si="6"/>
        <v>0.3229136762</v>
      </c>
      <c r="Q77" s="55">
        <f t="shared" si="7"/>
        <v>3.096802872</v>
      </c>
      <c r="R77" s="53">
        <f t="shared" si="8"/>
        <v>1.10353483</v>
      </c>
      <c r="S77" s="19"/>
      <c r="T77" s="28"/>
      <c r="U77" s="9"/>
      <c r="V77" s="9"/>
      <c r="W77" s="9"/>
      <c r="X77" s="9"/>
      <c r="Y77" s="9"/>
      <c r="Z77" s="9"/>
    </row>
    <row r="78" hidden="1" outlineLevel="1">
      <c r="A78" s="47" t="str">
        <f t="shared" si="46"/>
        <v>8-2024</v>
      </c>
      <c r="B78" s="37">
        <v>45531.0</v>
      </c>
      <c r="C78" s="48"/>
      <c r="D78" s="49">
        <v>691.74</v>
      </c>
      <c r="E78" s="50">
        <v>26.0</v>
      </c>
      <c r="F78" s="50">
        <v>22.0</v>
      </c>
      <c r="G78" s="51">
        <f t="shared" si="2"/>
        <v>1.181818182</v>
      </c>
      <c r="H78" s="49">
        <f t="shared" si="47"/>
        <v>31.44272727</v>
      </c>
      <c r="I78" s="49">
        <f t="shared" si="48"/>
        <v>26.60538462</v>
      </c>
      <c r="J78" s="52">
        <v>279.0</v>
      </c>
      <c r="K78" s="53">
        <f t="shared" si="5"/>
        <v>0.09318996416</v>
      </c>
      <c r="L78" s="39">
        <v>218.19</v>
      </c>
      <c r="M78" s="39">
        <v>663.3</v>
      </c>
      <c r="N78" s="40">
        <v>21.0</v>
      </c>
      <c r="O78" s="52">
        <v>39110.0</v>
      </c>
      <c r="P78" s="53">
        <f t="shared" si="6"/>
        <v>0.3289461782</v>
      </c>
      <c r="Q78" s="55">
        <f t="shared" si="7"/>
        <v>3.040011</v>
      </c>
      <c r="R78" s="53">
        <f t="shared" si="8"/>
        <v>0.9588862868</v>
      </c>
      <c r="S78" s="19"/>
      <c r="T78" s="28"/>
      <c r="U78" s="9"/>
      <c r="V78" s="9"/>
      <c r="W78" s="9"/>
      <c r="X78" s="9"/>
      <c r="Y78" s="9"/>
      <c r="Z78" s="9"/>
    </row>
    <row r="79" hidden="1" outlineLevel="1">
      <c r="A79" s="47" t="str">
        <f t="shared" si="46"/>
        <v>8-2024</v>
      </c>
      <c r="B79" s="37">
        <v>45532.0</v>
      </c>
      <c r="C79" s="48"/>
      <c r="D79" s="49">
        <v>962.63</v>
      </c>
      <c r="E79" s="50">
        <v>37.0</v>
      </c>
      <c r="F79" s="50">
        <v>32.0</v>
      </c>
      <c r="G79" s="51">
        <f t="shared" si="2"/>
        <v>1.15625</v>
      </c>
      <c r="H79" s="49">
        <f t="shared" si="47"/>
        <v>30.0821875</v>
      </c>
      <c r="I79" s="49">
        <f t="shared" si="48"/>
        <v>26.01702703</v>
      </c>
      <c r="J79" s="52">
        <v>267.0</v>
      </c>
      <c r="K79" s="53">
        <f t="shared" si="5"/>
        <v>0.138576779</v>
      </c>
      <c r="L79" s="49">
        <v>189.87</v>
      </c>
      <c r="M79" s="49">
        <v>698.73</v>
      </c>
      <c r="N79" s="50">
        <v>22.0</v>
      </c>
      <c r="O79" s="52">
        <v>32833.0</v>
      </c>
      <c r="P79" s="53">
        <f t="shared" si="6"/>
        <v>0.2717358636</v>
      </c>
      <c r="Q79" s="55">
        <f t="shared" si="7"/>
        <v>3.680044241</v>
      </c>
      <c r="R79" s="53">
        <f t="shared" si="8"/>
        <v>0.7258552092</v>
      </c>
      <c r="S79" s="19"/>
      <c r="T79" s="28"/>
      <c r="U79" s="9"/>
      <c r="V79" s="9"/>
      <c r="W79" s="9"/>
      <c r="X79" s="9"/>
      <c r="Y79" s="9"/>
      <c r="Z79" s="9"/>
    </row>
    <row r="80" hidden="1" outlineLevel="1">
      <c r="A80" s="47" t="str">
        <f t="shared" si="46"/>
        <v>8-2024</v>
      </c>
      <c r="B80" s="37">
        <v>45533.0</v>
      </c>
      <c r="C80" s="48"/>
      <c r="D80" s="49">
        <v>534.78</v>
      </c>
      <c r="E80" s="50">
        <v>20.0</v>
      </c>
      <c r="F80" s="50">
        <v>19.0</v>
      </c>
      <c r="G80" s="51">
        <f t="shared" si="2"/>
        <v>1.052631579</v>
      </c>
      <c r="H80" s="49">
        <f t="shared" si="47"/>
        <v>28.14631579</v>
      </c>
      <c r="I80" s="49">
        <f t="shared" si="48"/>
        <v>26.739</v>
      </c>
      <c r="J80" s="52">
        <v>170.0</v>
      </c>
      <c r="K80" s="53">
        <f t="shared" si="5"/>
        <v>0.1176470588</v>
      </c>
      <c r="L80" s="49">
        <v>110.08</v>
      </c>
      <c r="M80" s="49">
        <v>293.32</v>
      </c>
      <c r="N80" s="50">
        <v>11.0</v>
      </c>
      <c r="O80" s="52">
        <v>24837.0</v>
      </c>
      <c r="P80" s="53">
        <f t="shared" si="6"/>
        <v>0.3752897859</v>
      </c>
      <c r="Q80" s="55">
        <f t="shared" si="7"/>
        <v>2.664607558</v>
      </c>
      <c r="R80" s="53">
        <f t="shared" si="8"/>
        <v>0.5484872284</v>
      </c>
      <c r="S80" s="19"/>
      <c r="T80" s="28"/>
      <c r="U80" s="9"/>
      <c r="V80" s="9"/>
      <c r="W80" s="9"/>
      <c r="X80" s="9"/>
      <c r="Y80" s="9"/>
      <c r="Z80" s="9"/>
    </row>
    <row r="81" hidden="1" outlineLevel="1">
      <c r="A81" s="47" t="str">
        <f t="shared" si="46"/>
        <v>8-2024</v>
      </c>
      <c r="B81" s="37">
        <v>45534.0</v>
      </c>
      <c r="C81" s="48"/>
      <c r="D81" s="49">
        <v>212.35</v>
      </c>
      <c r="E81" s="50">
        <v>8.0</v>
      </c>
      <c r="F81" s="50">
        <v>8.0</v>
      </c>
      <c r="G81" s="51">
        <f t="shared" si="2"/>
        <v>1</v>
      </c>
      <c r="H81" s="49">
        <f t="shared" si="47"/>
        <v>26.54375</v>
      </c>
      <c r="I81" s="49">
        <f t="shared" si="48"/>
        <v>26.54375</v>
      </c>
      <c r="J81" s="52">
        <v>165.0</v>
      </c>
      <c r="K81" s="53">
        <f t="shared" si="5"/>
        <v>0.04848484848</v>
      </c>
      <c r="L81" s="49">
        <v>117.18</v>
      </c>
      <c r="M81" s="49">
        <v>80.3</v>
      </c>
      <c r="N81" s="50">
        <v>3.0</v>
      </c>
      <c r="O81" s="52">
        <v>31331.0</v>
      </c>
      <c r="P81" s="53">
        <f t="shared" si="6"/>
        <v>1.459277709</v>
      </c>
      <c r="Q81" s="55">
        <f t="shared" si="7"/>
        <v>0.685270524</v>
      </c>
      <c r="R81" s="53">
        <f t="shared" si="8"/>
        <v>0.3781492818</v>
      </c>
      <c r="S81" s="19"/>
      <c r="T81" s="28"/>
      <c r="U81" s="9"/>
      <c r="V81" s="9"/>
      <c r="W81" s="9"/>
      <c r="X81" s="9"/>
      <c r="Y81" s="9"/>
      <c r="Z81" s="9"/>
    </row>
    <row r="82" hidden="1" outlineLevel="1">
      <c r="A82" s="47" t="str">
        <f t="shared" si="46"/>
        <v>8-2024</v>
      </c>
      <c r="B82" s="37">
        <v>45535.0</v>
      </c>
      <c r="C82" s="48"/>
      <c r="D82" s="49">
        <v>426.15</v>
      </c>
      <c r="E82" s="50">
        <v>16.0</v>
      </c>
      <c r="F82" s="50">
        <v>13.0</v>
      </c>
      <c r="G82" s="51">
        <f t="shared" si="2"/>
        <v>1.230769231</v>
      </c>
      <c r="H82" s="49">
        <f t="shared" si="47"/>
        <v>32.78076923</v>
      </c>
      <c r="I82" s="49">
        <f t="shared" si="48"/>
        <v>26.634375</v>
      </c>
      <c r="J82" s="52">
        <v>246.0</v>
      </c>
      <c r="K82" s="53">
        <f t="shared" si="5"/>
        <v>0.06504065041</v>
      </c>
      <c r="L82" s="49">
        <v>168.63</v>
      </c>
      <c r="M82" s="49">
        <v>398.38</v>
      </c>
      <c r="N82" s="50">
        <v>11.0</v>
      </c>
      <c r="O82" s="52">
        <v>39329.0</v>
      </c>
      <c r="P82" s="53">
        <f t="shared" si="6"/>
        <v>0.4232893218</v>
      </c>
      <c r="Q82" s="55">
        <f t="shared" si="7"/>
        <v>2.362450335</v>
      </c>
      <c r="R82" s="53">
        <f t="shared" si="8"/>
        <v>0.9348351519</v>
      </c>
      <c r="S82" s="19"/>
      <c r="T82" s="28"/>
      <c r="U82" s="9"/>
      <c r="V82" s="9"/>
      <c r="W82" s="9"/>
      <c r="X82" s="9"/>
      <c r="Y82" s="9"/>
      <c r="Z82" s="9"/>
    </row>
    <row r="83" collapsed="1">
      <c r="A83" s="101" t="s">
        <v>128</v>
      </c>
      <c r="B83" s="102"/>
      <c r="C83" s="103"/>
      <c r="D83" s="104">
        <f t="shared" ref="D83:F83" si="49">SUM(D76:D82)</f>
        <v>4398.06</v>
      </c>
      <c r="E83" s="105">
        <f t="shared" si="49"/>
        <v>166</v>
      </c>
      <c r="F83" s="105">
        <f t="shared" si="49"/>
        <v>147</v>
      </c>
      <c r="G83" s="260">
        <f t="shared" si="2"/>
        <v>1.129251701</v>
      </c>
      <c r="H83" s="104">
        <f>average(H76:H82)</f>
        <v>29.75641528</v>
      </c>
      <c r="I83" s="261">
        <f>H83/G83</f>
        <v>26.35056052</v>
      </c>
      <c r="J83" s="108">
        <f>SUM(J76:J82)</f>
        <v>1888</v>
      </c>
      <c r="K83" s="109">
        <f t="shared" si="5"/>
        <v>0.08792372881</v>
      </c>
      <c r="L83" s="104">
        <f t="shared" ref="L83:N83" si="50">SUM(L76:L82)</f>
        <v>1420.35</v>
      </c>
      <c r="M83" s="104">
        <f t="shared" si="50"/>
        <v>3679.45</v>
      </c>
      <c r="N83" s="262">
        <f t="shared" si="50"/>
        <v>119</v>
      </c>
      <c r="O83" s="108">
        <f>sum(O76:O82)</f>
        <v>268659</v>
      </c>
      <c r="P83" s="109">
        <f t="shared" si="6"/>
        <v>0.3860223675</v>
      </c>
      <c r="Q83" s="263">
        <f t="shared" si="7"/>
        <v>2.590523463</v>
      </c>
      <c r="R83" s="113">
        <f t="shared" si="8"/>
        <v>0.8366075042</v>
      </c>
      <c r="S83" s="103" t="str">
        <f>iferror((D83-#REF!)/D83,)</f>
        <v/>
      </c>
      <c r="T83" s="114" t="str">
        <f>iferror((F83-#REF!)/F83,)</f>
        <v/>
      </c>
      <c r="U83" s="9"/>
      <c r="V83" s="9"/>
      <c r="W83" s="9"/>
      <c r="X83" s="9"/>
      <c r="Y83" s="9"/>
      <c r="Z83" s="9"/>
    </row>
    <row r="84" hidden="1" outlineLevel="1">
      <c r="A84" s="36" t="str">
        <f t="shared" ref="A84:A90" si="51">iferror(if(B84&gt;0,month(B84)&amp;"-"&amp;year(B84),B84),)</f>
        <v>9-2024</v>
      </c>
      <c r="B84" s="37">
        <v>45536.0</v>
      </c>
      <c r="C84" s="38"/>
      <c r="D84" s="39">
        <v>705.75</v>
      </c>
      <c r="E84" s="40">
        <v>26.0</v>
      </c>
      <c r="F84" s="40">
        <v>21.0</v>
      </c>
      <c r="G84" s="41">
        <f t="shared" si="2"/>
        <v>1.238095238</v>
      </c>
      <c r="H84" s="39">
        <f t="shared" ref="H84:H90" si="52">D84/F84</f>
        <v>33.60714286</v>
      </c>
      <c r="I84" s="39">
        <f t="shared" ref="I84:I90" si="53">D84/E84</f>
        <v>27.14423077</v>
      </c>
      <c r="J84" s="42">
        <v>326.0</v>
      </c>
      <c r="K84" s="43">
        <f t="shared" si="5"/>
        <v>0.07975460123</v>
      </c>
      <c r="L84" s="39">
        <v>232.28</v>
      </c>
      <c r="M84" s="39">
        <v>489.16</v>
      </c>
      <c r="N84" s="40">
        <v>18.0</v>
      </c>
      <c r="O84" s="42">
        <v>44562.0</v>
      </c>
      <c r="P84" s="43">
        <f t="shared" si="6"/>
        <v>0.4748548532</v>
      </c>
      <c r="Q84" s="44">
        <f t="shared" si="7"/>
        <v>2.105906664</v>
      </c>
      <c r="R84" s="43">
        <f t="shared" si="8"/>
        <v>0.6931066242</v>
      </c>
      <c r="S84" s="45"/>
      <c r="T84" s="46"/>
      <c r="U84" s="9"/>
      <c r="V84" s="9"/>
      <c r="W84" s="9"/>
      <c r="X84" s="9"/>
      <c r="Y84" s="9"/>
      <c r="Z84" s="9"/>
    </row>
    <row r="85" hidden="1" outlineLevel="1">
      <c r="A85" s="47" t="str">
        <f t="shared" si="51"/>
        <v>9-2024</v>
      </c>
      <c r="B85" s="37">
        <v>45537.0</v>
      </c>
      <c r="C85" s="48"/>
      <c r="D85" s="49">
        <v>886.65</v>
      </c>
      <c r="E85" s="50">
        <v>33.0</v>
      </c>
      <c r="F85" s="50">
        <v>27.0</v>
      </c>
      <c r="G85" s="51">
        <f t="shared" si="2"/>
        <v>1.222222222</v>
      </c>
      <c r="H85" s="49">
        <f t="shared" si="52"/>
        <v>32.83888889</v>
      </c>
      <c r="I85" s="49">
        <f t="shared" si="53"/>
        <v>26.86818182</v>
      </c>
      <c r="J85" s="52">
        <v>365.0</v>
      </c>
      <c r="K85" s="53">
        <f t="shared" si="5"/>
        <v>0.0904109589</v>
      </c>
      <c r="L85" s="49">
        <v>251.71</v>
      </c>
      <c r="M85" s="54">
        <v>804.46</v>
      </c>
      <c r="N85" s="50">
        <v>25.0</v>
      </c>
      <c r="O85" s="52">
        <v>49291.0</v>
      </c>
      <c r="P85" s="53">
        <f t="shared" si="6"/>
        <v>0.3128931209</v>
      </c>
      <c r="Q85" s="55">
        <f t="shared" si="7"/>
        <v>3.1959795</v>
      </c>
      <c r="R85" s="53">
        <f t="shared" si="8"/>
        <v>0.9073027688</v>
      </c>
      <c r="S85" s="19"/>
      <c r="T85" s="28"/>
      <c r="U85" s="9"/>
      <c r="V85" s="9"/>
      <c r="W85" s="9"/>
      <c r="X85" s="9"/>
      <c r="Y85" s="9"/>
      <c r="Z85" s="9"/>
    </row>
    <row r="86" hidden="1" outlineLevel="1">
      <c r="A86" s="47" t="str">
        <f t="shared" si="51"/>
        <v>9-2024</v>
      </c>
      <c r="B86" s="37">
        <v>45538.0</v>
      </c>
      <c r="C86" s="48"/>
      <c r="D86" s="49">
        <v>456.15</v>
      </c>
      <c r="E86" s="50">
        <v>17.0</v>
      </c>
      <c r="F86" s="50">
        <v>17.0</v>
      </c>
      <c r="G86" s="51">
        <f t="shared" si="2"/>
        <v>1</v>
      </c>
      <c r="H86" s="49">
        <f t="shared" si="52"/>
        <v>26.83235294</v>
      </c>
      <c r="I86" s="49">
        <f t="shared" si="53"/>
        <v>26.83235294</v>
      </c>
      <c r="J86" s="52">
        <v>227.0</v>
      </c>
      <c r="K86" s="53">
        <f t="shared" si="5"/>
        <v>0.07488986784</v>
      </c>
      <c r="L86" s="39">
        <v>167.9</v>
      </c>
      <c r="M86" s="39">
        <v>294.1</v>
      </c>
      <c r="N86" s="40">
        <v>11.0</v>
      </c>
      <c r="O86" s="52">
        <v>42236.0</v>
      </c>
      <c r="P86" s="53">
        <f t="shared" si="6"/>
        <v>0.5708942537</v>
      </c>
      <c r="Q86" s="55">
        <f t="shared" si="7"/>
        <v>1.75163788</v>
      </c>
      <c r="R86" s="53">
        <f t="shared" si="8"/>
        <v>0.6447440535</v>
      </c>
      <c r="S86" s="19"/>
      <c r="T86" s="28"/>
      <c r="U86" s="9"/>
      <c r="V86" s="9"/>
      <c r="W86" s="9"/>
      <c r="X86" s="9"/>
      <c r="Y86" s="9"/>
      <c r="Z86" s="9"/>
    </row>
    <row r="87" hidden="1" outlineLevel="1">
      <c r="A87" s="47" t="str">
        <f t="shared" si="51"/>
        <v>9-2024</v>
      </c>
      <c r="B87" s="37">
        <v>45539.0</v>
      </c>
      <c r="C87" s="48"/>
      <c r="D87" s="49">
        <v>325.44</v>
      </c>
      <c r="E87" s="50">
        <v>12.0</v>
      </c>
      <c r="F87" s="50">
        <v>11.0</v>
      </c>
      <c r="G87" s="51">
        <f t="shared" si="2"/>
        <v>1.090909091</v>
      </c>
      <c r="H87" s="49">
        <f t="shared" si="52"/>
        <v>29.58545455</v>
      </c>
      <c r="I87" s="49">
        <f t="shared" si="53"/>
        <v>27.12</v>
      </c>
      <c r="J87" s="52">
        <v>199.0</v>
      </c>
      <c r="K87" s="53">
        <f t="shared" si="5"/>
        <v>0.06030150754</v>
      </c>
      <c r="L87" s="49">
        <v>140.3</v>
      </c>
      <c r="M87" s="49">
        <v>243.69</v>
      </c>
      <c r="N87" s="50">
        <v>9.0</v>
      </c>
      <c r="O87" s="52">
        <v>34679.0</v>
      </c>
      <c r="P87" s="53">
        <f t="shared" si="6"/>
        <v>0.5757314621</v>
      </c>
      <c r="Q87" s="55">
        <f t="shared" si="7"/>
        <v>1.736920884</v>
      </c>
      <c r="R87" s="53">
        <f t="shared" si="8"/>
        <v>0.7488016224</v>
      </c>
      <c r="S87" s="19"/>
      <c r="T87" s="28"/>
      <c r="U87" s="9"/>
      <c r="V87" s="9"/>
      <c r="W87" s="9"/>
      <c r="X87" s="9"/>
      <c r="Y87" s="9"/>
      <c r="Z87" s="9"/>
    </row>
    <row r="88" hidden="1" outlineLevel="1">
      <c r="A88" s="47" t="str">
        <f t="shared" si="51"/>
        <v>9-2024</v>
      </c>
      <c r="B88" s="37">
        <v>45540.0</v>
      </c>
      <c r="C88" s="48"/>
      <c r="D88" s="49">
        <v>405.07</v>
      </c>
      <c r="E88" s="50">
        <v>15.0</v>
      </c>
      <c r="F88" s="50">
        <v>14.0</v>
      </c>
      <c r="G88" s="51">
        <f t="shared" si="2"/>
        <v>1.071428571</v>
      </c>
      <c r="H88" s="49">
        <f t="shared" si="52"/>
        <v>28.93357143</v>
      </c>
      <c r="I88" s="49">
        <f t="shared" si="53"/>
        <v>27.00466667</v>
      </c>
      <c r="J88" s="52">
        <v>0.0</v>
      </c>
      <c r="K88" s="53" t="str">
        <f t="shared" si="5"/>
        <v>#DIV/0!</v>
      </c>
      <c r="L88" s="49">
        <v>104.51</v>
      </c>
      <c r="M88" s="49">
        <v>378.08</v>
      </c>
      <c r="N88" s="50">
        <v>13.0</v>
      </c>
      <c r="O88" s="52">
        <v>25022.0</v>
      </c>
      <c r="P88" s="53">
        <f t="shared" si="6"/>
        <v>0.2764229793</v>
      </c>
      <c r="Q88" s="55">
        <f t="shared" si="7"/>
        <v>3.617644245</v>
      </c>
      <c r="R88" s="53">
        <f t="shared" si="8"/>
        <v>0.9333695411</v>
      </c>
      <c r="S88" s="19"/>
      <c r="T88" s="28"/>
      <c r="U88" s="9"/>
      <c r="V88" s="9"/>
      <c r="W88" s="9"/>
      <c r="X88" s="9"/>
      <c r="Y88" s="9"/>
      <c r="Z88" s="9"/>
    </row>
    <row r="89" hidden="1" outlineLevel="1">
      <c r="A89" s="47" t="str">
        <f t="shared" si="51"/>
        <v>9-2024</v>
      </c>
      <c r="B89" s="37">
        <v>45541.0</v>
      </c>
      <c r="C89" s="48"/>
      <c r="D89" s="49">
        <v>404.29</v>
      </c>
      <c r="E89" s="50">
        <v>15.0</v>
      </c>
      <c r="F89" s="50">
        <v>15.0</v>
      </c>
      <c r="G89" s="51">
        <f t="shared" si="2"/>
        <v>1</v>
      </c>
      <c r="H89" s="49">
        <f t="shared" si="52"/>
        <v>26.95266667</v>
      </c>
      <c r="I89" s="49">
        <f t="shared" si="53"/>
        <v>26.95266667</v>
      </c>
      <c r="J89" s="52">
        <v>0.0</v>
      </c>
      <c r="K89" s="53" t="str">
        <f t="shared" si="5"/>
        <v>#DIV/0!</v>
      </c>
      <c r="L89" s="49">
        <v>90.66</v>
      </c>
      <c r="M89" s="49">
        <v>216.03</v>
      </c>
      <c r="N89" s="50">
        <v>8.0</v>
      </c>
      <c r="O89" s="52">
        <v>20751.0</v>
      </c>
      <c r="P89" s="53">
        <f t="shared" si="6"/>
        <v>0.4196639356</v>
      </c>
      <c r="Q89" s="55">
        <f t="shared" si="7"/>
        <v>2.382859034</v>
      </c>
      <c r="R89" s="53">
        <f t="shared" si="8"/>
        <v>0.5343441589</v>
      </c>
      <c r="S89" s="19"/>
      <c r="T89" s="28"/>
      <c r="U89" s="9"/>
      <c r="V89" s="9"/>
      <c r="W89" s="9"/>
      <c r="X89" s="9"/>
      <c r="Y89" s="9"/>
      <c r="Z89" s="9"/>
    </row>
    <row r="90" hidden="1" outlineLevel="1">
      <c r="A90" s="47" t="str">
        <f t="shared" si="51"/>
        <v>9-2024</v>
      </c>
      <c r="B90" s="37">
        <v>45542.0</v>
      </c>
      <c r="C90" s="48"/>
      <c r="D90" s="49">
        <v>456.71</v>
      </c>
      <c r="E90" s="50">
        <v>17.0</v>
      </c>
      <c r="F90" s="50">
        <v>17.0</v>
      </c>
      <c r="G90" s="51">
        <f t="shared" si="2"/>
        <v>1</v>
      </c>
      <c r="H90" s="49">
        <f t="shared" si="52"/>
        <v>26.86529412</v>
      </c>
      <c r="I90" s="49">
        <f t="shared" si="53"/>
        <v>26.86529412</v>
      </c>
      <c r="J90" s="52">
        <v>0.0</v>
      </c>
      <c r="K90" s="53" t="str">
        <f t="shared" si="5"/>
        <v>#DIV/0!</v>
      </c>
      <c r="L90" s="49">
        <v>135.44</v>
      </c>
      <c r="M90" s="49">
        <v>294.77</v>
      </c>
      <c r="N90" s="50">
        <v>11.0</v>
      </c>
      <c r="O90" s="52">
        <v>29446.0</v>
      </c>
      <c r="P90" s="53">
        <f t="shared" si="6"/>
        <v>0.4594768803</v>
      </c>
      <c r="Q90" s="55">
        <f t="shared" si="7"/>
        <v>2.176388069</v>
      </c>
      <c r="R90" s="53">
        <f t="shared" si="8"/>
        <v>0.6454205075</v>
      </c>
      <c r="S90" s="19"/>
      <c r="T90" s="28"/>
      <c r="U90" s="9"/>
      <c r="V90" s="9"/>
      <c r="W90" s="9"/>
      <c r="X90" s="9"/>
      <c r="Y90" s="9"/>
      <c r="Z90" s="9"/>
    </row>
    <row r="91" collapsed="1">
      <c r="A91" s="101" t="s">
        <v>129</v>
      </c>
      <c r="B91" s="102"/>
      <c r="C91" s="103"/>
      <c r="D91" s="104">
        <f t="shared" ref="D91:F91" si="54">SUM(D84:D90)</f>
        <v>3640.06</v>
      </c>
      <c r="E91" s="105">
        <f t="shared" si="54"/>
        <v>135</v>
      </c>
      <c r="F91" s="105">
        <f t="shared" si="54"/>
        <v>122</v>
      </c>
      <c r="G91" s="260">
        <f t="shared" si="2"/>
        <v>1.106557377</v>
      </c>
      <c r="H91" s="104">
        <f>average(H84:H90)</f>
        <v>29.37362449</v>
      </c>
      <c r="I91" s="261">
        <f>H91/G91</f>
        <v>26.54505324</v>
      </c>
      <c r="J91" s="108">
        <f>SUM(J84:J90)</f>
        <v>1117</v>
      </c>
      <c r="K91" s="109">
        <f t="shared" si="5"/>
        <v>0.1208594449</v>
      </c>
      <c r="L91" s="104">
        <f t="shared" ref="L91:N91" si="55">SUM(L84:L90)</f>
        <v>1122.8</v>
      </c>
      <c r="M91" s="104">
        <f t="shared" si="55"/>
        <v>2720.29</v>
      </c>
      <c r="N91" s="262">
        <f t="shared" si="55"/>
        <v>95</v>
      </c>
      <c r="O91" s="108">
        <f>sum(O84:O90)</f>
        <v>245987</v>
      </c>
      <c r="P91" s="109">
        <f t="shared" si="6"/>
        <v>0.4127501112</v>
      </c>
      <c r="Q91" s="263">
        <f t="shared" si="7"/>
        <v>2.422773424</v>
      </c>
      <c r="R91" s="113">
        <f t="shared" si="8"/>
        <v>0.7473200991</v>
      </c>
      <c r="S91" s="103" t="str">
        <f>iferror((D91-#REF!)/D91,)</f>
        <v/>
      </c>
      <c r="T91" s="114" t="str">
        <f>iferror((F91-#REF!)/F91,)</f>
        <v/>
      </c>
      <c r="U91" s="9"/>
      <c r="V91" s="9"/>
      <c r="W91" s="9"/>
      <c r="X91" s="9"/>
      <c r="Y91" s="9"/>
      <c r="Z91" s="9"/>
    </row>
    <row r="92" hidden="1" outlineLevel="1">
      <c r="A92" s="36" t="str">
        <f t="shared" ref="A92:A98" si="56">iferror(if(B92&gt;0,month(B92)&amp;"-"&amp;year(B92),B92),)</f>
        <v>9-2024</v>
      </c>
      <c r="B92" s="37">
        <v>45543.0</v>
      </c>
      <c r="C92" s="38"/>
      <c r="D92" s="39">
        <v>451.69</v>
      </c>
      <c r="E92" s="40">
        <v>17.0</v>
      </c>
      <c r="F92" s="40">
        <v>13.0</v>
      </c>
      <c r="G92" s="41">
        <f t="shared" si="2"/>
        <v>1.307692308</v>
      </c>
      <c r="H92" s="39">
        <f t="shared" ref="H92:H98" si="57">D92/F92</f>
        <v>34.74538462</v>
      </c>
      <c r="I92" s="39">
        <f t="shared" ref="I92:I98" si="58">D92/E92</f>
        <v>26.57</v>
      </c>
      <c r="J92" s="42">
        <v>229.0</v>
      </c>
      <c r="K92" s="43">
        <f t="shared" si="5"/>
        <v>0.07423580786</v>
      </c>
      <c r="L92" s="39">
        <v>133.32</v>
      </c>
      <c r="M92" s="39">
        <v>504.22</v>
      </c>
      <c r="N92" s="40">
        <v>15.0</v>
      </c>
      <c r="O92" s="42">
        <v>31660.0</v>
      </c>
      <c r="P92" s="43">
        <f t="shared" si="6"/>
        <v>0.2644083932</v>
      </c>
      <c r="Q92" s="44">
        <f t="shared" si="7"/>
        <v>3.782028203</v>
      </c>
      <c r="R92" s="43">
        <f t="shared" si="8"/>
        <v>1.116296575</v>
      </c>
      <c r="S92" s="45"/>
      <c r="T92" s="46"/>
      <c r="U92" s="9"/>
      <c r="V92" s="9"/>
      <c r="W92" s="9"/>
      <c r="X92" s="9"/>
      <c r="Y92" s="9"/>
      <c r="Z92" s="9"/>
    </row>
    <row r="93" hidden="1" outlineLevel="1">
      <c r="A93" s="47" t="str">
        <f t="shared" si="56"/>
        <v>9-2024</v>
      </c>
      <c r="B93" s="37">
        <v>45544.0</v>
      </c>
      <c r="C93" s="48"/>
      <c r="D93" s="49">
        <v>350.98</v>
      </c>
      <c r="E93" s="50">
        <v>13.0</v>
      </c>
      <c r="F93" s="50">
        <v>13.0</v>
      </c>
      <c r="G93" s="51">
        <f t="shared" si="2"/>
        <v>1</v>
      </c>
      <c r="H93" s="49">
        <f t="shared" si="57"/>
        <v>26.99846154</v>
      </c>
      <c r="I93" s="49">
        <f t="shared" si="58"/>
        <v>26.99846154</v>
      </c>
      <c r="J93" s="52">
        <v>200.0</v>
      </c>
      <c r="K93" s="53">
        <f t="shared" si="5"/>
        <v>0.065</v>
      </c>
      <c r="L93" s="49">
        <v>109.67</v>
      </c>
      <c r="M93" s="54">
        <v>349.53</v>
      </c>
      <c r="N93" s="50">
        <v>13.0</v>
      </c>
      <c r="O93" s="52">
        <v>25137.0</v>
      </c>
      <c r="P93" s="53">
        <f t="shared" si="6"/>
        <v>0.3137641976</v>
      </c>
      <c r="Q93" s="55">
        <f t="shared" si="7"/>
        <v>3.187106775</v>
      </c>
      <c r="R93" s="53">
        <f t="shared" si="8"/>
        <v>0.9958687105</v>
      </c>
      <c r="S93" s="19"/>
      <c r="T93" s="28"/>
      <c r="U93" s="9"/>
      <c r="V93" s="9"/>
      <c r="W93" s="9"/>
      <c r="X93" s="9"/>
      <c r="Y93" s="9"/>
      <c r="Z93" s="9"/>
    </row>
    <row r="94" hidden="1" outlineLevel="1">
      <c r="A94" s="47" t="str">
        <f t="shared" si="56"/>
        <v>9-2024</v>
      </c>
      <c r="B94" s="37">
        <v>45545.0</v>
      </c>
      <c r="C94" s="48"/>
      <c r="D94" s="49">
        <v>188.26</v>
      </c>
      <c r="E94" s="50">
        <v>7.0</v>
      </c>
      <c r="F94" s="50">
        <v>7.0</v>
      </c>
      <c r="G94" s="51">
        <f t="shared" si="2"/>
        <v>1</v>
      </c>
      <c r="H94" s="49">
        <f t="shared" si="57"/>
        <v>26.89428571</v>
      </c>
      <c r="I94" s="49">
        <f t="shared" si="58"/>
        <v>26.89428571</v>
      </c>
      <c r="J94" s="52">
        <v>126.0</v>
      </c>
      <c r="K94" s="53">
        <f t="shared" si="5"/>
        <v>0.05555555556</v>
      </c>
      <c r="L94" s="39">
        <v>68.29</v>
      </c>
      <c r="M94" s="39">
        <v>162.72</v>
      </c>
      <c r="N94" s="40">
        <v>6.0</v>
      </c>
      <c r="O94" s="52">
        <v>19858.0</v>
      </c>
      <c r="P94" s="53">
        <f t="shared" si="6"/>
        <v>0.4196779744</v>
      </c>
      <c r="Q94" s="55">
        <f t="shared" si="7"/>
        <v>2.382779323</v>
      </c>
      <c r="R94" s="53">
        <f t="shared" si="8"/>
        <v>0.8643365558</v>
      </c>
      <c r="S94" s="19"/>
      <c r="T94" s="28"/>
      <c r="U94" s="9"/>
      <c r="V94" s="9"/>
      <c r="W94" s="9"/>
      <c r="X94" s="9"/>
      <c r="Y94" s="9"/>
      <c r="Z94" s="9"/>
    </row>
    <row r="95" hidden="1" outlineLevel="1">
      <c r="A95" s="47" t="str">
        <f t="shared" si="56"/>
        <v>9-2024</v>
      </c>
      <c r="B95" s="37">
        <v>45546.0</v>
      </c>
      <c r="C95" s="48"/>
      <c r="D95" s="49">
        <v>504.89</v>
      </c>
      <c r="E95" s="50">
        <v>19.0</v>
      </c>
      <c r="F95" s="50">
        <v>18.0</v>
      </c>
      <c r="G95" s="51">
        <f t="shared" si="2"/>
        <v>1.055555556</v>
      </c>
      <c r="H95" s="49">
        <f t="shared" si="57"/>
        <v>28.04944444</v>
      </c>
      <c r="I95" s="49">
        <f t="shared" si="58"/>
        <v>26.57315789</v>
      </c>
      <c r="J95" s="52">
        <v>167.0</v>
      </c>
      <c r="K95" s="53">
        <f t="shared" si="5"/>
        <v>0.1137724551</v>
      </c>
      <c r="L95" s="49">
        <v>106.23</v>
      </c>
      <c r="M95" s="49">
        <v>345.85</v>
      </c>
      <c r="N95" s="50">
        <v>12.0</v>
      </c>
      <c r="O95" s="52">
        <v>22064.0</v>
      </c>
      <c r="P95" s="53">
        <f t="shared" si="6"/>
        <v>0.3071562816</v>
      </c>
      <c r="Q95" s="55">
        <f t="shared" si="7"/>
        <v>3.255671656</v>
      </c>
      <c r="R95" s="53">
        <f t="shared" si="8"/>
        <v>0.6850006932</v>
      </c>
      <c r="S95" s="19"/>
      <c r="T95" s="28"/>
      <c r="U95" s="9"/>
      <c r="V95" s="9"/>
      <c r="W95" s="9"/>
      <c r="X95" s="9"/>
      <c r="Y95" s="9"/>
      <c r="Z95" s="9"/>
    </row>
    <row r="96" hidden="1" outlineLevel="1">
      <c r="A96" s="47" t="str">
        <f t="shared" si="56"/>
        <v>9-2024</v>
      </c>
      <c r="B96" s="37">
        <v>45547.0</v>
      </c>
      <c r="C96" s="48"/>
      <c r="D96" s="49">
        <v>348.08</v>
      </c>
      <c r="E96" s="50">
        <v>13.0</v>
      </c>
      <c r="F96" s="50">
        <v>13.0</v>
      </c>
      <c r="G96" s="51">
        <f t="shared" si="2"/>
        <v>1</v>
      </c>
      <c r="H96" s="49">
        <f t="shared" si="57"/>
        <v>26.77538462</v>
      </c>
      <c r="I96" s="49">
        <f t="shared" si="58"/>
        <v>26.77538462</v>
      </c>
      <c r="J96" s="52">
        <v>152.0</v>
      </c>
      <c r="K96" s="53">
        <f t="shared" si="5"/>
        <v>0.08552631579</v>
      </c>
      <c r="L96" s="49">
        <v>101.55</v>
      </c>
      <c r="M96" s="49">
        <v>322.54</v>
      </c>
      <c r="N96" s="50">
        <v>12.0</v>
      </c>
      <c r="O96" s="52">
        <v>25460.0</v>
      </c>
      <c r="P96" s="53">
        <f t="shared" si="6"/>
        <v>0.3148446704</v>
      </c>
      <c r="Q96" s="55">
        <f t="shared" si="7"/>
        <v>3.176169375</v>
      </c>
      <c r="R96" s="53">
        <f t="shared" si="8"/>
        <v>0.926626063</v>
      </c>
      <c r="S96" s="19"/>
      <c r="T96" s="28"/>
      <c r="U96" s="9"/>
      <c r="V96" s="9"/>
      <c r="W96" s="9"/>
      <c r="X96" s="9"/>
      <c r="Y96" s="9"/>
      <c r="Z96" s="9"/>
    </row>
    <row r="97" hidden="1" outlineLevel="1">
      <c r="A97" s="47" t="str">
        <f t="shared" si="56"/>
        <v>9-2024</v>
      </c>
      <c r="B97" s="37">
        <v>45548.0</v>
      </c>
      <c r="C97" s="48"/>
      <c r="D97" s="49">
        <v>379.42</v>
      </c>
      <c r="E97" s="50">
        <v>14.0</v>
      </c>
      <c r="F97" s="50">
        <v>14.0</v>
      </c>
      <c r="G97" s="51">
        <f t="shared" si="2"/>
        <v>1</v>
      </c>
      <c r="H97" s="49">
        <f t="shared" si="57"/>
        <v>27.10142857</v>
      </c>
      <c r="I97" s="49">
        <f t="shared" si="58"/>
        <v>27.10142857</v>
      </c>
      <c r="J97" s="52">
        <v>139.0</v>
      </c>
      <c r="K97" s="53">
        <f t="shared" si="5"/>
        <v>0.1007194245</v>
      </c>
      <c r="L97" s="49">
        <v>98.15</v>
      </c>
      <c r="M97" s="49">
        <v>106.51</v>
      </c>
      <c r="N97" s="50">
        <v>4.0</v>
      </c>
      <c r="O97" s="52">
        <v>25281.0</v>
      </c>
      <c r="P97" s="53">
        <f t="shared" si="6"/>
        <v>0.9215097174</v>
      </c>
      <c r="Q97" s="55">
        <f t="shared" si="7"/>
        <v>1.085175751</v>
      </c>
      <c r="R97" s="53">
        <f t="shared" si="8"/>
        <v>0.2807179379</v>
      </c>
      <c r="S97" s="19"/>
      <c r="T97" s="28"/>
      <c r="U97" s="9"/>
      <c r="V97" s="9"/>
      <c r="W97" s="9"/>
      <c r="X97" s="9"/>
      <c r="Y97" s="9"/>
      <c r="Z97" s="9"/>
    </row>
    <row r="98" hidden="1" outlineLevel="1">
      <c r="A98" s="47" t="str">
        <f t="shared" si="56"/>
        <v>9-2024</v>
      </c>
      <c r="B98" s="37">
        <v>45549.0</v>
      </c>
      <c r="C98" s="48"/>
      <c r="D98" s="49">
        <v>374.29</v>
      </c>
      <c r="E98" s="50">
        <v>14.0</v>
      </c>
      <c r="F98" s="50">
        <v>14.0</v>
      </c>
      <c r="G98" s="51">
        <f t="shared" si="2"/>
        <v>1</v>
      </c>
      <c r="H98" s="49">
        <f t="shared" si="57"/>
        <v>26.735</v>
      </c>
      <c r="I98" s="49">
        <f t="shared" si="58"/>
        <v>26.735</v>
      </c>
      <c r="J98" s="52">
        <v>192.0</v>
      </c>
      <c r="K98" s="53">
        <f t="shared" si="5"/>
        <v>0.07291666667</v>
      </c>
      <c r="L98" s="49">
        <v>121.24</v>
      </c>
      <c r="M98" s="49">
        <v>294.77</v>
      </c>
      <c r="N98" s="50">
        <v>11.0</v>
      </c>
      <c r="O98" s="52">
        <v>31999.0</v>
      </c>
      <c r="P98" s="53">
        <f t="shared" si="6"/>
        <v>0.4113037283</v>
      </c>
      <c r="Q98" s="55">
        <f t="shared" si="7"/>
        <v>2.431293303</v>
      </c>
      <c r="R98" s="53">
        <f t="shared" si="8"/>
        <v>0.7875444174</v>
      </c>
      <c r="S98" s="19"/>
      <c r="T98" s="28"/>
      <c r="U98" s="9"/>
      <c r="V98" s="9"/>
      <c r="W98" s="9"/>
      <c r="X98" s="9"/>
      <c r="Y98" s="9"/>
      <c r="Z98" s="9"/>
    </row>
    <row r="99" collapsed="1">
      <c r="A99" s="101" t="s">
        <v>130</v>
      </c>
      <c r="B99" s="102"/>
      <c r="C99" s="103"/>
      <c r="D99" s="104">
        <f t="shared" ref="D99:F99" si="59">SUM(D92:D98)</f>
        <v>2597.61</v>
      </c>
      <c r="E99" s="105">
        <f t="shared" si="59"/>
        <v>97</v>
      </c>
      <c r="F99" s="105">
        <f t="shared" si="59"/>
        <v>92</v>
      </c>
      <c r="G99" s="260">
        <f t="shared" si="2"/>
        <v>1.054347826</v>
      </c>
      <c r="H99" s="104">
        <f>average(H92:H98)</f>
        <v>28.18562707</v>
      </c>
      <c r="I99" s="261">
        <f>H99/G99</f>
        <v>26.7327597</v>
      </c>
      <c r="J99" s="108">
        <f>SUM(J92:J98)</f>
        <v>1205</v>
      </c>
      <c r="K99" s="109">
        <f t="shared" si="5"/>
        <v>0.08049792531</v>
      </c>
      <c r="L99" s="104">
        <f t="shared" ref="L99:N99" si="60">SUM(L92:L98)</f>
        <v>738.45</v>
      </c>
      <c r="M99" s="104">
        <f t="shared" si="60"/>
        <v>2086.14</v>
      </c>
      <c r="N99" s="262">
        <f t="shared" si="60"/>
        <v>73</v>
      </c>
      <c r="O99" s="108">
        <f>sum(O92:O98)</f>
        <v>181459</v>
      </c>
      <c r="P99" s="109">
        <f t="shared" si="6"/>
        <v>0.3539791193</v>
      </c>
      <c r="Q99" s="263">
        <f t="shared" si="7"/>
        <v>2.825025391</v>
      </c>
      <c r="R99" s="113">
        <f t="shared" si="8"/>
        <v>0.8030997725</v>
      </c>
      <c r="S99" s="103" t="str">
        <f>iferror((D99-#REF!)/D99,)</f>
        <v/>
      </c>
      <c r="T99" s="114" t="str">
        <f>iferror((F99-#REF!)/F99,)</f>
        <v/>
      </c>
      <c r="U99" s="9"/>
      <c r="V99" s="9"/>
      <c r="W99" s="9"/>
      <c r="X99" s="9"/>
      <c r="Y99" s="9"/>
      <c r="Z99" s="9"/>
    </row>
    <row r="100" hidden="1" outlineLevel="1">
      <c r="A100" s="36" t="str">
        <f t="shared" ref="A100:A106" si="61">iferror(if(B100&gt;0,month(B100)&amp;"-"&amp;year(B100),B100),)</f>
        <v>9-2024</v>
      </c>
      <c r="B100" s="37">
        <v>45550.0</v>
      </c>
      <c r="C100" s="38"/>
      <c r="D100" s="39">
        <v>402.73</v>
      </c>
      <c r="E100" s="40">
        <v>15.0</v>
      </c>
      <c r="F100" s="40">
        <v>14.0</v>
      </c>
      <c r="G100" s="41">
        <f t="shared" si="2"/>
        <v>1.071428571</v>
      </c>
      <c r="H100" s="39">
        <f t="shared" ref="H100:H106" si="62">D100/F100</f>
        <v>28.76642857</v>
      </c>
      <c r="I100" s="39">
        <f t="shared" ref="I100:I106" si="63">D100/E100</f>
        <v>26.84866667</v>
      </c>
      <c r="J100" s="42">
        <v>237.0</v>
      </c>
      <c r="K100" s="43">
        <f t="shared" si="5"/>
        <v>0.06329113924</v>
      </c>
      <c r="L100" s="39">
        <v>146.16</v>
      </c>
      <c r="M100" s="39">
        <v>403.4</v>
      </c>
      <c r="N100" s="40">
        <v>12.0</v>
      </c>
      <c r="O100" s="42">
        <v>38642.0</v>
      </c>
      <c r="P100" s="43">
        <f t="shared" si="6"/>
        <v>0.3623202776</v>
      </c>
      <c r="Q100" s="44">
        <f t="shared" si="7"/>
        <v>2.759989053</v>
      </c>
      <c r="R100" s="43">
        <f t="shared" si="8"/>
        <v>1.001663646</v>
      </c>
      <c r="S100" s="45"/>
      <c r="T100" s="46"/>
      <c r="U100" s="9"/>
      <c r="V100" s="9"/>
      <c r="W100" s="9"/>
      <c r="X100" s="9"/>
      <c r="Y100" s="9"/>
      <c r="Z100" s="9"/>
    </row>
    <row r="101" hidden="1" outlineLevel="1">
      <c r="A101" s="47" t="str">
        <f t="shared" si="61"/>
        <v>9-2024</v>
      </c>
      <c r="B101" s="37">
        <v>45551.0</v>
      </c>
      <c r="C101" s="48"/>
      <c r="D101" s="49">
        <v>378.86</v>
      </c>
      <c r="E101" s="50">
        <v>14.0</v>
      </c>
      <c r="F101" s="50">
        <v>12.0</v>
      </c>
      <c r="G101" s="51">
        <f t="shared" si="2"/>
        <v>1.166666667</v>
      </c>
      <c r="H101" s="49">
        <f t="shared" si="62"/>
        <v>31.57166667</v>
      </c>
      <c r="I101" s="49">
        <f t="shared" si="63"/>
        <v>27.06142857</v>
      </c>
      <c r="J101" s="52">
        <v>178.0</v>
      </c>
      <c r="K101" s="53">
        <f t="shared" si="5"/>
        <v>0.07865168539</v>
      </c>
      <c r="L101" s="49">
        <v>111.39</v>
      </c>
      <c r="M101" s="54">
        <v>322.33</v>
      </c>
      <c r="N101" s="50">
        <v>10.0</v>
      </c>
      <c r="O101" s="52">
        <v>27219.0</v>
      </c>
      <c r="P101" s="53">
        <f t="shared" si="6"/>
        <v>0.3455775137</v>
      </c>
      <c r="Q101" s="55">
        <f t="shared" si="7"/>
        <v>2.893706796</v>
      </c>
      <c r="R101" s="53">
        <f t="shared" si="8"/>
        <v>0.8507892097</v>
      </c>
      <c r="S101" s="19"/>
      <c r="T101" s="28"/>
      <c r="U101" s="9"/>
      <c r="V101" s="9"/>
      <c r="W101" s="9"/>
      <c r="X101" s="9"/>
      <c r="Y101" s="9"/>
      <c r="Z101" s="9"/>
    </row>
    <row r="102" hidden="1" outlineLevel="1">
      <c r="A102" s="47" t="str">
        <f t="shared" si="61"/>
        <v>9-2024</v>
      </c>
      <c r="B102" s="37">
        <v>45552.0</v>
      </c>
      <c r="C102" s="48"/>
      <c r="D102" s="49">
        <v>377.19</v>
      </c>
      <c r="E102" s="50">
        <v>14.0</v>
      </c>
      <c r="F102" s="50">
        <v>13.0</v>
      </c>
      <c r="G102" s="51">
        <f t="shared" si="2"/>
        <v>1.076923077</v>
      </c>
      <c r="H102" s="49">
        <f t="shared" si="62"/>
        <v>29.01461538</v>
      </c>
      <c r="I102" s="49">
        <f t="shared" si="63"/>
        <v>26.94214286</v>
      </c>
      <c r="J102" s="52">
        <v>156.0</v>
      </c>
      <c r="K102" s="53">
        <f t="shared" si="5"/>
        <v>0.08974358974</v>
      </c>
      <c r="L102" s="39">
        <v>82.05</v>
      </c>
      <c r="M102" s="39">
        <v>188.26</v>
      </c>
      <c r="N102" s="40">
        <v>7.0</v>
      </c>
      <c r="O102" s="52">
        <v>23615.0</v>
      </c>
      <c r="P102" s="53">
        <f t="shared" si="6"/>
        <v>0.4358334219</v>
      </c>
      <c r="Q102" s="55">
        <f t="shared" si="7"/>
        <v>2.294454601</v>
      </c>
      <c r="R102" s="53">
        <f t="shared" si="8"/>
        <v>0.4991118534</v>
      </c>
      <c r="S102" s="19"/>
      <c r="T102" s="28"/>
      <c r="U102" s="9"/>
      <c r="V102" s="9"/>
      <c r="W102" s="9"/>
      <c r="X102" s="9"/>
      <c r="Y102" s="9"/>
      <c r="Z102" s="9"/>
    </row>
    <row r="103" hidden="1" outlineLevel="1">
      <c r="A103" s="47" t="str">
        <f t="shared" si="61"/>
        <v>9-2024</v>
      </c>
      <c r="B103" s="37">
        <v>45553.0</v>
      </c>
      <c r="C103" s="48"/>
      <c r="D103" s="49">
        <v>403.4</v>
      </c>
      <c r="E103" s="50">
        <v>15.0</v>
      </c>
      <c r="F103" s="50">
        <v>14.0</v>
      </c>
      <c r="G103" s="51">
        <f t="shared" si="2"/>
        <v>1.071428571</v>
      </c>
      <c r="H103" s="49">
        <f t="shared" si="62"/>
        <v>28.81428571</v>
      </c>
      <c r="I103" s="49">
        <f t="shared" si="63"/>
        <v>26.89333333</v>
      </c>
      <c r="J103" s="52">
        <v>177.0</v>
      </c>
      <c r="K103" s="53">
        <f t="shared" si="5"/>
        <v>0.08474576271</v>
      </c>
      <c r="L103" s="49">
        <v>99.19</v>
      </c>
      <c r="M103" s="49">
        <v>188.93</v>
      </c>
      <c r="N103" s="50">
        <v>6.0</v>
      </c>
      <c r="O103" s="52">
        <v>27344.0</v>
      </c>
      <c r="P103" s="53">
        <f t="shared" si="6"/>
        <v>0.5250092627</v>
      </c>
      <c r="Q103" s="55">
        <f t="shared" si="7"/>
        <v>1.904728299</v>
      </c>
      <c r="R103" s="53">
        <f t="shared" si="8"/>
        <v>0.4683440754</v>
      </c>
      <c r="S103" s="19"/>
      <c r="T103" s="28"/>
      <c r="U103" s="9"/>
      <c r="V103" s="9"/>
      <c r="W103" s="9"/>
      <c r="X103" s="9"/>
      <c r="Y103" s="9"/>
      <c r="Z103" s="9"/>
    </row>
    <row r="104" hidden="1" outlineLevel="1">
      <c r="A104" s="47" t="str">
        <f t="shared" si="61"/>
        <v>9-2024</v>
      </c>
      <c r="B104" s="37">
        <v>45554.0</v>
      </c>
      <c r="C104" s="48"/>
      <c r="D104" s="49">
        <v>394.85</v>
      </c>
      <c r="E104" s="50">
        <v>15.0</v>
      </c>
      <c r="F104" s="50">
        <v>13.0</v>
      </c>
      <c r="G104" s="51">
        <f t="shared" si="2"/>
        <v>1.153846154</v>
      </c>
      <c r="H104" s="49">
        <f t="shared" si="62"/>
        <v>30.37307692</v>
      </c>
      <c r="I104" s="49">
        <f t="shared" si="63"/>
        <v>26.32333333</v>
      </c>
      <c r="J104" s="52">
        <v>168.0</v>
      </c>
      <c r="K104" s="53">
        <f t="shared" si="5"/>
        <v>0.08928571429</v>
      </c>
      <c r="L104" s="49">
        <v>95.53</v>
      </c>
      <c r="M104" s="49">
        <v>317.88</v>
      </c>
      <c r="N104" s="50">
        <v>12.0</v>
      </c>
      <c r="O104" s="52">
        <v>27194.0</v>
      </c>
      <c r="P104" s="53">
        <f t="shared" si="6"/>
        <v>0.3005222096</v>
      </c>
      <c r="Q104" s="55">
        <f t="shared" si="7"/>
        <v>3.327541087</v>
      </c>
      <c r="R104" s="53">
        <f t="shared" si="8"/>
        <v>0.8050652146</v>
      </c>
      <c r="S104" s="19"/>
      <c r="T104" s="28"/>
      <c r="U104" s="9"/>
      <c r="V104" s="9"/>
      <c r="W104" s="9"/>
      <c r="X104" s="9"/>
      <c r="Y104" s="9"/>
      <c r="Z104" s="9"/>
    </row>
    <row r="105" hidden="1" outlineLevel="1">
      <c r="A105" s="47" t="str">
        <f t="shared" si="61"/>
        <v>9-2024</v>
      </c>
      <c r="B105" s="37">
        <v>45555.0</v>
      </c>
      <c r="C105" s="48"/>
      <c r="D105" s="49">
        <v>481.82</v>
      </c>
      <c r="E105" s="50">
        <v>18.0</v>
      </c>
      <c r="F105" s="50">
        <v>16.0</v>
      </c>
      <c r="G105" s="51">
        <f t="shared" si="2"/>
        <v>1.125</v>
      </c>
      <c r="H105" s="49">
        <f t="shared" si="62"/>
        <v>30.11375</v>
      </c>
      <c r="I105" s="49">
        <f t="shared" si="63"/>
        <v>26.76777778</v>
      </c>
      <c r="J105" s="52">
        <v>179.0</v>
      </c>
      <c r="K105" s="53">
        <f t="shared" si="5"/>
        <v>0.1005586592</v>
      </c>
      <c r="L105" s="49">
        <v>94.52</v>
      </c>
      <c r="M105" s="49">
        <v>242.91</v>
      </c>
      <c r="N105" s="50">
        <v>8.0</v>
      </c>
      <c r="O105" s="52">
        <v>22210.0</v>
      </c>
      <c r="P105" s="53">
        <f t="shared" si="6"/>
        <v>0.3891153102</v>
      </c>
      <c r="Q105" s="55">
        <f t="shared" si="7"/>
        <v>2.569932289</v>
      </c>
      <c r="R105" s="53">
        <f t="shared" si="8"/>
        <v>0.5041509277</v>
      </c>
      <c r="S105" s="19"/>
      <c r="T105" s="28"/>
      <c r="U105" s="9"/>
      <c r="V105" s="9"/>
      <c r="W105" s="9"/>
      <c r="X105" s="9"/>
      <c r="Y105" s="9"/>
      <c r="Z105" s="9"/>
    </row>
    <row r="106" hidden="1" outlineLevel="1">
      <c r="A106" s="47" t="str">
        <f t="shared" si="61"/>
        <v>9-2024</v>
      </c>
      <c r="B106" s="37">
        <v>45556.0</v>
      </c>
      <c r="C106" s="48"/>
      <c r="D106" s="49">
        <v>361.86</v>
      </c>
      <c r="E106" s="50">
        <v>14.0</v>
      </c>
      <c r="F106" s="50">
        <v>12.0</v>
      </c>
      <c r="G106" s="51">
        <f t="shared" si="2"/>
        <v>1.166666667</v>
      </c>
      <c r="H106" s="49">
        <f t="shared" si="62"/>
        <v>30.155</v>
      </c>
      <c r="I106" s="49">
        <f t="shared" si="63"/>
        <v>25.84714286</v>
      </c>
      <c r="J106" s="52">
        <v>233.0</v>
      </c>
      <c r="K106" s="53">
        <f t="shared" si="5"/>
        <v>0.06008583691</v>
      </c>
      <c r="L106" s="49">
        <v>136.71</v>
      </c>
      <c r="M106" s="49">
        <v>361.86</v>
      </c>
      <c r="N106" s="50">
        <v>10.0</v>
      </c>
      <c r="O106" s="52">
        <v>29513.0</v>
      </c>
      <c r="P106" s="53">
        <f t="shared" si="6"/>
        <v>0.3777980434</v>
      </c>
      <c r="Q106" s="55">
        <f t="shared" si="7"/>
        <v>2.646916831</v>
      </c>
      <c r="R106" s="53">
        <f t="shared" si="8"/>
        <v>1</v>
      </c>
      <c r="S106" s="19"/>
      <c r="T106" s="28"/>
      <c r="U106" s="9"/>
      <c r="V106" s="9"/>
      <c r="W106" s="9"/>
      <c r="X106" s="9"/>
      <c r="Y106" s="9"/>
      <c r="Z106" s="9"/>
    </row>
    <row r="107" collapsed="1">
      <c r="A107" s="101" t="s">
        <v>131</v>
      </c>
      <c r="B107" s="102"/>
      <c r="C107" s="103"/>
      <c r="D107" s="104">
        <f t="shared" ref="D107:F107" si="64">SUM(D100:D106)</f>
        <v>2800.71</v>
      </c>
      <c r="E107" s="105">
        <f t="shared" si="64"/>
        <v>105</v>
      </c>
      <c r="F107" s="105">
        <f t="shared" si="64"/>
        <v>94</v>
      </c>
      <c r="G107" s="260">
        <f t="shared" si="2"/>
        <v>1.117021277</v>
      </c>
      <c r="H107" s="104">
        <f>average(H100:H106)</f>
        <v>29.82983189</v>
      </c>
      <c r="I107" s="261">
        <f>H107/G107</f>
        <v>26.70480189</v>
      </c>
      <c r="J107" s="108">
        <f>SUM(J100:J106)</f>
        <v>1328</v>
      </c>
      <c r="K107" s="109">
        <f t="shared" si="5"/>
        <v>0.07906626506</v>
      </c>
      <c r="L107" s="104">
        <f t="shared" ref="L107:N107" si="65">SUM(L100:L106)</f>
        <v>765.55</v>
      </c>
      <c r="M107" s="104">
        <f t="shared" si="65"/>
        <v>2025.57</v>
      </c>
      <c r="N107" s="262">
        <f t="shared" si="65"/>
        <v>65</v>
      </c>
      <c r="O107" s="108">
        <f>sum(O100:O106)</f>
        <v>195737</v>
      </c>
      <c r="P107" s="109">
        <f t="shared" si="6"/>
        <v>0.3779429988</v>
      </c>
      <c r="Q107" s="263">
        <f t="shared" si="7"/>
        <v>2.645901639</v>
      </c>
      <c r="R107" s="113">
        <f t="shared" si="8"/>
        <v>0.7232344655</v>
      </c>
      <c r="S107" s="103" t="str">
        <f>iferror((D107-#REF!)/D107,)</f>
        <v/>
      </c>
      <c r="T107" s="114" t="str">
        <f>iferror((F107-#REF!)/F107,)</f>
        <v/>
      </c>
      <c r="U107" s="9"/>
      <c r="V107" s="9"/>
      <c r="W107" s="9"/>
      <c r="X107" s="9"/>
      <c r="Y107" s="9"/>
      <c r="Z107" s="9"/>
    </row>
    <row r="108" hidden="1" outlineLevel="1">
      <c r="A108" s="36" t="str">
        <f t="shared" ref="A108:A114" si="66">iferror(if(B108&gt;0,month(B108)&amp;"-"&amp;year(B108),B108),)</f>
        <v>9-2024</v>
      </c>
      <c r="B108" s="37">
        <v>45557.0</v>
      </c>
      <c r="C108" s="38"/>
      <c r="D108" s="39">
        <v>953.64</v>
      </c>
      <c r="E108" s="40">
        <v>36.0</v>
      </c>
      <c r="F108" s="40">
        <v>31.0</v>
      </c>
      <c r="G108" s="41">
        <f t="shared" si="2"/>
        <v>1.161290323</v>
      </c>
      <c r="H108" s="39">
        <f t="shared" ref="H108:H114" si="67">D108/F108</f>
        <v>30.76258065</v>
      </c>
      <c r="I108" s="39">
        <f t="shared" ref="I108:I114" si="68">D108/E108</f>
        <v>26.49</v>
      </c>
      <c r="J108" s="42">
        <v>267.0</v>
      </c>
      <c r="K108" s="43">
        <f t="shared" si="5"/>
        <v>0.1348314607</v>
      </c>
      <c r="L108" s="39">
        <v>147.05</v>
      </c>
      <c r="M108" s="39">
        <v>631.76</v>
      </c>
      <c r="N108" s="40">
        <v>23.0</v>
      </c>
      <c r="O108" s="42">
        <v>36875.0</v>
      </c>
      <c r="P108" s="43">
        <f t="shared" si="6"/>
        <v>0.2327624414</v>
      </c>
      <c r="Q108" s="44">
        <f t="shared" si="7"/>
        <v>4.296225774</v>
      </c>
      <c r="R108" s="43">
        <f t="shared" si="8"/>
        <v>0.6624722117</v>
      </c>
      <c r="S108" s="45"/>
      <c r="T108" s="46"/>
      <c r="U108" s="9"/>
      <c r="V108" s="9"/>
      <c r="W108" s="9"/>
      <c r="X108" s="9"/>
      <c r="Y108" s="9"/>
      <c r="Z108" s="9"/>
    </row>
    <row r="109" hidden="1" outlineLevel="1">
      <c r="A109" s="47" t="str">
        <f t="shared" si="66"/>
        <v>9-2024</v>
      </c>
      <c r="B109" s="37">
        <v>45558.0</v>
      </c>
      <c r="C109" s="48"/>
      <c r="D109" s="49">
        <v>155.94</v>
      </c>
      <c r="E109" s="50">
        <v>7.0</v>
      </c>
      <c r="F109" s="50">
        <v>7.0</v>
      </c>
      <c r="G109" s="51">
        <f t="shared" si="2"/>
        <v>1</v>
      </c>
      <c r="H109" s="49">
        <f t="shared" si="67"/>
        <v>22.27714286</v>
      </c>
      <c r="I109" s="49">
        <f t="shared" si="68"/>
        <v>22.27714286</v>
      </c>
      <c r="J109" s="52">
        <v>64.0</v>
      </c>
      <c r="K109" s="53">
        <f t="shared" si="5"/>
        <v>0.109375</v>
      </c>
      <c r="L109" s="49">
        <v>0.0</v>
      </c>
      <c r="M109" s="54">
        <v>0.0</v>
      </c>
      <c r="N109" s="50">
        <v>0.0</v>
      </c>
      <c r="O109" s="52">
        <v>0.0</v>
      </c>
      <c r="P109" s="53" t="str">
        <f t="shared" si="6"/>
        <v>#DIV/0!</v>
      </c>
      <c r="Q109" s="55" t="str">
        <f t="shared" si="7"/>
        <v>#DIV/0!</v>
      </c>
      <c r="R109" s="53">
        <f t="shared" si="8"/>
        <v>0</v>
      </c>
      <c r="S109" s="19"/>
      <c r="T109" s="28"/>
      <c r="U109" s="9"/>
      <c r="V109" s="9"/>
      <c r="W109" s="9"/>
      <c r="X109" s="9"/>
      <c r="Y109" s="9"/>
      <c r="Z109" s="9"/>
    </row>
    <row r="110" hidden="1" outlineLevel="1">
      <c r="A110" s="47" t="str">
        <f t="shared" si="66"/>
        <v>9-2024</v>
      </c>
      <c r="B110" s="37">
        <v>45559.0</v>
      </c>
      <c r="C110" s="48"/>
      <c r="D110" s="49">
        <v>170.93</v>
      </c>
      <c r="E110" s="50">
        <v>7.0</v>
      </c>
      <c r="F110" s="50">
        <v>6.0</v>
      </c>
      <c r="G110" s="51">
        <f t="shared" si="2"/>
        <v>1.166666667</v>
      </c>
      <c r="H110" s="49">
        <f t="shared" si="67"/>
        <v>28.48833333</v>
      </c>
      <c r="I110" s="49">
        <f t="shared" si="68"/>
        <v>24.41857143</v>
      </c>
      <c r="J110" s="52">
        <v>60.0</v>
      </c>
      <c r="K110" s="53">
        <f t="shared" si="5"/>
        <v>0.1166666667</v>
      </c>
      <c r="L110" s="39">
        <v>0.0</v>
      </c>
      <c r="M110" s="39">
        <v>0.0</v>
      </c>
      <c r="N110" s="40">
        <v>0.0</v>
      </c>
      <c r="O110" s="52">
        <v>0.0</v>
      </c>
      <c r="P110" s="53" t="str">
        <f t="shared" si="6"/>
        <v>#DIV/0!</v>
      </c>
      <c r="Q110" s="55" t="str">
        <f t="shared" si="7"/>
        <v>#DIV/0!</v>
      </c>
      <c r="R110" s="53">
        <f t="shared" si="8"/>
        <v>0</v>
      </c>
      <c r="S110" s="19"/>
      <c r="T110" s="28"/>
      <c r="U110" s="9"/>
      <c r="V110" s="9"/>
      <c r="W110" s="9"/>
      <c r="X110" s="9"/>
      <c r="Y110" s="9"/>
      <c r="Z110" s="9"/>
    </row>
    <row r="111" hidden="1" outlineLevel="1">
      <c r="A111" s="47" t="str">
        <f t="shared" si="66"/>
        <v>9-2024</v>
      </c>
      <c r="B111" s="37">
        <v>45560.0</v>
      </c>
      <c r="C111" s="48"/>
      <c r="D111" s="49">
        <v>218.91</v>
      </c>
      <c r="E111" s="50">
        <v>9.0</v>
      </c>
      <c r="F111" s="50">
        <v>7.0</v>
      </c>
      <c r="G111" s="51">
        <f t="shared" si="2"/>
        <v>1.285714286</v>
      </c>
      <c r="H111" s="49">
        <f t="shared" si="67"/>
        <v>31.27285714</v>
      </c>
      <c r="I111" s="49">
        <f t="shared" si="68"/>
        <v>24.32333333</v>
      </c>
      <c r="J111" s="52">
        <v>44.0</v>
      </c>
      <c r="K111" s="53">
        <f t="shared" si="5"/>
        <v>0.2045454545</v>
      </c>
      <c r="L111" s="49">
        <v>0.0</v>
      </c>
      <c r="M111" s="49">
        <v>0.0</v>
      </c>
      <c r="N111" s="50">
        <v>0.0</v>
      </c>
      <c r="O111" s="52">
        <v>0.0</v>
      </c>
      <c r="P111" s="53" t="str">
        <f t="shared" si="6"/>
        <v>#DIV/0!</v>
      </c>
      <c r="Q111" s="55" t="str">
        <f t="shared" si="7"/>
        <v>#DIV/0!</v>
      </c>
      <c r="R111" s="53">
        <f t="shared" si="8"/>
        <v>0</v>
      </c>
      <c r="S111" s="19"/>
      <c r="T111" s="28"/>
      <c r="U111" s="9"/>
      <c r="V111" s="9"/>
      <c r="W111" s="9"/>
      <c r="X111" s="9"/>
      <c r="Y111" s="9"/>
      <c r="Z111" s="9"/>
    </row>
    <row r="112" hidden="1" outlineLevel="1">
      <c r="A112" s="47" t="str">
        <f t="shared" si="66"/>
        <v>9-2024</v>
      </c>
      <c r="B112" s="37">
        <v>45561.0</v>
      </c>
      <c r="C112" s="48"/>
      <c r="D112" s="49">
        <v>53.98</v>
      </c>
      <c r="E112" s="50">
        <v>2.0</v>
      </c>
      <c r="F112" s="50">
        <v>2.0</v>
      </c>
      <c r="G112" s="51">
        <f t="shared" si="2"/>
        <v>1</v>
      </c>
      <c r="H112" s="49">
        <f t="shared" si="67"/>
        <v>26.99</v>
      </c>
      <c r="I112" s="49">
        <f t="shared" si="68"/>
        <v>26.99</v>
      </c>
      <c r="J112" s="52">
        <v>40.0</v>
      </c>
      <c r="K112" s="53">
        <f t="shared" si="5"/>
        <v>0.05</v>
      </c>
      <c r="L112" s="49">
        <v>0.0</v>
      </c>
      <c r="M112" s="49">
        <v>0.0</v>
      </c>
      <c r="N112" s="50">
        <v>0.0</v>
      </c>
      <c r="O112" s="52">
        <v>13.0</v>
      </c>
      <c r="P112" s="53" t="str">
        <f t="shared" si="6"/>
        <v>#DIV/0!</v>
      </c>
      <c r="Q112" s="55" t="str">
        <f t="shared" si="7"/>
        <v>#DIV/0!</v>
      </c>
      <c r="R112" s="53">
        <f t="shared" si="8"/>
        <v>0</v>
      </c>
      <c r="S112" s="19"/>
      <c r="T112" s="28"/>
      <c r="U112" s="9"/>
      <c r="V112" s="9"/>
      <c r="W112" s="9"/>
      <c r="X112" s="9"/>
      <c r="Y112" s="9"/>
      <c r="Z112" s="9"/>
    </row>
    <row r="113" hidden="1" outlineLevel="1">
      <c r="A113" s="47" t="str">
        <f t="shared" si="66"/>
        <v>9-2024</v>
      </c>
      <c r="B113" s="37">
        <v>45562.0</v>
      </c>
      <c r="C113" s="48"/>
      <c r="D113" s="49">
        <v>101.96</v>
      </c>
      <c r="E113" s="50">
        <v>4.0</v>
      </c>
      <c r="F113" s="50">
        <v>4.0</v>
      </c>
      <c r="G113" s="51">
        <f t="shared" si="2"/>
        <v>1</v>
      </c>
      <c r="H113" s="49">
        <f t="shared" si="67"/>
        <v>25.49</v>
      </c>
      <c r="I113" s="49">
        <f t="shared" si="68"/>
        <v>25.49</v>
      </c>
      <c r="J113" s="52">
        <v>37.0</v>
      </c>
      <c r="K113" s="53">
        <f t="shared" si="5"/>
        <v>0.1081081081</v>
      </c>
      <c r="L113" s="49">
        <v>6.02</v>
      </c>
      <c r="M113" s="49">
        <v>49.98</v>
      </c>
      <c r="N113" s="50">
        <v>2.0</v>
      </c>
      <c r="O113" s="52">
        <v>3442.0</v>
      </c>
      <c r="P113" s="53">
        <f t="shared" si="6"/>
        <v>0.1204481793</v>
      </c>
      <c r="Q113" s="55">
        <f t="shared" si="7"/>
        <v>8.302325581</v>
      </c>
      <c r="R113" s="53">
        <f t="shared" si="8"/>
        <v>0.4901922322</v>
      </c>
      <c r="S113" s="19"/>
      <c r="T113" s="28"/>
      <c r="U113" s="9"/>
      <c r="V113" s="9"/>
      <c r="W113" s="9"/>
      <c r="X113" s="9"/>
      <c r="Y113" s="9"/>
      <c r="Z113" s="9"/>
    </row>
    <row r="114" hidden="1" outlineLevel="1">
      <c r="A114" s="47" t="str">
        <f t="shared" si="66"/>
        <v>9-2024</v>
      </c>
      <c r="B114" s="37">
        <v>45563.0</v>
      </c>
      <c r="C114" s="48"/>
      <c r="D114" s="49">
        <v>382.85</v>
      </c>
      <c r="E114" s="50">
        <v>15.0</v>
      </c>
      <c r="F114" s="50">
        <v>15.0</v>
      </c>
      <c r="G114" s="51">
        <f t="shared" si="2"/>
        <v>1</v>
      </c>
      <c r="H114" s="49">
        <f t="shared" si="67"/>
        <v>25.52333333</v>
      </c>
      <c r="I114" s="49">
        <f t="shared" si="68"/>
        <v>25.52333333</v>
      </c>
      <c r="J114" s="52">
        <v>156.0</v>
      </c>
      <c r="K114" s="53">
        <f t="shared" si="5"/>
        <v>0.09615384615</v>
      </c>
      <c r="L114" s="49">
        <v>98.67</v>
      </c>
      <c r="M114" s="49">
        <v>255.9</v>
      </c>
      <c r="N114" s="50">
        <v>10.0</v>
      </c>
      <c r="O114" s="52">
        <v>25810.0</v>
      </c>
      <c r="P114" s="53">
        <f t="shared" si="6"/>
        <v>0.3855803048</v>
      </c>
      <c r="Q114" s="55">
        <f t="shared" si="7"/>
        <v>2.593493463</v>
      </c>
      <c r="R114" s="53">
        <f t="shared" si="8"/>
        <v>0.6684079927</v>
      </c>
      <c r="S114" s="19"/>
      <c r="T114" s="28"/>
      <c r="U114" s="9"/>
      <c r="V114" s="9"/>
      <c r="W114" s="9"/>
      <c r="X114" s="9"/>
      <c r="Y114" s="9"/>
      <c r="Z114" s="9"/>
    </row>
    <row r="115" collapsed="1">
      <c r="A115" s="101" t="s">
        <v>132</v>
      </c>
      <c r="B115" s="102"/>
      <c r="C115" s="103"/>
      <c r="D115" s="104">
        <f t="shared" ref="D115:F115" si="69">SUM(D108:D114)</f>
        <v>2038.21</v>
      </c>
      <c r="E115" s="105">
        <f t="shared" si="69"/>
        <v>80</v>
      </c>
      <c r="F115" s="105">
        <f t="shared" si="69"/>
        <v>72</v>
      </c>
      <c r="G115" s="260">
        <f t="shared" si="2"/>
        <v>1.111111111</v>
      </c>
      <c r="H115" s="104">
        <f>average(H108:H114)</f>
        <v>27.25774962</v>
      </c>
      <c r="I115" s="261">
        <f>H115/G115</f>
        <v>24.53197465</v>
      </c>
      <c r="J115" s="108">
        <f>SUM(J108:J114)</f>
        <v>668</v>
      </c>
      <c r="K115" s="109">
        <f t="shared" si="5"/>
        <v>0.119760479</v>
      </c>
      <c r="L115" s="104">
        <f t="shared" ref="L115:N115" si="70">SUM(L108:L114)</f>
        <v>251.74</v>
      </c>
      <c r="M115" s="104">
        <f t="shared" si="70"/>
        <v>937.64</v>
      </c>
      <c r="N115" s="262">
        <f t="shared" si="70"/>
        <v>35</v>
      </c>
      <c r="O115" s="108">
        <f>sum(O108:O114)</f>
        <v>66140</v>
      </c>
      <c r="P115" s="109">
        <f t="shared" si="6"/>
        <v>0.2684825733</v>
      </c>
      <c r="Q115" s="263">
        <f t="shared" si="7"/>
        <v>3.72463653</v>
      </c>
      <c r="R115" s="113">
        <f t="shared" si="8"/>
        <v>0.4600311057</v>
      </c>
      <c r="S115" s="103" t="str">
        <f>iferror((D115-#REF!)/D115,)</f>
        <v/>
      </c>
      <c r="T115" s="114" t="str">
        <f>iferror((F115-#REF!)/F115,)</f>
        <v/>
      </c>
      <c r="U115" s="9"/>
      <c r="V115" s="9"/>
      <c r="W115" s="9"/>
      <c r="X115" s="9"/>
      <c r="Y115" s="9"/>
      <c r="Z115" s="9"/>
    </row>
    <row r="116" hidden="1" outlineLevel="1">
      <c r="A116" s="36" t="str">
        <f t="shared" ref="A116:A122" si="71">iferror(if(B116&gt;0,month(B116)&amp;"-"&amp;year(B116),B116),)</f>
        <v>9-2024</v>
      </c>
      <c r="B116" s="37">
        <v>45564.0</v>
      </c>
      <c r="C116" s="38"/>
      <c r="D116" s="39">
        <v>399.84</v>
      </c>
      <c r="E116" s="40">
        <v>16.0</v>
      </c>
      <c r="F116" s="40">
        <v>15.0</v>
      </c>
      <c r="G116" s="41">
        <f t="shared" si="2"/>
        <v>1.066666667</v>
      </c>
      <c r="H116" s="39">
        <f t="shared" ref="H116:H122" si="72">D116/F116</f>
        <v>26.656</v>
      </c>
      <c r="I116" s="39">
        <f t="shared" ref="I116:I122" si="73">D116/E116</f>
        <v>24.99</v>
      </c>
      <c r="J116" s="42">
        <v>236.0</v>
      </c>
      <c r="K116" s="43">
        <f t="shared" si="5"/>
        <v>0.06779661017</v>
      </c>
      <c r="L116" s="39">
        <v>135.12</v>
      </c>
      <c r="M116" s="39">
        <v>330.87</v>
      </c>
      <c r="N116" s="40">
        <v>12.0</v>
      </c>
      <c r="O116" s="42">
        <v>34167.0</v>
      </c>
      <c r="P116" s="43">
        <f t="shared" si="6"/>
        <v>0.4083779128</v>
      </c>
      <c r="Q116" s="44">
        <f t="shared" si="7"/>
        <v>2.448712256</v>
      </c>
      <c r="R116" s="43">
        <f t="shared" si="8"/>
        <v>0.8275060024</v>
      </c>
      <c r="S116" s="45"/>
      <c r="T116" s="46"/>
      <c r="U116" s="9"/>
      <c r="V116" s="9"/>
      <c r="W116" s="9"/>
      <c r="X116" s="9"/>
      <c r="Y116" s="9"/>
      <c r="Z116" s="9"/>
    </row>
    <row r="117" hidden="1" outlineLevel="1">
      <c r="A117" s="47" t="str">
        <f t="shared" si="71"/>
        <v>9-2024</v>
      </c>
      <c r="B117" s="37">
        <v>45565.0</v>
      </c>
      <c r="C117" s="48"/>
      <c r="D117" s="49">
        <v>723.72</v>
      </c>
      <c r="E117" s="50">
        <v>28.0</v>
      </c>
      <c r="F117" s="50">
        <v>23.0</v>
      </c>
      <c r="G117" s="51">
        <f t="shared" si="2"/>
        <v>1.217391304</v>
      </c>
      <c r="H117" s="49">
        <f t="shared" si="72"/>
        <v>31.46608696</v>
      </c>
      <c r="I117" s="49">
        <f t="shared" si="73"/>
        <v>25.84714286</v>
      </c>
      <c r="J117" s="52">
        <v>187.0</v>
      </c>
      <c r="K117" s="53">
        <f t="shared" si="5"/>
        <v>0.1497326203</v>
      </c>
      <c r="L117" s="49">
        <v>125.35</v>
      </c>
      <c r="M117" s="54">
        <v>621.76</v>
      </c>
      <c r="N117" s="50">
        <v>18.0</v>
      </c>
      <c r="O117" s="52">
        <v>29313.0</v>
      </c>
      <c r="P117" s="53">
        <f t="shared" si="6"/>
        <v>0.2016051209</v>
      </c>
      <c r="Q117" s="55">
        <f t="shared" si="7"/>
        <v>4.960191464</v>
      </c>
      <c r="R117" s="53">
        <f t="shared" si="8"/>
        <v>0.8591167855</v>
      </c>
      <c r="S117" s="19"/>
      <c r="T117" s="28"/>
      <c r="U117" s="9"/>
      <c r="V117" s="9"/>
      <c r="W117" s="9"/>
      <c r="X117" s="9"/>
      <c r="Y117" s="9"/>
      <c r="Z117" s="9"/>
    </row>
    <row r="118" hidden="1" outlineLevel="1">
      <c r="A118" s="47" t="str">
        <f t="shared" si="71"/>
        <v>10-2024</v>
      </c>
      <c r="B118" s="37">
        <v>45566.0</v>
      </c>
      <c r="C118" s="48"/>
      <c r="D118" s="49">
        <v>407.84</v>
      </c>
      <c r="E118" s="50">
        <v>16.0</v>
      </c>
      <c r="F118" s="50">
        <v>12.0</v>
      </c>
      <c r="G118" s="51">
        <f t="shared" si="2"/>
        <v>1.333333333</v>
      </c>
      <c r="H118" s="49">
        <f t="shared" si="72"/>
        <v>33.98666667</v>
      </c>
      <c r="I118" s="49">
        <f t="shared" si="73"/>
        <v>25.49</v>
      </c>
      <c r="J118" s="52">
        <v>223.0</v>
      </c>
      <c r="K118" s="53">
        <f t="shared" si="5"/>
        <v>0.07174887892</v>
      </c>
      <c r="L118" s="39">
        <v>144.32</v>
      </c>
      <c r="M118" s="39">
        <v>207.92</v>
      </c>
      <c r="N118" s="40">
        <v>8.0</v>
      </c>
      <c r="O118" s="52">
        <v>33300.0</v>
      </c>
      <c r="P118" s="53">
        <f t="shared" si="6"/>
        <v>0.6941131204</v>
      </c>
      <c r="Q118" s="55">
        <f t="shared" si="7"/>
        <v>1.440687361</v>
      </c>
      <c r="R118" s="53">
        <f t="shared" si="8"/>
        <v>0.5098077678</v>
      </c>
      <c r="S118" s="19"/>
      <c r="T118" s="28"/>
      <c r="U118" s="9"/>
      <c r="V118" s="9"/>
      <c r="W118" s="9"/>
      <c r="X118" s="9"/>
      <c r="Y118" s="9"/>
      <c r="Z118" s="9"/>
    </row>
    <row r="119" hidden="1" outlineLevel="1">
      <c r="A119" s="47" t="str">
        <f t="shared" si="71"/>
        <v>10-2024</v>
      </c>
      <c r="B119" s="37">
        <v>45567.0</v>
      </c>
      <c r="C119" s="48"/>
      <c r="D119" s="49">
        <v>336.87</v>
      </c>
      <c r="E119" s="50">
        <v>13.0</v>
      </c>
      <c r="F119" s="50">
        <v>13.0</v>
      </c>
      <c r="G119" s="51">
        <f t="shared" si="2"/>
        <v>1</v>
      </c>
      <c r="H119" s="49">
        <f t="shared" si="72"/>
        <v>25.91307692</v>
      </c>
      <c r="I119" s="49">
        <f t="shared" si="73"/>
        <v>25.91307692</v>
      </c>
      <c r="J119" s="52">
        <v>212.0</v>
      </c>
      <c r="K119" s="53">
        <f t="shared" si="5"/>
        <v>0.06132075472</v>
      </c>
      <c r="L119" s="49">
        <v>133.21</v>
      </c>
      <c r="M119" s="49">
        <v>290.89</v>
      </c>
      <c r="N119" s="50">
        <v>11.0</v>
      </c>
      <c r="O119" s="52">
        <v>39836.0</v>
      </c>
      <c r="P119" s="53">
        <f t="shared" si="6"/>
        <v>0.4579394273</v>
      </c>
      <c r="Q119" s="55">
        <f t="shared" si="7"/>
        <v>2.183694918</v>
      </c>
      <c r="R119" s="53">
        <f t="shared" si="8"/>
        <v>0.8635081782</v>
      </c>
      <c r="S119" s="19"/>
      <c r="T119" s="28"/>
      <c r="U119" s="9"/>
      <c r="V119" s="9"/>
      <c r="W119" s="9"/>
      <c r="X119" s="9"/>
      <c r="Y119" s="9"/>
      <c r="Z119" s="9"/>
    </row>
    <row r="120" hidden="1" outlineLevel="1">
      <c r="A120" s="47" t="str">
        <f t="shared" si="71"/>
        <v>10-2024</v>
      </c>
      <c r="B120" s="37">
        <v>45568.0</v>
      </c>
      <c r="C120" s="48"/>
      <c r="D120" s="49">
        <v>860.67</v>
      </c>
      <c r="E120" s="50">
        <v>33.0</v>
      </c>
      <c r="F120" s="50">
        <v>29.0</v>
      </c>
      <c r="G120" s="51">
        <f t="shared" si="2"/>
        <v>1.137931034</v>
      </c>
      <c r="H120" s="49">
        <f t="shared" si="72"/>
        <v>29.67827586</v>
      </c>
      <c r="I120" s="49">
        <f t="shared" si="73"/>
        <v>26.08090909</v>
      </c>
      <c r="J120" s="52">
        <v>225.0</v>
      </c>
      <c r="K120" s="53">
        <f t="shared" si="5"/>
        <v>0.1466666667</v>
      </c>
      <c r="L120" s="49">
        <v>146.9</v>
      </c>
      <c r="M120" s="49">
        <v>613.76</v>
      </c>
      <c r="N120" s="50">
        <v>22.0</v>
      </c>
      <c r="O120" s="52">
        <v>34489.0</v>
      </c>
      <c r="P120" s="53">
        <f t="shared" si="6"/>
        <v>0.2393443691</v>
      </c>
      <c r="Q120" s="55">
        <f t="shared" si="7"/>
        <v>4.178080327</v>
      </c>
      <c r="R120" s="53">
        <f t="shared" si="8"/>
        <v>0.7131188493</v>
      </c>
      <c r="S120" s="19"/>
      <c r="T120" s="28"/>
      <c r="U120" s="9"/>
      <c r="V120" s="9"/>
      <c r="W120" s="9"/>
      <c r="X120" s="9"/>
      <c r="Y120" s="9"/>
      <c r="Z120" s="9"/>
    </row>
    <row r="121" hidden="1" outlineLevel="1">
      <c r="A121" s="47" t="str">
        <f t="shared" si="71"/>
        <v>10-2024</v>
      </c>
      <c r="B121" s="37">
        <v>45569.0</v>
      </c>
      <c r="C121" s="48"/>
      <c r="D121" s="49">
        <v>533.8</v>
      </c>
      <c r="E121" s="50">
        <v>20.0</v>
      </c>
      <c r="F121" s="50">
        <v>17.0</v>
      </c>
      <c r="G121" s="51">
        <f t="shared" si="2"/>
        <v>1.176470588</v>
      </c>
      <c r="H121" s="49">
        <f t="shared" si="72"/>
        <v>31.4</v>
      </c>
      <c r="I121" s="49">
        <f t="shared" si="73"/>
        <v>26.69</v>
      </c>
      <c r="J121" s="52">
        <v>196.0</v>
      </c>
      <c r="K121" s="53">
        <f t="shared" si="5"/>
        <v>0.1020408163</v>
      </c>
      <c r="L121" s="49">
        <v>121.84</v>
      </c>
      <c r="M121" s="49">
        <v>267.9</v>
      </c>
      <c r="N121" s="50">
        <v>9.0</v>
      </c>
      <c r="O121" s="52">
        <v>31777.0</v>
      </c>
      <c r="P121" s="53">
        <f t="shared" si="6"/>
        <v>0.4547965659</v>
      </c>
      <c r="Q121" s="55">
        <f t="shared" si="7"/>
        <v>2.198785292</v>
      </c>
      <c r="R121" s="53">
        <f t="shared" si="8"/>
        <v>0.5018733608</v>
      </c>
      <c r="S121" s="19"/>
      <c r="T121" s="28"/>
      <c r="U121" s="9"/>
      <c r="V121" s="9"/>
      <c r="W121" s="9"/>
      <c r="X121" s="9"/>
      <c r="Y121" s="9"/>
      <c r="Z121" s="9"/>
    </row>
    <row r="122" hidden="1" outlineLevel="1">
      <c r="A122" s="47" t="str">
        <f t="shared" si="71"/>
        <v>10-2024</v>
      </c>
      <c r="B122" s="37">
        <v>45570.0</v>
      </c>
      <c r="C122" s="48"/>
      <c r="D122" s="49">
        <v>502.81</v>
      </c>
      <c r="E122" s="50">
        <v>19.0</v>
      </c>
      <c r="F122" s="50">
        <v>19.0</v>
      </c>
      <c r="G122" s="51">
        <f t="shared" si="2"/>
        <v>1</v>
      </c>
      <c r="H122" s="49">
        <f t="shared" si="72"/>
        <v>26.46368421</v>
      </c>
      <c r="I122" s="49">
        <f t="shared" si="73"/>
        <v>26.46368421</v>
      </c>
      <c r="J122" s="52">
        <v>226.0</v>
      </c>
      <c r="K122" s="53">
        <f t="shared" si="5"/>
        <v>0.08407079646</v>
      </c>
      <c r="L122" s="49">
        <v>147.65</v>
      </c>
      <c r="M122" s="49">
        <v>288.89</v>
      </c>
      <c r="N122" s="50">
        <v>11.0</v>
      </c>
      <c r="O122" s="52">
        <v>39366.0</v>
      </c>
      <c r="P122" s="53">
        <f t="shared" si="6"/>
        <v>0.5110941881</v>
      </c>
      <c r="Q122" s="55">
        <f t="shared" si="7"/>
        <v>1.956586522</v>
      </c>
      <c r="R122" s="53">
        <f t="shared" si="8"/>
        <v>0.5745510232</v>
      </c>
      <c r="S122" s="19"/>
      <c r="T122" s="28"/>
      <c r="U122" s="9"/>
      <c r="V122" s="9"/>
      <c r="W122" s="9"/>
      <c r="X122" s="9"/>
      <c r="Y122" s="9"/>
      <c r="Z122" s="9"/>
    </row>
    <row r="123" collapsed="1">
      <c r="A123" s="101" t="s">
        <v>133</v>
      </c>
      <c r="B123" s="102"/>
      <c r="C123" s="103"/>
      <c r="D123" s="104">
        <f t="shared" ref="D123:F123" si="74">SUM(D116:D122)</f>
        <v>3765.55</v>
      </c>
      <c r="E123" s="105">
        <f t="shared" si="74"/>
        <v>145</v>
      </c>
      <c r="F123" s="105">
        <f t="shared" si="74"/>
        <v>128</v>
      </c>
      <c r="G123" s="260">
        <f t="shared" si="2"/>
        <v>1.1328125</v>
      </c>
      <c r="H123" s="104">
        <f>average(H116:H122)</f>
        <v>29.3662558</v>
      </c>
      <c r="I123" s="261">
        <f>H123/G123</f>
        <v>25.92331547</v>
      </c>
      <c r="J123" s="108">
        <f>SUM(J116:J122)</f>
        <v>1505</v>
      </c>
      <c r="K123" s="109">
        <f t="shared" si="5"/>
        <v>0.09634551495</v>
      </c>
      <c r="L123" s="104">
        <f t="shared" ref="L123:N123" si="75">SUM(L116:L122)</f>
        <v>954.39</v>
      </c>
      <c r="M123" s="104">
        <f t="shared" si="75"/>
        <v>2621.99</v>
      </c>
      <c r="N123" s="262">
        <f t="shared" si="75"/>
        <v>91</v>
      </c>
      <c r="O123" s="108">
        <f>sum(O116:O122)</f>
        <v>242248</v>
      </c>
      <c r="P123" s="109">
        <f t="shared" si="6"/>
        <v>0.3639945232</v>
      </c>
      <c r="Q123" s="263">
        <f t="shared" si="7"/>
        <v>2.747294083</v>
      </c>
      <c r="R123" s="113">
        <f t="shared" si="8"/>
        <v>0.696309968</v>
      </c>
      <c r="S123" s="103" t="str">
        <f>iferror((D123-#REF!)/D123,)</f>
        <v/>
      </c>
      <c r="T123" s="114" t="str">
        <f>iferror((F123-#REF!)/F123,)</f>
        <v/>
      </c>
      <c r="U123" s="9"/>
      <c r="V123" s="9"/>
      <c r="W123" s="9"/>
      <c r="X123" s="9"/>
      <c r="Y123" s="9"/>
      <c r="Z123" s="9"/>
    </row>
    <row r="124" hidden="1" outlineLevel="1">
      <c r="A124" s="36" t="str">
        <f t="shared" ref="A124:A130" si="76">iferror(if(B124&gt;0,month(B124)&amp;"-"&amp;year(B124),B124),)</f>
        <v>10-2024</v>
      </c>
      <c r="B124" s="37">
        <v>45571.0</v>
      </c>
      <c r="C124" s="38"/>
      <c r="D124" s="39">
        <v>482.81</v>
      </c>
      <c r="E124" s="40">
        <v>19.0</v>
      </c>
      <c r="F124" s="40">
        <v>16.0</v>
      </c>
      <c r="G124" s="41">
        <f t="shared" si="2"/>
        <v>1.1875</v>
      </c>
      <c r="H124" s="39">
        <f t="shared" ref="H124:H130" si="77">D124/F124</f>
        <v>30.175625</v>
      </c>
      <c r="I124" s="39">
        <f t="shared" ref="I124:I130" si="78">D124/E124</f>
        <v>25.41105263</v>
      </c>
      <c r="J124" s="42">
        <v>287.0</v>
      </c>
      <c r="K124" s="43">
        <f t="shared" si="5"/>
        <v>0.06620209059</v>
      </c>
      <c r="L124" s="39">
        <v>152.67</v>
      </c>
      <c r="M124" s="39">
        <v>382.85</v>
      </c>
      <c r="N124" s="40">
        <v>13.0</v>
      </c>
      <c r="O124" s="42">
        <v>41511.0</v>
      </c>
      <c r="P124" s="43">
        <f t="shared" si="6"/>
        <v>0.3987723652</v>
      </c>
      <c r="Q124" s="44">
        <f t="shared" si="7"/>
        <v>2.507696339</v>
      </c>
      <c r="R124" s="43">
        <f t="shared" si="8"/>
        <v>0.7929620348</v>
      </c>
      <c r="S124" s="45"/>
      <c r="T124" s="46"/>
      <c r="U124" s="9"/>
      <c r="V124" s="9"/>
      <c r="W124" s="9"/>
      <c r="X124" s="9"/>
      <c r="Y124" s="9"/>
      <c r="Z124" s="9"/>
    </row>
    <row r="125" hidden="1" outlineLevel="1">
      <c r="A125" s="47" t="str">
        <f t="shared" si="76"/>
        <v>10-2024</v>
      </c>
      <c r="B125" s="37">
        <v>45572.0</v>
      </c>
      <c r="C125" s="48"/>
      <c r="D125" s="49">
        <v>315.88</v>
      </c>
      <c r="E125" s="50">
        <v>12.0</v>
      </c>
      <c r="F125" s="50">
        <v>12.0</v>
      </c>
      <c r="G125" s="51">
        <f t="shared" si="2"/>
        <v>1</v>
      </c>
      <c r="H125" s="49">
        <f t="shared" si="77"/>
        <v>26.32333333</v>
      </c>
      <c r="I125" s="49">
        <f t="shared" si="78"/>
        <v>26.32333333</v>
      </c>
      <c r="J125" s="52">
        <v>240.0</v>
      </c>
      <c r="K125" s="53">
        <f t="shared" si="5"/>
        <v>0.05</v>
      </c>
      <c r="L125" s="49">
        <v>116.9</v>
      </c>
      <c r="M125" s="54">
        <v>207.92</v>
      </c>
      <c r="N125" s="50">
        <v>8.0</v>
      </c>
      <c r="O125" s="52">
        <v>39567.0</v>
      </c>
      <c r="P125" s="53">
        <f t="shared" si="6"/>
        <v>0.5622354752</v>
      </c>
      <c r="Q125" s="55">
        <f t="shared" si="7"/>
        <v>1.7786142</v>
      </c>
      <c r="R125" s="53">
        <f t="shared" si="8"/>
        <v>0.6582246423</v>
      </c>
      <c r="S125" s="19"/>
      <c r="T125" s="28"/>
      <c r="U125" s="9"/>
      <c r="V125" s="9"/>
      <c r="W125" s="9"/>
      <c r="X125" s="9"/>
      <c r="Y125" s="9"/>
      <c r="Z125" s="9"/>
    </row>
    <row r="126" hidden="1" outlineLevel="1">
      <c r="A126" s="47" t="str">
        <f t="shared" si="76"/>
        <v>10-2024</v>
      </c>
      <c r="B126" s="37">
        <v>45573.0</v>
      </c>
      <c r="C126" s="48"/>
      <c r="D126" s="49">
        <v>825.68</v>
      </c>
      <c r="E126" s="50">
        <v>33.0</v>
      </c>
      <c r="F126" s="50">
        <v>28.0</v>
      </c>
      <c r="G126" s="51">
        <f t="shared" si="2"/>
        <v>1.178571429</v>
      </c>
      <c r="H126" s="49">
        <f t="shared" si="77"/>
        <v>29.48857143</v>
      </c>
      <c r="I126" s="49">
        <f t="shared" si="78"/>
        <v>25.02060606</v>
      </c>
      <c r="J126" s="52">
        <v>288.0</v>
      </c>
      <c r="K126" s="53">
        <f t="shared" si="5"/>
        <v>0.1145833333</v>
      </c>
      <c r="L126" s="39">
        <v>164.62</v>
      </c>
      <c r="M126" s="39">
        <v>604.77</v>
      </c>
      <c r="N126" s="40">
        <v>20.0</v>
      </c>
      <c r="O126" s="52">
        <v>58944.0</v>
      </c>
      <c r="P126" s="53">
        <f t="shared" si="6"/>
        <v>0.2722026556</v>
      </c>
      <c r="Q126" s="55">
        <f t="shared" si="7"/>
        <v>3.673733447</v>
      </c>
      <c r="R126" s="53">
        <f t="shared" si="8"/>
        <v>0.7324508284</v>
      </c>
      <c r="S126" s="19"/>
      <c r="T126" s="28"/>
      <c r="U126" s="9"/>
      <c r="V126" s="9"/>
      <c r="W126" s="9"/>
      <c r="X126" s="9"/>
      <c r="Y126" s="9"/>
      <c r="Z126" s="9"/>
    </row>
    <row r="127" hidden="1" outlineLevel="1">
      <c r="A127" s="47" t="str">
        <f t="shared" si="76"/>
        <v>10-2024</v>
      </c>
      <c r="B127" s="37">
        <v>45574.0</v>
      </c>
      <c r="C127" s="48"/>
      <c r="D127" s="49">
        <v>706.73</v>
      </c>
      <c r="E127" s="50">
        <v>27.0</v>
      </c>
      <c r="F127" s="50">
        <v>25.0</v>
      </c>
      <c r="G127" s="51">
        <f t="shared" si="2"/>
        <v>1.08</v>
      </c>
      <c r="H127" s="49">
        <f t="shared" si="77"/>
        <v>28.2692</v>
      </c>
      <c r="I127" s="49">
        <f t="shared" si="78"/>
        <v>26.17518519</v>
      </c>
      <c r="J127" s="52">
        <v>232.0</v>
      </c>
      <c r="K127" s="53">
        <f t="shared" si="5"/>
        <v>0.1163793103</v>
      </c>
      <c r="L127" s="49">
        <v>158.25</v>
      </c>
      <c r="M127" s="49">
        <v>413.84</v>
      </c>
      <c r="N127" s="50">
        <v>15.0</v>
      </c>
      <c r="O127" s="52">
        <v>48626.0</v>
      </c>
      <c r="P127" s="53">
        <f t="shared" si="6"/>
        <v>0.382394162</v>
      </c>
      <c r="Q127" s="55">
        <f t="shared" si="7"/>
        <v>2.615102686</v>
      </c>
      <c r="R127" s="53">
        <f t="shared" si="8"/>
        <v>0.5855701612</v>
      </c>
      <c r="S127" s="19"/>
      <c r="T127" s="28"/>
      <c r="U127" s="9"/>
      <c r="V127" s="9"/>
      <c r="W127" s="9"/>
      <c r="X127" s="9"/>
      <c r="Y127" s="9"/>
      <c r="Z127" s="9"/>
    </row>
    <row r="128" hidden="1" outlineLevel="1">
      <c r="A128" s="47" t="str">
        <f t="shared" si="76"/>
        <v>10-2024</v>
      </c>
      <c r="B128" s="37">
        <v>45575.0</v>
      </c>
      <c r="C128" s="48"/>
      <c r="D128" s="49">
        <v>284.89</v>
      </c>
      <c r="E128" s="50">
        <v>11.0</v>
      </c>
      <c r="F128" s="50">
        <v>10.0</v>
      </c>
      <c r="G128" s="51">
        <f t="shared" si="2"/>
        <v>1.1</v>
      </c>
      <c r="H128" s="49">
        <f t="shared" si="77"/>
        <v>28.489</v>
      </c>
      <c r="I128" s="49">
        <f t="shared" si="78"/>
        <v>25.89909091</v>
      </c>
      <c r="J128" s="52">
        <v>155.0</v>
      </c>
      <c r="K128" s="53">
        <f t="shared" si="5"/>
        <v>0.07096774194</v>
      </c>
      <c r="L128" s="49">
        <v>84.67</v>
      </c>
      <c r="M128" s="49">
        <v>201.92</v>
      </c>
      <c r="N128" s="50">
        <v>7.0</v>
      </c>
      <c r="O128" s="52">
        <v>21431.0</v>
      </c>
      <c r="P128" s="53">
        <f t="shared" si="6"/>
        <v>0.4193244849</v>
      </c>
      <c r="Q128" s="55">
        <f t="shared" si="7"/>
        <v>2.384788</v>
      </c>
      <c r="R128" s="53">
        <f t="shared" si="8"/>
        <v>0.7087647864</v>
      </c>
      <c r="S128" s="19"/>
      <c r="T128" s="28"/>
      <c r="U128" s="9"/>
      <c r="V128" s="9"/>
      <c r="W128" s="9"/>
      <c r="X128" s="9"/>
      <c r="Y128" s="9"/>
      <c r="Z128" s="9"/>
    </row>
    <row r="129" hidden="1" outlineLevel="1">
      <c r="A129" s="47" t="str">
        <f t="shared" si="76"/>
        <v>10-2024</v>
      </c>
      <c r="B129" s="37">
        <v>45576.0</v>
      </c>
      <c r="C129" s="48"/>
      <c r="D129" s="49">
        <v>1090.59</v>
      </c>
      <c r="E129" s="50">
        <v>42.0</v>
      </c>
      <c r="F129" s="50">
        <v>15.0</v>
      </c>
      <c r="G129" s="51">
        <f t="shared" si="2"/>
        <v>2.8</v>
      </c>
      <c r="H129" s="49">
        <f t="shared" si="77"/>
        <v>72.706</v>
      </c>
      <c r="I129" s="49">
        <f t="shared" si="78"/>
        <v>25.96642857</v>
      </c>
      <c r="J129" s="52">
        <v>124.0</v>
      </c>
      <c r="K129" s="53">
        <f t="shared" si="5"/>
        <v>0.3387096774</v>
      </c>
      <c r="L129" s="49">
        <v>49.82</v>
      </c>
      <c r="M129" s="49">
        <v>934.65</v>
      </c>
      <c r="N129" s="50">
        <v>11.0</v>
      </c>
      <c r="O129" s="52">
        <v>18703.0</v>
      </c>
      <c r="P129" s="53">
        <f t="shared" si="6"/>
        <v>0.0533033756</v>
      </c>
      <c r="Q129" s="55">
        <f t="shared" si="7"/>
        <v>18.76053794</v>
      </c>
      <c r="R129" s="53">
        <f t="shared" si="8"/>
        <v>0.8570131764</v>
      </c>
      <c r="S129" s="19"/>
      <c r="T129" s="28"/>
      <c r="U129" s="9"/>
      <c r="V129" s="9"/>
      <c r="W129" s="9"/>
      <c r="X129" s="9"/>
      <c r="Y129" s="9"/>
      <c r="Z129" s="9"/>
    </row>
    <row r="130" hidden="1" outlineLevel="1">
      <c r="A130" s="47" t="str">
        <f t="shared" si="76"/>
        <v>10-2024</v>
      </c>
      <c r="B130" s="37">
        <v>45577.0</v>
      </c>
      <c r="C130" s="48"/>
      <c r="D130" s="49">
        <v>290.89</v>
      </c>
      <c r="E130" s="50">
        <v>11.0</v>
      </c>
      <c r="F130" s="50">
        <v>11.0</v>
      </c>
      <c r="G130" s="51">
        <f t="shared" si="2"/>
        <v>1</v>
      </c>
      <c r="H130" s="49">
        <f t="shared" si="77"/>
        <v>26.44454545</v>
      </c>
      <c r="I130" s="49">
        <f t="shared" si="78"/>
        <v>26.44454545</v>
      </c>
      <c r="J130" s="52">
        <v>156.0</v>
      </c>
      <c r="K130" s="53">
        <f t="shared" si="5"/>
        <v>0.07051282051</v>
      </c>
      <c r="L130" s="49">
        <v>95.85</v>
      </c>
      <c r="M130" s="49">
        <v>186.93</v>
      </c>
      <c r="N130" s="50">
        <v>7.0</v>
      </c>
      <c r="O130" s="52">
        <v>28145.0</v>
      </c>
      <c r="P130" s="53">
        <f t="shared" si="6"/>
        <v>0.5127587867</v>
      </c>
      <c r="Q130" s="55">
        <f t="shared" si="7"/>
        <v>1.950234742</v>
      </c>
      <c r="R130" s="53">
        <f t="shared" si="8"/>
        <v>0.6426140465</v>
      </c>
      <c r="S130" s="19"/>
      <c r="T130" s="28"/>
      <c r="U130" s="9"/>
      <c r="V130" s="9"/>
      <c r="W130" s="9"/>
      <c r="X130" s="9"/>
      <c r="Y130" s="9"/>
      <c r="Z130" s="9"/>
    </row>
    <row r="131" collapsed="1">
      <c r="A131" s="101" t="s">
        <v>134</v>
      </c>
      <c r="B131" s="102"/>
      <c r="C131" s="103"/>
      <c r="D131" s="104">
        <f t="shared" ref="D131:F131" si="79">SUM(D124:D130)</f>
        <v>3997.47</v>
      </c>
      <c r="E131" s="105">
        <f t="shared" si="79"/>
        <v>155</v>
      </c>
      <c r="F131" s="105">
        <f t="shared" si="79"/>
        <v>117</v>
      </c>
      <c r="G131" s="260">
        <f t="shared" si="2"/>
        <v>1.324786325</v>
      </c>
      <c r="H131" s="104">
        <f>average(H124:H130)</f>
        <v>34.55661075</v>
      </c>
      <c r="I131" s="261">
        <f>H131/G131</f>
        <v>26.08466747</v>
      </c>
      <c r="J131" s="108">
        <f>SUM(J124:J130)</f>
        <v>1482</v>
      </c>
      <c r="K131" s="109">
        <f t="shared" si="5"/>
        <v>0.1045883941</v>
      </c>
      <c r="L131" s="104">
        <f t="shared" ref="L131:N131" si="80">SUM(L124:L130)</f>
        <v>822.78</v>
      </c>
      <c r="M131" s="104">
        <f t="shared" si="80"/>
        <v>2932.88</v>
      </c>
      <c r="N131" s="262">
        <f t="shared" si="80"/>
        <v>81</v>
      </c>
      <c r="O131" s="108">
        <f>sum(O124:O130)</f>
        <v>256927</v>
      </c>
      <c r="P131" s="109">
        <f t="shared" si="6"/>
        <v>0.2805365375</v>
      </c>
      <c r="Q131" s="263">
        <f t="shared" si="7"/>
        <v>3.56459807</v>
      </c>
      <c r="R131" s="113">
        <f t="shared" si="8"/>
        <v>0.7336840552</v>
      </c>
      <c r="S131" s="103" t="str">
        <f>iferror((D131-#REF!)/D131,)</f>
        <v/>
      </c>
      <c r="T131" s="114" t="str">
        <f>iferror((F131-#REF!)/F131,)</f>
        <v/>
      </c>
      <c r="U131" s="9"/>
      <c r="V131" s="9"/>
      <c r="W131" s="9"/>
      <c r="X131" s="9"/>
      <c r="Y131" s="9"/>
      <c r="Z131" s="9"/>
    </row>
    <row r="132" hidden="1" outlineLevel="1">
      <c r="A132" s="36" t="str">
        <f t="shared" ref="A132:A138" si="81">iferror(if(B132&gt;0,month(B132)&amp;"-"&amp;year(B132),B132),)</f>
        <v>10-2024</v>
      </c>
      <c r="B132" s="37">
        <v>45578.0</v>
      </c>
      <c r="C132" s="38"/>
      <c r="D132" s="39">
        <v>695.74</v>
      </c>
      <c r="E132" s="40">
        <v>26.0</v>
      </c>
      <c r="F132" s="40">
        <v>23.0</v>
      </c>
      <c r="G132" s="41">
        <f t="shared" si="2"/>
        <v>1.130434783</v>
      </c>
      <c r="H132" s="39">
        <f t="shared" ref="H132:H138" si="82">D132/F132</f>
        <v>30.24956522</v>
      </c>
      <c r="I132" s="39">
        <f t="shared" ref="I132:I138" si="83">D132/E132</f>
        <v>26.75923077</v>
      </c>
      <c r="J132" s="42">
        <v>238.0</v>
      </c>
      <c r="K132" s="43">
        <f t="shared" si="5"/>
        <v>0.1092436975</v>
      </c>
      <c r="L132" s="39">
        <v>138.93</v>
      </c>
      <c r="M132" s="39">
        <v>510.81</v>
      </c>
      <c r="N132" s="40">
        <v>19.0</v>
      </c>
      <c r="O132" s="42">
        <v>33622.0</v>
      </c>
      <c r="P132" s="43">
        <f t="shared" si="6"/>
        <v>0.2719797968</v>
      </c>
      <c r="Q132" s="44">
        <f t="shared" si="7"/>
        <v>3.676743684</v>
      </c>
      <c r="R132" s="43">
        <f t="shared" si="8"/>
        <v>0.7341966827</v>
      </c>
      <c r="S132" s="45"/>
      <c r="T132" s="46"/>
      <c r="U132" s="9"/>
      <c r="V132" s="9"/>
      <c r="W132" s="9"/>
      <c r="X132" s="9"/>
      <c r="Y132" s="9"/>
      <c r="Z132" s="9"/>
    </row>
    <row r="133" hidden="1" outlineLevel="1">
      <c r="A133" s="47" t="str">
        <f t="shared" si="81"/>
        <v>10-2024</v>
      </c>
      <c r="B133" s="37">
        <v>45579.0</v>
      </c>
      <c r="C133" s="48"/>
      <c r="D133" s="49">
        <v>548.79</v>
      </c>
      <c r="E133" s="50">
        <v>21.0</v>
      </c>
      <c r="F133" s="50">
        <v>20.0</v>
      </c>
      <c r="G133" s="51">
        <f t="shared" si="2"/>
        <v>1.05</v>
      </c>
      <c r="H133" s="49">
        <f t="shared" si="82"/>
        <v>27.4395</v>
      </c>
      <c r="I133" s="49">
        <f t="shared" si="83"/>
        <v>26.13285714</v>
      </c>
      <c r="J133" s="52">
        <v>195.0</v>
      </c>
      <c r="K133" s="53">
        <f t="shared" si="5"/>
        <v>0.1076923077</v>
      </c>
      <c r="L133" s="49">
        <v>111.15</v>
      </c>
      <c r="M133" s="54">
        <v>344.87</v>
      </c>
      <c r="N133" s="50">
        <v>11.0</v>
      </c>
      <c r="O133" s="52">
        <v>32249.0</v>
      </c>
      <c r="P133" s="53">
        <f t="shared" si="6"/>
        <v>0.3222953577</v>
      </c>
      <c r="Q133" s="55">
        <f t="shared" si="7"/>
        <v>3.10274404</v>
      </c>
      <c r="R133" s="53">
        <f t="shared" si="8"/>
        <v>0.6284188852</v>
      </c>
      <c r="S133" s="19"/>
      <c r="T133" s="28"/>
      <c r="U133" s="9"/>
      <c r="V133" s="9"/>
      <c r="W133" s="9"/>
      <c r="X133" s="9"/>
      <c r="Y133" s="9"/>
      <c r="Z133" s="9"/>
    </row>
    <row r="134" hidden="1" outlineLevel="1">
      <c r="A134" s="47" t="str">
        <f t="shared" si="81"/>
        <v>10-2024</v>
      </c>
      <c r="B134" s="37">
        <v>45580.0</v>
      </c>
      <c r="C134" s="48"/>
      <c r="D134" s="49">
        <v>473.82</v>
      </c>
      <c r="E134" s="50">
        <v>18.0</v>
      </c>
      <c r="F134" s="50">
        <v>15.0</v>
      </c>
      <c r="G134" s="51">
        <f t="shared" si="2"/>
        <v>1.2</v>
      </c>
      <c r="H134" s="49">
        <f t="shared" si="82"/>
        <v>31.588</v>
      </c>
      <c r="I134" s="49">
        <f t="shared" si="83"/>
        <v>26.32333333</v>
      </c>
      <c r="J134" s="52">
        <v>176.0</v>
      </c>
      <c r="K134" s="53">
        <f t="shared" si="5"/>
        <v>0.1022727273</v>
      </c>
      <c r="L134" s="39">
        <v>93.03</v>
      </c>
      <c r="M134" s="39">
        <v>234.91</v>
      </c>
      <c r="N134" s="40">
        <v>8.0</v>
      </c>
      <c r="O134" s="52">
        <v>26998.0</v>
      </c>
      <c r="P134" s="53">
        <f t="shared" si="6"/>
        <v>0.3960240092</v>
      </c>
      <c r="Q134" s="55">
        <f t="shared" si="7"/>
        <v>2.52509943</v>
      </c>
      <c r="R134" s="53">
        <f t="shared" si="8"/>
        <v>0.4957789878</v>
      </c>
      <c r="S134" s="19"/>
      <c r="T134" s="28"/>
      <c r="U134" s="9"/>
      <c r="V134" s="9"/>
      <c r="W134" s="9"/>
      <c r="X134" s="9"/>
      <c r="Y134" s="9"/>
      <c r="Z134" s="9"/>
    </row>
    <row r="135" hidden="1" outlineLevel="1">
      <c r="A135" s="47" t="str">
        <f t="shared" si="81"/>
        <v>10-2024</v>
      </c>
      <c r="B135" s="37">
        <v>45581.0</v>
      </c>
      <c r="C135" s="48"/>
      <c r="D135" s="49">
        <v>338.87</v>
      </c>
      <c r="E135" s="50">
        <v>13.0</v>
      </c>
      <c r="F135" s="50">
        <v>12.0</v>
      </c>
      <c r="G135" s="51">
        <f t="shared" si="2"/>
        <v>1.083333333</v>
      </c>
      <c r="H135" s="49">
        <f t="shared" si="82"/>
        <v>28.23916667</v>
      </c>
      <c r="I135" s="49">
        <f t="shared" si="83"/>
        <v>26.06692308</v>
      </c>
      <c r="J135" s="52">
        <v>197.0</v>
      </c>
      <c r="K135" s="53">
        <f t="shared" si="5"/>
        <v>0.06598984772</v>
      </c>
      <c r="L135" s="49">
        <v>116.82</v>
      </c>
      <c r="M135" s="49">
        <v>157.94</v>
      </c>
      <c r="N135" s="50">
        <v>6.0</v>
      </c>
      <c r="O135" s="52">
        <v>25798.0</v>
      </c>
      <c r="P135" s="53">
        <f t="shared" si="6"/>
        <v>0.7396479676</v>
      </c>
      <c r="Q135" s="55">
        <f t="shared" si="7"/>
        <v>1.351994521</v>
      </c>
      <c r="R135" s="53">
        <f t="shared" si="8"/>
        <v>0.4660784372</v>
      </c>
      <c r="S135" s="19"/>
      <c r="T135" s="28"/>
      <c r="U135" s="9"/>
      <c r="V135" s="9"/>
      <c r="W135" s="9"/>
      <c r="X135" s="9"/>
      <c r="Y135" s="9"/>
      <c r="Z135" s="9"/>
    </row>
    <row r="136" hidden="1" outlineLevel="1">
      <c r="A136" s="47" t="str">
        <f t="shared" si="81"/>
        <v>10-2024</v>
      </c>
      <c r="B136" s="37">
        <v>45582.0</v>
      </c>
      <c r="C136" s="48"/>
      <c r="D136" s="49">
        <v>317.88</v>
      </c>
      <c r="E136" s="50">
        <v>12.0</v>
      </c>
      <c r="F136" s="50">
        <v>12.0</v>
      </c>
      <c r="G136" s="51">
        <f t="shared" si="2"/>
        <v>1</v>
      </c>
      <c r="H136" s="49">
        <f t="shared" si="82"/>
        <v>26.49</v>
      </c>
      <c r="I136" s="49">
        <f t="shared" si="83"/>
        <v>26.49</v>
      </c>
      <c r="J136" s="52">
        <v>176.0</v>
      </c>
      <c r="K136" s="53">
        <f t="shared" si="5"/>
        <v>0.06818181818</v>
      </c>
      <c r="L136" s="49">
        <v>128.95</v>
      </c>
      <c r="M136" s="49">
        <v>319.88</v>
      </c>
      <c r="N136" s="50">
        <v>12.0</v>
      </c>
      <c r="O136" s="52">
        <v>26992.0</v>
      </c>
      <c r="P136" s="53">
        <f t="shared" si="6"/>
        <v>0.40311992</v>
      </c>
      <c r="Q136" s="55">
        <f t="shared" si="7"/>
        <v>2.480651415</v>
      </c>
      <c r="R136" s="53">
        <f t="shared" si="8"/>
        <v>1.006291682</v>
      </c>
      <c r="S136" s="19"/>
      <c r="T136" s="28"/>
      <c r="U136" s="9"/>
      <c r="V136" s="9"/>
      <c r="W136" s="9"/>
      <c r="X136" s="9"/>
      <c r="Y136" s="9"/>
      <c r="Z136" s="9"/>
    </row>
    <row r="137" hidden="1" outlineLevel="1">
      <c r="A137" s="47" t="str">
        <f t="shared" si="81"/>
        <v>10-2024</v>
      </c>
      <c r="B137" s="37">
        <v>45583.0</v>
      </c>
      <c r="C137" s="48"/>
      <c r="D137" s="49">
        <v>319.88</v>
      </c>
      <c r="E137" s="50">
        <v>12.0</v>
      </c>
      <c r="F137" s="50">
        <v>11.0</v>
      </c>
      <c r="G137" s="51">
        <f t="shared" si="2"/>
        <v>1.090909091</v>
      </c>
      <c r="H137" s="49">
        <f t="shared" si="82"/>
        <v>29.08</v>
      </c>
      <c r="I137" s="49">
        <f t="shared" si="83"/>
        <v>26.65666667</v>
      </c>
      <c r="J137" s="52">
        <v>208.0</v>
      </c>
      <c r="K137" s="53">
        <f t="shared" si="5"/>
        <v>0.05769230769</v>
      </c>
      <c r="L137" s="49">
        <v>142.89</v>
      </c>
      <c r="M137" s="49">
        <v>184.93</v>
      </c>
      <c r="N137" s="50">
        <v>7.0</v>
      </c>
      <c r="O137" s="52">
        <v>24770.0</v>
      </c>
      <c r="P137" s="53">
        <f t="shared" si="6"/>
        <v>0.7726707403</v>
      </c>
      <c r="Q137" s="55">
        <f t="shared" si="7"/>
        <v>1.294212331</v>
      </c>
      <c r="R137" s="53">
        <f t="shared" si="8"/>
        <v>0.5781230461</v>
      </c>
      <c r="S137" s="19"/>
      <c r="T137" s="28"/>
      <c r="U137" s="9"/>
      <c r="V137" s="9"/>
      <c r="W137" s="9"/>
      <c r="X137" s="9"/>
      <c r="Y137" s="9"/>
      <c r="Z137" s="9"/>
    </row>
    <row r="138" hidden="1" outlineLevel="1">
      <c r="A138" s="47" t="str">
        <f t="shared" si="81"/>
        <v>10-2024</v>
      </c>
      <c r="B138" s="37">
        <v>45584.0</v>
      </c>
      <c r="C138" s="48"/>
      <c r="D138" s="49">
        <v>711.72</v>
      </c>
      <c r="E138" s="50">
        <v>28.0</v>
      </c>
      <c r="F138" s="50">
        <v>25.0</v>
      </c>
      <c r="G138" s="51">
        <f t="shared" si="2"/>
        <v>1.12</v>
      </c>
      <c r="H138" s="49">
        <f t="shared" si="82"/>
        <v>28.4688</v>
      </c>
      <c r="I138" s="49">
        <f t="shared" si="83"/>
        <v>25.41857143</v>
      </c>
      <c r="J138" s="52">
        <v>289.0</v>
      </c>
      <c r="K138" s="53">
        <f t="shared" si="5"/>
        <v>0.09688581315</v>
      </c>
      <c r="L138" s="49">
        <v>188.94</v>
      </c>
      <c r="M138" s="49">
        <v>534.79</v>
      </c>
      <c r="N138" s="50">
        <v>20.0</v>
      </c>
      <c r="O138" s="52">
        <v>32557.0</v>
      </c>
      <c r="P138" s="53">
        <f t="shared" si="6"/>
        <v>0.3532975561</v>
      </c>
      <c r="Q138" s="55">
        <f t="shared" si="7"/>
        <v>2.830475283</v>
      </c>
      <c r="R138" s="53">
        <f t="shared" si="8"/>
        <v>0.7514050469</v>
      </c>
      <c r="S138" s="19"/>
      <c r="T138" s="28"/>
      <c r="U138" s="9"/>
      <c r="V138" s="9"/>
      <c r="W138" s="9"/>
      <c r="X138" s="9"/>
      <c r="Y138" s="9"/>
      <c r="Z138" s="9"/>
    </row>
    <row r="139" collapsed="1">
      <c r="A139" s="101" t="s">
        <v>135</v>
      </c>
      <c r="B139" s="102"/>
      <c r="C139" s="103"/>
      <c r="D139" s="104">
        <f t="shared" ref="D139:F139" si="84">SUM(D132:D138)</f>
        <v>3406.7</v>
      </c>
      <c r="E139" s="105">
        <f t="shared" si="84"/>
        <v>130</v>
      </c>
      <c r="F139" s="105">
        <f t="shared" si="84"/>
        <v>118</v>
      </c>
      <c r="G139" s="260">
        <f t="shared" si="2"/>
        <v>1.101694915</v>
      </c>
      <c r="H139" s="104">
        <f>average(H132:H138)</f>
        <v>28.79357598</v>
      </c>
      <c r="I139" s="261">
        <f>H139/G139</f>
        <v>26.13570743</v>
      </c>
      <c r="J139" s="108">
        <f>SUM(J132:J138)</f>
        <v>1479</v>
      </c>
      <c r="K139" s="109">
        <f t="shared" si="5"/>
        <v>0.08789722786</v>
      </c>
      <c r="L139" s="104">
        <f t="shared" ref="L139:N139" si="85">SUM(L132:L138)</f>
        <v>920.71</v>
      </c>
      <c r="M139" s="104">
        <f t="shared" si="85"/>
        <v>2288.13</v>
      </c>
      <c r="N139" s="262">
        <f t="shared" si="85"/>
        <v>83</v>
      </c>
      <c r="O139" s="108">
        <f>sum(O132:O138)</f>
        <v>202986</v>
      </c>
      <c r="P139" s="109">
        <f t="shared" si="6"/>
        <v>0.402385354</v>
      </c>
      <c r="Q139" s="263">
        <f t="shared" si="7"/>
        <v>2.485179915</v>
      </c>
      <c r="R139" s="113">
        <f t="shared" si="8"/>
        <v>0.6716558546</v>
      </c>
      <c r="S139" s="103" t="str">
        <f>iferror((D139-#REF!)/D139,)</f>
        <v/>
      </c>
      <c r="T139" s="114" t="str">
        <f>iferror((F139-#REF!)/F139,)</f>
        <v/>
      </c>
      <c r="U139" s="9"/>
      <c r="V139" s="9"/>
      <c r="W139" s="9"/>
      <c r="X139" s="9"/>
      <c r="Y139" s="9"/>
      <c r="Z139" s="9"/>
    </row>
    <row r="140" hidden="1" outlineLevel="1">
      <c r="A140" s="36" t="str">
        <f t="shared" ref="A140:A146" si="86">iferror(if(B140&gt;0,month(B140)&amp;"-"&amp;year(B140),B140),)</f>
        <v>10-2024</v>
      </c>
      <c r="B140" s="37">
        <v>45585.0</v>
      </c>
      <c r="C140" s="38"/>
      <c r="D140" s="39">
        <v>687.74</v>
      </c>
      <c r="E140" s="40">
        <v>26.0</v>
      </c>
      <c r="F140" s="40">
        <v>22.0</v>
      </c>
      <c r="G140" s="41">
        <f t="shared" si="2"/>
        <v>1.181818182</v>
      </c>
      <c r="H140" s="39">
        <f t="shared" ref="H140:H146" si="87">D140/F140</f>
        <v>31.26090909</v>
      </c>
      <c r="I140" s="39">
        <f t="shared" ref="I140:I146" si="88">D140/E140</f>
        <v>26.45153846</v>
      </c>
      <c r="J140" s="42">
        <v>322.0</v>
      </c>
      <c r="K140" s="43">
        <f t="shared" si="5"/>
        <v>0.08074534161</v>
      </c>
      <c r="L140" s="39">
        <v>221.28</v>
      </c>
      <c r="M140" s="39">
        <v>693.74</v>
      </c>
      <c r="N140" s="40">
        <v>24.0</v>
      </c>
      <c r="O140" s="42">
        <v>36494.0</v>
      </c>
      <c r="P140" s="43">
        <f t="shared" si="6"/>
        <v>0.3189667599</v>
      </c>
      <c r="Q140" s="44">
        <f t="shared" si="7"/>
        <v>3.135122921</v>
      </c>
      <c r="R140" s="43">
        <f t="shared" si="8"/>
        <v>1.008724227</v>
      </c>
      <c r="S140" s="45"/>
      <c r="T140" s="46"/>
      <c r="U140" s="9"/>
      <c r="V140" s="9"/>
      <c r="W140" s="9"/>
      <c r="X140" s="9"/>
      <c r="Y140" s="9"/>
      <c r="Z140" s="9"/>
    </row>
    <row r="141" hidden="1" outlineLevel="1">
      <c r="A141" s="47" t="str">
        <f t="shared" si="86"/>
        <v>10-2024</v>
      </c>
      <c r="B141" s="37">
        <v>45586.0</v>
      </c>
      <c r="C141" s="48"/>
      <c r="D141" s="49">
        <v>612.77</v>
      </c>
      <c r="E141" s="50">
        <v>23.0</v>
      </c>
      <c r="F141" s="50">
        <v>22.0</v>
      </c>
      <c r="G141" s="51">
        <f t="shared" si="2"/>
        <v>1.045454545</v>
      </c>
      <c r="H141" s="49">
        <f t="shared" si="87"/>
        <v>27.85318182</v>
      </c>
      <c r="I141" s="49">
        <f t="shared" si="88"/>
        <v>26.64217391</v>
      </c>
      <c r="J141" s="52">
        <v>235.0</v>
      </c>
      <c r="K141" s="53">
        <f t="shared" si="5"/>
        <v>0.09787234043</v>
      </c>
      <c r="L141" s="49">
        <v>125.43</v>
      </c>
      <c r="M141" s="54">
        <v>637.76</v>
      </c>
      <c r="N141" s="50">
        <v>23.0</v>
      </c>
      <c r="O141" s="52">
        <v>25151.0</v>
      </c>
      <c r="P141" s="53">
        <f t="shared" si="6"/>
        <v>0.1966727296</v>
      </c>
      <c r="Q141" s="55">
        <f t="shared" si="7"/>
        <v>5.084589014</v>
      </c>
      <c r="R141" s="53">
        <f t="shared" si="8"/>
        <v>1.040782023</v>
      </c>
      <c r="S141" s="19"/>
      <c r="T141" s="28"/>
      <c r="U141" s="9"/>
      <c r="V141" s="9"/>
      <c r="W141" s="9"/>
      <c r="X141" s="9"/>
      <c r="Y141" s="9"/>
      <c r="Z141" s="9"/>
    </row>
    <row r="142" hidden="1" outlineLevel="1">
      <c r="A142" s="47" t="str">
        <f t="shared" si="86"/>
        <v>10-2024</v>
      </c>
      <c r="B142" s="37">
        <v>45587.0</v>
      </c>
      <c r="C142" s="48"/>
      <c r="D142" s="49">
        <v>610.77</v>
      </c>
      <c r="E142" s="50">
        <v>24.0</v>
      </c>
      <c r="F142" s="50">
        <v>22.0</v>
      </c>
      <c r="G142" s="51">
        <f t="shared" si="2"/>
        <v>1.090909091</v>
      </c>
      <c r="H142" s="49">
        <f t="shared" si="87"/>
        <v>27.76227273</v>
      </c>
      <c r="I142" s="49">
        <f t="shared" si="88"/>
        <v>25.44875</v>
      </c>
      <c r="J142" s="52">
        <v>200.0</v>
      </c>
      <c r="K142" s="53">
        <f t="shared" si="5"/>
        <v>0.12</v>
      </c>
      <c r="L142" s="39">
        <v>94.56</v>
      </c>
      <c r="M142" s="39">
        <v>311.88</v>
      </c>
      <c r="N142" s="40">
        <v>10.0</v>
      </c>
      <c r="O142" s="52">
        <v>24854.0</v>
      </c>
      <c r="P142" s="53">
        <f t="shared" si="6"/>
        <v>0.303193536</v>
      </c>
      <c r="Q142" s="55">
        <f t="shared" si="7"/>
        <v>3.29822335</v>
      </c>
      <c r="R142" s="53">
        <f t="shared" si="8"/>
        <v>0.5106341176</v>
      </c>
      <c r="S142" s="19"/>
      <c r="T142" s="28"/>
      <c r="U142" s="9"/>
      <c r="V142" s="9"/>
      <c r="W142" s="9"/>
      <c r="X142" s="9"/>
      <c r="Y142" s="9"/>
      <c r="Z142" s="9"/>
    </row>
    <row r="143" hidden="1" outlineLevel="1">
      <c r="A143" s="47" t="str">
        <f t="shared" si="86"/>
        <v>10-2024</v>
      </c>
      <c r="B143" s="37">
        <v>45588.0</v>
      </c>
      <c r="C143" s="48"/>
      <c r="D143" s="49">
        <v>384.85</v>
      </c>
      <c r="E143" s="50">
        <v>15.0</v>
      </c>
      <c r="F143" s="50">
        <v>11.0</v>
      </c>
      <c r="G143" s="51">
        <f t="shared" si="2"/>
        <v>1.363636364</v>
      </c>
      <c r="H143" s="49">
        <f t="shared" si="87"/>
        <v>34.98636364</v>
      </c>
      <c r="I143" s="49">
        <f t="shared" si="88"/>
        <v>25.65666667</v>
      </c>
      <c r="J143" s="52">
        <v>159.0</v>
      </c>
      <c r="K143" s="53">
        <f t="shared" si="5"/>
        <v>0.09433962264</v>
      </c>
      <c r="L143" s="49">
        <v>90.37</v>
      </c>
      <c r="M143" s="49">
        <v>328.87</v>
      </c>
      <c r="N143" s="50">
        <v>9.0</v>
      </c>
      <c r="O143" s="52">
        <v>22830.0</v>
      </c>
      <c r="P143" s="53">
        <f t="shared" si="6"/>
        <v>0.2747894305</v>
      </c>
      <c r="Q143" s="55">
        <f t="shared" si="7"/>
        <v>3.63915016</v>
      </c>
      <c r="R143" s="53">
        <f t="shared" si="8"/>
        <v>0.8545407302</v>
      </c>
      <c r="S143" s="19"/>
      <c r="T143" s="28"/>
      <c r="U143" s="9"/>
      <c r="V143" s="9"/>
      <c r="W143" s="9"/>
      <c r="X143" s="9"/>
      <c r="Y143" s="9"/>
      <c r="Z143" s="9"/>
    </row>
    <row r="144" hidden="1" outlineLevel="1">
      <c r="A144" s="47" t="str">
        <f t="shared" si="86"/>
        <v>10-2024</v>
      </c>
      <c r="B144" s="37">
        <v>45589.0</v>
      </c>
      <c r="C144" s="48"/>
      <c r="D144" s="49">
        <v>627.76</v>
      </c>
      <c r="E144" s="50">
        <v>24.0</v>
      </c>
      <c r="F144" s="50">
        <v>17.0</v>
      </c>
      <c r="G144" s="51">
        <f t="shared" si="2"/>
        <v>1.411764706</v>
      </c>
      <c r="H144" s="49">
        <f t="shared" si="87"/>
        <v>36.92705882</v>
      </c>
      <c r="I144" s="49">
        <f t="shared" si="88"/>
        <v>26.15666667</v>
      </c>
      <c r="J144" s="52">
        <v>181.0</v>
      </c>
      <c r="K144" s="53">
        <f t="shared" si="5"/>
        <v>0.1325966851</v>
      </c>
      <c r="L144" s="49">
        <v>85.36</v>
      </c>
      <c r="M144" s="49">
        <v>440.83</v>
      </c>
      <c r="N144" s="50">
        <v>15.0</v>
      </c>
      <c r="O144" s="52">
        <v>23708.0</v>
      </c>
      <c r="P144" s="53">
        <f t="shared" si="6"/>
        <v>0.1936347345</v>
      </c>
      <c r="Q144" s="55">
        <f t="shared" si="7"/>
        <v>5.164362699</v>
      </c>
      <c r="R144" s="53">
        <f t="shared" si="8"/>
        <v>0.7022269657</v>
      </c>
      <c r="S144" s="19"/>
      <c r="T144" s="28"/>
      <c r="U144" s="9"/>
      <c r="V144" s="9"/>
      <c r="W144" s="9"/>
      <c r="X144" s="9"/>
      <c r="Y144" s="9"/>
      <c r="Z144" s="9"/>
    </row>
    <row r="145" hidden="1" outlineLevel="1">
      <c r="A145" s="47" t="str">
        <f t="shared" si="86"/>
        <v>10-2024</v>
      </c>
      <c r="B145" s="37">
        <v>45590.0</v>
      </c>
      <c r="C145" s="48"/>
      <c r="D145" s="49">
        <v>471.82</v>
      </c>
      <c r="E145" s="50">
        <v>18.0</v>
      </c>
      <c r="F145" s="50">
        <v>16.0</v>
      </c>
      <c r="G145" s="51">
        <f t="shared" si="2"/>
        <v>1.125</v>
      </c>
      <c r="H145" s="49">
        <f t="shared" si="87"/>
        <v>29.48875</v>
      </c>
      <c r="I145" s="49">
        <f t="shared" si="88"/>
        <v>26.21222222</v>
      </c>
      <c r="J145" s="52">
        <v>176.0</v>
      </c>
      <c r="K145" s="53">
        <f t="shared" si="5"/>
        <v>0.1022727273</v>
      </c>
      <c r="L145" s="49">
        <v>105.62</v>
      </c>
      <c r="M145" s="49">
        <v>186.93</v>
      </c>
      <c r="N145" s="50">
        <v>6.0</v>
      </c>
      <c r="O145" s="52">
        <v>26730.0</v>
      </c>
      <c r="P145" s="53">
        <f t="shared" si="6"/>
        <v>0.5650243407</v>
      </c>
      <c r="Q145" s="55">
        <f t="shared" si="7"/>
        <v>1.769835258</v>
      </c>
      <c r="R145" s="53">
        <f t="shared" si="8"/>
        <v>0.3961892247</v>
      </c>
      <c r="S145" s="19"/>
      <c r="T145" s="28"/>
      <c r="U145" s="9"/>
      <c r="V145" s="9"/>
      <c r="W145" s="9"/>
      <c r="X145" s="9"/>
      <c r="Y145" s="9"/>
      <c r="Z145" s="9"/>
    </row>
    <row r="146" hidden="1" outlineLevel="1">
      <c r="A146" s="47" t="str">
        <f t="shared" si="86"/>
        <v>10-2024</v>
      </c>
      <c r="B146" s="37">
        <v>45591.0</v>
      </c>
      <c r="C146" s="48"/>
      <c r="D146" s="49">
        <v>1033.6</v>
      </c>
      <c r="E146" s="50">
        <v>40.0</v>
      </c>
      <c r="F146" s="50">
        <v>31.0</v>
      </c>
      <c r="G146" s="51">
        <f t="shared" si="2"/>
        <v>1.290322581</v>
      </c>
      <c r="H146" s="49">
        <f t="shared" si="87"/>
        <v>33.34193548</v>
      </c>
      <c r="I146" s="49">
        <f t="shared" si="88"/>
        <v>25.84</v>
      </c>
      <c r="J146" s="52">
        <v>280.0</v>
      </c>
      <c r="K146" s="53">
        <f t="shared" si="5"/>
        <v>0.1428571429</v>
      </c>
      <c r="L146" s="49">
        <v>168.88</v>
      </c>
      <c r="M146" s="49">
        <v>690.73</v>
      </c>
      <c r="N146" s="50">
        <v>21.0</v>
      </c>
      <c r="O146" s="52">
        <v>42076.0</v>
      </c>
      <c r="P146" s="53">
        <f t="shared" si="6"/>
        <v>0.2444949546</v>
      </c>
      <c r="Q146" s="55">
        <f t="shared" si="7"/>
        <v>4.090063951</v>
      </c>
      <c r="R146" s="53">
        <f t="shared" si="8"/>
        <v>0.6682759288</v>
      </c>
      <c r="S146" s="19"/>
      <c r="T146" s="28"/>
      <c r="U146" s="9"/>
      <c r="V146" s="9"/>
      <c r="W146" s="9"/>
      <c r="X146" s="9"/>
      <c r="Y146" s="9"/>
      <c r="Z146" s="9"/>
    </row>
    <row r="147" collapsed="1">
      <c r="A147" s="101" t="s">
        <v>136</v>
      </c>
      <c r="B147" s="102"/>
      <c r="C147" s="103"/>
      <c r="D147" s="104">
        <f t="shared" ref="D147:F147" si="89">SUM(D140:D146)</f>
        <v>4429.31</v>
      </c>
      <c r="E147" s="105">
        <f t="shared" si="89"/>
        <v>170</v>
      </c>
      <c r="F147" s="105">
        <f t="shared" si="89"/>
        <v>141</v>
      </c>
      <c r="G147" s="260">
        <f t="shared" si="2"/>
        <v>1.205673759</v>
      </c>
      <c r="H147" s="104">
        <f>average(H140:H146)</f>
        <v>31.66006737</v>
      </c>
      <c r="I147" s="261">
        <f>H147/G147</f>
        <v>26.25923235</v>
      </c>
      <c r="J147" s="108">
        <f>SUM(J140:J146)</f>
        <v>1553</v>
      </c>
      <c r="K147" s="109">
        <f t="shared" si="5"/>
        <v>0.1094655505</v>
      </c>
      <c r="L147" s="104">
        <f t="shared" ref="L147:N147" si="90">SUM(L140:L146)</f>
        <v>891.5</v>
      </c>
      <c r="M147" s="104">
        <f t="shared" si="90"/>
        <v>3290.74</v>
      </c>
      <c r="N147" s="262">
        <f t="shared" si="90"/>
        <v>108</v>
      </c>
      <c r="O147" s="108">
        <f>sum(O140:O146)</f>
        <v>201843</v>
      </c>
      <c r="P147" s="109">
        <f t="shared" si="6"/>
        <v>0.2709117098</v>
      </c>
      <c r="Q147" s="263">
        <f t="shared" si="7"/>
        <v>3.691239484</v>
      </c>
      <c r="R147" s="113">
        <f t="shared" si="8"/>
        <v>0.7429464183</v>
      </c>
      <c r="S147" s="103" t="str">
        <f>iferror((D147-#REF!)/D147,)</f>
        <v/>
      </c>
      <c r="T147" s="114" t="str">
        <f>iferror((F147-#REF!)/F147,)</f>
        <v/>
      </c>
      <c r="U147" s="9"/>
      <c r="V147" s="9"/>
      <c r="W147" s="9"/>
      <c r="X147" s="9"/>
      <c r="Y147" s="9"/>
      <c r="Z147" s="9"/>
    </row>
    <row r="148" hidden="1" outlineLevel="1">
      <c r="A148" s="36" t="str">
        <f t="shared" ref="A148:A154" si="91">iferror(if(B148&gt;0,month(B148)&amp;"-"&amp;year(B148),B148),)</f>
        <v>10-2024</v>
      </c>
      <c r="B148" s="37">
        <v>45592.0</v>
      </c>
      <c r="C148" s="38"/>
      <c r="D148" s="39">
        <v>702.73</v>
      </c>
      <c r="E148" s="40">
        <v>27.0</v>
      </c>
      <c r="F148" s="40">
        <v>23.0</v>
      </c>
      <c r="G148" s="41">
        <f t="shared" si="2"/>
        <v>1.173913043</v>
      </c>
      <c r="H148" s="39">
        <f t="shared" ref="H148:H154" si="92">D148/F148</f>
        <v>30.55347826</v>
      </c>
      <c r="I148" s="39">
        <f t="shared" ref="I148:I154" si="93">D148/E148</f>
        <v>26.02703704</v>
      </c>
      <c r="J148" s="42">
        <v>317.0</v>
      </c>
      <c r="K148" s="43">
        <f t="shared" si="5"/>
        <v>0.08517350158</v>
      </c>
      <c r="L148" s="39">
        <v>194.68</v>
      </c>
      <c r="M148" s="39">
        <v>438.83</v>
      </c>
      <c r="N148" s="40">
        <v>15.0</v>
      </c>
      <c r="O148" s="42">
        <v>52850.0</v>
      </c>
      <c r="P148" s="43">
        <f t="shared" si="6"/>
        <v>0.4436342091</v>
      </c>
      <c r="Q148" s="44">
        <f t="shared" si="7"/>
        <v>2.254109308</v>
      </c>
      <c r="R148" s="43">
        <f t="shared" si="8"/>
        <v>0.6244645881</v>
      </c>
      <c r="S148" s="45"/>
      <c r="T148" s="46"/>
      <c r="U148" s="9"/>
      <c r="V148" s="9"/>
      <c r="W148" s="9"/>
      <c r="X148" s="9"/>
      <c r="Y148" s="9"/>
      <c r="Z148" s="9"/>
    </row>
    <row r="149" hidden="1" outlineLevel="1">
      <c r="A149" s="47" t="str">
        <f t="shared" si="91"/>
        <v>10-2024</v>
      </c>
      <c r="B149" s="37">
        <v>45593.0</v>
      </c>
      <c r="C149" s="48"/>
      <c r="D149" s="49">
        <v>128.95</v>
      </c>
      <c r="E149" s="50">
        <v>5.0</v>
      </c>
      <c r="F149" s="50">
        <v>5.0</v>
      </c>
      <c r="G149" s="51">
        <f t="shared" si="2"/>
        <v>1</v>
      </c>
      <c r="H149" s="49">
        <f t="shared" si="92"/>
        <v>25.79</v>
      </c>
      <c r="I149" s="49">
        <f t="shared" si="93"/>
        <v>25.79</v>
      </c>
      <c r="J149" s="52">
        <v>188.0</v>
      </c>
      <c r="K149" s="53">
        <f t="shared" si="5"/>
        <v>0.02659574468</v>
      </c>
      <c r="L149" s="49">
        <v>100.24</v>
      </c>
      <c r="M149" s="54">
        <v>132.95</v>
      </c>
      <c r="N149" s="50">
        <v>5.0</v>
      </c>
      <c r="O149" s="52">
        <v>29533.0</v>
      </c>
      <c r="P149" s="53">
        <f t="shared" si="6"/>
        <v>0.753967657</v>
      </c>
      <c r="Q149" s="55">
        <f t="shared" si="7"/>
        <v>1.32631684</v>
      </c>
      <c r="R149" s="53">
        <f t="shared" si="8"/>
        <v>1.031019775</v>
      </c>
      <c r="S149" s="19"/>
      <c r="T149" s="28"/>
      <c r="U149" s="9"/>
      <c r="V149" s="9"/>
      <c r="W149" s="9"/>
      <c r="X149" s="9"/>
      <c r="Y149" s="9"/>
      <c r="Z149" s="9"/>
    </row>
    <row r="150" hidden="1" outlineLevel="1">
      <c r="A150" s="47" t="str">
        <f t="shared" si="91"/>
        <v>10-2024</v>
      </c>
      <c r="B150" s="37">
        <v>45594.0</v>
      </c>
      <c r="C150" s="48"/>
      <c r="D150" s="49">
        <v>388.85</v>
      </c>
      <c r="E150" s="50">
        <v>15.0</v>
      </c>
      <c r="F150" s="50">
        <v>12.0</v>
      </c>
      <c r="G150" s="51">
        <f t="shared" si="2"/>
        <v>1.25</v>
      </c>
      <c r="H150" s="49">
        <f t="shared" si="92"/>
        <v>32.40416667</v>
      </c>
      <c r="I150" s="49">
        <f t="shared" si="93"/>
        <v>25.92333333</v>
      </c>
      <c r="J150" s="52">
        <v>195.0</v>
      </c>
      <c r="K150" s="53">
        <f t="shared" si="5"/>
        <v>0.07692307692</v>
      </c>
      <c r="L150" s="39">
        <v>104.07</v>
      </c>
      <c r="M150" s="39">
        <v>259.9</v>
      </c>
      <c r="N150" s="40">
        <v>8.0</v>
      </c>
      <c r="O150" s="52">
        <v>25270.0</v>
      </c>
      <c r="P150" s="53">
        <f t="shared" si="6"/>
        <v>0.4004232397</v>
      </c>
      <c r="Q150" s="55">
        <f t="shared" si="7"/>
        <v>2.497357548</v>
      </c>
      <c r="R150" s="53">
        <f t="shared" si="8"/>
        <v>0.6683811238</v>
      </c>
      <c r="S150" s="19"/>
      <c r="T150" s="28"/>
      <c r="U150" s="9"/>
      <c r="V150" s="9"/>
      <c r="W150" s="9"/>
      <c r="X150" s="9"/>
      <c r="Y150" s="9"/>
      <c r="Z150" s="9"/>
    </row>
    <row r="151" hidden="1" outlineLevel="1">
      <c r="A151" s="47" t="str">
        <f t="shared" si="91"/>
        <v>10-2024</v>
      </c>
      <c r="B151" s="37">
        <v>45595.0</v>
      </c>
      <c r="C151" s="48"/>
      <c r="D151" s="49">
        <v>421.84</v>
      </c>
      <c r="E151" s="50">
        <v>16.0</v>
      </c>
      <c r="F151" s="50">
        <v>15.0</v>
      </c>
      <c r="G151" s="51">
        <f t="shared" si="2"/>
        <v>1.066666667</v>
      </c>
      <c r="H151" s="49">
        <f t="shared" si="92"/>
        <v>28.12266667</v>
      </c>
      <c r="I151" s="49">
        <f t="shared" si="93"/>
        <v>26.365</v>
      </c>
      <c r="J151" s="52">
        <v>176.0</v>
      </c>
      <c r="K151" s="53">
        <f t="shared" si="5"/>
        <v>0.09090909091</v>
      </c>
      <c r="L151" s="49">
        <v>95.93</v>
      </c>
      <c r="M151" s="49">
        <v>259.9</v>
      </c>
      <c r="N151" s="50">
        <v>10.0</v>
      </c>
      <c r="O151" s="52">
        <v>24832.0</v>
      </c>
      <c r="P151" s="53">
        <f t="shared" si="6"/>
        <v>0.3691035013</v>
      </c>
      <c r="Q151" s="55">
        <f t="shared" si="7"/>
        <v>2.709267174</v>
      </c>
      <c r="R151" s="53">
        <f t="shared" si="8"/>
        <v>0.6161103736</v>
      </c>
      <c r="S151" s="19"/>
      <c r="T151" s="28"/>
      <c r="U151" s="9"/>
      <c r="V151" s="9"/>
      <c r="W151" s="9"/>
      <c r="X151" s="9"/>
      <c r="Y151" s="9"/>
      <c r="Z151" s="9"/>
    </row>
    <row r="152" hidden="1" outlineLevel="1">
      <c r="A152" s="47" t="str">
        <f t="shared" si="91"/>
        <v>10-2024</v>
      </c>
      <c r="B152" s="37">
        <v>45596.0</v>
      </c>
      <c r="C152" s="48"/>
      <c r="D152" s="49">
        <v>488.81</v>
      </c>
      <c r="E152" s="50">
        <v>19.0</v>
      </c>
      <c r="F152" s="50">
        <v>17.0</v>
      </c>
      <c r="G152" s="51">
        <f t="shared" si="2"/>
        <v>1.117647059</v>
      </c>
      <c r="H152" s="49">
        <f t="shared" si="92"/>
        <v>28.75352941</v>
      </c>
      <c r="I152" s="49">
        <f t="shared" si="93"/>
        <v>25.72684211</v>
      </c>
      <c r="J152" s="52">
        <v>166.0</v>
      </c>
      <c r="K152" s="53">
        <f t="shared" si="5"/>
        <v>0.1144578313</v>
      </c>
      <c r="L152" s="49">
        <v>78.07</v>
      </c>
      <c r="M152" s="49">
        <v>311.88</v>
      </c>
      <c r="N152" s="50">
        <v>11.0</v>
      </c>
      <c r="O152" s="52">
        <v>20164.0</v>
      </c>
      <c r="P152" s="53">
        <f t="shared" si="6"/>
        <v>0.2503206361</v>
      </c>
      <c r="Q152" s="55">
        <f t="shared" si="7"/>
        <v>3.994876393</v>
      </c>
      <c r="R152" s="53">
        <f t="shared" si="8"/>
        <v>0.63803932</v>
      </c>
      <c r="S152" s="19"/>
      <c r="T152" s="28"/>
      <c r="U152" s="9"/>
      <c r="V152" s="9"/>
      <c r="W152" s="9"/>
      <c r="X152" s="9"/>
      <c r="Y152" s="9"/>
      <c r="Z152" s="9"/>
    </row>
    <row r="153" hidden="1" outlineLevel="1">
      <c r="A153" s="47" t="str">
        <f t="shared" si="91"/>
        <v>11-2024</v>
      </c>
      <c r="B153" s="37">
        <v>45597.0</v>
      </c>
      <c r="C153" s="48"/>
      <c r="D153" s="49">
        <v>284.89</v>
      </c>
      <c r="E153" s="50">
        <v>11.0</v>
      </c>
      <c r="F153" s="50">
        <v>11.0</v>
      </c>
      <c r="G153" s="51">
        <f t="shared" si="2"/>
        <v>1</v>
      </c>
      <c r="H153" s="49">
        <f t="shared" si="92"/>
        <v>25.89909091</v>
      </c>
      <c r="I153" s="49">
        <f t="shared" si="93"/>
        <v>25.89909091</v>
      </c>
      <c r="J153" s="52">
        <v>185.0</v>
      </c>
      <c r="K153" s="53">
        <f t="shared" si="5"/>
        <v>0.05945945946</v>
      </c>
      <c r="L153" s="49">
        <v>90.45</v>
      </c>
      <c r="M153" s="49">
        <v>260.9</v>
      </c>
      <c r="N153" s="50">
        <v>10.0</v>
      </c>
      <c r="O153" s="52">
        <v>24366.0</v>
      </c>
      <c r="P153" s="53">
        <f t="shared" si="6"/>
        <v>0.3466845535</v>
      </c>
      <c r="Q153" s="55">
        <f t="shared" si="7"/>
        <v>2.884466556</v>
      </c>
      <c r="R153" s="53">
        <f t="shared" si="8"/>
        <v>0.9157920601</v>
      </c>
      <c r="S153" s="19"/>
      <c r="T153" s="28"/>
      <c r="U153" s="9"/>
      <c r="V153" s="9"/>
      <c r="W153" s="9"/>
      <c r="X153" s="9"/>
      <c r="Y153" s="9"/>
      <c r="Z153" s="9"/>
    </row>
    <row r="154" hidden="1" outlineLevel="1">
      <c r="A154" s="47" t="str">
        <f t="shared" si="91"/>
        <v>11-2024</v>
      </c>
      <c r="B154" s="37">
        <v>45598.0</v>
      </c>
      <c r="C154" s="48"/>
      <c r="D154" s="49">
        <v>594.77</v>
      </c>
      <c r="E154" s="50">
        <v>23.0</v>
      </c>
      <c r="F154" s="50">
        <v>20.0</v>
      </c>
      <c r="G154" s="51">
        <f t="shared" si="2"/>
        <v>1.15</v>
      </c>
      <c r="H154" s="49">
        <f t="shared" si="92"/>
        <v>29.7385</v>
      </c>
      <c r="I154" s="49">
        <f t="shared" si="93"/>
        <v>25.85956522</v>
      </c>
      <c r="J154" s="52">
        <v>228.0</v>
      </c>
      <c r="K154" s="53">
        <f t="shared" si="5"/>
        <v>0.100877193</v>
      </c>
      <c r="L154" s="49">
        <v>139.49</v>
      </c>
      <c r="M154" s="49">
        <v>463.82</v>
      </c>
      <c r="N154" s="50">
        <v>15.0</v>
      </c>
      <c r="O154" s="52">
        <v>31470.0</v>
      </c>
      <c r="P154" s="53">
        <f t="shared" si="6"/>
        <v>0.300741667</v>
      </c>
      <c r="Q154" s="55">
        <f t="shared" si="7"/>
        <v>3.325112911</v>
      </c>
      <c r="R154" s="53">
        <f t="shared" si="8"/>
        <v>0.779830859</v>
      </c>
      <c r="S154" s="19"/>
      <c r="T154" s="28"/>
      <c r="U154" s="9"/>
      <c r="V154" s="9"/>
      <c r="W154" s="9"/>
      <c r="X154" s="9"/>
      <c r="Y154" s="9"/>
      <c r="Z154" s="9"/>
    </row>
    <row r="155" collapsed="1">
      <c r="A155" s="101" t="s">
        <v>137</v>
      </c>
      <c r="B155" s="102"/>
      <c r="C155" s="103"/>
      <c r="D155" s="104">
        <f t="shared" ref="D155:F155" si="94">SUM(D148:D154)</f>
        <v>3010.84</v>
      </c>
      <c r="E155" s="105">
        <f t="shared" si="94"/>
        <v>116</v>
      </c>
      <c r="F155" s="105">
        <f t="shared" si="94"/>
        <v>103</v>
      </c>
      <c r="G155" s="260">
        <f t="shared" si="2"/>
        <v>1.126213592</v>
      </c>
      <c r="H155" s="104">
        <f>average(H148:H154)</f>
        <v>28.75163313</v>
      </c>
      <c r="I155" s="261">
        <f>H155/G155</f>
        <v>25.52946735</v>
      </c>
      <c r="J155" s="108">
        <f>SUM(J148:J154)</f>
        <v>1455</v>
      </c>
      <c r="K155" s="109">
        <f t="shared" si="5"/>
        <v>0.07972508591</v>
      </c>
      <c r="L155" s="104">
        <f t="shared" ref="L155:N155" si="95">SUM(L148:L154)</f>
        <v>802.93</v>
      </c>
      <c r="M155" s="104">
        <f t="shared" si="95"/>
        <v>2128.18</v>
      </c>
      <c r="N155" s="262">
        <f t="shared" si="95"/>
        <v>74</v>
      </c>
      <c r="O155" s="108">
        <f>sum(O148:O154)</f>
        <v>208485</v>
      </c>
      <c r="P155" s="109">
        <f t="shared" si="6"/>
        <v>0.3772848161</v>
      </c>
      <c r="Q155" s="263">
        <f t="shared" si="7"/>
        <v>2.65051748</v>
      </c>
      <c r="R155" s="113">
        <f t="shared" si="8"/>
        <v>0.7068392874</v>
      </c>
      <c r="S155" s="103" t="str">
        <f>iferror((D155-#REF!)/D155,)</f>
        <v/>
      </c>
      <c r="T155" s="114" t="str">
        <f>iferror((F155-#REF!)/F155,)</f>
        <v/>
      </c>
      <c r="U155" s="9"/>
      <c r="V155" s="9"/>
      <c r="W155" s="9"/>
      <c r="X155" s="9"/>
      <c r="Y155" s="9"/>
      <c r="Z155" s="9"/>
    </row>
    <row r="156" hidden="1" outlineLevel="1">
      <c r="A156" s="36" t="str">
        <f t="shared" ref="A156:A162" si="96">iferror(if(B156&gt;0,month(B156)&amp;"-"&amp;year(B156),B156),)</f>
        <v>11-2024</v>
      </c>
      <c r="B156" s="37">
        <v>45599.0</v>
      </c>
      <c r="C156" s="38"/>
      <c r="D156" s="39">
        <v>550.79</v>
      </c>
      <c r="E156" s="40">
        <v>21.0</v>
      </c>
      <c r="F156" s="40">
        <v>19.0</v>
      </c>
      <c r="G156" s="41">
        <f t="shared" si="2"/>
        <v>1.105263158</v>
      </c>
      <c r="H156" s="39">
        <f t="shared" ref="H156:H162" si="97">D156/F156</f>
        <v>28.98894737</v>
      </c>
      <c r="I156" s="39">
        <f t="shared" ref="I156:I162" si="98">D156/E156</f>
        <v>26.22809524</v>
      </c>
      <c r="J156" s="42">
        <v>259.0</v>
      </c>
      <c r="K156" s="43">
        <f t="shared" si="5"/>
        <v>0.08108108108</v>
      </c>
      <c r="L156" s="39">
        <v>140.55</v>
      </c>
      <c r="M156" s="39">
        <v>548.79</v>
      </c>
      <c r="N156" s="40">
        <v>18.0</v>
      </c>
      <c r="O156" s="42">
        <v>40413.0</v>
      </c>
      <c r="P156" s="43">
        <f t="shared" si="6"/>
        <v>0.2561088941</v>
      </c>
      <c r="Q156" s="44">
        <f t="shared" si="7"/>
        <v>3.904589114</v>
      </c>
      <c r="R156" s="43">
        <f t="shared" si="8"/>
        <v>0.996368852</v>
      </c>
      <c r="S156" s="45"/>
      <c r="T156" s="46"/>
      <c r="U156" s="9"/>
      <c r="V156" s="9"/>
      <c r="W156" s="9"/>
      <c r="X156" s="9"/>
      <c r="Y156" s="9"/>
      <c r="Z156" s="9"/>
    </row>
    <row r="157" hidden="1" outlineLevel="1">
      <c r="A157" s="47" t="str">
        <f t="shared" si="96"/>
        <v>11-2024</v>
      </c>
      <c r="B157" s="37">
        <v>45600.0</v>
      </c>
      <c r="C157" s="48"/>
      <c r="D157" s="49">
        <v>922.65</v>
      </c>
      <c r="E157" s="50">
        <v>36.0</v>
      </c>
      <c r="F157" s="50">
        <v>27.0</v>
      </c>
      <c r="G157" s="51">
        <f t="shared" si="2"/>
        <v>1.333333333</v>
      </c>
      <c r="H157" s="49">
        <f t="shared" si="97"/>
        <v>34.17222222</v>
      </c>
      <c r="I157" s="49">
        <f t="shared" si="98"/>
        <v>25.62916667</v>
      </c>
      <c r="J157" s="52">
        <v>204.0</v>
      </c>
      <c r="K157" s="53">
        <f t="shared" si="5"/>
        <v>0.1764705882</v>
      </c>
      <c r="L157" s="49">
        <v>131.14</v>
      </c>
      <c r="M157" s="54">
        <v>679.74</v>
      </c>
      <c r="N157" s="50">
        <v>20.0</v>
      </c>
      <c r="O157" s="52">
        <v>29624.0</v>
      </c>
      <c r="P157" s="53">
        <f t="shared" si="6"/>
        <v>0.1929267073</v>
      </c>
      <c r="Q157" s="55">
        <f t="shared" si="7"/>
        <v>5.183315541</v>
      </c>
      <c r="R157" s="53">
        <f t="shared" si="8"/>
        <v>0.7367257357</v>
      </c>
      <c r="S157" s="19"/>
      <c r="T157" s="28"/>
      <c r="U157" s="9"/>
      <c r="V157" s="9"/>
      <c r="W157" s="9"/>
      <c r="X157" s="9"/>
      <c r="Y157" s="9"/>
      <c r="Z157" s="9"/>
    </row>
    <row r="158" hidden="1" outlineLevel="1">
      <c r="A158" s="47" t="str">
        <f t="shared" si="96"/>
        <v>11-2024</v>
      </c>
      <c r="B158" s="37">
        <v>45601.0</v>
      </c>
      <c r="C158" s="48"/>
      <c r="D158" s="49">
        <v>585.78</v>
      </c>
      <c r="E158" s="50">
        <v>22.0</v>
      </c>
      <c r="F158" s="50">
        <v>16.0</v>
      </c>
      <c r="G158" s="51">
        <f t="shared" si="2"/>
        <v>1.375</v>
      </c>
      <c r="H158" s="49">
        <f t="shared" si="97"/>
        <v>36.61125</v>
      </c>
      <c r="I158" s="49">
        <f t="shared" si="98"/>
        <v>26.62636364</v>
      </c>
      <c r="J158" s="52">
        <v>157.0</v>
      </c>
      <c r="K158" s="53">
        <f t="shared" si="5"/>
        <v>0.1401273885</v>
      </c>
      <c r="L158" s="39">
        <v>93.96</v>
      </c>
      <c r="M158" s="39">
        <v>369.86</v>
      </c>
      <c r="N158" s="40">
        <v>10.0</v>
      </c>
      <c r="O158" s="52">
        <v>23835.0</v>
      </c>
      <c r="P158" s="53">
        <f t="shared" si="6"/>
        <v>0.25404207</v>
      </c>
      <c r="Q158" s="55">
        <f t="shared" si="7"/>
        <v>3.936355896</v>
      </c>
      <c r="R158" s="53">
        <f t="shared" si="8"/>
        <v>0.631397453</v>
      </c>
      <c r="S158" s="19"/>
      <c r="T158" s="28"/>
      <c r="U158" s="9"/>
      <c r="V158" s="9"/>
      <c r="W158" s="9"/>
      <c r="X158" s="9"/>
      <c r="Y158" s="9"/>
      <c r="Z158" s="9"/>
    </row>
    <row r="159" hidden="1" outlineLevel="1">
      <c r="A159" s="47" t="str">
        <f t="shared" si="96"/>
        <v>11-2024</v>
      </c>
      <c r="B159" s="37">
        <v>45602.0</v>
      </c>
      <c r="C159" s="48"/>
      <c r="D159" s="49">
        <v>232.91</v>
      </c>
      <c r="E159" s="50">
        <v>9.0</v>
      </c>
      <c r="F159" s="50">
        <v>9.0</v>
      </c>
      <c r="G159" s="51">
        <f t="shared" si="2"/>
        <v>1</v>
      </c>
      <c r="H159" s="49">
        <f t="shared" si="97"/>
        <v>25.87888889</v>
      </c>
      <c r="I159" s="49">
        <f t="shared" si="98"/>
        <v>25.87888889</v>
      </c>
      <c r="J159" s="52">
        <v>164.0</v>
      </c>
      <c r="K159" s="53">
        <f t="shared" si="5"/>
        <v>0.05487804878</v>
      </c>
      <c r="L159" s="49">
        <v>90.77</v>
      </c>
      <c r="M159" s="49">
        <v>74.97</v>
      </c>
      <c r="N159" s="50">
        <v>3.0</v>
      </c>
      <c r="O159" s="52">
        <v>23888.0</v>
      </c>
      <c r="P159" s="53">
        <f t="shared" si="6"/>
        <v>1.210750967</v>
      </c>
      <c r="Q159" s="55">
        <f t="shared" si="7"/>
        <v>0.8259336785</v>
      </c>
      <c r="R159" s="53">
        <f t="shared" si="8"/>
        <v>0.3218839895</v>
      </c>
      <c r="S159" s="19"/>
      <c r="T159" s="28"/>
      <c r="U159" s="9"/>
      <c r="V159" s="9"/>
      <c r="W159" s="9"/>
      <c r="X159" s="9"/>
      <c r="Y159" s="9"/>
      <c r="Z159" s="9"/>
    </row>
    <row r="160" hidden="1" outlineLevel="1">
      <c r="A160" s="47" t="str">
        <f t="shared" si="96"/>
        <v>11-2024</v>
      </c>
      <c r="B160" s="37">
        <v>45603.0</v>
      </c>
      <c r="C160" s="48"/>
      <c r="D160" s="49">
        <v>438.83</v>
      </c>
      <c r="E160" s="50">
        <v>17.0</v>
      </c>
      <c r="F160" s="50">
        <v>15.0</v>
      </c>
      <c r="G160" s="51">
        <f t="shared" si="2"/>
        <v>1.133333333</v>
      </c>
      <c r="H160" s="49">
        <f t="shared" si="97"/>
        <v>29.25533333</v>
      </c>
      <c r="I160" s="49">
        <f t="shared" si="98"/>
        <v>25.81352941</v>
      </c>
      <c r="J160" s="52">
        <v>193.0</v>
      </c>
      <c r="K160" s="53">
        <f t="shared" si="5"/>
        <v>0.08808290155</v>
      </c>
      <c r="L160" s="49">
        <v>107.17</v>
      </c>
      <c r="M160" s="49">
        <v>330.87</v>
      </c>
      <c r="N160" s="50">
        <v>11.0</v>
      </c>
      <c r="O160" s="52">
        <v>31889.0</v>
      </c>
      <c r="P160" s="53">
        <f t="shared" si="6"/>
        <v>0.323903648</v>
      </c>
      <c r="Q160" s="55">
        <f t="shared" si="7"/>
        <v>3.087337874</v>
      </c>
      <c r="R160" s="53">
        <f t="shared" si="8"/>
        <v>0.7539821799</v>
      </c>
      <c r="S160" s="19"/>
      <c r="T160" s="28"/>
      <c r="U160" s="9"/>
      <c r="V160" s="9"/>
      <c r="W160" s="9"/>
      <c r="X160" s="9"/>
      <c r="Y160" s="9"/>
      <c r="Z160" s="9"/>
    </row>
    <row r="161" hidden="1" outlineLevel="1">
      <c r="A161" s="47" t="str">
        <f t="shared" si="96"/>
        <v>11-2024</v>
      </c>
      <c r="B161" s="37">
        <v>45604.0</v>
      </c>
      <c r="C161" s="48"/>
      <c r="D161" s="49">
        <v>315.88</v>
      </c>
      <c r="E161" s="50">
        <v>12.0</v>
      </c>
      <c r="F161" s="50">
        <v>12.0</v>
      </c>
      <c r="G161" s="51">
        <f t="shared" si="2"/>
        <v>1</v>
      </c>
      <c r="H161" s="49">
        <f t="shared" si="97"/>
        <v>26.32333333</v>
      </c>
      <c r="I161" s="49">
        <f t="shared" si="98"/>
        <v>26.32333333</v>
      </c>
      <c r="J161" s="52">
        <v>214.0</v>
      </c>
      <c r="K161" s="53">
        <f t="shared" si="5"/>
        <v>0.05607476636</v>
      </c>
      <c r="L161" s="49">
        <v>129.13</v>
      </c>
      <c r="M161" s="49">
        <v>259.9</v>
      </c>
      <c r="N161" s="50">
        <v>10.0</v>
      </c>
      <c r="O161" s="52">
        <v>31206.0</v>
      </c>
      <c r="P161" s="53">
        <f t="shared" si="6"/>
        <v>0.4968449404</v>
      </c>
      <c r="Q161" s="55">
        <f t="shared" si="7"/>
        <v>2.012700379</v>
      </c>
      <c r="R161" s="53">
        <f t="shared" si="8"/>
        <v>0.8227808028</v>
      </c>
      <c r="S161" s="19"/>
      <c r="T161" s="28"/>
      <c r="U161" s="9"/>
      <c r="V161" s="9"/>
      <c r="W161" s="9"/>
      <c r="X161" s="9"/>
      <c r="Y161" s="9"/>
      <c r="Z161" s="9"/>
    </row>
    <row r="162" hidden="1" outlineLevel="1">
      <c r="A162" s="47" t="str">
        <f t="shared" si="96"/>
        <v>11-2024</v>
      </c>
      <c r="B162" s="37">
        <v>45605.0</v>
      </c>
      <c r="C162" s="48"/>
      <c r="D162" s="49">
        <v>301.88</v>
      </c>
      <c r="E162" s="50">
        <v>12.0</v>
      </c>
      <c r="F162" s="50">
        <v>12.0</v>
      </c>
      <c r="G162" s="51">
        <f t="shared" si="2"/>
        <v>1</v>
      </c>
      <c r="H162" s="49">
        <f t="shared" si="97"/>
        <v>25.15666667</v>
      </c>
      <c r="I162" s="49">
        <f t="shared" si="98"/>
        <v>25.15666667</v>
      </c>
      <c r="J162" s="52">
        <v>246.0</v>
      </c>
      <c r="K162" s="53">
        <f t="shared" si="5"/>
        <v>0.0487804878</v>
      </c>
      <c r="L162" s="49">
        <v>138.05</v>
      </c>
      <c r="M162" s="49">
        <v>153.94</v>
      </c>
      <c r="N162" s="50">
        <v>6.0</v>
      </c>
      <c r="O162" s="52">
        <v>40142.0</v>
      </c>
      <c r="P162" s="53">
        <f t="shared" si="6"/>
        <v>0.8967779654</v>
      </c>
      <c r="Q162" s="55">
        <f t="shared" si="7"/>
        <v>1.115103223</v>
      </c>
      <c r="R162" s="53">
        <f t="shared" si="8"/>
        <v>0.5099377236</v>
      </c>
      <c r="S162" s="19"/>
      <c r="T162" s="28"/>
      <c r="U162" s="9"/>
      <c r="V162" s="9"/>
      <c r="W162" s="9"/>
      <c r="X162" s="9"/>
      <c r="Y162" s="9"/>
      <c r="Z162" s="9"/>
    </row>
    <row r="163" collapsed="1">
      <c r="A163" s="101" t="s">
        <v>138</v>
      </c>
      <c r="B163" s="102"/>
      <c r="C163" s="103"/>
      <c r="D163" s="104">
        <f t="shared" ref="D163:F163" si="99">SUM(D156:D162)</f>
        <v>3348.72</v>
      </c>
      <c r="E163" s="105">
        <f t="shared" si="99"/>
        <v>129</v>
      </c>
      <c r="F163" s="105">
        <f t="shared" si="99"/>
        <v>110</v>
      </c>
      <c r="G163" s="260">
        <f t="shared" si="2"/>
        <v>1.172727273</v>
      </c>
      <c r="H163" s="104">
        <f>average(H156:H162)</f>
        <v>29.48380597</v>
      </c>
      <c r="I163" s="261">
        <f>H163/G163</f>
        <v>25.1412299</v>
      </c>
      <c r="J163" s="108">
        <f>SUM(J156:J162)</f>
        <v>1437</v>
      </c>
      <c r="K163" s="109">
        <f t="shared" si="5"/>
        <v>0.08977035491</v>
      </c>
      <c r="L163" s="104">
        <f t="shared" ref="L163:N163" si="100">SUM(L156:L162)</f>
        <v>830.77</v>
      </c>
      <c r="M163" s="104">
        <f t="shared" si="100"/>
        <v>2418.07</v>
      </c>
      <c r="N163" s="262">
        <f t="shared" si="100"/>
        <v>78</v>
      </c>
      <c r="O163" s="108">
        <f>sum(O156:O162)</f>
        <v>220997</v>
      </c>
      <c r="P163" s="109">
        <f t="shared" si="6"/>
        <v>0.3435673905</v>
      </c>
      <c r="Q163" s="263">
        <f t="shared" si="7"/>
        <v>2.91063712</v>
      </c>
      <c r="R163" s="113">
        <f t="shared" si="8"/>
        <v>0.7220878425</v>
      </c>
      <c r="S163" s="103" t="str">
        <f>iferror((D163-#REF!)/D163,)</f>
        <v/>
      </c>
      <c r="T163" s="114" t="str">
        <f>iferror((F163-#REF!)/F163,)</f>
        <v/>
      </c>
      <c r="U163" s="9"/>
      <c r="V163" s="9"/>
      <c r="W163" s="9"/>
      <c r="X163" s="9"/>
      <c r="Y163" s="9"/>
      <c r="Z163" s="9"/>
    </row>
    <row r="164" hidden="1" outlineLevel="1">
      <c r="A164" s="36" t="str">
        <f t="shared" ref="A164:A170" si="101">iferror(if(B164&gt;0,month(B164)&amp;"-"&amp;year(B164),B164),)</f>
        <v>11-2024</v>
      </c>
      <c r="B164" s="37">
        <v>45606.0</v>
      </c>
      <c r="C164" s="38"/>
      <c r="D164" s="39">
        <v>353.86</v>
      </c>
      <c r="E164" s="40">
        <v>14.0</v>
      </c>
      <c r="F164" s="40">
        <v>14.0</v>
      </c>
      <c r="G164" s="41">
        <f t="shared" si="2"/>
        <v>1</v>
      </c>
      <c r="H164" s="39">
        <f t="shared" ref="H164:H170" si="102">D164/F164</f>
        <v>25.27571429</v>
      </c>
      <c r="I164" s="39">
        <f t="shared" ref="I164:I170" si="103">D164/E164</f>
        <v>25.27571429</v>
      </c>
      <c r="J164" s="42">
        <v>343.0</v>
      </c>
      <c r="K164" s="43">
        <f t="shared" si="5"/>
        <v>0.04081632653</v>
      </c>
      <c r="L164" s="39">
        <v>195.41</v>
      </c>
      <c r="M164" s="39">
        <v>336.87</v>
      </c>
      <c r="N164" s="40">
        <v>13.0</v>
      </c>
      <c r="O164" s="42">
        <v>50661.0</v>
      </c>
      <c r="P164" s="43">
        <f t="shared" si="6"/>
        <v>0.5800754</v>
      </c>
      <c r="Q164" s="44">
        <f t="shared" si="7"/>
        <v>1.723913822</v>
      </c>
      <c r="R164" s="43">
        <f t="shared" si="8"/>
        <v>0.9519866614</v>
      </c>
      <c r="S164" s="45"/>
      <c r="T164" s="46"/>
      <c r="U164" s="9"/>
      <c r="V164" s="9"/>
      <c r="W164" s="9"/>
      <c r="X164" s="9"/>
      <c r="Y164" s="9"/>
      <c r="Z164" s="9"/>
    </row>
    <row r="165" hidden="1" outlineLevel="1">
      <c r="A165" s="47" t="str">
        <f t="shared" si="101"/>
        <v>11-2024</v>
      </c>
      <c r="B165" s="37">
        <v>45607.0</v>
      </c>
      <c r="C165" s="48"/>
      <c r="D165" s="49">
        <v>542.79</v>
      </c>
      <c r="E165" s="50">
        <v>21.0</v>
      </c>
      <c r="F165" s="50">
        <v>18.0</v>
      </c>
      <c r="G165" s="51">
        <f t="shared" si="2"/>
        <v>1.166666667</v>
      </c>
      <c r="H165" s="49">
        <f t="shared" si="102"/>
        <v>30.155</v>
      </c>
      <c r="I165" s="49">
        <f t="shared" si="103"/>
        <v>25.84714286</v>
      </c>
      <c r="J165" s="52">
        <v>301.0</v>
      </c>
      <c r="K165" s="53">
        <f t="shared" si="5"/>
        <v>0.06976744186</v>
      </c>
      <c r="L165" s="49">
        <v>175.23</v>
      </c>
      <c r="M165" s="54">
        <v>407.84</v>
      </c>
      <c r="N165" s="50">
        <v>14.0</v>
      </c>
      <c r="O165" s="52">
        <v>45962.0</v>
      </c>
      <c r="P165" s="53">
        <f t="shared" si="6"/>
        <v>0.4296537858</v>
      </c>
      <c r="Q165" s="55">
        <f t="shared" si="7"/>
        <v>2.327455344</v>
      </c>
      <c r="R165" s="53">
        <f t="shared" si="8"/>
        <v>0.751377144</v>
      </c>
      <c r="S165" s="19"/>
      <c r="T165" s="28"/>
      <c r="U165" s="9"/>
      <c r="V165" s="9"/>
      <c r="W165" s="9"/>
      <c r="X165" s="9"/>
      <c r="Y165" s="9"/>
      <c r="Z165" s="9"/>
    </row>
    <row r="166" hidden="1" outlineLevel="1">
      <c r="A166" s="47" t="str">
        <f t="shared" si="101"/>
        <v>11-2024</v>
      </c>
      <c r="B166" s="37">
        <v>45608.0</v>
      </c>
      <c r="C166" s="48"/>
      <c r="D166" s="49">
        <v>434.83</v>
      </c>
      <c r="E166" s="50">
        <v>17.0</v>
      </c>
      <c r="F166" s="50">
        <v>16.0</v>
      </c>
      <c r="G166" s="51">
        <f t="shared" si="2"/>
        <v>1.0625</v>
      </c>
      <c r="H166" s="49">
        <f t="shared" si="102"/>
        <v>27.176875</v>
      </c>
      <c r="I166" s="49">
        <f t="shared" si="103"/>
        <v>25.57823529</v>
      </c>
      <c r="J166" s="52">
        <v>203.0</v>
      </c>
      <c r="K166" s="53">
        <f t="shared" si="5"/>
        <v>0.08374384236</v>
      </c>
      <c r="L166" s="39">
        <v>110.67</v>
      </c>
      <c r="M166" s="39">
        <v>382.85</v>
      </c>
      <c r="N166" s="40">
        <v>14.0</v>
      </c>
      <c r="O166" s="52">
        <v>29975.0</v>
      </c>
      <c r="P166" s="53">
        <f t="shared" si="6"/>
        <v>0.2890688259</v>
      </c>
      <c r="Q166" s="55">
        <f t="shared" si="7"/>
        <v>3.459383754</v>
      </c>
      <c r="R166" s="53">
        <f t="shared" si="8"/>
        <v>0.88045903</v>
      </c>
      <c r="S166" s="19"/>
      <c r="T166" s="28"/>
      <c r="U166" s="9"/>
      <c r="V166" s="9"/>
      <c r="W166" s="9"/>
      <c r="X166" s="9"/>
      <c r="Y166" s="9"/>
      <c r="Z166" s="9"/>
    </row>
    <row r="167" hidden="1" outlineLevel="1">
      <c r="A167" s="47" t="str">
        <f t="shared" si="101"/>
        <v>11-2024</v>
      </c>
      <c r="B167" s="37">
        <v>45609.0</v>
      </c>
      <c r="C167" s="48"/>
      <c r="D167" s="49">
        <v>469.82</v>
      </c>
      <c r="E167" s="50">
        <v>18.0</v>
      </c>
      <c r="F167" s="50">
        <v>17.0</v>
      </c>
      <c r="G167" s="51">
        <f t="shared" si="2"/>
        <v>1.058823529</v>
      </c>
      <c r="H167" s="49">
        <f t="shared" si="102"/>
        <v>27.63647059</v>
      </c>
      <c r="I167" s="49">
        <f t="shared" si="103"/>
        <v>26.10111111</v>
      </c>
      <c r="J167" s="52">
        <v>195.0</v>
      </c>
      <c r="K167" s="53">
        <f t="shared" si="5"/>
        <v>0.09230769231</v>
      </c>
      <c r="L167" s="49">
        <v>121.69</v>
      </c>
      <c r="M167" s="49">
        <v>442.83</v>
      </c>
      <c r="N167" s="50">
        <v>15.0</v>
      </c>
      <c r="O167" s="52">
        <v>30006.0</v>
      </c>
      <c r="P167" s="53">
        <f t="shared" si="6"/>
        <v>0.2748007136</v>
      </c>
      <c r="Q167" s="55">
        <f t="shared" si="7"/>
        <v>3.63900074</v>
      </c>
      <c r="R167" s="53">
        <f t="shared" si="8"/>
        <v>0.9425524669</v>
      </c>
      <c r="S167" s="19"/>
      <c r="T167" s="28"/>
      <c r="U167" s="9"/>
      <c r="V167" s="9"/>
      <c r="W167" s="9"/>
      <c r="X167" s="9"/>
      <c r="Y167" s="9"/>
      <c r="Z167" s="9"/>
    </row>
    <row r="168" hidden="1" outlineLevel="1">
      <c r="A168" s="47" t="str">
        <f t="shared" si="101"/>
        <v>11-2024</v>
      </c>
      <c r="B168" s="37">
        <v>45610.0</v>
      </c>
      <c r="C168" s="48"/>
      <c r="D168" s="49">
        <v>494.81</v>
      </c>
      <c r="E168" s="50">
        <v>19.0</v>
      </c>
      <c r="F168" s="50">
        <v>15.0</v>
      </c>
      <c r="G168" s="51">
        <f t="shared" si="2"/>
        <v>1.266666667</v>
      </c>
      <c r="H168" s="49">
        <f t="shared" si="102"/>
        <v>32.98733333</v>
      </c>
      <c r="I168" s="49">
        <f t="shared" si="103"/>
        <v>26.04263158</v>
      </c>
      <c r="J168" s="52">
        <v>182.0</v>
      </c>
      <c r="K168" s="53">
        <f t="shared" si="5"/>
        <v>0.1043956044</v>
      </c>
      <c r="L168" s="49">
        <v>97.57</v>
      </c>
      <c r="M168" s="49">
        <v>334.87</v>
      </c>
      <c r="N168" s="50">
        <v>12.0</v>
      </c>
      <c r="O168" s="52">
        <v>30959.0</v>
      </c>
      <c r="P168" s="53">
        <f t="shared" si="6"/>
        <v>0.2913667991</v>
      </c>
      <c r="Q168" s="55">
        <f t="shared" si="7"/>
        <v>3.432100031</v>
      </c>
      <c r="R168" s="53">
        <f t="shared" si="8"/>
        <v>0.6767648188</v>
      </c>
      <c r="S168" s="19"/>
      <c r="T168" s="28"/>
      <c r="U168" s="9"/>
      <c r="V168" s="9"/>
      <c r="W168" s="9"/>
      <c r="X168" s="9"/>
      <c r="Y168" s="9"/>
      <c r="Z168" s="9"/>
    </row>
    <row r="169" hidden="1" outlineLevel="1">
      <c r="A169" s="47" t="str">
        <f t="shared" si="101"/>
        <v>11-2024</v>
      </c>
      <c r="B169" s="37">
        <v>45611.0</v>
      </c>
      <c r="C169" s="48"/>
      <c r="D169" s="49">
        <v>351.86</v>
      </c>
      <c r="E169" s="50">
        <v>14.0</v>
      </c>
      <c r="F169" s="50">
        <v>12.0</v>
      </c>
      <c r="G169" s="51">
        <f t="shared" si="2"/>
        <v>1.166666667</v>
      </c>
      <c r="H169" s="49">
        <f t="shared" si="102"/>
        <v>29.32166667</v>
      </c>
      <c r="I169" s="49">
        <f t="shared" si="103"/>
        <v>25.13285714</v>
      </c>
      <c r="J169" s="52">
        <v>156.0</v>
      </c>
      <c r="K169" s="53">
        <f t="shared" si="5"/>
        <v>0.08974358974</v>
      </c>
      <c r="L169" s="49">
        <v>84.01</v>
      </c>
      <c r="M169" s="49">
        <v>232.91</v>
      </c>
      <c r="N169" s="50">
        <v>8.0</v>
      </c>
      <c r="O169" s="52">
        <v>27269.0</v>
      </c>
      <c r="P169" s="53">
        <f t="shared" si="6"/>
        <v>0.360697265</v>
      </c>
      <c r="Q169" s="55">
        <f t="shared" si="7"/>
        <v>2.772408047</v>
      </c>
      <c r="R169" s="53">
        <f t="shared" si="8"/>
        <v>0.6619394077</v>
      </c>
      <c r="S169" s="19"/>
      <c r="T169" s="28"/>
      <c r="U169" s="9"/>
      <c r="V169" s="9"/>
      <c r="W169" s="9"/>
      <c r="X169" s="9"/>
      <c r="Y169" s="9"/>
      <c r="Z169" s="9"/>
    </row>
    <row r="170" hidden="1" outlineLevel="1">
      <c r="A170" s="47" t="str">
        <f t="shared" si="101"/>
        <v>11-2024</v>
      </c>
      <c r="B170" s="37">
        <v>45612.0</v>
      </c>
      <c r="C170" s="48"/>
      <c r="D170" s="49">
        <v>529.8</v>
      </c>
      <c r="E170" s="50">
        <v>20.0</v>
      </c>
      <c r="F170" s="50">
        <v>17.0</v>
      </c>
      <c r="G170" s="51">
        <f t="shared" si="2"/>
        <v>1.176470588</v>
      </c>
      <c r="H170" s="49">
        <f t="shared" si="102"/>
        <v>31.16470588</v>
      </c>
      <c r="I170" s="49">
        <f t="shared" si="103"/>
        <v>26.49</v>
      </c>
      <c r="J170" s="52">
        <v>222.0</v>
      </c>
      <c r="K170" s="53">
        <f t="shared" si="5"/>
        <v>0.09009009009</v>
      </c>
      <c r="L170" s="49">
        <v>130.27</v>
      </c>
      <c r="M170" s="49">
        <v>371.86</v>
      </c>
      <c r="N170" s="50">
        <v>13.0</v>
      </c>
      <c r="O170" s="52">
        <v>38545.0</v>
      </c>
      <c r="P170" s="53">
        <f t="shared" si="6"/>
        <v>0.3503200129</v>
      </c>
      <c r="Q170" s="55">
        <f t="shared" si="7"/>
        <v>2.854532893</v>
      </c>
      <c r="R170" s="53">
        <f t="shared" si="8"/>
        <v>0.7018875047</v>
      </c>
      <c r="S170" s="19"/>
      <c r="T170" s="28"/>
      <c r="U170" s="9"/>
      <c r="V170" s="9"/>
      <c r="W170" s="9"/>
      <c r="X170" s="9"/>
      <c r="Y170" s="9"/>
      <c r="Z170" s="9"/>
    </row>
    <row r="171" collapsed="1">
      <c r="A171" s="101" t="s">
        <v>139</v>
      </c>
      <c r="B171" s="102"/>
      <c r="C171" s="103"/>
      <c r="D171" s="104">
        <f t="shared" ref="D171:F171" si="104">SUM(D164:D170)</f>
        <v>3177.77</v>
      </c>
      <c r="E171" s="105">
        <f t="shared" si="104"/>
        <v>123</v>
      </c>
      <c r="F171" s="105">
        <f t="shared" si="104"/>
        <v>109</v>
      </c>
      <c r="G171" s="260">
        <f t="shared" si="2"/>
        <v>1.128440367</v>
      </c>
      <c r="H171" s="104">
        <f>average(H164:H170)</f>
        <v>29.10253797</v>
      </c>
      <c r="I171" s="261">
        <f>H171/G171</f>
        <v>25.79005397</v>
      </c>
      <c r="J171" s="108">
        <f>SUM(J164:J170)</f>
        <v>1602</v>
      </c>
      <c r="K171" s="109">
        <f t="shared" si="5"/>
        <v>0.07677902622</v>
      </c>
      <c r="L171" s="104">
        <f t="shared" ref="L171:N171" si="105">SUM(L164:L170)</f>
        <v>914.85</v>
      </c>
      <c r="M171" s="104">
        <f t="shared" si="105"/>
        <v>2510.03</v>
      </c>
      <c r="N171" s="262">
        <f t="shared" si="105"/>
        <v>89</v>
      </c>
      <c r="O171" s="108">
        <f>sum(O164:O170)</f>
        <v>253377</v>
      </c>
      <c r="P171" s="109">
        <f t="shared" si="6"/>
        <v>0.3644777154</v>
      </c>
      <c r="Q171" s="263">
        <f t="shared" si="7"/>
        <v>2.743651965</v>
      </c>
      <c r="R171" s="113">
        <f t="shared" si="8"/>
        <v>0.7898715137</v>
      </c>
      <c r="S171" s="103" t="str">
        <f>iferror((D171-#REF!)/D171,)</f>
        <v/>
      </c>
      <c r="T171" s="114" t="str">
        <f>iferror((F171-#REF!)/F171,)</f>
        <v/>
      </c>
      <c r="U171" s="9"/>
      <c r="V171" s="9"/>
      <c r="W171" s="9"/>
      <c r="X171" s="9"/>
      <c r="Y171" s="9"/>
      <c r="Z171" s="9"/>
    </row>
    <row r="172" hidden="1" outlineLevel="1">
      <c r="A172" s="36" t="str">
        <f t="shared" ref="A172:A178" si="106">iferror(if(B172&gt;0,month(B172)&amp;"-"&amp;year(B172),B172),)</f>
        <v>11-2024</v>
      </c>
      <c r="B172" s="37">
        <v>45613.0</v>
      </c>
      <c r="C172" s="38"/>
      <c r="D172" s="39">
        <v>440.83</v>
      </c>
      <c r="E172" s="40">
        <v>17.0</v>
      </c>
      <c r="F172" s="40">
        <v>14.0</v>
      </c>
      <c r="G172" s="41">
        <f t="shared" si="2"/>
        <v>1.214285714</v>
      </c>
      <c r="H172" s="39">
        <f t="shared" ref="H172:H178" si="107">D172/F172</f>
        <v>31.48785714</v>
      </c>
      <c r="I172" s="39">
        <f t="shared" ref="I172:I178" si="108">D172/E172</f>
        <v>25.93117647</v>
      </c>
      <c r="J172" s="42">
        <v>288.0</v>
      </c>
      <c r="K172" s="43">
        <f t="shared" si="5"/>
        <v>0.05902777778</v>
      </c>
      <c r="L172" s="39">
        <v>167.69</v>
      </c>
      <c r="M172" s="39">
        <v>457.82</v>
      </c>
      <c r="N172" s="40">
        <v>15.0</v>
      </c>
      <c r="O172" s="42">
        <v>49918.0</v>
      </c>
      <c r="P172" s="43">
        <f t="shared" si="6"/>
        <v>0.3662793238</v>
      </c>
      <c r="Q172" s="44">
        <f t="shared" si="7"/>
        <v>2.730156837</v>
      </c>
      <c r="R172" s="43">
        <f t="shared" si="8"/>
        <v>1.038540934</v>
      </c>
      <c r="S172" s="45"/>
      <c r="T172" s="46"/>
      <c r="U172" s="9"/>
      <c r="V172" s="9"/>
      <c r="W172" s="9"/>
      <c r="X172" s="9"/>
      <c r="Y172" s="9"/>
      <c r="Z172" s="9"/>
    </row>
    <row r="173" hidden="1" outlineLevel="1">
      <c r="A173" s="47" t="str">
        <f t="shared" si="106"/>
        <v>11-2024</v>
      </c>
      <c r="B173" s="37">
        <v>45614.0</v>
      </c>
      <c r="C173" s="48"/>
      <c r="D173" s="49">
        <v>303.88</v>
      </c>
      <c r="E173" s="50">
        <v>12.0</v>
      </c>
      <c r="F173" s="50">
        <v>9.0</v>
      </c>
      <c r="G173" s="51">
        <f t="shared" si="2"/>
        <v>1.333333333</v>
      </c>
      <c r="H173" s="49">
        <f t="shared" si="107"/>
        <v>33.76444444</v>
      </c>
      <c r="I173" s="49">
        <f t="shared" si="108"/>
        <v>25.32333333</v>
      </c>
      <c r="J173" s="52">
        <v>236.0</v>
      </c>
      <c r="K173" s="53">
        <f t="shared" si="5"/>
        <v>0.05084745763</v>
      </c>
      <c r="L173" s="49">
        <v>131.67</v>
      </c>
      <c r="M173" s="54">
        <v>226.91</v>
      </c>
      <c r="N173" s="50">
        <v>7.0</v>
      </c>
      <c r="O173" s="52">
        <v>32987.0</v>
      </c>
      <c r="P173" s="53">
        <f t="shared" si="6"/>
        <v>0.5802741175</v>
      </c>
      <c r="Q173" s="55">
        <f t="shared" si="7"/>
        <v>1.72332346</v>
      </c>
      <c r="R173" s="53">
        <f t="shared" si="8"/>
        <v>0.7467092273</v>
      </c>
      <c r="S173" s="19"/>
      <c r="T173" s="28"/>
      <c r="U173" s="9"/>
      <c r="V173" s="9"/>
      <c r="W173" s="9"/>
      <c r="X173" s="9"/>
      <c r="Y173" s="9"/>
      <c r="Z173" s="9"/>
    </row>
    <row r="174" hidden="1" outlineLevel="1">
      <c r="A174" s="47" t="str">
        <f t="shared" si="106"/>
        <v>11-2024</v>
      </c>
      <c r="B174" s="37">
        <v>45615.0</v>
      </c>
      <c r="C174" s="48"/>
      <c r="D174" s="49">
        <v>367.86</v>
      </c>
      <c r="E174" s="50">
        <v>14.0</v>
      </c>
      <c r="F174" s="50">
        <v>12.0</v>
      </c>
      <c r="G174" s="51">
        <f t="shared" si="2"/>
        <v>1.166666667</v>
      </c>
      <c r="H174" s="49">
        <f t="shared" si="107"/>
        <v>30.655</v>
      </c>
      <c r="I174" s="49">
        <f t="shared" si="108"/>
        <v>26.27571429</v>
      </c>
      <c r="J174" s="52">
        <v>182.0</v>
      </c>
      <c r="K174" s="53">
        <f t="shared" si="5"/>
        <v>0.07692307692</v>
      </c>
      <c r="L174" s="39">
        <v>107.24</v>
      </c>
      <c r="M174" s="39">
        <v>261.9</v>
      </c>
      <c r="N174" s="40">
        <v>8.0</v>
      </c>
      <c r="O174" s="52">
        <v>27239.0</v>
      </c>
      <c r="P174" s="53">
        <f t="shared" si="6"/>
        <v>0.4094692631</v>
      </c>
      <c r="Q174" s="55">
        <f t="shared" si="7"/>
        <v>2.442185752</v>
      </c>
      <c r="R174" s="53">
        <f t="shared" si="8"/>
        <v>0.7119556353</v>
      </c>
      <c r="S174" s="19"/>
      <c r="T174" s="28"/>
      <c r="U174" s="9"/>
      <c r="V174" s="9"/>
      <c r="W174" s="9"/>
      <c r="X174" s="9"/>
      <c r="Y174" s="9"/>
      <c r="Z174" s="9"/>
    </row>
    <row r="175" hidden="1" outlineLevel="1">
      <c r="A175" s="47" t="str">
        <f t="shared" si="106"/>
        <v>11-2024</v>
      </c>
      <c r="B175" s="37">
        <v>45616.0</v>
      </c>
      <c r="C175" s="48"/>
      <c r="D175" s="49">
        <v>369.86</v>
      </c>
      <c r="E175" s="50">
        <v>15.0</v>
      </c>
      <c r="F175" s="50">
        <v>12.0</v>
      </c>
      <c r="G175" s="51">
        <f t="shared" si="2"/>
        <v>1.25</v>
      </c>
      <c r="H175" s="49">
        <f t="shared" si="107"/>
        <v>30.82166667</v>
      </c>
      <c r="I175" s="49">
        <f t="shared" si="108"/>
        <v>24.65733333</v>
      </c>
      <c r="J175" s="52">
        <v>176.0</v>
      </c>
      <c r="K175" s="53">
        <f t="shared" si="5"/>
        <v>0.08522727273</v>
      </c>
      <c r="L175" s="49">
        <v>99.12</v>
      </c>
      <c r="M175" s="49">
        <v>186.93</v>
      </c>
      <c r="N175" s="50">
        <v>6.0</v>
      </c>
      <c r="O175" s="52">
        <v>24150.0</v>
      </c>
      <c r="P175" s="53">
        <f t="shared" si="6"/>
        <v>0.530251966</v>
      </c>
      <c r="Q175" s="55">
        <f t="shared" si="7"/>
        <v>1.885895884</v>
      </c>
      <c r="R175" s="53">
        <f t="shared" si="8"/>
        <v>0.5054074515</v>
      </c>
      <c r="S175" s="19"/>
      <c r="T175" s="28"/>
      <c r="U175" s="9"/>
      <c r="V175" s="9"/>
      <c r="W175" s="9"/>
      <c r="X175" s="9"/>
      <c r="Y175" s="9"/>
      <c r="Z175" s="9"/>
    </row>
    <row r="176" hidden="1" outlineLevel="1">
      <c r="A176" s="47" t="str">
        <f t="shared" si="106"/>
        <v>11-2024</v>
      </c>
      <c r="B176" s="37">
        <v>45617.0</v>
      </c>
      <c r="C176" s="48"/>
      <c r="D176" s="49">
        <v>326.87</v>
      </c>
      <c r="E176" s="50">
        <v>13.0</v>
      </c>
      <c r="F176" s="50">
        <v>12.0</v>
      </c>
      <c r="G176" s="51">
        <f t="shared" si="2"/>
        <v>1.083333333</v>
      </c>
      <c r="H176" s="49">
        <f t="shared" si="107"/>
        <v>27.23916667</v>
      </c>
      <c r="I176" s="49">
        <f t="shared" si="108"/>
        <v>25.14384615</v>
      </c>
      <c r="J176" s="52">
        <v>153.0</v>
      </c>
      <c r="K176" s="53">
        <f t="shared" si="5"/>
        <v>0.08496732026</v>
      </c>
      <c r="L176" s="49">
        <v>88.06</v>
      </c>
      <c r="M176" s="49">
        <v>193.92</v>
      </c>
      <c r="N176" s="50">
        <v>7.0</v>
      </c>
      <c r="O176" s="52">
        <v>26822.0</v>
      </c>
      <c r="P176" s="53">
        <f t="shared" si="6"/>
        <v>0.4541047855</v>
      </c>
      <c r="Q176" s="55">
        <f t="shared" si="7"/>
        <v>2.202134908</v>
      </c>
      <c r="R176" s="53">
        <f t="shared" si="8"/>
        <v>0.5932633769</v>
      </c>
      <c r="S176" s="19"/>
      <c r="T176" s="28"/>
      <c r="U176" s="9"/>
      <c r="V176" s="9"/>
      <c r="W176" s="9"/>
      <c r="X176" s="9"/>
      <c r="Y176" s="9"/>
      <c r="Z176" s="9"/>
    </row>
    <row r="177" hidden="1" outlineLevel="1">
      <c r="A177" s="47" t="str">
        <f t="shared" si="106"/>
        <v>11-2024</v>
      </c>
      <c r="B177" s="37">
        <v>45618.0</v>
      </c>
      <c r="C177" s="48"/>
      <c r="D177" s="49">
        <v>374.85</v>
      </c>
      <c r="E177" s="50">
        <v>15.0</v>
      </c>
      <c r="F177" s="50">
        <v>14.0</v>
      </c>
      <c r="G177" s="51">
        <f t="shared" si="2"/>
        <v>1.071428571</v>
      </c>
      <c r="H177" s="49">
        <f t="shared" si="107"/>
        <v>26.775</v>
      </c>
      <c r="I177" s="49">
        <f t="shared" si="108"/>
        <v>24.99</v>
      </c>
      <c r="J177" s="52">
        <v>90.0</v>
      </c>
      <c r="K177" s="53">
        <f t="shared" si="5"/>
        <v>0.1666666667</v>
      </c>
      <c r="L177" s="49">
        <v>43.84</v>
      </c>
      <c r="M177" s="49">
        <v>172.93</v>
      </c>
      <c r="N177" s="50">
        <v>6.0</v>
      </c>
      <c r="O177" s="52">
        <v>12177.0</v>
      </c>
      <c r="P177" s="53">
        <f t="shared" si="6"/>
        <v>0.2535129821</v>
      </c>
      <c r="Q177" s="55">
        <f t="shared" si="7"/>
        <v>3.944571168</v>
      </c>
      <c r="R177" s="53">
        <f t="shared" si="8"/>
        <v>0.4613311991</v>
      </c>
      <c r="S177" s="19"/>
      <c r="T177" s="28"/>
      <c r="U177" s="9"/>
      <c r="V177" s="9"/>
      <c r="W177" s="9"/>
      <c r="X177" s="9"/>
      <c r="Y177" s="9"/>
      <c r="Z177" s="9"/>
    </row>
    <row r="178" hidden="1" outlineLevel="1">
      <c r="A178" s="47" t="str">
        <f t="shared" si="106"/>
        <v>11-2024</v>
      </c>
      <c r="B178" s="37">
        <v>45619.0</v>
      </c>
      <c r="C178" s="48"/>
      <c r="D178" s="49">
        <v>282.89</v>
      </c>
      <c r="E178" s="50">
        <v>11.0</v>
      </c>
      <c r="F178" s="50">
        <v>9.0</v>
      </c>
      <c r="G178" s="51">
        <f t="shared" si="2"/>
        <v>1.222222222</v>
      </c>
      <c r="H178" s="49">
        <f t="shared" si="107"/>
        <v>31.43222222</v>
      </c>
      <c r="I178" s="49">
        <f t="shared" si="108"/>
        <v>25.71727273</v>
      </c>
      <c r="J178" s="52">
        <v>36.0</v>
      </c>
      <c r="K178" s="53">
        <f t="shared" si="5"/>
        <v>0.3055555556</v>
      </c>
      <c r="L178" s="49">
        <v>0.0</v>
      </c>
      <c r="M178" s="49">
        <v>0.0</v>
      </c>
      <c r="N178" s="50">
        <v>0.0</v>
      </c>
      <c r="O178" s="52">
        <v>0.0</v>
      </c>
      <c r="P178" s="53" t="str">
        <f t="shared" si="6"/>
        <v>#DIV/0!</v>
      </c>
      <c r="Q178" s="55" t="str">
        <f t="shared" si="7"/>
        <v>#DIV/0!</v>
      </c>
      <c r="R178" s="53">
        <f t="shared" si="8"/>
        <v>0</v>
      </c>
      <c r="S178" s="19"/>
      <c r="T178" s="28"/>
      <c r="U178" s="9"/>
      <c r="V178" s="9"/>
      <c r="W178" s="9"/>
      <c r="X178" s="9"/>
      <c r="Y178" s="9"/>
      <c r="Z178" s="9"/>
    </row>
    <row r="179" collapsed="1">
      <c r="A179" s="101" t="s">
        <v>140</v>
      </c>
      <c r="B179" s="102"/>
      <c r="C179" s="103"/>
      <c r="D179" s="104">
        <f t="shared" ref="D179:F179" si="109">SUM(D172:D178)</f>
        <v>2467.04</v>
      </c>
      <c r="E179" s="105">
        <f t="shared" si="109"/>
        <v>97</v>
      </c>
      <c r="F179" s="105">
        <f t="shared" si="109"/>
        <v>82</v>
      </c>
      <c r="G179" s="260">
        <f t="shared" si="2"/>
        <v>1.182926829</v>
      </c>
      <c r="H179" s="104">
        <f>average(H172:H178)</f>
        <v>30.31076531</v>
      </c>
      <c r="I179" s="261">
        <f>H179/G179</f>
        <v>25.62353356</v>
      </c>
      <c r="J179" s="108">
        <f>SUM(J172:J178)</f>
        <v>1161</v>
      </c>
      <c r="K179" s="109">
        <f t="shared" si="5"/>
        <v>0.08354866494</v>
      </c>
      <c r="L179" s="104">
        <f t="shared" ref="L179:N179" si="110">SUM(L172:L178)</f>
        <v>637.62</v>
      </c>
      <c r="M179" s="104">
        <f t="shared" si="110"/>
        <v>1500.41</v>
      </c>
      <c r="N179" s="262">
        <f t="shared" si="110"/>
        <v>49</v>
      </c>
      <c r="O179" s="108">
        <f>sum(O172:O178)</f>
        <v>173293</v>
      </c>
      <c r="P179" s="109">
        <f t="shared" si="6"/>
        <v>0.4249638432</v>
      </c>
      <c r="Q179" s="263">
        <f t="shared" si="7"/>
        <v>2.353141369</v>
      </c>
      <c r="R179" s="113">
        <f t="shared" si="8"/>
        <v>0.6081822751</v>
      </c>
      <c r="S179" s="103" t="str">
        <f>iferror((D179-#REF!)/D179,)</f>
        <v/>
      </c>
      <c r="T179" s="114" t="str">
        <f>iferror((F179-#REF!)/F179,)</f>
        <v/>
      </c>
      <c r="U179" s="9"/>
      <c r="V179" s="9"/>
      <c r="W179" s="9"/>
      <c r="X179" s="9"/>
      <c r="Y179" s="9"/>
      <c r="Z179" s="9"/>
    </row>
    <row r="180" hidden="1" outlineLevel="1">
      <c r="A180" s="36" t="str">
        <f t="shared" ref="A180:A186" si="111">iferror(if(B180&gt;0,month(B180)&amp;"-"&amp;year(B180),B180),)</f>
        <v>11-2024</v>
      </c>
      <c r="B180" s="37">
        <v>45620.0</v>
      </c>
      <c r="C180" s="38"/>
      <c r="D180" s="39">
        <v>407.84</v>
      </c>
      <c r="E180" s="40">
        <v>16.0</v>
      </c>
      <c r="F180" s="40">
        <v>12.0</v>
      </c>
      <c r="G180" s="41">
        <f t="shared" si="2"/>
        <v>1.333333333</v>
      </c>
      <c r="H180" s="39">
        <f t="shared" ref="H180:H186" si="112">D180/F180</f>
        <v>33.98666667</v>
      </c>
      <c r="I180" s="39">
        <f t="shared" ref="I180:I186" si="113">D180/E180</f>
        <v>25.49</v>
      </c>
      <c r="J180" s="42">
        <v>62.0</v>
      </c>
      <c r="K180" s="43">
        <f t="shared" si="5"/>
        <v>0.2580645161</v>
      </c>
      <c r="L180" s="39">
        <v>0.0</v>
      </c>
      <c r="M180" s="39">
        <v>0.0</v>
      </c>
      <c r="N180" s="40">
        <v>0.0</v>
      </c>
      <c r="O180" s="42">
        <v>0.0</v>
      </c>
      <c r="P180" s="43" t="str">
        <f t="shared" si="6"/>
        <v>#DIV/0!</v>
      </c>
      <c r="Q180" s="44" t="str">
        <f t="shared" si="7"/>
        <v>#DIV/0!</v>
      </c>
      <c r="R180" s="43">
        <f t="shared" si="8"/>
        <v>0</v>
      </c>
      <c r="S180" s="45"/>
      <c r="T180" s="46"/>
      <c r="U180" s="9"/>
      <c r="V180" s="9"/>
      <c r="W180" s="9"/>
      <c r="X180" s="9"/>
      <c r="Y180" s="9"/>
      <c r="Z180" s="9"/>
    </row>
    <row r="181" hidden="1" outlineLevel="1">
      <c r="A181" s="47" t="str">
        <f t="shared" si="111"/>
        <v>11-2024</v>
      </c>
      <c r="B181" s="37">
        <v>45621.0</v>
      </c>
      <c r="C181" s="48"/>
      <c r="D181" s="49">
        <v>22.99</v>
      </c>
      <c r="E181" s="50">
        <v>1.0</v>
      </c>
      <c r="F181" s="50">
        <v>1.0</v>
      </c>
      <c r="G181" s="51">
        <f t="shared" si="2"/>
        <v>1</v>
      </c>
      <c r="H181" s="49">
        <f t="shared" si="112"/>
        <v>22.99</v>
      </c>
      <c r="I181" s="49">
        <f t="shared" si="113"/>
        <v>22.99</v>
      </c>
      <c r="J181" s="52">
        <v>50.0</v>
      </c>
      <c r="K181" s="53">
        <f t="shared" si="5"/>
        <v>0.02</v>
      </c>
      <c r="L181" s="49">
        <v>0.0</v>
      </c>
      <c r="M181" s="54">
        <v>0.0</v>
      </c>
      <c r="N181" s="50">
        <v>0.0</v>
      </c>
      <c r="O181" s="52">
        <v>0.0</v>
      </c>
      <c r="P181" s="53" t="str">
        <f t="shared" si="6"/>
        <v>#DIV/0!</v>
      </c>
      <c r="Q181" s="55" t="str">
        <f t="shared" si="7"/>
        <v>#DIV/0!</v>
      </c>
      <c r="R181" s="53">
        <f t="shared" si="8"/>
        <v>0</v>
      </c>
      <c r="S181" s="19"/>
      <c r="T181" s="28"/>
      <c r="U181" s="9"/>
      <c r="V181" s="9"/>
      <c r="W181" s="9"/>
      <c r="X181" s="9"/>
      <c r="Y181" s="9"/>
      <c r="Z181" s="9"/>
    </row>
    <row r="182" hidden="1" outlineLevel="1">
      <c r="A182" s="47" t="str">
        <f t="shared" si="111"/>
        <v>11-2024</v>
      </c>
      <c r="B182" s="37">
        <v>45622.0</v>
      </c>
      <c r="C182" s="48"/>
      <c r="D182" s="49">
        <v>74.97</v>
      </c>
      <c r="E182" s="50">
        <v>3.0</v>
      </c>
      <c r="F182" s="50">
        <v>3.0</v>
      </c>
      <c r="G182" s="51">
        <f t="shared" si="2"/>
        <v>1</v>
      </c>
      <c r="H182" s="49">
        <f t="shared" si="112"/>
        <v>24.99</v>
      </c>
      <c r="I182" s="49">
        <f t="shared" si="113"/>
        <v>24.99</v>
      </c>
      <c r="J182" s="52">
        <v>53.0</v>
      </c>
      <c r="K182" s="53">
        <f t="shared" si="5"/>
        <v>0.05660377358</v>
      </c>
      <c r="L182" s="39">
        <v>7.25</v>
      </c>
      <c r="M182" s="39">
        <v>0.0</v>
      </c>
      <c r="N182" s="40">
        <v>0.0</v>
      </c>
      <c r="O182" s="52">
        <v>1443.0</v>
      </c>
      <c r="P182" s="53" t="str">
        <f t="shared" si="6"/>
        <v>#DIV/0!</v>
      </c>
      <c r="Q182" s="55">
        <f t="shared" si="7"/>
        <v>0</v>
      </c>
      <c r="R182" s="53">
        <f t="shared" si="8"/>
        <v>0</v>
      </c>
      <c r="S182" s="19"/>
      <c r="T182" s="28"/>
      <c r="U182" s="9"/>
      <c r="V182" s="9"/>
      <c r="W182" s="9"/>
      <c r="X182" s="9"/>
      <c r="Y182" s="9"/>
      <c r="Z182" s="9"/>
    </row>
    <row r="183" hidden="1" outlineLevel="1">
      <c r="A183" s="47" t="str">
        <f t="shared" si="111"/>
        <v>11-2024</v>
      </c>
      <c r="B183" s="37">
        <v>45623.0</v>
      </c>
      <c r="C183" s="48"/>
      <c r="D183" s="49">
        <v>107.96</v>
      </c>
      <c r="E183" s="50">
        <v>4.0</v>
      </c>
      <c r="F183" s="50">
        <v>4.0</v>
      </c>
      <c r="G183" s="51">
        <f t="shared" si="2"/>
        <v>1</v>
      </c>
      <c r="H183" s="49">
        <f t="shared" si="112"/>
        <v>26.99</v>
      </c>
      <c r="I183" s="49">
        <f t="shared" si="113"/>
        <v>26.99</v>
      </c>
      <c r="J183" s="52">
        <v>82.0</v>
      </c>
      <c r="K183" s="53">
        <f t="shared" si="5"/>
        <v>0.0487804878</v>
      </c>
      <c r="L183" s="49">
        <v>33.28</v>
      </c>
      <c r="M183" s="49">
        <v>53.98</v>
      </c>
      <c r="N183" s="50">
        <v>2.0</v>
      </c>
      <c r="O183" s="52">
        <v>10738.0</v>
      </c>
      <c r="P183" s="53">
        <f t="shared" si="6"/>
        <v>0.6165246388</v>
      </c>
      <c r="Q183" s="55">
        <f t="shared" si="7"/>
        <v>1.621995192</v>
      </c>
      <c r="R183" s="53">
        <f t="shared" si="8"/>
        <v>0.5</v>
      </c>
      <c r="S183" s="19"/>
      <c r="T183" s="28"/>
      <c r="U183" s="9"/>
      <c r="V183" s="9"/>
      <c r="W183" s="9"/>
      <c r="X183" s="9"/>
      <c r="Y183" s="9"/>
      <c r="Z183" s="9"/>
    </row>
    <row r="184" hidden="1" outlineLevel="1">
      <c r="A184" s="47" t="str">
        <f t="shared" si="111"/>
        <v>11-2024</v>
      </c>
      <c r="B184" s="37">
        <v>45624.0</v>
      </c>
      <c r="C184" s="48"/>
      <c r="D184" s="49">
        <v>180.93</v>
      </c>
      <c r="E184" s="50">
        <v>7.0</v>
      </c>
      <c r="F184" s="50">
        <v>6.0</v>
      </c>
      <c r="G184" s="51">
        <f t="shared" si="2"/>
        <v>1.166666667</v>
      </c>
      <c r="H184" s="49">
        <f t="shared" si="112"/>
        <v>30.155</v>
      </c>
      <c r="I184" s="49">
        <f t="shared" si="113"/>
        <v>25.84714286</v>
      </c>
      <c r="J184" s="52">
        <v>156.0</v>
      </c>
      <c r="K184" s="53">
        <f t="shared" si="5"/>
        <v>0.04487179487</v>
      </c>
      <c r="L184" s="49">
        <v>95.97</v>
      </c>
      <c r="M184" s="49">
        <v>201.92</v>
      </c>
      <c r="N184" s="50">
        <v>6.0</v>
      </c>
      <c r="O184" s="52">
        <v>20478.0</v>
      </c>
      <c r="P184" s="53">
        <f t="shared" si="6"/>
        <v>0.4752872425</v>
      </c>
      <c r="Q184" s="55">
        <f t="shared" si="7"/>
        <v>2.10399083</v>
      </c>
      <c r="R184" s="53">
        <f t="shared" si="8"/>
        <v>1.116011717</v>
      </c>
      <c r="S184" s="19"/>
      <c r="T184" s="28"/>
      <c r="U184" s="9"/>
      <c r="V184" s="9"/>
      <c r="W184" s="9"/>
      <c r="X184" s="9"/>
      <c r="Y184" s="9"/>
      <c r="Z184" s="9"/>
    </row>
    <row r="185" hidden="1" outlineLevel="1">
      <c r="A185" s="47" t="str">
        <f t="shared" si="111"/>
        <v>11-2024</v>
      </c>
      <c r="B185" s="37">
        <v>45625.0</v>
      </c>
      <c r="C185" s="48"/>
      <c r="D185" s="49">
        <v>571.78</v>
      </c>
      <c r="E185" s="50">
        <v>22.0</v>
      </c>
      <c r="F185" s="50">
        <v>20.0</v>
      </c>
      <c r="G185" s="51">
        <f t="shared" si="2"/>
        <v>1.1</v>
      </c>
      <c r="H185" s="49">
        <f t="shared" si="112"/>
        <v>28.589</v>
      </c>
      <c r="I185" s="49">
        <f t="shared" si="113"/>
        <v>25.99</v>
      </c>
      <c r="J185" s="52">
        <v>258.0</v>
      </c>
      <c r="K185" s="53">
        <f t="shared" si="5"/>
        <v>0.08527131783</v>
      </c>
      <c r="L185" s="49">
        <v>174.53</v>
      </c>
      <c r="M185" s="49">
        <v>359.86</v>
      </c>
      <c r="N185" s="50">
        <v>14.0</v>
      </c>
      <c r="O185" s="52">
        <v>42297.0</v>
      </c>
      <c r="P185" s="53">
        <f t="shared" si="6"/>
        <v>0.4849941644</v>
      </c>
      <c r="Q185" s="55">
        <f t="shared" si="7"/>
        <v>2.061880479</v>
      </c>
      <c r="R185" s="53">
        <f t="shared" si="8"/>
        <v>0.6293679387</v>
      </c>
      <c r="S185" s="19"/>
      <c r="T185" s="28"/>
      <c r="U185" s="9"/>
      <c r="V185" s="9"/>
      <c r="W185" s="9"/>
      <c r="X185" s="9"/>
      <c r="Y185" s="9"/>
      <c r="Z185" s="9"/>
    </row>
    <row r="186" hidden="1" outlineLevel="1">
      <c r="A186" s="47" t="str">
        <f t="shared" si="111"/>
        <v>11-2024</v>
      </c>
      <c r="B186" s="37">
        <v>45626.0</v>
      </c>
      <c r="C186" s="48"/>
      <c r="D186" s="49">
        <v>442.83</v>
      </c>
      <c r="E186" s="50">
        <v>17.0</v>
      </c>
      <c r="F186" s="50">
        <v>16.0</v>
      </c>
      <c r="G186" s="51">
        <f t="shared" si="2"/>
        <v>1.0625</v>
      </c>
      <c r="H186" s="49">
        <f t="shared" si="112"/>
        <v>27.676875</v>
      </c>
      <c r="I186" s="49">
        <f t="shared" si="113"/>
        <v>26.04882353</v>
      </c>
      <c r="J186" s="52">
        <v>200.0</v>
      </c>
      <c r="K186" s="53">
        <f t="shared" si="5"/>
        <v>0.085</v>
      </c>
      <c r="L186" s="49">
        <v>117.98</v>
      </c>
      <c r="M186" s="49">
        <v>101.96</v>
      </c>
      <c r="N186" s="50">
        <v>4.0</v>
      </c>
      <c r="O186" s="52">
        <v>39971.0</v>
      </c>
      <c r="P186" s="53">
        <f t="shared" si="6"/>
        <v>1.157120439</v>
      </c>
      <c r="Q186" s="55">
        <f t="shared" si="7"/>
        <v>0.8642142736</v>
      </c>
      <c r="R186" s="53">
        <f t="shared" si="8"/>
        <v>0.2302463699</v>
      </c>
      <c r="S186" s="19"/>
      <c r="T186" s="28"/>
      <c r="U186" s="9"/>
      <c r="V186" s="9"/>
      <c r="W186" s="9"/>
      <c r="X186" s="9"/>
      <c r="Y186" s="9"/>
      <c r="Z186" s="9"/>
    </row>
    <row r="187" collapsed="1">
      <c r="A187" s="101" t="s">
        <v>141</v>
      </c>
      <c r="B187" s="102"/>
      <c r="C187" s="103"/>
      <c r="D187" s="104">
        <f t="shared" ref="D187:F187" si="114">SUM(D180:D186)</f>
        <v>1809.3</v>
      </c>
      <c r="E187" s="105">
        <f t="shared" si="114"/>
        <v>70</v>
      </c>
      <c r="F187" s="105">
        <f t="shared" si="114"/>
        <v>62</v>
      </c>
      <c r="G187" s="260">
        <f t="shared" si="2"/>
        <v>1.129032258</v>
      </c>
      <c r="H187" s="104">
        <f>average(H180:H186)</f>
        <v>27.91107738</v>
      </c>
      <c r="I187" s="261">
        <f>H187/G187</f>
        <v>24.72123997</v>
      </c>
      <c r="J187" s="108">
        <f>SUM(J180:J186)</f>
        <v>861</v>
      </c>
      <c r="K187" s="109">
        <f t="shared" si="5"/>
        <v>0.08130081301</v>
      </c>
      <c r="L187" s="104">
        <f t="shared" ref="L187:N187" si="115">SUM(L180:L186)</f>
        <v>429.01</v>
      </c>
      <c r="M187" s="104">
        <f t="shared" si="115"/>
        <v>717.72</v>
      </c>
      <c r="N187" s="262">
        <f t="shared" si="115"/>
        <v>26</v>
      </c>
      <c r="O187" s="108">
        <f>sum(O180:O186)</f>
        <v>114927</v>
      </c>
      <c r="P187" s="109">
        <f t="shared" si="6"/>
        <v>0.5977400658</v>
      </c>
      <c r="Q187" s="263">
        <f t="shared" si="7"/>
        <v>1.672967996</v>
      </c>
      <c r="R187" s="113">
        <f t="shared" si="8"/>
        <v>0.3966838004</v>
      </c>
      <c r="S187" s="103" t="str">
        <f>iferror((D187-#REF!)/D187,)</f>
        <v/>
      </c>
      <c r="T187" s="114" t="str">
        <f>iferror((F187-#REF!)/F187,)</f>
        <v/>
      </c>
      <c r="U187" s="9"/>
      <c r="V187" s="9"/>
      <c r="W187" s="9"/>
      <c r="X187" s="9"/>
      <c r="Y187" s="9"/>
      <c r="Z187" s="9"/>
    </row>
    <row r="188" hidden="1" outlineLevel="1">
      <c r="A188" s="36" t="str">
        <f t="shared" ref="A188:A194" si="116">iferror(if(B188&gt;0,month(B188)&amp;"-"&amp;year(B188),B188),)</f>
        <v>12-2024</v>
      </c>
      <c r="B188" s="37">
        <v>45627.0</v>
      </c>
      <c r="C188" s="38"/>
      <c r="D188" s="39">
        <v>228.91</v>
      </c>
      <c r="E188" s="40">
        <v>9.0</v>
      </c>
      <c r="F188" s="40">
        <v>8.0</v>
      </c>
      <c r="G188" s="41">
        <f t="shared" si="2"/>
        <v>1.125</v>
      </c>
      <c r="H188" s="39">
        <f t="shared" ref="H188:H194" si="117">D188/F188</f>
        <v>28.61375</v>
      </c>
      <c r="I188" s="39">
        <f t="shared" ref="I188:I194" si="118">D188/E188</f>
        <v>25.43444444</v>
      </c>
      <c r="J188" s="42">
        <v>246.0</v>
      </c>
      <c r="K188" s="43">
        <f t="shared" si="5"/>
        <v>0.03658536585</v>
      </c>
      <c r="L188" s="39">
        <v>143.45</v>
      </c>
      <c r="M188" s="39">
        <v>253.9</v>
      </c>
      <c r="N188" s="40">
        <v>9.0</v>
      </c>
      <c r="O188" s="42">
        <v>51082.0</v>
      </c>
      <c r="P188" s="43">
        <f t="shared" si="6"/>
        <v>0.564986215</v>
      </c>
      <c r="Q188" s="44">
        <f t="shared" si="7"/>
        <v>1.769954688</v>
      </c>
      <c r="R188" s="43">
        <f t="shared" si="8"/>
        <v>1.109169543</v>
      </c>
      <c r="S188" s="45"/>
      <c r="T188" s="46"/>
      <c r="U188" s="9"/>
      <c r="V188" s="9"/>
      <c r="W188" s="9"/>
      <c r="X188" s="9"/>
      <c r="Y188" s="9"/>
      <c r="Z188" s="9"/>
    </row>
    <row r="189" hidden="1" outlineLevel="1">
      <c r="A189" s="47" t="str">
        <f t="shared" si="116"/>
        <v>12-2024</v>
      </c>
      <c r="B189" s="37">
        <v>45628.0</v>
      </c>
      <c r="C189" s="48"/>
      <c r="D189" s="49">
        <v>357.86</v>
      </c>
      <c r="E189" s="50">
        <v>14.0</v>
      </c>
      <c r="F189" s="50">
        <v>14.0</v>
      </c>
      <c r="G189" s="51">
        <f t="shared" si="2"/>
        <v>1</v>
      </c>
      <c r="H189" s="49">
        <f t="shared" si="117"/>
        <v>25.56142857</v>
      </c>
      <c r="I189" s="49">
        <f t="shared" si="118"/>
        <v>25.56142857</v>
      </c>
      <c r="J189" s="52">
        <v>248.0</v>
      </c>
      <c r="K189" s="53">
        <f t="shared" si="5"/>
        <v>0.0564516129</v>
      </c>
      <c r="L189" s="49">
        <v>154.04</v>
      </c>
      <c r="M189" s="54">
        <v>276.89</v>
      </c>
      <c r="N189" s="50">
        <v>11.0</v>
      </c>
      <c r="O189" s="52">
        <v>46286.0</v>
      </c>
      <c r="P189" s="53">
        <f t="shared" si="6"/>
        <v>0.5563220051</v>
      </c>
      <c r="Q189" s="55">
        <f t="shared" si="7"/>
        <v>1.797520125</v>
      </c>
      <c r="R189" s="53">
        <f t="shared" si="8"/>
        <v>0.7737383334</v>
      </c>
      <c r="S189" s="19"/>
      <c r="T189" s="28"/>
      <c r="U189" s="9"/>
      <c r="V189" s="9"/>
      <c r="W189" s="9"/>
      <c r="X189" s="9"/>
      <c r="Y189" s="9"/>
      <c r="Z189" s="9"/>
    </row>
    <row r="190" hidden="1" outlineLevel="1">
      <c r="A190" s="47" t="str">
        <f t="shared" si="116"/>
        <v>12-2024</v>
      </c>
      <c r="B190" s="37">
        <v>45629.0</v>
      </c>
      <c r="C190" s="48"/>
      <c r="D190" s="49">
        <v>153.94</v>
      </c>
      <c r="E190" s="50">
        <v>6.0</v>
      </c>
      <c r="F190" s="50">
        <v>6.0</v>
      </c>
      <c r="G190" s="51">
        <f t="shared" si="2"/>
        <v>1</v>
      </c>
      <c r="H190" s="49">
        <f t="shared" si="117"/>
        <v>25.65666667</v>
      </c>
      <c r="I190" s="49">
        <f t="shared" si="118"/>
        <v>25.65666667</v>
      </c>
      <c r="J190" s="52">
        <v>178.0</v>
      </c>
      <c r="K190" s="53">
        <f t="shared" si="5"/>
        <v>0.03370786517</v>
      </c>
      <c r="L190" s="39">
        <v>94.44</v>
      </c>
      <c r="M190" s="39">
        <v>199.92</v>
      </c>
      <c r="N190" s="40">
        <v>8.0</v>
      </c>
      <c r="O190" s="52">
        <v>27134.0</v>
      </c>
      <c r="P190" s="53">
        <f t="shared" si="6"/>
        <v>0.4723889556</v>
      </c>
      <c r="Q190" s="55">
        <f t="shared" si="7"/>
        <v>2.116899619</v>
      </c>
      <c r="R190" s="53">
        <f t="shared" si="8"/>
        <v>1.2986878</v>
      </c>
      <c r="S190" s="19"/>
      <c r="T190" s="28"/>
      <c r="U190" s="9"/>
      <c r="V190" s="9"/>
      <c r="W190" s="9"/>
      <c r="X190" s="9"/>
      <c r="Y190" s="9"/>
      <c r="Z190" s="9"/>
    </row>
    <row r="191" hidden="1" outlineLevel="1">
      <c r="A191" s="47" t="str">
        <f t="shared" si="116"/>
        <v>12-2024</v>
      </c>
      <c r="B191" s="37">
        <v>45630.0</v>
      </c>
      <c r="C191" s="48"/>
      <c r="D191" s="49">
        <v>257.9</v>
      </c>
      <c r="E191" s="50">
        <v>10.0</v>
      </c>
      <c r="F191" s="50">
        <v>10.0</v>
      </c>
      <c r="G191" s="51">
        <f t="shared" si="2"/>
        <v>1</v>
      </c>
      <c r="H191" s="49">
        <f t="shared" si="117"/>
        <v>25.79</v>
      </c>
      <c r="I191" s="49">
        <f t="shared" si="118"/>
        <v>25.79</v>
      </c>
      <c r="J191" s="52">
        <v>161.0</v>
      </c>
      <c r="K191" s="53">
        <f t="shared" si="5"/>
        <v>0.06211180124</v>
      </c>
      <c r="L191" s="49">
        <v>78.63</v>
      </c>
      <c r="M191" s="49">
        <v>103.96</v>
      </c>
      <c r="N191" s="50">
        <v>4.0</v>
      </c>
      <c r="O191" s="52">
        <v>22910.0</v>
      </c>
      <c r="P191" s="53">
        <f t="shared" si="6"/>
        <v>0.7563485956</v>
      </c>
      <c r="Q191" s="55">
        <f t="shared" si="7"/>
        <v>1.322141676</v>
      </c>
      <c r="R191" s="53">
        <f t="shared" si="8"/>
        <v>0.4031019775</v>
      </c>
      <c r="S191" s="19"/>
      <c r="T191" s="28"/>
      <c r="U191" s="9"/>
      <c r="V191" s="9"/>
      <c r="W191" s="9"/>
      <c r="X191" s="9"/>
      <c r="Y191" s="9"/>
      <c r="Z191" s="9"/>
    </row>
    <row r="192" hidden="1" outlineLevel="1">
      <c r="A192" s="47" t="str">
        <f t="shared" si="116"/>
        <v>12-2024</v>
      </c>
      <c r="B192" s="37">
        <v>45631.0</v>
      </c>
      <c r="C192" s="48"/>
      <c r="D192" s="49">
        <v>232.91</v>
      </c>
      <c r="E192" s="50">
        <v>9.0</v>
      </c>
      <c r="F192" s="50">
        <v>8.0</v>
      </c>
      <c r="G192" s="51">
        <f t="shared" si="2"/>
        <v>1.125</v>
      </c>
      <c r="H192" s="49">
        <f t="shared" si="117"/>
        <v>29.11375</v>
      </c>
      <c r="I192" s="49">
        <f t="shared" si="118"/>
        <v>25.87888889</v>
      </c>
      <c r="J192" s="52">
        <v>135.0</v>
      </c>
      <c r="K192" s="53">
        <f t="shared" si="5"/>
        <v>0.06666666667</v>
      </c>
      <c r="L192" s="49">
        <v>62.44</v>
      </c>
      <c r="M192" s="49">
        <v>182.93</v>
      </c>
      <c r="N192" s="50">
        <v>6.0</v>
      </c>
      <c r="O192" s="52">
        <v>19488.0</v>
      </c>
      <c r="P192" s="53">
        <f t="shared" si="6"/>
        <v>0.3413327502</v>
      </c>
      <c r="Q192" s="55">
        <f t="shared" si="7"/>
        <v>2.929692505</v>
      </c>
      <c r="R192" s="53">
        <f t="shared" si="8"/>
        <v>0.7854106737</v>
      </c>
      <c r="S192" s="19"/>
      <c r="T192" s="28"/>
      <c r="U192" s="9"/>
      <c r="V192" s="9"/>
      <c r="W192" s="9"/>
      <c r="X192" s="9"/>
      <c r="Y192" s="9"/>
      <c r="Z192" s="9"/>
    </row>
    <row r="193" hidden="1" outlineLevel="1">
      <c r="A193" s="47" t="str">
        <f t="shared" si="116"/>
        <v>12-2024</v>
      </c>
      <c r="B193" s="37">
        <v>45632.0</v>
      </c>
      <c r="C193" s="48"/>
      <c r="D193" s="49">
        <v>255.9</v>
      </c>
      <c r="E193" s="50">
        <v>10.0</v>
      </c>
      <c r="F193" s="50">
        <v>10.0</v>
      </c>
      <c r="G193" s="51">
        <f t="shared" si="2"/>
        <v>1</v>
      </c>
      <c r="H193" s="49">
        <f t="shared" si="117"/>
        <v>25.59</v>
      </c>
      <c r="I193" s="49">
        <f t="shared" si="118"/>
        <v>25.59</v>
      </c>
      <c r="J193" s="52">
        <v>135.0</v>
      </c>
      <c r="K193" s="53">
        <f t="shared" si="5"/>
        <v>0.07407407407</v>
      </c>
      <c r="L193" s="49">
        <v>74.4</v>
      </c>
      <c r="M193" s="49">
        <v>130.95</v>
      </c>
      <c r="N193" s="50">
        <v>5.0</v>
      </c>
      <c r="O193" s="52">
        <v>20092.0</v>
      </c>
      <c r="P193" s="53">
        <f t="shared" si="6"/>
        <v>0.5681557847</v>
      </c>
      <c r="Q193" s="55">
        <f t="shared" si="7"/>
        <v>1.760080645</v>
      </c>
      <c r="R193" s="53">
        <f t="shared" si="8"/>
        <v>0.5117233294</v>
      </c>
      <c r="S193" s="19"/>
      <c r="T193" s="28"/>
      <c r="U193" s="9"/>
      <c r="V193" s="9"/>
      <c r="W193" s="9"/>
      <c r="X193" s="9"/>
      <c r="Y193" s="9"/>
      <c r="Z193" s="9"/>
    </row>
    <row r="194" hidden="1" outlineLevel="1">
      <c r="A194" s="47" t="str">
        <f t="shared" si="116"/>
        <v>12-2024</v>
      </c>
      <c r="B194" s="37">
        <v>45633.0</v>
      </c>
      <c r="C194" s="48"/>
      <c r="D194" s="49">
        <v>386.85</v>
      </c>
      <c r="E194" s="50">
        <v>15.0</v>
      </c>
      <c r="F194" s="50">
        <v>15.0</v>
      </c>
      <c r="G194" s="51">
        <f t="shared" si="2"/>
        <v>1</v>
      </c>
      <c r="H194" s="49">
        <f t="shared" si="117"/>
        <v>25.79</v>
      </c>
      <c r="I194" s="49">
        <f t="shared" si="118"/>
        <v>25.79</v>
      </c>
      <c r="J194" s="52">
        <v>217.0</v>
      </c>
      <c r="K194" s="53">
        <f t="shared" si="5"/>
        <v>0.06912442396</v>
      </c>
      <c r="L194" s="49">
        <v>122.15</v>
      </c>
      <c r="M194" s="49">
        <v>328.87</v>
      </c>
      <c r="N194" s="50">
        <v>12.0</v>
      </c>
      <c r="O194" s="52">
        <v>29646.0</v>
      </c>
      <c r="P194" s="53">
        <f t="shared" si="6"/>
        <v>0.3714233588</v>
      </c>
      <c r="Q194" s="55">
        <f t="shared" si="7"/>
        <v>2.692345477</v>
      </c>
      <c r="R194" s="53">
        <f t="shared" si="8"/>
        <v>0.8501227866</v>
      </c>
      <c r="S194" s="19"/>
      <c r="T194" s="28"/>
      <c r="U194" s="9"/>
      <c r="V194" s="9"/>
      <c r="W194" s="9"/>
      <c r="X194" s="9"/>
      <c r="Y194" s="9"/>
      <c r="Z194" s="9"/>
    </row>
    <row r="195" collapsed="1">
      <c r="A195" s="101" t="s">
        <v>142</v>
      </c>
      <c r="B195" s="102"/>
      <c r="C195" s="103"/>
      <c r="D195" s="104">
        <f t="shared" ref="D195:F195" si="119">SUM(D188:D194)</f>
        <v>1874.27</v>
      </c>
      <c r="E195" s="105">
        <f t="shared" si="119"/>
        <v>73</v>
      </c>
      <c r="F195" s="105">
        <f t="shared" si="119"/>
        <v>71</v>
      </c>
      <c r="G195" s="260">
        <f t="shared" si="2"/>
        <v>1.028169014</v>
      </c>
      <c r="H195" s="104">
        <f>average(H188:H194)</f>
        <v>26.58794218</v>
      </c>
      <c r="I195" s="261">
        <f>H195/G195</f>
        <v>25.8595054</v>
      </c>
      <c r="J195" s="108">
        <f>SUM(J188:J194)</f>
        <v>1320</v>
      </c>
      <c r="K195" s="109">
        <f t="shared" si="5"/>
        <v>0.0553030303</v>
      </c>
      <c r="L195" s="104">
        <f t="shared" ref="L195:N195" si="120">SUM(L188:L194)</f>
        <v>729.55</v>
      </c>
      <c r="M195" s="104">
        <f t="shared" si="120"/>
        <v>1477.42</v>
      </c>
      <c r="N195" s="262">
        <f t="shared" si="120"/>
        <v>55</v>
      </c>
      <c r="O195" s="108">
        <f>sum(O188:O194)</f>
        <v>216638</v>
      </c>
      <c r="P195" s="109">
        <f t="shared" si="6"/>
        <v>0.4938000027</v>
      </c>
      <c r="Q195" s="263">
        <f t="shared" si="7"/>
        <v>2.02511137</v>
      </c>
      <c r="R195" s="113">
        <f t="shared" si="8"/>
        <v>0.7882642309</v>
      </c>
      <c r="S195" s="103" t="str">
        <f>iferror((D195-#REF!)/D195,)</f>
        <v/>
      </c>
      <c r="T195" s="114" t="str">
        <f>iferror((F195-#REF!)/F195,)</f>
        <v/>
      </c>
      <c r="U195" s="9"/>
      <c r="V195" s="9"/>
      <c r="W195" s="9"/>
      <c r="X195" s="9"/>
      <c r="Y195" s="9"/>
      <c r="Z195" s="9"/>
    </row>
    <row r="196" hidden="1" outlineLevel="1">
      <c r="A196" s="36" t="str">
        <f t="shared" ref="A196:A202" si="121">iferror(if(B196&gt;0,month(B196)&amp;"-"&amp;year(B196),B196),)</f>
        <v>12-2024</v>
      </c>
      <c r="B196" s="37">
        <v>45634.0</v>
      </c>
      <c r="C196" s="38"/>
      <c r="D196" s="39">
        <v>459.82</v>
      </c>
      <c r="E196" s="40">
        <v>18.0</v>
      </c>
      <c r="F196" s="40">
        <v>16.0</v>
      </c>
      <c r="G196" s="41">
        <f t="shared" si="2"/>
        <v>1.125</v>
      </c>
      <c r="H196" s="39">
        <f t="shared" ref="H196:H202" si="122">D196/F196</f>
        <v>28.73875</v>
      </c>
      <c r="I196" s="39">
        <f t="shared" ref="I196:I202" si="123">D196/E196</f>
        <v>25.54555556</v>
      </c>
      <c r="J196" s="42">
        <v>294.0</v>
      </c>
      <c r="K196" s="43">
        <f t="shared" si="5"/>
        <v>0.0612244898</v>
      </c>
      <c r="L196" s="39">
        <v>166.17</v>
      </c>
      <c r="M196" s="39">
        <v>382.85</v>
      </c>
      <c r="N196" s="40">
        <v>14.0</v>
      </c>
      <c r="O196" s="42">
        <v>36455.0</v>
      </c>
      <c r="P196" s="43">
        <f t="shared" si="6"/>
        <v>0.4340342171</v>
      </c>
      <c r="Q196" s="44">
        <f t="shared" si="7"/>
        <v>2.303965818</v>
      </c>
      <c r="R196" s="43">
        <f t="shared" si="8"/>
        <v>0.832608412</v>
      </c>
      <c r="S196" s="45"/>
      <c r="T196" s="46"/>
      <c r="U196" s="9"/>
      <c r="V196" s="9"/>
      <c r="W196" s="9"/>
      <c r="X196" s="9"/>
      <c r="Y196" s="9"/>
      <c r="Z196" s="9"/>
    </row>
    <row r="197" hidden="1" outlineLevel="1">
      <c r="A197" s="47" t="str">
        <f t="shared" si="121"/>
        <v>12-2024</v>
      </c>
      <c r="B197" s="37">
        <v>45635.0</v>
      </c>
      <c r="C197" s="48"/>
      <c r="D197" s="49">
        <v>274.89</v>
      </c>
      <c r="E197" s="50">
        <v>11.0</v>
      </c>
      <c r="F197" s="50">
        <v>10.0</v>
      </c>
      <c r="G197" s="51">
        <f t="shared" si="2"/>
        <v>1.1</v>
      </c>
      <c r="H197" s="49">
        <f t="shared" si="122"/>
        <v>27.489</v>
      </c>
      <c r="I197" s="49">
        <f t="shared" si="123"/>
        <v>24.99</v>
      </c>
      <c r="J197" s="52">
        <v>193.0</v>
      </c>
      <c r="K197" s="53">
        <f t="shared" si="5"/>
        <v>0.05699481865</v>
      </c>
      <c r="L197" s="49">
        <v>102.24</v>
      </c>
      <c r="M197" s="54">
        <v>147.94</v>
      </c>
      <c r="N197" s="50">
        <v>5.0</v>
      </c>
      <c r="O197" s="52">
        <v>25591.0</v>
      </c>
      <c r="P197" s="53">
        <f t="shared" si="6"/>
        <v>0.6910909828</v>
      </c>
      <c r="Q197" s="55">
        <f t="shared" si="7"/>
        <v>1.44698748</v>
      </c>
      <c r="R197" s="53">
        <f t="shared" si="8"/>
        <v>0.5381789079</v>
      </c>
      <c r="S197" s="19"/>
      <c r="T197" s="28"/>
      <c r="U197" s="9"/>
      <c r="V197" s="9"/>
      <c r="W197" s="9"/>
      <c r="X197" s="9"/>
      <c r="Y197" s="9"/>
      <c r="Z197" s="9"/>
    </row>
    <row r="198" hidden="1" outlineLevel="1">
      <c r="A198" s="47" t="str">
        <f t="shared" si="121"/>
        <v>12-2024</v>
      </c>
      <c r="B198" s="37">
        <v>45636.0</v>
      </c>
      <c r="C198" s="48"/>
      <c r="D198" s="49">
        <v>382.85</v>
      </c>
      <c r="E198" s="50">
        <v>15.0</v>
      </c>
      <c r="F198" s="50">
        <v>12.0</v>
      </c>
      <c r="G198" s="51">
        <f t="shared" si="2"/>
        <v>1.25</v>
      </c>
      <c r="H198" s="49">
        <f t="shared" si="122"/>
        <v>31.90416667</v>
      </c>
      <c r="I198" s="49">
        <f t="shared" si="123"/>
        <v>25.52333333</v>
      </c>
      <c r="J198" s="52">
        <v>191.0</v>
      </c>
      <c r="K198" s="53">
        <f t="shared" si="5"/>
        <v>0.07853403141</v>
      </c>
      <c r="L198" s="39">
        <v>105.5</v>
      </c>
      <c r="M198" s="39">
        <v>228.91</v>
      </c>
      <c r="N198" s="40">
        <v>7.0</v>
      </c>
      <c r="O198" s="52">
        <v>23572.0</v>
      </c>
      <c r="P198" s="53">
        <f t="shared" si="6"/>
        <v>0.4608798218</v>
      </c>
      <c r="Q198" s="55">
        <f t="shared" si="7"/>
        <v>2.169763033</v>
      </c>
      <c r="R198" s="53">
        <f t="shared" si="8"/>
        <v>0.5979104088</v>
      </c>
      <c r="S198" s="19"/>
      <c r="T198" s="28"/>
      <c r="U198" s="9"/>
      <c r="V198" s="9"/>
      <c r="W198" s="9"/>
      <c r="X198" s="9"/>
      <c r="Y198" s="9"/>
      <c r="Z198" s="9"/>
    </row>
    <row r="199" hidden="1" outlineLevel="1">
      <c r="A199" s="47" t="str">
        <f t="shared" si="121"/>
        <v>12-2024</v>
      </c>
      <c r="B199" s="37">
        <v>45637.0</v>
      </c>
      <c r="C199" s="48"/>
      <c r="D199" s="49">
        <v>170.93</v>
      </c>
      <c r="E199" s="50">
        <v>7.0</v>
      </c>
      <c r="F199" s="50">
        <v>7.0</v>
      </c>
      <c r="G199" s="51">
        <f t="shared" si="2"/>
        <v>1</v>
      </c>
      <c r="H199" s="49">
        <f t="shared" si="122"/>
        <v>24.41857143</v>
      </c>
      <c r="I199" s="49">
        <f t="shared" si="123"/>
        <v>24.41857143</v>
      </c>
      <c r="J199" s="52">
        <v>169.0</v>
      </c>
      <c r="K199" s="53">
        <f t="shared" si="5"/>
        <v>0.04142011834</v>
      </c>
      <c r="L199" s="49">
        <v>92.1</v>
      </c>
      <c r="M199" s="49">
        <v>95.96</v>
      </c>
      <c r="N199" s="50">
        <v>4.0</v>
      </c>
      <c r="O199" s="52">
        <v>23217.0</v>
      </c>
      <c r="P199" s="53">
        <f t="shared" si="6"/>
        <v>0.9597749062</v>
      </c>
      <c r="Q199" s="55">
        <f t="shared" si="7"/>
        <v>1.041910966</v>
      </c>
      <c r="R199" s="53">
        <f t="shared" si="8"/>
        <v>0.5613994033</v>
      </c>
      <c r="S199" s="19"/>
      <c r="T199" s="28"/>
      <c r="U199" s="9"/>
      <c r="V199" s="9"/>
      <c r="W199" s="9"/>
      <c r="X199" s="9"/>
      <c r="Y199" s="9"/>
      <c r="Z199" s="9"/>
    </row>
    <row r="200" hidden="1" outlineLevel="1">
      <c r="A200" s="47" t="str">
        <f t="shared" si="121"/>
        <v>12-2024</v>
      </c>
      <c r="B200" s="37">
        <v>45638.0</v>
      </c>
      <c r="C200" s="48"/>
      <c r="D200" s="49">
        <v>332.87</v>
      </c>
      <c r="E200" s="50">
        <v>13.0</v>
      </c>
      <c r="F200" s="50">
        <v>12.0</v>
      </c>
      <c r="G200" s="51">
        <f t="shared" si="2"/>
        <v>1.083333333</v>
      </c>
      <c r="H200" s="49">
        <f t="shared" si="122"/>
        <v>27.73916667</v>
      </c>
      <c r="I200" s="49">
        <f t="shared" si="123"/>
        <v>25.60538462</v>
      </c>
      <c r="J200" s="52">
        <v>185.0</v>
      </c>
      <c r="K200" s="53">
        <f t="shared" si="5"/>
        <v>0.07027027027</v>
      </c>
      <c r="L200" s="49">
        <v>95.01</v>
      </c>
      <c r="M200" s="49">
        <v>307.88</v>
      </c>
      <c r="N200" s="50">
        <v>10.0</v>
      </c>
      <c r="O200" s="52">
        <v>21066.0</v>
      </c>
      <c r="P200" s="53">
        <f t="shared" si="6"/>
        <v>0.3085942575</v>
      </c>
      <c r="Q200" s="55">
        <f t="shared" si="7"/>
        <v>3.240501</v>
      </c>
      <c r="R200" s="53">
        <f t="shared" si="8"/>
        <v>0.9249256466</v>
      </c>
      <c r="S200" s="19"/>
      <c r="T200" s="28"/>
      <c r="U200" s="9"/>
      <c r="V200" s="9"/>
      <c r="W200" s="9"/>
      <c r="X200" s="9"/>
      <c r="Y200" s="9"/>
      <c r="Z200" s="9"/>
    </row>
    <row r="201" hidden="1" outlineLevel="1">
      <c r="A201" s="47" t="str">
        <f t="shared" si="121"/>
        <v>12-2024</v>
      </c>
      <c r="B201" s="37">
        <v>45639.0</v>
      </c>
      <c r="C201" s="48"/>
      <c r="D201" s="49">
        <v>357.86</v>
      </c>
      <c r="E201" s="50">
        <v>14.0</v>
      </c>
      <c r="F201" s="50">
        <v>13.0</v>
      </c>
      <c r="G201" s="51">
        <f t="shared" si="2"/>
        <v>1.076923077</v>
      </c>
      <c r="H201" s="49">
        <f t="shared" si="122"/>
        <v>27.52769231</v>
      </c>
      <c r="I201" s="49">
        <f t="shared" si="123"/>
        <v>25.56142857</v>
      </c>
      <c r="J201" s="52">
        <v>139.0</v>
      </c>
      <c r="K201" s="53">
        <f t="shared" si="5"/>
        <v>0.1007194245</v>
      </c>
      <c r="L201" s="49">
        <v>78.26</v>
      </c>
      <c r="M201" s="49">
        <v>307.88</v>
      </c>
      <c r="N201" s="50">
        <v>11.0</v>
      </c>
      <c r="O201" s="52">
        <v>19680.0</v>
      </c>
      <c r="P201" s="53">
        <f t="shared" si="6"/>
        <v>0.2541899441</v>
      </c>
      <c r="Q201" s="55">
        <f t="shared" si="7"/>
        <v>3.934065934</v>
      </c>
      <c r="R201" s="53">
        <f t="shared" si="8"/>
        <v>0.8603364444</v>
      </c>
      <c r="S201" s="19"/>
      <c r="T201" s="28"/>
      <c r="U201" s="9"/>
      <c r="V201" s="9"/>
      <c r="W201" s="9"/>
      <c r="X201" s="9"/>
      <c r="Y201" s="9"/>
      <c r="Z201" s="9"/>
    </row>
    <row r="202" hidden="1" outlineLevel="1">
      <c r="A202" s="47" t="str">
        <f t="shared" si="121"/>
        <v>12-2024</v>
      </c>
      <c r="B202" s="37">
        <v>45640.0</v>
      </c>
      <c r="C202" s="48"/>
      <c r="D202" s="49">
        <v>480.81</v>
      </c>
      <c r="E202" s="50">
        <v>19.0</v>
      </c>
      <c r="F202" s="50">
        <v>17.0</v>
      </c>
      <c r="G202" s="51">
        <f t="shared" si="2"/>
        <v>1.117647059</v>
      </c>
      <c r="H202" s="49">
        <f t="shared" si="122"/>
        <v>28.28294118</v>
      </c>
      <c r="I202" s="49">
        <f t="shared" si="123"/>
        <v>25.30578947</v>
      </c>
      <c r="J202" s="52">
        <v>210.0</v>
      </c>
      <c r="K202" s="53">
        <f t="shared" si="5"/>
        <v>0.09047619048</v>
      </c>
      <c r="L202" s="49">
        <v>105.81</v>
      </c>
      <c r="M202" s="49">
        <v>305.88</v>
      </c>
      <c r="N202" s="50">
        <v>11.0</v>
      </c>
      <c r="O202" s="52">
        <v>24704.0</v>
      </c>
      <c r="P202" s="53">
        <f t="shared" si="6"/>
        <v>0.3459199686</v>
      </c>
      <c r="Q202" s="55">
        <f t="shared" si="7"/>
        <v>2.890842075</v>
      </c>
      <c r="R202" s="53">
        <f t="shared" si="8"/>
        <v>0.6361764522</v>
      </c>
      <c r="S202" s="19"/>
      <c r="T202" s="28"/>
      <c r="U202" s="9"/>
      <c r="V202" s="9"/>
      <c r="W202" s="9"/>
      <c r="X202" s="9"/>
      <c r="Y202" s="9"/>
      <c r="Z202" s="9"/>
    </row>
    <row r="203" collapsed="1">
      <c r="A203" s="101" t="s">
        <v>143</v>
      </c>
      <c r="B203" s="102"/>
      <c r="C203" s="103"/>
      <c r="D203" s="104">
        <f t="shared" ref="D203:F203" si="124">SUM(D196:D202)</f>
        <v>2460.03</v>
      </c>
      <c r="E203" s="105">
        <f t="shared" si="124"/>
        <v>97</v>
      </c>
      <c r="F203" s="105">
        <f t="shared" si="124"/>
        <v>87</v>
      </c>
      <c r="G203" s="260">
        <f t="shared" si="2"/>
        <v>1.114942529</v>
      </c>
      <c r="H203" s="104">
        <f>average(H196:H202)</f>
        <v>28.01432689</v>
      </c>
      <c r="I203" s="261">
        <f>H203/G203</f>
        <v>25.12625195</v>
      </c>
      <c r="J203" s="108">
        <f>SUM(J196:J202)</f>
        <v>1381</v>
      </c>
      <c r="K203" s="109">
        <f t="shared" si="5"/>
        <v>0.07023895728</v>
      </c>
      <c r="L203" s="104">
        <f t="shared" ref="L203:N203" si="125">SUM(L196:L202)</f>
        <v>745.09</v>
      </c>
      <c r="M203" s="104">
        <f t="shared" si="125"/>
        <v>1777.3</v>
      </c>
      <c r="N203" s="262">
        <f t="shared" si="125"/>
        <v>62</v>
      </c>
      <c r="O203" s="108">
        <f>sum(O196:O202)</f>
        <v>174285</v>
      </c>
      <c r="P203" s="109">
        <f t="shared" si="6"/>
        <v>0.4192257919</v>
      </c>
      <c r="Q203" s="263">
        <f t="shared" si="7"/>
        <v>2.385349421</v>
      </c>
      <c r="R203" s="113">
        <f t="shared" si="8"/>
        <v>0.7224708642</v>
      </c>
      <c r="S203" s="103" t="str">
        <f>iferror((D203-#REF!)/D203,)</f>
        <v/>
      </c>
      <c r="T203" s="114" t="str">
        <f>iferror((F203-#REF!)/F203,)</f>
        <v/>
      </c>
      <c r="U203" s="9"/>
      <c r="V203" s="9"/>
      <c r="W203" s="9"/>
      <c r="X203" s="9"/>
      <c r="Y203" s="9"/>
      <c r="Z203" s="9"/>
    </row>
    <row r="204" hidden="1" outlineLevel="1">
      <c r="A204" s="36" t="str">
        <f t="shared" ref="A204:A210" si="126">iferror(if(B204&gt;0,month(B204)&amp;"-"&amp;year(B204),B204),)</f>
        <v>12-2024</v>
      </c>
      <c r="B204" s="37">
        <v>45641.0</v>
      </c>
      <c r="C204" s="38"/>
      <c r="D204" s="39">
        <v>374.85</v>
      </c>
      <c r="E204" s="40">
        <v>15.0</v>
      </c>
      <c r="F204" s="40">
        <v>14.0</v>
      </c>
      <c r="G204" s="41">
        <f t="shared" si="2"/>
        <v>1.071428571</v>
      </c>
      <c r="H204" s="39">
        <f t="shared" ref="H204:H210" si="127">D204/F204</f>
        <v>26.775</v>
      </c>
      <c r="I204" s="39">
        <f t="shared" ref="I204:I210" si="128">D204/E204</f>
        <v>24.99</v>
      </c>
      <c r="J204" s="42">
        <v>211.0</v>
      </c>
      <c r="K204" s="43">
        <f t="shared" si="5"/>
        <v>0.07109004739</v>
      </c>
      <c r="L204" s="39">
        <v>91.67</v>
      </c>
      <c r="M204" s="39">
        <v>151.94</v>
      </c>
      <c r="N204" s="40">
        <v>6.0</v>
      </c>
      <c r="O204" s="42">
        <v>24723.0</v>
      </c>
      <c r="P204" s="43">
        <f t="shared" si="6"/>
        <v>0.6033302619</v>
      </c>
      <c r="Q204" s="44">
        <f t="shared" si="7"/>
        <v>1.657467001</v>
      </c>
      <c r="R204" s="43">
        <f t="shared" si="8"/>
        <v>0.4053354675</v>
      </c>
      <c r="S204" s="45"/>
      <c r="T204" s="46"/>
      <c r="U204" s="9"/>
      <c r="V204" s="9"/>
      <c r="W204" s="9"/>
      <c r="X204" s="9"/>
      <c r="Y204" s="9"/>
      <c r="Z204" s="9"/>
    </row>
    <row r="205" hidden="1" outlineLevel="1">
      <c r="A205" s="47" t="str">
        <f t="shared" si="126"/>
        <v>12-2024</v>
      </c>
      <c r="B205" s="37">
        <v>45642.0</v>
      </c>
      <c r="C205" s="48"/>
      <c r="D205" s="49">
        <v>351.86</v>
      </c>
      <c r="E205" s="50">
        <v>14.0</v>
      </c>
      <c r="F205" s="50">
        <v>13.0</v>
      </c>
      <c r="G205" s="51">
        <f t="shared" si="2"/>
        <v>1.076923077</v>
      </c>
      <c r="H205" s="49">
        <f t="shared" si="127"/>
        <v>27.06615385</v>
      </c>
      <c r="I205" s="49">
        <f t="shared" si="128"/>
        <v>25.13285714</v>
      </c>
      <c r="J205" s="52">
        <v>179.0</v>
      </c>
      <c r="K205" s="53">
        <f t="shared" si="5"/>
        <v>0.0782122905</v>
      </c>
      <c r="L205" s="49">
        <v>64.66</v>
      </c>
      <c r="M205" s="54">
        <v>203.92</v>
      </c>
      <c r="N205" s="50">
        <v>8.0</v>
      </c>
      <c r="O205" s="52">
        <v>20804.0</v>
      </c>
      <c r="P205" s="53">
        <f t="shared" si="6"/>
        <v>0.3170851314</v>
      </c>
      <c r="Q205" s="55">
        <f t="shared" si="7"/>
        <v>3.153727188</v>
      </c>
      <c r="R205" s="53">
        <f t="shared" si="8"/>
        <v>0.5795486841</v>
      </c>
      <c r="S205" s="19"/>
      <c r="T205" s="28"/>
      <c r="U205" s="9"/>
      <c r="V205" s="9"/>
      <c r="W205" s="9"/>
      <c r="X205" s="9"/>
      <c r="Y205" s="9"/>
      <c r="Z205" s="9"/>
    </row>
    <row r="206" hidden="1" outlineLevel="1">
      <c r="A206" s="47" t="str">
        <f t="shared" si="126"/>
        <v>12-2024</v>
      </c>
      <c r="B206" s="37">
        <v>45643.0</v>
      </c>
      <c r="C206" s="48"/>
      <c r="D206" s="49">
        <v>176.93</v>
      </c>
      <c r="E206" s="50">
        <v>7.0</v>
      </c>
      <c r="F206" s="50">
        <v>6.0</v>
      </c>
      <c r="G206" s="51">
        <f t="shared" si="2"/>
        <v>1.166666667</v>
      </c>
      <c r="H206" s="49">
        <f t="shared" si="127"/>
        <v>29.48833333</v>
      </c>
      <c r="I206" s="49">
        <f t="shared" si="128"/>
        <v>25.27571429</v>
      </c>
      <c r="J206" s="52">
        <v>173.0</v>
      </c>
      <c r="K206" s="53">
        <f t="shared" si="5"/>
        <v>0.04046242775</v>
      </c>
      <c r="L206" s="39">
        <v>73.54</v>
      </c>
      <c r="M206" s="39">
        <v>70.97</v>
      </c>
      <c r="N206" s="40">
        <v>3.0</v>
      </c>
      <c r="O206" s="52">
        <v>19138.0</v>
      </c>
      <c r="P206" s="53">
        <f t="shared" si="6"/>
        <v>1.036212484</v>
      </c>
      <c r="Q206" s="55">
        <f t="shared" si="7"/>
        <v>0.9650530324</v>
      </c>
      <c r="R206" s="53">
        <f t="shared" si="8"/>
        <v>0.4011190866</v>
      </c>
      <c r="S206" s="19"/>
      <c r="T206" s="28"/>
      <c r="U206" s="9"/>
      <c r="V206" s="9"/>
      <c r="W206" s="9"/>
      <c r="X206" s="9"/>
      <c r="Y206" s="9"/>
      <c r="Z206" s="9"/>
    </row>
    <row r="207" hidden="1" outlineLevel="1">
      <c r="A207" s="47" t="str">
        <f t="shared" si="126"/>
        <v>12-2024</v>
      </c>
      <c r="B207" s="37">
        <v>45644.0</v>
      </c>
      <c r="C207" s="48"/>
      <c r="D207" s="49">
        <v>251.9</v>
      </c>
      <c r="E207" s="50">
        <v>10.0</v>
      </c>
      <c r="F207" s="50">
        <v>10.0</v>
      </c>
      <c r="G207" s="51">
        <f t="shared" si="2"/>
        <v>1</v>
      </c>
      <c r="H207" s="49">
        <f t="shared" si="127"/>
        <v>25.19</v>
      </c>
      <c r="I207" s="49">
        <f t="shared" si="128"/>
        <v>25.19</v>
      </c>
      <c r="J207" s="52">
        <v>139.0</v>
      </c>
      <c r="K207" s="53">
        <f t="shared" si="5"/>
        <v>0.07194244604</v>
      </c>
      <c r="L207" s="49">
        <v>68.5</v>
      </c>
      <c r="M207" s="49">
        <v>151.94</v>
      </c>
      <c r="N207" s="50">
        <v>6.0</v>
      </c>
      <c r="O207" s="52">
        <v>18821.0</v>
      </c>
      <c r="P207" s="53">
        <f t="shared" si="6"/>
        <v>0.4508358563</v>
      </c>
      <c r="Q207" s="55">
        <f t="shared" si="7"/>
        <v>2.21810219</v>
      </c>
      <c r="R207" s="53">
        <f t="shared" si="8"/>
        <v>0.6031758634</v>
      </c>
      <c r="S207" s="19"/>
      <c r="T207" s="28"/>
      <c r="U207" s="9"/>
      <c r="V207" s="9"/>
      <c r="W207" s="9"/>
      <c r="X207" s="9"/>
      <c r="Y207" s="9"/>
      <c r="Z207" s="9"/>
    </row>
    <row r="208" hidden="1" outlineLevel="1">
      <c r="A208" s="47" t="str">
        <f t="shared" si="126"/>
        <v>12-2024</v>
      </c>
      <c r="B208" s="37">
        <v>45645.0</v>
      </c>
      <c r="C208" s="48"/>
      <c r="D208" s="49">
        <v>226.91</v>
      </c>
      <c r="E208" s="50">
        <v>9.0</v>
      </c>
      <c r="F208" s="50">
        <v>9.0</v>
      </c>
      <c r="G208" s="51">
        <f t="shared" si="2"/>
        <v>1</v>
      </c>
      <c r="H208" s="49">
        <f t="shared" si="127"/>
        <v>25.21222222</v>
      </c>
      <c r="I208" s="49">
        <f t="shared" si="128"/>
        <v>25.21222222</v>
      </c>
      <c r="J208" s="52">
        <v>145.0</v>
      </c>
      <c r="K208" s="53">
        <f t="shared" si="5"/>
        <v>0.06206896552</v>
      </c>
      <c r="L208" s="49">
        <v>72.58</v>
      </c>
      <c r="M208" s="49">
        <v>124.95</v>
      </c>
      <c r="N208" s="50">
        <v>5.0</v>
      </c>
      <c r="O208" s="52">
        <v>19185.0</v>
      </c>
      <c r="P208" s="53">
        <f t="shared" si="6"/>
        <v>0.5808723489</v>
      </c>
      <c r="Q208" s="55">
        <f t="shared" si="7"/>
        <v>1.721548636</v>
      </c>
      <c r="R208" s="53">
        <f t="shared" si="8"/>
        <v>0.5506588515</v>
      </c>
      <c r="S208" s="19"/>
      <c r="T208" s="28"/>
      <c r="U208" s="9"/>
      <c r="V208" s="9"/>
      <c r="W208" s="9"/>
      <c r="X208" s="9"/>
      <c r="Y208" s="9"/>
      <c r="Z208" s="9"/>
    </row>
    <row r="209" hidden="1" outlineLevel="1">
      <c r="A209" s="47" t="str">
        <f t="shared" si="126"/>
        <v>12-2024</v>
      </c>
      <c r="B209" s="37">
        <v>45646.0</v>
      </c>
      <c r="C209" s="48"/>
      <c r="D209" s="49">
        <v>76.97</v>
      </c>
      <c r="E209" s="50">
        <v>3.0</v>
      </c>
      <c r="F209" s="50">
        <v>3.0</v>
      </c>
      <c r="G209" s="51">
        <f t="shared" si="2"/>
        <v>1</v>
      </c>
      <c r="H209" s="49">
        <f t="shared" si="127"/>
        <v>25.65666667</v>
      </c>
      <c r="I209" s="49">
        <f t="shared" si="128"/>
        <v>25.65666667</v>
      </c>
      <c r="J209" s="52">
        <v>113.0</v>
      </c>
      <c r="K209" s="53">
        <f t="shared" si="5"/>
        <v>0.02654867257</v>
      </c>
      <c r="L209" s="49">
        <v>65.34</v>
      </c>
      <c r="M209" s="49">
        <v>26.99</v>
      </c>
      <c r="N209" s="50">
        <v>1.0</v>
      </c>
      <c r="O209" s="52">
        <v>17286.0</v>
      </c>
      <c r="P209" s="53">
        <f t="shared" si="6"/>
        <v>2.420896628</v>
      </c>
      <c r="Q209" s="55">
        <f t="shared" si="7"/>
        <v>0.4130700949</v>
      </c>
      <c r="R209" s="53">
        <f t="shared" si="8"/>
        <v>0.3506560998</v>
      </c>
      <c r="S209" s="19"/>
      <c r="T209" s="28"/>
      <c r="U209" s="9"/>
      <c r="V209" s="9"/>
      <c r="W209" s="9"/>
      <c r="X209" s="9"/>
      <c r="Y209" s="9"/>
      <c r="Z209" s="9"/>
    </row>
    <row r="210" hidden="1" outlineLevel="1">
      <c r="A210" s="47" t="str">
        <f t="shared" si="126"/>
        <v>12-2024</v>
      </c>
      <c r="B210" s="37">
        <v>45647.0</v>
      </c>
      <c r="C210" s="48"/>
      <c r="D210" s="49">
        <v>182.93</v>
      </c>
      <c r="E210" s="50">
        <v>7.0</v>
      </c>
      <c r="F210" s="50">
        <v>4.0</v>
      </c>
      <c r="G210" s="51">
        <f t="shared" si="2"/>
        <v>1.75</v>
      </c>
      <c r="H210" s="49">
        <f t="shared" si="127"/>
        <v>45.7325</v>
      </c>
      <c r="I210" s="49">
        <f t="shared" si="128"/>
        <v>26.13285714</v>
      </c>
      <c r="J210" s="52">
        <v>162.0</v>
      </c>
      <c r="K210" s="53">
        <f t="shared" si="5"/>
        <v>0.04320987654</v>
      </c>
      <c r="L210" s="49">
        <v>89.6</v>
      </c>
      <c r="M210" s="49">
        <v>47.98</v>
      </c>
      <c r="N210" s="50">
        <v>2.0</v>
      </c>
      <c r="O210" s="52">
        <v>23291.0</v>
      </c>
      <c r="P210" s="53">
        <f t="shared" si="6"/>
        <v>1.867444769</v>
      </c>
      <c r="Q210" s="55">
        <f t="shared" si="7"/>
        <v>0.5354910714</v>
      </c>
      <c r="R210" s="53">
        <f t="shared" si="8"/>
        <v>0.2622861204</v>
      </c>
      <c r="S210" s="19"/>
      <c r="T210" s="28"/>
      <c r="U210" s="9"/>
      <c r="V210" s="9"/>
      <c r="W210" s="9"/>
      <c r="X210" s="9"/>
      <c r="Y210" s="9"/>
      <c r="Z210" s="9"/>
    </row>
    <row r="211" collapsed="1">
      <c r="A211" s="101" t="s">
        <v>144</v>
      </c>
      <c r="B211" s="102"/>
      <c r="C211" s="103"/>
      <c r="D211" s="104">
        <f t="shared" ref="D211:F211" si="129">SUM(D204:D210)</f>
        <v>1642.35</v>
      </c>
      <c r="E211" s="105">
        <f t="shared" si="129"/>
        <v>65</v>
      </c>
      <c r="F211" s="105">
        <f t="shared" si="129"/>
        <v>59</v>
      </c>
      <c r="G211" s="260">
        <f t="shared" si="2"/>
        <v>1.101694915</v>
      </c>
      <c r="H211" s="104">
        <f>average(H204:H210)</f>
        <v>29.3029823</v>
      </c>
      <c r="I211" s="261">
        <f>H211/G211</f>
        <v>26.59809162</v>
      </c>
      <c r="J211" s="108">
        <f>SUM(J204:J210)</f>
        <v>1122</v>
      </c>
      <c r="K211" s="109">
        <f t="shared" si="5"/>
        <v>0.05793226381</v>
      </c>
      <c r="L211" s="104">
        <f t="shared" ref="L211:N211" si="130">SUM(L204:L210)</f>
        <v>525.89</v>
      </c>
      <c r="M211" s="104">
        <f t="shared" si="130"/>
        <v>778.69</v>
      </c>
      <c r="N211" s="262">
        <f t="shared" si="130"/>
        <v>31</v>
      </c>
      <c r="O211" s="108">
        <f>sum(O204:O210)</f>
        <v>143248</v>
      </c>
      <c r="P211" s="109">
        <f t="shared" si="6"/>
        <v>0.6753521941</v>
      </c>
      <c r="Q211" s="263">
        <f t="shared" si="7"/>
        <v>1.480708893</v>
      </c>
      <c r="R211" s="113">
        <f t="shared" si="8"/>
        <v>0.4741315797</v>
      </c>
      <c r="S211" s="103" t="str">
        <f>iferror((D211-#REF!)/D211,)</f>
        <v/>
      </c>
      <c r="T211" s="114" t="str">
        <f>iferror((F211-#REF!)/F211,)</f>
        <v/>
      </c>
      <c r="U211" s="9"/>
      <c r="V211" s="9"/>
      <c r="W211" s="9"/>
      <c r="X211" s="9"/>
      <c r="Y211" s="9"/>
      <c r="Z211" s="9"/>
    </row>
    <row r="212">
      <c r="A212" s="56" t="str">
        <f t="shared" ref="A212:A218" si="131">iferror(if(B212&gt;0,month(B212)&amp;"-"&amp;year(B212),B212),)</f>
        <v>12-2024</v>
      </c>
      <c r="B212" s="91">
        <v>45648.0</v>
      </c>
      <c r="C212" s="38"/>
      <c r="D212" s="92">
        <v>228.91</v>
      </c>
      <c r="E212" s="93">
        <v>9.0</v>
      </c>
      <c r="F212" s="93">
        <v>8.0</v>
      </c>
      <c r="G212" s="41">
        <f t="shared" si="2"/>
        <v>1.125</v>
      </c>
      <c r="H212" s="39">
        <f t="shared" ref="H212:H218" si="132">D212/F212</f>
        <v>28.61375</v>
      </c>
      <c r="I212" s="39">
        <f t="shared" ref="I212:I218" si="133">D212/E212</f>
        <v>25.43444444</v>
      </c>
      <c r="J212" s="94">
        <v>156.0</v>
      </c>
      <c r="K212" s="43">
        <f t="shared" si="5"/>
        <v>0.05769230769</v>
      </c>
      <c r="L212" s="92">
        <v>96.69</v>
      </c>
      <c r="M212" s="92">
        <v>201.92</v>
      </c>
      <c r="N212" s="93">
        <v>7.0</v>
      </c>
      <c r="O212" s="94">
        <v>22184.0</v>
      </c>
      <c r="P212" s="43">
        <f t="shared" si="6"/>
        <v>0.4788530111</v>
      </c>
      <c r="Q212" s="44">
        <f t="shared" si="7"/>
        <v>2.088323508</v>
      </c>
      <c r="R212" s="43">
        <f t="shared" si="8"/>
        <v>0.8820933992</v>
      </c>
      <c r="S212" s="45"/>
      <c r="T212" s="46"/>
      <c r="U212" s="2"/>
      <c r="V212" s="2"/>
      <c r="W212" s="2"/>
      <c r="X212" s="2"/>
      <c r="Y212" s="2"/>
      <c r="Z212" s="2"/>
    </row>
    <row r="213">
      <c r="A213" s="67" t="str">
        <f t="shared" si="131"/>
        <v>12-2024</v>
      </c>
      <c r="B213" s="91">
        <v>45649.0</v>
      </c>
      <c r="C213" s="48"/>
      <c r="D213" s="96">
        <v>124.95</v>
      </c>
      <c r="E213" s="97">
        <v>6.0</v>
      </c>
      <c r="F213" s="97">
        <v>6.0</v>
      </c>
      <c r="G213" s="51">
        <f t="shared" si="2"/>
        <v>1</v>
      </c>
      <c r="H213" s="49">
        <f t="shared" si="132"/>
        <v>20.825</v>
      </c>
      <c r="I213" s="49">
        <f t="shared" si="133"/>
        <v>20.825</v>
      </c>
      <c r="J213" s="98">
        <v>88.0</v>
      </c>
      <c r="K213" s="53">
        <f t="shared" si="5"/>
        <v>0.06818181818</v>
      </c>
      <c r="L213" s="96">
        <v>40.17</v>
      </c>
      <c r="M213" s="99">
        <v>74.97</v>
      </c>
      <c r="N213" s="97">
        <v>3.0</v>
      </c>
      <c r="O213" s="98">
        <v>11889.0</v>
      </c>
      <c r="P213" s="53">
        <f t="shared" si="6"/>
        <v>0.5358143257</v>
      </c>
      <c r="Q213" s="55">
        <f t="shared" si="7"/>
        <v>1.866318148</v>
      </c>
      <c r="R213" s="53">
        <f t="shared" si="8"/>
        <v>0.6</v>
      </c>
      <c r="S213" s="19"/>
      <c r="T213" s="28"/>
      <c r="U213" s="2"/>
      <c r="V213" s="2"/>
      <c r="W213" s="2"/>
      <c r="X213" s="2"/>
      <c r="Y213" s="2"/>
      <c r="Z213" s="2"/>
    </row>
    <row r="214">
      <c r="A214" s="67" t="str">
        <f t="shared" si="131"/>
        <v>12-2024</v>
      </c>
      <c r="B214" s="91">
        <v>45650.0</v>
      </c>
      <c r="C214" s="48"/>
      <c r="D214" s="96">
        <v>74.97</v>
      </c>
      <c r="E214" s="97">
        <v>3.0</v>
      </c>
      <c r="F214" s="97">
        <v>2.0</v>
      </c>
      <c r="G214" s="51">
        <f t="shared" si="2"/>
        <v>1.5</v>
      </c>
      <c r="H214" s="49">
        <f t="shared" si="132"/>
        <v>37.485</v>
      </c>
      <c r="I214" s="49">
        <f t="shared" si="133"/>
        <v>24.99</v>
      </c>
      <c r="J214" s="98">
        <v>56.0</v>
      </c>
      <c r="K214" s="53">
        <f t="shared" si="5"/>
        <v>0.05357142857</v>
      </c>
      <c r="L214" s="92">
        <v>26.53</v>
      </c>
      <c r="M214" s="92">
        <v>74.97</v>
      </c>
      <c r="N214" s="93">
        <v>2.0</v>
      </c>
      <c r="O214" s="98">
        <v>8251.0</v>
      </c>
      <c r="P214" s="53">
        <f t="shared" si="6"/>
        <v>0.3538748833</v>
      </c>
      <c r="Q214" s="55">
        <f t="shared" si="7"/>
        <v>2.82585752</v>
      </c>
      <c r="R214" s="53">
        <f t="shared" si="8"/>
        <v>1</v>
      </c>
      <c r="S214" s="19"/>
      <c r="T214" s="28"/>
      <c r="U214" s="2"/>
      <c r="V214" s="2"/>
      <c r="W214" s="2"/>
      <c r="X214" s="2"/>
      <c r="Y214" s="2"/>
      <c r="Z214" s="2"/>
    </row>
    <row r="215">
      <c r="A215" s="67" t="str">
        <f t="shared" si="131"/>
        <v>12-2024</v>
      </c>
      <c r="B215" s="91">
        <v>45651.0</v>
      </c>
      <c r="C215" s="48"/>
      <c r="D215" s="96">
        <v>155.94</v>
      </c>
      <c r="E215" s="97">
        <v>6.0</v>
      </c>
      <c r="F215" s="97">
        <v>4.0</v>
      </c>
      <c r="G215" s="51">
        <f t="shared" si="2"/>
        <v>1.5</v>
      </c>
      <c r="H215" s="49">
        <f t="shared" si="132"/>
        <v>38.985</v>
      </c>
      <c r="I215" s="49">
        <f t="shared" si="133"/>
        <v>25.99</v>
      </c>
      <c r="J215" s="98">
        <v>94.0</v>
      </c>
      <c r="K215" s="53">
        <f t="shared" si="5"/>
        <v>0.06382978723</v>
      </c>
      <c r="L215" s="96">
        <v>38.97</v>
      </c>
      <c r="M215" s="96">
        <v>74.97</v>
      </c>
      <c r="N215" s="97">
        <v>3.0</v>
      </c>
      <c r="O215" s="98">
        <v>11515.0</v>
      </c>
      <c r="P215" s="53">
        <f t="shared" si="6"/>
        <v>0.5198079232</v>
      </c>
      <c r="Q215" s="55">
        <f t="shared" si="7"/>
        <v>1.923787529</v>
      </c>
      <c r="R215" s="53">
        <f t="shared" si="8"/>
        <v>0.4807618315</v>
      </c>
      <c r="S215" s="19"/>
      <c r="T215" s="28"/>
      <c r="U215" s="2"/>
      <c r="V215" s="2"/>
      <c r="W215" s="2"/>
      <c r="X215" s="2"/>
      <c r="Y215" s="2"/>
      <c r="Z215" s="2"/>
    </row>
    <row r="216">
      <c r="A216" s="67" t="str">
        <f t="shared" si="131"/>
        <v>12-2024</v>
      </c>
      <c r="B216" s="91">
        <v>45652.0</v>
      </c>
      <c r="C216" s="48"/>
      <c r="D216" s="96">
        <v>278.89</v>
      </c>
      <c r="E216" s="97">
        <v>12.0</v>
      </c>
      <c r="F216" s="97">
        <v>10.0</v>
      </c>
      <c r="G216" s="51">
        <f t="shared" si="2"/>
        <v>1.2</v>
      </c>
      <c r="H216" s="49">
        <f t="shared" si="132"/>
        <v>27.889</v>
      </c>
      <c r="I216" s="49">
        <f t="shared" si="133"/>
        <v>23.24083333</v>
      </c>
      <c r="J216" s="98">
        <v>140.0</v>
      </c>
      <c r="K216" s="53">
        <f t="shared" si="5"/>
        <v>0.08571428571</v>
      </c>
      <c r="L216" s="96">
        <v>76.85</v>
      </c>
      <c r="M216" s="96">
        <v>370.85</v>
      </c>
      <c r="N216" s="97">
        <v>13.0</v>
      </c>
      <c r="O216" s="98">
        <v>20049.0</v>
      </c>
      <c r="P216" s="53">
        <f t="shared" si="6"/>
        <v>0.2072266415</v>
      </c>
      <c r="Q216" s="55">
        <f t="shared" si="7"/>
        <v>4.825634353</v>
      </c>
      <c r="R216" s="53">
        <f t="shared" si="8"/>
        <v>1.329735738</v>
      </c>
      <c r="S216" s="19"/>
      <c r="T216" s="28"/>
      <c r="U216" s="2"/>
      <c r="V216" s="2"/>
      <c r="W216" s="2"/>
      <c r="X216" s="2"/>
      <c r="Y216" s="2"/>
      <c r="Z216" s="2"/>
    </row>
    <row r="217">
      <c r="A217" s="67" t="str">
        <f t="shared" si="131"/>
        <v>12-2024</v>
      </c>
      <c r="B217" s="91">
        <v>45653.0</v>
      </c>
      <c r="C217" s="48"/>
      <c r="D217" s="96">
        <v>151.94</v>
      </c>
      <c r="E217" s="97">
        <v>6.0</v>
      </c>
      <c r="F217" s="97">
        <v>6.0</v>
      </c>
      <c r="G217" s="51">
        <f t="shared" si="2"/>
        <v>1</v>
      </c>
      <c r="H217" s="49">
        <f t="shared" si="132"/>
        <v>25.32333333</v>
      </c>
      <c r="I217" s="49">
        <f t="shared" si="133"/>
        <v>25.32333333</v>
      </c>
      <c r="J217" s="98">
        <v>152.0</v>
      </c>
      <c r="K217" s="53">
        <f t="shared" si="5"/>
        <v>0.03947368421</v>
      </c>
      <c r="L217" s="96">
        <v>68.47</v>
      </c>
      <c r="M217" s="96">
        <v>53.98</v>
      </c>
      <c r="N217" s="97">
        <v>2.0</v>
      </c>
      <c r="O217" s="98">
        <v>22523.0</v>
      </c>
      <c r="P217" s="53">
        <f t="shared" si="6"/>
        <v>1.268432753</v>
      </c>
      <c r="Q217" s="55">
        <f t="shared" si="7"/>
        <v>0.7883744706</v>
      </c>
      <c r="R217" s="53">
        <f t="shared" si="8"/>
        <v>0.3552718178</v>
      </c>
      <c r="S217" s="19"/>
      <c r="T217" s="28"/>
      <c r="U217" s="2"/>
      <c r="V217" s="2"/>
      <c r="W217" s="2"/>
      <c r="X217" s="2"/>
      <c r="Y217" s="2"/>
      <c r="Z217" s="2"/>
    </row>
    <row r="218">
      <c r="A218" s="67" t="str">
        <f t="shared" si="131"/>
        <v>12-2024</v>
      </c>
      <c r="B218" s="91">
        <v>45654.0</v>
      </c>
      <c r="C218" s="48"/>
      <c r="D218" s="96">
        <v>251.9</v>
      </c>
      <c r="E218" s="97">
        <v>10.0</v>
      </c>
      <c r="F218" s="97">
        <v>10.0</v>
      </c>
      <c r="G218" s="51">
        <f t="shared" si="2"/>
        <v>1</v>
      </c>
      <c r="H218" s="49">
        <f t="shared" si="132"/>
        <v>25.19</v>
      </c>
      <c r="I218" s="49">
        <f t="shared" si="133"/>
        <v>25.19</v>
      </c>
      <c r="J218" s="98">
        <v>194.0</v>
      </c>
      <c r="K218" s="53">
        <f t="shared" si="5"/>
        <v>0.05154639175</v>
      </c>
      <c r="L218" s="96">
        <v>109.27</v>
      </c>
      <c r="M218" s="96">
        <v>276.89</v>
      </c>
      <c r="N218" s="97">
        <v>11.0</v>
      </c>
      <c r="O218" s="98">
        <v>30752.0</v>
      </c>
      <c r="P218" s="53">
        <f t="shared" si="6"/>
        <v>0.3946332479</v>
      </c>
      <c r="Q218" s="55">
        <f t="shared" si="7"/>
        <v>2.533998353</v>
      </c>
      <c r="R218" s="53">
        <f t="shared" si="8"/>
        <v>1.099206034</v>
      </c>
      <c r="S218" s="19"/>
      <c r="T218" s="28"/>
      <c r="U218" s="2"/>
      <c r="V218" s="2"/>
      <c r="W218" s="2"/>
      <c r="X218" s="2"/>
      <c r="Y218" s="2"/>
      <c r="Z218" s="2"/>
    </row>
    <row r="219">
      <c r="A219" s="101" t="s">
        <v>55</v>
      </c>
      <c r="B219" s="102"/>
      <c r="C219" s="103"/>
      <c r="D219" s="104">
        <f t="shared" ref="D219:F219" si="134">SUM(D212:D218)</f>
        <v>1267.5</v>
      </c>
      <c r="E219" s="105">
        <f t="shared" si="134"/>
        <v>52</v>
      </c>
      <c r="F219" s="105">
        <f t="shared" si="134"/>
        <v>46</v>
      </c>
      <c r="G219" s="106">
        <f t="shared" si="2"/>
        <v>1.130434783</v>
      </c>
      <c r="H219" s="104">
        <f>average(H212:H218)</f>
        <v>29.18729762</v>
      </c>
      <c r="I219" s="107">
        <f>H219/G219</f>
        <v>25.81953251</v>
      </c>
      <c r="J219" s="108">
        <f>SUM(J212:J218)</f>
        <v>880</v>
      </c>
      <c r="K219" s="109">
        <f t="shared" si="5"/>
        <v>0.05909090909</v>
      </c>
      <c r="L219" s="104">
        <f t="shared" ref="L219:N219" si="135">SUM(L212:L218)</f>
        <v>456.95</v>
      </c>
      <c r="M219" s="104">
        <f t="shared" si="135"/>
        <v>1128.55</v>
      </c>
      <c r="N219" s="110">
        <f t="shared" si="135"/>
        <v>41</v>
      </c>
      <c r="O219" s="111">
        <f>sum(O212:O218)</f>
        <v>127163</v>
      </c>
      <c r="P219" s="109">
        <f t="shared" si="6"/>
        <v>0.404900093</v>
      </c>
      <c r="Q219" s="112">
        <f t="shared" si="7"/>
        <v>2.469745049</v>
      </c>
      <c r="R219" s="113">
        <f t="shared" si="8"/>
        <v>0.8903747535</v>
      </c>
      <c r="S219" s="103" t="str">
        <f>iferror((D219-#REF!)/D219,)</f>
        <v/>
      </c>
      <c r="T219" s="114" t="str">
        <f>iferror((F219-#REF!)/F219,)</f>
        <v/>
      </c>
      <c r="U219" s="9"/>
      <c r="V219" s="9"/>
      <c r="W219" s="10"/>
      <c r="X219" s="10"/>
      <c r="Y219" s="10"/>
      <c r="Z219" s="10"/>
    </row>
    <row r="220">
      <c r="A220" s="56" t="str">
        <f t="shared" ref="A220:A226" si="136">iferror(if(B220&gt;0,month(B220)&amp;"-"&amp;year(B220),B220),)</f>
        <v>12-2024</v>
      </c>
      <c r="B220" s="91">
        <v>45655.0</v>
      </c>
      <c r="C220" s="38"/>
      <c r="D220" s="92">
        <v>426.83</v>
      </c>
      <c r="E220" s="93">
        <v>17.0</v>
      </c>
      <c r="F220" s="93">
        <v>15.0</v>
      </c>
      <c r="G220" s="41">
        <f t="shared" si="2"/>
        <v>1.133333333</v>
      </c>
      <c r="H220" s="39">
        <f t="shared" ref="H220:H226" si="137">D220/F220</f>
        <v>28.45533333</v>
      </c>
      <c r="I220" s="39">
        <f t="shared" ref="I220:I226" si="138">D220/E220</f>
        <v>25.10764706</v>
      </c>
      <c r="J220" s="94">
        <v>253.0</v>
      </c>
      <c r="K220" s="43">
        <f t="shared" si="5"/>
        <v>0.06719367589</v>
      </c>
      <c r="L220" s="92">
        <v>143.67</v>
      </c>
      <c r="M220" s="92">
        <v>330.87</v>
      </c>
      <c r="N220" s="93">
        <v>12.0</v>
      </c>
      <c r="O220" s="94">
        <v>36837.0</v>
      </c>
      <c r="P220" s="43">
        <f t="shared" si="6"/>
        <v>0.4342188775</v>
      </c>
      <c r="Q220" s="44">
        <f t="shared" si="7"/>
        <v>2.30298601</v>
      </c>
      <c r="R220" s="43">
        <f t="shared" si="8"/>
        <v>0.775179814</v>
      </c>
      <c r="S220" s="45"/>
      <c r="T220" s="46"/>
      <c r="U220" s="2"/>
      <c r="V220" s="2"/>
      <c r="W220" s="2"/>
      <c r="X220" s="2"/>
      <c r="Y220" s="2"/>
      <c r="Z220" s="2"/>
    </row>
    <row r="221">
      <c r="A221" s="67" t="str">
        <f t="shared" si="136"/>
        <v>12-2024</v>
      </c>
      <c r="B221" s="91">
        <v>45656.0</v>
      </c>
      <c r="C221" s="48"/>
      <c r="D221" s="96">
        <v>343.86</v>
      </c>
      <c r="E221" s="97">
        <v>14.0</v>
      </c>
      <c r="F221" s="97">
        <v>11.0</v>
      </c>
      <c r="G221" s="51">
        <f t="shared" si="2"/>
        <v>1.272727273</v>
      </c>
      <c r="H221" s="49">
        <f t="shared" si="137"/>
        <v>31.26</v>
      </c>
      <c r="I221" s="49">
        <f t="shared" si="138"/>
        <v>24.56142857</v>
      </c>
      <c r="J221" s="98">
        <v>143.0</v>
      </c>
      <c r="K221" s="53">
        <f t="shared" si="5"/>
        <v>0.0979020979</v>
      </c>
      <c r="L221" s="96">
        <v>68.95</v>
      </c>
      <c r="M221" s="99">
        <v>97.96</v>
      </c>
      <c r="N221" s="97">
        <v>4.0</v>
      </c>
      <c r="O221" s="98">
        <v>21091.0</v>
      </c>
      <c r="P221" s="53">
        <f t="shared" si="6"/>
        <v>0.7038587178</v>
      </c>
      <c r="Q221" s="55">
        <f t="shared" si="7"/>
        <v>1.420739666</v>
      </c>
      <c r="R221" s="53">
        <f t="shared" si="8"/>
        <v>0.2848833828</v>
      </c>
      <c r="S221" s="19"/>
      <c r="T221" s="28"/>
      <c r="U221" s="2"/>
      <c r="V221" s="2"/>
      <c r="W221" s="2"/>
      <c r="X221" s="2"/>
      <c r="Y221" s="2"/>
      <c r="Z221" s="2"/>
    </row>
    <row r="222">
      <c r="A222" s="67" t="str">
        <f t="shared" si="136"/>
        <v>12-2024</v>
      </c>
      <c r="B222" s="91">
        <v>45657.0</v>
      </c>
      <c r="C222" s="48"/>
      <c r="D222" s="96">
        <v>151.94</v>
      </c>
      <c r="E222" s="97">
        <v>7.0</v>
      </c>
      <c r="F222" s="97">
        <v>6.0</v>
      </c>
      <c r="G222" s="51">
        <f t="shared" si="2"/>
        <v>1.166666667</v>
      </c>
      <c r="H222" s="49">
        <f t="shared" si="137"/>
        <v>25.32333333</v>
      </c>
      <c r="I222" s="49">
        <f t="shared" si="138"/>
        <v>21.70571429</v>
      </c>
      <c r="J222" s="98">
        <v>120.0</v>
      </c>
      <c r="K222" s="53">
        <f t="shared" si="5"/>
        <v>0.05833333333</v>
      </c>
      <c r="L222" s="92">
        <v>51.31</v>
      </c>
      <c r="M222" s="92">
        <v>51.98</v>
      </c>
      <c r="N222" s="93">
        <v>2.0</v>
      </c>
      <c r="O222" s="98">
        <v>11457.0</v>
      </c>
      <c r="P222" s="53">
        <f t="shared" si="6"/>
        <v>0.9871104271</v>
      </c>
      <c r="Q222" s="55">
        <f t="shared" si="7"/>
        <v>1.013057883</v>
      </c>
      <c r="R222" s="53">
        <f t="shared" si="8"/>
        <v>0.3421087271</v>
      </c>
      <c r="S222" s="19"/>
      <c r="T222" s="28"/>
      <c r="U222" s="2"/>
      <c r="V222" s="2"/>
      <c r="W222" s="2"/>
      <c r="X222" s="2"/>
      <c r="Y222" s="2"/>
      <c r="Z222" s="2"/>
    </row>
    <row r="223">
      <c r="A223" s="67" t="str">
        <f t="shared" si="136"/>
        <v>1-2025</v>
      </c>
      <c r="B223" s="91">
        <v>45658.0</v>
      </c>
      <c r="C223" s="48"/>
      <c r="D223" s="96">
        <v>395.84</v>
      </c>
      <c r="E223" s="97">
        <v>16.0</v>
      </c>
      <c r="F223" s="97">
        <v>16.0</v>
      </c>
      <c r="G223" s="51">
        <f t="shared" si="2"/>
        <v>1</v>
      </c>
      <c r="H223" s="49">
        <f t="shared" si="137"/>
        <v>24.74</v>
      </c>
      <c r="I223" s="49">
        <f t="shared" si="138"/>
        <v>24.74</v>
      </c>
      <c r="J223" s="98">
        <v>228.0</v>
      </c>
      <c r="K223" s="53">
        <f t="shared" si="5"/>
        <v>0.0701754386</v>
      </c>
      <c r="L223" s="96">
        <v>119.67</v>
      </c>
      <c r="M223" s="96">
        <v>374.85</v>
      </c>
      <c r="N223" s="97">
        <v>14.0</v>
      </c>
      <c r="O223" s="98">
        <v>26767.0</v>
      </c>
      <c r="P223" s="53">
        <f t="shared" si="6"/>
        <v>0.3192476991</v>
      </c>
      <c r="Q223" s="55">
        <f t="shared" si="7"/>
        <v>3.132364001</v>
      </c>
      <c r="R223" s="53">
        <f t="shared" si="8"/>
        <v>0.9469735247</v>
      </c>
      <c r="S223" s="19"/>
      <c r="T223" s="28"/>
      <c r="U223" s="2"/>
      <c r="V223" s="2"/>
      <c r="W223" s="2"/>
      <c r="X223" s="2"/>
      <c r="Y223" s="2"/>
      <c r="Z223" s="2"/>
    </row>
    <row r="224">
      <c r="A224" s="67" t="str">
        <f t="shared" si="136"/>
        <v>1-2025</v>
      </c>
      <c r="B224" s="91">
        <v>45659.0</v>
      </c>
      <c r="C224" s="48"/>
      <c r="D224" s="96">
        <v>330.87</v>
      </c>
      <c r="E224" s="97">
        <v>13.0</v>
      </c>
      <c r="F224" s="97">
        <v>13.0</v>
      </c>
      <c r="G224" s="51">
        <f t="shared" si="2"/>
        <v>1</v>
      </c>
      <c r="H224" s="49">
        <f t="shared" si="137"/>
        <v>25.45153846</v>
      </c>
      <c r="I224" s="49">
        <f t="shared" si="138"/>
        <v>25.45153846</v>
      </c>
      <c r="J224" s="98">
        <v>214.0</v>
      </c>
      <c r="K224" s="53">
        <f t="shared" si="5"/>
        <v>0.06074766355</v>
      </c>
      <c r="L224" s="96">
        <v>116.74</v>
      </c>
      <c r="M224" s="96">
        <v>199.92</v>
      </c>
      <c r="N224" s="97">
        <v>8.0</v>
      </c>
      <c r="O224" s="98">
        <v>30677.0</v>
      </c>
      <c r="P224" s="53">
        <f t="shared" si="6"/>
        <v>0.5839335734</v>
      </c>
      <c r="Q224" s="55">
        <f t="shared" si="7"/>
        <v>1.712523557</v>
      </c>
      <c r="R224" s="53">
        <f t="shared" si="8"/>
        <v>0.6042252244</v>
      </c>
      <c r="S224" s="19"/>
      <c r="T224" s="28"/>
      <c r="U224" s="2"/>
      <c r="V224" s="2"/>
      <c r="W224" s="2"/>
      <c r="X224" s="2"/>
      <c r="Y224" s="2"/>
      <c r="Z224" s="2"/>
    </row>
    <row r="225">
      <c r="A225" s="67" t="str">
        <f t="shared" si="136"/>
        <v>1-2025</v>
      </c>
      <c r="B225" s="91">
        <v>45660.0</v>
      </c>
      <c r="C225" s="48"/>
      <c r="D225" s="96">
        <v>249.9</v>
      </c>
      <c r="E225" s="97">
        <v>10.0</v>
      </c>
      <c r="F225" s="97">
        <v>10.0</v>
      </c>
      <c r="G225" s="51">
        <f t="shared" si="2"/>
        <v>1</v>
      </c>
      <c r="H225" s="49">
        <f t="shared" si="137"/>
        <v>24.99</v>
      </c>
      <c r="I225" s="49">
        <f t="shared" si="138"/>
        <v>24.99</v>
      </c>
      <c r="J225" s="98">
        <v>234.0</v>
      </c>
      <c r="K225" s="53">
        <f t="shared" si="5"/>
        <v>0.04273504274</v>
      </c>
      <c r="L225" s="96">
        <v>124.91</v>
      </c>
      <c r="M225" s="96">
        <v>147.94</v>
      </c>
      <c r="N225" s="97">
        <v>6.0</v>
      </c>
      <c r="O225" s="98">
        <v>40009.0</v>
      </c>
      <c r="P225" s="53">
        <f t="shared" si="6"/>
        <v>0.8443287819</v>
      </c>
      <c r="Q225" s="55">
        <f t="shared" si="7"/>
        <v>1.184372748</v>
      </c>
      <c r="R225" s="53">
        <f t="shared" si="8"/>
        <v>0.5919967987</v>
      </c>
      <c r="S225" s="19"/>
      <c r="T225" s="28"/>
      <c r="U225" s="2"/>
      <c r="V225" s="2"/>
      <c r="W225" s="2"/>
      <c r="X225" s="2"/>
      <c r="Y225" s="2"/>
      <c r="Z225" s="2"/>
    </row>
    <row r="226">
      <c r="A226" s="67" t="str">
        <f t="shared" si="136"/>
        <v>1-2025</v>
      </c>
      <c r="B226" s="91">
        <v>45661.0</v>
      </c>
      <c r="C226" s="48"/>
      <c r="D226" s="96">
        <v>345.86</v>
      </c>
      <c r="E226" s="97">
        <v>14.0</v>
      </c>
      <c r="F226" s="97">
        <v>12.0</v>
      </c>
      <c r="G226" s="51">
        <f t="shared" si="2"/>
        <v>1.166666667</v>
      </c>
      <c r="H226" s="49">
        <f t="shared" si="137"/>
        <v>28.82166667</v>
      </c>
      <c r="I226" s="49">
        <f t="shared" si="138"/>
        <v>24.70428571</v>
      </c>
      <c r="J226" s="98">
        <v>318.0</v>
      </c>
      <c r="K226" s="53">
        <f t="shared" si="5"/>
        <v>0.04402515723</v>
      </c>
      <c r="L226" s="96">
        <v>171.03</v>
      </c>
      <c r="M226" s="96">
        <v>318.87</v>
      </c>
      <c r="N226" s="97">
        <v>10.0</v>
      </c>
      <c r="O226" s="98">
        <v>53534.0</v>
      </c>
      <c r="P226" s="53">
        <f t="shared" si="6"/>
        <v>0.5363627811</v>
      </c>
      <c r="Q226" s="55">
        <f t="shared" si="7"/>
        <v>1.864409753</v>
      </c>
      <c r="R226" s="53">
        <f t="shared" si="8"/>
        <v>0.9219626438</v>
      </c>
      <c r="S226" s="19"/>
      <c r="T226" s="28"/>
      <c r="U226" s="2"/>
      <c r="V226" s="2"/>
      <c r="W226" s="2"/>
      <c r="X226" s="2"/>
      <c r="Y226" s="2"/>
      <c r="Z226" s="2"/>
    </row>
    <row r="227">
      <c r="A227" s="110" t="s">
        <v>56</v>
      </c>
      <c r="B227" s="102"/>
      <c r="C227" s="103"/>
      <c r="D227" s="104">
        <f t="shared" ref="D227:F227" si="139">SUM(D220:D226)</f>
        <v>2245.1</v>
      </c>
      <c r="E227" s="110">
        <f t="shared" si="139"/>
        <v>91</v>
      </c>
      <c r="F227" s="110">
        <f t="shared" si="139"/>
        <v>83</v>
      </c>
      <c r="G227" s="106">
        <f t="shared" si="2"/>
        <v>1.096385542</v>
      </c>
      <c r="H227" s="104">
        <f>average(H220:H226)</f>
        <v>27.00598168</v>
      </c>
      <c r="I227" s="107">
        <f>H227/G227</f>
        <v>24.63182945</v>
      </c>
      <c r="J227" s="108">
        <f>SUM(J220:J226)</f>
        <v>1510</v>
      </c>
      <c r="K227" s="109">
        <f t="shared" si="5"/>
        <v>0.06026490066</v>
      </c>
      <c r="L227" s="104">
        <f t="shared" ref="L227:N227" si="140">SUM(L220:L226)</f>
        <v>796.28</v>
      </c>
      <c r="M227" s="104">
        <f t="shared" si="140"/>
        <v>1522.39</v>
      </c>
      <c r="N227" s="110">
        <f t="shared" si="140"/>
        <v>56</v>
      </c>
      <c r="O227" s="111">
        <f>sum(O220:O226)</f>
        <v>220372</v>
      </c>
      <c r="P227" s="109">
        <f t="shared" si="6"/>
        <v>0.523046</v>
      </c>
      <c r="Q227" s="112">
        <f t="shared" si="7"/>
        <v>1.911877731</v>
      </c>
      <c r="R227" s="113">
        <f t="shared" si="8"/>
        <v>0.6780945169</v>
      </c>
      <c r="S227" s="103" t="str">
        <f>iferror((D227-#REF!)/D227,)</f>
        <v/>
      </c>
      <c r="T227" s="114" t="str">
        <f>iferror((F227-#REF!)/F227,)</f>
        <v/>
      </c>
      <c r="U227" s="9"/>
      <c r="V227" s="9"/>
      <c r="W227" s="10"/>
      <c r="X227" s="10"/>
      <c r="Y227" s="10"/>
      <c r="Z227" s="10"/>
    </row>
    <row r="228">
      <c r="A228" s="9"/>
      <c r="B228" s="9"/>
      <c r="C228" s="9"/>
      <c r="D228" s="9"/>
      <c r="E228" s="9"/>
      <c r="F228" s="9"/>
      <c r="G228" s="9"/>
      <c r="H228" s="9"/>
      <c r="I228" s="9"/>
      <c r="J228" s="9"/>
      <c r="K228" s="9"/>
      <c r="L228" s="115"/>
      <c r="M228" s="115"/>
      <c r="N228" s="115"/>
      <c r="O228" s="115"/>
      <c r="P228" s="9"/>
      <c r="Q228" s="9"/>
      <c r="R228" s="9"/>
      <c r="S228" s="9"/>
      <c r="T228" s="9"/>
      <c r="U228" s="9"/>
      <c r="V228" s="9"/>
      <c r="W228" s="10"/>
      <c r="X228" s="10"/>
      <c r="Y228" s="10"/>
      <c r="Z228" s="10"/>
    </row>
    <row r="229">
      <c r="A229" s="9"/>
      <c r="B229" s="9"/>
      <c r="C229" s="9"/>
      <c r="D229" s="9"/>
      <c r="E229" s="9"/>
      <c r="F229" s="9"/>
      <c r="G229" s="9"/>
      <c r="H229" s="9"/>
      <c r="I229" s="9"/>
      <c r="J229" s="9"/>
      <c r="K229" s="9"/>
      <c r="L229" s="115"/>
      <c r="M229" s="115"/>
      <c r="N229" s="115"/>
      <c r="O229" s="115"/>
      <c r="P229" s="9"/>
      <c r="Q229" s="9"/>
      <c r="R229" s="9"/>
      <c r="S229" s="9"/>
      <c r="T229" s="9"/>
      <c r="U229" s="9"/>
      <c r="V229" s="9"/>
      <c r="W229" s="10"/>
      <c r="X229" s="10"/>
      <c r="Y229" s="10"/>
      <c r="Z229" s="10"/>
    </row>
    <row r="230">
      <c r="A230" s="9"/>
      <c r="B230" s="9"/>
      <c r="C230" s="9"/>
      <c r="D230" s="9"/>
      <c r="E230" s="9"/>
      <c r="F230" s="9"/>
      <c r="G230" s="9"/>
      <c r="H230" s="9"/>
      <c r="I230" s="9"/>
      <c r="J230" s="9"/>
      <c r="K230" s="9"/>
      <c r="L230" s="115"/>
      <c r="M230" s="115"/>
      <c r="N230" s="115"/>
      <c r="O230" s="115"/>
      <c r="P230" s="9"/>
      <c r="Q230" s="9"/>
      <c r="R230" s="9"/>
      <c r="S230" s="9"/>
      <c r="T230" s="9"/>
      <c r="U230" s="9"/>
      <c r="V230" s="9"/>
      <c r="W230" s="10"/>
      <c r="X230" s="10"/>
      <c r="Y230" s="10"/>
      <c r="Z230" s="10"/>
    </row>
    <row r="231">
      <c r="A231" s="9"/>
      <c r="B231" s="9"/>
      <c r="C231" s="9"/>
      <c r="D231" s="9"/>
      <c r="E231" s="9"/>
      <c r="F231" s="9"/>
      <c r="G231" s="9"/>
      <c r="H231" s="9"/>
      <c r="I231" s="9"/>
      <c r="J231" s="9"/>
      <c r="K231" s="9"/>
      <c r="L231" s="115"/>
      <c r="M231" s="115"/>
      <c r="N231" s="115"/>
      <c r="O231" s="115"/>
      <c r="P231" s="9"/>
      <c r="Q231" s="9"/>
      <c r="R231" s="9"/>
      <c r="S231" s="9"/>
      <c r="T231" s="9"/>
      <c r="U231" s="9"/>
      <c r="V231" s="9"/>
      <c r="W231" s="10"/>
      <c r="X231" s="10"/>
      <c r="Y231" s="10"/>
      <c r="Z231" s="10"/>
    </row>
    <row r="232">
      <c r="A232" s="9"/>
      <c r="B232" s="9"/>
      <c r="C232" s="9"/>
      <c r="D232" s="9"/>
      <c r="E232" s="9"/>
      <c r="F232" s="9"/>
      <c r="G232" s="9"/>
      <c r="H232" s="9"/>
      <c r="I232" s="9"/>
      <c r="J232" s="9"/>
      <c r="K232" s="9"/>
      <c r="L232" s="115"/>
      <c r="M232" s="115"/>
      <c r="N232" s="115"/>
      <c r="O232" s="115"/>
      <c r="P232" s="9"/>
      <c r="Q232" s="9"/>
      <c r="R232" s="9"/>
      <c r="S232" s="9"/>
      <c r="T232" s="9"/>
      <c r="U232" s="9"/>
      <c r="V232" s="9"/>
      <c r="W232" s="10"/>
      <c r="X232" s="10"/>
      <c r="Y232" s="10"/>
      <c r="Z232" s="10"/>
    </row>
    <row r="233">
      <c r="A233" s="9"/>
      <c r="B233" s="9"/>
      <c r="C233" s="9"/>
      <c r="D233" s="9"/>
      <c r="E233" s="9"/>
      <c r="F233" s="9"/>
      <c r="G233" s="9"/>
      <c r="H233" s="9"/>
      <c r="I233" s="9"/>
      <c r="J233" s="9"/>
      <c r="K233" s="9"/>
      <c r="L233" s="115"/>
      <c r="M233" s="115"/>
      <c r="N233" s="115"/>
      <c r="O233" s="115"/>
      <c r="P233" s="9"/>
      <c r="Q233" s="9"/>
      <c r="R233" s="9"/>
      <c r="S233" s="9"/>
      <c r="T233" s="9"/>
      <c r="U233" s="9"/>
      <c r="V233" s="9"/>
      <c r="W233" s="10"/>
      <c r="X233" s="10"/>
      <c r="Y233" s="10"/>
      <c r="Z233" s="10"/>
    </row>
    <row r="234">
      <c r="A234" s="9"/>
      <c r="B234" s="9"/>
      <c r="C234" s="9"/>
      <c r="D234" s="9"/>
      <c r="E234" s="9"/>
      <c r="F234" s="9"/>
      <c r="G234" s="9"/>
      <c r="H234" s="9"/>
      <c r="I234" s="9"/>
      <c r="J234" s="9"/>
      <c r="K234" s="9"/>
      <c r="L234" s="115"/>
      <c r="M234" s="115"/>
      <c r="N234" s="115"/>
      <c r="O234" s="115"/>
      <c r="P234" s="9"/>
      <c r="Q234" s="9"/>
      <c r="R234" s="9"/>
      <c r="S234" s="9"/>
      <c r="T234" s="9"/>
      <c r="U234" s="9"/>
      <c r="V234" s="9"/>
      <c r="W234" s="10"/>
      <c r="X234" s="10"/>
      <c r="Y234" s="10"/>
      <c r="Z234" s="10"/>
    </row>
    <row r="235">
      <c r="A235" s="9"/>
      <c r="B235" s="9"/>
      <c r="C235" s="9"/>
      <c r="D235" s="9"/>
      <c r="E235" s="9"/>
      <c r="F235" s="9"/>
      <c r="G235" s="9"/>
      <c r="H235" s="9"/>
      <c r="I235" s="9"/>
      <c r="J235" s="9"/>
      <c r="K235" s="9"/>
      <c r="L235" s="115"/>
      <c r="M235" s="115"/>
      <c r="N235" s="115"/>
      <c r="O235" s="115"/>
      <c r="P235" s="9"/>
      <c r="Q235" s="9"/>
      <c r="R235" s="9"/>
      <c r="S235" s="9"/>
      <c r="T235" s="9"/>
      <c r="U235" s="9"/>
      <c r="V235" s="9"/>
      <c r="W235" s="10"/>
      <c r="X235" s="10"/>
      <c r="Y235" s="10"/>
      <c r="Z235" s="10"/>
    </row>
    <row r="236">
      <c r="A236" s="9"/>
      <c r="B236" s="9"/>
      <c r="C236" s="9"/>
      <c r="D236" s="9"/>
      <c r="E236" s="9"/>
      <c r="F236" s="9"/>
      <c r="G236" s="9"/>
      <c r="H236" s="9"/>
      <c r="I236" s="9"/>
      <c r="J236" s="9"/>
      <c r="K236" s="9"/>
      <c r="L236" s="115"/>
      <c r="M236" s="115"/>
      <c r="N236" s="115"/>
      <c r="O236" s="115"/>
      <c r="P236" s="9"/>
      <c r="Q236" s="9"/>
      <c r="R236" s="9"/>
      <c r="S236" s="9"/>
      <c r="T236" s="9"/>
      <c r="U236" s="9"/>
      <c r="V236" s="9"/>
      <c r="W236" s="10"/>
      <c r="X236" s="10"/>
      <c r="Y236" s="10"/>
      <c r="Z236" s="10"/>
    </row>
    <row r="237">
      <c r="A237" s="9"/>
      <c r="B237" s="9"/>
      <c r="C237" s="9"/>
      <c r="D237" s="9"/>
      <c r="E237" s="9"/>
      <c r="F237" s="9"/>
      <c r="G237" s="9"/>
      <c r="H237" s="9"/>
      <c r="I237" s="9"/>
      <c r="J237" s="9"/>
      <c r="K237" s="9"/>
      <c r="L237" s="115"/>
      <c r="M237" s="115"/>
      <c r="N237" s="115"/>
      <c r="O237" s="115"/>
      <c r="P237" s="9"/>
      <c r="Q237" s="9"/>
      <c r="R237" s="9"/>
      <c r="S237" s="9"/>
      <c r="T237" s="9"/>
      <c r="U237" s="9"/>
      <c r="V237" s="9"/>
      <c r="W237" s="10"/>
      <c r="X237" s="10"/>
      <c r="Y237" s="10"/>
      <c r="Z237" s="10"/>
    </row>
    <row r="238">
      <c r="A238" s="9"/>
      <c r="B238" s="9"/>
      <c r="C238" s="9"/>
      <c r="D238" s="9"/>
      <c r="E238" s="9"/>
      <c r="F238" s="9"/>
      <c r="G238" s="9"/>
      <c r="H238" s="9"/>
      <c r="I238" s="9"/>
      <c r="J238" s="9"/>
      <c r="K238" s="9"/>
      <c r="L238" s="115"/>
      <c r="M238" s="115"/>
      <c r="N238" s="115"/>
      <c r="O238" s="115"/>
      <c r="P238" s="9"/>
      <c r="Q238" s="9"/>
      <c r="R238" s="9"/>
      <c r="S238" s="9"/>
      <c r="T238" s="9"/>
      <c r="U238" s="9"/>
      <c r="V238" s="9"/>
      <c r="W238" s="10"/>
      <c r="X238" s="10"/>
      <c r="Y238" s="10"/>
      <c r="Z238" s="10"/>
    </row>
    <row r="239">
      <c r="A239" s="9"/>
      <c r="B239" s="9"/>
      <c r="C239" s="9"/>
      <c r="D239" s="9"/>
      <c r="E239" s="9"/>
      <c r="F239" s="9"/>
      <c r="G239" s="9"/>
      <c r="H239" s="9"/>
      <c r="I239" s="9"/>
      <c r="J239" s="9"/>
      <c r="K239" s="9"/>
      <c r="L239" s="115"/>
      <c r="M239" s="115"/>
      <c r="N239" s="115"/>
      <c r="O239" s="115"/>
      <c r="P239" s="9"/>
      <c r="Q239" s="9"/>
      <c r="R239" s="9"/>
      <c r="S239" s="9"/>
      <c r="T239" s="9"/>
      <c r="U239" s="9"/>
      <c r="V239" s="9"/>
      <c r="W239" s="10"/>
      <c r="X239" s="10"/>
      <c r="Y239" s="10"/>
      <c r="Z239" s="10"/>
    </row>
    <row r="240">
      <c r="A240" s="9"/>
      <c r="B240" s="9"/>
      <c r="C240" s="9"/>
      <c r="D240" s="9"/>
      <c r="E240" s="9"/>
      <c r="F240" s="9"/>
      <c r="G240" s="9"/>
      <c r="H240" s="9"/>
      <c r="I240" s="9"/>
      <c r="J240" s="9"/>
      <c r="K240" s="9"/>
      <c r="L240" s="115"/>
      <c r="M240" s="115"/>
      <c r="N240" s="115"/>
      <c r="O240" s="115"/>
      <c r="P240" s="9"/>
      <c r="Q240" s="9"/>
      <c r="R240" s="9"/>
      <c r="S240" s="9"/>
      <c r="T240" s="9"/>
      <c r="U240" s="9"/>
      <c r="V240" s="9"/>
      <c r="W240" s="10"/>
      <c r="X240" s="10"/>
      <c r="Y240" s="10"/>
      <c r="Z240" s="10"/>
    </row>
    <row r="241">
      <c r="A241" s="9"/>
      <c r="B241" s="9"/>
      <c r="C241" s="9"/>
      <c r="D241" s="9"/>
      <c r="E241" s="9"/>
      <c r="F241" s="9"/>
      <c r="G241" s="9"/>
      <c r="H241" s="9"/>
      <c r="I241" s="9"/>
      <c r="J241" s="9"/>
      <c r="K241" s="9"/>
      <c r="L241" s="115"/>
      <c r="M241" s="115"/>
      <c r="N241" s="115"/>
      <c r="O241" s="115"/>
      <c r="P241" s="9"/>
      <c r="Q241" s="9"/>
      <c r="R241" s="9"/>
      <c r="S241" s="9"/>
      <c r="T241" s="9"/>
      <c r="U241" s="9"/>
      <c r="V241" s="9"/>
      <c r="W241" s="10"/>
      <c r="X241" s="10"/>
      <c r="Y241" s="10"/>
      <c r="Z241" s="10"/>
    </row>
    <row r="242">
      <c r="A242" s="9"/>
      <c r="B242" s="9"/>
      <c r="C242" s="9"/>
      <c r="D242" s="9"/>
      <c r="E242" s="9"/>
      <c r="F242" s="9"/>
      <c r="G242" s="9"/>
      <c r="H242" s="9"/>
      <c r="I242" s="9"/>
      <c r="J242" s="9"/>
      <c r="K242" s="9"/>
      <c r="L242" s="115"/>
      <c r="M242" s="115"/>
      <c r="N242" s="115"/>
      <c r="O242" s="115"/>
      <c r="P242" s="9"/>
      <c r="Q242" s="9"/>
      <c r="R242" s="9"/>
      <c r="S242" s="9"/>
      <c r="T242" s="9"/>
      <c r="U242" s="9"/>
      <c r="V242" s="9"/>
      <c r="W242" s="10"/>
      <c r="X242" s="10"/>
      <c r="Y242" s="10"/>
      <c r="Z242" s="10"/>
    </row>
    <row r="243">
      <c r="A243" s="9"/>
      <c r="B243" s="9"/>
      <c r="C243" s="9"/>
      <c r="D243" s="9"/>
      <c r="E243" s="9"/>
      <c r="F243" s="9"/>
      <c r="G243" s="9"/>
      <c r="H243" s="9"/>
      <c r="I243" s="9"/>
      <c r="J243" s="9"/>
      <c r="K243" s="9"/>
      <c r="L243" s="115"/>
      <c r="M243" s="115"/>
      <c r="N243" s="115"/>
      <c r="O243" s="115"/>
      <c r="P243" s="9"/>
      <c r="Q243" s="9"/>
      <c r="R243" s="9"/>
      <c r="S243" s="9"/>
      <c r="T243" s="9"/>
      <c r="U243" s="9"/>
      <c r="V243" s="9"/>
      <c r="W243" s="10"/>
      <c r="X243" s="10"/>
      <c r="Y243" s="10"/>
      <c r="Z243" s="10"/>
    </row>
    <row r="244">
      <c r="A244" s="9"/>
      <c r="B244" s="9"/>
      <c r="C244" s="9"/>
      <c r="D244" s="9"/>
      <c r="E244" s="9"/>
      <c r="F244" s="9"/>
      <c r="G244" s="9"/>
      <c r="H244" s="9"/>
      <c r="I244" s="9"/>
      <c r="J244" s="9"/>
      <c r="K244" s="9"/>
      <c r="L244" s="115"/>
      <c r="M244" s="115"/>
      <c r="N244" s="115"/>
      <c r="O244" s="115"/>
      <c r="P244" s="9"/>
      <c r="Q244" s="9"/>
      <c r="R244" s="9"/>
      <c r="S244" s="9"/>
      <c r="T244" s="9"/>
      <c r="U244" s="9"/>
      <c r="V244" s="9"/>
      <c r="W244" s="10"/>
      <c r="X244" s="10"/>
      <c r="Y244" s="10"/>
      <c r="Z244" s="10"/>
    </row>
    <row r="245">
      <c r="A245" s="9"/>
      <c r="B245" s="9"/>
      <c r="C245" s="9"/>
      <c r="D245" s="9"/>
      <c r="E245" s="9"/>
      <c r="F245" s="9"/>
      <c r="G245" s="9"/>
      <c r="H245" s="9"/>
      <c r="I245" s="9"/>
      <c r="J245" s="9"/>
      <c r="K245" s="9"/>
      <c r="L245" s="115"/>
      <c r="M245" s="115"/>
      <c r="N245" s="115"/>
      <c r="O245" s="115"/>
      <c r="P245" s="9"/>
      <c r="Q245" s="9"/>
      <c r="R245" s="9"/>
      <c r="S245" s="9"/>
      <c r="T245" s="9"/>
      <c r="U245" s="9"/>
      <c r="V245" s="9"/>
      <c r="W245" s="10"/>
      <c r="X245" s="10"/>
      <c r="Y245" s="10"/>
      <c r="Z245" s="10"/>
    </row>
    <row r="246">
      <c r="A246" s="9"/>
      <c r="B246" s="9"/>
      <c r="C246" s="9"/>
      <c r="D246" s="9"/>
      <c r="E246" s="9"/>
      <c r="F246" s="9"/>
      <c r="G246" s="9"/>
      <c r="H246" s="9"/>
      <c r="I246" s="9"/>
      <c r="J246" s="9"/>
      <c r="K246" s="9"/>
      <c r="L246" s="115"/>
      <c r="M246" s="115"/>
      <c r="N246" s="115"/>
      <c r="O246" s="115"/>
      <c r="P246" s="9"/>
      <c r="Q246" s="9"/>
      <c r="R246" s="9"/>
      <c r="S246" s="9"/>
      <c r="T246" s="9"/>
      <c r="U246" s="9"/>
      <c r="V246" s="9"/>
      <c r="W246" s="10"/>
      <c r="X246" s="10"/>
      <c r="Y246" s="10"/>
      <c r="Z246" s="10"/>
    </row>
    <row r="247">
      <c r="A247" s="9"/>
      <c r="B247" s="9"/>
      <c r="C247" s="9"/>
      <c r="D247" s="9"/>
      <c r="E247" s="9"/>
      <c r="F247" s="9"/>
      <c r="G247" s="9"/>
      <c r="H247" s="9"/>
      <c r="I247" s="9"/>
      <c r="J247" s="9"/>
      <c r="K247" s="9"/>
      <c r="L247" s="115"/>
      <c r="M247" s="115"/>
      <c r="N247" s="115"/>
      <c r="O247" s="115"/>
      <c r="P247" s="9"/>
      <c r="Q247" s="9"/>
      <c r="R247" s="9"/>
      <c r="S247" s="9"/>
      <c r="T247" s="9"/>
      <c r="U247" s="9"/>
      <c r="V247" s="9"/>
      <c r="W247" s="10"/>
      <c r="X247" s="10"/>
      <c r="Y247" s="10"/>
      <c r="Z247" s="10"/>
    </row>
    <row r="248">
      <c r="A248" s="9"/>
      <c r="B248" s="9"/>
      <c r="C248" s="9"/>
      <c r="D248" s="9"/>
      <c r="E248" s="9"/>
      <c r="F248" s="9"/>
      <c r="G248" s="9"/>
      <c r="H248" s="9"/>
      <c r="I248" s="9"/>
      <c r="J248" s="9"/>
      <c r="K248" s="9"/>
      <c r="L248" s="115"/>
      <c r="M248" s="115"/>
      <c r="N248" s="115"/>
      <c r="O248" s="115"/>
      <c r="P248" s="9"/>
      <c r="Q248" s="9"/>
      <c r="R248" s="9"/>
      <c r="S248" s="9"/>
      <c r="T248" s="9"/>
      <c r="U248" s="9"/>
      <c r="V248" s="9"/>
      <c r="W248" s="10"/>
      <c r="X248" s="10"/>
      <c r="Y248" s="10"/>
      <c r="Z248" s="10"/>
    </row>
    <row r="249">
      <c r="A249" s="9"/>
      <c r="B249" s="9"/>
      <c r="C249" s="9"/>
      <c r="D249" s="9"/>
      <c r="E249" s="9"/>
      <c r="F249" s="9"/>
      <c r="G249" s="9"/>
      <c r="H249" s="9"/>
      <c r="I249" s="9"/>
      <c r="J249" s="9"/>
      <c r="K249" s="9"/>
      <c r="L249" s="115"/>
      <c r="M249" s="115"/>
      <c r="N249" s="115"/>
      <c r="O249" s="115"/>
      <c r="P249" s="9"/>
      <c r="Q249" s="9"/>
      <c r="R249" s="9"/>
      <c r="S249" s="9"/>
      <c r="T249" s="9"/>
      <c r="U249" s="9"/>
      <c r="V249" s="9"/>
      <c r="W249" s="10"/>
      <c r="X249" s="10"/>
      <c r="Y249" s="10"/>
      <c r="Z249" s="10"/>
    </row>
    <row r="250">
      <c r="A250" s="9"/>
      <c r="B250" s="9"/>
      <c r="C250" s="9"/>
      <c r="D250" s="9"/>
      <c r="E250" s="9"/>
      <c r="F250" s="9"/>
      <c r="G250" s="9"/>
      <c r="H250" s="9"/>
      <c r="I250" s="9"/>
      <c r="J250" s="9"/>
      <c r="K250" s="9"/>
      <c r="L250" s="115"/>
      <c r="M250" s="115"/>
      <c r="N250" s="115"/>
      <c r="O250" s="115"/>
      <c r="P250" s="9"/>
      <c r="Q250" s="9"/>
      <c r="R250" s="9"/>
      <c r="S250" s="9"/>
      <c r="T250" s="9"/>
      <c r="U250" s="9"/>
      <c r="V250" s="9"/>
      <c r="W250" s="10"/>
      <c r="X250" s="10"/>
      <c r="Y250" s="10"/>
      <c r="Z250" s="10"/>
    </row>
    <row r="251">
      <c r="A251" s="9"/>
      <c r="B251" s="9"/>
      <c r="C251" s="9"/>
      <c r="D251" s="9"/>
      <c r="E251" s="9"/>
      <c r="F251" s="9"/>
      <c r="G251" s="9"/>
      <c r="H251" s="9"/>
      <c r="I251" s="9"/>
      <c r="J251" s="9"/>
      <c r="K251" s="9"/>
      <c r="L251" s="115"/>
      <c r="M251" s="115"/>
      <c r="N251" s="115"/>
      <c r="O251" s="115"/>
      <c r="P251" s="9"/>
      <c r="Q251" s="9"/>
      <c r="R251" s="9"/>
      <c r="S251" s="9"/>
      <c r="T251" s="9"/>
      <c r="U251" s="9"/>
      <c r="V251" s="9"/>
      <c r="W251" s="10"/>
      <c r="X251" s="10"/>
      <c r="Y251" s="10"/>
      <c r="Z251" s="10"/>
    </row>
    <row r="252">
      <c r="A252" s="9"/>
      <c r="B252" s="9"/>
      <c r="C252" s="9"/>
      <c r="D252" s="9"/>
      <c r="E252" s="9"/>
      <c r="F252" s="9"/>
      <c r="G252" s="9"/>
      <c r="H252" s="9"/>
      <c r="I252" s="9"/>
      <c r="J252" s="9"/>
      <c r="K252" s="9"/>
      <c r="L252" s="115"/>
      <c r="M252" s="115"/>
      <c r="N252" s="115"/>
      <c r="O252" s="115"/>
      <c r="P252" s="9"/>
      <c r="Q252" s="9"/>
      <c r="R252" s="9"/>
      <c r="S252" s="9"/>
      <c r="T252" s="9"/>
      <c r="U252" s="9"/>
      <c r="V252" s="9"/>
      <c r="W252" s="10"/>
      <c r="X252" s="10"/>
      <c r="Y252" s="10"/>
      <c r="Z252" s="10"/>
    </row>
    <row r="253">
      <c r="A253" s="9"/>
      <c r="B253" s="9"/>
      <c r="C253" s="9"/>
      <c r="D253" s="9"/>
      <c r="E253" s="9"/>
      <c r="F253" s="9"/>
      <c r="G253" s="9"/>
      <c r="H253" s="9"/>
      <c r="I253" s="9"/>
      <c r="J253" s="9"/>
      <c r="K253" s="9"/>
      <c r="L253" s="115"/>
      <c r="M253" s="115"/>
      <c r="N253" s="115"/>
      <c r="O253" s="115"/>
      <c r="P253" s="9"/>
      <c r="Q253" s="9"/>
      <c r="R253" s="9"/>
      <c r="S253" s="9"/>
      <c r="T253" s="9"/>
      <c r="U253" s="9"/>
      <c r="V253" s="9"/>
      <c r="W253" s="10"/>
      <c r="X253" s="10"/>
      <c r="Y253" s="10"/>
      <c r="Z253" s="10"/>
    </row>
    <row r="254">
      <c r="A254" s="9"/>
      <c r="B254" s="9"/>
      <c r="C254" s="9"/>
      <c r="D254" s="9"/>
      <c r="E254" s="9"/>
      <c r="F254" s="9"/>
      <c r="G254" s="9"/>
      <c r="H254" s="9"/>
      <c r="I254" s="9"/>
      <c r="J254" s="9"/>
      <c r="K254" s="9"/>
      <c r="L254" s="115"/>
      <c r="M254" s="115"/>
      <c r="N254" s="115"/>
      <c r="O254" s="115"/>
      <c r="P254" s="9"/>
      <c r="Q254" s="9"/>
      <c r="R254" s="9"/>
      <c r="S254" s="9"/>
      <c r="T254" s="9"/>
      <c r="U254" s="9"/>
      <c r="V254" s="9"/>
      <c r="W254" s="10"/>
      <c r="X254" s="10"/>
      <c r="Y254" s="10"/>
      <c r="Z254" s="10"/>
    </row>
    <row r="255">
      <c r="A255" s="9"/>
      <c r="B255" s="9"/>
      <c r="C255" s="9"/>
      <c r="D255" s="9"/>
      <c r="E255" s="9"/>
      <c r="F255" s="9"/>
      <c r="G255" s="9"/>
      <c r="H255" s="9"/>
      <c r="I255" s="9"/>
      <c r="J255" s="9"/>
      <c r="K255" s="9"/>
      <c r="L255" s="115"/>
      <c r="M255" s="115"/>
      <c r="N255" s="115"/>
      <c r="O255" s="115"/>
      <c r="P255" s="9"/>
      <c r="Q255" s="9"/>
      <c r="R255" s="9"/>
      <c r="S255" s="9"/>
      <c r="T255" s="9"/>
      <c r="U255" s="9"/>
      <c r="V255" s="9"/>
      <c r="W255" s="10"/>
      <c r="X255" s="10"/>
      <c r="Y255" s="10"/>
      <c r="Z255" s="10"/>
    </row>
    <row r="256">
      <c r="A256" s="9"/>
      <c r="B256" s="9"/>
      <c r="C256" s="9"/>
      <c r="D256" s="9"/>
      <c r="E256" s="9"/>
      <c r="F256" s="9"/>
      <c r="G256" s="9"/>
      <c r="H256" s="9"/>
      <c r="I256" s="9"/>
      <c r="J256" s="9"/>
      <c r="K256" s="9"/>
      <c r="L256" s="115"/>
      <c r="M256" s="115"/>
      <c r="N256" s="115"/>
      <c r="O256" s="115"/>
      <c r="P256" s="9"/>
      <c r="Q256" s="9"/>
      <c r="R256" s="9"/>
      <c r="S256" s="9"/>
      <c r="T256" s="9"/>
      <c r="U256" s="9"/>
      <c r="V256" s="9"/>
      <c r="W256" s="10"/>
      <c r="X256" s="10"/>
      <c r="Y256" s="10"/>
      <c r="Z256" s="10"/>
    </row>
    <row r="257">
      <c r="A257" s="9"/>
      <c r="B257" s="9"/>
      <c r="C257" s="9"/>
      <c r="D257" s="9"/>
      <c r="E257" s="9"/>
      <c r="F257" s="9"/>
      <c r="G257" s="9"/>
      <c r="H257" s="9"/>
      <c r="I257" s="9"/>
      <c r="J257" s="9"/>
      <c r="K257" s="9"/>
      <c r="L257" s="115"/>
      <c r="M257" s="115"/>
      <c r="N257" s="115"/>
      <c r="O257" s="115"/>
      <c r="P257" s="9"/>
      <c r="Q257" s="9"/>
      <c r="R257" s="9"/>
      <c r="S257" s="9"/>
      <c r="T257" s="9"/>
      <c r="U257" s="9"/>
      <c r="V257" s="9"/>
      <c r="W257" s="10"/>
      <c r="X257" s="10"/>
      <c r="Y257" s="10"/>
      <c r="Z257" s="10"/>
    </row>
    <row r="258">
      <c r="A258" s="9"/>
      <c r="B258" s="9"/>
      <c r="C258" s="9"/>
      <c r="D258" s="9"/>
      <c r="E258" s="9"/>
      <c r="F258" s="9"/>
      <c r="G258" s="9"/>
      <c r="H258" s="9"/>
      <c r="I258" s="9"/>
      <c r="J258" s="9"/>
      <c r="K258" s="9"/>
      <c r="L258" s="115"/>
      <c r="M258" s="115"/>
      <c r="N258" s="115"/>
      <c r="O258" s="115"/>
      <c r="P258" s="9"/>
      <c r="Q258" s="9"/>
      <c r="R258" s="9"/>
      <c r="S258" s="9"/>
      <c r="T258" s="9"/>
      <c r="U258" s="9"/>
      <c r="V258" s="9"/>
      <c r="W258" s="10"/>
      <c r="X258" s="10"/>
      <c r="Y258" s="10"/>
      <c r="Z258" s="10"/>
    </row>
    <row r="259">
      <c r="A259" s="9"/>
      <c r="B259" s="9"/>
      <c r="C259" s="9"/>
      <c r="D259" s="9"/>
      <c r="E259" s="9"/>
      <c r="F259" s="9"/>
      <c r="G259" s="9"/>
      <c r="H259" s="9"/>
      <c r="I259" s="9"/>
      <c r="J259" s="9"/>
      <c r="K259" s="9"/>
      <c r="L259" s="115"/>
      <c r="M259" s="115"/>
      <c r="N259" s="115"/>
      <c r="O259" s="115"/>
      <c r="P259" s="9"/>
      <c r="Q259" s="9"/>
      <c r="R259" s="9"/>
      <c r="S259" s="9"/>
      <c r="T259" s="9"/>
      <c r="U259" s="9"/>
      <c r="V259" s="9"/>
      <c r="W259" s="10"/>
      <c r="X259" s="10"/>
      <c r="Y259" s="10"/>
      <c r="Z259" s="10"/>
    </row>
    <row r="260">
      <c r="A260" s="9"/>
      <c r="B260" s="9"/>
      <c r="C260" s="9"/>
      <c r="D260" s="9"/>
      <c r="E260" s="9"/>
      <c r="F260" s="9"/>
      <c r="G260" s="9"/>
      <c r="H260" s="9"/>
      <c r="I260" s="9"/>
      <c r="J260" s="9"/>
      <c r="K260" s="9"/>
      <c r="L260" s="115"/>
      <c r="M260" s="115"/>
      <c r="N260" s="115"/>
      <c r="O260" s="115"/>
      <c r="P260" s="9"/>
      <c r="Q260" s="9"/>
      <c r="R260" s="9"/>
      <c r="S260" s="9"/>
      <c r="T260" s="9"/>
      <c r="U260" s="9"/>
      <c r="V260" s="9"/>
      <c r="W260" s="10"/>
      <c r="X260" s="10"/>
      <c r="Y260" s="10"/>
      <c r="Z260" s="10"/>
    </row>
    <row r="261">
      <c r="A261" s="9"/>
      <c r="B261" s="9"/>
      <c r="C261" s="9"/>
      <c r="D261" s="9"/>
      <c r="E261" s="9"/>
      <c r="F261" s="9"/>
      <c r="G261" s="9"/>
      <c r="H261" s="9"/>
      <c r="I261" s="9"/>
      <c r="J261" s="9"/>
      <c r="K261" s="9"/>
      <c r="L261" s="115"/>
      <c r="M261" s="115"/>
      <c r="N261" s="115"/>
      <c r="O261" s="115"/>
      <c r="P261" s="9"/>
      <c r="Q261" s="9"/>
      <c r="R261" s="9"/>
      <c r="S261" s="9"/>
      <c r="T261" s="9"/>
      <c r="U261" s="9"/>
      <c r="V261" s="9"/>
      <c r="W261" s="10"/>
      <c r="X261" s="10"/>
      <c r="Y261" s="10"/>
      <c r="Z261" s="10"/>
    </row>
    <row r="262">
      <c r="A262" s="9"/>
      <c r="B262" s="9"/>
      <c r="C262" s="9"/>
      <c r="D262" s="9"/>
      <c r="E262" s="9"/>
      <c r="F262" s="9"/>
      <c r="G262" s="9"/>
      <c r="H262" s="9"/>
      <c r="I262" s="9"/>
      <c r="J262" s="9"/>
      <c r="K262" s="9"/>
      <c r="L262" s="115"/>
      <c r="M262" s="115"/>
      <c r="N262" s="115"/>
      <c r="O262" s="115"/>
      <c r="P262" s="9"/>
      <c r="Q262" s="9"/>
      <c r="R262" s="9"/>
      <c r="S262" s="9"/>
      <c r="T262" s="9"/>
      <c r="U262" s="9"/>
      <c r="V262" s="9"/>
      <c r="W262" s="10"/>
      <c r="X262" s="10"/>
      <c r="Y262" s="10"/>
      <c r="Z262" s="10"/>
    </row>
    <row r="263">
      <c r="A263" s="9"/>
      <c r="B263" s="9"/>
      <c r="C263" s="9"/>
      <c r="D263" s="9"/>
      <c r="E263" s="9"/>
      <c r="F263" s="9"/>
      <c r="G263" s="9"/>
      <c r="H263" s="9"/>
      <c r="I263" s="9"/>
      <c r="J263" s="9"/>
      <c r="K263" s="9"/>
      <c r="L263" s="115"/>
      <c r="M263" s="115"/>
      <c r="N263" s="115"/>
      <c r="O263" s="115"/>
      <c r="P263" s="9"/>
      <c r="Q263" s="9"/>
      <c r="R263" s="9"/>
      <c r="S263" s="9"/>
      <c r="T263" s="9"/>
      <c r="U263" s="9"/>
      <c r="V263" s="9"/>
      <c r="W263" s="10"/>
      <c r="X263" s="10"/>
      <c r="Y263" s="10"/>
      <c r="Z263" s="10"/>
    </row>
    <row r="264">
      <c r="A264" s="9"/>
      <c r="B264" s="9"/>
      <c r="C264" s="9"/>
      <c r="D264" s="9"/>
      <c r="E264" s="9"/>
      <c r="F264" s="9"/>
      <c r="G264" s="9"/>
      <c r="H264" s="9"/>
      <c r="I264" s="9"/>
      <c r="J264" s="9"/>
      <c r="K264" s="9"/>
      <c r="L264" s="115"/>
      <c r="M264" s="115"/>
      <c r="N264" s="115"/>
      <c r="O264" s="115"/>
      <c r="P264" s="9"/>
      <c r="Q264" s="9"/>
      <c r="R264" s="9"/>
      <c r="S264" s="9"/>
      <c r="T264" s="9"/>
      <c r="U264" s="9"/>
      <c r="V264" s="9"/>
      <c r="W264" s="10"/>
      <c r="X264" s="10"/>
      <c r="Y264" s="10"/>
      <c r="Z264" s="10"/>
    </row>
    <row r="265">
      <c r="A265" s="9"/>
      <c r="B265" s="9"/>
      <c r="C265" s="9"/>
      <c r="D265" s="9"/>
      <c r="E265" s="9"/>
      <c r="F265" s="9"/>
      <c r="G265" s="9"/>
      <c r="H265" s="9"/>
      <c r="I265" s="9"/>
      <c r="J265" s="9"/>
      <c r="K265" s="9"/>
      <c r="L265" s="115"/>
      <c r="M265" s="115"/>
      <c r="N265" s="115"/>
      <c r="O265" s="115"/>
      <c r="P265" s="9"/>
      <c r="Q265" s="9"/>
      <c r="R265" s="9"/>
      <c r="S265" s="9"/>
      <c r="T265" s="9"/>
      <c r="U265" s="9"/>
      <c r="V265" s="9"/>
      <c r="W265" s="10"/>
      <c r="X265" s="10"/>
      <c r="Y265" s="10"/>
      <c r="Z265" s="10"/>
    </row>
    <row r="266">
      <c r="A266" s="9"/>
      <c r="B266" s="9"/>
      <c r="C266" s="9"/>
      <c r="D266" s="9"/>
      <c r="E266" s="9"/>
      <c r="F266" s="9"/>
      <c r="G266" s="9"/>
      <c r="H266" s="9"/>
      <c r="I266" s="9"/>
      <c r="J266" s="9"/>
      <c r="K266" s="9"/>
      <c r="L266" s="115"/>
      <c r="M266" s="115"/>
      <c r="N266" s="115"/>
      <c r="O266" s="115"/>
      <c r="P266" s="9"/>
      <c r="Q266" s="9"/>
      <c r="R266" s="9"/>
      <c r="S266" s="9"/>
      <c r="T266" s="9"/>
      <c r="U266" s="9"/>
      <c r="V266" s="9"/>
      <c r="W266" s="10"/>
      <c r="X266" s="10"/>
      <c r="Y266" s="10"/>
      <c r="Z266" s="10"/>
    </row>
    <row r="267">
      <c r="A267" s="9"/>
      <c r="B267" s="9"/>
      <c r="C267" s="9"/>
      <c r="D267" s="9"/>
      <c r="E267" s="9"/>
      <c r="F267" s="9"/>
      <c r="G267" s="9"/>
      <c r="H267" s="9"/>
      <c r="I267" s="9"/>
      <c r="J267" s="9"/>
      <c r="K267" s="9"/>
      <c r="L267" s="115"/>
      <c r="M267" s="115"/>
      <c r="N267" s="115"/>
      <c r="O267" s="115"/>
      <c r="P267" s="9"/>
      <c r="Q267" s="9"/>
      <c r="R267" s="9"/>
      <c r="S267" s="9"/>
      <c r="T267" s="9"/>
      <c r="U267" s="9"/>
      <c r="V267" s="9"/>
      <c r="W267" s="10"/>
      <c r="X267" s="10"/>
      <c r="Y267" s="10"/>
      <c r="Z267" s="10"/>
    </row>
    <row r="268">
      <c r="A268" s="9"/>
      <c r="B268" s="9"/>
      <c r="C268" s="9"/>
      <c r="D268" s="9"/>
      <c r="E268" s="9"/>
      <c r="F268" s="9"/>
      <c r="G268" s="9"/>
      <c r="H268" s="9"/>
      <c r="I268" s="9"/>
      <c r="J268" s="9"/>
      <c r="K268" s="9"/>
      <c r="L268" s="115"/>
      <c r="M268" s="115"/>
      <c r="N268" s="115"/>
      <c r="O268" s="115"/>
      <c r="P268" s="9"/>
      <c r="Q268" s="9"/>
      <c r="R268" s="9"/>
      <c r="S268" s="9"/>
      <c r="T268" s="9"/>
      <c r="U268" s="9"/>
      <c r="V268" s="9"/>
      <c r="W268" s="10"/>
      <c r="X268" s="10"/>
      <c r="Y268" s="10"/>
      <c r="Z268" s="10"/>
    </row>
    <row r="269">
      <c r="A269" s="9"/>
      <c r="B269" s="9"/>
      <c r="C269" s="9"/>
      <c r="D269" s="9"/>
      <c r="E269" s="9"/>
      <c r="F269" s="9"/>
      <c r="G269" s="9"/>
      <c r="H269" s="9"/>
      <c r="I269" s="9"/>
      <c r="J269" s="9"/>
      <c r="K269" s="9"/>
      <c r="L269" s="115"/>
      <c r="M269" s="115"/>
      <c r="N269" s="115"/>
      <c r="O269" s="115"/>
      <c r="P269" s="9"/>
      <c r="Q269" s="9"/>
      <c r="R269" s="9"/>
      <c r="S269" s="9"/>
      <c r="T269" s="9"/>
      <c r="U269" s="9"/>
      <c r="V269" s="9"/>
      <c r="W269" s="10"/>
      <c r="X269" s="10"/>
      <c r="Y269" s="10"/>
      <c r="Z269" s="10"/>
    </row>
    <row r="270">
      <c r="A270" s="9"/>
      <c r="B270" s="9"/>
      <c r="C270" s="9"/>
      <c r="D270" s="9"/>
      <c r="E270" s="9"/>
      <c r="F270" s="9"/>
      <c r="G270" s="9"/>
      <c r="H270" s="9"/>
      <c r="I270" s="9"/>
      <c r="J270" s="9"/>
      <c r="K270" s="9"/>
      <c r="L270" s="115"/>
      <c r="M270" s="115"/>
      <c r="N270" s="115"/>
      <c r="O270" s="115"/>
      <c r="P270" s="9"/>
      <c r="Q270" s="9"/>
      <c r="R270" s="9"/>
      <c r="S270" s="9"/>
      <c r="T270" s="9"/>
      <c r="U270" s="9"/>
      <c r="V270" s="9"/>
      <c r="W270" s="10"/>
      <c r="X270" s="10"/>
      <c r="Y270" s="10"/>
      <c r="Z270" s="10"/>
    </row>
    <row r="271">
      <c r="A271" s="9"/>
      <c r="B271" s="9"/>
      <c r="C271" s="9"/>
      <c r="D271" s="9"/>
      <c r="E271" s="9"/>
      <c r="F271" s="9"/>
      <c r="G271" s="9"/>
      <c r="H271" s="9"/>
      <c r="I271" s="9"/>
      <c r="J271" s="9"/>
      <c r="K271" s="9"/>
      <c r="L271" s="115"/>
      <c r="M271" s="115"/>
      <c r="N271" s="115"/>
      <c r="O271" s="115"/>
      <c r="P271" s="9"/>
      <c r="Q271" s="9"/>
      <c r="R271" s="9"/>
      <c r="S271" s="9"/>
      <c r="T271" s="9"/>
      <c r="U271" s="9"/>
      <c r="V271" s="9"/>
      <c r="W271" s="10"/>
      <c r="X271" s="10"/>
      <c r="Y271" s="10"/>
      <c r="Z271" s="10"/>
    </row>
    <row r="272">
      <c r="A272" s="9"/>
      <c r="B272" s="9"/>
      <c r="C272" s="9"/>
      <c r="D272" s="9"/>
      <c r="E272" s="9"/>
      <c r="F272" s="9"/>
      <c r="G272" s="9"/>
      <c r="H272" s="9"/>
      <c r="I272" s="9"/>
      <c r="J272" s="9"/>
      <c r="K272" s="9"/>
      <c r="L272" s="115"/>
      <c r="M272" s="115"/>
      <c r="N272" s="115"/>
      <c r="O272" s="115"/>
      <c r="P272" s="9"/>
      <c r="Q272" s="9"/>
      <c r="R272" s="9"/>
      <c r="S272" s="9"/>
      <c r="T272" s="9"/>
      <c r="U272" s="9"/>
      <c r="V272" s="9"/>
      <c r="W272" s="10"/>
      <c r="X272" s="10"/>
      <c r="Y272" s="10"/>
      <c r="Z272" s="10"/>
    </row>
    <row r="273">
      <c r="A273" s="9"/>
      <c r="B273" s="9"/>
      <c r="C273" s="9"/>
      <c r="D273" s="9"/>
      <c r="E273" s="9"/>
      <c r="F273" s="9"/>
      <c r="G273" s="9"/>
      <c r="H273" s="9"/>
      <c r="I273" s="9"/>
      <c r="J273" s="9"/>
      <c r="K273" s="9"/>
      <c r="L273" s="115"/>
      <c r="M273" s="115"/>
      <c r="N273" s="115"/>
      <c r="O273" s="115"/>
      <c r="P273" s="9"/>
      <c r="Q273" s="9"/>
      <c r="R273" s="9"/>
      <c r="S273" s="9"/>
      <c r="T273" s="9"/>
      <c r="U273" s="9"/>
      <c r="V273" s="9"/>
      <c r="W273" s="10"/>
      <c r="X273" s="10"/>
      <c r="Y273" s="10"/>
      <c r="Z273" s="10"/>
    </row>
    <row r="274">
      <c r="A274" s="9"/>
      <c r="B274" s="9"/>
      <c r="C274" s="9"/>
      <c r="D274" s="9"/>
      <c r="E274" s="9"/>
      <c r="F274" s="9"/>
      <c r="G274" s="9"/>
      <c r="H274" s="9"/>
      <c r="I274" s="9"/>
      <c r="J274" s="9"/>
      <c r="K274" s="9"/>
      <c r="L274" s="115"/>
      <c r="M274" s="115"/>
      <c r="N274" s="115"/>
      <c r="O274" s="115"/>
      <c r="P274" s="9"/>
      <c r="Q274" s="9"/>
      <c r="R274" s="9"/>
      <c r="S274" s="9"/>
      <c r="T274" s="9"/>
      <c r="U274" s="9"/>
      <c r="V274" s="9"/>
      <c r="W274" s="10"/>
      <c r="X274" s="10"/>
      <c r="Y274" s="10"/>
      <c r="Z274" s="10"/>
    </row>
    <row r="275">
      <c r="A275" s="9"/>
      <c r="B275" s="9"/>
      <c r="C275" s="9"/>
      <c r="D275" s="9"/>
      <c r="E275" s="9"/>
      <c r="F275" s="9"/>
      <c r="G275" s="9"/>
      <c r="H275" s="9"/>
      <c r="I275" s="9"/>
      <c r="J275" s="9"/>
      <c r="K275" s="9"/>
      <c r="L275" s="115"/>
      <c r="M275" s="115"/>
      <c r="N275" s="115"/>
      <c r="O275" s="115"/>
      <c r="P275" s="9"/>
      <c r="Q275" s="9"/>
      <c r="R275" s="9"/>
      <c r="S275" s="9"/>
      <c r="T275" s="9"/>
      <c r="U275" s="9"/>
      <c r="V275" s="9"/>
      <c r="W275" s="10"/>
      <c r="X275" s="10"/>
      <c r="Y275" s="10"/>
      <c r="Z275" s="10"/>
    </row>
    <row r="276">
      <c r="A276" s="9"/>
      <c r="B276" s="9"/>
      <c r="C276" s="9"/>
      <c r="D276" s="9"/>
      <c r="E276" s="9"/>
      <c r="F276" s="9"/>
      <c r="G276" s="9"/>
      <c r="H276" s="9"/>
      <c r="I276" s="9"/>
      <c r="J276" s="9"/>
      <c r="K276" s="9"/>
      <c r="L276" s="115"/>
      <c r="M276" s="115"/>
      <c r="N276" s="115"/>
      <c r="O276" s="115"/>
      <c r="P276" s="9"/>
      <c r="Q276" s="9"/>
      <c r="R276" s="9"/>
      <c r="S276" s="9"/>
      <c r="T276" s="9"/>
      <c r="U276" s="9"/>
      <c r="V276" s="9"/>
      <c r="W276" s="10"/>
      <c r="X276" s="10"/>
      <c r="Y276" s="10"/>
      <c r="Z276" s="10"/>
    </row>
    <row r="277">
      <c r="A277" s="9"/>
      <c r="B277" s="9"/>
      <c r="C277" s="9"/>
      <c r="D277" s="9"/>
      <c r="E277" s="9"/>
      <c r="F277" s="9"/>
      <c r="G277" s="9"/>
      <c r="H277" s="9"/>
      <c r="I277" s="9"/>
      <c r="J277" s="9"/>
      <c r="K277" s="9"/>
      <c r="L277" s="115"/>
      <c r="M277" s="115"/>
      <c r="N277" s="115"/>
      <c r="O277" s="115"/>
      <c r="P277" s="9"/>
      <c r="Q277" s="9"/>
      <c r="R277" s="9"/>
      <c r="S277" s="9"/>
      <c r="T277" s="9"/>
      <c r="U277" s="9"/>
      <c r="V277" s="9"/>
      <c r="W277" s="10"/>
      <c r="X277" s="10"/>
      <c r="Y277" s="10"/>
      <c r="Z277" s="10"/>
    </row>
    <row r="278">
      <c r="A278" s="9"/>
      <c r="B278" s="9"/>
      <c r="C278" s="9"/>
      <c r="D278" s="9"/>
      <c r="E278" s="9"/>
      <c r="F278" s="9"/>
      <c r="G278" s="9"/>
      <c r="H278" s="9"/>
      <c r="I278" s="9"/>
      <c r="J278" s="9"/>
      <c r="K278" s="9"/>
      <c r="L278" s="115"/>
      <c r="M278" s="115"/>
      <c r="N278" s="115"/>
      <c r="O278" s="115"/>
      <c r="P278" s="9"/>
      <c r="Q278" s="9"/>
      <c r="R278" s="9"/>
      <c r="S278" s="9"/>
      <c r="T278" s="9"/>
      <c r="U278" s="9"/>
      <c r="V278" s="9"/>
      <c r="W278" s="10"/>
      <c r="X278" s="10"/>
      <c r="Y278" s="10"/>
      <c r="Z278" s="10"/>
    </row>
    <row r="279">
      <c r="A279" s="9"/>
      <c r="B279" s="9"/>
      <c r="C279" s="9"/>
      <c r="D279" s="9"/>
      <c r="E279" s="9"/>
      <c r="F279" s="9"/>
      <c r="G279" s="9"/>
      <c r="H279" s="9"/>
      <c r="I279" s="9"/>
      <c r="J279" s="9"/>
      <c r="K279" s="9"/>
      <c r="L279" s="115"/>
      <c r="M279" s="115"/>
      <c r="N279" s="115"/>
      <c r="O279" s="115"/>
      <c r="P279" s="9"/>
      <c r="Q279" s="9"/>
      <c r="R279" s="9"/>
      <c r="S279" s="9"/>
      <c r="T279" s="9"/>
      <c r="U279" s="9"/>
      <c r="V279" s="9"/>
      <c r="W279" s="10"/>
      <c r="X279" s="10"/>
      <c r="Y279" s="10"/>
      <c r="Z279" s="10"/>
    </row>
    <row r="280">
      <c r="A280" s="9"/>
      <c r="B280" s="9"/>
      <c r="C280" s="9"/>
      <c r="D280" s="9"/>
      <c r="E280" s="9"/>
      <c r="F280" s="9"/>
      <c r="G280" s="9"/>
      <c r="H280" s="9"/>
      <c r="I280" s="9"/>
      <c r="J280" s="9"/>
      <c r="K280" s="9"/>
      <c r="L280" s="115"/>
      <c r="M280" s="115"/>
      <c r="N280" s="115"/>
      <c r="O280" s="115"/>
      <c r="P280" s="9"/>
      <c r="Q280" s="9"/>
      <c r="R280" s="9"/>
      <c r="S280" s="9"/>
      <c r="T280" s="9"/>
      <c r="U280" s="9"/>
      <c r="V280" s="9"/>
      <c r="W280" s="10"/>
      <c r="X280" s="10"/>
      <c r="Y280" s="10"/>
      <c r="Z280" s="10"/>
    </row>
    <row r="281">
      <c r="A281" s="9"/>
      <c r="B281" s="9"/>
      <c r="C281" s="9"/>
      <c r="D281" s="9"/>
      <c r="E281" s="9"/>
      <c r="F281" s="9"/>
      <c r="G281" s="9"/>
      <c r="H281" s="9"/>
      <c r="I281" s="9"/>
      <c r="J281" s="9"/>
      <c r="K281" s="9"/>
      <c r="L281" s="115"/>
      <c r="M281" s="115"/>
      <c r="N281" s="115"/>
      <c r="O281" s="115"/>
      <c r="P281" s="9"/>
      <c r="Q281" s="9"/>
      <c r="R281" s="9"/>
      <c r="S281" s="9"/>
      <c r="T281" s="9"/>
      <c r="U281" s="9"/>
      <c r="V281" s="9"/>
      <c r="W281" s="10"/>
      <c r="X281" s="10"/>
      <c r="Y281" s="10"/>
      <c r="Z281" s="10"/>
    </row>
    <row r="282">
      <c r="A282" s="9"/>
      <c r="B282" s="9"/>
      <c r="C282" s="9"/>
      <c r="D282" s="9"/>
      <c r="E282" s="9"/>
      <c r="F282" s="9"/>
      <c r="G282" s="9"/>
      <c r="H282" s="9"/>
      <c r="I282" s="9"/>
      <c r="J282" s="9"/>
      <c r="K282" s="9"/>
      <c r="L282" s="115"/>
      <c r="M282" s="115"/>
      <c r="N282" s="115"/>
      <c r="O282" s="115"/>
      <c r="P282" s="9"/>
      <c r="Q282" s="9"/>
      <c r="R282" s="9"/>
      <c r="S282" s="9"/>
      <c r="T282" s="9"/>
      <c r="U282" s="9"/>
      <c r="V282" s="9"/>
      <c r="W282" s="10"/>
      <c r="X282" s="10"/>
      <c r="Y282" s="10"/>
      <c r="Z282" s="10"/>
    </row>
    <row r="283">
      <c r="A283" s="9"/>
      <c r="B283" s="9"/>
      <c r="C283" s="9"/>
      <c r="D283" s="9"/>
      <c r="E283" s="9"/>
      <c r="F283" s="9"/>
      <c r="G283" s="9"/>
      <c r="H283" s="9"/>
      <c r="I283" s="9"/>
      <c r="J283" s="9"/>
      <c r="K283" s="9"/>
      <c r="L283" s="115"/>
      <c r="M283" s="115"/>
      <c r="N283" s="115"/>
      <c r="O283" s="115"/>
      <c r="P283" s="9"/>
      <c r="Q283" s="9"/>
      <c r="R283" s="9"/>
      <c r="S283" s="9"/>
      <c r="T283" s="9"/>
      <c r="U283" s="9"/>
      <c r="V283" s="9"/>
      <c r="W283" s="10"/>
      <c r="X283" s="10"/>
      <c r="Y283" s="10"/>
      <c r="Z283" s="10"/>
    </row>
    <row r="284">
      <c r="A284" s="9"/>
      <c r="B284" s="9"/>
      <c r="C284" s="9"/>
      <c r="D284" s="9"/>
      <c r="E284" s="9"/>
      <c r="F284" s="9"/>
      <c r="G284" s="9"/>
      <c r="H284" s="9"/>
      <c r="I284" s="9"/>
      <c r="J284" s="9"/>
      <c r="K284" s="9"/>
      <c r="L284" s="115"/>
      <c r="M284" s="115"/>
      <c r="N284" s="115"/>
      <c r="O284" s="115"/>
      <c r="P284" s="9"/>
      <c r="Q284" s="9"/>
      <c r="R284" s="9"/>
      <c r="S284" s="9"/>
      <c r="T284" s="9"/>
      <c r="U284" s="9"/>
      <c r="V284" s="9"/>
      <c r="W284" s="10"/>
      <c r="X284" s="10"/>
      <c r="Y284" s="10"/>
      <c r="Z284" s="10"/>
    </row>
    <row r="285">
      <c r="A285" s="9"/>
      <c r="B285" s="9"/>
      <c r="C285" s="9"/>
      <c r="D285" s="9"/>
      <c r="E285" s="9"/>
      <c r="F285" s="9"/>
      <c r="G285" s="9"/>
      <c r="H285" s="9"/>
      <c r="I285" s="9"/>
      <c r="J285" s="9"/>
      <c r="K285" s="9"/>
      <c r="L285" s="115"/>
      <c r="M285" s="115"/>
      <c r="N285" s="115"/>
      <c r="O285" s="115"/>
      <c r="P285" s="9"/>
      <c r="Q285" s="9"/>
      <c r="R285" s="9"/>
      <c r="S285" s="9"/>
      <c r="T285" s="9"/>
      <c r="U285" s="9"/>
      <c r="V285" s="9"/>
      <c r="W285" s="10"/>
      <c r="X285" s="10"/>
      <c r="Y285" s="10"/>
      <c r="Z285" s="10"/>
    </row>
    <row r="286">
      <c r="A286" s="9"/>
      <c r="B286" s="9"/>
      <c r="C286" s="9"/>
      <c r="D286" s="9"/>
      <c r="E286" s="9"/>
      <c r="F286" s="9"/>
      <c r="G286" s="9"/>
      <c r="H286" s="9"/>
      <c r="I286" s="9"/>
      <c r="J286" s="9"/>
      <c r="K286" s="9"/>
      <c r="L286" s="115"/>
      <c r="M286" s="115"/>
      <c r="N286" s="115"/>
      <c r="O286" s="115"/>
      <c r="P286" s="9"/>
      <c r="Q286" s="9"/>
      <c r="R286" s="9"/>
      <c r="S286" s="9"/>
      <c r="T286" s="9"/>
      <c r="U286" s="9"/>
      <c r="V286" s="9"/>
      <c r="W286" s="10"/>
      <c r="X286" s="10"/>
      <c r="Y286" s="10"/>
      <c r="Z286" s="10"/>
    </row>
    <row r="287">
      <c r="A287" s="9"/>
      <c r="B287" s="9"/>
      <c r="C287" s="9"/>
      <c r="D287" s="9"/>
      <c r="E287" s="9"/>
      <c r="F287" s="9"/>
      <c r="G287" s="9"/>
      <c r="H287" s="9"/>
      <c r="I287" s="9"/>
      <c r="J287" s="9"/>
      <c r="K287" s="9"/>
      <c r="L287" s="115"/>
      <c r="M287" s="115"/>
      <c r="N287" s="115"/>
      <c r="O287" s="115"/>
      <c r="P287" s="9"/>
      <c r="Q287" s="9"/>
      <c r="R287" s="9"/>
      <c r="S287" s="9"/>
      <c r="T287" s="9"/>
      <c r="U287" s="9"/>
      <c r="V287" s="9"/>
      <c r="W287" s="10"/>
      <c r="X287" s="10"/>
      <c r="Y287" s="10"/>
      <c r="Z287" s="10"/>
    </row>
    <row r="288">
      <c r="A288" s="9"/>
      <c r="B288" s="9"/>
      <c r="C288" s="9"/>
      <c r="D288" s="9"/>
      <c r="E288" s="9"/>
      <c r="F288" s="9"/>
      <c r="G288" s="9"/>
      <c r="H288" s="9"/>
      <c r="I288" s="9"/>
      <c r="J288" s="9"/>
      <c r="K288" s="9"/>
      <c r="L288" s="115"/>
      <c r="M288" s="115"/>
      <c r="N288" s="115"/>
      <c r="O288" s="115"/>
      <c r="P288" s="9"/>
      <c r="Q288" s="9"/>
      <c r="R288" s="9"/>
      <c r="S288" s="9"/>
      <c r="T288" s="9"/>
      <c r="U288" s="9"/>
      <c r="V288" s="9"/>
      <c r="W288" s="10"/>
      <c r="X288" s="10"/>
      <c r="Y288" s="10"/>
      <c r="Z288" s="10"/>
    </row>
    <row r="289">
      <c r="A289" s="9"/>
      <c r="B289" s="9"/>
      <c r="C289" s="9"/>
      <c r="D289" s="9"/>
      <c r="E289" s="9"/>
      <c r="F289" s="9"/>
      <c r="G289" s="9"/>
      <c r="H289" s="9"/>
      <c r="I289" s="9"/>
      <c r="J289" s="9"/>
      <c r="K289" s="9"/>
      <c r="L289" s="115"/>
      <c r="M289" s="115"/>
      <c r="N289" s="115"/>
      <c r="O289" s="115"/>
      <c r="P289" s="9"/>
      <c r="Q289" s="9"/>
      <c r="R289" s="9"/>
      <c r="S289" s="9"/>
      <c r="T289" s="9"/>
      <c r="U289" s="9"/>
      <c r="V289" s="9"/>
      <c r="W289" s="10"/>
      <c r="X289" s="10"/>
      <c r="Y289" s="10"/>
      <c r="Z289" s="10"/>
    </row>
    <row r="290">
      <c r="A290" s="9"/>
      <c r="B290" s="9"/>
      <c r="C290" s="9"/>
      <c r="D290" s="9"/>
      <c r="E290" s="9"/>
      <c r="F290" s="9"/>
      <c r="G290" s="9"/>
      <c r="H290" s="9"/>
      <c r="I290" s="9"/>
      <c r="J290" s="9"/>
      <c r="K290" s="9"/>
      <c r="L290" s="115"/>
      <c r="M290" s="115"/>
      <c r="N290" s="115"/>
      <c r="O290" s="115"/>
      <c r="P290" s="9"/>
      <c r="Q290" s="9"/>
      <c r="R290" s="9"/>
      <c r="S290" s="9"/>
      <c r="T290" s="9"/>
      <c r="U290" s="9"/>
      <c r="V290" s="9"/>
      <c r="W290" s="10"/>
      <c r="X290" s="10"/>
      <c r="Y290" s="10"/>
      <c r="Z290" s="10"/>
    </row>
    <row r="291">
      <c r="A291" s="9"/>
      <c r="B291" s="9"/>
      <c r="C291" s="9"/>
      <c r="D291" s="9"/>
      <c r="E291" s="9"/>
      <c r="F291" s="9"/>
      <c r="G291" s="9"/>
      <c r="H291" s="9"/>
      <c r="I291" s="9"/>
      <c r="J291" s="9"/>
      <c r="K291" s="9"/>
      <c r="L291" s="115"/>
      <c r="M291" s="115"/>
      <c r="N291" s="115"/>
      <c r="O291" s="115"/>
      <c r="P291" s="9"/>
      <c r="Q291" s="9"/>
      <c r="R291" s="9"/>
      <c r="S291" s="9"/>
      <c r="T291" s="9"/>
      <c r="U291" s="9"/>
      <c r="V291" s="9"/>
      <c r="W291" s="10"/>
      <c r="X291" s="10"/>
      <c r="Y291" s="10"/>
      <c r="Z291" s="10"/>
    </row>
    <row r="292">
      <c r="A292" s="9"/>
      <c r="B292" s="9"/>
      <c r="C292" s="9"/>
      <c r="D292" s="9"/>
      <c r="E292" s="9"/>
      <c r="F292" s="9"/>
      <c r="G292" s="9"/>
      <c r="H292" s="9"/>
      <c r="I292" s="9"/>
      <c r="J292" s="9"/>
      <c r="K292" s="9"/>
      <c r="L292" s="115"/>
      <c r="M292" s="115"/>
      <c r="N292" s="115"/>
      <c r="O292" s="115"/>
      <c r="P292" s="9"/>
      <c r="Q292" s="9"/>
      <c r="R292" s="9"/>
      <c r="S292" s="9"/>
      <c r="T292" s="9"/>
      <c r="U292" s="9"/>
      <c r="V292" s="9"/>
      <c r="W292" s="10"/>
      <c r="X292" s="10"/>
      <c r="Y292" s="10"/>
      <c r="Z292" s="10"/>
    </row>
    <row r="293">
      <c r="A293" s="9"/>
      <c r="B293" s="9"/>
      <c r="C293" s="9"/>
      <c r="D293" s="9"/>
      <c r="E293" s="9"/>
      <c r="F293" s="9"/>
      <c r="G293" s="9"/>
      <c r="H293" s="9"/>
      <c r="I293" s="9"/>
      <c r="J293" s="9"/>
      <c r="K293" s="9"/>
      <c r="L293" s="115"/>
      <c r="M293" s="115"/>
      <c r="N293" s="115"/>
      <c r="O293" s="115"/>
      <c r="P293" s="9"/>
      <c r="Q293" s="9"/>
      <c r="R293" s="9"/>
      <c r="S293" s="9"/>
      <c r="T293" s="9"/>
      <c r="U293" s="9"/>
      <c r="V293" s="9"/>
      <c r="W293" s="10"/>
      <c r="X293" s="10"/>
      <c r="Y293" s="10"/>
      <c r="Z293" s="10"/>
    </row>
    <row r="294">
      <c r="A294" s="9"/>
      <c r="B294" s="9"/>
      <c r="C294" s="9"/>
      <c r="D294" s="9"/>
      <c r="E294" s="9"/>
      <c r="F294" s="9"/>
      <c r="G294" s="9"/>
      <c r="H294" s="9"/>
      <c r="I294" s="9"/>
      <c r="J294" s="9"/>
      <c r="K294" s="9"/>
      <c r="L294" s="115"/>
      <c r="M294" s="115"/>
      <c r="N294" s="115"/>
      <c r="O294" s="115"/>
      <c r="P294" s="9"/>
      <c r="Q294" s="9"/>
      <c r="R294" s="9"/>
      <c r="S294" s="9"/>
      <c r="T294" s="9"/>
      <c r="U294" s="9"/>
      <c r="V294" s="9"/>
      <c r="W294" s="10"/>
      <c r="X294" s="10"/>
      <c r="Y294" s="10"/>
      <c r="Z294" s="10"/>
    </row>
    <row r="295">
      <c r="A295" s="9"/>
      <c r="B295" s="9"/>
      <c r="C295" s="9"/>
      <c r="D295" s="9"/>
      <c r="E295" s="9"/>
      <c r="F295" s="9"/>
      <c r="G295" s="9"/>
      <c r="H295" s="9"/>
      <c r="I295" s="9"/>
      <c r="J295" s="9"/>
      <c r="K295" s="9"/>
      <c r="L295" s="115"/>
      <c r="M295" s="115"/>
      <c r="N295" s="115"/>
      <c r="O295" s="115"/>
      <c r="P295" s="9"/>
      <c r="Q295" s="9"/>
      <c r="R295" s="9"/>
      <c r="S295" s="9"/>
      <c r="T295" s="9"/>
      <c r="U295" s="9"/>
      <c r="V295" s="9"/>
      <c r="W295" s="10"/>
      <c r="X295" s="10"/>
      <c r="Y295" s="10"/>
      <c r="Z295" s="10"/>
    </row>
    <row r="296">
      <c r="A296" s="9"/>
      <c r="B296" s="9"/>
      <c r="C296" s="9"/>
      <c r="D296" s="9"/>
      <c r="E296" s="9"/>
      <c r="F296" s="9"/>
      <c r="G296" s="9"/>
      <c r="H296" s="9"/>
      <c r="I296" s="9"/>
      <c r="J296" s="9"/>
      <c r="K296" s="9"/>
      <c r="L296" s="115"/>
      <c r="M296" s="115"/>
      <c r="N296" s="115"/>
      <c r="O296" s="115"/>
      <c r="P296" s="9"/>
      <c r="Q296" s="9"/>
      <c r="R296" s="9"/>
      <c r="S296" s="9"/>
      <c r="T296" s="9"/>
      <c r="U296" s="9"/>
      <c r="V296" s="9"/>
      <c r="W296" s="10"/>
      <c r="X296" s="10"/>
      <c r="Y296" s="10"/>
      <c r="Z296" s="10"/>
    </row>
    <row r="297">
      <c r="A297" s="9"/>
      <c r="B297" s="9"/>
      <c r="C297" s="9"/>
      <c r="D297" s="9"/>
      <c r="E297" s="9"/>
      <c r="F297" s="9"/>
      <c r="G297" s="9"/>
      <c r="H297" s="9"/>
      <c r="I297" s="9"/>
      <c r="J297" s="9"/>
      <c r="K297" s="9"/>
      <c r="L297" s="115"/>
      <c r="M297" s="115"/>
      <c r="N297" s="115"/>
      <c r="O297" s="115"/>
      <c r="P297" s="9"/>
      <c r="Q297" s="9"/>
      <c r="R297" s="9"/>
      <c r="S297" s="9"/>
      <c r="T297" s="9"/>
      <c r="U297" s="9"/>
      <c r="V297" s="9"/>
      <c r="W297" s="10"/>
      <c r="X297" s="10"/>
      <c r="Y297" s="10"/>
      <c r="Z297" s="10"/>
    </row>
    <row r="298">
      <c r="A298" s="9"/>
      <c r="B298" s="9"/>
      <c r="C298" s="9"/>
      <c r="D298" s="9"/>
      <c r="E298" s="9"/>
      <c r="F298" s="9"/>
      <c r="G298" s="9"/>
      <c r="H298" s="9"/>
      <c r="I298" s="9"/>
      <c r="J298" s="9"/>
      <c r="K298" s="9"/>
      <c r="L298" s="115"/>
      <c r="M298" s="115"/>
      <c r="N298" s="115"/>
      <c r="O298" s="115"/>
      <c r="P298" s="9"/>
      <c r="Q298" s="9"/>
      <c r="R298" s="9"/>
      <c r="S298" s="9"/>
      <c r="T298" s="9"/>
      <c r="U298" s="9"/>
      <c r="V298" s="9"/>
      <c r="W298" s="10"/>
      <c r="X298" s="10"/>
      <c r="Y298" s="10"/>
      <c r="Z298" s="10"/>
    </row>
    <row r="299">
      <c r="A299" s="9"/>
      <c r="B299" s="9"/>
      <c r="C299" s="9"/>
      <c r="D299" s="9"/>
      <c r="E299" s="9"/>
      <c r="F299" s="9"/>
      <c r="G299" s="9"/>
      <c r="H299" s="9"/>
      <c r="I299" s="9"/>
      <c r="J299" s="9"/>
      <c r="K299" s="9"/>
      <c r="L299" s="115"/>
      <c r="M299" s="115"/>
      <c r="N299" s="115"/>
      <c r="O299" s="115"/>
      <c r="P299" s="9"/>
      <c r="Q299" s="9"/>
      <c r="R299" s="9"/>
      <c r="S299" s="9"/>
      <c r="T299" s="9"/>
      <c r="U299" s="9"/>
      <c r="V299" s="9"/>
      <c r="W299" s="10"/>
      <c r="X299" s="10"/>
      <c r="Y299" s="10"/>
      <c r="Z299" s="10"/>
    </row>
    <row r="300">
      <c r="A300" s="9"/>
      <c r="B300" s="9"/>
      <c r="C300" s="9"/>
      <c r="D300" s="9"/>
      <c r="E300" s="9"/>
      <c r="F300" s="9"/>
      <c r="G300" s="9"/>
      <c r="H300" s="9"/>
      <c r="I300" s="9"/>
      <c r="J300" s="9"/>
      <c r="K300" s="9"/>
      <c r="L300" s="115"/>
      <c r="M300" s="115"/>
      <c r="N300" s="115"/>
      <c r="O300" s="115"/>
      <c r="P300" s="9"/>
      <c r="Q300" s="9"/>
      <c r="R300" s="9"/>
      <c r="S300" s="9"/>
      <c r="T300" s="9"/>
      <c r="U300" s="9"/>
      <c r="V300" s="9"/>
      <c r="W300" s="10"/>
      <c r="X300" s="10"/>
      <c r="Y300" s="10"/>
      <c r="Z300" s="10"/>
    </row>
    <row r="301">
      <c r="A301" s="9"/>
      <c r="B301" s="9"/>
      <c r="C301" s="9"/>
      <c r="D301" s="9"/>
      <c r="E301" s="9"/>
      <c r="F301" s="9"/>
      <c r="G301" s="9"/>
      <c r="H301" s="9"/>
      <c r="I301" s="9"/>
      <c r="J301" s="9"/>
      <c r="K301" s="9"/>
      <c r="L301" s="115"/>
      <c r="M301" s="115"/>
      <c r="N301" s="115"/>
      <c r="O301" s="115"/>
      <c r="P301" s="9"/>
      <c r="Q301" s="9"/>
      <c r="R301" s="9"/>
      <c r="S301" s="9"/>
      <c r="T301" s="9"/>
      <c r="U301" s="9"/>
      <c r="V301" s="9"/>
      <c r="W301" s="10"/>
      <c r="X301" s="10"/>
      <c r="Y301" s="10"/>
      <c r="Z301" s="10"/>
    </row>
    <row r="302">
      <c r="A302" s="9"/>
      <c r="B302" s="9"/>
      <c r="C302" s="9"/>
      <c r="D302" s="9"/>
      <c r="E302" s="9"/>
      <c r="F302" s="9"/>
      <c r="G302" s="9"/>
      <c r="H302" s="9"/>
      <c r="I302" s="9"/>
      <c r="J302" s="9"/>
      <c r="K302" s="9"/>
      <c r="L302" s="115"/>
      <c r="M302" s="115"/>
      <c r="N302" s="115"/>
      <c r="O302" s="115"/>
      <c r="P302" s="9"/>
      <c r="Q302" s="9"/>
      <c r="R302" s="9"/>
      <c r="S302" s="9"/>
      <c r="T302" s="9"/>
      <c r="U302" s="9"/>
      <c r="V302" s="9"/>
      <c r="W302" s="10"/>
      <c r="X302" s="10"/>
      <c r="Y302" s="10"/>
      <c r="Z302" s="10"/>
    </row>
    <row r="303">
      <c r="A303" s="9"/>
      <c r="B303" s="9"/>
      <c r="C303" s="9"/>
      <c r="D303" s="9"/>
      <c r="E303" s="9"/>
      <c r="F303" s="9"/>
      <c r="G303" s="9"/>
      <c r="H303" s="9"/>
      <c r="I303" s="9"/>
      <c r="J303" s="9"/>
      <c r="K303" s="9"/>
      <c r="L303" s="115"/>
      <c r="M303" s="115"/>
      <c r="N303" s="115"/>
      <c r="O303" s="115"/>
      <c r="P303" s="9"/>
      <c r="Q303" s="9"/>
      <c r="R303" s="9"/>
      <c r="S303" s="9"/>
      <c r="T303" s="9"/>
      <c r="U303" s="9"/>
      <c r="V303" s="9"/>
      <c r="W303" s="10"/>
      <c r="X303" s="10"/>
      <c r="Y303" s="10"/>
      <c r="Z303" s="10"/>
    </row>
    <row r="304">
      <c r="A304" s="9"/>
      <c r="B304" s="9"/>
      <c r="C304" s="9"/>
      <c r="D304" s="9"/>
      <c r="E304" s="9"/>
      <c r="F304" s="9"/>
      <c r="G304" s="9"/>
      <c r="H304" s="9"/>
      <c r="I304" s="9"/>
      <c r="J304" s="9"/>
      <c r="K304" s="9"/>
      <c r="L304" s="115"/>
      <c r="M304" s="115"/>
      <c r="N304" s="115"/>
      <c r="O304" s="115"/>
      <c r="P304" s="9"/>
      <c r="Q304" s="9"/>
      <c r="R304" s="9"/>
      <c r="S304" s="9"/>
      <c r="T304" s="9"/>
      <c r="U304" s="9"/>
      <c r="V304" s="9"/>
      <c r="W304" s="10"/>
      <c r="X304" s="10"/>
      <c r="Y304" s="10"/>
      <c r="Z304" s="10"/>
    </row>
    <row r="305">
      <c r="A305" s="9"/>
      <c r="B305" s="9"/>
      <c r="C305" s="9"/>
      <c r="D305" s="9"/>
      <c r="E305" s="9"/>
      <c r="F305" s="9"/>
      <c r="G305" s="9"/>
      <c r="H305" s="9"/>
      <c r="I305" s="9"/>
      <c r="J305" s="9"/>
      <c r="K305" s="9"/>
      <c r="L305" s="115"/>
      <c r="M305" s="115"/>
      <c r="N305" s="115"/>
      <c r="O305" s="115"/>
      <c r="P305" s="9"/>
      <c r="Q305" s="9"/>
      <c r="R305" s="9"/>
      <c r="S305" s="9"/>
      <c r="T305" s="9"/>
      <c r="U305" s="9"/>
      <c r="V305" s="9"/>
      <c r="W305" s="10"/>
      <c r="X305" s="10"/>
      <c r="Y305" s="10"/>
      <c r="Z305" s="10"/>
    </row>
    <row r="306">
      <c r="A306" s="9"/>
      <c r="B306" s="9"/>
      <c r="C306" s="9"/>
      <c r="D306" s="9"/>
      <c r="E306" s="9"/>
      <c r="F306" s="9"/>
      <c r="G306" s="9"/>
      <c r="H306" s="9"/>
      <c r="I306" s="9"/>
      <c r="J306" s="9"/>
      <c r="K306" s="9"/>
      <c r="L306" s="115"/>
      <c r="M306" s="115"/>
      <c r="N306" s="115"/>
      <c r="O306" s="115"/>
      <c r="P306" s="9"/>
      <c r="Q306" s="9"/>
      <c r="R306" s="9"/>
      <c r="S306" s="9"/>
      <c r="T306" s="9"/>
      <c r="U306" s="9"/>
      <c r="V306" s="9"/>
      <c r="W306" s="10"/>
      <c r="X306" s="10"/>
      <c r="Y306" s="10"/>
      <c r="Z306" s="10"/>
    </row>
    <row r="307">
      <c r="A307" s="9"/>
      <c r="B307" s="9"/>
      <c r="C307" s="9"/>
      <c r="D307" s="9"/>
      <c r="E307" s="9"/>
      <c r="F307" s="9"/>
      <c r="G307" s="9"/>
      <c r="H307" s="9"/>
      <c r="I307" s="9"/>
      <c r="J307" s="9"/>
      <c r="K307" s="9"/>
      <c r="L307" s="115"/>
      <c r="M307" s="115"/>
      <c r="N307" s="115"/>
      <c r="O307" s="115"/>
      <c r="P307" s="9"/>
      <c r="Q307" s="9"/>
      <c r="R307" s="9"/>
      <c r="S307" s="9"/>
      <c r="T307" s="9"/>
      <c r="U307" s="9"/>
      <c r="V307" s="9"/>
      <c r="W307" s="10"/>
      <c r="X307" s="10"/>
      <c r="Y307" s="10"/>
      <c r="Z307" s="10"/>
    </row>
    <row r="308">
      <c r="A308" s="9"/>
      <c r="B308" s="9"/>
      <c r="C308" s="9"/>
      <c r="D308" s="9"/>
      <c r="E308" s="9"/>
      <c r="F308" s="9"/>
      <c r="G308" s="9"/>
      <c r="H308" s="9"/>
      <c r="I308" s="9"/>
      <c r="J308" s="9"/>
      <c r="K308" s="9"/>
      <c r="L308" s="115"/>
      <c r="M308" s="115"/>
      <c r="N308" s="115"/>
      <c r="O308" s="115"/>
      <c r="P308" s="9"/>
      <c r="Q308" s="9"/>
      <c r="R308" s="9"/>
      <c r="S308" s="9"/>
      <c r="T308" s="9"/>
      <c r="U308" s="9"/>
      <c r="V308" s="9"/>
      <c r="W308" s="10"/>
      <c r="X308" s="10"/>
      <c r="Y308" s="10"/>
      <c r="Z308" s="10"/>
    </row>
    <row r="309">
      <c r="A309" s="9"/>
      <c r="B309" s="9"/>
      <c r="C309" s="9"/>
      <c r="D309" s="9"/>
      <c r="E309" s="9"/>
      <c r="F309" s="9"/>
      <c r="G309" s="9"/>
      <c r="H309" s="9"/>
      <c r="I309" s="9"/>
      <c r="J309" s="9"/>
      <c r="K309" s="9"/>
      <c r="L309" s="115"/>
      <c r="M309" s="115"/>
      <c r="N309" s="115"/>
      <c r="O309" s="115"/>
      <c r="P309" s="9"/>
      <c r="Q309" s="9"/>
      <c r="R309" s="9"/>
      <c r="S309" s="9"/>
      <c r="T309" s="9"/>
      <c r="U309" s="9"/>
      <c r="V309" s="9"/>
      <c r="W309" s="10"/>
      <c r="X309" s="10"/>
      <c r="Y309" s="10"/>
      <c r="Z309" s="10"/>
    </row>
    <row r="310">
      <c r="A310" s="9"/>
      <c r="B310" s="9"/>
      <c r="C310" s="9"/>
      <c r="D310" s="9"/>
      <c r="E310" s="9"/>
      <c r="F310" s="9"/>
      <c r="G310" s="9"/>
      <c r="H310" s="9"/>
      <c r="I310" s="9"/>
      <c r="J310" s="9"/>
      <c r="K310" s="9"/>
      <c r="L310" s="115"/>
      <c r="M310" s="115"/>
      <c r="N310" s="115"/>
      <c r="O310" s="115"/>
      <c r="P310" s="9"/>
      <c r="Q310" s="9"/>
      <c r="R310" s="9"/>
      <c r="S310" s="9"/>
      <c r="T310" s="9"/>
      <c r="U310" s="9"/>
      <c r="V310" s="9"/>
      <c r="W310" s="10"/>
      <c r="X310" s="10"/>
      <c r="Y310" s="10"/>
      <c r="Z310" s="10"/>
    </row>
    <row r="311">
      <c r="A311" s="9"/>
      <c r="B311" s="9"/>
      <c r="C311" s="9"/>
      <c r="D311" s="9"/>
      <c r="E311" s="9"/>
      <c r="F311" s="9"/>
      <c r="G311" s="9"/>
      <c r="H311" s="9"/>
      <c r="I311" s="9"/>
      <c r="J311" s="9"/>
      <c r="K311" s="9"/>
      <c r="L311" s="115"/>
      <c r="M311" s="115"/>
      <c r="N311" s="115"/>
      <c r="O311" s="115"/>
      <c r="P311" s="9"/>
      <c r="Q311" s="9"/>
      <c r="R311" s="9"/>
      <c r="S311" s="9"/>
      <c r="T311" s="9"/>
      <c r="U311" s="9"/>
      <c r="V311" s="9"/>
      <c r="W311" s="10"/>
      <c r="X311" s="10"/>
      <c r="Y311" s="10"/>
      <c r="Z311" s="10"/>
    </row>
    <row r="312">
      <c r="A312" s="9"/>
      <c r="B312" s="9"/>
      <c r="C312" s="9"/>
      <c r="D312" s="9"/>
      <c r="E312" s="9"/>
      <c r="F312" s="9"/>
      <c r="G312" s="9"/>
      <c r="H312" s="9"/>
      <c r="I312" s="9"/>
      <c r="J312" s="9"/>
      <c r="K312" s="9"/>
      <c r="L312" s="115"/>
      <c r="M312" s="115"/>
      <c r="N312" s="115"/>
      <c r="O312" s="115"/>
      <c r="P312" s="9"/>
      <c r="Q312" s="9"/>
      <c r="R312" s="9"/>
      <c r="S312" s="9"/>
      <c r="T312" s="9"/>
      <c r="U312" s="9"/>
      <c r="V312" s="9"/>
      <c r="W312" s="10"/>
      <c r="X312" s="10"/>
      <c r="Y312" s="10"/>
      <c r="Z312" s="10"/>
    </row>
    <row r="313">
      <c r="A313" s="9"/>
      <c r="B313" s="9"/>
      <c r="C313" s="9"/>
      <c r="D313" s="9"/>
      <c r="E313" s="9"/>
      <c r="F313" s="9"/>
      <c r="G313" s="9"/>
      <c r="H313" s="9"/>
      <c r="I313" s="9"/>
      <c r="J313" s="9"/>
      <c r="K313" s="9"/>
      <c r="L313" s="115"/>
      <c r="M313" s="115"/>
      <c r="N313" s="115"/>
      <c r="O313" s="115"/>
      <c r="P313" s="9"/>
      <c r="Q313" s="9"/>
      <c r="R313" s="9"/>
      <c r="S313" s="9"/>
      <c r="T313" s="9"/>
      <c r="U313" s="9"/>
      <c r="V313" s="9"/>
      <c r="W313" s="10"/>
      <c r="X313" s="10"/>
      <c r="Y313" s="10"/>
      <c r="Z313" s="10"/>
    </row>
    <row r="314">
      <c r="A314" s="9"/>
      <c r="B314" s="9"/>
      <c r="C314" s="9"/>
      <c r="D314" s="9"/>
      <c r="E314" s="9"/>
      <c r="F314" s="9"/>
      <c r="G314" s="9"/>
      <c r="H314" s="9"/>
      <c r="I314" s="9"/>
      <c r="J314" s="9"/>
      <c r="K314" s="9"/>
      <c r="L314" s="115"/>
      <c r="M314" s="115"/>
      <c r="N314" s="115"/>
      <c r="O314" s="115"/>
      <c r="P314" s="9"/>
      <c r="Q314" s="9"/>
      <c r="R314" s="9"/>
      <c r="S314" s="9"/>
      <c r="T314" s="9"/>
      <c r="U314" s="9"/>
      <c r="V314" s="9"/>
      <c r="W314" s="10"/>
      <c r="X314" s="10"/>
      <c r="Y314" s="10"/>
      <c r="Z314" s="10"/>
    </row>
    <row r="315">
      <c r="A315" s="9"/>
      <c r="B315" s="9"/>
      <c r="C315" s="9"/>
      <c r="D315" s="9"/>
      <c r="E315" s="9"/>
      <c r="F315" s="9"/>
      <c r="G315" s="9"/>
      <c r="H315" s="9"/>
      <c r="I315" s="9"/>
      <c r="J315" s="9"/>
      <c r="K315" s="9"/>
      <c r="L315" s="115"/>
      <c r="M315" s="115"/>
      <c r="N315" s="115"/>
      <c r="O315" s="115"/>
      <c r="P315" s="9"/>
      <c r="Q315" s="9"/>
      <c r="R315" s="9"/>
      <c r="S315" s="9"/>
      <c r="T315" s="9"/>
      <c r="U315" s="9"/>
      <c r="V315" s="9"/>
      <c r="W315" s="10"/>
      <c r="X315" s="10"/>
      <c r="Y315" s="10"/>
      <c r="Z315" s="10"/>
    </row>
    <row r="316">
      <c r="A316" s="9"/>
      <c r="B316" s="9"/>
      <c r="C316" s="9"/>
      <c r="D316" s="9"/>
      <c r="E316" s="9"/>
      <c r="F316" s="9"/>
      <c r="G316" s="9"/>
      <c r="H316" s="9"/>
      <c r="I316" s="9"/>
      <c r="J316" s="9"/>
      <c r="K316" s="9"/>
      <c r="L316" s="115"/>
      <c r="M316" s="115"/>
      <c r="N316" s="115"/>
      <c r="O316" s="115"/>
      <c r="P316" s="9"/>
      <c r="Q316" s="9"/>
      <c r="R316" s="9"/>
      <c r="S316" s="9"/>
      <c r="T316" s="9"/>
      <c r="U316" s="9"/>
      <c r="V316" s="9"/>
      <c r="W316" s="10"/>
      <c r="X316" s="10"/>
      <c r="Y316" s="10"/>
      <c r="Z316" s="10"/>
    </row>
    <row r="317">
      <c r="A317" s="9"/>
      <c r="B317" s="9"/>
      <c r="C317" s="9"/>
      <c r="D317" s="9"/>
      <c r="E317" s="9"/>
      <c r="F317" s="9"/>
      <c r="G317" s="9"/>
      <c r="H317" s="9"/>
      <c r="I317" s="9"/>
      <c r="J317" s="9"/>
      <c r="K317" s="9"/>
      <c r="L317" s="115"/>
      <c r="M317" s="115"/>
      <c r="N317" s="115"/>
      <c r="O317" s="115"/>
      <c r="P317" s="9"/>
      <c r="Q317" s="9"/>
      <c r="R317" s="9"/>
      <c r="S317" s="9"/>
      <c r="T317" s="9"/>
      <c r="U317" s="9"/>
      <c r="V317" s="9"/>
      <c r="W317" s="10"/>
      <c r="X317" s="10"/>
      <c r="Y317" s="10"/>
      <c r="Z317" s="10"/>
    </row>
    <row r="318">
      <c r="A318" s="9"/>
      <c r="B318" s="9"/>
      <c r="C318" s="9"/>
      <c r="D318" s="9"/>
      <c r="E318" s="9"/>
      <c r="F318" s="9"/>
      <c r="G318" s="9"/>
      <c r="H318" s="9"/>
      <c r="I318" s="9"/>
      <c r="J318" s="9"/>
      <c r="K318" s="9"/>
      <c r="L318" s="115"/>
      <c r="M318" s="115"/>
      <c r="N318" s="115"/>
      <c r="O318" s="115"/>
      <c r="P318" s="9"/>
      <c r="Q318" s="9"/>
      <c r="R318" s="9"/>
      <c r="S318" s="9"/>
      <c r="T318" s="9"/>
      <c r="U318" s="9"/>
      <c r="V318" s="9"/>
      <c r="W318" s="10"/>
      <c r="X318" s="10"/>
      <c r="Y318" s="10"/>
      <c r="Z318" s="10"/>
    </row>
    <row r="319">
      <c r="A319" s="9"/>
      <c r="B319" s="9"/>
      <c r="C319" s="9"/>
      <c r="D319" s="9"/>
      <c r="E319" s="9"/>
      <c r="F319" s="9"/>
      <c r="G319" s="9"/>
      <c r="H319" s="9"/>
      <c r="I319" s="9"/>
      <c r="J319" s="9"/>
      <c r="K319" s="9"/>
      <c r="L319" s="115"/>
      <c r="M319" s="115"/>
      <c r="N319" s="115"/>
      <c r="O319" s="115"/>
      <c r="P319" s="9"/>
      <c r="Q319" s="9"/>
      <c r="R319" s="9"/>
      <c r="S319" s="9"/>
      <c r="T319" s="9"/>
      <c r="U319" s="9"/>
      <c r="V319" s="9"/>
      <c r="W319" s="10"/>
      <c r="X319" s="10"/>
      <c r="Y319" s="10"/>
      <c r="Z319" s="10"/>
    </row>
    <row r="320">
      <c r="A320" s="9"/>
      <c r="B320" s="9"/>
      <c r="C320" s="9"/>
      <c r="D320" s="9"/>
      <c r="E320" s="9"/>
      <c r="F320" s="9"/>
      <c r="G320" s="9"/>
      <c r="H320" s="9"/>
      <c r="I320" s="9"/>
      <c r="J320" s="9"/>
      <c r="K320" s="9"/>
      <c r="L320" s="115"/>
      <c r="M320" s="115"/>
      <c r="N320" s="115"/>
      <c r="O320" s="115"/>
      <c r="P320" s="9"/>
      <c r="Q320" s="9"/>
      <c r="R320" s="9"/>
      <c r="S320" s="9"/>
      <c r="T320" s="9"/>
      <c r="U320" s="9"/>
      <c r="V320" s="9"/>
      <c r="W320" s="10"/>
      <c r="X320" s="10"/>
      <c r="Y320" s="10"/>
      <c r="Z320" s="10"/>
    </row>
    <row r="321">
      <c r="A321" s="9"/>
      <c r="B321" s="9"/>
      <c r="C321" s="9"/>
      <c r="D321" s="9"/>
      <c r="E321" s="9"/>
      <c r="F321" s="9"/>
      <c r="G321" s="9"/>
      <c r="H321" s="9"/>
      <c r="I321" s="9"/>
      <c r="J321" s="9"/>
      <c r="K321" s="9"/>
      <c r="L321" s="115"/>
      <c r="M321" s="115"/>
      <c r="N321" s="115"/>
      <c r="O321" s="115"/>
      <c r="P321" s="9"/>
      <c r="Q321" s="9"/>
      <c r="R321" s="9"/>
      <c r="S321" s="9"/>
      <c r="T321" s="9"/>
      <c r="U321" s="9"/>
      <c r="V321" s="9"/>
      <c r="W321" s="10"/>
      <c r="X321" s="10"/>
      <c r="Y321" s="10"/>
      <c r="Z321" s="10"/>
    </row>
    <row r="322">
      <c r="A322" s="9"/>
      <c r="B322" s="9"/>
      <c r="C322" s="9"/>
      <c r="D322" s="9"/>
      <c r="E322" s="9"/>
      <c r="F322" s="9"/>
      <c r="G322" s="9"/>
      <c r="H322" s="9"/>
      <c r="I322" s="9"/>
      <c r="J322" s="9"/>
      <c r="K322" s="9"/>
      <c r="L322" s="115"/>
      <c r="M322" s="115"/>
      <c r="N322" s="115"/>
      <c r="O322" s="115"/>
      <c r="P322" s="9"/>
      <c r="Q322" s="9"/>
      <c r="R322" s="9"/>
      <c r="S322" s="9"/>
      <c r="T322" s="9"/>
      <c r="U322" s="9"/>
      <c r="V322" s="9"/>
      <c r="W322" s="10"/>
      <c r="X322" s="10"/>
      <c r="Y322" s="10"/>
      <c r="Z322" s="10"/>
    </row>
    <row r="323">
      <c r="A323" s="9"/>
      <c r="B323" s="9"/>
      <c r="C323" s="9"/>
      <c r="D323" s="9"/>
      <c r="E323" s="9"/>
      <c r="F323" s="9"/>
      <c r="G323" s="9"/>
      <c r="H323" s="9"/>
      <c r="I323" s="9"/>
      <c r="J323" s="9"/>
      <c r="K323" s="9"/>
      <c r="L323" s="115"/>
      <c r="M323" s="115"/>
      <c r="N323" s="115"/>
      <c r="O323" s="115"/>
      <c r="P323" s="9"/>
      <c r="Q323" s="9"/>
      <c r="R323" s="9"/>
      <c r="S323" s="9"/>
      <c r="T323" s="9"/>
      <c r="U323" s="9"/>
      <c r="V323" s="9"/>
      <c r="W323" s="10"/>
      <c r="X323" s="10"/>
      <c r="Y323" s="10"/>
      <c r="Z323" s="10"/>
    </row>
    <row r="324">
      <c r="A324" s="9"/>
      <c r="B324" s="9"/>
      <c r="C324" s="9"/>
      <c r="D324" s="9"/>
      <c r="E324" s="9"/>
      <c r="F324" s="9"/>
      <c r="G324" s="9"/>
      <c r="H324" s="9"/>
      <c r="I324" s="9"/>
      <c r="J324" s="9"/>
      <c r="K324" s="9"/>
      <c r="L324" s="115"/>
      <c r="M324" s="115"/>
      <c r="N324" s="115"/>
      <c r="O324" s="115"/>
      <c r="P324" s="9"/>
      <c r="Q324" s="9"/>
      <c r="R324" s="9"/>
      <c r="S324" s="9"/>
      <c r="T324" s="9"/>
      <c r="U324" s="9"/>
      <c r="V324" s="9"/>
      <c r="W324" s="10"/>
      <c r="X324" s="10"/>
      <c r="Y324" s="10"/>
      <c r="Z324" s="10"/>
    </row>
    <row r="325">
      <c r="A325" s="9"/>
      <c r="B325" s="9"/>
      <c r="C325" s="9"/>
      <c r="D325" s="9"/>
      <c r="E325" s="9"/>
      <c r="F325" s="9"/>
      <c r="G325" s="9"/>
      <c r="H325" s="9"/>
      <c r="I325" s="9"/>
      <c r="J325" s="9"/>
      <c r="K325" s="9"/>
      <c r="L325" s="115"/>
      <c r="M325" s="115"/>
      <c r="N325" s="115"/>
      <c r="O325" s="115"/>
      <c r="P325" s="9"/>
      <c r="Q325" s="9"/>
      <c r="R325" s="9"/>
      <c r="S325" s="9"/>
      <c r="T325" s="9"/>
      <c r="U325" s="9"/>
      <c r="V325" s="9"/>
      <c r="W325" s="10"/>
      <c r="X325" s="10"/>
      <c r="Y325" s="10"/>
      <c r="Z325" s="10"/>
    </row>
    <row r="326">
      <c r="A326" s="9"/>
      <c r="B326" s="9"/>
      <c r="C326" s="9"/>
      <c r="D326" s="9"/>
      <c r="E326" s="9"/>
      <c r="F326" s="9"/>
      <c r="G326" s="9"/>
      <c r="H326" s="9"/>
      <c r="I326" s="9"/>
      <c r="J326" s="9"/>
      <c r="K326" s="9"/>
      <c r="L326" s="115"/>
      <c r="M326" s="115"/>
      <c r="N326" s="115"/>
      <c r="O326" s="115"/>
      <c r="P326" s="9"/>
      <c r="Q326" s="9"/>
      <c r="R326" s="9"/>
      <c r="S326" s="9"/>
      <c r="T326" s="9"/>
      <c r="U326" s="9"/>
      <c r="V326" s="9"/>
      <c r="W326" s="10"/>
      <c r="X326" s="10"/>
      <c r="Y326" s="10"/>
      <c r="Z326" s="10"/>
    </row>
    <row r="327">
      <c r="A327" s="9"/>
      <c r="B327" s="9"/>
      <c r="C327" s="9"/>
      <c r="D327" s="9"/>
      <c r="E327" s="9"/>
      <c r="F327" s="9"/>
      <c r="G327" s="9"/>
      <c r="H327" s="9"/>
      <c r="I327" s="9"/>
      <c r="J327" s="9"/>
      <c r="K327" s="9"/>
      <c r="L327" s="115"/>
      <c r="M327" s="115"/>
      <c r="N327" s="115"/>
      <c r="O327" s="115"/>
      <c r="P327" s="9"/>
      <c r="Q327" s="9"/>
      <c r="R327" s="9"/>
      <c r="S327" s="9"/>
      <c r="T327" s="9"/>
      <c r="U327" s="9"/>
      <c r="V327" s="9"/>
      <c r="W327" s="10"/>
      <c r="X327" s="10"/>
      <c r="Y327" s="10"/>
      <c r="Z327" s="10"/>
    </row>
    <row r="328">
      <c r="A328" s="9"/>
      <c r="B328" s="9"/>
      <c r="C328" s="9"/>
      <c r="D328" s="9"/>
      <c r="E328" s="9"/>
      <c r="F328" s="9"/>
      <c r="G328" s="9"/>
      <c r="H328" s="9"/>
      <c r="I328" s="9"/>
      <c r="J328" s="9"/>
      <c r="K328" s="9"/>
      <c r="L328" s="115"/>
      <c r="M328" s="115"/>
      <c r="N328" s="115"/>
      <c r="O328" s="115"/>
      <c r="P328" s="9"/>
      <c r="Q328" s="9"/>
      <c r="R328" s="9"/>
      <c r="S328" s="9"/>
      <c r="T328" s="9"/>
      <c r="U328" s="9"/>
      <c r="V328" s="9"/>
      <c r="W328" s="10"/>
      <c r="X328" s="10"/>
      <c r="Y328" s="10"/>
      <c r="Z328" s="10"/>
    </row>
    <row r="329">
      <c r="A329" s="9"/>
      <c r="B329" s="9"/>
      <c r="C329" s="9"/>
      <c r="D329" s="9"/>
      <c r="E329" s="9"/>
      <c r="F329" s="9"/>
      <c r="G329" s="9"/>
      <c r="H329" s="9"/>
      <c r="I329" s="9"/>
      <c r="J329" s="9"/>
      <c r="K329" s="9"/>
      <c r="L329" s="115"/>
      <c r="M329" s="115"/>
      <c r="N329" s="115"/>
      <c r="O329" s="115"/>
      <c r="P329" s="9"/>
      <c r="Q329" s="9"/>
      <c r="R329" s="9"/>
      <c r="S329" s="9"/>
      <c r="T329" s="9"/>
      <c r="U329" s="9"/>
      <c r="V329" s="9"/>
      <c r="W329" s="10"/>
      <c r="X329" s="10"/>
      <c r="Y329" s="10"/>
      <c r="Z329" s="10"/>
    </row>
    <row r="330">
      <c r="A330" s="9"/>
      <c r="B330" s="9"/>
      <c r="C330" s="9"/>
      <c r="D330" s="9"/>
      <c r="E330" s="9"/>
      <c r="F330" s="9"/>
      <c r="G330" s="9"/>
      <c r="H330" s="9"/>
      <c r="I330" s="9"/>
      <c r="J330" s="9"/>
      <c r="K330" s="9"/>
      <c r="L330" s="115"/>
      <c r="M330" s="115"/>
      <c r="N330" s="115"/>
      <c r="O330" s="115"/>
      <c r="P330" s="9"/>
      <c r="Q330" s="9"/>
      <c r="R330" s="9"/>
      <c r="S330" s="9"/>
      <c r="T330" s="9"/>
      <c r="U330" s="9"/>
      <c r="V330" s="9"/>
      <c r="W330" s="10"/>
      <c r="X330" s="10"/>
      <c r="Y330" s="10"/>
      <c r="Z330" s="10"/>
    </row>
    <row r="331">
      <c r="A331" s="9"/>
      <c r="B331" s="9"/>
      <c r="C331" s="9"/>
      <c r="D331" s="9"/>
      <c r="E331" s="9"/>
      <c r="F331" s="9"/>
      <c r="G331" s="9"/>
      <c r="H331" s="9"/>
      <c r="I331" s="9"/>
      <c r="J331" s="9"/>
      <c r="K331" s="9"/>
      <c r="L331" s="115"/>
      <c r="M331" s="115"/>
      <c r="N331" s="115"/>
      <c r="O331" s="115"/>
      <c r="P331" s="9"/>
      <c r="Q331" s="9"/>
      <c r="R331" s="9"/>
      <c r="S331" s="9"/>
      <c r="T331" s="9"/>
      <c r="U331" s="9"/>
      <c r="V331" s="9"/>
      <c r="W331" s="10"/>
      <c r="X331" s="10"/>
      <c r="Y331" s="10"/>
      <c r="Z331" s="10"/>
    </row>
    <row r="332">
      <c r="A332" s="9"/>
      <c r="B332" s="9"/>
      <c r="C332" s="9"/>
      <c r="D332" s="9"/>
      <c r="E332" s="9"/>
      <c r="F332" s="9"/>
      <c r="G332" s="9"/>
      <c r="H332" s="9"/>
      <c r="I332" s="9"/>
      <c r="J332" s="9"/>
      <c r="K332" s="9"/>
      <c r="L332" s="115"/>
      <c r="M332" s="115"/>
      <c r="N332" s="115"/>
      <c r="O332" s="115"/>
      <c r="P332" s="9"/>
      <c r="Q332" s="9"/>
      <c r="R332" s="9"/>
      <c r="S332" s="9"/>
      <c r="T332" s="9"/>
      <c r="U332" s="9"/>
      <c r="V332" s="9"/>
      <c r="W332" s="10"/>
      <c r="X332" s="10"/>
      <c r="Y332" s="10"/>
      <c r="Z332" s="10"/>
    </row>
    <row r="333">
      <c r="A333" s="9"/>
      <c r="B333" s="9"/>
      <c r="C333" s="9"/>
      <c r="D333" s="9"/>
      <c r="E333" s="9"/>
      <c r="F333" s="9"/>
      <c r="G333" s="9"/>
      <c r="H333" s="9"/>
      <c r="I333" s="9"/>
      <c r="J333" s="9"/>
      <c r="K333" s="9"/>
      <c r="L333" s="115"/>
      <c r="M333" s="115"/>
      <c r="N333" s="115"/>
      <c r="O333" s="115"/>
      <c r="P333" s="9"/>
      <c r="Q333" s="9"/>
      <c r="R333" s="9"/>
      <c r="S333" s="9"/>
      <c r="T333" s="9"/>
      <c r="U333" s="9"/>
      <c r="V333" s="9"/>
      <c r="W333" s="10"/>
      <c r="X333" s="10"/>
      <c r="Y333" s="10"/>
      <c r="Z333" s="10"/>
    </row>
    <row r="334">
      <c r="A334" s="9"/>
      <c r="B334" s="9"/>
      <c r="C334" s="9"/>
      <c r="D334" s="9"/>
      <c r="E334" s="9"/>
      <c r="F334" s="9"/>
      <c r="G334" s="9"/>
      <c r="H334" s="9"/>
      <c r="I334" s="9"/>
      <c r="J334" s="9"/>
      <c r="K334" s="9"/>
      <c r="L334" s="115"/>
      <c r="M334" s="115"/>
      <c r="N334" s="115"/>
      <c r="O334" s="115"/>
      <c r="P334" s="9"/>
      <c r="Q334" s="9"/>
      <c r="R334" s="9"/>
      <c r="S334" s="9"/>
      <c r="T334" s="9"/>
      <c r="U334" s="9"/>
      <c r="V334" s="9"/>
      <c r="W334" s="10"/>
      <c r="X334" s="10"/>
      <c r="Y334" s="10"/>
      <c r="Z334" s="10"/>
    </row>
    <row r="335">
      <c r="A335" s="9"/>
      <c r="B335" s="9"/>
      <c r="C335" s="9"/>
      <c r="D335" s="9"/>
      <c r="E335" s="9"/>
      <c r="F335" s="9"/>
      <c r="G335" s="9"/>
      <c r="H335" s="9"/>
      <c r="I335" s="9"/>
      <c r="J335" s="9"/>
      <c r="K335" s="9"/>
      <c r="L335" s="115"/>
      <c r="M335" s="115"/>
      <c r="N335" s="115"/>
      <c r="O335" s="115"/>
      <c r="P335" s="9"/>
      <c r="Q335" s="9"/>
      <c r="R335" s="9"/>
      <c r="S335" s="9"/>
      <c r="T335" s="9"/>
      <c r="U335" s="9"/>
      <c r="V335" s="9"/>
      <c r="W335" s="10"/>
      <c r="X335" s="10"/>
      <c r="Y335" s="10"/>
      <c r="Z335" s="10"/>
    </row>
    <row r="336">
      <c r="A336" s="9"/>
      <c r="B336" s="9"/>
      <c r="C336" s="9"/>
      <c r="D336" s="9"/>
      <c r="E336" s="9"/>
      <c r="F336" s="9"/>
      <c r="G336" s="9"/>
      <c r="H336" s="9"/>
      <c r="I336" s="9"/>
      <c r="J336" s="9"/>
      <c r="K336" s="9"/>
      <c r="L336" s="115"/>
      <c r="M336" s="115"/>
      <c r="N336" s="115"/>
      <c r="O336" s="115"/>
      <c r="P336" s="9"/>
      <c r="Q336" s="9"/>
      <c r="R336" s="9"/>
      <c r="S336" s="9"/>
      <c r="T336" s="9"/>
      <c r="U336" s="9"/>
      <c r="V336" s="9"/>
      <c r="W336" s="10"/>
      <c r="X336" s="10"/>
      <c r="Y336" s="10"/>
      <c r="Z336" s="10"/>
    </row>
    <row r="337">
      <c r="A337" s="9"/>
      <c r="B337" s="9"/>
      <c r="C337" s="9"/>
      <c r="D337" s="9"/>
      <c r="E337" s="9"/>
      <c r="F337" s="9"/>
      <c r="G337" s="9"/>
      <c r="H337" s="9"/>
      <c r="I337" s="9"/>
      <c r="J337" s="9"/>
      <c r="K337" s="9"/>
      <c r="L337" s="115"/>
      <c r="M337" s="115"/>
      <c r="N337" s="115"/>
      <c r="O337" s="115"/>
      <c r="P337" s="9"/>
      <c r="Q337" s="9"/>
      <c r="R337" s="9"/>
      <c r="S337" s="9"/>
      <c r="T337" s="9"/>
      <c r="U337" s="9"/>
      <c r="V337" s="9"/>
      <c r="W337" s="10"/>
      <c r="X337" s="10"/>
      <c r="Y337" s="10"/>
      <c r="Z337" s="10"/>
    </row>
    <row r="338">
      <c r="A338" s="9"/>
      <c r="B338" s="9"/>
      <c r="C338" s="9"/>
      <c r="D338" s="9"/>
      <c r="E338" s="9"/>
      <c r="F338" s="9"/>
      <c r="G338" s="9"/>
      <c r="H338" s="9"/>
      <c r="I338" s="9"/>
      <c r="J338" s="9"/>
      <c r="K338" s="9"/>
      <c r="L338" s="115"/>
      <c r="M338" s="115"/>
      <c r="N338" s="115"/>
      <c r="O338" s="115"/>
      <c r="P338" s="9"/>
      <c r="Q338" s="9"/>
      <c r="R338" s="9"/>
      <c r="S338" s="9"/>
      <c r="T338" s="9"/>
      <c r="U338" s="9"/>
      <c r="V338" s="9"/>
      <c r="W338" s="10"/>
      <c r="X338" s="10"/>
      <c r="Y338" s="10"/>
      <c r="Z338" s="10"/>
    </row>
    <row r="339">
      <c r="A339" s="9"/>
      <c r="B339" s="9"/>
      <c r="C339" s="9"/>
      <c r="D339" s="9"/>
      <c r="E339" s="9"/>
      <c r="F339" s="9"/>
      <c r="G339" s="9"/>
      <c r="H339" s="9"/>
      <c r="I339" s="9"/>
      <c r="J339" s="9"/>
      <c r="K339" s="9"/>
      <c r="L339" s="115"/>
      <c r="M339" s="115"/>
      <c r="N339" s="115"/>
      <c r="O339" s="115"/>
      <c r="P339" s="9"/>
      <c r="Q339" s="9"/>
      <c r="R339" s="9"/>
      <c r="S339" s="9"/>
      <c r="T339" s="9"/>
      <c r="U339" s="9"/>
      <c r="V339" s="9"/>
      <c r="W339" s="10"/>
      <c r="X339" s="10"/>
      <c r="Y339" s="10"/>
      <c r="Z339" s="10"/>
    </row>
    <row r="340">
      <c r="A340" s="9"/>
      <c r="B340" s="9"/>
      <c r="C340" s="9"/>
      <c r="D340" s="9"/>
      <c r="E340" s="9"/>
      <c r="F340" s="9"/>
      <c r="G340" s="9"/>
      <c r="H340" s="9"/>
      <c r="I340" s="9"/>
      <c r="J340" s="9"/>
      <c r="K340" s="9"/>
      <c r="L340" s="115"/>
      <c r="M340" s="115"/>
      <c r="N340" s="115"/>
      <c r="O340" s="115"/>
      <c r="P340" s="9"/>
      <c r="Q340" s="9"/>
      <c r="R340" s="9"/>
      <c r="S340" s="9"/>
      <c r="T340" s="9"/>
      <c r="U340" s="9"/>
      <c r="V340" s="9"/>
      <c r="W340" s="10"/>
      <c r="X340" s="10"/>
      <c r="Y340" s="10"/>
      <c r="Z340" s="10"/>
    </row>
    <row r="341">
      <c r="A341" s="9"/>
      <c r="B341" s="9"/>
      <c r="C341" s="9"/>
      <c r="D341" s="9"/>
      <c r="E341" s="9"/>
      <c r="F341" s="9"/>
      <c r="G341" s="9"/>
      <c r="H341" s="9"/>
      <c r="I341" s="9"/>
      <c r="J341" s="9"/>
      <c r="K341" s="9"/>
      <c r="L341" s="115"/>
      <c r="M341" s="115"/>
      <c r="N341" s="115"/>
      <c r="O341" s="115"/>
      <c r="P341" s="9"/>
      <c r="Q341" s="9"/>
      <c r="R341" s="9"/>
      <c r="S341" s="9"/>
      <c r="T341" s="9"/>
      <c r="U341" s="9"/>
      <c r="V341" s="9"/>
      <c r="W341" s="10"/>
      <c r="X341" s="10"/>
      <c r="Y341" s="10"/>
      <c r="Z341" s="10"/>
    </row>
    <row r="342">
      <c r="A342" s="9"/>
      <c r="B342" s="9"/>
      <c r="C342" s="9"/>
      <c r="D342" s="9"/>
      <c r="E342" s="9"/>
      <c r="F342" s="9"/>
      <c r="G342" s="9"/>
      <c r="H342" s="9"/>
      <c r="I342" s="9"/>
      <c r="J342" s="9"/>
      <c r="K342" s="9"/>
      <c r="L342" s="115"/>
      <c r="M342" s="115"/>
      <c r="N342" s="115"/>
      <c r="O342" s="115"/>
      <c r="P342" s="9"/>
      <c r="Q342" s="9"/>
      <c r="R342" s="9"/>
      <c r="S342" s="9"/>
      <c r="T342" s="9"/>
      <c r="U342" s="9"/>
      <c r="V342" s="9"/>
      <c r="W342" s="10"/>
      <c r="X342" s="10"/>
      <c r="Y342" s="10"/>
      <c r="Z342" s="10"/>
    </row>
    <row r="343">
      <c r="A343" s="9"/>
      <c r="B343" s="9"/>
      <c r="C343" s="9"/>
      <c r="D343" s="9"/>
      <c r="E343" s="9"/>
      <c r="F343" s="9"/>
      <c r="G343" s="9"/>
      <c r="H343" s="9"/>
      <c r="I343" s="9"/>
      <c r="J343" s="9"/>
      <c r="K343" s="9"/>
      <c r="L343" s="115"/>
      <c r="M343" s="115"/>
      <c r="N343" s="115"/>
      <c r="O343" s="115"/>
      <c r="P343" s="9"/>
      <c r="Q343" s="9"/>
      <c r="R343" s="9"/>
      <c r="S343" s="9"/>
      <c r="T343" s="9"/>
      <c r="U343" s="9"/>
      <c r="V343" s="9"/>
      <c r="W343" s="10"/>
      <c r="X343" s="10"/>
      <c r="Y343" s="10"/>
      <c r="Z343" s="10"/>
    </row>
    <row r="344">
      <c r="A344" s="9"/>
      <c r="B344" s="9"/>
      <c r="C344" s="9"/>
      <c r="D344" s="9"/>
      <c r="E344" s="9"/>
      <c r="F344" s="9"/>
      <c r="G344" s="9"/>
      <c r="H344" s="9"/>
      <c r="I344" s="9"/>
      <c r="J344" s="9"/>
      <c r="K344" s="9"/>
      <c r="L344" s="115"/>
      <c r="M344" s="115"/>
      <c r="N344" s="115"/>
      <c r="O344" s="115"/>
      <c r="P344" s="9"/>
      <c r="Q344" s="9"/>
      <c r="R344" s="9"/>
      <c r="S344" s="9"/>
      <c r="T344" s="9"/>
      <c r="U344" s="9"/>
      <c r="V344" s="9"/>
      <c r="W344" s="10"/>
      <c r="X344" s="10"/>
      <c r="Y344" s="10"/>
      <c r="Z344" s="10"/>
    </row>
    <row r="345">
      <c r="A345" s="9"/>
      <c r="B345" s="9"/>
      <c r="C345" s="9"/>
      <c r="D345" s="9"/>
      <c r="E345" s="9"/>
      <c r="F345" s="9"/>
      <c r="G345" s="9"/>
      <c r="H345" s="9"/>
      <c r="I345" s="9"/>
      <c r="J345" s="9"/>
      <c r="K345" s="9"/>
      <c r="L345" s="115"/>
      <c r="M345" s="115"/>
      <c r="N345" s="115"/>
      <c r="O345" s="115"/>
      <c r="P345" s="9"/>
      <c r="Q345" s="9"/>
      <c r="R345" s="9"/>
      <c r="S345" s="9"/>
      <c r="T345" s="9"/>
      <c r="U345" s="9"/>
      <c r="V345" s="9"/>
      <c r="W345" s="10"/>
      <c r="X345" s="10"/>
      <c r="Y345" s="10"/>
      <c r="Z345" s="10"/>
    </row>
    <row r="346">
      <c r="A346" s="9"/>
      <c r="B346" s="9"/>
      <c r="C346" s="9"/>
      <c r="D346" s="9"/>
      <c r="E346" s="9"/>
      <c r="F346" s="9"/>
      <c r="G346" s="9"/>
      <c r="H346" s="9"/>
      <c r="I346" s="9"/>
      <c r="J346" s="9"/>
      <c r="K346" s="9"/>
      <c r="L346" s="115"/>
      <c r="M346" s="115"/>
      <c r="N346" s="115"/>
      <c r="O346" s="115"/>
      <c r="P346" s="9"/>
      <c r="Q346" s="9"/>
      <c r="R346" s="9"/>
      <c r="S346" s="9"/>
      <c r="T346" s="9"/>
      <c r="U346" s="9"/>
      <c r="V346" s="9"/>
      <c r="W346" s="10"/>
      <c r="X346" s="10"/>
      <c r="Y346" s="10"/>
      <c r="Z346" s="10"/>
    </row>
    <row r="347">
      <c r="A347" s="9"/>
      <c r="B347" s="9"/>
      <c r="C347" s="9"/>
      <c r="D347" s="9"/>
      <c r="E347" s="9"/>
      <c r="F347" s="9"/>
      <c r="G347" s="9"/>
      <c r="H347" s="9"/>
      <c r="I347" s="9"/>
      <c r="J347" s="9"/>
      <c r="K347" s="9"/>
      <c r="L347" s="115"/>
      <c r="M347" s="115"/>
      <c r="N347" s="115"/>
      <c r="O347" s="115"/>
      <c r="P347" s="9"/>
      <c r="Q347" s="9"/>
      <c r="R347" s="9"/>
      <c r="S347" s="9"/>
      <c r="T347" s="9"/>
      <c r="U347" s="9"/>
      <c r="V347" s="9"/>
      <c r="W347" s="10"/>
      <c r="X347" s="10"/>
      <c r="Y347" s="10"/>
      <c r="Z347" s="10"/>
    </row>
    <row r="348">
      <c r="A348" s="9"/>
      <c r="B348" s="9"/>
      <c r="C348" s="9"/>
      <c r="D348" s="9"/>
      <c r="E348" s="9"/>
      <c r="F348" s="9"/>
      <c r="G348" s="9"/>
      <c r="H348" s="9"/>
      <c r="I348" s="9"/>
      <c r="J348" s="9"/>
      <c r="K348" s="9"/>
      <c r="L348" s="115"/>
      <c r="M348" s="115"/>
      <c r="N348" s="115"/>
      <c r="O348" s="115"/>
      <c r="P348" s="9"/>
      <c r="Q348" s="9"/>
      <c r="R348" s="9"/>
      <c r="S348" s="9"/>
      <c r="T348" s="9"/>
      <c r="U348" s="9"/>
      <c r="V348" s="9"/>
      <c r="W348" s="10"/>
      <c r="X348" s="10"/>
      <c r="Y348" s="10"/>
      <c r="Z348" s="10"/>
    </row>
    <row r="349">
      <c r="A349" s="9"/>
      <c r="B349" s="9"/>
      <c r="C349" s="9"/>
      <c r="D349" s="9"/>
      <c r="E349" s="9"/>
      <c r="F349" s="9"/>
      <c r="G349" s="9"/>
      <c r="H349" s="9"/>
      <c r="I349" s="9"/>
      <c r="J349" s="9"/>
      <c r="K349" s="9"/>
      <c r="L349" s="115"/>
      <c r="M349" s="115"/>
      <c r="N349" s="115"/>
      <c r="O349" s="115"/>
      <c r="P349" s="9"/>
      <c r="Q349" s="9"/>
      <c r="R349" s="9"/>
      <c r="S349" s="9"/>
      <c r="T349" s="9"/>
      <c r="U349" s="9"/>
      <c r="V349" s="9"/>
      <c r="W349" s="10"/>
      <c r="X349" s="10"/>
      <c r="Y349" s="10"/>
      <c r="Z349" s="10"/>
    </row>
    <row r="350">
      <c r="A350" s="9"/>
      <c r="B350" s="9"/>
      <c r="C350" s="9"/>
      <c r="D350" s="9"/>
      <c r="E350" s="9"/>
      <c r="F350" s="9"/>
      <c r="G350" s="9"/>
      <c r="H350" s="9"/>
      <c r="I350" s="9"/>
      <c r="J350" s="9"/>
      <c r="K350" s="9"/>
      <c r="L350" s="115"/>
      <c r="M350" s="115"/>
      <c r="N350" s="115"/>
      <c r="O350" s="115"/>
      <c r="P350" s="9"/>
      <c r="Q350" s="9"/>
      <c r="R350" s="9"/>
      <c r="S350" s="9"/>
      <c r="T350" s="9"/>
      <c r="U350" s="9"/>
      <c r="V350" s="9"/>
      <c r="W350" s="10"/>
      <c r="X350" s="10"/>
      <c r="Y350" s="10"/>
      <c r="Z350" s="10"/>
    </row>
    <row r="351">
      <c r="A351" s="9"/>
      <c r="B351" s="9"/>
      <c r="C351" s="9"/>
      <c r="D351" s="9"/>
      <c r="E351" s="9"/>
      <c r="F351" s="9"/>
      <c r="G351" s="9"/>
      <c r="H351" s="9"/>
      <c r="I351" s="9"/>
      <c r="J351" s="9"/>
      <c r="K351" s="9"/>
      <c r="L351" s="115"/>
      <c r="M351" s="115"/>
      <c r="N351" s="115"/>
      <c r="O351" s="115"/>
      <c r="P351" s="9"/>
      <c r="Q351" s="9"/>
      <c r="R351" s="9"/>
      <c r="S351" s="9"/>
      <c r="T351" s="9"/>
      <c r="U351" s="9"/>
      <c r="V351" s="9"/>
      <c r="W351" s="10"/>
      <c r="X351" s="10"/>
      <c r="Y351" s="10"/>
      <c r="Z351" s="10"/>
    </row>
    <row r="352">
      <c r="A352" s="9"/>
      <c r="B352" s="9"/>
      <c r="C352" s="9"/>
      <c r="D352" s="9"/>
      <c r="E352" s="9"/>
      <c r="F352" s="9"/>
      <c r="G352" s="9"/>
      <c r="H352" s="9"/>
      <c r="I352" s="9"/>
      <c r="J352" s="9"/>
      <c r="K352" s="9"/>
      <c r="L352" s="115"/>
      <c r="M352" s="115"/>
      <c r="N352" s="115"/>
      <c r="O352" s="115"/>
      <c r="P352" s="9"/>
      <c r="Q352" s="9"/>
      <c r="R352" s="9"/>
      <c r="S352" s="9"/>
      <c r="T352" s="9"/>
      <c r="U352" s="9"/>
      <c r="V352" s="9"/>
      <c r="W352" s="10"/>
      <c r="X352" s="10"/>
      <c r="Y352" s="10"/>
      <c r="Z352" s="10"/>
    </row>
    <row r="353">
      <c r="A353" s="9"/>
      <c r="B353" s="9"/>
      <c r="C353" s="9"/>
      <c r="D353" s="9"/>
      <c r="E353" s="9"/>
      <c r="F353" s="9"/>
      <c r="G353" s="9"/>
      <c r="H353" s="9"/>
      <c r="I353" s="9"/>
      <c r="J353" s="9"/>
      <c r="K353" s="9"/>
      <c r="L353" s="115"/>
      <c r="M353" s="115"/>
      <c r="N353" s="115"/>
      <c r="O353" s="115"/>
      <c r="P353" s="9"/>
      <c r="Q353" s="9"/>
      <c r="R353" s="9"/>
      <c r="S353" s="9"/>
      <c r="T353" s="9"/>
      <c r="U353" s="9"/>
      <c r="V353" s="9"/>
      <c r="W353" s="10"/>
      <c r="X353" s="10"/>
      <c r="Y353" s="10"/>
      <c r="Z353" s="10"/>
    </row>
    <row r="354">
      <c r="A354" s="9"/>
      <c r="B354" s="9"/>
      <c r="C354" s="9"/>
      <c r="D354" s="9"/>
      <c r="E354" s="9"/>
      <c r="F354" s="9"/>
      <c r="G354" s="9"/>
      <c r="H354" s="9"/>
      <c r="I354" s="9"/>
      <c r="J354" s="9"/>
      <c r="K354" s="9"/>
      <c r="L354" s="115"/>
      <c r="M354" s="115"/>
      <c r="N354" s="115"/>
      <c r="O354" s="115"/>
      <c r="P354" s="9"/>
      <c r="Q354" s="9"/>
      <c r="R354" s="9"/>
      <c r="S354" s="9"/>
      <c r="T354" s="9"/>
      <c r="U354" s="9"/>
      <c r="V354" s="9"/>
      <c r="W354" s="10"/>
      <c r="X354" s="10"/>
      <c r="Y354" s="10"/>
      <c r="Z354" s="10"/>
    </row>
    <row r="355">
      <c r="A355" s="9"/>
      <c r="B355" s="9"/>
      <c r="C355" s="9"/>
      <c r="D355" s="9"/>
      <c r="E355" s="9"/>
      <c r="F355" s="9"/>
      <c r="G355" s="9"/>
      <c r="H355" s="9"/>
      <c r="I355" s="9"/>
      <c r="J355" s="9"/>
      <c r="K355" s="9"/>
      <c r="L355" s="115"/>
      <c r="M355" s="115"/>
      <c r="N355" s="115"/>
      <c r="O355" s="115"/>
      <c r="P355" s="9"/>
      <c r="Q355" s="9"/>
      <c r="R355" s="9"/>
      <c r="S355" s="9"/>
      <c r="T355" s="9"/>
      <c r="U355" s="9"/>
      <c r="V355" s="9"/>
      <c r="W355" s="10"/>
      <c r="X355" s="10"/>
      <c r="Y355" s="10"/>
      <c r="Z355" s="10"/>
    </row>
    <row r="356">
      <c r="A356" s="9"/>
      <c r="B356" s="9"/>
      <c r="C356" s="9"/>
      <c r="D356" s="9"/>
      <c r="E356" s="9"/>
      <c r="F356" s="9"/>
      <c r="G356" s="9"/>
      <c r="H356" s="9"/>
      <c r="I356" s="9"/>
      <c r="J356" s="9"/>
      <c r="K356" s="9"/>
      <c r="L356" s="115"/>
      <c r="M356" s="115"/>
      <c r="N356" s="115"/>
      <c r="O356" s="115"/>
      <c r="P356" s="9"/>
      <c r="Q356" s="9"/>
      <c r="R356" s="9"/>
      <c r="S356" s="9"/>
      <c r="T356" s="9"/>
      <c r="U356" s="9"/>
      <c r="V356" s="9"/>
      <c r="W356" s="10"/>
      <c r="X356" s="10"/>
      <c r="Y356" s="10"/>
      <c r="Z356" s="10"/>
    </row>
    <row r="357">
      <c r="A357" s="9"/>
      <c r="B357" s="9"/>
      <c r="C357" s="9"/>
      <c r="D357" s="9"/>
      <c r="E357" s="9"/>
      <c r="F357" s="9"/>
      <c r="G357" s="9"/>
      <c r="H357" s="9"/>
      <c r="I357" s="9"/>
      <c r="J357" s="9"/>
      <c r="K357" s="9"/>
      <c r="L357" s="115"/>
      <c r="M357" s="115"/>
      <c r="N357" s="115"/>
      <c r="O357" s="115"/>
      <c r="P357" s="9"/>
      <c r="Q357" s="9"/>
      <c r="R357" s="9"/>
      <c r="S357" s="9"/>
      <c r="T357" s="9"/>
      <c r="U357" s="9"/>
      <c r="V357" s="9"/>
      <c r="W357" s="10"/>
      <c r="X357" s="10"/>
      <c r="Y357" s="10"/>
      <c r="Z357" s="10"/>
    </row>
    <row r="358">
      <c r="A358" s="9"/>
      <c r="B358" s="9"/>
      <c r="C358" s="9"/>
      <c r="D358" s="9"/>
      <c r="E358" s="9"/>
      <c r="F358" s="9"/>
      <c r="G358" s="9"/>
      <c r="H358" s="9"/>
      <c r="I358" s="9"/>
      <c r="J358" s="9"/>
      <c r="K358" s="9"/>
      <c r="L358" s="115"/>
      <c r="M358" s="115"/>
      <c r="N358" s="115"/>
      <c r="O358" s="115"/>
      <c r="P358" s="9"/>
      <c r="Q358" s="9"/>
      <c r="R358" s="9"/>
      <c r="S358" s="9"/>
      <c r="T358" s="9"/>
      <c r="U358" s="9"/>
      <c r="V358" s="9"/>
      <c r="W358" s="10"/>
      <c r="X358" s="10"/>
      <c r="Y358" s="10"/>
      <c r="Z358" s="10"/>
    </row>
    <row r="359">
      <c r="A359" s="9"/>
      <c r="B359" s="9"/>
      <c r="C359" s="9"/>
      <c r="D359" s="9"/>
      <c r="E359" s="9"/>
      <c r="F359" s="9"/>
      <c r="G359" s="9"/>
      <c r="H359" s="9"/>
      <c r="I359" s="9"/>
      <c r="J359" s="9"/>
      <c r="K359" s="9"/>
      <c r="L359" s="115"/>
      <c r="M359" s="115"/>
      <c r="N359" s="115"/>
      <c r="O359" s="115"/>
      <c r="P359" s="9"/>
      <c r="Q359" s="9"/>
      <c r="R359" s="9"/>
      <c r="S359" s="9"/>
      <c r="T359" s="9"/>
      <c r="U359" s="9"/>
      <c r="V359" s="9"/>
      <c r="W359" s="10"/>
      <c r="X359" s="10"/>
      <c r="Y359" s="10"/>
      <c r="Z359" s="10"/>
    </row>
    <row r="360">
      <c r="A360" s="9"/>
      <c r="B360" s="9"/>
      <c r="C360" s="9"/>
      <c r="D360" s="9"/>
      <c r="E360" s="9"/>
      <c r="F360" s="9"/>
      <c r="G360" s="9"/>
      <c r="H360" s="9"/>
      <c r="I360" s="9"/>
      <c r="J360" s="9"/>
      <c r="K360" s="9"/>
      <c r="L360" s="115"/>
      <c r="M360" s="115"/>
      <c r="N360" s="115"/>
      <c r="O360" s="115"/>
      <c r="P360" s="9"/>
      <c r="Q360" s="9"/>
      <c r="R360" s="9"/>
      <c r="S360" s="9"/>
      <c r="T360" s="9"/>
      <c r="U360" s="9"/>
      <c r="V360" s="9"/>
      <c r="W360" s="10"/>
      <c r="X360" s="10"/>
      <c r="Y360" s="10"/>
      <c r="Z360" s="10"/>
    </row>
    <row r="361">
      <c r="A361" s="9"/>
      <c r="B361" s="9"/>
      <c r="C361" s="9"/>
      <c r="D361" s="9"/>
      <c r="E361" s="9"/>
      <c r="F361" s="9"/>
      <c r="G361" s="9"/>
      <c r="H361" s="9"/>
      <c r="I361" s="9"/>
      <c r="J361" s="9"/>
      <c r="K361" s="9"/>
      <c r="L361" s="115"/>
      <c r="M361" s="115"/>
      <c r="N361" s="115"/>
      <c r="O361" s="115"/>
      <c r="P361" s="9"/>
      <c r="Q361" s="9"/>
      <c r="R361" s="9"/>
      <c r="S361" s="9"/>
      <c r="T361" s="9"/>
      <c r="U361" s="9"/>
      <c r="V361" s="9"/>
      <c r="W361" s="10"/>
      <c r="X361" s="10"/>
      <c r="Y361" s="10"/>
      <c r="Z361" s="10"/>
    </row>
    <row r="362">
      <c r="A362" s="9"/>
      <c r="B362" s="9"/>
      <c r="C362" s="9"/>
      <c r="D362" s="9"/>
      <c r="E362" s="9"/>
      <c r="F362" s="9"/>
      <c r="G362" s="9"/>
      <c r="H362" s="9"/>
      <c r="I362" s="9"/>
      <c r="J362" s="9"/>
      <c r="K362" s="9"/>
      <c r="L362" s="115"/>
      <c r="M362" s="115"/>
      <c r="N362" s="115"/>
      <c r="O362" s="115"/>
      <c r="P362" s="9"/>
      <c r="Q362" s="9"/>
      <c r="R362" s="9"/>
      <c r="S362" s="9"/>
      <c r="T362" s="9"/>
      <c r="U362" s="9"/>
      <c r="V362" s="9"/>
      <c r="W362" s="10"/>
      <c r="X362" s="10"/>
      <c r="Y362" s="10"/>
      <c r="Z362" s="10"/>
    </row>
    <row r="363">
      <c r="A363" s="9"/>
      <c r="B363" s="9"/>
      <c r="C363" s="9"/>
      <c r="D363" s="9"/>
      <c r="E363" s="9"/>
      <c r="F363" s="9"/>
      <c r="G363" s="9"/>
      <c r="H363" s="9"/>
      <c r="I363" s="9"/>
      <c r="J363" s="9"/>
      <c r="K363" s="9"/>
      <c r="L363" s="115"/>
      <c r="M363" s="115"/>
      <c r="N363" s="115"/>
      <c r="O363" s="115"/>
      <c r="P363" s="9"/>
      <c r="Q363" s="9"/>
      <c r="R363" s="9"/>
      <c r="S363" s="9"/>
      <c r="T363" s="9"/>
      <c r="U363" s="9"/>
      <c r="V363" s="9"/>
      <c r="W363" s="10"/>
      <c r="X363" s="10"/>
      <c r="Y363" s="10"/>
      <c r="Z363" s="10"/>
    </row>
    <row r="364">
      <c r="A364" s="9"/>
      <c r="B364" s="9"/>
      <c r="C364" s="9"/>
      <c r="D364" s="9"/>
      <c r="E364" s="9"/>
      <c r="F364" s="9"/>
      <c r="G364" s="9"/>
      <c r="H364" s="9"/>
      <c r="I364" s="9"/>
      <c r="J364" s="9"/>
      <c r="K364" s="9"/>
      <c r="L364" s="115"/>
      <c r="M364" s="115"/>
      <c r="N364" s="115"/>
      <c r="O364" s="115"/>
      <c r="P364" s="9"/>
      <c r="Q364" s="9"/>
      <c r="R364" s="9"/>
      <c r="S364" s="9"/>
      <c r="T364" s="9"/>
      <c r="U364" s="9"/>
      <c r="V364" s="9"/>
      <c r="W364" s="10"/>
      <c r="X364" s="10"/>
      <c r="Y364" s="10"/>
      <c r="Z364" s="10"/>
    </row>
    <row r="365">
      <c r="A365" s="9"/>
      <c r="B365" s="9"/>
      <c r="C365" s="9"/>
      <c r="D365" s="9"/>
      <c r="E365" s="9"/>
      <c r="F365" s="9"/>
      <c r="G365" s="9"/>
      <c r="H365" s="9"/>
      <c r="I365" s="9"/>
      <c r="J365" s="9"/>
      <c r="K365" s="9"/>
      <c r="L365" s="115"/>
      <c r="M365" s="115"/>
      <c r="N365" s="115"/>
      <c r="O365" s="115"/>
      <c r="P365" s="9"/>
      <c r="Q365" s="9"/>
      <c r="R365" s="9"/>
      <c r="S365" s="9"/>
      <c r="T365" s="9"/>
      <c r="U365" s="9"/>
      <c r="V365" s="9"/>
      <c r="W365" s="10"/>
      <c r="X365" s="10"/>
      <c r="Y365" s="10"/>
      <c r="Z365" s="10"/>
    </row>
    <row r="366">
      <c r="A366" s="9"/>
      <c r="B366" s="9"/>
      <c r="C366" s="9"/>
      <c r="D366" s="9"/>
      <c r="E366" s="9"/>
      <c r="F366" s="9"/>
      <c r="G366" s="9"/>
      <c r="H366" s="9"/>
      <c r="I366" s="9"/>
      <c r="J366" s="9"/>
      <c r="K366" s="9"/>
      <c r="L366" s="115"/>
      <c r="M366" s="115"/>
      <c r="N366" s="115"/>
      <c r="O366" s="115"/>
      <c r="P366" s="9"/>
      <c r="Q366" s="9"/>
      <c r="R366" s="9"/>
      <c r="S366" s="9"/>
      <c r="T366" s="9"/>
      <c r="U366" s="9"/>
      <c r="V366" s="9"/>
      <c r="W366" s="10"/>
      <c r="X366" s="10"/>
      <c r="Y366" s="10"/>
      <c r="Z366" s="10"/>
    </row>
    <row r="367">
      <c r="A367" s="9"/>
      <c r="B367" s="9"/>
      <c r="C367" s="9"/>
      <c r="D367" s="9"/>
      <c r="E367" s="9"/>
      <c r="F367" s="9"/>
      <c r="G367" s="9"/>
      <c r="H367" s="9"/>
      <c r="I367" s="9"/>
      <c r="J367" s="9"/>
      <c r="K367" s="9"/>
      <c r="L367" s="115"/>
      <c r="M367" s="115"/>
      <c r="N367" s="115"/>
      <c r="O367" s="115"/>
      <c r="P367" s="9"/>
      <c r="Q367" s="9"/>
      <c r="R367" s="9"/>
      <c r="S367" s="9"/>
      <c r="T367" s="9"/>
      <c r="U367" s="9"/>
      <c r="V367" s="9"/>
      <c r="W367" s="10"/>
      <c r="X367" s="10"/>
      <c r="Y367" s="10"/>
      <c r="Z367" s="10"/>
    </row>
    <row r="368">
      <c r="A368" s="9"/>
      <c r="B368" s="9"/>
      <c r="C368" s="9"/>
      <c r="D368" s="9"/>
      <c r="E368" s="9"/>
      <c r="F368" s="9"/>
      <c r="G368" s="9"/>
      <c r="H368" s="9"/>
      <c r="I368" s="9"/>
      <c r="J368" s="9"/>
      <c r="K368" s="9"/>
      <c r="L368" s="115"/>
      <c r="M368" s="115"/>
      <c r="N368" s="115"/>
      <c r="O368" s="115"/>
      <c r="P368" s="9"/>
      <c r="Q368" s="9"/>
      <c r="R368" s="9"/>
      <c r="S368" s="9"/>
      <c r="T368" s="9"/>
      <c r="U368" s="9"/>
      <c r="V368" s="9"/>
      <c r="W368" s="10"/>
      <c r="X368" s="10"/>
      <c r="Y368" s="10"/>
      <c r="Z368" s="10"/>
    </row>
    <row r="369">
      <c r="A369" s="9"/>
      <c r="B369" s="9"/>
      <c r="C369" s="9"/>
      <c r="D369" s="9"/>
      <c r="E369" s="9"/>
      <c r="F369" s="9"/>
      <c r="G369" s="9"/>
      <c r="H369" s="9"/>
      <c r="I369" s="9"/>
      <c r="J369" s="9"/>
      <c r="K369" s="9"/>
      <c r="L369" s="115"/>
      <c r="M369" s="115"/>
      <c r="N369" s="115"/>
      <c r="O369" s="115"/>
      <c r="P369" s="9"/>
      <c r="Q369" s="9"/>
      <c r="R369" s="9"/>
      <c r="S369" s="9"/>
      <c r="T369" s="9"/>
      <c r="U369" s="9"/>
      <c r="V369" s="9"/>
      <c r="W369" s="10"/>
      <c r="X369" s="10"/>
      <c r="Y369" s="10"/>
      <c r="Z369" s="10"/>
    </row>
    <row r="370">
      <c r="A370" s="9"/>
      <c r="B370" s="9"/>
      <c r="C370" s="9"/>
      <c r="D370" s="9"/>
      <c r="E370" s="9"/>
      <c r="F370" s="9"/>
      <c r="G370" s="9"/>
      <c r="H370" s="9"/>
      <c r="I370" s="9"/>
      <c r="J370" s="9"/>
      <c r="K370" s="9"/>
      <c r="L370" s="115"/>
      <c r="M370" s="115"/>
      <c r="N370" s="115"/>
      <c r="O370" s="115"/>
      <c r="P370" s="9"/>
      <c r="Q370" s="9"/>
      <c r="R370" s="9"/>
      <c r="S370" s="9"/>
      <c r="T370" s="9"/>
      <c r="U370" s="9"/>
      <c r="V370" s="9"/>
      <c r="W370" s="10"/>
      <c r="X370" s="10"/>
      <c r="Y370" s="10"/>
      <c r="Z370" s="10"/>
    </row>
    <row r="371">
      <c r="A371" s="9"/>
      <c r="B371" s="9"/>
      <c r="C371" s="9"/>
      <c r="D371" s="9"/>
      <c r="E371" s="9"/>
      <c r="F371" s="9"/>
      <c r="G371" s="9"/>
      <c r="H371" s="9"/>
      <c r="I371" s="9"/>
      <c r="J371" s="9"/>
      <c r="K371" s="9"/>
      <c r="L371" s="115"/>
      <c r="M371" s="115"/>
      <c r="N371" s="115"/>
      <c r="O371" s="115"/>
      <c r="P371" s="9"/>
      <c r="Q371" s="9"/>
      <c r="R371" s="9"/>
      <c r="S371" s="9"/>
      <c r="T371" s="9"/>
      <c r="U371" s="9"/>
      <c r="V371" s="9"/>
      <c r="W371" s="10"/>
      <c r="X371" s="10"/>
      <c r="Y371" s="10"/>
      <c r="Z371" s="10"/>
    </row>
    <row r="372">
      <c r="A372" s="9"/>
      <c r="B372" s="9"/>
      <c r="C372" s="9"/>
      <c r="D372" s="9"/>
      <c r="E372" s="9"/>
      <c r="F372" s="9"/>
      <c r="G372" s="9"/>
      <c r="H372" s="9"/>
      <c r="I372" s="9"/>
      <c r="J372" s="9"/>
      <c r="K372" s="9"/>
      <c r="L372" s="115"/>
      <c r="M372" s="115"/>
      <c r="N372" s="115"/>
      <c r="O372" s="115"/>
      <c r="P372" s="9"/>
      <c r="Q372" s="9"/>
      <c r="R372" s="9"/>
      <c r="S372" s="9"/>
      <c r="T372" s="9"/>
      <c r="U372" s="9"/>
      <c r="V372" s="9"/>
      <c r="W372" s="10"/>
      <c r="X372" s="10"/>
      <c r="Y372" s="10"/>
      <c r="Z372" s="10"/>
    </row>
    <row r="373">
      <c r="A373" s="9"/>
      <c r="B373" s="9"/>
      <c r="C373" s="9"/>
      <c r="D373" s="9"/>
      <c r="E373" s="9"/>
      <c r="F373" s="9"/>
      <c r="G373" s="9"/>
      <c r="H373" s="9"/>
      <c r="I373" s="9"/>
      <c r="J373" s="9"/>
      <c r="K373" s="9"/>
      <c r="L373" s="115"/>
      <c r="M373" s="115"/>
      <c r="N373" s="115"/>
      <c r="O373" s="115"/>
      <c r="P373" s="9"/>
      <c r="Q373" s="9"/>
      <c r="R373" s="9"/>
      <c r="S373" s="9"/>
      <c r="T373" s="9"/>
      <c r="U373" s="9"/>
      <c r="V373" s="9"/>
      <c r="W373" s="10"/>
      <c r="X373" s="10"/>
      <c r="Y373" s="10"/>
      <c r="Z373" s="10"/>
    </row>
    <row r="374">
      <c r="A374" s="9"/>
      <c r="B374" s="9"/>
      <c r="C374" s="9"/>
      <c r="D374" s="9"/>
      <c r="E374" s="9"/>
      <c r="F374" s="9"/>
      <c r="G374" s="9"/>
      <c r="H374" s="9"/>
      <c r="I374" s="9"/>
      <c r="J374" s="9"/>
      <c r="K374" s="9"/>
      <c r="L374" s="115"/>
      <c r="M374" s="115"/>
      <c r="N374" s="115"/>
      <c r="O374" s="115"/>
      <c r="P374" s="9"/>
      <c r="Q374" s="9"/>
      <c r="R374" s="9"/>
      <c r="S374" s="9"/>
      <c r="T374" s="9"/>
      <c r="U374" s="9"/>
      <c r="V374" s="9"/>
      <c r="W374" s="10"/>
      <c r="X374" s="10"/>
      <c r="Y374" s="10"/>
      <c r="Z374" s="10"/>
    </row>
    <row r="375">
      <c r="A375" s="9"/>
      <c r="B375" s="9"/>
      <c r="C375" s="9"/>
      <c r="D375" s="9"/>
      <c r="E375" s="9"/>
      <c r="F375" s="9"/>
      <c r="G375" s="9"/>
      <c r="H375" s="9"/>
      <c r="I375" s="9"/>
      <c r="J375" s="9"/>
      <c r="K375" s="9"/>
      <c r="L375" s="115"/>
      <c r="M375" s="115"/>
      <c r="N375" s="115"/>
      <c r="O375" s="115"/>
      <c r="P375" s="9"/>
      <c r="Q375" s="9"/>
      <c r="R375" s="9"/>
      <c r="S375" s="9"/>
      <c r="T375" s="9"/>
      <c r="U375" s="9"/>
      <c r="V375" s="9"/>
      <c r="W375" s="10"/>
      <c r="X375" s="10"/>
      <c r="Y375" s="10"/>
      <c r="Z375" s="10"/>
    </row>
    <row r="376">
      <c r="A376" s="9"/>
      <c r="B376" s="9"/>
      <c r="C376" s="9"/>
      <c r="D376" s="9"/>
      <c r="E376" s="9"/>
      <c r="F376" s="9"/>
      <c r="G376" s="9"/>
      <c r="H376" s="9"/>
      <c r="I376" s="9"/>
      <c r="J376" s="9"/>
      <c r="K376" s="9"/>
      <c r="L376" s="115"/>
      <c r="M376" s="115"/>
      <c r="N376" s="115"/>
      <c r="O376" s="115"/>
      <c r="P376" s="9"/>
      <c r="Q376" s="9"/>
      <c r="R376" s="9"/>
      <c r="S376" s="9"/>
      <c r="T376" s="9"/>
      <c r="U376" s="9"/>
      <c r="V376" s="9"/>
      <c r="W376" s="10"/>
      <c r="X376" s="10"/>
      <c r="Y376" s="10"/>
      <c r="Z376" s="10"/>
    </row>
    <row r="377">
      <c r="A377" s="9"/>
      <c r="B377" s="9"/>
      <c r="C377" s="9"/>
      <c r="D377" s="9"/>
      <c r="E377" s="9"/>
      <c r="F377" s="9"/>
      <c r="G377" s="9"/>
      <c r="H377" s="9"/>
      <c r="I377" s="9"/>
      <c r="J377" s="9"/>
      <c r="K377" s="9"/>
      <c r="L377" s="115"/>
      <c r="M377" s="115"/>
      <c r="N377" s="115"/>
      <c r="O377" s="115"/>
      <c r="P377" s="9"/>
      <c r="Q377" s="9"/>
      <c r="R377" s="9"/>
      <c r="S377" s="9"/>
      <c r="T377" s="9"/>
      <c r="U377" s="9"/>
      <c r="V377" s="9"/>
      <c r="W377" s="10"/>
      <c r="X377" s="10"/>
      <c r="Y377" s="10"/>
      <c r="Z377" s="10"/>
    </row>
    <row r="378">
      <c r="A378" s="9"/>
      <c r="B378" s="9"/>
      <c r="C378" s="9"/>
      <c r="D378" s="9"/>
      <c r="E378" s="9"/>
      <c r="F378" s="9"/>
      <c r="G378" s="9"/>
      <c r="H378" s="9"/>
      <c r="I378" s="9"/>
      <c r="J378" s="9"/>
      <c r="K378" s="9"/>
      <c r="L378" s="115"/>
      <c r="M378" s="115"/>
      <c r="N378" s="115"/>
      <c r="O378" s="115"/>
      <c r="P378" s="9"/>
      <c r="Q378" s="9"/>
      <c r="R378" s="9"/>
      <c r="S378" s="9"/>
      <c r="T378" s="9"/>
      <c r="U378" s="9"/>
      <c r="V378" s="9"/>
      <c r="W378" s="10"/>
      <c r="X378" s="10"/>
      <c r="Y378" s="10"/>
      <c r="Z378" s="10"/>
    </row>
    <row r="379">
      <c r="A379" s="9"/>
      <c r="B379" s="9"/>
      <c r="C379" s="9"/>
      <c r="D379" s="9"/>
      <c r="E379" s="9"/>
      <c r="F379" s="9"/>
      <c r="G379" s="9"/>
      <c r="H379" s="9"/>
      <c r="I379" s="9"/>
      <c r="J379" s="9"/>
      <c r="K379" s="9"/>
      <c r="L379" s="115"/>
      <c r="M379" s="115"/>
      <c r="N379" s="115"/>
      <c r="O379" s="115"/>
      <c r="P379" s="9"/>
      <c r="Q379" s="9"/>
      <c r="R379" s="9"/>
      <c r="S379" s="9"/>
      <c r="T379" s="9"/>
      <c r="U379" s="9"/>
      <c r="V379" s="9"/>
      <c r="W379" s="10"/>
      <c r="X379" s="10"/>
      <c r="Y379" s="10"/>
      <c r="Z379" s="10"/>
    </row>
    <row r="380">
      <c r="A380" s="9"/>
      <c r="B380" s="9"/>
      <c r="C380" s="9"/>
      <c r="D380" s="9"/>
      <c r="E380" s="9"/>
      <c r="F380" s="9"/>
      <c r="G380" s="9"/>
      <c r="H380" s="9"/>
      <c r="I380" s="9"/>
      <c r="J380" s="9"/>
      <c r="K380" s="9"/>
      <c r="L380" s="115"/>
      <c r="M380" s="115"/>
      <c r="N380" s="115"/>
      <c r="O380" s="115"/>
      <c r="P380" s="9"/>
      <c r="Q380" s="9"/>
      <c r="R380" s="9"/>
      <c r="S380" s="9"/>
      <c r="T380" s="9"/>
      <c r="U380" s="9"/>
      <c r="V380" s="9"/>
      <c r="W380" s="10"/>
      <c r="X380" s="10"/>
      <c r="Y380" s="10"/>
      <c r="Z380" s="10"/>
    </row>
    <row r="381">
      <c r="A381" s="9"/>
      <c r="B381" s="9"/>
      <c r="C381" s="9"/>
      <c r="D381" s="9"/>
      <c r="E381" s="9"/>
      <c r="F381" s="9"/>
      <c r="G381" s="9"/>
      <c r="H381" s="9"/>
      <c r="I381" s="9"/>
      <c r="J381" s="9"/>
      <c r="K381" s="9"/>
      <c r="L381" s="115"/>
      <c r="M381" s="115"/>
      <c r="N381" s="115"/>
      <c r="O381" s="115"/>
      <c r="P381" s="9"/>
      <c r="Q381" s="9"/>
      <c r="R381" s="9"/>
      <c r="S381" s="9"/>
      <c r="T381" s="9"/>
      <c r="U381" s="9"/>
      <c r="V381" s="9"/>
      <c r="W381" s="10"/>
      <c r="X381" s="10"/>
      <c r="Y381" s="10"/>
      <c r="Z381" s="10"/>
    </row>
    <row r="382">
      <c r="A382" s="9"/>
      <c r="B382" s="9"/>
      <c r="C382" s="9"/>
      <c r="D382" s="9"/>
      <c r="E382" s="9"/>
      <c r="F382" s="9"/>
      <c r="G382" s="9"/>
      <c r="H382" s="9"/>
      <c r="I382" s="9"/>
      <c r="J382" s="9"/>
      <c r="K382" s="9"/>
      <c r="L382" s="115"/>
      <c r="M382" s="115"/>
      <c r="N382" s="115"/>
      <c r="O382" s="115"/>
      <c r="P382" s="9"/>
      <c r="Q382" s="9"/>
      <c r="R382" s="9"/>
      <c r="S382" s="9"/>
      <c r="T382" s="9"/>
      <c r="U382" s="9"/>
      <c r="V382" s="9"/>
      <c r="W382" s="10"/>
      <c r="X382" s="10"/>
      <c r="Y382" s="10"/>
      <c r="Z382" s="10"/>
    </row>
    <row r="383">
      <c r="A383" s="9"/>
      <c r="B383" s="9"/>
      <c r="C383" s="9"/>
      <c r="D383" s="9"/>
      <c r="E383" s="9"/>
      <c r="F383" s="9"/>
      <c r="G383" s="9"/>
      <c r="H383" s="9"/>
      <c r="I383" s="9"/>
      <c r="J383" s="9"/>
      <c r="K383" s="9"/>
      <c r="L383" s="115"/>
      <c r="M383" s="115"/>
      <c r="N383" s="115"/>
      <c r="O383" s="115"/>
      <c r="P383" s="9"/>
      <c r="Q383" s="9"/>
      <c r="R383" s="9"/>
      <c r="S383" s="9"/>
      <c r="T383" s="9"/>
      <c r="U383" s="9"/>
      <c r="V383" s="9"/>
      <c r="W383" s="10"/>
      <c r="X383" s="10"/>
      <c r="Y383" s="10"/>
      <c r="Z383" s="10"/>
    </row>
    <row r="384">
      <c r="A384" s="9"/>
      <c r="B384" s="9"/>
      <c r="C384" s="9"/>
      <c r="D384" s="9"/>
      <c r="E384" s="9"/>
      <c r="F384" s="9"/>
      <c r="G384" s="9"/>
      <c r="H384" s="9"/>
      <c r="I384" s="9"/>
      <c r="J384" s="9"/>
      <c r="K384" s="9"/>
      <c r="L384" s="115"/>
      <c r="M384" s="115"/>
      <c r="N384" s="115"/>
      <c r="O384" s="115"/>
      <c r="P384" s="9"/>
      <c r="Q384" s="9"/>
      <c r="R384" s="9"/>
      <c r="S384" s="9"/>
      <c r="T384" s="9"/>
      <c r="U384" s="9"/>
      <c r="V384" s="9"/>
      <c r="W384" s="10"/>
      <c r="X384" s="10"/>
      <c r="Y384" s="10"/>
      <c r="Z384" s="10"/>
    </row>
    <row r="385">
      <c r="A385" s="9"/>
      <c r="B385" s="9"/>
      <c r="C385" s="9"/>
      <c r="D385" s="9"/>
      <c r="E385" s="9"/>
      <c r="F385" s="9"/>
      <c r="G385" s="9"/>
      <c r="H385" s="9"/>
      <c r="I385" s="9"/>
      <c r="J385" s="9"/>
      <c r="K385" s="9"/>
      <c r="L385" s="115"/>
      <c r="M385" s="115"/>
      <c r="N385" s="115"/>
      <c r="O385" s="115"/>
      <c r="P385" s="9"/>
      <c r="Q385" s="9"/>
      <c r="R385" s="9"/>
      <c r="S385" s="9"/>
      <c r="T385" s="9"/>
      <c r="U385" s="9"/>
      <c r="V385" s="9"/>
      <c r="W385" s="10"/>
      <c r="X385" s="10"/>
      <c r="Y385" s="10"/>
      <c r="Z385" s="10"/>
    </row>
    <row r="386">
      <c r="A386" s="9"/>
      <c r="B386" s="9"/>
      <c r="C386" s="9"/>
      <c r="D386" s="9"/>
      <c r="E386" s="9"/>
      <c r="F386" s="9"/>
      <c r="G386" s="9"/>
      <c r="H386" s="9"/>
      <c r="I386" s="9"/>
      <c r="J386" s="9"/>
      <c r="K386" s="9"/>
      <c r="L386" s="115"/>
      <c r="M386" s="115"/>
      <c r="N386" s="115"/>
      <c r="O386" s="115"/>
      <c r="P386" s="9"/>
      <c r="Q386" s="9"/>
      <c r="R386" s="9"/>
      <c r="S386" s="9"/>
      <c r="T386" s="9"/>
      <c r="U386" s="9"/>
      <c r="V386" s="9"/>
      <c r="W386" s="10"/>
      <c r="X386" s="10"/>
      <c r="Y386" s="10"/>
      <c r="Z386" s="10"/>
    </row>
    <row r="387">
      <c r="A387" s="9"/>
      <c r="B387" s="9"/>
      <c r="C387" s="9"/>
      <c r="D387" s="9"/>
      <c r="E387" s="9"/>
      <c r="F387" s="9"/>
      <c r="G387" s="9"/>
      <c r="H387" s="9"/>
      <c r="I387" s="9"/>
      <c r="J387" s="9"/>
      <c r="K387" s="9"/>
      <c r="L387" s="115"/>
      <c r="M387" s="115"/>
      <c r="N387" s="115"/>
      <c r="O387" s="115"/>
      <c r="P387" s="9"/>
      <c r="Q387" s="9"/>
      <c r="R387" s="9"/>
      <c r="S387" s="9"/>
      <c r="T387" s="9"/>
      <c r="U387" s="9"/>
      <c r="V387" s="9"/>
      <c r="W387" s="10"/>
      <c r="X387" s="10"/>
      <c r="Y387" s="10"/>
      <c r="Z387" s="10"/>
    </row>
    <row r="388">
      <c r="A388" s="9"/>
      <c r="B388" s="9"/>
      <c r="C388" s="9"/>
      <c r="D388" s="9"/>
      <c r="E388" s="9"/>
      <c r="F388" s="9"/>
      <c r="G388" s="9"/>
      <c r="H388" s="9"/>
      <c r="I388" s="9"/>
      <c r="J388" s="9"/>
      <c r="K388" s="9"/>
      <c r="L388" s="115"/>
      <c r="M388" s="115"/>
      <c r="N388" s="115"/>
      <c r="O388" s="115"/>
      <c r="P388" s="9"/>
      <c r="Q388" s="9"/>
      <c r="R388" s="9"/>
      <c r="S388" s="9"/>
      <c r="T388" s="9"/>
      <c r="U388" s="9"/>
      <c r="V388" s="9"/>
      <c r="W388" s="10"/>
      <c r="X388" s="10"/>
      <c r="Y388" s="10"/>
      <c r="Z388" s="10"/>
    </row>
    <row r="389">
      <c r="A389" s="9"/>
      <c r="B389" s="9"/>
      <c r="C389" s="9"/>
      <c r="D389" s="9"/>
      <c r="E389" s="9"/>
      <c r="F389" s="9"/>
      <c r="G389" s="9"/>
      <c r="H389" s="9"/>
      <c r="I389" s="9"/>
      <c r="J389" s="9"/>
      <c r="K389" s="9"/>
      <c r="L389" s="115"/>
      <c r="M389" s="115"/>
      <c r="N389" s="115"/>
      <c r="O389" s="115"/>
      <c r="P389" s="9"/>
      <c r="Q389" s="9"/>
      <c r="R389" s="9"/>
      <c r="S389" s="9"/>
      <c r="T389" s="9"/>
      <c r="U389" s="9"/>
      <c r="V389" s="9"/>
      <c r="W389" s="10"/>
      <c r="X389" s="10"/>
      <c r="Y389" s="10"/>
      <c r="Z389" s="10"/>
    </row>
    <row r="390">
      <c r="A390" s="9"/>
      <c r="B390" s="9"/>
      <c r="C390" s="9"/>
      <c r="D390" s="9"/>
      <c r="E390" s="9"/>
      <c r="F390" s="9"/>
      <c r="G390" s="9"/>
      <c r="H390" s="9"/>
      <c r="I390" s="9"/>
      <c r="J390" s="9"/>
      <c r="K390" s="9"/>
      <c r="L390" s="115"/>
      <c r="M390" s="115"/>
      <c r="N390" s="115"/>
      <c r="O390" s="115"/>
      <c r="P390" s="9"/>
      <c r="Q390" s="9"/>
      <c r="R390" s="9"/>
      <c r="S390" s="9"/>
      <c r="T390" s="9"/>
      <c r="U390" s="9"/>
      <c r="V390" s="9"/>
      <c r="W390" s="10"/>
      <c r="X390" s="10"/>
      <c r="Y390" s="10"/>
      <c r="Z390" s="10"/>
    </row>
    <row r="391">
      <c r="A391" s="9"/>
      <c r="B391" s="9"/>
      <c r="C391" s="9"/>
      <c r="D391" s="9"/>
      <c r="E391" s="9"/>
      <c r="F391" s="9"/>
      <c r="G391" s="9"/>
      <c r="H391" s="9"/>
      <c r="I391" s="9"/>
      <c r="J391" s="9"/>
      <c r="K391" s="9"/>
      <c r="L391" s="115"/>
      <c r="M391" s="115"/>
      <c r="N391" s="115"/>
      <c r="O391" s="115"/>
      <c r="P391" s="9"/>
      <c r="Q391" s="9"/>
      <c r="R391" s="9"/>
      <c r="S391" s="9"/>
      <c r="T391" s="9"/>
      <c r="U391" s="9"/>
      <c r="V391" s="9"/>
      <c r="W391" s="10"/>
      <c r="X391" s="10"/>
      <c r="Y391" s="10"/>
      <c r="Z391" s="10"/>
    </row>
    <row r="392">
      <c r="A392" s="9"/>
      <c r="B392" s="9"/>
      <c r="C392" s="9"/>
      <c r="D392" s="9"/>
      <c r="E392" s="9"/>
      <c r="F392" s="9"/>
      <c r="G392" s="9"/>
      <c r="H392" s="9"/>
      <c r="I392" s="9"/>
      <c r="J392" s="9"/>
      <c r="K392" s="9"/>
      <c r="L392" s="115"/>
      <c r="M392" s="115"/>
      <c r="N392" s="115"/>
      <c r="O392" s="115"/>
      <c r="P392" s="9"/>
      <c r="Q392" s="9"/>
      <c r="R392" s="9"/>
      <c r="S392" s="9"/>
      <c r="T392" s="9"/>
      <c r="U392" s="9"/>
      <c r="V392" s="9"/>
      <c r="W392" s="10"/>
      <c r="X392" s="10"/>
      <c r="Y392" s="10"/>
      <c r="Z392" s="10"/>
    </row>
    <row r="393">
      <c r="A393" s="9"/>
      <c r="B393" s="9"/>
      <c r="C393" s="9"/>
      <c r="D393" s="9"/>
      <c r="E393" s="9"/>
      <c r="F393" s="9"/>
      <c r="G393" s="9"/>
      <c r="H393" s="9"/>
      <c r="I393" s="9"/>
      <c r="J393" s="9"/>
      <c r="K393" s="9"/>
      <c r="L393" s="115"/>
      <c r="M393" s="115"/>
      <c r="N393" s="115"/>
      <c r="O393" s="115"/>
      <c r="P393" s="9"/>
      <c r="Q393" s="9"/>
      <c r="R393" s="9"/>
      <c r="S393" s="9"/>
      <c r="T393" s="9"/>
      <c r="U393" s="9"/>
      <c r="V393" s="9"/>
      <c r="W393" s="10"/>
      <c r="X393" s="10"/>
      <c r="Y393" s="10"/>
      <c r="Z393" s="10"/>
    </row>
    <row r="394">
      <c r="A394" s="9"/>
      <c r="B394" s="9"/>
      <c r="C394" s="9"/>
      <c r="D394" s="9"/>
      <c r="E394" s="9"/>
      <c r="F394" s="9"/>
      <c r="G394" s="9"/>
      <c r="H394" s="9"/>
      <c r="I394" s="9"/>
      <c r="J394" s="9"/>
      <c r="K394" s="9"/>
      <c r="L394" s="115"/>
      <c r="M394" s="115"/>
      <c r="N394" s="115"/>
      <c r="O394" s="115"/>
      <c r="P394" s="9"/>
      <c r="Q394" s="9"/>
      <c r="R394" s="9"/>
      <c r="S394" s="9"/>
      <c r="T394" s="9"/>
      <c r="U394" s="9"/>
      <c r="V394" s="9"/>
      <c r="W394" s="10"/>
      <c r="X394" s="10"/>
      <c r="Y394" s="10"/>
      <c r="Z394" s="10"/>
    </row>
    <row r="395">
      <c r="A395" s="9"/>
      <c r="B395" s="9"/>
      <c r="C395" s="9"/>
      <c r="D395" s="9"/>
      <c r="E395" s="9"/>
      <c r="F395" s="9"/>
      <c r="G395" s="9"/>
      <c r="H395" s="9"/>
      <c r="I395" s="9"/>
      <c r="J395" s="9"/>
      <c r="K395" s="9"/>
      <c r="L395" s="115"/>
      <c r="M395" s="115"/>
      <c r="N395" s="115"/>
      <c r="O395" s="115"/>
      <c r="P395" s="9"/>
      <c r="Q395" s="9"/>
      <c r="R395" s="9"/>
      <c r="S395" s="9"/>
      <c r="T395" s="9"/>
      <c r="U395" s="9"/>
      <c r="V395" s="9"/>
      <c r="W395" s="10"/>
      <c r="X395" s="10"/>
      <c r="Y395" s="10"/>
      <c r="Z395" s="10"/>
    </row>
    <row r="396">
      <c r="A396" s="9"/>
      <c r="B396" s="9"/>
      <c r="C396" s="9"/>
      <c r="D396" s="9"/>
      <c r="E396" s="9"/>
      <c r="F396" s="9"/>
      <c r="G396" s="9"/>
      <c r="H396" s="9"/>
      <c r="I396" s="9"/>
      <c r="J396" s="9"/>
      <c r="K396" s="9"/>
      <c r="L396" s="115"/>
      <c r="M396" s="115"/>
      <c r="N396" s="115"/>
      <c r="O396" s="115"/>
      <c r="P396" s="9"/>
      <c r="Q396" s="9"/>
      <c r="R396" s="9"/>
      <c r="S396" s="9"/>
      <c r="T396" s="9"/>
      <c r="U396" s="9"/>
      <c r="V396" s="9"/>
      <c r="W396" s="10"/>
      <c r="X396" s="10"/>
      <c r="Y396" s="10"/>
      <c r="Z396" s="10"/>
    </row>
    <row r="397">
      <c r="A397" s="9"/>
      <c r="B397" s="9"/>
      <c r="C397" s="9"/>
      <c r="D397" s="9"/>
      <c r="E397" s="9"/>
      <c r="F397" s="9"/>
      <c r="G397" s="9"/>
      <c r="H397" s="9"/>
      <c r="I397" s="9"/>
      <c r="J397" s="9"/>
      <c r="K397" s="9"/>
      <c r="L397" s="115"/>
      <c r="M397" s="115"/>
      <c r="N397" s="115"/>
      <c r="O397" s="115"/>
      <c r="P397" s="9"/>
      <c r="Q397" s="9"/>
      <c r="R397" s="9"/>
      <c r="S397" s="9"/>
      <c r="T397" s="9"/>
      <c r="U397" s="9"/>
      <c r="V397" s="9"/>
      <c r="W397" s="10"/>
      <c r="X397" s="10"/>
      <c r="Y397" s="10"/>
      <c r="Z397" s="10"/>
    </row>
    <row r="398">
      <c r="A398" s="9"/>
      <c r="B398" s="9"/>
      <c r="C398" s="9"/>
      <c r="D398" s="9"/>
      <c r="E398" s="9"/>
      <c r="F398" s="9"/>
      <c r="G398" s="9"/>
      <c r="H398" s="9"/>
      <c r="I398" s="9"/>
      <c r="J398" s="9"/>
      <c r="K398" s="9"/>
      <c r="L398" s="115"/>
      <c r="M398" s="115"/>
      <c r="N398" s="115"/>
      <c r="O398" s="115"/>
      <c r="P398" s="9"/>
      <c r="Q398" s="9"/>
      <c r="R398" s="9"/>
      <c r="S398" s="9"/>
      <c r="T398" s="9"/>
      <c r="U398" s="9"/>
      <c r="V398" s="9"/>
      <c r="W398" s="10"/>
      <c r="X398" s="10"/>
      <c r="Y398" s="10"/>
      <c r="Z398" s="10"/>
    </row>
    <row r="399">
      <c r="A399" s="9"/>
      <c r="B399" s="9"/>
      <c r="C399" s="9"/>
      <c r="D399" s="9"/>
      <c r="E399" s="9"/>
      <c r="F399" s="9"/>
      <c r="G399" s="9"/>
      <c r="H399" s="9"/>
      <c r="I399" s="9"/>
      <c r="J399" s="9"/>
      <c r="K399" s="9"/>
      <c r="L399" s="115"/>
      <c r="M399" s="115"/>
      <c r="N399" s="115"/>
      <c r="O399" s="115"/>
      <c r="P399" s="9"/>
      <c r="Q399" s="9"/>
      <c r="R399" s="9"/>
      <c r="S399" s="9"/>
      <c r="T399" s="9"/>
      <c r="U399" s="9"/>
      <c r="V399" s="9"/>
      <c r="W399" s="10"/>
      <c r="X399" s="10"/>
      <c r="Y399" s="10"/>
      <c r="Z399" s="10"/>
    </row>
    <row r="400">
      <c r="A400" s="9"/>
      <c r="B400" s="9"/>
      <c r="C400" s="9"/>
      <c r="D400" s="9"/>
      <c r="E400" s="9"/>
      <c r="F400" s="9"/>
      <c r="G400" s="9"/>
      <c r="H400" s="9"/>
      <c r="I400" s="9"/>
      <c r="J400" s="9"/>
      <c r="K400" s="9"/>
      <c r="L400" s="115"/>
      <c r="M400" s="115"/>
      <c r="N400" s="115"/>
      <c r="O400" s="115"/>
      <c r="P400" s="9"/>
      <c r="Q400" s="9"/>
      <c r="R400" s="9"/>
      <c r="S400" s="9"/>
      <c r="T400" s="9"/>
      <c r="U400" s="9"/>
      <c r="V400" s="9"/>
      <c r="W400" s="10"/>
      <c r="X400" s="10"/>
      <c r="Y400" s="10"/>
      <c r="Z400" s="10"/>
    </row>
    <row r="401">
      <c r="A401" s="9"/>
      <c r="B401" s="9"/>
      <c r="C401" s="9"/>
      <c r="D401" s="9"/>
      <c r="E401" s="9"/>
      <c r="F401" s="9"/>
      <c r="G401" s="9"/>
      <c r="H401" s="9"/>
      <c r="I401" s="9"/>
      <c r="J401" s="9"/>
      <c r="K401" s="9"/>
      <c r="L401" s="115"/>
      <c r="M401" s="115"/>
      <c r="N401" s="115"/>
      <c r="O401" s="115"/>
      <c r="P401" s="9"/>
      <c r="Q401" s="9"/>
      <c r="R401" s="9"/>
      <c r="S401" s="9"/>
      <c r="T401" s="9"/>
      <c r="U401" s="9"/>
      <c r="V401" s="9"/>
      <c r="W401" s="10"/>
      <c r="X401" s="10"/>
      <c r="Y401" s="10"/>
      <c r="Z401" s="10"/>
    </row>
    <row r="402">
      <c r="A402" s="9"/>
      <c r="B402" s="9"/>
      <c r="C402" s="9"/>
      <c r="D402" s="9"/>
      <c r="E402" s="9"/>
      <c r="F402" s="9"/>
      <c r="G402" s="9"/>
      <c r="H402" s="9"/>
      <c r="I402" s="9"/>
      <c r="J402" s="9"/>
      <c r="K402" s="9"/>
      <c r="L402" s="115"/>
      <c r="M402" s="115"/>
      <c r="N402" s="115"/>
      <c r="O402" s="115"/>
      <c r="P402" s="9"/>
      <c r="Q402" s="9"/>
      <c r="R402" s="9"/>
      <c r="S402" s="9"/>
      <c r="T402" s="9"/>
      <c r="U402" s="9"/>
      <c r="V402" s="9"/>
      <c r="W402" s="10"/>
      <c r="X402" s="10"/>
      <c r="Y402" s="10"/>
      <c r="Z402" s="10"/>
    </row>
    <row r="403">
      <c r="A403" s="9"/>
      <c r="B403" s="9"/>
      <c r="C403" s="9"/>
      <c r="D403" s="9"/>
      <c r="E403" s="9"/>
      <c r="F403" s="9"/>
      <c r="G403" s="9"/>
      <c r="H403" s="9"/>
      <c r="I403" s="9"/>
      <c r="J403" s="9"/>
      <c r="K403" s="9"/>
      <c r="L403" s="115"/>
      <c r="M403" s="115"/>
      <c r="N403" s="115"/>
      <c r="O403" s="115"/>
      <c r="P403" s="9"/>
      <c r="Q403" s="9"/>
      <c r="R403" s="9"/>
      <c r="S403" s="9"/>
      <c r="T403" s="9"/>
      <c r="U403" s="9"/>
      <c r="V403" s="9"/>
      <c r="W403" s="10"/>
      <c r="X403" s="10"/>
      <c r="Y403" s="10"/>
      <c r="Z403" s="10"/>
    </row>
    <row r="404">
      <c r="A404" s="9"/>
      <c r="B404" s="9"/>
      <c r="C404" s="9"/>
      <c r="D404" s="9"/>
      <c r="E404" s="9"/>
      <c r="F404" s="9"/>
      <c r="G404" s="9"/>
      <c r="H404" s="9"/>
      <c r="I404" s="9"/>
      <c r="J404" s="9"/>
      <c r="K404" s="9"/>
      <c r="L404" s="115"/>
      <c r="M404" s="115"/>
      <c r="N404" s="115"/>
      <c r="O404" s="115"/>
      <c r="P404" s="9"/>
      <c r="Q404" s="9"/>
      <c r="R404" s="9"/>
      <c r="S404" s="9"/>
      <c r="T404" s="9"/>
      <c r="U404" s="9"/>
      <c r="V404" s="9"/>
      <c r="W404" s="10"/>
      <c r="X404" s="10"/>
      <c r="Y404" s="10"/>
      <c r="Z404" s="10"/>
    </row>
    <row r="405">
      <c r="A405" s="9"/>
      <c r="B405" s="9"/>
      <c r="C405" s="9"/>
      <c r="D405" s="9"/>
      <c r="E405" s="9"/>
      <c r="F405" s="9"/>
      <c r="G405" s="9"/>
      <c r="H405" s="9"/>
      <c r="I405" s="9"/>
      <c r="J405" s="9"/>
      <c r="K405" s="9"/>
      <c r="L405" s="115"/>
      <c r="M405" s="115"/>
      <c r="N405" s="115"/>
      <c r="O405" s="115"/>
      <c r="P405" s="9"/>
      <c r="Q405" s="9"/>
      <c r="R405" s="9"/>
      <c r="S405" s="9"/>
      <c r="T405" s="9"/>
      <c r="U405" s="9"/>
      <c r="V405" s="9"/>
      <c r="W405" s="10"/>
      <c r="X405" s="10"/>
      <c r="Y405" s="10"/>
      <c r="Z405" s="10"/>
    </row>
    <row r="406">
      <c r="A406" s="9"/>
      <c r="B406" s="9"/>
      <c r="C406" s="9"/>
      <c r="D406" s="9"/>
      <c r="E406" s="9"/>
      <c r="F406" s="9"/>
      <c r="G406" s="9"/>
      <c r="H406" s="9"/>
      <c r="I406" s="9"/>
      <c r="J406" s="9"/>
      <c r="K406" s="9"/>
      <c r="L406" s="115"/>
      <c r="M406" s="115"/>
      <c r="N406" s="115"/>
      <c r="O406" s="115"/>
      <c r="P406" s="9"/>
      <c r="Q406" s="9"/>
      <c r="R406" s="9"/>
      <c r="S406" s="9"/>
      <c r="T406" s="9"/>
      <c r="U406" s="9"/>
      <c r="V406" s="9"/>
      <c r="W406" s="10"/>
      <c r="X406" s="10"/>
      <c r="Y406" s="10"/>
      <c r="Z406" s="10"/>
    </row>
    <row r="407">
      <c r="A407" s="9"/>
      <c r="B407" s="9"/>
      <c r="C407" s="9"/>
      <c r="D407" s="9"/>
      <c r="E407" s="9"/>
      <c r="F407" s="9"/>
      <c r="G407" s="9"/>
      <c r="H407" s="9"/>
      <c r="I407" s="9"/>
      <c r="J407" s="9"/>
      <c r="K407" s="9"/>
      <c r="L407" s="115"/>
      <c r="M407" s="115"/>
      <c r="N407" s="115"/>
      <c r="O407" s="115"/>
      <c r="P407" s="9"/>
      <c r="Q407" s="9"/>
      <c r="R407" s="9"/>
      <c r="S407" s="9"/>
      <c r="T407" s="9"/>
      <c r="U407" s="9"/>
      <c r="V407" s="9"/>
      <c r="W407" s="10"/>
      <c r="X407" s="10"/>
      <c r="Y407" s="10"/>
      <c r="Z407" s="10"/>
    </row>
    <row r="408">
      <c r="A408" s="9"/>
      <c r="B408" s="9"/>
      <c r="C408" s="9"/>
      <c r="D408" s="9"/>
      <c r="E408" s="9"/>
      <c r="F408" s="9"/>
      <c r="G408" s="9"/>
      <c r="H408" s="9"/>
      <c r="I408" s="9"/>
      <c r="J408" s="9"/>
      <c r="K408" s="9"/>
      <c r="L408" s="115"/>
      <c r="M408" s="115"/>
      <c r="N408" s="115"/>
      <c r="O408" s="115"/>
      <c r="P408" s="9"/>
      <c r="Q408" s="9"/>
      <c r="R408" s="9"/>
      <c r="S408" s="9"/>
      <c r="T408" s="9"/>
      <c r="U408" s="9"/>
      <c r="V408" s="9"/>
      <c r="W408" s="10"/>
      <c r="X408" s="10"/>
      <c r="Y408" s="10"/>
      <c r="Z408" s="10"/>
    </row>
    <row r="409">
      <c r="A409" s="9"/>
      <c r="B409" s="9"/>
      <c r="C409" s="9"/>
      <c r="D409" s="9"/>
      <c r="E409" s="9"/>
      <c r="F409" s="9"/>
      <c r="G409" s="9"/>
      <c r="H409" s="9"/>
      <c r="I409" s="9"/>
      <c r="J409" s="9"/>
      <c r="K409" s="9"/>
      <c r="L409" s="115"/>
      <c r="M409" s="115"/>
      <c r="N409" s="115"/>
      <c r="O409" s="115"/>
      <c r="P409" s="9"/>
      <c r="Q409" s="9"/>
      <c r="R409" s="9"/>
      <c r="S409" s="9"/>
      <c r="T409" s="9"/>
      <c r="U409" s="9"/>
      <c r="V409" s="9"/>
      <c r="W409" s="10"/>
      <c r="X409" s="10"/>
      <c r="Y409" s="10"/>
      <c r="Z409" s="10"/>
    </row>
    <row r="410">
      <c r="A410" s="9"/>
      <c r="B410" s="9"/>
      <c r="C410" s="9"/>
      <c r="D410" s="9"/>
      <c r="E410" s="9"/>
      <c r="F410" s="9"/>
      <c r="G410" s="9"/>
      <c r="H410" s="9"/>
      <c r="I410" s="9"/>
      <c r="J410" s="9"/>
      <c r="K410" s="9"/>
      <c r="L410" s="115"/>
      <c r="M410" s="115"/>
      <c r="N410" s="115"/>
      <c r="O410" s="115"/>
      <c r="P410" s="9"/>
      <c r="Q410" s="9"/>
      <c r="R410" s="9"/>
      <c r="S410" s="9"/>
      <c r="T410" s="9"/>
      <c r="U410" s="9"/>
      <c r="V410" s="9"/>
      <c r="W410" s="10"/>
      <c r="X410" s="10"/>
      <c r="Y410" s="10"/>
      <c r="Z410" s="10"/>
    </row>
    <row r="411">
      <c r="A411" s="9"/>
      <c r="B411" s="9"/>
      <c r="C411" s="9"/>
      <c r="D411" s="9"/>
      <c r="E411" s="9"/>
      <c r="F411" s="9"/>
      <c r="G411" s="9"/>
      <c r="H411" s="9"/>
      <c r="I411" s="9"/>
      <c r="J411" s="9"/>
      <c r="K411" s="9"/>
      <c r="L411" s="115"/>
      <c r="M411" s="115"/>
      <c r="N411" s="115"/>
      <c r="O411" s="115"/>
      <c r="P411" s="9"/>
      <c r="Q411" s="9"/>
      <c r="R411" s="9"/>
      <c r="S411" s="9"/>
      <c r="T411" s="9"/>
      <c r="U411" s="9"/>
      <c r="V411" s="9"/>
      <c r="W411" s="10"/>
      <c r="X411" s="10"/>
      <c r="Y411" s="10"/>
      <c r="Z411" s="10"/>
    </row>
    <row r="412">
      <c r="A412" s="9"/>
      <c r="B412" s="9"/>
      <c r="C412" s="9"/>
      <c r="D412" s="9"/>
      <c r="E412" s="9"/>
      <c r="F412" s="9"/>
      <c r="G412" s="9"/>
      <c r="H412" s="9"/>
      <c r="I412" s="9"/>
      <c r="J412" s="9"/>
      <c r="K412" s="9"/>
      <c r="L412" s="115"/>
      <c r="M412" s="115"/>
      <c r="N412" s="115"/>
      <c r="O412" s="115"/>
      <c r="P412" s="9"/>
      <c r="Q412" s="9"/>
      <c r="R412" s="9"/>
      <c r="S412" s="9"/>
      <c r="T412" s="9"/>
      <c r="U412" s="9"/>
      <c r="V412" s="9"/>
      <c r="W412" s="10"/>
      <c r="X412" s="10"/>
      <c r="Y412" s="10"/>
      <c r="Z412" s="10"/>
    </row>
    <row r="413">
      <c r="A413" s="9"/>
      <c r="B413" s="9"/>
      <c r="C413" s="9"/>
      <c r="D413" s="9"/>
      <c r="E413" s="9"/>
      <c r="F413" s="9"/>
      <c r="G413" s="9"/>
      <c r="H413" s="9"/>
      <c r="I413" s="9"/>
      <c r="J413" s="9"/>
      <c r="K413" s="9"/>
      <c r="L413" s="115"/>
      <c r="M413" s="115"/>
      <c r="N413" s="115"/>
      <c r="O413" s="115"/>
      <c r="P413" s="9"/>
      <c r="Q413" s="9"/>
      <c r="R413" s="9"/>
      <c r="S413" s="9"/>
      <c r="T413" s="9"/>
      <c r="U413" s="9"/>
      <c r="V413" s="9"/>
      <c r="W413" s="10"/>
      <c r="X413" s="10"/>
      <c r="Y413" s="10"/>
      <c r="Z413" s="10"/>
    </row>
    <row r="414">
      <c r="A414" s="9"/>
      <c r="B414" s="9"/>
      <c r="C414" s="9"/>
      <c r="D414" s="9"/>
      <c r="E414" s="9"/>
      <c r="F414" s="9"/>
      <c r="G414" s="9"/>
      <c r="H414" s="9"/>
      <c r="I414" s="9"/>
      <c r="J414" s="9"/>
      <c r="K414" s="9"/>
      <c r="L414" s="115"/>
      <c r="M414" s="115"/>
      <c r="N414" s="115"/>
      <c r="O414" s="115"/>
      <c r="P414" s="9"/>
      <c r="Q414" s="9"/>
      <c r="R414" s="9"/>
      <c r="S414" s="9"/>
      <c r="T414" s="9"/>
      <c r="U414" s="9"/>
      <c r="V414" s="9"/>
      <c r="W414" s="10"/>
      <c r="X414" s="10"/>
      <c r="Y414" s="10"/>
      <c r="Z414" s="10"/>
    </row>
    <row r="415">
      <c r="A415" s="9"/>
      <c r="B415" s="9"/>
      <c r="C415" s="9"/>
      <c r="D415" s="9"/>
      <c r="E415" s="9"/>
      <c r="F415" s="9"/>
      <c r="G415" s="9"/>
      <c r="H415" s="9"/>
      <c r="I415" s="9"/>
      <c r="J415" s="9"/>
      <c r="K415" s="9"/>
      <c r="L415" s="115"/>
      <c r="M415" s="115"/>
      <c r="N415" s="115"/>
      <c r="O415" s="115"/>
      <c r="P415" s="9"/>
      <c r="Q415" s="9"/>
      <c r="R415" s="9"/>
      <c r="S415" s="9"/>
      <c r="T415" s="9"/>
      <c r="U415" s="9"/>
      <c r="V415" s="9"/>
      <c r="W415" s="10"/>
      <c r="X415" s="10"/>
      <c r="Y415" s="10"/>
      <c r="Z415" s="10"/>
    </row>
    <row r="416">
      <c r="A416" s="9"/>
      <c r="B416" s="9"/>
      <c r="C416" s="9"/>
      <c r="D416" s="9"/>
      <c r="E416" s="9"/>
      <c r="F416" s="9"/>
      <c r="G416" s="9"/>
      <c r="H416" s="9"/>
      <c r="I416" s="9"/>
      <c r="J416" s="9"/>
      <c r="K416" s="9"/>
      <c r="L416" s="115"/>
      <c r="M416" s="115"/>
      <c r="N416" s="115"/>
      <c r="O416" s="115"/>
      <c r="P416" s="9"/>
      <c r="Q416" s="9"/>
      <c r="R416" s="9"/>
      <c r="S416" s="9"/>
      <c r="T416" s="9"/>
      <c r="U416" s="9"/>
      <c r="V416" s="9"/>
      <c r="W416" s="10"/>
      <c r="X416" s="10"/>
      <c r="Y416" s="10"/>
      <c r="Z416" s="10"/>
    </row>
    <row r="417">
      <c r="A417" s="9"/>
      <c r="B417" s="9"/>
      <c r="C417" s="9"/>
      <c r="D417" s="9"/>
      <c r="E417" s="9"/>
      <c r="F417" s="9"/>
      <c r="G417" s="9"/>
      <c r="H417" s="9"/>
      <c r="I417" s="9"/>
      <c r="J417" s="9"/>
      <c r="K417" s="9"/>
      <c r="L417" s="115"/>
      <c r="M417" s="115"/>
      <c r="N417" s="115"/>
      <c r="O417" s="115"/>
      <c r="P417" s="9"/>
      <c r="Q417" s="9"/>
      <c r="R417" s="9"/>
      <c r="S417" s="9"/>
      <c r="T417" s="9"/>
      <c r="U417" s="9"/>
      <c r="V417" s="9"/>
      <c r="W417" s="10"/>
      <c r="X417" s="10"/>
      <c r="Y417" s="10"/>
      <c r="Z417" s="10"/>
    </row>
    <row r="418">
      <c r="A418" s="9"/>
      <c r="B418" s="9"/>
      <c r="C418" s="9"/>
      <c r="D418" s="9"/>
      <c r="E418" s="9"/>
      <c r="F418" s="9"/>
      <c r="G418" s="9"/>
      <c r="H418" s="9"/>
      <c r="I418" s="9"/>
      <c r="J418" s="9"/>
      <c r="K418" s="9"/>
      <c r="L418" s="115"/>
      <c r="M418" s="115"/>
      <c r="N418" s="115"/>
      <c r="O418" s="115"/>
      <c r="P418" s="9"/>
      <c r="Q418" s="9"/>
      <c r="R418" s="9"/>
      <c r="S418" s="9"/>
      <c r="T418" s="9"/>
      <c r="U418" s="9"/>
      <c r="V418" s="9"/>
      <c r="W418" s="10"/>
      <c r="X418" s="10"/>
      <c r="Y418" s="10"/>
      <c r="Z418" s="10"/>
    </row>
    <row r="419">
      <c r="A419" s="9"/>
      <c r="B419" s="9"/>
      <c r="C419" s="9"/>
      <c r="D419" s="9"/>
      <c r="E419" s="9"/>
      <c r="F419" s="9"/>
      <c r="G419" s="9"/>
      <c r="H419" s="9"/>
      <c r="I419" s="9"/>
      <c r="J419" s="9"/>
      <c r="K419" s="9"/>
      <c r="L419" s="115"/>
      <c r="M419" s="115"/>
      <c r="N419" s="115"/>
      <c r="O419" s="115"/>
      <c r="P419" s="9"/>
      <c r="Q419" s="9"/>
      <c r="R419" s="9"/>
      <c r="S419" s="9"/>
      <c r="T419" s="9"/>
      <c r="U419" s="9"/>
      <c r="V419" s="9"/>
      <c r="W419" s="10"/>
      <c r="X419" s="10"/>
      <c r="Y419" s="10"/>
      <c r="Z419" s="10"/>
    </row>
    <row r="420">
      <c r="A420" s="9"/>
      <c r="B420" s="9"/>
      <c r="C420" s="9"/>
      <c r="D420" s="9"/>
      <c r="E420" s="9"/>
      <c r="F420" s="9"/>
      <c r="G420" s="9"/>
      <c r="H420" s="9"/>
      <c r="I420" s="9"/>
      <c r="J420" s="9"/>
      <c r="K420" s="9"/>
      <c r="L420" s="115"/>
      <c r="M420" s="115"/>
      <c r="N420" s="115"/>
      <c r="O420" s="115"/>
      <c r="P420" s="9"/>
      <c r="Q420" s="9"/>
      <c r="R420" s="9"/>
      <c r="S420" s="9"/>
      <c r="T420" s="9"/>
      <c r="U420" s="9"/>
      <c r="V420" s="9"/>
      <c r="W420" s="10"/>
      <c r="X420" s="10"/>
      <c r="Y420" s="10"/>
      <c r="Z420" s="10"/>
    </row>
    <row r="421">
      <c r="A421" s="9"/>
      <c r="B421" s="9"/>
      <c r="C421" s="9"/>
      <c r="D421" s="9"/>
      <c r="E421" s="9"/>
      <c r="F421" s="9"/>
      <c r="G421" s="9"/>
      <c r="H421" s="9"/>
      <c r="I421" s="9"/>
      <c r="J421" s="9"/>
      <c r="K421" s="9"/>
      <c r="L421" s="115"/>
      <c r="M421" s="115"/>
      <c r="N421" s="115"/>
      <c r="O421" s="115"/>
      <c r="P421" s="9"/>
      <c r="Q421" s="9"/>
      <c r="R421" s="9"/>
      <c r="S421" s="9"/>
      <c r="T421" s="9"/>
      <c r="U421" s="9"/>
      <c r="V421" s="9"/>
      <c r="W421" s="10"/>
      <c r="X421" s="10"/>
      <c r="Y421" s="10"/>
      <c r="Z421" s="10"/>
    </row>
    <row r="422">
      <c r="A422" s="9"/>
      <c r="B422" s="9"/>
      <c r="C422" s="9"/>
      <c r="D422" s="9"/>
      <c r="E422" s="9"/>
      <c r="F422" s="9"/>
      <c r="G422" s="9"/>
      <c r="H422" s="9"/>
      <c r="I422" s="9"/>
      <c r="J422" s="9"/>
      <c r="K422" s="9"/>
      <c r="L422" s="115"/>
      <c r="M422" s="115"/>
      <c r="N422" s="115"/>
      <c r="O422" s="115"/>
      <c r="P422" s="9"/>
      <c r="Q422" s="9"/>
      <c r="R422" s="9"/>
      <c r="S422" s="9"/>
      <c r="T422" s="9"/>
      <c r="U422" s="9"/>
      <c r="V422" s="9"/>
      <c r="W422" s="10"/>
      <c r="X422" s="10"/>
      <c r="Y422" s="10"/>
      <c r="Z422" s="10"/>
    </row>
    <row r="423">
      <c r="A423" s="9"/>
      <c r="B423" s="9"/>
      <c r="C423" s="9"/>
      <c r="D423" s="9"/>
      <c r="E423" s="9"/>
      <c r="F423" s="9"/>
      <c r="G423" s="9"/>
      <c r="H423" s="9"/>
      <c r="I423" s="9"/>
      <c r="J423" s="9"/>
      <c r="K423" s="9"/>
      <c r="L423" s="115"/>
      <c r="M423" s="115"/>
      <c r="N423" s="115"/>
      <c r="O423" s="115"/>
      <c r="P423" s="9"/>
      <c r="Q423" s="9"/>
      <c r="R423" s="9"/>
      <c r="S423" s="9"/>
      <c r="T423" s="9"/>
      <c r="U423" s="9"/>
      <c r="V423" s="9"/>
      <c r="W423" s="10"/>
      <c r="X423" s="10"/>
      <c r="Y423" s="10"/>
      <c r="Z423" s="10"/>
    </row>
    <row r="424">
      <c r="A424" s="9"/>
      <c r="B424" s="9"/>
      <c r="C424" s="9"/>
      <c r="D424" s="9"/>
      <c r="E424" s="9"/>
      <c r="F424" s="9"/>
      <c r="G424" s="9"/>
      <c r="H424" s="9"/>
      <c r="I424" s="9"/>
      <c r="J424" s="9"/>
      <c r="K424" s="9"/>
      <c r="L424" s="115"/>
      <c r="M424" s="115"/>
      <c r="N424" s="115"/>
      <c r="O424" s="115"/>
      <c r="P424" s="9"/>
      <c r="Q424" s="9"/>
      <c r="R424" s="9"/>
      <c r="S424" s="9"/>
      <c r="T424" s="9"/>
      <c r="U424" s="9"/>
      <c r="V424" s="9"/>
      <c r="W424" s="10"/>
      <c r="X424" s="10"/>
      <c r="Y424" s="10"/>
      <c r="Z424" s="10"/>
    </row>
    <row r="425">
      <c r="A425" s="9"/>
      <c r="B425" s="9"/>
      <c r="C425" s="9"/>
      <c r="D425" s="9"/>
      <c r="E425" s="9"/>
      <c r="F425" s="9"/>
      <c r="G425" s="9"/>
      <c r="H425" s="9"/>
      <c r="I425" s="9"/>
      <c r="J425" s="9"/>
      <c r="K425" s="9"/>
      <c r="L425" s="115"/>
      <c r="M425" s="115"/>
      <c r="N425" s="115"/>
      <c r="O425" s="115"/>
      <c r="P425" s="9"/>
      <c r="Q425" s="9"/>
      <c r="R425" s="9"/>
      <c r="S425" s="9"/>
      <c r="T425" s="9"/>
      <c r="U425" s="9"/>
      <c r="V425" s="9"/>
      <c r="W425" s="10"/>
      <c r="X425" s="10"/>
      <c r="Y425" s="10"/>
      <c r="Z425" s="10"/>
    </row>
    <row r="426">
      <c r="A426" s="9"/>
      <c r="B426" s="9"/>
      <c r="C426" s="9"/>
      <c r="D426" s="9"/>
      <c r="E426" s="9"/>
      <c r="F426" s="9"/>
      <c r="G426" s="9"/>
      <c r="H426" s="9"/>
      <c r="I426" s="9"/>
      <c r="J426" s="9"/>
      <c r="K426" s="9"/>
      <c r="L426" s="115"/>
      <c r="M426" s="115"/>
      <c r="N426" s="115"/>
      <c r="O426" s="115"/>
      <c r="P426" s="9"/>
      <c r="Q426" s="9"/>
      <c r="R426" s="9"/>
      <c r="S426" s="9"/>
      <c r="T426" s="9"/>
      <c r="U426" s="9"/>
      <c r="V426" s="9"/>
      <c r="W426" s="10"/>
      <c r="X426" s="10"/>
      <c r="Y426" s="10"/>
      <c r="Z426" s="10"/>
    </row>
    <row r="427">
      <c r="A427" s="9"/>
      <c r="B427" s="9"/>
      <c r="C427" s="9"/>
      <c r="D427" s="9"/>
      <c r="E427" s="9"/>
      <c r="F427" s="9"/>
      <c r="G427" s="9"/>
      <c r="H427" s="9"/>
      <c r="I427" s="9"/>
      <c r="J427" s="9"/>
      <c r="K427" s="9"/>
      <c r="L427" s="115"/>
      <c r="M427" s="115"/>
      <c r="N427" s="115"/>
      <c r="O427" s="115"/>
      <c r="P427" s="9"/>
      <c r="Q427" s="9"/>
      <c r="R427" s="9"/>
      <c r="S427" s="9"/>
      <c r="T427" s="9"/>
      <c r="U427" s="9"/>
      <c r="V427" s="9"/>
      <c r="W427" s="10"/>
      <c r="X427" s="10"/>
      <c r="Y427" s="10"/>
      <c r="Z427" s="10"/>
    </row>
    <row r="428">
      <c r="A428" s="9"/>
      <c r="B428" s="9"/>
      <c r="C428" s="9"/>
      <c r="D428" s="9"/>
      <c r="E428" s="9"/>
      <c r="F428" s="9"/>
      <c r="G428" s="9"/>
      <c r="H428" s="9"/>
      <c r="I428" s="9"/>
      <c r="J428" s="9"/>
      <c r="K428" s="9"/>
      <c r="L428" s="115"/>
      <c r="M428" s="115"/>
      <c r="N428" s="115"/>
      <c r="O428" s="115"/>
      <c r="P428" s="9"/>
      <c r="Q428" s="9"/>
      <c r="R428" s="9"/>
      <c r="S428" s="9"/>
      <c r="T428" s="9"/>
      <c r="U428" s="9"/>
      <c r="V428" s="9"/>
      <c r="W428" s="10"/>
      <c r="X428" s="10"/>
      <c r="Y428" s="10"/>
      <c r="Z428" s="10"/>
    </row>
    <row r="429">
      <c r="A429" s="9"/>
      <c r="B429" s="9"/>
      <c r="C429" s="9"/>
      <c r="D429" s="9"/>
      <c r="E429" s="9"/>
      <c r="F429" s="9"/>
      <c r="G429" s="9"/>
      <c r="H429" s="9"/>
      <c r="I429" s="9"/>
      <c r="J429" s="9"/>
      <c r="K429" s="9"/>
      <c r="L429" s="115"/>
      <c r="M429" s="115"/>
      <c r="N429" s="115"/>
      <c r="O429" s="115"/>
      <c r="P429" s="9"/>
      <c r="Q429" s="9"/>
      <c r="R429" s="9"/>
      <c r="S429" s="9"/>
      <c r="T429" s="9"/>
      <c r="U429" s="9"/>
      <c r="V429" s="9"/>
      <c r="W429" s="10"/>
      <c r="X429" s="10"/>
      <c r="Y429" s="10"/>
      <c r="Z429" s="10"/>
    </row>
    <row r="430">
      <c r="A430" s="9"/>
      <c r="B430" s="9"/>
      <c r="C430" s="9"/>
      <c r="D430" s="9"/>
      <c r="E430" s="9"/>
      <c r="F430" s="9"/>
      <c r="G430" s="9"/>
      <c r="H430" s="9"/>
      <c r="I430" s="9"/>
      <c r="J430" s="9"/>
      <c r="K430" s="9"/>
      <c r="L430" s="115"/>
      <c r="M430" s="115"/>
      <c r="N430" s="115"/>
      <c r="O430" s="115"/>
      <c r="P430" s="9"/>
      <c r="Q430" s="9"/>
      <c r="R430" s="9"/>
      <c r="S430" s="9"/>
      <c r="T430" s="9"/>
      <c r="U430" s="9"/>
      <c r="V430" s="9"/>
      <c r="W430" s="10"/>
      <c r="X430" s="10"/>
      <c r="Y430" s="10"/>
      <c r="Z430" s="10"/>
    </row>
    <row r="431">
      <c r="A431" s="9"/>
      <c r="B431" s="9"/>
      <c r="C431" s="9"/>
      <c r="D431" s="9"/>
      <c r="E431" s="9"/>
      <c r="F431" s="9"/>
      <c r="G431" s="9"/>
      <c r="H431" s="9"/>
      <c r="I431" s="9"/>
      <c r="J431" s="9"/>
      <c r="K431" s="9"/>
      <c r="L431" s="115"/>
      <c r="M431" s="115"/>
      <c r="N431" s="115"/>
      <c r="O431" s="115"/>
      <c r="P431" s="9"/>
      <c r="Q431" s="9"/>
      <c r="R431" s="9"/>
      <c r="S431" s="9"/>
      <c r="T431" s="9"/>
      <c r="U431" s="9"/>
      <c r="V431" s="9"/>
      <c r="W431" s="10"/>
      <c r="X431" s="10"/>
      <c r="Y431" s="10"/>
      <c r="Z431" s="10"/>
    </row>
    <row r="432">
      <c r="A432" s="9"/>
      <c r="B432" s="9"/>
      <c r="C432" s="9"/>
      <c r="D432" s="9"/>
      <c r="E432" s="9"/>
      <c r="F432" s="9"/>
      <c r="G432" s="9"/>
      <c r="H432" s="9"/>
      <c r="I432" s="9"/>
      <c r="J432" s="9"/>
      <c r="K432" s="9"/>
      <c r="L432" s="115"/>
      <c r="M432" s="115"/>
      <c r="N432" s="115"/>
      <c r="O432" s="115"/>
      <c r="P432" s="9"/>
      <c r="Q432" s="9"/>
      <c r="R432" s="9"/>
      <c r="S432" s="9"/>
      <c r="T432" s="9"/>
      <c r="U432" s="9"/>
      <c r="V432" s="9"/>
      <c r="W432" s="10"/>
      <c r="X432" s="10"/>
      <c r="Y432" s="10"/>
      <c r="Z432" s="10"/>
    </row>
    <row r="433">
      <c r="A433" s="9"/>
      <c r="B433" s="9"/>
      <c r="C433" s="9"/>
      <c r="D433" s="9"/>
      <c r="E433" s="9"/>
      <c r="F433" s="9"/>
      <c r="G433" s="9"/>
      <c r="H433" s="9"/>
      <c r="I433" s="9"/>
      <c r="J433" s="9"/>
      <c r="K433" s="9"/>
      <c r="L433" s="115"/>
      <c r="M433" s="115"/>
      <c r="N433" s="115"/>
      <c r="O433" s="115"/>
      <c r="P433" s="9"/>
      <c r="Q433" s="9"/>
      <c r="R433" s="9"/>
      <c r="S433" s="9"/>
      <c r="T433" s="9"/>
      <c r="U433" s="9"/>
      <c r="V433" s="9"/>
      <c r="W433" s="10"/>
      <c r="X433" s="10"/>
      <c r="Y433" s="10"/>
      <c r="Z433" s="10"/>
    </row>
    <row r="434">
      <c r="A434" s="9"/>
      <c r="B434" s="9"/>
      <c r="C434" s="9"/>
      <c r="D434" s="9"/>
      <c r="E434" s="9"/>
      <c r="F434" s="9"/>
      <c r="G434" s="9"/>
      <c r="H434" s="9"/>
      <c r="I434" s="9"/>
      <c r="J434" s="9"/>
      <c r="K434" s="9"/>
      <c r="L434" s="115"/>
      <c r="M434" s="115"/>
      <c r="N434" s="115"/>
      <c r="O434" s="115"/>
      <c r="P434" s="9"/>
      <c r="Q434" s="9"/>
      <c r="R434" s="9"/>
      <c r="S434" s="9"/>
      <c r="T434" s="9"/>
      <c r="U434" s="9"/>
      <c r="V434" s="9"/>
      <c r="W434" s="10"/>
      <c r="X434" s="10"/>
      <c r="Y434" s="10"/>
      <c r="Z434" s="10"/>
    </row>
    <row r="435">
      <c r="A435" s="9"/>
      <c r="B435" s="9"/>
      <c r="C435" s="9"/>
      <c r="D435" s="9"/>
      <c r="E435" s="9"/>
      <c r="F435" s="9"/>
      <c r="G435" s="9"/>
      <c r="H435" s="9"/>
      <c r="I435" s="9"/>
      <c r="J435" s="9"/>
      <c r="K435" s="9"/>
      <c r="L435" s="115"/>
      <c r="M435" s="115"/>
      <c r="N435" s="115"/>
      <c r="O435" s="115"/>
      <c r="P435" s="9"/>
      <c r="Q435" s="9"/>
      <c r="R435" s="9"/>
      <c r="S435" s="9"/>
      <c r="T435" s="9"/>
      <c r="U435" s="9"/>
      <c r="V435" s="9"/>
      <c r="W435" s="10"/>
      <c r="X435" s="10"/>
      <c r="Y435" s="10"/>
      <c r="Z435" s="10"/>
    </row>
    <row r="436">
      <c r="A436" s="9"/>
      <c r="B436" s="9"/>
      <c r="C436" s="9"/>
      <c r="D436" s="9"/>
      <c r="E436" s="9"/>
      <c r="F436" s="9"/>
      <c r="G436" s="9"/>
      <c r="H436" s="9"/>
      <c r="I436" s="9"/>
      <c r="J436" s="9"/>
      <c r="K436" s="9"/>
      <c r="L436" s="115"/>
      <c r="M436" s="115"/>
      <c r="N436" s="115"/>
      <c r="O436" s="115"/>
      <c r="P436" s="9"/>
      <c r="Q436" s="9"/>
      <c r="R436" s="9"/>
      <c r="S436" s="9"/>
      <c r="T436" s="9"/>
      <c r="U436" s="9"/>
      <c r="V436" s="9"/>
      <c r="W436" s="10"/>
      <c r="X436" s="10"/>
      <c r="Y436" s="10"/>
      <c r="Z436" s="10"/>
    </row>
    <row r="437">
      <c r="A437" s="9"/>
      <c r="B437" s="9"/>
      <c r="C437" s="9"/>
      <c r="D437" s="9"/>
      <c r="E437" s="9"/>
      <c r="F437" s="9"/>
      <c r="G437" s="9"/>
      <c r="H437" s="9"/>
      <c r="I437" s="9"/>
      <c r="J437" s="9"/>
      <c r="K437" s="9"/>
      <c r="L437" s="115"/>
      <c r="M437" s="115"/>
      <c r="N437" s="115"/>
      <c r="O437" s="115"/>
      <c r="P437" s="9"/>
      <c r="Q437" s="9"/>
      <c r="R437" s="9"/>
      <c r="S437" s="9"/>
      <c r="T437" s="9"/>
      <c r="U437" s="9"/>
      <c r="V437" s="9"/>
      <c r="W437" s="10"/>
      <c r="X437" s="10"/>
      <c r="Y437" s="10"/>
      <c r="Z437" s="10"/>
    </row>
    <row r="438">
      <c r="A438" s="9"/>
      <c r="B438" s="9"/>
      <c r="C438" s="9"/>
      <c r="D438" s="9"/>
      <c r="E438" s="9"/>
      <c r="F438" s="9"/>
      <c r="G438" s="9"/>
      <c r="H438" s="9"/>
      <c r="I438" s="9"/>
      <c r="J438" s="9"/>
      <c r="K438" s="9"/>
      <c r="L438" s="115"/>
      <c r="M438" s="115"/>
      <c r="N438" s="115"/>
      <c r="O438" s="115"/>
      <c r="P438" s="9"/>
      <c r="Q438" s="9"/>
      <c r="R438" s="9"/>
      <c r="S438" s="9"/>
      <c r="T438" s="9"/>
      <c r="U438" s="9"/>
      <c r="V438" s="9"/>
      <c r="W438" s="10"/>
      <c r="X438" s="10"/>
      <c r="Y438" s="10"/>
      <c r="Z438" s="10"/>
    </row>
    <row r="439">
      <c r="A439" s="9"/>
      <c r="B439" s="9"/>
      <c r="C439" s="9"/>
      <c r="D439" s="9"/>
      <c r="E439" s="9"/>
      <c r="F439" s="9"/>
      <c r="G439" s="9"/>
      <c r="H439" s="9"/>
      <c r="I439" s="9"/>
      <c r="J439" s="9"/>
      <c r="K439" s="9"/>
      <c r="L439" s="115"/>
      <c r="M439" s="115"/>
      <c r="N439" s="115"/>
      <c r="O439" s="115"/>
      <c r="P439" s="9"/>
      <c r="Q439" s="9"/>
      <c r="R439" s="9"/>
      <c r="S439" s="9"/>
      <c r="T439" s="9"/>
      <c r="U439" s="9"/>
      <c r="V439" s="9"/>
      <c r="W439" s="10"/>
      <c r="X439" s="10"/>
      <c r="Y439" s="10"/>
      <c r="Z439" s="10"/>
    </row>
    <row r="440">
      <c r="A440" s="9"/>
      <c r="B440" s="9"/>
      <c r="C440" s="9"/>
      <c r="D440" s="9"/>
      <c r="E440" s="9"/>
      <c r="F440" s="9"/>
      <c r="G440" s="9"/>
      <c r="H440" s="9"/>
      <c r="I440" s="9"/>
      <c r="J440" s="9"/>
      <c r="K440" s="9"/>
      <c r="L440" s="115"/>
      <c r="M440" s="115"/>
      <c r="N440" s="115"/>
      <c r="O440" s="115"/>
      <c r="P440" s="9"/>
      <c r="Q440" s="9"/>
      <c r="R440" s="9"/>
      <c r="S440" s="9"/>
      <c r="T440" s="9"/>
      <c r="U440" s="9"/>
      <c r="V440" s="9"/>
      <c r="W440" s="10"/>
      <c r="X440" s="10"/>
      <c r="Y440" s="10"/>
      <c r="Z440" s="10"/>
    </row>
    <row r="441">
      <c r="A441" s="9"/>
      <c r="B441" s="9"/>
      <c r="C441" s="9"/>
      <c r="D441" s="9"/>
      <c r="E441" s="9"/>
      <c r="F441" s="9"/>
      <c r="G441" s="9"/>
      <c r="H441" s="9"/>
      <c r="I441" s="9"/>
      <c r="J441" s="9"/>
      <c r="K441" s="9"/>
      <c r="L441" s="115"/>
      <c r="M441" s="115"/>
      <c r="N441" s="115"/>
      <c r="O441" s="115"/>
      <c r="P441" s="9"/>
      <c r="Q441" s="9"/>
      <c r="R441" s="9"/>
      <c r="S441" s="9"/>
      <c r="T441" s="9"/>
      <c r="U441" s="9"/>
      <c r="V441" s="9"/>
      <c r="W441" s="10"/>
      <c r="X441" s="10"/>
      <c r="Y441" s="10"/>
      <c r="Z441" s="10"/>
    </row>
    <row r="442">
      <c r="A442" s="9"/>
      <c r="B442" s="9"/>
      <c r="C442" s="9"/>
      <c r="D442" s="9"/>
      <c r="E442" s="9"/>
      <c r="F442" s="9"/>
      <c r="G442" s="9"/>
      <c r="H442" s="9"/>
      <c r="I442" s="9"/>
      <c r="J442" s="9"/>
      <c r="K442" s="9"/>
      <c r="L442" s="115"/>
      <c r="M442" s="115"/>
      <c r="N442" s="115"/>
      <c r="O442" s="115"/>
      <c r="P442" s="9"/>
      <c r="Q442" s="9"/>
      <c r="R442" s="9"/>
      <c r="S442" s="9"/>
      <c r="T442" s="9"/>
      <c r="U442" s="9"/>
      <c r="V442" s="9"/>
      <c r="W442" s="10"/>
      <c r="X442" s="10"/>
      <c r="Y442" s="10"/>
      <c r="Z442" s="10"/>
    </row>
    <row r="443">
      <c r="A443" s="9"/>
      <c r="B443" s="9"/>
      <c r="C443" s="9"/>
      <c r="D443" s="9"/>
      <c r="E443" s="9"/>
      <c r="F443" s="9"/>
      <c r="G443" s="9"/>
      <c r="H443" s="9"/>
      <c r="I443" s="9"/>
      <c r="J443" s="9"/>
      <c r="K443" s="9"/>
      <c r="L443" s="115"/>
      <c r="M443" s="115"/>
      <c r="N443" s="115"/>
      <c r="O443" s="115"/>
      <c r="P443" s="9"/>
      <c r="Q443" s="9"/>
      <c r="R443" s="9"/>
      <c r="S443" s="9"/>
      <c r="T443" s="9"/>
      <c r="U443" s="9"/>
      <c r="V443" s="9"/>
      <c r="W443" s="10"/>
      <c r="X443" s="10"/>
      <c r="Y443" s="10"/>
      <c r="Z443" s="10"/>
    </row>
    <row r="444">
      <c r="A444" s="9"/>
      <c r="B444" s="9"/>
      <c r="C444" s="9"/>
      <c r="D444" s="9"/>
      <c r="E444" s="9"/>
      <c r="F444" s="9"/>
      <c r="G444" s="9"/>
      <c r="H444" s="9"/>
      <c r="I444" s="9"/>
      <c r="J444" s="9"/>
      <c r="K444" s="9"/>
      <c r="L444" s="115"/>
      <c r="M444" s="115"/>
      <c r="N444" s="115"/>
      <c r="O444" s="115"/>
      <c r="P444" s="9"/>
      <c r="Q444" s="9"/>
      <c r="R444" s="9"/>
      <c r="S444" s="9"/>
      <c r="T444" s="9"/>
      <c r="U444" s="9"/>
      <c r="V444" s="9"/>
      <c r="W444" s="10"/>
      <c r="X444" s="10"/>
      <c r="Y444" s="10"/>
      <c r="Z444" s="10"/>
    </row>
    <row r="445">
      <c r="A445" s="9"/>
      <c r="B445" s="9"/>
      <c r="C445" s="9"/>
      <c r="D445" s="9"/>
      <c r="E445" s="9"/>
      <c r="F445" s="9"/>
      <c r="G445" s="9"/>
      <c r="H445" s="9"/>
      <c r="I445" s="9"/>
      <c r="J445" s="9"/>
      <c r="K445" s="9"/>
      <c r="L445" s="115"/>
      <c r="M445" s="115"/>
      <c r="N445" s="115"/>
      <c r="O445" s="115"/>
      <c r="P445" s="9"/>
      <c r="Q445" s="9"/>
      <c r="R445" s="9"/>
      <c r="S445" s="9"/>
      <c r="T445" s="9"/>
      <c r="U445" s="9"/>
      <c r="V445" s="9"/>
      <c r="W445" s="10"/>
      <c r="X445" s="10"/>
      <c r="Y445" s="10"/>
      <c r="Z445" s="10"/>
    </row>
    <row r="446">
      <c r="A446" s="9"/>
      <c r="B446" s="9"/>
      <c r="C446" s="9"/>
      <c r="D446" s="9"/>
      <c r="E446" s="9"/>
      <c r="F446" s="9"/>
      <c r="G446" s="9"/>
      <c r="H446" s="9"/>
      <c r="I446" s="9"/>
      <c r="J446" s="9"/>
      <c r="K446" s="9"/>
      <c r="L446" s="115"/>
      <c r="M446" s="115"/>
      <c r="N446" s="115"/>
      <c r="O446" s="115"/>
      <c r="P446" s="9"/>
      <c r="Q446" s="9"/>
      <c r="R446" s="9"/>
      <c r="S446" s="9"/>
      <c r="T446" s="9"/>
      <c r="U446" s="9"/>
      <c r="V446" s="9"/>
      <c r="W446" s="10"/>
      <c r="X446" s="10"/>
      <c r="Y446" s="10"/>
      <c r="Z446" s="10"/>
    </row>
    <row r="447">
      <c r="A447" s="9"/>
      <c r="B447" s="9"/>
      <c r="C447" s="9"/>
      <c r="D447" s="9"/>
      <c r="E447" s="9"/>
      <c r="F447" s="9"/>
      <c r="G447" s="9"/>
      <c r="H447" s="9"/>
      <c r="I447" s="9"/>
      <c r="J447" s="9"/>
      <c r="K447" s="9"/>
      <c r="L447" s="115"/>
      <c r="M447" s="115"/>
      <c r="N447" s="115"/>
      <c r="O447" s="115"/>
      <c r="P447" s="9"/>
      <c r="Q447" s="9"/>
      <c r="R447" s="9"/>
      <c r="S447" s="9"/>
      <c r="T447" s="9"/>
      <c r="U447" s="9"/>
      <c r="V447" s="9"/>
      <c r="W447" s="10"/>
      <c r="X447" s="10"/>
      <c r="Y447" s="10"/>
      <c r="Z447" s="10"/>
    </row>
    <row r="448">
      <c r="A448" s="9"/>
      <c r="B448" s="9"/>
      <c r="C448" s="9"/>
      <c r="D448" s="9"/>
      <c r="E448" s="9"/>
      <c r="F448" s="9"/>
      <c r="G448" s="9"/>
      <c r="H448" s="9"/>
      <c r="I448" s="9"/>
      <c r="J448" s="9"/>
      <c r="K448" s="9"/>
      <c r="L448" s="115"/>
      <c r="M448" s="115"/>
      <c r="N448" s="115"/>
      <c r="O448" s="115"/>
      <c r="P448" s="9"/>
      <c r="Q448" s="9"/>
      <c r="R448" s="9"/>
      <c r="S448" s="9"/>
      <c r="T448" s="9"/>
      <c r="U448" s="9"/>
      <c r="V448" s="9"/>
      <c r="W448" s="10"/>
      <c r="X448" s="10"/>
      <c r="Y448" s="10"/>
      <c r="Z448" s="10"/>
    </row>
    <row r="449">
      <c r="A449" s="9"/>
      <c r="B449" s="9"/>
      <c r="C449" s="9"/>
      <c r="D449" s="9"/>
      <c r="E449" s="9"/>
      <c r="F449" s="9"/>
      <c r="G449" s="9"/>
      <c r="H449" s="9"/>
      <c r="I449" s="9"/>
      <c r="J449" s="9"/>
      <c r="K449" s="9"/>
      <c r="L449" s="115"/>
      <c r="M449" s="115"/>
      <c r="N449" s="115"/>
      <c r="O449" s="115"/>
      <c r="P449" s="9"/>
      <c r="Q449" s="9"/>
      <c r="R449" s="9"/>
      <c r="S449" s="9"/>
      <c r="T449" s="9"/>
      <c r="U449" s="9"/>
      <c r="V449" s="9"/>
      <c r="W449" s="10"/>
      <c r="X449" s="10"/>
      <c r="Y449" s="10"/>
      <c r="Z449" s="10"/>
    </row>
    <row r="450">
      <c r="A450" s="9"/>
      <c r="B450" s="9"/>
      <c r="C450" s="9"/>
      <c r="D450" s="9"/>
      <c r="E450" s="9"/>
      <c r="F450" s="9"/>
      <c r="G450" s="9"/>
      <c r="H450" s="9"/>
      <c r="I450" s="9"/>
      <c r="J450" s="9"/>
      <c r="K450" s="9"/>
      <c r="L450" s="115"/>
      <c r="M450" s="115"/>
      <c r="N450" s="115"/>
      <c r="O450" s="115"/>
      <c r="P450" s="9"/>
      <c r="Q450" s="9"/>
      <c r="R450" s="9"/>
      <c r="S450" s="9"/>
      <c r="T450" s="9"/>
      <c r="U450" s="9"/>
      <c r="V450" s="9"/>
      <c r="W450" s="10"/>
      <c r="X450" s="10"/>
      <c r="Y450" s="10"/>
      <c r="Z450" s="10"/>
    </row>
    <row r="451">
      <c r="A451" s="9"/>
      <c r="B451" s="9"/>
      <c r="C451" s="9"/>
      <c r="D451" s="9"/>
      <c r="E451" s="9"/>
      <c r="F451" s="9"/>
      <c r="G451" s="9"/>
      <c r="H451" s="9"/>
      <c r="I451" s="9"/>
      <c r="J451" s="9"/>
      <c r="K451" s="9"/>
      <c r="L451" s="115"/>
      <c r="M451" s="115"/>
      <c r="N451" s="115"/>
      <c r="O451" s="115"/>
      <c r="P451" s="9"/>
      <c r="Q451" s="9"/>
      <c r="R451" s="9"/>
      <c r="S451" s="9"/>
      <c r="T451" s="9"/>
      <c r="U451" s="9"/>
      <c r="V451" s="9"/>
      <c r="W451" s="10"/>
      <c r="X451" s="10"/>
      <c r="Y451" s="10"/>
      <c r="Z451" s="10"/>
    </row>
    <row r="452">
      <c r="A452" s="9"/>
      <c r="B452" s="9"/>
      <c r="C452" s="9"/>
      <c r="D452" s="9"/>
      <c r="E452" s="9"/>
      <c r="F452" s="9"/>
      <c r="G452" s="9"/>
      <c r="H452" s="9"/>
      <c r="I452" s="9"/>
      <c r="J452" s="9"/>
      <c r="K452" s="9"/>
      <c r="L452" s="115"/>
      <c r="M452" s="115"/>
      <c r="N452" s="115"/>
      <c r="O452" s="115"/>
      <c r="P452" s="9"/>
      <c r="Q452" s="9"/>
      <c r="R452" s="9"/>
      <c r="S452" s="9"/>
      <c r="T452" s="9"/>
      <c r="U452" s="9"/>
      <c r="V452" s="9"/>
      <c r="W452" s="10"/>
      <c r="X452" s="10"/>
      <c r="Y452" s="10"/>
      <c r="Z452" s="10"/>
    </row>
    <row r="453">
      <c r="A453" s="9"/>
      <c r="B453" s="9"/>
      <c r="C453" s="9"/>
      <c r="D453" s="9"/>
      <c r="E453" s="9"/>
      <c r="F453" s="9"/>
      <c r="G453" s="9"/>
      <c r="H453" s="9"/>
      <c r="I453" s="9"/>
      <c r="J453" s="9"/>
      <c r="K453" s="9"/>
      <c r="L453" s="115"/>
      <c r="M453" s="115"/>
      <c r="N453" s="115"/>
      <c r="O453" s="115"/>
      <c r="P453" s="9"/>
      <c r="Q453" s="9"/>
      <c r="R453" s="9"/>
      <c r="S453" s="9"/>
      <c r="T453" s="9"/>
      <c r="U453" s="9"/>
      <c r="V453" s="9"/>
      <c r="W453" s="10"/>
      <c r="X453" s="10"/>
      <c r="Y453" s="10"/>
      <c r="Z453" s="10"/>
    </row>
    <row r="454">
      <c r="A454" s="9"/>
      <c r="B454" s="9"/>
      <c r="C454" s="9"/>
      <c r="D454" s="9"/>
      <c r="E454" s="9"/>
      <c r="F454" s="9"/>
      <c r="G454" s="9"/>
      <c r="H454" s="9"/>
      <c r="I454" s="9"/>
      <c r="J454" s="9"/>
      <c r="K454" s="9"/>
      <c r="L454" s="115"/>
      <c r="M454" s="115"/>
      <c r="N454" s="115"/>
      <c r="O454" s="115"/>
      <c r="P454" s="9"/>
      <c r="Q454" s="9"/>
      <c r="R454" s="9"/>
      <c r="S454" s="9"/>
      <c r="T454" s="9"/>
      <c r="U454" s="9"/>
      <c r="V454" s="9"/>
      <c r="W454" s="10"/>
      <c r="X454" s="10"/>
      <c r="Y454" s="10"/>
      <c r="Z454" s="10"/>
    </row>
    <row r="455">
      <c r="A455" s="9"/>
      <c r="B455" s="9"/>
      <c r="C455" s="9"/>
      <c r="D455" s="9"/>
      <c r="E455" s="9"/>
      <c r="F455" s="9"/>
      <c r="G455" s="9"/>
      <c r="H455" s="9"/>
      <c r="I455" s="9"/>
      <c r="J455" s="9"/>
      <c r="K455" s="9"/>
      <c r="L455" s="115"/>
      <c r="M455" s="115"/>
      <c r="N455" s="115"/>
      <c r="O455" s="115"/>
      <c r="P455" s="9"/>
      <c r="Q455" s="9"/>
      <c r="R455" s="9"/>
      <c r="S455" s="9"/>
      <c r="T455" s="9"/>
      <c r="U455" s="9"/>
      <c r="V455" s="9"/>
      <c r="W455" s="10"/>
      <c r="X455" s="10"/>
      <c r="Y455" s="10"/>
      <c r="Z455" s="10"/>
    </row>
    <row r="456">
      <c r="A456" s="9"/>
      <c r="B456" s="9"/>
      <c r="C456" s="9"/>
      <c r="D456" s="9"/>
      <c r="E456" s="9"/>
      <c r="F456" s="9"/>
      <c r="G456" s="9"/>
      <c r="H456" s="9"/>
      <c r="I456" s="9"/>
      <c r="J456" s="9"/>
      <c r="K456" s="9"/>
      <c r="L456" s="115"/>
      <c r="M456" s="115"/>
      <c r="N456" s="115"/>
      <c r="O456" s="115"/>
      <c r="P456" s="9"/>
      <c r="Q456" s="9"/>
      <c r="R456" s="9"/>
      <c r="S456" s="9"/>
      <c r="T456" s="9"/>
      <c r="U456" s="9"/>
      <c r="V456" s="9"/>
      <c r="W456" s="10"/>
      <c r="X456" s="10"/>
      <c r="Y456" s="10"/>
      <c r="Z456" s="10"/>
    </row>
    <row r="457">
      <c r="A457" s="9"/>
      <c r="B457" s="9"/>
      <c r="C457" s="9"/>
      <c r="D457" s="9"/>
      <c r="E457" s="9"/>
      <c r="F457" s="9"/>
      <c r="G457" s="9"/>
      <c r="H457" s="9"/>
      <c r="I457" s="9"/>
      <c r="J457" s="9"/>
      <c r="K457" s="9"/>
      <c r="L457" s="115"/>
      <c r="M457" s="115"/>
      <c r="N457" s="115"/>
      <c r="O457" s="115"/>
      <c r="P457" s="9"/>
      <c r="Q457" s="9"/>
      <c r="R457" s="9"/>
      <c r="S457" s="9"/>
      <c r="T457" s="9"/>
      <c r="U457" s="9"/>
      <c r="V457" s="9"/>
      <c r="W457" s="10"/>
      <c r="X457" s="10"/>
      <c r="Y457" s="10"/>
      <c r="Z457" s="10"/>
    </row>
    <row r="458">
      <c r="A458" s="9"/>
      <c r="B458" s="9"/>
      <c r="C458" s="9"/>
      <c r="D458" s="9"/>
      <c r="E458" s="9"/>
      <c r="F458" s="9"/>
      <c r="G458" s="9"/>
      <c r="H458" s="9"/>
      <c r="I458" s="9"/>
      <c r="J458" s="9"/>
      <c r="K458" s="9"/>
      <c r="L458" s="115"/>
      <c r="M458" s="115"/>
      <c r="N458" s="115"/>
      <c r="O458" s="115"/>
      <c r="P458" s="9"/>
      <c r="Q458" s="9"/>
      <c r="R458" s="9"/>
      <c r="S458" s="9"/>
      <c r="T458" s="9"/>
      <c r="U458" s="9"/>
      <c r="V458" s="9"/>
      <c r="W458" s="10"/>
      <c r="X458" s="10"/>
      <c r="Y458" s="10"/>
      <c r="Z458" s="10"/>
    </row>
    <row r="459">
      <c r="A459" s="9"/>
      <c r="B459" s="9"/>
      <c r="C459" s="9"/>
      <c r="D459" s="9"/>
      <c r="E459" s="9"/>
      <c r="F459" s="9"/>
      <c r="G459" s="9"/>
      <c r="H459" s="9"/>
      <c r="I459" s="9"/>
      <c r="J459" s="9"/>
      <c r="K459" s="9"/>
      <c r="L459" s="115"/>
      <c r="M459" s="115"/>
      <c r="N459" s="115"/>
      <c r="O459" s="115"/>
      <c r="P459" s="9"/>
      <c r="Q459" s="9"/>
      <c r="R459" s="9"/>
      <c r="S459" s="9"/>
      <c r="T459" s="9"/>
      <c r="U459" s="9"/>
      <c r="V459" s="9"/>
      <c r="W459" s="10"/>
      <c r="X459" s="10"/>
      <c r="Y459" s="10"/>
      <c r="Z459" s="10"/>
    </row>
    <row r="460">
      <c r="A460" s="9"/>
      <c r="B460" s="9"/>
      <c r="C460" s="9"/>
      <c r="D460" s="9"/>
      <c r="E460" s="9"/>
      <c r="F460" s="9"/>
      <c r="G460" s="9"/>
      <c r="H460" s="9"/>
      <c r="I460" s="9"/>
      <c r="J460" s="9"/>
      <c r="K460" s="9"/>
      <c r="L460" s="115"/>
      <c r="M460" s="115"/>
      <c r="N460" s="115"/>
      <c r="O460" s="115"/>
      <c r="P460" s="9"/>
      <c r="Q460" s="9"/>
      <c r="R460" s="9"/>
      <c r="S460" s="9"/>
      <c r="T460" s="9"/>
      <c r="U460" s="9"/>
      <c r="V460" s="9"/>
      <c r="W460" s="10"/>
      <c r="X460" s="10"/>
      <c r="Y460" s="10"/>
      <c r="Z460" s="10"/>
    </row>
    <row r="461">
      <c r="A461" s="9"/>
      <c r="B461" s="9"/>
      <c r="C461" s="9"/>
      <c r="D461" s="9"/>
      <c r="E461" s="9"/>
      <c r="F461" s="9"/>
      <c r="G461" s="9"/>
      <c r="H461" s="9"/>
      <c r="I461" s="9"/>
      <c r="J461" s="9"/>
      <c r="K461" s="9"/>
      <c r="L461" s="115"/>
      <c r="M461" s="115"/>
      <c r="N461" s="115"/>
      <c r="O461" s="115"/>
      <c r="P461" s="9"/>
      <c r="Q461" s="9"/>
      <c r="R461" s="9"/>
      <c r="S461" s="9"/>
      <c r="T461" s="9"/>
      <c r="U461" s="9"/>
      <c r="V461" s="9"/>
      <c r="W461" s="10"/>
      <c r="X461" s="10"/>
      <c r="Y461" s="10"/>
      <c r="Z461" s="10"/>
    </row>
    <row r="462">
      <c r="A462" s="9"/>
      <c r="B462" s="9"/>
      <c r="C462" s="9"/>
      <c r="D462" s="9"/>
      <c r="E462" s="9"/>
      <c r="F462" s="9"/>
      <c r="G462" s="9"/>
      <c r="H462" s="9"/>
      <c r="I462" s="9"/>
      <c r="J462" s="9"/>
      <c r="K462" s="9"/>
      <c r="L462" s="115"/>
      <c r="M462" s="115"/>
      <c r="N462" s="115"/>
      <c r="O462" s="115"/>
      <c r="P462" s="9"/>
      <c r="Q462" s="9"/>
      <c r="R462" s="9"/>
      <c r="S462" s="9"/>
      <c r="T462" s="9"/>
      <c r="U462" s="9"/>
      <c r="V462" s="9"/>
      <c r="W462" s="10"/>
      <c r="X462" s="10"/>
      <c r="Y462" s="10"/>
      <c r="Z462" s="10"/>
    </row>
    <row r="463">
      <c r="A463" s="9"/>
      <c r="B463" s="9"/>
      <c r="C463" s="9"/>
      <c r="D463" s="9"/>
      <c r="E463" s="9"/>
      <c r="F463" s="9"/>
      <c r="G463" s="9"/>
      <c r="H463" s="9"/>
      <c r="I463" s="9"/>
      <c r="J463" s="9"/>
      <c r="K463" s="9"/>
      <c r="L463" s="115"/>
      <c r="M463" s="115"/>
      <c r="N463" s="115"/>
      <c r="O463" s="115"/>
      <c r="P463" s="9"/>
      <c r="Q463" s="9"/>
      <c r="R463" s="9"/>
      <c r="S463" s="9"/>
      <c r="T463" s="9"/>
      <c r="U463" s="9"/>
      <c r="V463" s="9"/>
      <c r="W463" s="10"/>
      <c r="X463" s="10"/>
      <c r="Y463" s="10"/>
      <c r="Z463" s="10"/>
    </row>
    <row r="464">
      <c r="A464" s="9"/>
      <c r="B464" s="9"/>
      <c r="C464" s="9"/>
      <c r="D464" s="9"/>
      <c r="E464" s="9"/>
      <c r="F464" s="9"/>
      <c r="G464" s="9"/>
      <c r="H464" s="9"/>
      <c r="I464" s="9"/>
      <c r="J464" s="9"/>
      <c r="K464" s="9"/>
      <c r="L464" s="115"/>
      <c r="M464" s="115"/>
      <c r="N464" s="115"/>
      <c r="O464" s="115"/>
      <c r="P464" s="9"/>
      <c r="Q464" s="9"/>
      <c r="R464" s="9"/>
      <c r="S464" s="9"/>
      <c r="T464" s="9"/>
      <c r="U464" s="9"/>
      <c r="V464" s="9"/>
      <c r="W464" s="10"/>
      <c r="X464" s="10"/>
      <c r="Y464" s="10"/>
      <c r="Z464" s="10"/>
    </row>
    <row r="465">
      <c r="A465" s="9"/>
      <c r="B465" s="9"/>
      <c r="C465" s="9"/>
      <c r="D465" s="9"/>
      <c r="E465" s="9"/>
      <c r="F465" s="9"/>
      <c r="G465" s="9"/>
      <c r="H465" s="9"/>
      <c r="I465" s="9"/>
      <c r="J465" s="9"/>
      <c r="K465" s="9"/>
      <c r="L465" s="115"/>
      <c r="M465" s="115"/>
      <c r="N465" s="115"/>
      <c r="O465" s="115"/>
      <c r="P465" s="9"/>
      <c r="Q465" s="9"/>
      <c r="R465" s="9"/>
      <c r="S465" s="9"/>
      <c r="T465" s="9"/>
      <c r="U465" s="9"/>
      <c r="V465" s="9"/>
      <c r="W465" s="10"/>
      <c r="X465" s="10"/>
      <c r="Y465" s="10"/>
      <c r="Z465" s="10"/>
    </row>
    <row r="466">
      <c r="A466" s="9"/>
      <c r="B466" s="9"/>
      <c r="C466" s="9"/>
      <c r="D466" s="9"/>
      <c r="E466" s="9"/>
      <c r="F466" s="9"/>
      <c r="G466" s="9"/>
      <c r="H466" s="9"/>
      <c r="I466" s="9"/>
      <c r="J466" s="9"/>
      <c r="K466" s="9"/>
      <c r="L466" s="115"/>
      <c r="M466" s="115"/>
      <c r="N466" s="115"/>
      <c r="O466" s="115"/>
      <c r="P466" s="9"/>
      <c r="Q466" s="9"/>
      <c r="R466" s="9"/>
      <c r="S466" s="9"/>
      <c r="T466" s="9"/>
      <c r="U466" s="9"/>
      <c r="V466" s="9"/>
      <c r="W466" s="10"/>
      <c r="X466" s="10"/>
      <c r="Y466" s="10"/>
      <c r="Z466" s="10"/>
    </row>
    <row r="467">
      <c r="A467" s="9"/>
      <c r="B467" s="9"/>
      <c r="C467" s="9"/>
      <c r="D467" s="9"/>
      <c r="E467" s="9"/>
      <c r="F467" s="9"/>
      <c r="G467" s="9"/>
      <c r="H467" s="9"/>
      <c r="I467" s="9"/>
      <c r="J467" s="9"/>
      <c r="K467" s="9"/>
      <c r="L467" s="115"/>
      <c r="M467" s="115"/>
      <c r="N467" s="115"/>
      <c r="O467" s="115"/>
      <c r="P467" s="9"/>
      <c r="Q467" s="9"/>
      <c r="R467" s="9"/>
      <c r="S467" s="9"/>
      <c r="T467" s="9"/>
      <c r="U467" s="9"/>
      <c r="V467" s="9"/>
      <c r="W467" s="10"/>
      <c r="X467" s="10"/>
      <c r="Y467" s="10"/>
      <c r="Z467" s="10"/>
    </row>
    <row r="468">
      <c r="A468" s="9"/>
      <c r="B468" s="9"/>
      <c r="C468" s="9"/>
      <c r="D468" s="9"/>
      <c r="E468" s="9"/>
      <c r="F468" s="9"/>
      <c r="G468" s="9"/>
      <c r="H468" s="9"/>
      <c r="I468" s="9"/>
      <c r="J468" s="9"/>
      <c r="K468" s="9"/>
      <c r="L468" s="115"/>
      <c r="M468" s="115"/>
      <c r="N468" s="115"/>
      <c r="O468" s="115"/>
      <c r="P468" s="9"/>
      <c r="Q468" s="9"/>
      <c r="R468" s="9"/>
      <c r="S468" s="9"/>
      <c r="T468" s="9"/>
      <c r="U468" s="9"/>
      <c r="V468" s="9"/>
      <c r="W468" s="10"/>
      <c r="X468" s="10"/>
      <c r="Y468" s="10"/>
      <c r="Z468" s="10"/>
    </row>
    <row r="469">
      <c r="A469" s="9"/>
      <c r="B469" s="9"/>
      <c r="C469" s="9"/>
      <c r="D469" s="9"/>
      <c r="E469" s="9"/>
      <c r="F469" s="9"/>
      <c r="G469" s="9"/>
      <c r="H469" s="9"/>
      <c r="I469" s="9"/>
      <c r="J469" s="9"/>
      <c r="K469" s="9"/>
      <c r="L469" s="115"/>
      <c r="M469" s="115"/>
      <c r="N469" s="115"/>
      <c r="O469" s="115"/>
      <c r="P469" s="9"/>
      <c r="Q469" s="9"/>
      <c r="R469" s="9"/>
      <c r="S469" s="9"/>
      <c r="T469" s="9"/>
      <c r="U469" s="9"/>
      <c r="V469" s="9"/>
      <c r="W469" s="10"/>
      <c r="X469" s="10"/>
      <c r="Y469" s="10"/>
      <c r="Z469" s="10"/>
    </row>
    <row r="470">
      <c r="A470" s="9"/>
      <c r="B470" s="9"/>
      <c r="C470" s="9"/>
      <c r="D470" s="9"/>
      <c r="E470" s="9"/>
      <c r="F470" s="9"/>
      <c r="G470" s="9"/>
      <c r="H470" s="9"/>
      <c r="I470" s="9"/>
      <c r="J470" s="9"/>
      <c r="K470" s="9"/>
      <c r="L470" s="115"/>
      <c r="M470" s="115"/>
      <c r="N470" s="115"/>
      <c r="O470" s="115"/>
      <c r="P470" s="9"/>
      <c r="Q470" s="9"/>
      <c r="R470" s="9"/>
      <c r="S470" s="9"/>
      <c r="T470" s="9"/>
      <c r="U470" s="9"/>
      <c r="V470" s="9"/>
      <c r="W470" s="10"/>
      <c r="X470" s="10"/>
      <c r="Y470" s="10"/>
      <c r="Z470" s="10"/>
    </row>
    <row r="471">
      <c r="A471" s="9"/>
      <c r="B471" s="9"/>
      <c r="C471" s="9"/>
      <c r="D471" s="9"/>
      <c r="E471" s="9"/>
      <c r="F471" s="9"/>
      <c r="G471" s="9"/>
      <c r="H471" s="9"/>
      <c r="I471" s="9"/>
      <c r="J471" s="9"/>
      <c r="K471" s="9"/>
      <c r="L471" s="115"/>
      <c r="M471" s="115"/>
      <c r="N471" s="115"/>
      <c r="O471" s="115"/>
      <c r="P471" s="9"/>
      <c r="Q471" s="9"/>
      <c r="R471" s="9"/>
      <c r="S471" s="9"/>
      <c r="T471" s="9"/>
      <c r="U471" s="9"/>
      <c r="V471" s="9"/>
      <c r="W471" s="10"/>
      <c r="X471" s="10"/>
      <c r="Y471" s="10"/>
      <c r="Z471" s="10"/>
    </row>
    <row r="472">
      <c r="A472" s="9"/>
      <c r="B472" s="9"/>
      <c r="C472" s="9"/>
      <c r="D472" s="9"/>
      <c r="E472" s="9"/>
      <c r="F472" s="9"/>
      <c r="G472" s="9"/>
      <c r="H472" s="9"/>
      <c r="I472" s="9"/>
      <c r="J472" s="9"/>
      <c r="K472" s="9"/>
      <c r="L472" s="115"/>
      <c r="M472" s="115"/>
      <c r="N472" s="115"/>
      <c r="O472" s="115"/>
      <c r="P472" s="9"/>
      <c r="Q472" s="9"/>
      <c r="R472" s="9"/>
      <c r="S472" s="9"/>
      <c r="T472" s="9"/>
      <c r="U472" s="9"/>
      <c r="V472" s="9"/>
      <c r="W472" s="10"/>
      <c r="X472" s="10"/>
      <c r="Y472" s="10"/>
      <c r="Z472" s="10"/>
    </row>
    <row r="473">
      <c r="A473" s="9"/>
      <c r="B473" s="9"/>
      <c r="C473" s="9"/>
      <c r="D473" s="9"/>
      <c r="E473" s="9"/>
      <c r="F473" s="9"/>
      <c r="G473" s="9"/>
      <c r="H473" s="9"/>
      <c r="I473" s="9"/>
      <c r="J473" s="9"/>
      <c r="K473" s="9"/>
      <c r="L473" s="115"/>
      <c r="M473" s="115"/>
      <c r="N473" s="115"/>
      <c r="O473" s="115"/>
      <c r="P473" s="9"/>
      <c r="Q473" s="9"/>
      <c r="R473" s="9"/>
      <c r="S473" s="9"/>
      <c r="T473" s="9"/>
      <c r="U473" s="9"/>
      <c r="V473" s="9"/>
      <c r="W473" s="10"/>
      <c r="X473" s="10"/>
      <c r="Y473" s="10"/>
      <c r="Z473" s="10"/>
    </row>
    <row r="474">
      <c r="A474" s="9"/>
      <c r="B474" s="9"/>
      <c r="C474" s="9"/>
      <c r="D474" s="9"/>
      <c r="E474" s="9"/>
      <c r="F474" s="9"/>
      <c r="G474" s="9"/>
      <c r="H474" s="9"/>
      <c r="I474" s="9"/>
      <c r="J474" s="9"/>
      <c r="K474" s="9"/>
      <c r="L474" s="115"/>
      <c r="M474" s="115"/>
      <c r="N474" s="115"/>
      <c r="O474" s="115"/>
      <c r="P474" s="9"/>
      <c r="Q474" s="9"/>
      <c r="R474" s="9"/>
      <c r="S474" s="9"/>
      <c r="T474" s="9"/>
      <c r="U474" s="9"/>
      <c r="V474" s="9"/>
      <c r="W474" s="10"/>
      <c r="X474" s="10"/>
      <c r="Y474" s="10"/>
      <c r="Z474" s="10"/>
    </row>
    <row r="475">
      <c r="A475" s="9"/>
      <c r="B475" s="9"/>
      <c r="C475" s="9"/>
      <c r="D475" s="9"/>
      <c r="E475" s="9"/>
      <c r="F475" s="9"/>
      <c r="G475" s="9"/>
      <c r="H475" s="9"/>
      <c r="I475" s="9"/>
      <c r="J475" s="9"/>
      <c r="K475" s="9"/>
      <c r="L475" s="115"/>
      <c r="M475" s="115"/>
      <c r="N475" s="115"/>
      <c r="O475" s="115"/>
      <c r="P475" s="9"/>
      <c r="Q475" s="9"/>
      <c r="R475" s="9"/>
      <c r="S475" s="9"/>
      <c r="T475" s="9"/>
      <c r="U475" s="9"/>
      <c r="V475" s="9"/>
      <c r="W475" s="10"/>
      <c r="X475" s="10"/>
      <c r="Y475" s="10"/>
      <c r="Z475" s="10"/>
    </row>
    <row r="476">
      <c r="A476" s="9"/>
      <c r="B476" s="9"/>
      <c r="C476" s="9"/>
      <c r="D476" s="9"/>
      <c r="E476" s="9"/>
      <c r="F476" s="9"/>
      <c r="G476" s="9"/>
      <c r="H476" s="9"/>
      <c r="I476" s="9"/>
      <c r="J476" s="9"/>
      <c r="K476" s="9"/>
      <c r="L476" s="115"/>
      <c r="M476" s="115"/>
      <c r="N476" s="115"/>
      <c r="O476" s="115"/>
      <c r="P476" s="9"/>
      <c r="Q476" s="9"/>
      <c r="R476" s="9"/>
      <c r="S476" s="9"/>
      <c r="T476" s="9"/>
      <c r="U476" s="9"/>
      <c r="V476" s="9"/>
      <c r="W476" s="10"/>
      <c r="X476" s="10"/>
      <c r="Y476" s="10"/>
      <c r="Z476" s="10"/>
    </row>
    <row r="477">
      <c r="A477" s="9"/>
      <c r="B477" s="9"/>
      <c r="C477" s="9"/>
      <c r="D477" s="9"/>
      <c r="E477" s="9"/>
      <c r="F477" s="9"/>
      <c r="G477" s="9"/>
      <c r="H477" s="9"/>
      <c r="I477" s="9"/>
      <c r="J477" s="9"/>
      <c r="K477" s="9"/>
      <c r="L477" s="115"/>
      <c r="M477" s="115"/>
      <c r="N477" s="115"/>
      <c r="O477" s="115"/>
      <c r="P477" s="9"/>
      <c r="Q477" s="9"/>
      <c r="R477" s="9"/>
      <c r="S477" s="9"/>
      <c r="T477" s="9"/>
      <c r="U477" s="9"/>
      <c r="V477" s="9"/>
      <c r="W477" s="10"/>
      <c r="X477" s="10"/>
      <c r="Y477" s="10"/>
      <c r="Z477" s="10"/>
    </row>
    <row r="478">
      <c r="A478" s="9"/>
      <c r="B478" s="9"/>
      <c r="C478" s="9"/>
      <c r="D478" s="9"/>
      <c r="E478" s="9"/>
      <c r="F478" s="9"/>
      <c r="G478" s="9"/>
      <c r="H478" s="9"/>
      <c r="I478" s="9"/>
      <c r="J478" s="9"/>
      <c r="K478" s="9"/>
      <c r="L478" s="115"/>
      <c r="M478" s="115"/>
      <c r="N478" s="115"/>
      <c r="O478" s="115"/>
      <c r="P478" s="9"/>
      <c r="Q478" s="9"/>
      <c r="R478" s="9"/>
      <c r="S478" s="9"/>
      <c r="T478" s="9"/>
      <c r="U478" s="9"/>
      <c r="V478" s="9"/>
      <c r="W478" s="10"/>
      <c r="X478" s="10"/>
      <c r="Y478" s="10"/>
      <c r="Z478" s="10"/>
    </row>
    <row r="479">
      <c r="A479" s="9"/>
      <c r="B479" s="9"/>
      <c r="C479" s="9"/>
      <c r="D479" s="9"/>
      <c r="E479" s="9"/>
      <c r="F479" s="9"/>
      <c r="G479" s="9"/>
      <c r="H479" s="9"/>
      <c r="I479" s="9"/>
      <c r="J479" s="9"/>
      <c r="K479" s="9"/>
      <c r="L479" s="115"/>
      <c r="M479" s="115"/>
      <c r="N479" s="115"/>
      <c r="O479" s="115"/>
      <c r="P479" s="9"/>
      <c r="Q479" s="9"/>
      <c r="R479" s="9"/>
      <c r="S479" s="9"/>
      <c r="T479" s="9"/>
      <c r="U479" s="9"/>
      <c r="V479" s="9"/>
      <c r="W479" s="10"/>
      <c r="X479" s="10"/>
      <c r="Y479" s="10"/>
      <c r="Z479" s="10"/>
    </row>
    <row r="480">
      <c r="A480" s="9"/>
      <c r="B480" s="9"/>
      <c r="C480" s="9"/>
      <c r="D480" s="9"/>
      <c r="E480" s="9"/>
      <c r="F480" s="9"/>
      <c r="G480" s="9"/>
      <c r="H480" s="9"/>
      <c r="I480" s="9"/>
      <c r="J480" s="9"/>
      <c r="K480" s="9"/>
      <c r="L480" s="115"/>
      <c r="M480" s="115"/>
      <c r="N480" s="115"/>
      <c r="O480" s="115"/>
      <c r="P480" s="9"/>
      <c r="Q480" s="9"/>
      <c r="R480" s="9"/>
      <c r="S480" s="9"/>
      <c r="T480" s="9"/>
      <c r="U480" s="9"/>
      <c r="V480" s="9"/>
      <c r="W480" s="10"/>
      <c r="X480" s="10"/>
      <c r="Y480" s="10"/>
      <c r="Z480" s="10"/>
    </row>
    <row r="481">
      <c r="A481" s="9"/>
      <c r="B481" s="9"/>
      <c r="C481" s="9"/>
      <c r="D481" s="9"/>
      <c r="E481" s="9"/>
      <c r="F481" s="9"/>
      <c r="G481" s="9"/>
      <c r="H481" s="9"/>
      <c r="I481" s="9"/>
      <c r="J481" s="9"/>
      <c r="K481" s="9"/>
      <c r="L481" s="115"/>
      <c r="M481" s="115"/>
      <c r="N481" s="115"/>
      <c r="O481" s="115"/>
      <c r="P481" s="9"/>
      <c r="Q481" s="9"/>
      <c r="R481" s="9"/>
      <c r="S481" s="9"/>
      <c r="T481" s="9"/>
      <c r="U481" s="9"/>
      <c r="V481" s="9"/>
      <c r="W481" s="10"/>
      <c r="X481" s="10"/>
      <c r="Y481" s="10"/>
      <c r="Z481" s="10"/>
    </row>
    <row r="482">
      <c r="A482" s="9"/>
      <c r="B482" s="9"/>
      <c r="C482" s="9"/>
      <c r="D482" s="9"/>
      <c r="E482" s="9"/>
      <c r="F482" s="9"/>
      <c r="G482" s="9"/>
      <c r="H482" s="9"/>
      <c r="I482" s="9"/>
      <c r="J482" s="9"/>
      <c r="K482" s="9"/>
      <c r="L482" s="115"/>
      <c r="M482" s="115"/>
      <c r="N482" s="115"/>
      <c r="O482" s="115"/>
      <c r="P482" s="9"/>
      <c r="Q482" s="9"/>
      <c r="R482" s="9"/>
      <c r="S482" s="9"/>
      <c r="T482" s="9"/>
      <c r="U482" s="9"/>
      <c r="V482" s="9"/>
      <c r="W482" s="10"/>
      <c r="X482" s="10"/>
      <c r="Y482" s="10"/>
      <c r="Z482" s="10"/>
    </row>
    <row r="483">
      <c r="A483" s="9"/>
      <c r="B483" s="9"/>
      <c r="C483" s="9"/>
      <c r="D483" s="9"/>
      <c r="E483" s="9"/>
      <c r="F483" s="9"/>
      <c r="G483" s="9"/>
      <c r="H483" s="9"/>
      <c r="I483" s="9"/>
      <c r="J483" s="9"/>
      <c r="K483" s="9"/>
      <c r="L483" s="115"/>
      <c r="M483" s="115"/>
      <c r="N483" s="115"/>
      <c r="O483" s="115"/>
      <c r="P483" s="9"/>
      <c r="Q483" s="9"/>
      <c r="R483" s="9"/>
      <c r="S483" s="9"/>
      <c r="T483" s="9"/>
      <c r="U483" s="9"/>
      <c r="V483" s="9"/>
      <c r="W483" s="10"/>
      <c r="X483" s="10"/>
      <c r="Y483" s="10"/>
      <c r="Z483" s="10"/>
    </row>
    <row r="484">
      <c r="A484" s="9"/>
      <c r="B484" s="9"/>
      <c r="C484" s="9"/>
      <c r="D484" s="9"/>
      <c r="E484" s="9"/>
      <c r="F484" s="9"/>
      <c r="G484" s="9"/>
      <c r="H484" s="9"/>
      <c r="I484" s="9"/>
      <c r="J484" s="9"/>
      <c r="K484" s="9"/>
      <c r="L484" s="115"/>
      <c r="M484" s="115"/>
      <c r="N484" s="115"/>
      <c r="O484" s="115"/>
      <c r="P484" s="9"/>
      <c r="Q484" s="9"/>
      <c r="R484" s="9"/>
      <c r="S484" s="9"/>
      <c r="T484" s="9"/>
      <c r="U484" s="9"/>
      <c r="V484" s="9"/>
      <c r="W484" s="10"/>
      <c r="X484" s="10"/>
      <c r="Y484" s="10"/>
      <c r="Z484" s="10"/>
    </row>
    <row r="485">
      <c r="A485" s="9"/>
      <c r="B485" s="9"/>
      <c r="C485" s="9"/>
      <c r="D485" s="9"/>
      <c r="E485" s="9"/>
      <c r="F485" s="9"/>
      <c r="G485" s="9"/>
      <c r="H485" s="9"/>
      <c r="I485" s="9"/>
      <c r="J485" s="9"/>
      <c r="K485" s="9"/>
      <c r="L485" s="115"/>
      <c r="M485" s="115"/>
      <c r="N485" s="115"/>
      <c r="O485" s="115"/>
      <c r="P485" s="9"/>
      <c r="Q485" s="9"/>
      <c r="R485" s="9"/>
      <c r="S485" s="9"/>
      <c r="T485" s="9"/>
      <c r="U485" s="9"/>
      <c r="V485" s="9"/>
      <c r="W485" s="10"/>
      <c r="X485" s="10"/>
      <c r="Y485" s="10"/>
      <c r="Z485" s="10"/>
    </row>
    <row r="486">
      <c r="A486" s="9"/>
      <c r="B486" s="9"/>
      <c r="C486" s="9"/>
      <c r="D486" s="9"/>
      <c r="E486" s="9"/>
      <c r="F486" s="9"/>
      <c r="G486" s="9"/>
      <c r="H486" s="9"/>
      <c r="I486" s="9"/>
      <c r="J486" s="9"/>
      <c r="K486" s="9"/>
      <c r="L486" s="115"/>
      <c r="M486" s="115"/>
      <c r="N486" s="115"/>
      <c r="O486" s="115"/>
      <c r="P486" s="9"/>
      <c r="Q486" s="9"/>
      <c r="R486" s="9"/>
      <c r="S486" s="9"/>
      <c r="T486" s="9"/>
      <c r="U486" s="9"/>
      <c r="V486" s="9"/>
      <c r="W486" s="10"/>
      <c r="X486" s="10"/>
      <c r="Y486" s="10"/>
      <c r="Z486" s="10"/>
    </row>
    <row r="487">
      <c r="A487" s="9"/>
      <c r="B487" s="9"/>
      <c r="C487" s="9"/>
      <c r="D487" s="9"/>
      <c r="E487" s="9"/>
      <c r="F487" s="9"/>
      <c r="G487" s="9"/>
      <c r="H487" s="9"/>
      <c r="I487" s="9"/>
      <c r="J487" s="9"/>
      <c r="K487" s="9"/>
      <c r="L487" s="115"/>
      <c r="M487" s="115"/>
      <c r="N487" s="115"/>
      <c r="O487" s="115"/>
      <c r="P487" s="9"/>
      <c r="Q487" s="9"/>
      <c r="R487" s="9"/>
      <c r="S487" s="9"/>
      <c r="T487" s="9"/>
      <c r="U487" s="9"/>
      <c r="V487" s="9"/>
      <c r="W487" s="10"/>
      <c r="X487" s="10"/>
      <c r="Y487" s="10"/>
      <c r="Z487" s="10"/>
    </row>
    <row r="488">
      <c r="A488" s="9"/>
      <c r="B488" s="9"/>
      <c r="C488" s="9"/>
      <c r="D488" s="9"/>
      <c r="E488" s="9"/>
      <c r="F488" s="9"/>
      <c r="G488" s="9"/>
      <c r="H488" s="9"/>
      <c r="I488" s="9"/>
      <c r="J488" s="9"/>
      <c r="K488" s="9"/>
      <c r="L488" s="115"/>
      <c r="M488" s="115"/>
      <c r="N488" s="115"/>
      <c r="O488" s="115"/>
      <c r="P488" s="9"/>
      <c r="Q488" s="9"/>
      <c r="R488" s="9"/>
      <c r="S488" s="9"/>
      <c r="T488" s="9"/>
      <c r="U488" s="9"/>
      <c r="V488" s="9"/>
      <c r="W488" s="10"/>
      <c r="X488" s="10"/>
      <c r="Y488" s="10"/>
      <c r="Z488" s="10"/>
    </row>
    <row r="489">
      <c r="A489" s="9"/>
      <c r="B489" s="9"/>
      <c r="C489" s="9"/>
      <c r="D489" s="9"/>
      <c r="E489" s="9"/>
      <c r="F489" s="9"/>
      <c r="G489" s="9"/>
      <c r="H489" s="9"/>
      <c r="I489" s="9"/>
      <c r="J489" s="9"/>
      <c r="K489" s="9"/>
      <c r="L489" s="115"/>
      <c r="M489" s="115"/>
      <c r="N489" s="115"/>
      <c r="O489" s="115"/>
      <c r="P489" s="9"/>
      <c r="Q489" s="9"/>
      <c r="R489" s="9"/>
      <c r="S489" s="9"/>
      <c r="T489" s="9"/>
      <c r="U489" s="9"/>
      <c r="V489" s="9"/>
      <c r="W489" s="10"/>
      <c r="X489" s="10"/>
      <c r="Y489" s="10"/>
      <c r="Z489" s="10"/>
    </row>
    <row r="490">
      <c r="A490" s="9"/>
      <c r="B490" s="9"/>
      <c r="C490" s="9"/>
      <c r="D490" s="9"/>
      <c r="E490" s="9"/>
      <c r="F490" s="9"/>
      <c r="G490" s="9"/>
      <c r="H490" s="9"/>
      <c r="I490" s="9"/>
      <c r="J490" s="9"/>
      <c r="K490" s="9"/>
      <c r="L490" s="115"/>
      <c r="M490" s="115"/>
      <c r="N490" s="115"/>
      <c r="O490" s="115"/>
      <c r="P490" s="9"/>
      <c r="Q490" s="9"/>
      <c r="R490" s="9"/>
      <c r="S490" s="9"/>
      <c r="T490" s="9"/>
      <c r="U490" s="9"/>
      <c r="V490" s="9"/>
      <c r="W490" s="10"/>
      <c r="X490" s="10"/>
      <c r="Y490" s="10"/>
      <c r="Z490" s="10"/>
    </row>
    <row r="491">
      <c r="A491" s="9"/>
      <c r="B491" s="9"/>
      <c r="C491" s="9"/>
      <c r="D491" s="9"/>
      <c r="E491" s="9"/>
      <c r="F491" s="9"/>
      <c r="G491" s="9"/>
      <c r="H491" s="9"/>
      <c r="I491" s="9"/>
      <c r="J491" s="9"/>
      <c r="K491" s="9"/>
      <c r="L491" s="115"/>
      <c r="M491" s="115"/>
      <c r="N491" s="115"/>
      <c r="O491" s="115"/>
      <c r="P491" s="9"/>
      <c r="Q491" s="9"/>
      <c r="R491" s="9"/>
      <c r="S491" s="9"/>
      <c r="T491" s="9"/>
      <c r="U491" s="9"/>
      <c r="V491" s="9"/>
      <c r="W491" s="10"/>
      <c r="X491" s="10"/>
      <c r="Y491" s="10"/>
      <c r="Z491" s="10"/>
    </row>
    <row r="492">
      <c r="A492" s="9"/>
      <c r="B492" s="9"/>
      <c r="C492" s="9"/>
      <c r="D492" s="9"/>
      <c r="E492" s="9"/>
      <c r="F492" s="9"/>
      <c r="G492" s="9"/>
      <c r="H492" s="9"/>
      <c r="I492" s="9"/>
      <c r="J492" s="9"/>
      <c r="K492" s="9"/>
      <c r="L492" s="115"/>
      <c r="M492" s="115"/>
      <c r="N492" s="115"/>
      <c r="O492" s="115"/>
      <c r="P492" s="9"/>
      <c r="Q492" s="9"/>
      <c r="R492" s="9"/>
      <c r="S492" s="9"/>
      <c r="T492" s="9"/>
      <c r="U492" s="9"/>
      <c r="V492" s="9"/>
      <c r="W492" s="10"/>
      <c r="X492" s="10"/>
      <c r="Y492" s="10"/>
      <c r="Z492" s="10"/>
    </row>
    <row r="493">
      <c r="A493" s="9"/>
      <c r="B493" s="9"/>
      <c r="C493" s="9"/>
      <c r="D493" s="9"/>
      <c r="E493" s="9"/>
      <c r="F493" s="9"/>
      <c r="G493" s="9"/>
      <c r="H493" s="9"/>
      <c r="I493" s="9"/>
      <c r="J493" s="9"/>
      <c r="K493" s="9"/>
      <c r="L493" s="115"/>
      <c r="M493" s="115"/>
      <c r="N493" s="115"/>
      <c r="O493" s="115"/>
      <c r="P493" s="9"/>
      <c r="Q493" s="9"/>
      <c r="R493" s="9"/>
      <c r="S493" s="9"/>
      <c r="T493" s="9"/>
      <c r="U493" s="9"/>
      <c r="V493" s="9"/>
      <c r="W493" s="10"/>
      <c r="X493" s="10"/>
      <c r="Y493" s="10"/>
      <c r="Z493" s="10"/>
    </row>
    <row r="494">
      <c r="A494" s="9"/>
      <c r="B494" s="9"/>
      <c r="C494" s="9"/>
      <c r="D494" s="9"/>
      <c r="E494" s="9"/>
      <c r="F494" s="9"/>
      <c r="G494" s="9"/>
      <c r="H494" s="9"/>
      <c r="I494" s="9"/>
      <c r="J494" s="9"/>
      <c r="K494" s="9"/>
      <c r="L494" s="115"/>
      <c r="M494" s="115"/>
      <c r="N494" s="115"/>
      <c r="O494" s="115"/>
      <c r="P494" s="9"/>
      <c r="Q494" s="9"/>
      <c r="R494" s="9"/>
      <c r="S494" s="9"/>
      <c r="T494" s="9"/>
      <c r="U494" s="9"/>
      <c r="V494" s="9"/>
      <c r="W494" s="10"/>
      <c r="X494" s="10"/>
      <c r="Y494" s="10"/>
      <c r="Z494" s="10"/>
    </row>
    <row r="495">
      <c r="A495" s="9"/>
      <c r="B495" s="9"/>
      <c r="C495" s="9"/>
      <c r="D495" s="9"/>
      <c r="E495" s="9"/>
      <c r="F495" s="9"/>
      <c r="G495" s="9"/>
      <c r="H495" s="9"/>
      <c r="I495" s="9"/>
      <c r="J495" s="9"/>
      <c r="K495" s="9"/>
      <c r="L495" s="115"/>
      <c r="M495" s="115"/>
      <c r="N495" s="115"/>
      <c r="O495" s="115"/>
      <c r="P495" s="9"/>
      <c r="Q495" s="9"/>
      <c r="R495" s="9"/>
      <c r="S495" s="9"/>
      <c r="T495" s="9"/>
      <c r="U495" s="9"/>
      <c r="V495" s="9"/>
      <c r="W495" s="10"/>
      <c r="X495" s="10"/>
      <c r="Y495" s="10"/>
      <c r="Z495" s="10"/>
    </row>
    <row r="496">
      <c r="A496" s="9"/>
      <c r="B496" s="9"/>
      <c r="C496" s="9"/>
      <c r="D496" s="9"/>
      <c r="E496" s="9"/>
      <c r="F496" s="9"/>
      <c r="G496" s="9"/>
      <c r="H496" s="9"/>
      <c r="I496" s="9"/>
      <c r="J496" s="9"/>
      <c r="K496" s="9"/>
      <c r="L496" s="115"/>
      <c r="M496" s="115"/>
      <c r="N496" s="115"/>
      <c r="O496" s="115"/>
      <c r="P496" s="9"/>
      <c r="Q496" s="9"/>
      <c r="R496" s="9"/>
      <c r="S496" s="9"/>
      <c r="T496" s="9"/>
      <c r="U496" s="9"/>
      <c r="V496" s="9"/>
      <c r="W496" s="10"/>
      <c r="X496" s="10"/>
      <c r="Y496" s="10"/>
      <c r="Z496" s="10"/>
    </row>
    <row r="497">
      <c r="A497" s="9"/>
      <c r="B497" s="9"/>
      <c r="C497" s="9"/>
      <c r="D497" s="9"/>
      <c r="E497" s="9"/>
      <c r="F497" s="9"/>
      <c r="G497" s="9"/>
      <c r="H497" s="9"/>
      <c r="I497" s="9"/>
      <c r="J497" s="9"/>
      <c r="K497" s="9"/>
      <c r="L497" s="115"/>
      <c r="M497" s="115"/>
      <c r="N497" s="115"/>
      <c r="O497" s="115"/>
      <c r="P497" s="9"/>
      <c r="Q497" s="9"/>
      <c r="R497" s="9"/>
      <c r="S497" s="9"/>
      <c r="T497" s="9"/>
      <c r="U497" s="9"/>
      <c r="V497" s="9"/>
      <c r="W497" s="10"/>
      <c r="X497" s="10"/>
      <c r="Y497" s="10"/>
      <c r="Z497" s="10"/>
    </row>
    <row r="498">
      <c r="A498" s="9"/>
      <c r="B498" s="9"/>
      <c r="C498" s="9"/>
      <c r="D498" s="9"/>
      <c r="E498" s="9"/>
      <c r="F498" s="9"/>
      <c r="G498" s="9"/>
      <c r="H498" s="9"/>
      <c r="I498" s="9"/>
      <c r="J498" s="9"/>
      <c r="K498" s="9"/>
      <c r="L498" s="115"/>
      <c r="M498" s="115"/>
      <c r="N498" s="115"/>
      <c r="O498" s="115"/>
      <c r="P498" s="9"/>
      <c r="Q498" s="9"/>
      <c r="R498" s="9"/>
      <c r="S498" s="9"/>
      <c r="T498" s="9"/>
      <c r="U498" s="9"/>
      <c r="V498" s="9"/>
      <c r="W498" s="10"/>
      <c r="X498" s="10"/>
      <c r="Y498" s="10"/>
      <c r="Z498" s="10"/>
    </row>
    <row r="499">
      <c r="A499" s="9"/>
      <c r="B499" s="9"/>
      <c r="C499" s="9"/>
      <c r="D499" s="9"/>
      <c r="E499" s="9"/>
      <c r="F499" s="9"/>
      <c r="G499" s="9"/>
      <c r="H499" s="9"/>
      <c r="I499" s="9"/>
      <c r="J499" s="9"/>
      <c r="K499" s="9"/>
      <c r="L499" s="115"/>
      <c r="M499" s="115"/>
      <c r="N499" s="115"/>
      <c r="O499" s="115"/>
      <c r="P499" s="9"/>
      <c r="Q499" s="9"/>
      <c r="R499" s="9"/>
      <c r="S499" s="9"/>
      <c r="T499" s="9"/>
      <c r="U499" s="9"/>
      <c r="V499" s="9"/>
      <c r="W499" s="10"/>
      <c r="X499" s="10"/>
      <c r="Y499" s="10"/>
      <c r="Z499" s="10"/>
    </row>
    <row r="500">
      <c r="A500" s="9"/>
      <c r="B500" s="9"/>
      <c r="C500" s="9"/>
      <c r="D500" s="9"/>
      <c r="E500" s="9"/>
      <c r="F500" s="9"/>
      <c r="G500" s="9"/>
      <c r="H500" s="9"/>
      <c r="I500" s="9"/>
      <c r="J500" s="9"/>
      <c r="K500" s="9"/>
      <c r="L500" s="115"/>
      <c r="M500" s="115"/>
      <c r="N500" s="115"/>
      <c r="O500" s="115"/>
      <c r="P500" s="9"/>
      <c r="Q500" s="9"/>
      <c r="R500" s="9"/>
      <c r="S500" s="9"/>
      <c r="T500" s="9"/>
      <c r="U500" s="9"/>
      <c r="V500" s="9"/>
      <c r="W500" s="10"/>
      <c r="X500" s="10"/>
      <c r="Y500" s="10"/>
      <c r="Z500" s="10"/>
    </row>
    <row r="501">
      <c r="A501" s="9"/>
      <c r="B501" s="9"/>
      <c r="C501" s="9"/>
      <c r="D501" s="9"/>
      <c r="E501" s="9"/>
      <c r="F501" s="9"/>
      <c r="G501" s="9"/>
      <c r="H501" s="9"/>
      <c r="I501" s="9"/>
      <c r="J501" s="9"/>
      <c r="K501" s="9"/>
      <c r="L501" s="115"/>
      <c r="M501" s="115"/>
      <c r="N501" s="115"/>
      <c r="O501" s="115"/>
      <c r="P501" s="9"/>
      <c r="Q501" s="9"/>
      <c r="R501" s="9"/>
      <c r="S501" s="9"/>
      <c r="T501" s="9"/>
      <c r="U501" s="9"/>
      <c r="V501" s="9"/>
      <c r="W501" s="10"/>
      <c r="X501" s="10"/>
      <c r="Y501" s="10"/>
      <c r="Z501" s="10"/>
    </row>
    <row r="502">
      <c r="A502" s="9"/>
      <c r="B502" s="9"/>
      <c r="C502" s="9"/>
      <c r="D502" s="9"/>
      <c r="E502" s="9"/>
      <c r="F502" s="9"/>
      <c r="G502" s="9"/>
      <c r="H502" s="9"/>
      <c r="I502" s="9"/>
      <c r="J502" s="9"/>
      <c r="K502" s="9"/>
      <c r="L502" s="115"/>
      <c r="M502" s="115"/>
      <c r="N502" s="115"/>
      <c r="O502" s="115"/>
      <c r="P502" s="9"/>
      <c r="Q502" s="9"/>
      <c r="R502" s="9"/>
      <c r="S502" s="9"/>
      <c r="T502" s="9"/>
      <c r="U502" s="9"/>
      <c r="V502" s="9"/>
      <c r="W502" s="10"/>
      <c r="X502" s="10"/>
      <c r="Y502" s="10"/>
      <c r="Z502" s="10"/>
    </row>
    <row r="503">
      <c r="A503" s="9"/>
      <c r="B503" s="9"/>
      <c r="C503" s="9"/>
      <c r="D503" s="9"/>
      <c r="E503" s="9"/>
      <c r="F503" s="9"/>
      <c r="G503" s="9"/>
      <c r="H503" s="9"/>
      <c r="I503" s="9"/>
      <c r="J503" s="9"/>
      <c r="K503" s="9"/>
      <c r="L503" s="115"/>
      <c r="M503" s="115"/>
      <c r="N503" s="115"/>
      <c r="O503" s="115"/>
      <c r="P503" s="9"/>
      <c r="Q503" s="9"/>
      <c r="R503" s="9"/>
      <c r="S503" s="9"/>
      <c r="T503" s="9"/>
      <c r="U503" s="9"/>
      <c r="V503" s="9"/>
      <c r="W503" s="10"/>
      <c r="X503" s="10"/>
      <c r="Y503" s="10"/>
      <c r="Z503" s="10"/>
    </row>
    <row r="504">
      <c r="A504" s="9"/>
      <c r="B504" s="9"/>
      <c r="C504" s="9"/>
      <c r="D504" s="9"/>
      <c r="E504" s="9"/>
      <c r="F504" s="9"/>
      <c r="G504" s="9"/>
      <c r="H504" s="9"/>
      <c r="I504" s="9"/>
      <c r="J504" s="9"/>
      <c r="K504" s="9"/>
      <c r="L504" s="115"/>
      <c r="M504" s="115"/>
      <c r="N504" s="115"/>
      <c r="O504" s="115"/>
      <c r="P504" s="9"/>
      <c r="Q504" s="9"/>
      <c r="R504" s="9"/>
      <c r="S504" s="9"/>
      <c r="T504" s="9"/>
      <c r="U504" s="9"/>
      <c r="V504" s="9"/>
      <c r="W504" s="10"/>
      <c r="X504" s="10"/>
      <c r="Y504" s="10"/>
      <c r="Z504" s="10"/>
    </row>
    <row r="505">
      <c r="A505" s="9"/>
      <c r="B505" s="9"/>
      <c r="C505" s="9"/>
      <c r="D505" s="9"/>
      <c r="E505" s="9"/>
      <c r="F505" s="9"/>
      <c r="G505" s="9"/>
      <c r="H505" s="9"/>
      <c r="I505" s="9"/>
      <c r="J505" s="9"/>
      <c r="K505" s="9"/>
      <c r="L505" s="115"/>
      <c r="M505" s="115"/>
      <c r="N505" s="115"/>
      <c r="O505" s="115"/>
      <c r="P505" s="9"/>
      <c r="Q505" s="9"/>
      <c r="R505" s="9"/>
      <c r="S505" s="9"/>
      <c r="T505" s="9"/>
      <c r="U505" s="9"/>
      <c r="V505" s="9"/>
      <c r="W505" s="10"/>
      <c r="X505" s="10"/>
      <c r="Y505" s="10"/>
      <c r="Z505" s="10"/>
    </row>
    <row r="506">
      <c r="A506" s="9"/>
      <c r="B506" s="9"/>
      <c r="C506" s="9"/>
      <c r="D506" s="9"/>
      <c r="E506" s="9"/>
      <c r="F506" s="9"/>
      <c r="G506" s="9"/>
      <c r="H506" s="9"/>
      <c r="I506" s="9"/>
      <c r="J506" s="9"/>
      <c r="K506" s="9"/>
      <c r="L506" s="115"/>
      <c r="M506" s="115"/>
      <c r="N506" s="115"/>
      <c r="O506" s="115"/>
      <c r="P506" s="9"/>
      <c r="Q506" s="9"/>
      <c r="R506" s="9"/>
      <c r="S506" s="9"/>
      <c r="T506" s="9"/>
      <c r="U506" s="9"/>
      <c r="V506" s="9"/>
      <c r="W506" s="10"/>
      <c r="X506" s="10"/>
      <c r="Y506" s="10"/>
      <c r="Z506" s="10"/>
    </row>
    <row r="507">
      <c r="A507" s="9"/>
      <c r="B507" s="9"/>
      <c r="C507" s="9"/>
      <c r="D507" s="9"/>
      <c r="E507" s="9"/>
      <c r="F507" s="9"/>
      <c r="G507" s="9"/>
      <c r="H507" s="9"/>
      <c r="I507" s="9"/>
      <c r="J507" s="9"/>
      <c r="K507" s="9"/>
      <c r="L507" s="115"/>
      <c r="M507" s="115"/>
      <c r="N507" s="115"/>
      <c r="O507" s="115"/>
      <c r="P507" s="9"/>
      <c r="Q507" s="9"/>
      <c r="R507" s="9"/>
      <c r="S507" s="9"/>
      <c r="T507" s="9"/>
      <c r="U507" s="9"/>
      <c r="V507" s="9"/>
      <c r="W507" s="10"/>
      <c r="X507" s="10"/>
      <c r="Y507" s="10"/>
      <c r="Z507" s="10"/>
    </row>
    <row r="508">
      <c r="A508" s="9"/>
      <c r="B508" s="9"/>
      <c r="C508" s="9"/>
      <c r="D508" s="9"/>
      <c r="E508" s="9"/>
      <c r="F508" s="9"/>
      <c r="G508" s="9"/>
      <c r="H508" s="9"/>
      <c r="I508" s="9"/>
      <c r="J508" s="9"/>
      <c r="K508" s="9"/>
      <c r="L508" s="115"/>
      <c r="M508" s="115"/>
      <c r="N508" s="115"/>
      <c r="O508" s="115"/>
      <c r="P508" s="9"/>
      <c r="Q508" s="9"/>
      <c r="R508" s="9"/>
      <c r="S508" s="9"/>
      <c r="T508" s="9"/>
      <c r="U508" s="9"/>
      <c r="V508" s="9"/>
      <c r="W508" s="10"/>
      <c r="X508" s="10"/>
      <c r="Y508" s="10"/>
      <c r="Z508" s="10"/>
    </row>
    <row r="509">
      <c r="A509" s="9"/>
      <c r="B509" s="9"/>
      <c r="C509" s="9"/>
      <c r="D509" s="9"/>
      <c r="E509" s="9"/>
      <c r="F509" s="9"/>
      <c r="G509" s="9"/>
      <c r="H509" s="9"/>
      <c r="I509" s="9"/>
      <c r="J509" s="9"/>
      <c r="K509" s="9"/>
      <c r="L509" s="115"/>
      <c r="M509" s="115"/>
      <c r="N509" s="115"/>
      <c r="O509" s="115"/>
      <c r="P509" s="9"/>
      <c r="Q509" s="9"/>
      <c r="R509" s="9"/>
      <c r="S509" s="9"/>
      <c r="T509" s="9"/>
      <c r="U509" s="9"/>
      <c r="V509" s="9"/>
      <c r="W509" s="10"/>
      <c r="X509" s="10"/>
      <c r="Y509" s="10"/>
      <c r="Z509" s="10"/>
    </row>
    <row r="510">
      <c r="A510" s="9"/>
      <c r="B510" s="9"/>
      <c r="C510" s="9"/>
      <c r="D510" s="9"/>
      <c r="E510" s="9"/>
      <c r="F510" s="9"/>
      <c r="G510" s="9"/>
      <c r="H510" s="9"/>
      <c r="I510" s="9"/>
      <c r="J510" s="9"/>
      <c r="K510" s="9"/>
      <c r="L510" s="115"/>
      <c r="M510" s="115"/>
      <c r="N510" s="115"/>
      <c r="O510" s="115"/>
      <c r="P510" s="9"/>
      <c r="Q510" s="9"/>
      <c r="R510" s="9"/>
      <c r="S510" s="9"/>
      <c r="T510" s="9"/>
      <c r="U510" s="9"/>
      <c r="V510" s="9"/>
      <c r="W510" s="10"/>
      <c r="X510" s="10"/>
      <c r="Y510" s="10"/>
      <c r="Z510" s="10"/>
    </row>
    <row r="511">
      <c r="A511" s="9"/>
      <c r="B511" s="9"/>
      <c r="C511" s="9"/>
      <c r="D511" s="9"/>
      <c r="E511" s="9"/>
      <c r="F511" s="9"/>
      <c r="G511" s="9"/>
      <c r="H511" s="9"/>
      <c r="I511" s="9"/>
      <c r="J511" s="9"/>
      <c r="K511" s="9"/>
      <c r="L511" s="115"/>
      <c r="M511" s="115"/>
      <c r="N511" s="115"/>
      <c r="O511" s="115"/>
      <c r="P511" s="9"/>
      <c r="Q511" s="9"/>
      <c r="R511" s="9"/>
      <c r="S511" s="9"/>
      <c r="T511" s="9"/>
      <c r="U511" s="9"/>
      <c r="V511" s="9"/>
      <c r="W511" s="10"/>
      <c r="X511" s="10"/>
      <c r="Y511" s="10"/>
      <c r="Z511" s="10"/>
    </row>
    <row r="512">
      <c r="A512" s="9"/>
      <c r="B512" s="9"/>
      <c r="C512" s="9"/>
      <c r="D512" s="9"/>
      <c r="E512" s="9"/>
      <c r="F512" s="9"/>
      <c r="G512" s="9"/>
      <c r="H512" s="9"/>
      <c r="I512" s="9"/>
      <c r="J512" s="9"/>
      <c r="K512" s="9"/>
      <c r="L512" s="115"/>
      <c r="M512" s="115"/>
      <c r="N512" s="115"/>
      <c r="O512" s="115"/>
      <c r="P512" s="9"/>
      <c r="Q512" s="9"/>
      <c r="R512" s="9"/>
      <c r="S512" s="9"/>
      <c r="T512" s="9"/>
      <c r="U512" s="9"/>
      <c r="V512" s="9"/>
      <c r="W512" s="10"/>
      <c r="X512" s="10"/>
      <c r="Y512" s="10"/>
      <c r="Z512" s="10"/>
    </row>
    <row r="513">
      <c r="A513" s="9"/>
      <c r="B513" s="9"/>
      <c r="C513" s="9"/>
      <c r="D513" s="9"/>
      <c r="E513" s="9"/>
      <c r="F513" s="9"/>
      <c r="G513" s="9"/>
      <c r="H513" s="9"/>
      <c r="I513" s="9"/>
      <c r="J513" s="9"/>
      <c r="K513" s="9"/>
      <c r="L513" s="115"/>
      <c r="M513" s="115"/>
      <c r="N513" s="115"/>
      <c r="O513" s="115"/>
      <c r="P513" s="9"/>
      <c r="Q513" s="9"/>
      <c r="R513" s="9"/>
      <c r="S513" s="9"/>
      <c r="T513" s="9"/>
      <c r="U513" s="9"/>
      <c r="V513" s="9"/>
      <c r="W513" s="10"/>
      <c r="X513" s="10"/>
      <c r="Y513" s="10"/>
      <c r="Z513" s="10"/>
    </row>
    <row r="514">
      <c r="A514" s="9"/>
      <c r="B514" s="9"/>
      <c r="C514" s="9"/>
      <c r="D514" s="9"/>
      <c r="E514" s="9"/>
      <c r="F514" s="9"/>
      <c r="G514" s="9"/>
      <c r="H514" s="9"/>
      <c r="I514" s="9"/>
      <c r="J514" s="9"/>
      <c r="K514" s="9"/>
      <c r="L514" s="115"/>
      <c r="M514" s="115"/>
      <c r="N514" s="115"/>
      <c r="O514" s="115"/>
      <c r="P514" s="9"/>
      <c r="Q514" s="9"/>
      <c r="R514" s="9"/>
      <c r="S514" s="9"/>
      <c r="T514" s="9"/>
      <c r="U514" s="9"/>
      <c r="V514" s="9"/>
      <c r="W514" s="10"/>
      <c r="X514" s="10"/>
      <c r="Y514" s="10"/>
      <c r="Z514" s="10"/>
    </row>
    <row r="515">
      <c r="A515" s="9"/>
      <c r="B515" s="9"/>
      <c r="C515" s="9"/>
      <c r="D515" s="9"/>
      <c r="E515" s="9"/>
      <c r="F515" s="9"/>
      <c r="G515" s="9"/>
      <c r="H515" s="9"/>
      <c r="I515" s="9"/>
      <c r="J515" s="9"/>
      <c r="K515" s="9"/>
      <c r="L515" s="115"/>
      <c r="M515" s="115"/>
      <c r="N515" s="115"/>
      <c r="O515" s="115"/>
      <c r="P515" s="9"/>
      <c r="Q515" s="9"/>
      <c r="R515" s="9"/>
      <c r="S515" s="9"/>
      <c r="T515" s="9"/>
      <c r="U515" s="9"/>
      <c r="V515" s="9"/>
      <c r="W515" s="10"/>
      <c r="X515" s="10"/>
      <c r="Y515" s="10"/>
      <c r="Z515" s="10"/>
    </row>
    <row r="516">
      <c r="A516" s="9"/>
      <c r="B516" s="9"/>
      <c r="C516" s="9"/>
      <c r="D516" s="9"/>
      <c r="E516" s="9"/>
      <c r="F516" s="9"/>
      <c r="G516" s="9"/>
      <c r="H516" s="9"/>
      <c r="I516" s="9"/>
      <c r="J516" s="9"/>
      <c r="K516" s="9"/>
      <c r="L516" s="115"/>
      <c r="M516" s="115"/>
      <c r="N516" s="115"/>
      <c r="O516" s="115"/>
      <c r="P516" s="9"/>
      <c r="Q516" s="9"/>
      <c r="R516" s="9"/>
      <c r="S516" s="9"/>
      <c r="T516" s="9"/>
      <c r="U516" s="9"/>
      <c r="V516" s="9"/>
      <c r="W516" s="10"/>
      <c r="X516" s="10"/>
      <c r="Y516" s="10"/>
      <c r="Z516" s="10"/>
    </row>
    <row r="517">
      <c r="A517" s="9"/>
      <c r="B517" s="9"/>
      <c r="C517" s="9"/>
      <c r="D517" s="9"/>
      <c r="E517" s="9"/>
      <c r="F517" s="9"/>
      <c r="G517" s="9"/>
      <c r="H517" s="9"/>
      <c r="I517" s="9"/>
      <c r="J517" s="9"/>
      <c r="K517" s="9"/>
      <c r="L517" s="115"/>
      <c r="M517" s="115"/>
      <c r="N517" s="115"/>
      <c r="O517" s="115"/>
      <c r="P517" s="9"/>
      <c r="Q517" s="9"/>
      <c r="R517" s="9"/>
      <c r="S517" s="9"/>
      <c r="T517" s="9"/>
      <c r="U517" s="9"/>
      <c r="V517" s="9"/>
      <c r="W517" s="10"/>
      <c r="X517" s="10"/>
      <c r="Y517" s="10"/>
      <c r="Z517" s="10"/>
    </row>
    <row r="518">
      <c r="A518" s="9"/>
      <c r="B518" s="9"/>
      <c r="C518" s="9"/>
      <c r="D518" s="9"/>
      <c r="E518" s="9"/>
      <c r="F518" s="9"/>
      <c r="G518" s="9"/>
      <c r="H518" s="9"/>
      <c r="I518" s="9"/>
      <c r="J518" s="9"/>
      <c r="K518" s="9"/>
      <c r="L518" s="115"/>
      <c r="M518" s="115"/>
      <c r="N518" s="115"/>
      <c r="O518" s="115"/>
      <c r="P518" s="9"/>
      <c r="Q518" s="9"/>
      <c r="R518" s="9"/>
      <c r="S518" s="9"/>
      <c r="T518" s="9"/>
      <c r="U518" s="9"/>
      <c r="V518" s="9"/>
      <c r="W518" s="10"/>
      <c r="X518" s="10"/>
      <c r="Y518" s="10"/>
      <c r="Z518" s="10"/>
    </row>
    <row r="519">
      <c r="A519" s="9"/>
      <c r="B519" s="9"/>
      <c r="C519" s="9"/>
      <c r="D519" s="9"/>
      <c r="E519" s="9"/>
      <c r="F519" s="9"/>
      <c r="G519" s="9"/>
      <c r="H519" s="9"/>
      <c r="I519" s="9"/>
      <c r="J519" s="9"/>
      <c r="K519" s="9"/>
      <c r="L519" s="115"/>
      <c r="M519" s="115"/>
      <c r="N519" s="115"/>
      <c r="O519" s="115"/>
      <c r="P519" s="9"/>
      <c r="Q519" s="9"/>
      <c r="R519" s="9"/>
      <c r="S519" s="9"/>
      <c r="T519" s="9"/>
      <c r="U519" s="9"/>
      <c r="V519" s="9"/>
      <c r="W519" s="10"/>
      <c r="X519" s="10"/>
      <c r="Y519" s="10"/>
      <c r="Z519" s="10"/>
    </row>
    <row r="520">
      <c r="A520" s="9"/>
      <c r="B520" s="9"/>
      <c r="C520" s="9"/>
      <c r="D520" s="9"/>
      <c r="E520" s="9"/>
      <c r="F520" s="9"/>
      <c r="G520" s="9"/>
      <c r="H520" s="9"/>
      <c r="I520" s="9"/>
      <c r="J520" s="9"/>
      <c r="K520" s="9"/>
      <c r="L520" s="115"/>
      <c r="M520" s="115"/>
      <c r="N520" s="115"/>
      <c r="O520" s="115"/>
      <c r="P520" s="9"/>
      <c r="Q520" s="9"/>
      <c r="R520" s="9"/>
      <c r="S520" s="9"/>
      <c r="T520" s="9"/>
      <c r="U520" s="9"/>
      <c r="V520" s="9"/>
      <c r="W520" s="10"/>
      <c r="X520" s="10"/>
      <c r="Y520" s="10"/>
      <c r="Z520" s="10"/>
    </row>
    <row r="521">
      <c r="A521" s="9"/>
      <c r="B521" s="9"/>
      <c r="C521" s="9"/>
      <c r="D521" s="9"/>
      <c r="E521" s="9"/>
      <c r="F521" s="9"/>
      <c r="G521" s="9"/>
      <c r="H521" s="9"/>
      <c r="I521" s="9"/>
      <c r="J521" s="9"/>
      <c r="K521" s="9"/>
      <c r="L521" s="115"/>
      <c r="M521" s="115"/>
      <c r="N521" s="115"/>
      <c r="O521" s="115"/>
      <c r="P521" s="9"/>
      <c r="Q521" s="9"/>
      <c r="R521" s="9"/>
      <c r="S521" s="9"/>
      <c r="T521" s="9"/>
      <c r="U521" s="9"/>
      <c r="V521" s="9"/>
      <c r="W521" s="10"/>
      <c r="X521" s="10"/>
      <c r="Y521" s="10"/>
      <c r="Z521" s="10"/>
    </row>
    <row r="522">
      <c r="A522" s="9"/>
      <c r="B522" s="9"/>
      <c r="C522" s="9"/>
      <c r="D522" s="9"/>
      <c r="E522" s="9"/>
      <c r="F522" s="9"/>
      <c r="G522" s="9"/>
      <c r="H522" s="9"/>
      <c r="I522" s="9"/>
      <c r="J522" s="9"/>
      <c r="K522" s="9"/>
      <c r="L522" s="115"/>
      <c r="M522" s="115"/>
      <c r="N522" s="115"/>
      <c r="O522" s="115"/>
      <c r="P522" s="9"/>
      <c r="Q522" s="9"/>
      <c r="R522" s="9"/>
      <c r="S522" s="9"/>
      <c r="T522" s="9"/>
      <c r="U522" s="9"/>
      <c r="V522" s="9"/>
      <c r="W522" s="10"/>
      <c r="X522" s="10"/>
      <c r="Y522" s="10"/>
      <c r="Z522" s="10"/>
    </row>
    <row r="523">
      <c r="A523" s="9"/>
      <c r="B523" s="9"/>
      <c r="C523" s="9"/>
      <c r="D523" s="9"/>
      <c r="E523" s="9"/>
      <c r="F523" s="9"/>
      <c r="G523" s="9"/>
      <c r="H523" s="9"/>
      <c r="I523" s="9"/>
      <c r="J523" s="9"/>
      <c r="K523" s="9"/>
      <c r="L523" s="115"/>
      <c r="M523" s="115"/>
      <c r="N523" s="115"/>
      <c r="O523" s="115"/>
      <c r="P523" s="9"/>
      <c r="Q523" s="9"/>
      <c r="R523" s="9"/>
      <c r="S523" s="9"/>
      <c r="T523" s="9"/>
      <c r="U523" s="9"/>
      <c r="V523" s="9"/>
      <c r="W523" s="10"/>
      <c r="X523" s="10"/>
      <c r="Y523" s="10"/>
      <c r="Z523" s="10"/>
    </row>
    <row r="524">
      <c r="A524" s="9"/>
      <c r="B524" s="9"/>
      <c r="C524" s="9"/>
      <c r="D524" s="9"/>
      <c r="E524" s="9"/>
      <c r="F524" s="9"/>
      <c r="G524" s="9"/>
      <c r="H524" s="9"/>
      <c r="I524" s="9"/>
      <c r="J524" s="9"/>
      <c r="K524" s="9"/>
      <c r="L524" s="115"/>
      <c r="M524" s="115"/>
      <c r="N524" s="115"/>
      <c r="O524" s="115"/>
      <c r="P524" s="9"/>
      <c r="Q524" s="9"/>
      <c r="R524" s="9"/>
      <c r="S524" s="9"/>
      <c r="T524" s="9"/>
      <c r="U524" s="9"/>
      <c r="V524" s="9"/>
      <c r="W524" s="10"/>
      <c r="X524" s="10"/>
      <c r="Y524" s="10"/>
      <c r="Z524" s="10"/>
    </row>
    <row r="525">
      <c r="A525" s="9"/>
      <c r="B525" s="9"/>
      <c r="C525" s="9"/>
      <c r="D525" s="9"/>
      <c r="E525" s="9"/>
      <c r="F525" s="9"/>
      <c r="G525" s="9"/>
      <c r="H525" s="9"/>
      <c r="I525" s="9"/>
      <c r="J525" s="9"/>
      <c r="K525" s="9"/>
      <c r="L525" s="115"/>
      <c r="M525" s="115"/>
      <c r="N525" s="115"/>
      <c r="O525" s="115"/>
      <c r="P525" s="9"/>
      <c r="Q525" s="9"/>
      <c r="R525" s="9"/>
      <c r="S525" s="9"/>
      <c r="T525" s="9"/>
      <c r="U525" s="9"/>
      <c r="V525" s="9"/>
      <c r="W525" s="10"/>
      <c r="X525" s="10"/>
      <c r="Y525" s="10"/>
      <c r="Z525" s="10"/>
    </row>
    <row r="526">
      <c r="A526" s="9"/>
      <c r="B526" s="9"/>
      <c r="C526" s="9"/>
      <c r="D526" s="9"/>
      <c r="E526" s="9"/>
      <c r="F526" s="9"/>
      <c r="G526" s="9"/>
      <c r="H526" s="9"/>
      <c r="I526" s="9"/>
      <c r="J526" s="9"/>
      <c r="K526" s="9"/>
      <c r="L526" s="115"/>
      <c r="M526" s="115"/>
      <c r="N526" s="115"/>
      <c r="O526" s="115"/>
      <c r="P526" s="9"/>
      <c r="Q526" s="9"/>
      <c r="R526" s="9"/>
      <c r="S526" s="9"/>
      <c r="T526" s="9"/>
      <c r="U526" s="9"/>
      <c r="V526" s="9"/>
      <c r="W526" s="10"/>
      <c r="X526" s="10"/>
      <c r="Y526" s="10"/>
      <c r="Z526" s="10"/>
    </row>
    <row r="527">
      <c r="A527" s="9"/>
      <c r="B527" s="9"/>
      <c r="C527" s="9"/>
      <c r="D527" s="9"/>
      <c r="E527" s="9"/>
      <c r="F527" s="9"/>
      <c r="G527" s="9"/>
      <c r="H527" s="9"/>
      <c r="I527" s="9"/>
      <c r="J527" s="9"/>
      <c r="K527" s="9"/>
      <c r="L527" s="115"/>
      <c r="M527" s="115"/>
      <c r="N527" s="115"/>
      <c r="O527" s="115"/>
      <c r="P527" s="9"/>
      <c r="Q527" s="9"/>
      <c r="R527" s="9"/>
      <c r="S527" s="9"/>
      <c r="T527" s="9"/>
      <c r="U527" s="9"/>
      <c r="V527" s="9"/>
      <c r="W527" s="10"/>
      <c r="X527" s="10"/>
      <c r="Y527" s="10"/>
      <c r="Z527" s="10"/>
    </row>
    <row r="528">
      <c r="A528" s="9"/>
      <c r="B528" s="9"/>
      <c r="C528" s="9"/>
      <c r="D528" s="9"/>
      <c r="E528" s="9"/>
      <c r="F528" s="9"/>
      <c r="G528" s="9"/>
      <c r="H528" s="9"/>
      <c r="I528" s="9"/>
      <c r="J528" s="9"/>
      <c r="K528" s="9"/>
      <c r="L528" s="115"/>
      <c r="M528" s="115"/>
      <c r="N528" s="115"/>
      <c r="O528" s="115"/>
      <c r="P528" s="9"/>
      <c r="Q528" s="9"/>
      <c r="R528" s="9"/>
      <c r="S528" s="9"/>
      <c r="T528" s="9"/>
      <c r="U528" s="9"/>
      <c r="V528" s="9"/>
      <c r="W528" s="10"/>
      <c r="X528" s="10"/>
      <c r="Y528" s="10"/>
      <c r="Z528" s="10"/>
    </row>
    <row r="529">
      <c r="A529" s="9"/>
      <c r="B529" s="9"/>
      <c r="C529" s="9"/>
      <c r="D529" s="9"/>
      <c r="E529" s="9"/>
      <c r="F529" s="9"/>
      <c r="G529" s="9"/>
      <c r="H529" s="9"/>
      <c r="I529" s="9"/>
      <c r="J529" s="9"/>
      <c r="K529" s="9"/>
      <c r="L529" s="115"/>
      <c r="M529" s="115"/>
      <c r="N529" s="115"/>
      <c r="O529" s="115"/>
      <c r="P529" s="9"/>
      <c r="Q529" s="9"/>
      <c r="R529" s="9"/>
      <c r="S529" s="9"/>
      <c r="T529" s="9"/>
      <c r="U529" s="9"/>
      <c r="V529" s="9"/>
      <c r="W529" s="10"/>
      <c r="X529" s="10"/>
      <c r="Y529" s="10"/>
      <c r="Z529" s="10"/>
    </row>
    <row r="530">
      <c r="A530" s="9"/>
      <c r="B530" s="9"/>
      <c r="C530" s="9"/>
      <c r="D530" s="9"/>
      <c r="E530" s="9"/>
      <c r="F530" s="9"/>
      <c r="G530" s="9"/>
      <c r="H530" s="9"/>
      <c r="I530" s="9"/>
      <c r="J530" s="9"/>
      <c r="K530" s="9"/>
      <c r="L530" s="115"/>
      <c r="M530" s="115"/>
      <c r="N530" s="115"/>
      <c r="O530" s="115"/>
      <c r="P530" s="9"/>
      <c r="Q530" s="9"/>
      <c r="R530" s="9"/>
      <c r="S530" s="9"/>
      <c r="T530" s="9"/>
      <c r="U530" s="9"/>
      <c r="V530" s="9"/>
      <c r="W530" s="10"/>
      <c r="X530" s="10"/>
      <c r="Y530" s="10"/>
      <c r="Z530" s="10"/>
    </row>
    <row r="531">
      <c r="A531" s="9"/>
      <c r="B531" s="9"/>
      <c r="C531" s="9"/>
      <c r="D531" s="9"/>
      <c r="E531" s="9"/>
      <c r="F531" s="9"/>
      <c r="G531" s="9"/>
      <c r="H531" s="9"/>
      <c r="I531" s="9"/>
      <c r="J531" s="9"/>
      <c r="K531" s="9"/>
      <c r="L531" s="115"/>
      <c r="M531" s="115"/>
      <c r="N531" s="115"/>
      <c r="O531" s="115"/>
      <c r="P531" s="9"/>
      <c r="Q531" s="9"/>
      <c r="R531" s="9"/>
      <c r="S531" s="9"/>
      <c r="T531" s="9"/>
      <c r="U531" s="9"/>
      <c r="V531" s="9"/>
      <c r="W531" s="10"/>
      <c r="X531" s="10"/>
      <c r="Y531" s="10"/>
      <c r="Z531" s="10"/>
    </row>
    <row r="532">
      <c r="A532" s="9"/>
      <c r="B532" s="9"/>
      <c r="C532" s="9"/>
      <c r="D532" s="9"/>
      <c r="E532" s="9"/>
      <c r="F532" s="9"/>
      <c r="G532" s="9"/>
      <c r="H532" s="9"/>
      <c r="I532" s="9"/>
      <c r="J532" s="9"/>
      <c r="K532" s="9"/>
      <c r="L532" s="115"/>
      <c r="M532" s="115"/>
      <c r="N532" s="115"/>
      <c r="O532" s="115"/>
      <c r="P532" s="9"/>
      <c r="Q532" s="9"/>
      <c r="R532" s="9"/>
      <c r="S532" s="9"/>
      <c r="T532" s="9"/>
      <c r="U532" s="9"/>
      <c r="V532" s="9"/>
      <c r="W532" s="10"/>
      <c r="X532" s="10"/>
      <c r="Y532" s="10"/>
      <c r="Z532" s="10"/>
    </row>
    <row r="533">
      <c r="A533" s="9"/>
      <c r="B533" s="9"/>
      <c r="C533" s="9"/>
      <c r="D533" s="9"/>
      <c r="E533" s="9"/>
      <c r="F533" s="9"/>
      <c r="G533" s="9"/>
      <c r="H533" s="9"/>
      <c r="I533" s="9"/>
      <c r="J533" s="9"/>
      <c r="K533" s="9"/>
      <c r="L533" s="115"/>
      <c r="M533" s="115"/>
      <c r="N533" s="115"/>
      <c r="O533" s="115"/>
      <c r="P533" s="9"/>
      <c r="Q533" s="9"/>
      <c r="R533" s="9"/>
      <c r="S533" s="9"/>
      <c r="T533" s="9"/>
      <c r="U533" s="9"/>
      <c r="V533" s="9"/>
      <c r="W533" s="10"/>
      <c r="X533" s="10"/>
      <c r="Y533" s="10"/>
      <c r="Z533" s="10"/>
    </row>
    <row r="534">
      <c r="A534" s="9"/>
      <c r="B534" s="9"/>
      <c r="C534" s="9"/>
      <c r="D534" s="9"/>
      <c r="E534" s="9"/>
      <c r="F534" s="9"/>
      <c r="G534" s="9"/>
      <c r="H534" s="9"/>
      <c r="I534" s="9"/>
      <c r="J534" s="9"/>
      <c r="K534" s="9"/>
      <c r="L534" s="115"/>
      <c r="M534" s="115"/>
      <c r="N534" s="115"/>
      <c r="O534" s="115"/>
      <c r="P534" s="9"/>
      <c r="Q534" s="9"/>
      <c r="R534" s="9"/>
      <c r="S534" s="9"/>
      <c r="T534" s="9"/>
      <c r="U534" s="9"/>
      <c r="V534" s="9"/>
      <c r="W534" s="10"/>
      <c r="X534" s="10"/>
      <c r="Y534" s="10"/>
      <c r="Z534" s="10"/>
    </row>
    <row r="535">
      <c r="A535" s="9"/>
      <c r="B535" s="9"/>
      <c r="C535" s="9"/>
      <c r="D535" s="9"/>
      <c r="E535" s="9"/>
      <c r="F535" s="9"/>
      <c r="G535" s="9"/>
      <c r="H535" s="9"/>
      <c r="I535" s="9"/>
      <c r="J535" s="9"/>
      <c r="K535" s="9"/>
      <c r="L535" s="115"/>
      <c r="M535" s="115"/>
      <c r="N535" s="115"/>
      <c r="O535" s="115"/>
      <c r="P535" s="9"/>
      <c r="Q535" s="9"/>
      <c r="R535" s="9"/>
      <c r="S535" s="9"/>
      <c r="T535" s="9"/>
      <c r="U535" s="9"/>
      <c r="V535" s="9"/>
      <c r="W535" s="10"/>
      <c r="X535" s="10"/>
      <c r="Y535" s="10"/>
      <c r="Z535" s="10"/>
    </row>
    <row r="536">
      <c r="A536" s="9"/>
      <c r="B536" s="9"/>
      <c r="C536" s="9"/>
      <c r="D536" s="9"/>
      <c r="E536" s="9"/>
      <c r="F536" s="9"/>
      <c r="G536" s="9"/>
      <c r="H536" s="9"/>
      <c r="I536" s="9"/>
      <c r="J536" s="9"/>
      <c r="K536" s="9"/>
      <c r="L536" s="115"/>
      <c r="M536" s="115"/>
      <c r="N536" s="115"/>
      <c r="O536" s="115"/>
      <c r="P536" s="9"/>
      <c r="Q536" s="9"/>
      <c r="R536" s="9"/>
      <c r="S536" s="9"/>
      <c r="T536" s="9"/>
      <c r="U536" s="9"/>
      <c r="V536" s="9"/>
      <c r="W536" s="10"/>
      <c r="X536" s="10"/>
      <c r="Y536" s="10"/>
      <c r="Z536" s="10"/>
    </row>
    <row r="537">
      <c r="A537" s="9"/>
      <c r="B537" s="9"/>
      <c r="C537" s="9"/>
      <c r="D537" s="9"/>
      <c r="E537" s="9"/>
      <c r="F537" s="9"/>
      <c r="G537" s="9"/>
      <c r="H537" s="9"/>
      <c r="I537" s="9"/>
      <c r="J537" s="9"/>
      <c r="K537" s="9"/>
      <c r="L537" s="115"/>
      <c r="M537" s="115"/>
      <c r="N537" s="115"/>
      <c r="O537" s="115"/>
      <c r="P537" s="9"/>
      <c r="Q537" s="9"/>
      <c r="R537" s="9"/>
      <c r="S537" s="9"/>
      <c r="T537" s="9"/>
      <c r="U537" s="9"/>
      <c r="V537" s="9"/>
      <c r="W537" s="10"/>
      <c r="X537" s="10"/>
      <c r="Y537" s="10"/>
      <c r="Z537" s="10"/>
    </row>
    <row r="538">
      <c r="A538" s="9"/>
      <c r="B538" s="9"/>
      <c r="C538" s="9"/>
      <c r="D538" s="9"/>
      <c r="E538" s="9"/>
      <c r="F538" s="9"/>
      <c r="G538" s="9"/>
      <c r="H538" s="9"/>
      <c r="I538" s="9"/>
      <c r="J538" s="9"/>
      <c r="K538" s="9"/>
      <c r="L538" s="115"/>
      <c r="M538" s="115"/>
      <c r="N538" s="115"/>
      <c r="O538" s="115"/>
      <c r="P538" s="9"/>
      <c r="Q538" s="9"/>
      <c r="R538" s="9"/>
      <c r="S538" s="9"/>
      <c r="T538" s="9"/>
      <c r="U538" s="9"/>
      <c r="V538" s="9"/>
      <c r="W538" s="10"/>
      <c r="X538" s="10"/>
      <c r="Y538" s="10"/>
      <c r="Z538" s="10"/>
    </row>
    <row r="539">
      <c r="A539" s="9"/>
      <c r="B539" s="9"/>
      <c r="C539" s="9"/>
      <c r="D539" s="9"/>
      <c r="E539" s="9"/>
      <c r="F539" s="9"/>
      <c r="G539" s="9"/>
      <c r="H539" s="9"/>
      <c r="I539" s="9"/>
      <c r="J539" s="9"/>
      <c r="K539" s="9"/>
      <c r="L539" s="115"/>
      <c r="M539" s="115"/>
      <c r="N539" s="115"/>
      <c r="O539" s="115"/>
      <c r="P539" s="9"/>
      <c r="Q539" s="9"/>
      <c r="R539" s="9"/>
      <c r="S539" s="9"/>
      <c r="T539" s="9"/>
      <c r="U539" s="9"/>
      <c r="V539" s="9"/>
      <c r="W539" s="10"/>
      <c r="X539" s="10"/>
      <c r="Y539" s="10"/>
      <c r="Z539" s="10"/>
    </row>
    <row r="540">
      <c r="A540" s="9"/>
      <c r="B540" s="9"/>
      <c r="C540" s="9"/>
      <c r="D540" s="9"/>
      <c r="E540" s="9"/>
      <c r="F540" s="9"/>
      <c r="G540" s="9"/>
      <c r="H540" s="9"/>
      <c r="I540" s="9"/>
      <c r="J540" s="9"/>
      <c r="K540" s="9"/>
      <c r="L540" s="115"/>
      <c r="M540" s="115"/>
      <c r="N540" s="115"/>
      <c r="O540" s="115"/>
      <c r="P540" s="9"/>
      <c r="Q540" s="9"/>
      <c r="R540" s="9"/>
      <c r="S540" s="9"/>
      <c r="T540" s="9"/>
      <c r="U540" s="9"/>
      <c r="V540" s="9"/>
      <c r="W540" s="10"/>
      <c r="X540" s="10"/>
      <c r="Y540" s="10"/>
      <c r="Z540" s="10"/>
    </row>
    <row r="541">
      <c r="A541" s="9"/>
      <c r="B541" s="9"/>
      <c r="C541" s="9"/>
      <c r="D541" s="9"/>
      <c r="E541" s="9"/>
      <c r="F541" s="9"/>
      <c r="G541" s="9"/>
      <c r="H541" s="9"/>
      <c r="I541" s="9"/>
      <c r="J541" s="9"/>
      <c r="K541" s="9"/>
      <c r="L541" s="115"/>
      <c r="M541" s="115"/>
      <c r="N541" s="115"/>
      <c r="O541" s="115"/>
      <c r="P541" s="9"/>
      <c r="Q541" s="9"/>
      <c r="R541" s="9"/>
      <c r="S541" s="9"/>
      <c r="T541" s="9"/>
      <c r="U541" s="9"/>
      <c r="V541" s="9"/>
      <c r="W541" s="10"/>
      <c r="X541" s="10"/>
      <c r="Y541" s="10"/>
      <c r="Z541" s="10"/>
    </row>
    <row r="542">
      <c r="A542" s="9"/>
      <c r="B542" s="9"/>
      <c r="C542" s="9"/>
      <c r="D542" s="9"/>
      <c r="E542" s="9"/>
      <c r="F542" s="9"/>
      <c r="G542" s="9"/>
      <c r="H542" s="9"/>
      <c r="I542" s="9"/>
      <c r="J542" s="9"/>
      <c r="K542" s="9"/>
      <c r="L542" s="115"/>
      <c r="M542" s="115"/>
      <c r="N542" s="115"/>
      <c r="O542" s="115"/>
      <c r="P542" s="9"/>
      <c r="Q542" s="9"/>
      <c r="R542" s="9"/>
      <c r="S542" s="9"/>
      <c r="T542" s="9"/>
      <c r="U542" s="9"/>
      <c r="V542" s="9"/>
      <c r="W542" s="10"/>
      <c r="X542" s="10"/>
      <c r="Y542" s="10"/>
      <c r="Z542" s="10"/>
    </row>
    <row r="543">
      <c r="A543" s="9"/>
      <c r="B543" s="9"/>
      <c r="C543" s="9"/>
      <c r="D543" s="9"/>
      <c r="E543" s="9"/>
      <c r="F543" s="9"/>
      <c r="G543" s="9"/>
      <c r="H543" s="9"/>
      <c r="I543" s="9"/>
      <c r="J543" s="9"/>
      <c r="K543" s="9"/>
      <c r="L543" s="115"/>
      <c r="M543" s="115"/>
      <c r="N543" s="115"/>
      <c r="O543" s="115"/>
      <c r="P543" s="9"/>
      <c r="Q543" s="9"/>
      <c r="R543" s="9"/>
      <c r="S543" s="9"/>
      <c r="T543" s="9"/>
      <c r="U543" s="9"/>
      <c r="V543" s="9"/>
      <c r="W543" s="10"/>
      <c r="X543" s="10"/>
      <c r="Y543" s="10"/>
      <c r="Z543" s="10"/>
    </row>
    <row r="544">
      <c r="A544" s="9"/>
      <c r="B544" s="9"/>
      <c r="C544" s="9"/>
      <c r="D544" s="9"/>
      <c r="E544" s="9"/>
      <c r="F544" s="9"/>
      <c r="G544" s="9"/>
      <c r="H544" s="9"/>
      <c r="I544" s="9"/>
      <c r="J544" s="9"/>
      <c r="K544" s="9"/>
      <c r="L544" s="115"/>
      <c r="M544" s="115"/>
      <c r="N544" s="115"/>
      <c r="O544" s="115"/>
      <c r="P544" s="9"/>
      <c r="Q544" s="9"/>
      <c r="R544" s="9"/>
      <c r="S544" s="9"/>
      <c r="T544" s="9"/>
      <c r="U544" s="9"/>
      <c r="V544" s="9"/>
      <c r="W544" s="10"/>
      <c r="X544" s="10"/>
      <c r="Y544" s="10"/>
      <c r="Z544" s="10"/>
    </row>
    <row r="545">
      <c r="A545" s="9"/>
      <c r="B545" s="9"/>
      <c r="C545" s="9"/>
      <c r="D545" s="9"/>
      <c r="E545" s="9"/>
      <c r="F545" s="9"/>
      <c r="G545" s="9"/>
      <c r="H545" s="9"/>
      <c r="I545" s="9"/>
      <c r="J545" s="9"/>
      <c r="K545" s="9"/>
      <c r="L545" s="115"/>
      <c r="M545" s="115"/>
      <c r="N545" s="115"/>
      <c r="O545" s="115"/>
      <c r="P545" s="9"/>
      <c r="Q545" s="9"/>
      <c r="R545" s="9"/>
      <c r="S545" s="9"/>
      <c r="T545" s="9"/>
      <c r="U545" s="9"/>
      <c r="V545" s="9"/>
      <c r="W545" s="10"/>
      <c r="X545" s="10"/>
      <c r="Y545" s="10"/>
      <c r="Z545" s="10"/>
    </row>
    <row r="546">
      <c r="A546" s="9"/>
      <c r="B546" s="9"/>
      <c r="C546" s="9"/>
      <c r="D546" s="9"/>
      <c r="E546" s="9"/>
      <c r="F546" s="9"/>
      <c r="G546" s="9"/>
      <c r="H546" s="9"/>
      <c r="I546" s="9"/>
      <c r="J546" s="9"/>
      <c r="K546" s="9"/>
      <c r="L546" s="115"/>
      <c r="M546" s="115"/>
      <c r="N546" s="115"/>
      <c r="O546" s="115"/>
      <c r="P546" s="9"/>
      <c r="Q546" s="9"/>
      <c r="R546" s="9"/>
      <c r="S546" s="9"/>
      <c r="T546" s="9"/>
      <c r="U546" s="9"/>
      <c r="V546" s="9"/>
      <c r="W546" s="10"/>
      <c r="X546" s="10"/>
      <c r="Y546" s="10"/>
      <c r="Z546" s="10"/>
    </row>
    <row r="547">
      <c r="A547" s="9"/>
      <c r="B547" s="9"/>
      <c r="C547" s="9"/>
      <c r="D547" s="9"/>
      <c r="E547" s="9"/>
      <c r="F547" s="9"/>
      <c r="G547" s="9"/>
      <c r="H547" s="9"/>
      <c r="I547" s="9"/>
      <c r="J547" s="9"/>
      <c r="K547" s="9"/>
      <c r="L547" s="115"/>
      <c r="M547" s="115"/>
      <c r="N547" s="115"/>
      <c r="O547" s="115"/>
      <c r="P547" s="9"/>
      <c r="Q547" s="9"/>
      <c r="R547" s="9"/>
      <c r="S547" s="9"/>
      <c r="T547" s="9"/>
      <c r="U547" s="9"/>
      <c r="V547" s="9"/>
      <c r="W547" s="10"/>
      <c r="X547" s="10"/>
      <c r="Y547" s="10"/>
      <c r="Z547" s="10"/>
    </row>
    <row r="548">
      <c r="A548" s="9"/>
      <c r="B548" s="9"/>
      <c r="C548" s="9"/>
      <c r="D548" s="9"/>
      <c r="E548" s="9"/>
      <c r="F548" s="9"/>
      <c r="G548" s="9"/>
      <c r="H548" s="9"/>
      <c r="I548" s="9"/>
      <c r="J548" s="9"/>
      <c r="K548" s="9"/>
      <c r="L548" s="115"/>
      <c r="M548" s="115"/>
      <c r="N548" s="115"/>
      <c r="O548" s="115"/>
      <c r="P548" s="9"/>
      <c r="Q548" s="9"/>
      <c r="R548" s="9"/>
      <c r="S548" s="9"/>
      <c r="T548" s="9"/>
      <c r="U548" s="9"/>
      <c r="V548" s="9"/>
      <c r="W548" s="10"/>
      <c r="X548" s="10"/>
      <c r="Y548" s="10"/>
      <c r="Z548" s="10"/>
    </row>
    <row r="549">
      <c r="A549" s="9"/>
      <c r="B549" s="9"/>
      <c r="C549" s="9"/>
      <c r="D549" s="9"/>
      <c r="E549" s="9"/>
      <c r="F549" s="9"/>
      <c r="G549" s="9"/>
      <c r="H549" s="9"/>
      <c r="I549" s="9"/>
      <c r="J549" s="9"/>
      <c r="K549" s="9"/>
      <c r="L549" s="115"/>
      <c r="M549" s="115"/>
      <c r="N549" s="115"/>
      <c r="O549" s="115"/>
      <c r="P549" s="9"/>
      <c r="Q549" s="9"/>
      <c r="R549" s="9"/>
      <c r="S549" s="9"/>
      <c r="T549" s="9"/>
      <c r="U549" s="9"/>
      <c r="V549" s="9"/>
      <c r="W549" s="10"/>
      <c r="X549" s="10"/>
      <c r="Y549" s="10"/>
      <c r="Z549" s="10"/>
    </row>
    <row r="550">
      <c r="A550" s="9"/>
      <c r="B550" s="9"/>
      <c r="C550" s="9"/>
      <c r="D550" s="9"/>
      <c r="E550" s="9"/>
      <c r="F550" s="9"/>
      <c r="G550" s="9"/>
      <c r="H550" s="9"/>
      <c r="I550" s="9"/>
      <c r="J550" s="9"/>
      <c r="K550" s="9"/>
      <c r="L550" s="115"/>
      <c r="M550" s="115"/>
      <c r="N550" s="115"/>
      <c r="O550" s="115"/>
      <c r="P550" s="9"/>
      <c r="Q550" s="9"/>
      <c r="R550" s="9"/>
      <c r="S550" s="9"/>
      <c r="T550" s="9"/>
      <c r="U550" s="9"/>
      <c r="V550" s="9"/>
      <c r="W550" s="10"/>
      <c r="X550" s="10"/>
      <c r="Y550" s="10"/>
      <c r="Z550" s="10"/>
    </row>
    <row r="551">
      <c r="A551" s="9"/>
      <c r="B551" s="9"/>
      <c r="C551" s="9"/>
      <c r="D551" s="9"/>
      <c r="E551" s="9"/>
      <c r="F551" s="9"/>
      <c r="G551" s="9"/>
      <c r="H551" s="9"/>
      <c r="I551" s="9"/>
      <c r="J551" s="9"/>
      <c r="K551" s="9"/>
      <c r="L551" s="115"/>
      <c r="M551" s="115"/>
      <c r="N551" s="115"/>
      <c r="O551" s="115"/>
      <c r="P551" s="9"/>
      <c r="Q551" s="9"/>
      <c r="R551" s="9"/>
      <c r="S551" s="9"/>
      <c r="T551" s="9"/>
      <c r="U551" s="9"/>
      <c r="V551" s="9"/>
      <c r="W551" s="10"/>
      <c r="X551" s="10"/>
      <c r="Y551" s="10"/>
      <c r="Z551" s="10"/>
    </row>
    <row r="552">
      <c r="A552" s="9"/>
      <c r="B552" s="9"/>
      <c r="C552" s="9"/>
      <c r="D552" s="9"/>
      <c r="E552" s="9"/>
      <c r="F552" s="9"/>
      <c r="G552" s="9"/>
      <c r="H552" s="9"/>
      <c r="I552" s="9"/>
      <c r="J552" s="9"/>
      <c r="K552" s="9"/>
      <c r="L552" s="115"/>
      <c r="M552" s="115"/>
      <c r="N552" s="115"/>
      <c r="O552" s="115"/>
      <c r="P552" s="9"/>
      <c r="Q552" s="9"/>
      <c r="R552" s="9"/>
      <c r="S552" s="9"/>
      <c r="T552" s="9"/>
      <c r="U552" s="9"/>
      <c r="V552" s="9"/>
      <c r="W552" s="10"/>
      <c r="X552" s="10"/>
      <c r="Y552" s="10"/>
      <c r="Z552" s="10"/>
    </row>
    <row r="553">
      <c r="A553" s="9"/>
      <c r="B553" s="9"/>
      <c r="C553" s="9"/>
      <c r="D553" s="9"/>
      <c r="E553" s="9"/>
      <c r="F553" s="9"/>
      <c r="G553" s="9"/>
      <c r="H553" s="9"/>
      <c r="I553" s="9"/>
      <c r="J553" s="9"/>
      <c r="K553" s="9"/>
      <c r="L553" s="115"/>
      <c r="M553" s="115"/>
      <c r="N553" s="115"/>
      <c r="O553" s="115"/>
      <c r="P553" s="9"/>
      <c r="Q553" s="9"/>
      <c r="R553" s="9"/>
      <c r="S553" s="9"/>
      <c r="T553" s="9"/>
      <c r="U553" s="9"/>
      <c r="V553" s="9"/>
      <c r="W553" s="10"/>
      <c r="X553" s="10"/>
      <c r="Y553" s="10"/>
      <c r="Z553" s="10"/>
    </row>
    <row r="554">
      <c r="A554" s="9"/>
      <c r="B554" s="9"/>
      <c r="C554" s="9"/>
      <c r="D554" s="9"/>
      <c r="E554" s="9"/>
      <c r="F554" s="9"/>
      <c r="G554" s="9"/>
      <c r="H554" s="9"/>
      <c r="I554" s="9"/>
      <c r="J554" s="9"/>
      <c r="K554" s="9"/>
      <c r="L554" s="115"/>
      <c r="M554" s="115"/>
      <c r="N554" s="115"/>
      <c r="O554" s="115"/>
      <c r="P554" s="9"/>
      <c r="Q554" s="9"/>
      <c r="R554" s="9"/>
      <c r="S554" s="9"/>
      <c r="T554" s="9"/>
      <c r="U554" s="9"/>
      <c r="V554" s="9"/>
      <c r="W554" s="10"/>
      <c r="X554" s="10"/>
      <c r="Y554" s="10"/>
      <c r="Z554" s="10"/>
    </row>
    <row r="555">
      <c r="A555" s="9"/>
      <c r="B555" s="9"/>
      <c r="C555" s="9"/>
      <c r="D555" s="9"/>
      <c r="E555" s="9"/>
      <c r="F555" s="9"/>
      <c r="G555" s="9"/>
      <c r="H555" s="9"/>
      <c r="I555" s="9"/>
      <c r="J555" s="9"/>
      <c r="K555" s="9"/>
      <c r="L555" s="115"/>
      <c r="M555" s="115"/>
      <c r="N555" s="115"/>
      <c r="O555" s="115"/>
      <c r="P555" s="9"/>
      <c r="Q555" s="9"/>
      <c r="R555" s="9"/>
      <c r="S555" s="9"/>
      <c r="T555" s="9"/>
      <c r="U555" s="9"/>
      <c r="V555" s="9"/>
      <c r="W555" s="10"/>
      <c r="X555" s="10"/>
      <c r="Y555" s="10"/>
      <c r="Z555" s="10"/>
    </row>
    <row r="556">
      <c r="A556" s="9"/>
      <c r="B556" s="9"/>
      <c r="C556" s="9"/>
      <c r="D556" s="9"/>
      <c r="E556" s="9"/>
      <c r="F556" s="9"/>
      <c r="G556" s="9"/>
      <c r="H556" s="9"/>
      <c r="I556" s="9"/>
      <c r="J556" s="9"/>
      <c r="K556" s="9"/>
      <c r="L556" s="115"/>
      <c r="M556" s="115"/>
      <c r="N556" s="115"/>
      <c r="O556" s="115"/>
      <c r="P556" s="9"/>
      <c r="Q556" s="9"/>
      <c r="R556" s="9"/>
      <c r="S556" s="9"/>
      <c r="T556" s="9"/>
      <c r="U556" s="9"/>
      <c r="V556" s="9"/>
      <c r="W556" s="10"/>
      <c r="X556" s="10"/>
      <c r="Y556" s="10"/>
      <c r="Z556" s="10"/>
    </row>
    <row r="557">
      <c r="A557" s="9"/>
      <c r="B557" s="9"/>
      <c r="C557" s="9"/>
      <c r="D557" s="9"/>
      <c r="E557" s="9"/>
      <c r="F557" s="9"/>
      <c r="G557" s="9"/>
      <c r="H557" s="9"/>
      <c r="I557" s="9"/>
      <c r="J557" s="9"/>
      <c r="K557" s="9"/>
      <c r="L557" s="115"/>
      <c r="M557" s="115"/>
      <c r="N557" s="115"/>
      <c r="O557" s="115"/>
      <c r="P557" s="9"/>
      <c r="Q557" s="9"/>
      <c r="R557" s="9"/>
      <c r="S557" s="9"/>
      <c r="T557" s="9"/>
      <c r="U557" s="9"/>
      <c r="V557" s="9"/>
      <c r="W557" s="10"/>
      <c r="X557" s="10"/>
      <c r="Y557" s="10"/>
      <c r="Z557" s="10"/>
    </row>
    <row r="558">
      <c r="A558" s="9"/>
      <c r="B558" s="9"/>
      <c r="C558" s="9"/>
      <c r="D558" s="9"/>
      <c r="E558" s="9"/>
      <c r="F558" s="9"/>
      <c r="G558" s="9"/>
      <c r="H558" s="9"/>
      <c r="I558" s="9"/>
      <c r="J558" s="9"/>
      <c r="K558" s="9"/>
      <c r="L558" s="115"/>
      <c r="M558" s="115"/>
      <c r="N558" s="115"/>
      <c r="O558" s="115"/>
      <c r="P558" s="9"/>
      <c r="Q558" s="9"/>
      <c r="R558" s="9"/>
      <c r="S558" s="9"/>
      <c r="T558" s="9"/>
      <c r="U558" s="9"/>
      <c r="V558" s="9"/>
      <c r="W558" s="10"/>
      <c r="X558" s="10"/>
      <c r="Y558" s="10"/>
      <c r="Z558" s="10"/>
    </row>
    <row r="559">
      <c r="A559" s="9"/>
      <c r="B559" s="9"/>
      <c r="C559" s="9"/>
      <c r="D559" s="9"/>
      <c r="E559" s="9"/>
      <c r="F559" s="9"/>
      <c r="G559" s="9"/>
      <c r="H559" s="9"/>
      <c r="I559" s="9"/>
      <c r="J559" s="9"/>
      <c r="K559" s="9"/>
      <c r="L559" s="115"/>
      <c r="M559" s="115"/>
      <c r="N559" s="115"/>
      <c r="O559" s="115"/>
      <c r="P559" s="9"/>
      <c r="Q559" s="9"/>
      <c r="R559" s="9"/>
      <c r="S559" s="9"/>
      <c r="T559" s="9"/>
      <c r="U559" s="9"/>
      <c r="V559" s="9"/>
      <c r="W559" s="10"/>
      <c r="X559" s="10"/>
      <c r="Y559" s="10"/>
      <c r="Z559" s="10"/>
    </row>
    <row r="560">
      <c r="A560" s="9"/>
      <c r="B560" s="9"/>
      <c r="C560" s="9"/>
      <c r="D560" s="9"/>
      <c r="E560" s="9"/>
      <c r="F560" s="9"/>
      <c r="G560" s="9"/>
      <c r="H560" s="9"/>
      <c r="I560" s="9"/>
      <c r="J560" s="9"/>
      <c r="K560" s="9"/>
      <c r="L560" s="115"/>
      <c r="M560" s="115"/>
      <c r="N560" s="115"/>
      <c r="O560" s="115"/>
      <c r="P560" s="9"/>
      <c r="Q560" s="9"/>
      <c r="R560" s="9"/>
      <c r="S560" s="9"/>
      <c r="T560" s="9"/>
      <c r="U560" s="9"/>
      <c r="V560" s="9"/>
      <c r="W560" s="10"/>
      <c r="X560" s="10"/>
      <c r="Y560" s="10"/>
      <c r="Z560" s="10"/>
    </row>
    <row r="561">
      <c r="A561" s="9"/>
      <c r="B561" s="9"/>
      <c r="C561" s="9"/>
      <c r="D561" s="9"/>
      <c r="E561" s="9"/>
      <c r="F561" s="9"/>
      <c r="G561" s="9"/>
      <c r="H561" s="9"/>
      <c r="I561" s="9"/>
      <c r="J561" s="9"/>
      <c r="K561" s="9"/>
      <c r="L561" s="115"/>
      <c r="M561" s="115"/>
      <c r="N561" s="115"/>
      <c r="O561" s="115"/>
      <c r="P561" s="9"/>
      <c r="Q561" s="9"/>
      <c r="R561" s="9"/>
      <c r="S561" s="9"/>
      <c r="T561" s="9"/>
      <c r="U561" s="9"/>
      <c r="V561" s="9"/>
      <c r="W561" s="10"/>
      <c r="X561" s="10"/>
      <c r="Y561" s="10"/>
      <c r="Z561" s="10"/>
    </row>
    <row r="562">
      <c r="A562" s="9"/>
      <c r="B562" s="9"/>
      <c r="C562" s="9"/>
      <c r="D562" s="9"/>
      <c r="E562" s="9"/>
      <c r="F562" s="9"/>
      <c r="G562" s="9"/>
      <c r="H562" s="9"/>
      <c r="I562" s="9"/>
      <c r="J562" s="9"/>
      <c r="K562" s="9"/>
      <c r="L562" s="115"/>
      <c r="M562" s="115"/>
      <c r="N562" s="115"/>
      <c r="O562" s="115"/>
      <c r="P562" s="9"/>
      <c r="Q562" s="9"/>
      <c r="R562" s="9"/>
      <c r="S562" s="9"/>
      <c r="T562" s="9"/>
      <c r="U562" s="9"/>
      <c r="V562" s="9"/>
      <c r="W562" s="10"/>
      <c r="X562" s="10"/>
      <c r="Y562" s="10"/>
      <c r="Z562" s="10"/>
    </row>
    <row r="563">
      <c r="A563" s="9"/>
      <c r="B563" s="9"/>
      <c r="C563" s="9"/>
      <c r="D563" s="9"/>
      <c r="E563" s="9"/>
      <c r="F563" s="9"/>
      <c r="G563" s="9"/>
      <c r="H563" s="9"/>
      <c r="I563" s="9"/>
      <c r="J563" s="9"/>
      <c r="K563" s="9"/>
      <c r="L563" s="115"/>
      <c r="M563" s="115"/>
      <c r="N563" s="115"/>
      <c r="O563" s="115"/>
      <c r="P563" s="9"/>
      <c r="Q563" s="9"/>
      <c r="R563" s="9"/>
      <c r="S563" s="9"/>
      <c r="T563" s="9"/>
      <c r="U563" s="9"/>
      <c r="V563" s="9"/>
      <c r="W563" s="10"/>
      <c r="X563" s="10"/>
      <c r="Y563" s="10"/>
      <c r="Z563" s="10"/>
    </row>
    <row r="564">
      <c r="A564" s="9"/>
      <c r="B564" s="9"/>
      <c r="C564" s="9"/>
      <c r="D564" s="9"/>
      <c r="E564" s="9"/>
      <c r="F564" s="9"/>
      <c r="G564" s="9"/>
      <c r="H564" s="9"/>
      <c r="I564" s="9"/>
      <c r="J564" s="9"/>
      <c r="K564" s="9"/>
      <c r="L564" s="115"/>
      <c r="M564" s="115"/>
      <c r="N564" s="115"/>
      <c r="O564" s="115"/>
      <c r="P564" s="9"/>
      <c r="Q564" s="9"/>
      <c r="R564" s="9"/>
      <c r="S564" s="9"/>
      <c r="T564" s="9"/>
      <c r="U564" s="9"/>
      <c r="V564" s="9"/>
      <c r="W564" s="10"/>
      <c r="X564" s="10"/>
      <c r="Y564" s="10"/>
      <c r="Z564" s="10"/>
    </row>
    <row r="565">
      <c r="A565" s="9"/>
      <c r="B565" s="9"/>
      <c r="C565" s="9"/>
      <c r="D565" s="9"/>
      <c r="E565" s="9"/>
      <c r="F565" s="9"/>
      <c r="G565" s="9"/>
      <c r="H565" s="9"/>
      <c r="I565" s="9"/>
      <c r="J565" s="9"/>
      <c r="K565" s="9"/>
      <c r="L565" s="115"/>
      <c r="M565" s="115"/>
      <c r="N565" s="115"/>
      <c r="O565" s="115"/>
      <c r="P565" s="9"/>
      <c r="Q565" s="9"/>
      <c r="R565" s="9"/>
      <c r="S565" s="9"/>
      <c r="T565" s="9"/>
      <c r="U565" s="9"/>
      <c r="V565" s="9"/>
      <c r="W565" s="10"/>
      <c r="X565" s="10"/>
      <c r="Y565" s="10"/>
      <c r="Z565" s="10"/>
    </row>
    <row r="566">
      <c r="A566" s="9"/>
      <c r="B566" s="9"/>
      <c r="C566" s="9"/>
      <c r="D566" s="9"/>
      <c r="E566" s="9"/>
      <c r="F566" s="9"/>
      <c r="G566" s="9"/>
      <c r="H566" s="9"/>
      <c r="I566" s="9"/>
      <c r="J566" s="9"/>
      <c r="K566" s="9"/>
      <c r="L566" s="115"/>
      <c r="M566" s="115"/>
      <c r="N566" s="115"/>
      <c r="O566" s="115"/>
      <c r="P566" s="9"/>
      <c r="Q566" s="9"/>
      <c r="R566" s="9"/>
      <c r="S566" s="9"/>
      <c r="T566" s="9"/>
      <c r="U566" s="9"/>
      <c r="V566" s="9"/>
      <c r="W566" s="10"/>
      <c r="X566" s="10"/>
      <c r="Y566" s="10"/>
      <c r="Z566" s="10"/>
    </row>
    <row r="567">
      <c r="A567" s="9"/>
      <c r="B567" s="9"/>
      <c r="C567" s="9"/>
      <c r="D567" s="9"/>
      <c r="E567" s="9"/>
      <c r="F567" s="9"/>
      <c r="G567" s="9"/>
      <c r="H567" s="9"/>
      <c r="I567" s="9"/>
      <c r="J567" s="9"/>
      <c r="K567" s="9"/>
      <c r="L567" s="115"/>
      <c r="M567" s="115"/>
      <c r="N567" s="115"/>
      <c r="O567" s="115"/>
      <c r="P567" s="9"/>
      <c r="Q567" s="9"/>
      <c r="R567" s="9"/>
      <c r="S567" s="9"/>
      <c r="T567" s="9"/>
      <c r="U567" s="9"/>
      <c r="V567" s="9"/>
      <c r="W567" s="10"/>
      <c r="X567" s="10"/>
      <c r="Y567" s="10"/>
      <c r="Z567" s="10"/>
    </row>
    <row r="568">
      <c r="A568" s="9"/>
      <c r="B568" s="9"/>
      <c r="C568" s="9"/>
      <c r="D568" s="9"/>
      <c r="E568" s="9"/>
      <c r="F568" s="9"/>
      <c r="G568" s="9"/>
      <c r="H568" s="9"/>
      <c r="I568" s="9"/>
      <c r="J568" s="9"/>
      <c r="K568" s="9"/>
      <c r="L568" s="115"/>
      <c r="M568" s="115"/>
      <c r="N568" s="115"/>
      <c r="O568" s="115"/>
      <c r="P568" s="9"/>
      <c r="Q568" s="9"/>
      <c r="R568" s="9"/>
      <c r="S568" s="9"/>
      <c r="T568" s="9"/>
      <c r="U568" s="9"/>
      <c r="V568" s="9"/>
      <c r="W568" s="10"/>
      <c r="X568" s="10"/>
      <c r="Y568" s="10"/>
      <c r="Z568" s="10"/>
    </row>
    <row r="569">
      <c r="A569" s="9"/>
      <c r="B569" s="9"/>
      <c r="C569" s="9"/>
      <c r="D569" s="9"/>
      <c r="E569" s="9"/>
      <c r="F569" s="9"/>
      <c r="G569" s="9"/>
      <c r="H569" s="9"/>
      <c r="I569" s="9"/>
      <c r="J569" s="9"/>
      <c r="K569" s="9"/>
      <c r="L569" s="115"/>
      <c r="M569" s="115"/>
      <c r="N569" s="115"/>
      <c r="O569" s="115"/>
      <c r="P569" s="9"/>
      <c r="Q569" s="9"/>
      <c r="R569" s="9"/>
      <c r="S569" s="9"/>
      <c r="T569" s="9"/>
      <c r="U569" s="9"/>
      <c r="V569" s="9"/>
      <c r="W569" s="10"/>
      <c r="X569" s="10"/>
      <c r="Y569" s="10"/>
      <c r="Z569" s="10"/>
    </row>
    <row r="570">
      <c r="A570" s="9"/>
      <c r="B570" s="9"/>
      <c r="C570" s="9"/>
      <c r="D570" s="9"/>
      <c r="E570" s="9"/>
      <c r="F570" s="9"/>
      <c r="G570" s="9"/>
      <c r="H570" s="9"/>
      <c r="I570" s="9"/>
      <c r="J570" s="9"/>
      <c r="K570" s="9"/>
      <c r="L570" s="115"/>
      <c r="M570" s="115"/>
      <c r="N570" s="115"/>
      <c r="O570" s="115"/>
      <c r="P570" s="9"/>
      <c r="Q570" s="9"/>
      <c r="R570" s="9"/>
      <c r="S570" s="9"/>
      <c r="T570" s="9"/>
      <c r="U570" s="9"/>
      <c r="V570" s="9"/>
      <c r="W570" s="10"/>
      <c r="X570" s="10"/>
      <c r="Y570" s="10"/>
      <c r="Z570" s="10"/>
    </row>
    <row r="571">
      <c r="A571" s="9"/>
      <c r="B571" s="9"/>
      <c r="C571" s="9"/>
      <c r="D571" s="9"/>
      <c r="E571" s="9"/>
      <c r="F571" s="9"/>
      <c r="G571" s="9"/>
      <c r="H571" s="9"/>
      <c r="I571" s="9"/>
      <c r="J571" s="9"/>
      <c r="K571" s="9"/>
      <c r="L571" s="115"/>
      <c r="M571" s="115"/>
      <c r="N571" s="115"/>
      <c r="O571" s="115"/>
      <c r="P571" s="9"/>
      <c r="Q571" s="9"/>
      <c r="R571" s="9"/>
      <c r="S571" s="9"/>
      <c r="T571" s="9"/>
      <c r="U571" s="9"/>
      <c r="V571" s="9"/>
      <c r="W571" s="10"/>
      <c r="X571" s="10"/>
      <c r="Y571" s="10"/>
      <c r="Z571" s="10"/>
    </row>
    <row r="572">
      <c r="A572" s="9"/>
      <c r="B572" s="9"/>
      <c r="C572" s="9"/>
      <c r="D572" s="9"/>
      <c r="E572" s="9"/>
      <c r="F572" s="9"/>
      <c r="G572" s="9"/>
      <c r="H572" s="9"/>
      <c r="I572" s="9"/>
      <c r="J572" s="9"/>
      <c r="K572" s="9"/>
      <c r="L572" s="115"/>
      <c r="M572" s="115"/>
      <c r="N572" s="115"/>
      <c r="O572" s="115"/>
      <c r="P572" s="9"/>
      <c r="Q572" s="9"/>
      <c r="R572" s="9"/>
      <c r="S572" s="9"/>
      <c r="T572" s="9"/>
      <c r="U572" s="9"/>
      <c r="V572" s="9"/>
      <c r="W572" s="10"/>
      <c r="X572" s="10"/>
      <c r="Y572" s="10"/>
      <c r="Z572" s="10"/>
    </row>
    <row r="573">
      <c r="A573" s="9"/>
      <c r="B573" s="9"/>
      <c r="C573" s="9"/>
      <c r="D573" s="9"/>
      <c r="E573" s="9"/>
      <c r="F573" s="9"/>
      <c r="G573" s="9"/>
      <c r="H573" s="9"/>
      <c r="I573" s="9"/>
      <c r="J573" s="9"/>
      <c r="K573" s="9"/>
      <c r="L573" s="115"/>
      <c r="M573" s="115"/>
      <c r="N573" s="115"/>
      <c r="O573" s="115"/>
      <c r="P573" s="9"/>
      <c r="Q573" s="9"/>
      <c r="R573" s="9"/>
      <c r="S573" s="9"/>
      <c r="T573" s="9"/>
      <c r="U573" s="9"/>
      <c r="V573" s="9"/>
      <c r="W573" s="10"/>
      <c r="X573" s="10"/>
      <c r="Y573" s="10"/>
      <c r="Z573" s="10"/>
    </row>
    <row r="574">
      <c r="A574" s="9"/>
      <c r="B574" s="9"/>
      <c r="C574" s="9"/>
      <c r="D574" s="9"/>
      <c r="E574" s="9"/>
      <c r="F574" s="9"/>
      <c r="G574" s="9"/>
      <c r="H574" s="9"/>
      <c r="I574" s="9"/>
      <c r="J574" s="9"/>
      <c r="K574" s="9"/>
      <c r="L574" s="115"/>
      <c r="M574" s="115"/>
      <c r="N574" s="115"/>
      <c r="O574" s="115"/>
      <c r="P574" s="9"/>
      <c r="Q574" s="9"/>
      <c r="R574" s="9"/>
      <c r="S574" s="9"/>
      <c r="T574" s="9"/>
      <c r="U574" s="9"/>
      <c r="V574" s="9"/>
      <c r="W574" s="10"/>
      <c r="X574" s="10"/>
      <c r="Y574" s="10"/>
      <c r="Z574" s="10"/>
    </row>
    <row r="575">
      <c r="A575" s="9"/>
      <c r="B575" s="9"/>
      <c r="C575" s="9"/>
      <c r="D575" s="9"/>
      <c r="E575" s="9"/>
      <c r="F575" s="9"/>
      <c r="G575" s="9"/>
      <c r="H575" s="9"/>
      <c r="I575" s="9"/>
      <c r="J575" s="9"/>
      <c r="K575" s="9"/>
      <c r="L575" s="115"/>
      <c r="M575" s="115"/>
      <c r="N575" s="115"/>
      <c r="O575" s="115"/>
      <c r="P575" s="9"/>
      <c r="Q575" s="9"/>
      <c r="R575" s="9"/>
      <c r="S575" s="9"/>
      <c r="T575" s="9"/>
      <c r="U575" s="9"/>
      <c r="V575" s="9"/>
      <c r="W575" s="10"/>
      <c r="X575" s="10"/>
      <c r="Y575" s="10"/>
      <c r="Z575" s="10"/>
    </row>
    <row r="576">
      <c r="A576" s="9"/>
      <c r="B576" s="9"/>
      <c r="C576" s="9"/>
      <c r="D576" s="9"/>
      <c r="E576" s="9"/>
      <c r="F576" s="9"/>
      <c r="G576" s="9"/>
      <c r="H576" s="9"/>
      <c r="I576" s="9"/>
      <c r="J576" s="9"/>
      <c r="K576" s="9"/>
      <c r="L576" s="115"/>
      <c r="M576" s="115"/>
      <c r="N576" s="115"/>
      <c r="O576" s="115"/>
      <c r="P576" s="9"/>
      <c r="Q576" s="9"/>
      <c r="R576" s="9"/>
      <c r="S576" s="9"/>
      <c r="T576" s="9"/>
      <c r="U576" s="9"/>
      <c r="V576" s="9"/>
      <c r="W576" s="10"/>
      <c r="X576" s="10"/>
      <c r="Y576" s="10"/>
      <c r="Z576" s="10"/>
    </row>
    <row r="577">
      <c r="A577" s="9"/>
      <c r="B577" s="9"/>
      <c r="C577" s="9"/>
      <c r="D577" s="9"/>
      <c r="E577" s="9"/>
      <c r="F577" s="9"/>
      <c r="G577" s="9"/>
      <c r="H577" s="9"/>
      <c r="I577" s="9"/>
      <c r="J577" s="9"/>
      <c r="K577" s="9"/>
      <c r="L577" s="115"/>
      <c r="M577" s="115"/>
      <c r="N577" s="115"/>
      <c r="O577" s="115"/>
      <c r="P577" s="9"/>
      <c r="Q577" s="9"/>
      <c r="R577" s="9"/>
      <c r="S577" s="9"/>
      <c r="T577" s="9"/>
      <c r="U577" s="9"/>
      <c r="V577" s="9"/>
      <c r="W577" s="10"/>
      <c r="X577" s="10"/>
      <c r="Y577" s="10"/>
      <c r="Z577" s="10"/>
    </row>
    <row r="578">
      <c r="A578" s="9"/>
      <c r="B578" s="9"/>
      <c r="C578" s="9"/>
      <c r="D578" s="9"/>
      <c r="E578" s="9"/>
      <c r="F578" s="9"/>
      <c r="G578" s="9"/>
      <c r="H578" s="9"/>
      <c r="I578" s="9"/>
      <c r="J578" s="9"/>
      <c r="K578" s="9"/>
      <c r="L578" s="115"/>
      <c r="M578" s="115"/>
      <c r="N578" s="115"/>
      <c r="O578" s="115"/>
      <c r="P578" s="9"/>
      <c r="Q578" s="9"/>
      <c r="R578" s="9"/>
      <c r="S578" s="9"/>
      <c r="T578" s="9"/>
      <c r="U578" s="9"/>
      <c r="V578" s="9"/>
      <c r="W578" s="10"/>
      <c r="X578" s="10"/>
      <c r="Y578" s="10"/>
      <c r="Z578" s="10"/>
    </row>
    <row r="579">
      <c r="A579" s="9"/>
      <c r="B579" s="9"/>
      <c r="C579" s="9"/>
      <c r="D579" s="9"/>
      <c r="E579" s="9"/>
      <c r="F579" s="9"/>
      <c r="G579" s="9"/>
      <c r="H579" s="9"/>
      <c r="I579" s="9"/>
      <c r="J579" s="9"/>
      <c r="K579" s="9"/>
      <c r="L579" s="115"/>
      <c r="M579" s="115"/>
      <c r="N579" s="115"/>
      <c r="O579" s="115"/>
      <c r="P579" s="9"/>
      <c r="Q579" s="9"/>
      <c r="R579" s="9"/>
      <c r="S579" s="9"/>
      <c r="T579" s="9"/>
      <c r="U579" s="9"/>
      <c r="V579" s="9"/>
      <c r="W579" s="10"/>
      <c r="X579" s="10"/>
      <c r="Y579" s="10"/>
      <c r="Z579" s="10"/>
    </row>
    <row r="580">
      <c r="A580" s="9"/>
      <c r="B580" s="9"/>
      <c r="C580" s="9"/>
      <c r="D580" s="9"/>
      <c r="E580" s="9"/>
      <c r="F580" s="9"/>
      <c r="G580" s="9"/>
      <c r="H580" s="9"/>
      <c r="I580" s="9"/>
      <c r="J580" s="9"/>
      <c r="K580" s="9"/>
      <c r="L580" s="115"/>
      <c r="M580" s="115"/>
      <c r="N580" s="115"/>
      <c r="O580" s="115"/>
      <c r="P580" s="9"/>
      <c r="Q580" s="9"/>
      <c r="R580" s="9"/>
      <c r="S580" s="9"/>
      <c r="T580" s="9"/>
      <c r="U580" s="9"/>
      <c r="V580" s="9"/>
      <c r="W580" s="10"/>
      <c r="X580" s="10"/>
      <c r="Y580" s="10"/>
      <c r="Z580" s="10"/>
    </row>
    <row r="581">
      <c r="A581" s="9"/>
      <c r="B581" s="9"/>
      <c r="C581" s="9"/>
      <c r="D581" s="9"/>
      <c r="E581" s="9"/>
      <c r="F581" s="9"/>
      <c r="G581" s="9"/>
      <c r="H581" s="9"/>
      <c r="I581" s="9"/>
      <c r="J581" s="9"/>
      <c r="K581" s="9"/>
      <c r="L581" s="115"/>
      <c r="M581" s="115"/>
      <c r="N581" s="115"/>
      <c r="O581" s="115"/>
      <c r="P581" s="9"/>
      <c r="Q581" s="9"/>
      <c r="R581" s="9"/>
      <c r="S581" s="9"/>
      <c r="T581" s="9"/>
      <c r="U581" s="9"/>
      <c r="V581" s="9"/>
      <c r="W581" s="10"/>
      <c r="X581" s="10"/>
      <c r="Y581" s="10"/>
      <c r="Z581" s="10"/>
    </row>
    <row r="582">
      <c r="A582" s="9"/>
      <c r="B582" s="9"/>
      <c r="C582" s="9"/>
      <c r="D582" s="9"/>
      <c r="E582" s="9"/>
      <c r="F582" s="9"/>
      <c r="G582" s="9"/>
      <c r="H582" s="9"/>
      <c r="I582" s="9"/>
      <c r="J582" s="9"/>
      <c r="K582" s="9"/>
      <c r="L582" s="115"/>
      <c r="M582" s="115"/>
      <c r="N582" s="115"/>
      <c r="O582" s="115"/>
      <c r="P582" s="9"/>
      <c r="Q582" s="9"/>
      <c r="R582" s="9"/>
      <c r="S582" s="9"/>
      <c r="T582" s="9"/>
      <c r="U582" s="9"/>
      <c r="V582" s="9"/>
      <c r="W582" s="10"/>
      <c r="X582" s="10"/>
      <c r="Y582" s="10"/>
      <c r="Z582" s="10"/>
    </row>
    <row r="583">
      <c r="A583" s="9"/>
      <c r="B583" s="9"/>
      <c r="C583" s="9"/>
      <c r="D583" s="9"/>
      <c r="E583" s="9"/>
      <c r="F583" s="9"/>
      <c r="G583" s="9"/>
      <c r="H583" s="9"/>
      <c r="I583" s="9"/>
      <c r="J583" s="9"/>
      <c r="K583" s="9"/>
      <c r="L583" s="115"/>
      <c r="M583" s="115"/>
      <c r="N583" s="115"/>
      <c r="O583" s="115"/>
      <c r="P583" s="9"/>
      <c r="Q583" s="9"/>
      <c r="R583" s="9"/>
      <c r="S583" s="9"/>
      <c r="T583" s="9"/>
      <c r="U583" s="9"/>
      <c r="V583" s="9"/>
      <c r="W583" s="10"/>
      <c r="X583" s="10"/>
      <c r="Y583" s="10"/>
      <c r="Z583" s="10"/>
    </row>
    <row r="584">
      <c r="A584" s="9"/>
      <c r="B584" s="9"/>
      <c r="C584" s="9"/>
      <c r="D584" s="9"/>
      <c r="E584" s="9"/>
      <c r="F584" s="9"/>
      <c r="G584" s="9"/>
      <c r="H584" s="9"/>
      <c r="I584" s="9"/>
      <c r="J584" s="9"/>
      <c r="K584" s="9"/>
      <c r="L584" s="115"/>
      <c r="M584" s="115"/>
      <c r="N584" s="115"/>
      <c r="O584" s="115"/>
      <c r="P584" s="9"/>
      <c r="Q584" s="9"/>
      <c r="R584" s="9"/>
      <c r="S584" s="9"/>
      <c r="T584" s="9"/>
      <c r="U584" s="9"/>
      <c r="V584" s="9"/>
      <c r="W584" s="10"/>
      <c r="X584" s="10"/>
      <c r="Y584" s="10"/>
      <c r="Z584" s="10"/>
    </row>
    <row r="585">
      <c r="A585" s="9"/>
      <c r="B585" s="9"/>
      <c r="C585" s="9"/>
      <c r="D585" s="9"/>
      <c r="E585" s="9"/>
      <c r="F585" s="9"/>
      <c r="G585" s="9"/>
      <c r="H585" s="9"/>
      <c r="I585" s="9"/>
      <c r="J585" s="9"/>
      <c r="K585" s="9"/>
      <c r="L585" s="115"/>
      <c r="M585" s="115"/>
      <c r="N585" s="115"/>
      <c r="O585" s="115"/>
      <c r="P585" s="9"/>
      <c r="Q585" s="9"/>
      <c r="R585" s="9"/>
      <c r="S585" s="9"/>
      <c r="T585" s="9"/>
      <c r="U585" s="9"/>
      <c r="V585" s="9"/>
      <c r="W585" s="10"/>
      <c r="X585" s="10"/>
      <c r="Y585" s="10"/>
      <c r="Z585" s="10"/>
    </row>
    <row r="586">
      <c r="A586" s="9"/>
      <c r="B586" s="9"/>
      <c r="C586" s="9"/>
      <c r="D586" s="9"/>
      <c r="E586" s="9"/>
      <c r="F586" s="9"/>
      <c r="G586" s="9"/>
      <c r="H586" s="9"/>
      <c r="I586" s="9"/>
      <c r="J586" s="9"/>
      <c r="K586" s="9"/>
      <c r="L586" s="115"/>
      <c r="M586" s="115"/>
      <c r="N586" s="115"/>
      <c r="O586" s="115"/>
      <c r="P586" s="9"/>
      <c r="Q586" s="9"/>
      <c r="R586" s="9"/>
      <c r="S586" s="9"/>
      <c r="T586" s="9"/>
      <c r="U586" s="9"/>
      <c r="V586" s="9"/>
      <c r="W586" s="10"/>
      <c r="X586" s="10"/>
      <c r="Y586" s="10"/>
      <c r="Z586" s="10"/>
    </row>
    <row r="587">
      <c r="A587" s="9"/>
      <c r="B587" s="9"/>
      <c r="C587" s="9"/>
      <c r="D587" s="9"/>
      <c r="E587" s="9"/>
      <c r="F587" s="9"/>
      <c r="G587" s="9"/>
      <c r="H587" s="9"/>
      <c r="I587" s="9"/>
      <c r="J587" s="9"/>
      <c r="K587" s="9"/>
      <c r="L587" s="115"/>
      <c r="M587" s="115"/>
      <c r="N587" s="115"/>
      <c r="O587" s="115"/>
      <c r="P587" s="9"/>
      <c r="Q587" s="9"/>
      <c r="R587" s="9"/>
      <c r="S587" s="9"/>
      <c r="T587" s="9"/>
      <c r="U587" s="9"/>
      <c r="V587" s="9"/>
      <c r="W587" s="10"/>
      <c r="X587" s="10"/>
      <c r="Y587" s="10"/>
      <c r="Z587" s="10"/>
    </row>
    <row r="588">
      <c r="A588" s="9"/>
      <c r="B588" s="9"/>
      <c r="C588" s="9"/>
      <c r="D588" s="9"/>
      <c r="E588" s="9"/>
      <c r="F588" s="9"/>
      <c r="G588" s="9"/>
      <c r="H588" s="9"/>
      <c r="I588" s="9"/>
      <c r="J588" s="9"/>
      <c r="K588" s="9"/>
      <c r="L588" s="115"/>
      <c r="M588" s="115"/>
      <c r="N588" s="115"/>
      <c r="O588" s="115"/>
      <c r="P588" s="9"/>
      <c r="Q588" s="9"/>
      <c r="R588" s="9"/>
      <c r="S588" s="9"/>
      <c r="T588" s="9"/>
      <c r="U588" s="9"/>
      <c r="V588" s="9"/>
      <c r="W588" s="10"/>
      <c r="X588" s="10"/>
      <c r="Y588" s="10"/>
      <c r="Z588" s="10"/>
    </row>
    <row r="589">
      <c r="A589" s="9"/>
      <c r="B589" s="9"/>
      <c r="C589" s="9"/>
      <c r="D589" s="9"/>
      <c r="E589" s="9"/>
      <c r="F589" s="9"/>
      <c r="G589" s="9"/>
      <c r="H589" s="9"/>
      <c r="I589" s="9"/>
      <c r="J589" s="9"/>
      <c r="K589" s="9"/>
      <c r="L589" s="115"/>
      <c r="M589" s="115"/>
      <c r="N589" s="115"/>
      <c r="O589" s="115"/>
      <c r="P589" s="9"/>
      <c r="Q589" s="9"/>
      <c r="R589" s="9"/>
      <c r="S589" s="9"/>
      <c r="T589" s="9"/>
      <c r="U589" s="9"/>
      <c r="V589" s="9"/>
      <c r="W589" s="10"/>
      <c r="X589" s="10"/>
      <c r="Y589" s="10"/>
      <c r="Z589" s="10"/>
    </row>
    <row r="590">
      <c r="A590" s="9"/>
      <c r="B590" s="9"/>
      <c r="C590" s="9"/>
      <c r="D590" s="9"/>
      <c r="E590" s="9"/>
      <c r="F590" s="9"/>
      <c r="G590" s="9"/>
      <c r="H590" s="9"/>
      <c r="I590" s="9"/>
      <c r="J590" s="9"/>
      <c r="K590" s="9"/>
      <c r="L590" s="115"/>
      <c r="M590" s="115"/>
      <c r="N590" s="115"/>
      <c r="O590" s="115"/>
      <c r="P590" s="9"/>
      <c r="Q590" s="9"/>
      <c r="R590" s="9"/>
      <c r="S590" s="9"/>
      <c r="T590" s="9"/>
      <c r="U590" s="9"/>
      <c r="V590" s="9"/>
      <c r="W590" s="10"/>
      <c r="X590" s="10"/>
      <c r="Y590" s="10"/>
      <c r="Z590" s="10"/>
    </row>
    <row r="591">
      <c r="A591" s="9"/>
      <c r="B591" s="9"/>
      <c r="C591" s="9"/>
      <c r="D591" s="9"/>
      <c r="E591" s="9"/>
      <c r="F591" s="9"/>
      <c r="G591" s="9"/>
      <c r="H591" s="9"/>
      <c r="I591" s="9"/>
      <c r="J591" s="9"/>
      <c r="K591" s="9"/>
      <c r="L591" s="115"/>
      <c r="M591" s="115"/>
      <c r="N591" s="115"/>
      <c r="O591" s="115"/>
      <c r="P591" s="9"/>
      <c r="Q591" s="9"/>
      <c r="R591" s="9"/>
      <c r="S591" s="9"/>
      <c r="T591" s="9"/>
      <c r="U591" s="9"/>
      <c r="V591" s="9"/>
      <c r="W591" s="10"/>
      <c r="X591" s="10"/>
      <c r="Y591" s="10"/>
      <c r="Z591" s="10"/>
    </row>
    <row r="592">
      <c r="A592" s="9"/>
      <c r="B592" s="9"/>
      <c r="C592" s="9"/>
      <c r="D592" s="9"/>
      <c r="E592" s="9"/>
      <c r="F592" s="9"/>
      <c r="G592" s="9"/>
      <c r="H592" s="9"/>
      <c r="I592" s="9"/>
      <c r="J592" s="9"/>
      <c r="K592" s="9"/>
      <c r="L592" s="115"/>
      <c r="M592" s="115"/>
      <c r="N592" s="115"/>
      <c r="O592" s="115"/>
      <c r="P592" s="9"/>
      <c r="Q592" s="9"/>
      <c r="R592" s="9"/>
      <c r="S592" s="9"/>
      <c r="T592" s="9"/>
      <c r="U592" s="9"/>
      <c r="V592" s="9"/>
      <c r="W592" s="10"/>
      <c r="X592" s="10"/>
      <c r="Y592" s="10"/>
      <c r="Z592" s="10"/>
    </row>
    <row r="593">
      <c r="A593" s="9"/>
      <c r="B593" s="9"/>
      <c r="C593" s="9"/>
      <c r="D593" s="9"/>
      <c r="E593" s="9"/>
      <c r="F593" s="9"/>
      <c r="G593" s="9"/>
      <c r="H593" s="9"/>
      <c r="I593" s="9"/>
      <c r="J593" s="9"/>
      <c r="K593" s="9"/>
      <c r="L593" s="115"/>
      <c r="M593" s="115"/>
      <c r="N593" s="115"/>
      <c r="O593" s="115"/>
      <c r="P593" s="9"/>
      <c r="Q593" s="9"/>
      <c r="R593" s="9"/>
      <c r="S593" s="9"/>
      <c r="T593" s="9"/>
      <c r="U593" s="9"/>
      <c r="V593" s="9"/>
      <c r="W593" s="10"/>
      <c r="X593" s="10"/>
      <c r="Y593" s="10"/>
      <c r="Z593" s="10"/>
    </row>
    <row r="594">
      <c r="A594" s="9"/>
      <c r="B594" s="9"/>
      <c r="C594" s="9"/>
      <c r="D594" s="9"/>
      <c r="E594" s="9"/>
      <c r="F594" s="9"/>
      <c r="G594" s="9"/>
      <c r="H594" s="9"/>
      <c r="I594" s="9"/>
      <c r="J594" s="9"/>
      <c r="K594" s="9"/>
      <c r="L594" s="115"/>
      <c r="M594" s="115"/>
      <c r="N594" s="115"/>
      <c r="O594" s="115"/>
      <c r="P594" s="9"/>
      <c r="Q594" s="9"/>
      <c r="R594" s="9"/>
      <c r="S594" s="9"/>
      <c r="T594" s="9"/>
      <c r="U594" s="9"/>
      <c r="V594" s="9"/>
      <c r="W594" s="10"/>
      <c r="X594" s="10"/>
      <c r="Y594" s="10"/>
      <c r="Z594" s="10"/>
    </row>
    <row r="595">
      <c r="A595" s="9"/>
      <c r="B595" s="9"/>
      <c r="C595" s="9"/>
      <c r="D595" s="9"/>
      <c r="E595" s="9"/>
      <c r="F595" s="9"/>
      <c r="G595" s="9"/>
      <c r="H595" s="9"/>
      <c r="I595" s="9"/>
      <c r="J595" s="9"/>
      <c r="K595" s="9"/>
      <c r="L595" s="115"/>
      <c r="M595" s="115"/>
      <c r="N595" s="115"/>
      <c r="O595" s="115"/>
      <c r="P595" s="9"/>
      <c r="Q595" s="9"/>
      <c r="R595" s="9"/>
      <c r="S595" s="9"/>
      <c r="T595" s="9"/>
      <c r="U595" s="9"/>
      <c r="V595" s="9"/>
      <c r="W595" s="10"/>
      <c r="X595" s="10"/>
      <c r="Y595" s="10"/>
      <c r="Z595" s="10"/>
    </row>
    <row r="596">
      <c r="A596" s="9"/>
      <c r="B596" s="9"/>
      <c r="C596" s="9"/>
      <c r="D596" s="9"/>
      <c r="E596" s="9"/>
      <c r="F596" s="9"/>
      <c r="G596" s="9"/>
      <c r="H596" s="9"/>
      <c r="I596" s="9"/>
      <c r="J596" s="9"/>
      <c r="K596" s="9"/>
      <c r="L596" s="115"/>
      <c r="M596" s="115"/>
      <c r="N596" s="115"/>
      <c r="O596" s="115"/>
      <c r="P596" s="9"/>
      <c r="Q596" s="9"/>
      <c r="R596" s="9"/>
      <c r="S596" s="9"/>
      <c r="T596" s="9"/>
      <c r="U596" s="9"/>
      <c r="V596" s="9"/>
      <c r="W596" s="10"/>
      <c r="X596" s="10"/>
      <c r="Y596" s="10"/>
      <c r="Z596" s="10"/>
    </row>
    <row r="597">
      <c r="A597" s="9"/>
      <c r="B597" s="9"/>
      <c r="C597" s="9"/>
      <c r="D597" s="9"/>
      <c r="E597" s="9"/>
      <c r="F597" s="9"/>
      <c r="G597" s="9"/>
      <c r="H597" s="9"/>
      <c r="I597" s="9"/>
      <c r="J597" s="9"/>
      <c r="K597" s="9"/>
      <c r="L597" s="115"/>
      <c r="M597" s="115"/>
      <c r="N597" s="115"/>
      <c r="O597" s="115"/>
      <c r="P597" s="9"/>
      <c r="Q597" s="9"/>
      <c r="R597" s="9"/>
      <c r="S597" s="9"/>
      <c r="T597" s="9"/>
      <c r="U597" s="9"/>
      <c r="V597" s="9"/>
      <c r="W597" s="10"/>
      <c r="X597" s="10"/>
      <c r="Y597" s="10"/>
      <c r="Z597" s="10"/>
    </row>
    <row r="598">
      <c r="A598" s="9"/>
      <c r="B598" s="9"/>
      <c r="C598" s="9"/>
      <c r="D598" s="9"/>
      <c r="E598" s="9"/>
      <c r="F598" s="9"/>
      <c r="G598" s="9"/>
      <c r="H598" s="9"/>
      <c r="I598" s="9"/>
      <c r="J598" s="9"/>
      <c r="K598" s="9"/>
      <c r="L598" s="115"/>
      <c r="M598" s="115"/>
      <c r="N598" s="115"/>
      <c r="O598" s="115"/>
      <c r="P598" s="9"/>
      <c r="Q598" s="9"/>
      <c r="R598" s="9"/>
      <c r="S598" s="9"/>
      <c r="T598" s="9"/>
      <c r="U598" s="9"/>
      <c r="V598" s="9"/>
      <c r="W598" s="10"/>
      <c r="X598" s="10"/>
      <c r="Y598" s="10"/>
      <c r="Z598" s="10"/>
    </row>
    <row r="599">
      <c r="A599" s="9"/>
      <c r="B599" s="9"/>
      <c r="C599" s="9"/>
      <c r="D599" s="9"/>
      <c r="E599" s="9"/>
      <c r="F599" s="9"/>
      <c r="G599" s="9"/>
      <c r="H599" s="9"/>
      <c r="I599" s="9"/>
      <c r="J599" s="9"/>
      <c r="K599" s="9"/>
      <c r="L599" s="115"/>
      <c r="M599" s="115"/>
      <c r="N599" s="115"/>
      <c r="O599" s="115"/>
      <c r="P599" s="9"/>
      <c r="Q599" s="9"/>
      <c r="R599" s="9"/>
      <c r="S599" s="9"/>
      <c r="T599" s="9"/>
      <c r="U599" s="9"/>
      <c r="V599" s="9"/>
      <c r="W599" s="10"/>
      <c r="X599" s="10"/>
      <c r="Y599" s="10"/>
      <c r="Z599" s="10"/>
    </row>
    <row r="600">
      <c r="A600" s="9"/>
      <c r="B600" s="9"/>
      <c r="C600" s="9"/>
      <c r="D600" s="9"/>
      <c r="E600" s="9"/>
      <c r="F600" s="9"/>
      <c r="G600" s="9"/>
      <c r="H600" s="9"/>
      <c r="I600" s="9"/>
      <c r="J600" s="9"/>
      <c r="K600" s="9"/>
      <c r="L600" s="115"/>
      <c r="M600" s="115"/>
      <c r="N600" s="115"/>
      <c r="O600" s="115"/>
      <c r="P600" s="9"/>
      <c r="Q600" s="9"/>
      <c r="R600" s="9"/>
      <c r="S600" s="9"/>
      <c r="T600" s="9"/>
      <c r="U600" s="9"/>
      <c r="V600" s="9"/>
      <c r="W600" s="10"/>
      <c r="X600" s="10"/>
      <c r="Y600" s="10"/>
      <c r="Z600" s="10"/>
    </row>
    <row r="601">
      <c r="A601" s="9"/>
      <c r="B601" s="9"/>
      <c r="C601" s="9"/>
      <c r="D601" s="9"/>
      <c r="E601" s="9"/>
      <c r="F601" s="9"/>
      <c r="G601" s="9"/>
      <c r="H601" s="9"/>
      <c r="I601" s="9"/>
      <c r="J601" s="9"/>
      <c r="K601" s="9"/>
      <c r="L601" s="115"/>
      <c r="M601" s="115"/>
      <c r="N601" s="115"/>
      <c r="O601" s="115"/>
      <c r="P601" s="9"/>
      <c r="Q601" s="9"/>
      <c r="R601" s="9"/>
      <c r="S601" s="9"/>
      <c r="T601" s="9"/>
      <c r="U601" s="9"/>
      <c r="V601" s="9"/>
      <c r="W601" s="10"/>
      <c r="X601" s="10"/>
      <c r="Y601" s="10"/>
      <c r="Z601" s="10"/>
    </row>
    <row r="602">
      <c r="A602" s="9"/>
      <c r="B602" s="9"/>
      <c r="C602" s="9"/>
      <c r="D602" s="9"/>
      <c r="E602" s="9"/>
      <c r="F602" s="9"/>
      <c r="G602" s="9"/>
      <c r="H602" s="9"/>
      <c r="I602" s="9"/>
      <c r="J602" s="9"/>
      <c r="K602" s="9"/>
      <c r="L602" s="115"/>
      <c r="M602" s="115"/>
      <c r="N602" s="115"/>
      <c r="O602" s="115"/>
      <c r="P602" s="9"/>
      <c r="Q602" s="9"/>
      <c r="R602" s="9"/>
      <c r="S602" s="9"/>
      <c r="T602" s="9"/>
      <c r="U602" s="9"/>
      <c r="V602" s="9"/>
      <c r="W602" s="10"/>
      <c r="X602" s="10"/>
      <c r="Y602" s="10"/>
      <c r="Z602" s="10"/>
    </row>
    <row r="603">
      <c r="A603" s="9"/>
      <c r="B603" s="9"/>
      <c r="C603" s="9"/>
      <c r="D603" s="9"/>
      <c r="E603" s="9"/>
      <c r="F603" s="9"/>
      <c r="G603" s="9"/>
      <c r="H603" s="9"/>
      <c r="I603" s="9"/>
      <c r="J603" s="9"/>
      <c r="K603" s="9"/>
      <c r="L603" s="115"/>
      <c r="M603" s="115"/>
      <c r="N603" s="115"/>
      <c r="O603" s="115"/>
      <c r="P603" s="9"/>
      <c r="Q603" s="9"/>
      <c r="R603" s="9"/>
      <c r="S603" s="9"/>
      <c r="T603" s="9"/>
      <c r="U603" s="9"/>
      <c r="V603" s="9"/>
      <c r="W603" s="10"/>
      <c r="X603" s="10"/>
      <c r="Y603" s="10"/>
      <c r="Z603" s="10"/>
    </row>
    <row r="604">
      <c r="A604" s="9"/>
      <c r="B604" s="9"/>
      <c r="C604" s="9"/>
      <c r="D604" s="9"/>
      <c r="E604" s="9"/>
      <c r="F604" s="9"/>
      <c r="G604" s="9"/>
      <c r="H604" s="9"/>
      <c r="I604" s="9"/>
      <c r="J604" s="9"/>
      <c r="K604" s="9"/>
      <c r="L604" s="115"/>
      <c r="M604" s="115"/>
      <c r="N604" s="115"/>
      <c r="O604" s="115"/>
      <c r="P604" s="9"/>
      <c r="Q604" s="9"/>
      <c r="R604" s="9"/>
      <c r="S604" s="9"/>
      <c r="T604" s="9"/>
      <c r="U604" s="9"/>
      <c r="V604" s="9"/>
      <c r="W604" s="10"/>
      <c r="X604" s="10"/>
      <c r="Y604" s="10"/>
      <c r="Z604" s="10"/>
    </row>
    <row r="605">
      <c r="A605" s="9"/>
      <c r="B605" s="9"/>
      <c r="C605" s="9"/>
      <c r="D605" s="9"/>
      <c r="E605" s="9"/>
      <c r="F605" s="9"/>
      <c r="G605" s="9"/>
      <c r="H605" s="9"/>
      <c r="I605" s="9"/>
      <c r="J605" s="9"/>
      <c r="K605" s="9"/>
      <c r="L605" s="115"/>
      <c r="M605" s="115"/>
      <c r="N605" s="115"/>
      <c r="O605" s="115"/>
      <c r="P605" s="9"/>
      <c r="Q605" s="9"/>
      <c r="R605" s="9"/>
      <c r="S605" s="9"/>
      <c r="T605" s="9"/>
      <c r="U605" s="9"/>
      <c r="V605" s="9"/>
      <c r="W605" s="10"/>
      <c r="X605" s="10"/>
      <c r="Y605" s="10"/>
      <c r="Z605" s="10"/>
    </row>
    <row r="606">
      <c r="A606" s="9"/>
      <c r="B606" s="9"/>
      <c r="C606" s="9"/>
      <c r="D606" s="9"/>
      <c r="E606" s="9"/>
      <c r="F606" s="9"/>
      <c r="G606" s="9"/>
      <c r="H606" s="9"/>
      <c r="I606" s="9"/>
      <c r="J606" s="9"/>
      <c r="K606" s="9"/>
      <c r="L606" s="115"/>
      <c r="M606" s="115"/>
      <c r="N606" s="115"/>
      <c r="O606" s="115"/>
      <c r="P606" s="9"/>
      <c r="Q606" s="9"/>
      <c r="R606" s="9"/>
      <c r="S606" s="9"/>
      <c r="T606" s="9"/>
      <c r="U606" s="9"/>
      <c r="V606" s="9"/>
      <c r="W606" s="10"/>
      <c r="X606" s="10"/>
      <c r="Y606" s="10"/>
      <c r="Z606" s="10"/>
    </row>
    <row r="607">
      <c r="A607" s="9"/>
      <c r="B607" s="9"/>
      <c r="C607" s="9"/>
      <c r="D607" s="9"/>
      <c r="E607" s="9"/>
      <c r="F607" s="9"/>
      <c r="G607" s="9"/>
      <c r="H607" s="9"/>
      <c r="I607" s="9"/>
      <c r="J607" s="9"/>
      <c r="K607" s="9"/>
      <c r="L607" s="115"/>
      <c r="M607" s="115"/>
      <c r="N607" s="115"/>
      <c r="O607" s="115"/>
      <c r="P607" s="9"/>
      <c r="Q607" s="9"/>
      <c r="R607" s="9"/>
      <c r="S607" s="9"/>
      <c r="T607" s="9"/>
      <c r="U607" s="9"/>
      <c r="V607" s="9"/>
      <c r="W607" s="10"/>
      <c r="X607" s="10"/>
      <c r="Y607" s="10"/>
      <c r="Z607" s="10"/>
    </row>
    <row r="608">
      <c r="A608" s="9"/>
      <c r="B608" s="9"/>
      <c r="C608" s="9"/>
      <c r="D608" s="9"/>
      <c r="E608" s="9"/>
      <c r="F608" s="9"/>
      <c r="G608" s="9"/>
      <c r="H608" s="9"/>
      <c r="I608" s="9"/>
      <c r="J608" s="9"/>
      <c r="K608" s="9"/>
      <c r="L608" s="115"/>
      <c r="M608" s="115"/>
      <c r="N608" s="115"/>
      <c r="O608" s="115"/>
      <c r="P608" s="9"/>
      <c r="Q608" s="9"/>
      <c r="R608" s="9"/>
      <c r="S608" s="9"/>
      <c r="T608" s="9"/>
      <c r="U608" s="9"/>
      <c r="V608" s="9"/>
      <c r="W608" s="10"/>
      <c r="X608" s="10"/>
      <c r="Y608" s="10"/>
      <c r="Z608" s="10"/>
    </row>
    <row r="609">
      <c r="A609" s="9"/>
      <c r="B609" s="9"/>
      <c r="C609" s="9"/>
      <c r="D609" s="9"/>
      <c r="E609" s="9"/>
      <c r="F609" s="9"/>
      <c r="G609" s="9"/>
      <c r="H609" s="9"/>
      <c r="I609" s="9"/>
      <c r="J609" s="9"/>
      <c r="K609" s="9"/>
      <c r="L609" s="115"/>
      <c r="M609" s="115"/>
      <c r="N609" s="115"/>
      <c r="O609" s="115"/>
      <c r="P609" s="9"/>
      <c r="Q609" s="9"/>
      <c r="R609" s="9"/>
      <c r="S609" s="9"/>
      <c r="T609" s="9"/>
      <c r="U609" s="9"/>
      <c r="V609" s="9"/>
      <c r="W609" s="10"/>
      <c r="X609" s="10"/>
      <c r="Y609" s="10"/>
      <c r="Z609" s="10"/>
    </row>
    <row r="610">
      <c r="A610" s="9"/>
      <c r="B610" s="9"/>
      <c r="C610" s="9"/>
      <c r="D610" s="9"/>
      <c r="E610" s="9"/>
      <c r="F610" s="9"/>
      <c r="G610" s="9"/>
      <c r="H610" s="9"/>
      <c r="I610" s="9"/>
      <c r="J610" s="9"/>
      <c r="K610" s="9"/>
      <c r="L610" s="115"/>
      <c r="M610" s="115"/>
      <c r="N610" s="115"/>
      <c r="O610" s="115"/>
      <c r="P610" s="9"/>
      <c r="Q610" s="9"/>
      <c r="R610" s="9"/>
      <c r="S610" s="9"/>
      <c r="T610" s="9"/>
      <c r="U610" s="9"/>
      <c r="V610" s="9"/>
      <c r="W610" s="10"/>
      <c r="X610" s="10"/>
      <c r="Y610" s="10"/>
      <c r="Z610" s="10"/>
    </row>
    <row r="611">
      <c r="A611" s="9"/>
      <c r="B611" s="9"/>
      <c r="C611" s="9"/>
      <c r="D611" s="9"/>
      <c r="E611" s="9"/>
      <c r="F611" s="9"/>
      <c r="G611" s="9"/>
      <c r="H611" s="9"/>
      <c r="I611" s="9"/>
      <c r="J611" s="9"/>
      <c r="K611" s="9"/>
      <c r="L611" s="115"/>
      <c r="M611" s="115"/>
      <c r="N611" s="115"/>
      <c r="O611" s="115"/>
      <c r="P611" s="9"/>
      <c r="Q611" s="9"/>
      <c r="R611" s="9"/>
      <c r="S611" s="9"/>
      <c r="T611" s="9"/>
      <c r="U611" s="9"/>
      <c r="V611" s="9"/>
      <c r="W611" s="10"/>
      <c r="X611" s="10"/>
      <c r="Y611" s="10"/>
      <c r="Z611" s="10"/>
    </row>
    <row r="612">
      <c r="A612" s="9"/>
      <c r="B612" s="9"/>
      <c r="C612" s="9"/>
      <c r="D612" s="9"/>
      <c r="E612" s="9"/>
      <c r="F612" s="9"/>
      <c r="G612" s="9"/>
      <c r="H612" s="9"/>
      <c r="I612" s="9"/>
      <c r="J612" s="9"/>
      <c r="K612" s="9"/>
      <c r="L612" s="115"/>
      <c r="M612" s="115"/>
      <c r="N612" s="115"/>
      <c r="O612" s="115"/>
      <c r="P612" s="9"/>
      <c r="Q612" s="9"/>
      <c r="R612" s="9"/>
      <c r="S612" s="9"/>
      <c r="T612" s="9"/>
      <c r="U612" s="9"/>
      <c r="V612" s="9"/>
      <c r="W612" s="10"/>
      <c r="X612" s="10"/>
      <c r="Y612" s="10"/>
      <c r="Z612" s="10"/>
    </row>
    <row r="613">
      <c r="A613" s="9"/>
      <c r="B613" s="9"/>
      <c r="C613" s="9"/>
      <c r="D613" s="9"/>
      <c r="E613" s="9"/>
      <c r="F613" s="9"/>
      <c r="G613" s="9"/>
      <c r="H613" s="9"/>
      <c r="I613" s="9"/>
      <c r="J613" s="9"/>
      <c r="K613" s="9"/>
      <c r="L613" s="115"/>
      <c r="M613" s="115"/>
      <c r="N613" s="115"/>
      <c r="O613" s="115"/>
      <c r="P613" s="9"/>
      <c r="Q613" s="9"/>
      <c r="R613" s="9"/>
      <c r="S613" s="9"/>
      <c r="T613" s="9"/>
      <c r="U613" s="9"/>
      <c r="V613" s="9"/>
      <c r="W613" s="10"/>
      <c r="X613" s="10"/>
      <c r="Y613" s="10"/>
      <c r="Z613" s="10"/>
    </row>
    <row r="614">
      <c r="A614" s="9"/>
      <c r="B614" s="9"/>
      <c r="C614" s="9"/>
      <c r="D614" s="9"/>
      <c r="E614" s="9"/>
      <c r="F614" s="9"/>
      <c r="G614" s="9"/>
      <c r="H614" s="9"/>
      <c r="I614" s="9"/>
      <c r="J614" s="9"/>
      <c r="K614" s="9"/>
      <c r="L614" s="115"/>
      <c r="M614" s="115"/>
      <c r="N614" s="115"/>
      <c r="O614" s="115"/>
      <c r="P614" s="9"/>
      <c r="Q614" s="9"/>
      <c r="R614" s="9"/>
      <c r="S614" s="9"/>
      <c r="T614" s="9"/>
      <c r="U614" s="9"/>
      <c r="V614" s="9"/>
      <c r="W614" s="10"/>
      <c r="X614" s="10"/>
      <c r="Y614" s="10"/>
      <c r="Z614" s="10"/>
    </row>
    <row r="615">
      <c r="A615" s="9"/>
      <c r="B615" s="9"/>
      <c r="C615" s="9"/>
      <c r="D615" s="9"/>
      <c r="E615" s="9"/>
      <c r="F615" s="9"/>
      <c r="G615" s="9"/>
      <c r="H615" s="9"/>
      <c r="I615" s="9"/>
      <c r="J615" s="9"/>
      <c r="K615" s="9"/>
      <c r="L615" s="115"/>
      <c r="M615" s="115"/>
      <c r="N615" s="115"/>
      <c r="O615" s="115"/>
      <c r="P615" s="9"/>
      <c r="Q615" s="9"/>
      <c r="R615" s="9"/>
      <c r="S615" s="9"/>
      <c r="T615" s="9"/>
      <c r="U615" s="9"/>
      <c r="V615" s="9"/>
      <c r="W615" s="10"/>
      <c r="X615" s="10"/>
      <c r="Y615" s="10"/>
      <c r="Z615" s="10"/>
    </row>
    <row r="616">
      <c r="A616" s="9"/>
      <c r="B616" s="9"/>
      <c r="C616" s="9"/>
      <c r="D616" s="9"/>
      <c r="E616" s="9"/>
      <c r="F616" s="9"/>
      <c r="G616" s="9"/>
      <c r="H616" s="9"/>
      <c r="I616" s="9"/>
      <c r="J616" s="9"/>
      <c r="K616" s="9"/>
      <c r="L616" s="115"/>
      <c r="M616" s="115"/>
      <c r="N616" s="115"/>
      <c r="O616" s="115"/>
      <c r="P616" s="9"/>
      <c r="Q616" s="9"/>
      <c r="R616" s="9"/>
      <c r="S616" s="9"/>
      <c r="T616" s="9"/>
      <c r="U616" s="9"/>
      <c r="V616" s="9"/>
      <c r="W616" s="10"/>
      <c r="X616" s="10"/>
      <c r="Y616" s="10"/>
      <c r="Z616" s="10"/>
    </row>
    <row r="617">
      <c r="A617" s="9"/>
      <c r="B617" s="9"/>
      <c r="C617" s="9"/>
      <c r="D617" s="9"/>
      <c r="E617" s="9"/>
      <c r="F617" s="9"/>
      <c r="G617" s="9"/>
      <c r="H617" s="9"/>
      <c r="I617" s="9"/>
      <c r="J617" s="9"/>
      <c r="K617" s="9"/>
      <c r="L617" s="115"/>
      <c r="M617" s="115"/>
      <c r="N617" s="115"/>
      <c r="O617" s="115"/>
      <c r="P617" s="9"/>
      <c r="Q617" s="9"/>
      <c r="R617" s="9"/>
      <c r="S617" s="9"/>
      <c r="T617" s="9"/>
      <c r="U617" s="9"/>
      <c r="V617" s="9"/>
      <c r="W617" s="10"/>
      <c r="X617" s="10"/>
      <c r="Y617" s="10"/>
      <c r="Z617" s="10"/>
    </row>
    <row r="618">
      <c r="A618" s="9"/>
      <c r="B618" s="9"/>
      <c r="C618" s="9"/>
      <c r="D618" s="9"/>
      <c r="E618" s="9"/>
      <c r="F618" s="9"/>
      <c r="G618" s="9"/>
      <c r="H618" s="9"/>
      <c r="I618" s="9"/>
      <c r="J618" s="9"/>
      <c r="K618" s="9"/>
      <c r="L618" s="115"/>
      <c r="M618" s="115"/>
      <c r="N618" s="115"/>
      <c r="O618" s="115"/>
      <c r="P618" s="9"/>
      <c r="Q618" s="9"/>
      <c r="R618" s="9"/>
      <c r="S618" s="9"/>
      <c r="T618" s="9"/>
      <c r="U618" s="9"/>
      <c r="V618" s="9"/>
      <c r="W618" s="10"/>
      <c r="X618" s="10"/>
      <c r="Y618" s="10"/>
      <c r="Z618" s="10"/>
    </row>
    <row r="619">
      <c r="A619" s="9"/>
      <c r="B619" s="9"/>
      <c r="C619" s="9"/>
      <c r="D619" s="9"/>
      <c r="E619" s="9"/>
      <c r="F619" s="9"/>
      <c r="G619" s="9"/>
      <c r="H619" s="9"/>
      <c r="I619" s="9"/>
      <c r="J619" s="9"/>
      <c r="K619" s="9"/>
      <c r="L619" s="115"/>
      <c r="M619" s="115"/>
      <c r="N619" s="115"/>
      <c r="O619" s="115"/>
      <c r="P619" s="9"/>
      <c r="Q619" s="9"/>
      <c r="R619" s="9"/>
      <c r="S619" s="9"/>
      <c r="T619" s="9"/>
      <c r="U619" s="9"/>
      <c r="V619" s="9"/>
      <c r="W619" s="10"/>
      <c r="X619" s="10"/>
      <c r="Y619" s="10"/>
      <c r="Z619" s="10"/>
    </row>
    <row r="620">
      <c r="A620" s="9"/>
      <c r="B620" s="9"/>
      <c r="C620" s="9"/>
      <c r="D620" s="9"/>
      <c r="E620" s="9"/>
      <c r="F620" s="9"/>
      <c r="G620" s="9"/>
      <c r="H620" s="9"/>
      <c r="I620" s="9"/>
      <c r="J620" s="9"/>
      <c r="K620" s="9"/>
      <c r="L620" s="115"/>
      <c r="M620" s="115"/>
      <c r="N620" s="115"/>
      <c r="O620" s="115"/>
      <c r="P620" s="9"/>
      <c r="Q620" s="9"/>
      <c r="R620" s="9"/>
      <c r="S620" s="9"/>
      <c r="T620" s="9"/>
      <c r="U620" s="9"/>
      <c r="V620" s="9"/>
      <c r="W620" s="10"/>
      <c r="X620" s="10"/>
      <c r="Y620" s="10"/>
      <c r="Z620" s="10"/>
    </row>
    <row r="621">
      <c r="A621" s="9"/>
      <c r="B621" s="9"/>
      <c r="C621" s="9"/>
      <c r="D621" s="9"/>
      <c r="E621" s="9"/>
      <c r="F621" s="9"/>
      <c r="G621" s="9"/>
      <c r="H621" s="9"/>
      <c r="I621" s="9"/>
      <c r="J621" s="9"/>
      <c r="K621" s="9"/>
      <c r="L621" s="115"/>
      <c r="M621" s="115"/>
      <c r="N621" s="115"/>
      <c r="O621" s="115"/>
      <c r="P621" s="9"/>
      <c r="Q621" s="9"/>
      <c r="R621" s="9"/>
      <c r="S621" s="9"/>
      <c r="T621" s="9"/>
      <c r="U621" s="9"/>
      <c r="V621" s="9"/>
      <c r="W621" s="10"/>
      <c r="X621" s="10"/>
      <c r="Y621" s="10"/>
      <c r="Z621" s="10"/>
    </row>
    <row r="622">
      <c r="A622" s="9"/>
      <c r="B622" s="9"/>
      <c r="C622" s="9"/>
      <c r="D622" s="9"/>
      <c r="E622" s="9"/>
      <c r="F622" s="9"/>
      <c r="G622" s="9"/>
      <c r="H622" s="9"/>
      <c r="I622" s="9"/>
      <c r="J622" s="9"/>
      <c r="K622" s="9"/>
      <c r="L622" s="115"/>
      <c r="M622" s="115"/>
      <c r="N622" s="115"/>
      <c r="O622" s="115"/>
      <c r="P622" s="9"/>
      <c r="Q622" s="9"/>
      <c r="R622" s="9"/>
      <c r="S622" s="9"/>
      <c r="T622" s="9"/>
      <c r="U622" s="9"/>
      <c r="V622" s="9"/>
      <c r="W622" s="10"/>
      <c r="X622" s="10"/>
      <c r="Y622" s="10"/>
      <c r="Z622" s="10"/>
    </row>
    <row r="623">
      <c r="A623" s="9"/>
      <c r="B623" s="9"/>
      <c r="C623" s="9"/>
      <c r="D623" s="9"/>
      <c r="E623" s="9"/>
      <c r="F623" s="9"/>
      <c r="G623" s="9"/>
      <c r="H623" s="9"/>
      <c r="I623" s="9"/>
      <c r="J623" s="9"/>
      <c r="K623" s="9"/>
      <c r="L623" s="115"/>
      <c r="M623" s="115"/>
      <c r="N623" s="115"/>
      <c r="O623" s="115"/>
      <c r="P623" s="9"/>
      <c r="Q623" s="9"/>
      <c r="R623" s="9"/>
      <c r="S623" s="9"/>
      <c r="T623" s="9"/>
      <c r="U623" s="9"/>
      <c r="V623" s="9"/>
      <c r="W623" s="10"/>
      <c r="X623" s="10"/>
      <c r="Y623" s="10"/>
      <c r="Z623" s="10"/>
    </row>
    <row r="624">
      <c r="A624" s="9"/>
      <c r="B624" s="9"/>
      <c r="C624" s="9"/>
      <c r="D624" s="9"/>
      <c r="E624" s="9"/>
      <c r="F624" s="9"/>
      <c r="G624" s="9"/>
      <c r="H624" s="9"/>
      <c r="I624" s="9"/>
      <c r="J624" s="9"/>
      <c r="K624" s="9"/>
      <c r="L624" s="115"/>
      <c r="M624" s="115"/>
      <c r="N624" s="115"/>
      <c r="O624" s="115"/>
      <c r="P624" s="9"/>
      <c r="Q624" s="9"/>
      <c r="R624" s="9"/>
      <c r="S624" s="9"/>
      <c r="T624" s="9"/>
      <c r="U624" s="9"/>
      <c r="V624" s="9"/>
      <c r="W624" s="10"/>
      <c r="X624" s="10"/>
      <c r="Y624" s="10"/>
      <c r="Z624" s="10"/>
    </row>
    <row r="625">
      <c r="A625" s="9"/>
      <c r="B625" s="9"/>
      <c r="C625" s="9"/>
      <c r="D625" s="9"/>
      <c r="E625" s="9"/>
      <c r="F625" s="9"/>
      <c r="G625" s="9"/>
      <c r="H625" s="9"/>
      <c r="I625" s="9"/>
      <c r="J625" s="9"/>
      <c r="K625" s="9"/>
      <c r="L625" s="115"/>
      <c r="M625" s="115"/>
      <c r="N625" s="115"/>
      <c r="O625" s="115"/>
      <c r="P625" s="9"/>
      <c r="Q625" s="9"/>
      <c r="R625" s="9"/>
      <c r="S625" s="9"/>
      <c r="T625" s="9"/>
      <c r="U625" s="9"/>
      <c r="V625" s="9"/>
      <c r="W625" s="10"/>
      <c r="X625" s="10"/>
      <c r="Y625" s="10"/>
      <c r="Z625" s="10"/>
    </row>
    <row r="626">
      <c r="A626" s="9"/>
      <c r="B626" s="9"/>
      <c r="C626" s="9"/>
      <c r="D626" s="9"/>
      <c r="E626" s="9"/>
      <c r="F626" s="9"/>
      <c r="G626" s="9"/>
      <c r="H626" s="9"/>
      <c r="I626" s="9"/>
      <c r="J626" s="9"/>
      <c r="K626" s="9"/>
      <c r="L626" s="115"/>
      <c r="M626" s="115"/>
      <c r="N626" s="115"/>
      <c r="O626" s="115"/>
      <c r="P626" s="9"/>
      <c r="Q626" s="9"/>
      <c r="R626" s="9"/>
      <c r="S626" s="9"/>
      <c r="T626" s="9"/>
      <c r="U626" s="9"/>
      <c r="V626" s="9"/>
      <c r="W626" s="10"/>
      <c r="X626" s="10"/>
      <c r="Y626" s="10"/>
      <c r="Z626" s="10"/>
    </row>
    <row r="627">
      <c r="A627" s="9"/>
      <c r="B627" s="9"/>
      <c r="C627" s="9"/>
      <c r="D627" s="9"/>
      <c r="E627" s="9"/>
      <c r="F627" s="9"/>
      <c r="G627" s="9"/>
      <c r="H627" s="9"/>
      <c r="I627" s="9"/>
      <c r="J627" s="9"/>
      <c r="K627" s="9"/>
      <c r="L627" s="115"/>
      <c r="M627" s="115"/>
      <c r="N627" s="115"/>
      <c r="O627" s="115"/>
      <c r="P627" s="9"/>
      <c r="Q627" s="9"/>
      <c r="R627" s="9"/>
      <c r="S627" s="9"/>
      <c r="T627" s="9"/>
      <c r="U627" s="9"/>
      <c r="V627" s="9"/>
      <c r="W627" s="10"/>
      <c r="X627" s="10"/>
      <c r="Y627" s="10"/>
      <c r="Z627" s="10"/>
    </row>
    <row r="628">
      <c r="A628" s="9"/>
      <c r="B628" s="9"/>
      <c r="C628" s="9"/>
      <c r="D628" s="9"/>
      <c r="E628" s="9"/>
      <c r="F628" s="9"/>
      <c r="G628" s="9"/>
      <c r="H628" s="9"/>
      <c r="I628" s="9"/>
      <c r="J628" s="9"/>
      <c r="K628" s="9"/>
      <c r="L628" s="115"/>
      <c r="M628" s="115"/>
      <c r="N628" s="115"/>
      <c r="O628" s="115"/>
      <c r="P628" s="9"/>
      <c r="Q628" s="9"/>
      <c r="R628" s="9"/>
      <c r="S628" s="9"/>
      <c r="T628" s="9"/>
      <c r="U628" s="9"/>
      <c r="V628" s="9"/>
      <c r="W628" s="10"/>
      <c r="X628" s="10"/>
      <c r="Y628" s="10"/>
      <c r="Z628" s="10"/>
    </row>
    <row r="629">
      <c r="A629" s="9"/>
      <c r="B629" s="9"/>
      <c r="C629" s="9"/>
      <c r="D629" s="9"/>
      <c r="E629" s="9"/>
      <c r="F629" s="9"/>
      <c r="G629" s="9"/>
      <c r="H629" s="9"/>
      <c r="I629" s="9"/>
      <c r="J629" s="9"/>
      <c r="K629" s="9"/>
      <c r="L629" s="115"/>
      <c r="M629" s="115"/>
      <c r="N629" s="115"/>
      <c r="O629" s="115"/>
      <c r="P629" s="9"/>
      <c r="Q629" s="9"/>
      <c r="R629" s="9"/>
      <c r="S629" s="9"/>
      <c r="T629" s="9"/>
      <c r="U629" s="9"/>
      <c r="V629" s="9"/>
      <c r="W629" s="10"/>
      <c r="X629" s="10"/>
      <c r="Y629" s="10"/>
      <c r="Z629" s="10"/>
    </row>
    <row r="630">
      <c r="A630" s="9"/>
      <c r="B630" s="9"/>
      <c r="C630" s="9"/>
      <c r="D630" s="9"/>
      <c r="E630" s="9"/>
      <c r="F630" s="9"/>
      <c r="G630" s="9"/>
      <c r="H630" s="9"/>
      <c r="I630" s="9"/>
      <c r="J630" s="9"/>
      <c r="K630" s="9"/>
      <c r="L630" s="115"/>
      <c r="M630" s="115"/>
      <c r="N630" s="115"/>
      <c r="O630" s="115"/>
      <c r="P630" s="9"/>
      <c r="Q630" s="9"/>
      <c r="R630" s="9"/>
      <c r="S630" s="9"/>
      <c r="T630" s="9"/>
      <c r="U630" s="9"/>
      <c r="V630" s="9"/>
      <c r="W630" s="10"/>
      <c r="X630" s="10"/>
      <c r="Y630" s="10"/>
      <c r="Z630" s="10"/>
    </row>
    <row r="631">
      <c r="A631" s="9"/>
      <c r="B631" s="9"/>
      <c r="C631" s="9"/>
      <c r="D631" s="9"/>
      <c r="E631" s="9"/>
      <c r="F631" s="9"/>
      <c r="G631" s="9"/>
      <c r="H631" s="9"/>
      <c r="I631" s="9"/>
      <c r="J631" s="9"/>
      <c r="K631" s="9"/>
      <c r="L631" s="115"/>
      <c r="M631" s="115"/>
      <c r="N631" s="115"/>
      <c r="O631" s="115"/>
      <c r="P631" s="9"/>
      <c r="Q631" s="9"/>
      <c r="R631" s="9"/>
      <c r="S631" s="9"/>
      <c r="T631" s="9"/>
      <c r="U631" s="9"/>
      <c r="V631" s="9"/>
      <c r="W631" s="10"/>
      <c r="X631" s="10"/>
      <c r="Y631" s="10"/>
      <c r="Z631" s="10"/>
    </row>
    <row r="632">
      <c r="A632" s="9"/>
      <c r="B632" s="9"/>
      <c r="C632" s="9"/>
      <c r="D632" s="9"/>
      <c r="E632" s="9"/>
      <c r="F632" s="9"/>
      <c r="G632" s="9"/>
      <c r="H632" s="9"/>
      <c r="I632" s="9"/>
      <c r="J632" s="9"/>
      <c r="K632" s="9"/>
      <c r="L632" s="115"/>
      <c r="M632" s="115"/>
      <c r="N632" s="115"/>
      <c r="O632" s="115"/>
      <c r="P632" s="9"/>
      <c r="Q632" s="9"/>
      <c r="R632" s="9"/>
      <c r="S632" s="9"/>
      <c r="T632" s="9"/>
      <c r="U632" s="9"/>
      <c r="V632" s="9"/>
      <c r="W632" s="10"/>
      <c r="X632" s="10"/>
      <c r="Y632" s="10"/>
      <c r="Z632" s="10"/>
    </row>
    <row r="633">
      <c r="A633" s="9"/>
      <c r="B633" s="9"/>
      <c r="C633" s="9"/>
      <c r="D633" s="9"/>
      <c r="E633" s="9"/>
      <c r="F633" s="9"/>
      <c r="G633" s="9"/>
      <c r="H633" s="9"/>
      <c r="I633" s="9"/>
      <c r="J633" s="9"/>
      <c r="K633" s="9"/>
      <c r="L633" s="115"/>
      <c r="M633" s="115"/>
      <c r="N633" s="115"/>
      <c r="O633" s="115"/>
      <c r="P633" s="9"/>
      <c r="Q633" s="9"/>
      <c r="R633" s="9"/>
      <c r="S633" s="9"/>
      <c r="T633" s="9"/>
      <c r="U633" s="9"/>
      <c r="V633" s="9"/>
      <c r="W633" s="10"/>
      <c r="X633" s="10"/>
      <c r="Y633" s="10"/>
      <c r="Z633" s="10"/>
    </row>
    <row r="634">
      <c r="A634" s="9"/>
      <c r="B634" s="9"/>
      <c r="C634" s="9"/>
      <c r="D634" s="9"/>
      <c r="E634" s="9"/>
      <c r="F634" s="9"/>
      <c r="G634" s="9"/>
      <c r="H634" s="9"/>
      <c r="I634" s="9"/>
      <c r="J634" s="9"/>
      <c r="K634" s="9"/>
      <c r="L634" s="115"/>
      <c r="M634" s="115"/>
      <c r="N634" s="115"/>
      <c r="O634" s="115"/>
      <c r="P634" s="9"/>
      <c r="Q634" s="9"/>
      <c r="R634" s="9"/>
      <c r="S634" s="9"/>
      <c r="T634" s="9"/>
      <c r="U634" s="9"/>
      <c r="V634" s="9"/>
      <c r="W634" s="10"/>
      <c r="X634" s="10"/>
      <c r="Y634" s="10"/>
      <c r="Z634" s="10"/>
    </row>
    <row r="635">
      <c r="A635" s="9"/>
      <c r="B635" s="9"/>
      <c r="C635" s="9"/>
      <c r="D635" s="9"/>
      <c r="E635" s="9"/>
      <c r="F635" s="9"/>
      <c r="G635" s="9"/>
      <c r="H635" s="9"/>
      <c r="I635" s="9"/>
      <c r="J635" s="9"/>
      <c r="K635" s="9"/>
      <c r="L635" s="115"/>
      <c r="M635" s="115"/>
      <c r="N635" s="115"/>
      <c r="O635" s="115"/>
      <c r="P635" s="9"/>
      <c r="Q635" s="9"/>
      <c r="R635" s="9"/>
      <c r="S635" s="9"/>
      <c r="T635" s="9"/>
      <c r="U635" s="9"/>
      <c r="V635" s="9"/>
      <c r="W635" s="10"/>
      <c r="X635" s="10"/>
      <c r="Y635" s="10"/>
      <c r="Z635" s="10"/>
    </row>
    <row r="636">
      <c r="A636" s="9"/>
      <c r="B636" s="9"/>
      <c r="C636" s="9"/>
      <c r="D636" s="9"/>
      <c r="E636" s="9"/>
      <c r="F636" s="9"/>
      <c r="G636" s="9"/>
      <c r="H636" s="9"/>
      <c r="I636" s="9"/>
      <c r="J636" s="9"/>
      <c r="K636" s="9"/>
      <c r="L636" s="115"/>
      <c r="M636" s="115"/>
      <c r="N636" s="115"/>
      <c r="O636" s="115"/>
      <c r="P636" s="9"/>
      <c r="Q636" s="9"/>
      <c r="R636" s="9"/>
      <c r="S636" s="9"/>
      <c r="T636" s="9"/>
      <c r="U636" s="9"/>
      <c r="V636" s="9"/>
      <c r="W636" s="10"/>
      <c r="X636" s="10"/>
      <c r="Y636" s="10"/>
      <c r="Z636" s="10"/>
    </row>
    <row r="637">
      <c r="A637" s="9"/>
      <c r="B637" s="9"/>
      <c r="C637" s="9"/>
      <c r="D637" s="9"/>
      <c r="E637" s="9"/>
      <c r="F637" s="9"/>
      <c r="G637" s="9"/>
      <c r="H637" s="9"/>
      <c r="I637" s="9"/>
      <c r="J637" s="9"/>
      <c r="K637" s="9"/>
      <c r="L637" s="115"/>
      <c r="M637" s="115"/>
      <c r="N637" s="115"/>
      <c r="O637" s="115"/>
      <c r="P637" s="9"/>
      <c r="Q637" s="9"/>
      <c r="R637" s="9"/>
      <c r="S637" s="9"/>
      <c r="T637" s="9"/>
      <c r="U637" s="9"/>
      <c r="V637" s="9"/>
      <c r="W637" s="10"/>
      <c r="X637" s="10"/>
      <c r="Y637" s="10"/>
      <c r="Z637" s="10"/>
    </row>
    <row r="638">
      <c r="A638" s="9"/>
      <c r="B638" s="9"/>
      <c r="C638" s="9"/>
      <c r="D638" s="9"/>
      <c r="E638" s="9"/>
      <c r="F638" s="9"/>
      <c r="G638" s="9"/>
      <c r="H638" s="9"/>
      <c r="I638" s="9"/>
      <c r="J638" s="9"/>
      <c r="K638" s="9"/>
      <c r="L638" s="115"/>
      <c r="M638" s="115"/>
      <c r="N638" s="115"/>
      <c r="O638" s="115"/>
      <c r="P638" s="9"/>
      <c r="Q638" s="9"/>
      <c r="R638" s="9"/>
      <c r="S638" s="9"/>
      <c r="T638" s="9"/>
      <c r="U638" s="9"/>
      <c r="V638" s="9"/>
      <c r="W638" s="10"/>
      <c r="X638" s="10"/>
      <c r="Y638" s="10"/>
      <c r="Z638" s="10"/>
    </row>
    <row r="639">
      <c r="A639" s="9"/>
      <c r="B639" s="9"/>
      <c r="C639" s="9"/>
      <c r="D639" s="9"/>
      <c r="E639" s="9"/>
      <c r="F639" s="9"/>
      <c r="G639" s="9"/>
      <c r="H639" s="9"/>
      <c r="I639" s="9"/>
      <c r="J639" s="9"/>
      <c r="K639" s="9"/>
      <c r="L639" s="115"/>
      <c r="M639" s="115"/>
      <c r="N639" s="115"/>
      <c r="O639" s="115"/>
      <c r="P639" s="9"/>
      <c r="Q639" s="9"/>
      <c r="R639" s="9"/>
      <c r="S639" s="9"/>
      <c r="T639" s="9"/>
      <c r="U639" s="9"/>
      <c r="V639" s="9"/>
      <c r="W639" s="10"/>
      <c r="X639" s="10"/>
      <c r="Y639" s="10"/>
      <c r="Z639" s="10"/>
    </row>
    <row r="640">
      <c r="A640" s="9"/>
      <c r="B640" s="9"/>
      <c r="C640" s="9"/>
      <c r="D640" s="9"/>
      <c r="E640" s="9"/>
      <c r="F640" s="9"/>
      <c r="G640" s="9"/>
      <c r="H640" s="9"/>
      <c r="I640" s="9"/>
      <c r="J640" s="9"/>
      <c r="K640" s="9"/>
      <c r="L640" s="115"/>
      <c r="M640" s="115"/>
      <c r="N640" s="115"/>
      <c r="O640" s="115"/>
      <c r="P640" s="9"/>
      <c r="Q640" s="9"/>
      <c r="R640" s="9"/>
      <c r="S640" s="9"/>
      <c r="T640" s="9"/>
      <c r="U640" s="9"/>
      <c r="V640" s="9"/>
      <c r="W640" s="10"/>
      <c r="X640" s="10"/>
      <c r="Y640" s="10"/>
      <c r="Z640" s="10"/>
    </row>
    <row r="641">
      <c r="A641" s="9"/>
      <c r="B641" s="9"/>
      <c r="C641" s="9"/>
      <c r="D641" s="9"/>
      <c r="E641" s="9"/>
      <c r="F641" s="9"/>
      <c r="G641" s="9"/>
      <c r="H641" s="9"/>
      <c r="I641" s="9"/>
      <c r="J641" s="9"/>
      <c r="K641" s="9"/>
      <c r="L641" s="115"/>
      <c r="M641" s="115"/>
      <c r="N641" s="115"/>
      <c r="O641" s="115"/>
      <c r="P641" s="9"/>
      <c r="Q641" s="9"/>
      <c r="R641" s="9"/>
      <c r="S641" s="9"/>
      <c r="T641" s="9"/>
      <c r="U641" s="9"/>
      <c r="V641" s="9"/>
      <c r="W641" s="10"/>
      <c r="X641" s="10"/>
      <c r="Y641" s="10"/>
      <c r="Z641" s="10"/>
    </row>
    <row r="642">
      <c r="A642" s="9"/>
      <c r="B642" s="9"/>
      <c r="C642" s="9"/>
      <c r="D642" s="9"/>
      <c r="E642" s="9"/>
      <c r="F642" s="9"/>
      <c r="G642" s="9"/>
      <c r="H642" s="9"/>
      <c r="I642" s="9"/>
      <c r="J642" s="9"/>
      <c r="K642" s="9"/>
      <c r="L642" s="115"/>
      <c r="M642" s="115"/>
      <c r="N642" s="115"/>
      <c r="O642" s="115"/>
      <c r="P642" s="9"/>
      <c r="Q642" s="9"/>
      <c r="R642" s="9"/>
      <c r="S642" s="9"/>
      <c r="T642" s="9"/>
      <c r="U642" s="9"/>
      <c r="V642" s="9"/>
      <c r="W642" s="10"/>
      <c r="X642" s="10"/>
      <c r="Y642" s="10"/>
      <c r="Z642" s="10"/>
    </row>
    <row r="643">
      <c r="A643" s="9"/>
      <c r="B643" s="9"/>
      <c r="C643" s="9"/>
      <c r="D643" s="9"/>
      <c r="E643" s="9"/>
      <c r="F643" s="9"/>
      <c r="G643" s="9"/>
      <c r="H643" s="9"/>
      <c r="I643" s="9"/>
      <c r="J643" s="9"/>
      <c r="K643" s="9"/>
      <c r="L643" s="115"/>
      <c r="M643" s="115"/>
      <c r="N643" s="115"/>
      <c r="O643" s="115"/>
      <c r="P643" s="9"/>
      <c r="Q643" s="9"/>
      <c r="R643" s="9"/>
      <c r="S643" s="9"/>
      <c r="T643" s="9"/>
      <c r="U643" s="9"/>
      <c r="V643" s="9"/>
      <c r="W643" s="10"/>
      <c r="X643" s="10"/>
      <c r="Y643" s="10"/>
      <c r="Z643" s="10"/>
    </row>
    <row r="644">
      <c r="A644" s="9"/>
      <c r="B644" s="9"/>
      <c r="C644" s="9"/>
      <c r="D644" s="9"/>
      <c r="E644" s="9"/>
      <c r="F644" s="9"/>
      <c r="G644" s="9"/>
      <c r="H644" s="9"/>
      <c r="I644" s="9"/>
      <c r="J644" s="9"/>
      <c r="K644" s="9"/>
      <c r="L644" s="115"/>
      <c r="M644" s="115"/>
      <c r="N644" s="115"/>
      <c r="O644" s="115"/>
      <c r="P644" s="9"/>
      <c r="Q644" s="9"/>
      <c r="R644" s="9"/>
      <c r="S644" s="9"/>
      <c r="T644" s="9"/>
      <c r="U644" s="9"/>
      <c r="V644" s="9"/>
      <c r="W644" s="10"/>
      <c r="X644" s="10"/>
      <c r="Y644" s="10"/>
      <c r="Z644" s="10"/>
    </row>
    <row r="645">
      <c r="A645" s="9"/>
      <c r="B645" s="9"/>
      <c r="C645" s="9"/>
      <c r="D645" s="9"/>
      <c r="E645" s="9"/>
      <c r="F645" s="9"/>
      <c r="G645" s="9"/>
      <c r="H645" s="9"/>
      <c r="I645" s="9"/>
      <c r="J645" s="9"/>
      <c r="K645" s="9"/>
      <c r="L645" s="115"/>
      <c r="M645" s="115"/>
      <c r="N645" s="115"/>
      <c r="O645" s="115"/>
      <c r="P645" s="9"/>
      <c r="Q645" s="9"/>
      <c r="R645" s="9"/>
      <c r="S645" s="9"/>
      <c r="T645" s="9"/>
      <c r="U645" s="9"/>
      <c r="V645" s="9"/>
      <c r="W645" s="10"/>
      <c r="X645" s="10"/>
      <c r="Y645" s="10"/>
      <c r="Z645" s="10"/>
    </row>
    <row r="646">
      <c r="A646" s="9"/>
      <c r="B646" s="9"/>
      <c r="C646" s="9"/>
      <c r="D646" s="9"/>
      <c r="E646" s="9"/>
      <c r="F646" s="9"/>
      <c r="G646" s="9"/>
      <c r="H646" s="9"/>
      <c r="I646" s="9"/>
      <c r="J646" s="9"/>
      <c r="K646" s="9"/>
      <c r="L646" s="115"/>
      <c r="M646" s="115"/>
      <c r="N646" s="115"/>
      <c r="O646" s="115"/>
      <c r="P646" s="9"/>
      <c r="Q646" s="9"/>
      <c r="R646" s="9"/>
      <c r="S646" s="9"/>
      <c r="T646" s="9"/>
      <c r="U646" s="9"/>
      <c r="V646" s="9"/>
      <c r="W646" s="10"/>
      <c r="X646" s="10"/>
      <c r="Y646" s="10"/>
      <c r="Z646" s="10"/>
    </row>
    <row r="647">
      <c r="A647" s="9"/>
      <c r="B647" s="9"/>
      <c r="C647" s="9"/>
      <c r="D647" s="9"/>
      <c r="E647" s="9"/>
      <c r="F647" s="9"/>
      <c r="G647" s="9"/>
      <c r="H647" s="9"/>
      <c r="I647" s="9"/>
      <c r="J647" s="9"/>
      <c r="K647" s="9"/>
      <c r="L647" s="115"/>
      <c r="M647" s="115"/>
      <c r="N647" s="115"/>
      <c r="O647" s="115"/>
      <c r="P647" s="9"/>
      <c r="Q647" s="9"/>
      <c r="R647" s="9"/>
      <c r="S647" s="9"/>
      <c r="T647" s="9"/>
      <c r="U647" s="9"/>
      <c r="V647" s="9"/>
      <c r="W647" s="10"/>
      <c r="X647" s="10"/>
      <c r="Y647" s="10"/>
      <c r="Z647" s="10"/>
    </row>
    <row r="648">
      <c r="A648" s="9"/>
      <c r="B648" s="9"/>
      <c r="C648" s="9"/>
      <c r="D648" s="9"/>
      <c r="E648" s="9"/>
      <c r="F648" s="9"/>
      <c r="G648" s="9"/>
      <c r="H648" s="9"/>
      <c r="I648" s="9"/>
      <c r="J648" s="9"/>
      <c r="K648" s="9"/>
      <c r="L648" s="115"/>
      <c r="M648" s="115"/>
      <c r="N648" s="115"/>
      <c r="O648" s="115"/>
      <c r="P648" s="9"/>
      <c r="Q648" s="9"/>
      <c r="R648" s="9"/>
      <c r="S648" s="9"/>
      <c r="T648" s="9"/>
      <c r="U648" s="9"/>
      <c r="V648" s="9"/>
      <c r="W648" s="10"/>
      <c r="X648" s="10"/>
      <c r="Y648" s="10"/>
      <c r="Z648" s="10"/>
    </row>
    <row r="649">
      <c r="A649" s="9"/>
      <c r="B649" s="9"/>
      <c r="C649" s="9"/>
      <c r="D649" s="9"/>
      <c r="E649" s="9"/>
      <c r="F649" s="9"/>
      <c r="G649" s="9"/>
      <c r="H649" s="9"/>
      <c r="I649" s="9"/>
      <c r="J649" s="9"/>
      <c r="K649" s="9"/>
      <c r="L649" s="115"/>
      <c r="M649" s="115"/>
      <c r="N649" s="115"/>
      <c r="O649" s="115"/>
      <c r="P649" s="9"/>
      <c r="Q649" s="9"/>
      <c r="R649" s="9"/>
      <c r="S649" s="9"/>
      <c r="T649" s="9"/>
      <c r="U649" s="9"/>
      <c r="V649" s="9"/>
      <c r="W649" s="10"/>
      <c r="X649" s="10"/>
      <c r="Y649" s="10"/>
      <c r="Z649" s="10"/>
    </row>
    <row r="650">
      <c r="A650" s="9"/>
      <c r="B650" s="9"/>
      <c r="C650" s="9"/>
      <c r="D650" s="9"/>
      <c r="E650" s="9"/>
      <c r="F650" s="9"/>
      <c r="G650" s="9"/>
      <c r="H650" s="9"/>
      <c r="I650" s="9"/>
      <c r="J650" s="9"/>
      <c r="K650" s="9"/>
      <c r="L650" s="115"/>
      <c r="M650" s="115"/>
      <c r="N650" s="115"/>
      <c r="O650" s="115"/>
      <c r="P650" s="9"/>
      <c r="Q650" s="9"/>
      <c r="R650" s="9"/>
      <c r="S650" s="9"/>
      <c r="T650" s="9"/>
      <c r="U650" s="9"/>
      <c r="V650" s="9"/>
      <c r="W650" s="10"/>
      <c r="X650" s="10"/>
      <c r="Y650" s="10"/>
      <c r="Z650" s="10"/>
    </row>
    <row r="651">
      <c r="A651" s="9"/>
      <c r="B651" s="9"/>
      <c r="C651" s="9"/>
      <c r="D651" s="9"/>
      <c r="E651" s="9"/>
      <c r="F651" s="9"/>
      <c r="G651" s="9"/>
      <c r="H651" s="9"/>
      <c r="I651" s="9"/>
      <c r="J651" s="9"/>
      <c r="K651" s="9"/>
      <c r="L651" s="115"/>
      <c r="M651" s="115"/>
      <c r="N651" s="115"/>
      <c r="O651" s="115"/>
      <c r="P651" s="9"/>
      <c r="Q651" s="9"/>
      <c r="R651" s="9"/>
      <c r="S651" s="9"/>
      <c r="T651" s="9"/>
      <c r="U651" s="9"/>
      <c r="V651" s="9"/>
      <c r="W651" s="10"/>
      <c r="X651" s="10"/>
      <c r="Y651" s="10"/>
      <c r="Z651" s="10"/>
    </row>
    <row r="652">
      <c r="A652" s="9"/>
      <c r="B652" s="9"/>
      <c r="C652" s="9"/>
      <c r="D652" s="9"/>
      <c r="E652" s="9"/>
      <c r="F652" s="9"/>
      <c r="G652" s="9"/>
      <c r="H652" s="9"/>
      <c r="I652" s="9"/>
      <c r="J652" s="9"/>
      <c r="K652" s="9"/>
      <c r="L652" s="115"/>
      <c r="M652" s="115"/>
      <c r="N652" s="115"/>
      <c r="O652" s="115"/>
      <c r="P652" s="9"/>
      <c r="Q652" s="9"/>
      <c r="R652" s="9"/>
      <c r="S652" s="9"/>
      <c r="T652" s="9"/>
      <c r="U652" s="9"/>
      <c r="V652" s="9"/>
      <c r="W652" s="10"/>
      <c r="X652" s="10"/>
      <c r="Y652" s="10"/>
      <c r="Z652" s="10"/>
    </row>
    <row r="653">
      <c r="A653" s="9"/>
      <c r="B653" s="9"/>
      <c r="C653" s="9"/>
      <c r="D653" s="9"/>
      <c r="E653" s="9"/>
      <c r="F653" s="9"/>
      <c r="G653" s="9"/>
      <c r="H653" s="9"/>
      <c r="I653" s="9"/>
      <c r="J653" s="9"/>
      <c r="K653" s="9"/>
      <c r="L653" s="115"/>
      <c r="M653" s="115"/>
      <c r="N653" s="115"/>
      <c r="O653" s="115"/>
      <c r="P653" s="9"/>
      <c r="Q653" s="9"/>
      <c r="R653" s="9"/>
      <c r="S653" s="9"/>
      <c r="T653" s="9"/>
      <c r="U653" s="9"/>
      <c r="V653" s="9"/>
      <c r="W653" s="10"/>
      <c r="X653" s="10"/>
      <c r="Y653" s="10"/>
      <c r="Z653" s="10"/>
    </row>
    <row r="654">
      <c r="A654" s="9"/>
      <c r="B654" s="9"/>
      <c r="C654" s="9"/>
      <c r="D654" s="9"/>
      <c r="E654" s="9"/>
      <c r="F654" s="9"/>
      <c r="G654" s="9"/>
      <c r="H654" s="9"/>
      <c r="I654" s="9"/>
      <c r="J654" s="9"/>
      <c r="K654" s="9"/>
      <c r="L654" s="115"/>
      <c r="M654" s="115"/>
      <c r="N654" s="115"/>
      <c r="O654" s="115"/>
      <c r="P654" s="9"/>
      <c r="Q654" s="9"/>
      <c r="R654" s="9"/>
      <c r="S654" s="9"/>
      <c r="T654" s="9"/>
      <c r="U654" s="9"/>
      <c r="V654" s="9"/>
      <c r="W654" s="10"/>
      <c r="X654" s="10"/>
      <c r="Y654" s="10"/>
      <c r="Z654" s="10"/>
    </row>
    <row r="655">
      <c r="A655" s="9"/>
      <c r="B655" s="9"/>
      <c r="C655" s="9"/>
      <c r="D655" s="9"/>
      <c r="E655" s="9"/>
      <c r="F655" s="9"/>
      <c r="G655" s="9"/>
      <c r="H655" s="9"/>
      <c r="I655" s="9"/>
      <c r="J655" s="9"/>
      <c r="K655" s="9"/>
      <c r="L655" s="115"/>
      <c r="M655" s="115"/>
      <c r="N655" s="115"/>
      <c r="O655" s="115"/>
      <c r="P655" s="9"/>
      <c r="Q655" s="9"/>
      <c r="R655" s="9"/>
      <c r="S655" s="9"/>
      <c r="T655" s="9"/>
      <c r="U655" s="9"/>
      <c r="V655" s="9"/>
      <c r="W655" s="10"/>
      <c r="X655" s="10"/>
      <c r="Y655" s="10"/>
      <c r="Z655" s="10"/>
    </row>
    <row r="656">
      <c r="A656" s="9"/>
      <c r="B656" s="9"/>
      <c r="C656" s="9"/>
      <c r="D656" s="9"/>
      <c r="E656" s="9"/>
      <c r="F656" s="9"/>
      <c r="G656" s="9"/>
      <c r="H656" s="9"/>
      <c r="I656" s="9"/>
      <c r="J656" s="9"/>
      <c r="K656" s="9"/>
      <c r="L656" s="115"/>
      <c r="M656" s="115"/>
      <c r="N656" s="115"/>
      <c r="O656" s="115"/>
      <c r="P656" s="9"/>
      <c r="Q656" s="9"/>
      <c r="R656" s="9"/>
      <c r="S656" s="9"/>
      <c r="T656" s="9"/>
      <c r="U656" s="9"/>
      <c r="V656" s="9"/>
      <c r="W656" s="10"/>
      <c r="X656" s="10"/>
      <c r="Y656" s="10"/>
      <c r="Z656" s="10"/>
    </row>
    <row r="657">
      <c r="A657" s="9"/>
      <c r="B657" s="9"/>
      <c r="C657" s="9"/>
      <c r="D657" s="9"/>
      <c r="E657" s="9"/>
      <c r="F657" s="9"/>
      <c r="G657" s="9"/>
      <c r="H657" s="9"/>
      <c r="I657" s="9"/>
      <c r="J657" s="9"/>
      <c r="K657" s="9"/>
      <c r="L657" s="115"/>
      <c r="M657" s="115"/>
      <c r="N657" s="115"/>
      <c r="O657" s="115"/>
      <c r="P657" s="9"/>
      <c r="Q657" s="9"/>
      <c r="R657" s="9"/>
      <c r="S657" s="9"/>
      <c r="T657" s="9"/>
      <c r="U657" s="9"/>
      <c r="V657" s="9"/>
      <c r="W657" s="10"/>
      <c r="X657" s="10"/>
      <c r="Y657" s="10"/>
      <c r="Z657" s="10"/>
    </row>
    <row r="658">
      <c r="A658" s="9"/>
      <c r="B658" s="9"/>
      <c r="C658" s="9"/>
      <c r="D658" s="9"/>
      <c r="E658" s="9"/>
      <c r="F658" s="9"/>
      <c r="G658" s="9"/>
      <c r="H658" s="9"/>
      <c r="I658" s="9"/>
      <c r="J658" s="9"/>
      <c r="K658" s="9"/>
      <c r="L658" s="115"/>
      <c r="M658" s="115"/>
      <c r="N658" s="115"/>
      <c r="O658" s="115"/>
      <c r="P658" s="9"/>
      <c r="Q658" s="9"/>
      <c r="R658" s="9"/>
      <c r="S658" s="9"/>
      <c r="T658" s="9"/>
      <c r="U658" s="9"/>
      <c r="V658" s="9"/>
      <c r="W658" s="10"/>
      <c r="X658" s="10"/>
      <c r="Y658" s="10"/>
      <c r="Z658" s="10"/>
    </row>
    <row r="659">
      <c r="A659" s="9"/>
      <c r="B659" s="9"/>
      <c r="C659" s="9"/>
      <c r="D659" s="9"/>
      <c r="E659" s="9"/>
      <c r="F659" s="9"/>
      <c r="G659" s="9"/>
      <c r="H659" s="9"/>
      <c r="I659" s="9"/>
      <c r="J659" s="9"/>
      <c r="K659" s="9"/>
      <c r="L659" s="115"/>
      <c r="M659" s="115"/>
      <c r="N659" s="115"/>
      <c r="O659" s="115"/>
      <c r="P659" s="9"/>
      <c r="Q659" s="9"/>
      <c r="R659" s="9"/>
      <c r="S659" s="9"/>
      <c r="T659" s="9"/>
      <c r="U659" s="9"/>
      <c r="V659" s="9"/>
      <c r="W659" s="10"/>
      <c r="X659" s="10"/>
      <c r="Y659" s="10"/>
      <c r="Z659" s="10"/>
    </row>
    <row r="660">
      <c r="A660" s="9"/>
      <c r="B660" s="9"/>
      <c r="C660" s="9"/>
      <c r="D660" s="9"/>
      <c r="E660" s="9"/>
      <c r="F660" s="9"/>
      <c r="G660" s="9"/>
      <c r="H660" s="9"/>
      <c r="I660" s="9"/>
      <c r="J660" s="9"/>
      <c r="K660" s="9"/>
      <c r="L660" s="115"/>
      <c r="M660" s="115"/>
      <c r="N660" s="115"/>
      <c r="O660" s="115"/>
      <c r="P660" s="9"/>
      <c r="Q660" s="9"/>
      <c r="R660" s="9"/>
      <c r="S660" s="9"/>
      <c r="T660" s="9"/>
      <c r="U660" s="9"/>
      <c r="V660" s="9"/>
      <c r="W660" s="10"/>
      <c r="X660" s="10"/>
      <c r="Y660" s="10"/>
      <c r="Z660" s="10"/>
    </row>
    <row r="661">
      <c r="A661" s="9"/>
      <c r="B661" s="9"/>
      <c r="C661" s="9"/>
      <c r="D661" s="9"/>
      <c r="E661" s="9"/>
      <c r="F661" s="9"/>
      <c r="G661" s="9"/>
      <c r="H661" s="9"/>
      <c r="I661" s="9"/>
      <c r="J661" s="9"/>
      <c r="K661" s="9"/>
      <c r="L661" s="115"/>
      <c r="M661" s="115"/>
      <c r="N661" s="115"/>
      <c r="O661" s="115"/>
      <c r="P661" s="9"/>
      <c r="Q661" s="9"/>
      <c r="R661" s="9"/>
      <c r="S661" s="9"/>
      <c r="T661" s="9"/>
      <c r="U661" s="9"/>
      <c r="V661" s="9"/>
      <c r="W661" s="10"/>
      <c r="X661" s="10"/>
      <c r="Y661" s="10"/>
      <c r="Z661" s="10"/>
    </row>
    <row r="662">
      <c r="A662" s="9"/>
      <c r="B662" s="9"/>
      <c r="C662" s="9"/>
      <c r="D662" s="9"/>
      <c r="E662" s="9"/>
      <c r="F662" s="9"/>
      <c r="G662" s="9"/>
      <c r="H662" s="9"/>
      <c r="I662" s="9"/>
      <c r="J662" s="9"/>
      <c r="K662" s="9"/>
      <c r="L662" s="115"/>
      <c r="M662" s="115"/>
      <c r="N662" s="115"/>
      <c r="O662" s="115"/>
      <c r="P662" s="9"/>
      <c r="Q662" s="9"/>
      <c r="R662" s="9"/>
      <c r="S662" s="9"/>
      <c r="T662" s="9"/>
      <c r="U662" s="9"/>
      <c r="V662" s="9"/>
      <c r="W662" s="10"/>
      <c r="X662" s="10"/>
      <c r="Y662" s="10"/>
      <c r="Z662" s="10"/>
    </row>
    <row r="663">
      <c r="A663" s="9"/>
      <c r="B663" s="9"/>
      <c r="C663" s="9"/>
      <c r="D663" s="9"/>
      <c r="E663" s="9"/>
      <c r="F663" s="9"/>
      <c r="G663" s="9"/>
      <c r="H663" s="9"/>
      <c r="I663" s="9"/>
      <c r="J663" s="9"/>
      <c r="K663" s="9"/>
      <c r="L663" s="115"/>
      <c r="M663" s="115"/>
      <c r="N663" s="115"/>
      <c r="O663" s="115"/>
      <c r="P663" s="9"/>
      <c r="Q663" s="9"/>
      <c r="R663" s="9"/>
      <c r="S663" s="9"/>
      <c r="T663" s="9"/>
      <c r="U663" s="9"/>
      <c r="V663" s="9"/>
      <c r="W663" s="10"/>
      <c r="X663" s="10"/>
      <c r="Y663" s="10"/>
      <c r="Z663" s="10"/>
    </row>
    <row r="664">
      <c r="A664" s="9"/>
      <c r="B664" s="9"/>
      <c r="C664" s="9"/>
      <c r="D664" s="9"/>
      <c r="E664" s="9"/>
      <c r="F664" s="9"/>
      <c r="G664" s="9"/>
      <c r="H664" s="9"/>
      <c r="I664" s="9"/>
      <c r="J664" s="9"/>
      <c r="K664" s="9"/>
      <c r="L664" s="115"/>
      <c r="M664" s="115"/>
      <c r="N664" s="115"/>
      <c r="O664" s="115"/>
      <c r="P664" s="9"/>
      <c r="Q664" s="9"/>
      <c r="R664" s="9"/>
      <c r="S664" s="9"/>
      <c r="T664" s="9"/>
      <c r="U664" s="9"/>
      <c r="V664" s="9"/>
      <c r="W664" s="10"/>
      <c r="X664" s="10"/>
      <c r="Y664" s="10"/>
      <c r="Z664" s="10"/>
    </row>
    <row r="665">
      <c r="A665" s="9"/>
      <c r="B665" s="9"/>
      <c r="C665" s="9"/>
      <c r="D665" s="9"/>
      <c r="E665" s="9"/>
      <c r="F665" s="9"/>
      <c r="G665" s="9"/>
      <c r="H665" s="9"/>
      <c r="I665" s="9"/>
      <c r="J665" s="9"/>
      <c r="K665" s="9"/>
      <c r="L665" s="115"/>
      <c r="M665" s="115"/>
      <c r="N665" s="115"/>
      <c r="O665" s="115"/>
      <c r="P665" s="9"/>
      <c r="Q665" s="9"/>
      <c r="R665" s="9"/>
      <c r="S665" s="9"/>
      <c r="T665" s="9"/>
      <c r="U665" s="9"/>
      <c r="V665" s="9"/>
      <c r="W665" s="10"/>
      <c r="X665" s="10"/>
      <c r="Y665" s="10"/>
      <c r="Z665" s="10"/>
    </row>
    <row r="666">
      <c r="A666" s="9"/>
      <c r="B666" s="9"/>
      <c r="C666" s="9"/>
      <c r="D666" s="9"/>
      <c r="E666" s="9"/>
      <c r="F666" s="9"/>
      <c r="G666" s="9"/>
      <c r="H666" s="9"/>
      <c r="I666" s="9"/>
      <c r="J666" s="9"/>
      <c r="K666" s="9"/>
      <c r="L666" s="115"/>
      <c r="M666" s="115"/>
      <c r="N666" s="115"/>
      <c r="O666" s="115"/>
      <c r="P666" s="9"/>
      <c r="Q666" s="9"/>
      <c r="R666" s="9"/>
      <c r="S666" s="9"/>
      <c r="T666" s="9"/>
      <c r="U666" s="9"/>
      <c r="V666" s="9"/>
      <c r="W666" s="10"/>
      <c r="X666" s="10"/>
      <c r="Y666" s="10"/>
      <c r="Z666" s="10"/>
    </row>
    <row r="667">
      <c r="A667" s="9"/>
      <c r="B667" s="9"/>
      <c r="C667" s="9"/>
      <c r="D667" s="9"/>
      <c r="E667" s="9"/>
      <c r="F667" s="9"/>
      <c r="G667" s="9"/>
      <c r="H667" s="9"/>
      <c r="I667" s="9"/>
      <c r="J667" s="9"/>
      <c r="K667" s="9"/>
      <c r="L667" s="115"/>
      <c r="M667" s="115"/>
      <c r="N667" s="115"/>
      <c r="O667" s="115"/>
      <c r="P667" s="9"/>
      <c r="Q667" s="9"/>
      <c r="R667" s="9"/>
      <c r="S667" s="9"/>
      <c r="T667" s="9"/>
      <c r="U667" s="9"/>
      <c r="V667" s="9"/>
      <c r="W667" s="10"/>
      <c r="X667" s="10"/>
      <c r="Y667" s="10"/>
      <c r="Z667" s="10"/>
    </row>
    <row r="668">
      <c r="A668" s="9"/>
      <c r="B668" s="9"/>
      <c r="C668" s="9"/>
      <c r="D668" s="9"/>
      <c r="E668" s="9"/>
      <c r="F668" s="9"/>
      <c r="G668" s="9"/>
      <c r="H668" s="9"/>
      <c r="I668" s="9"/>
      <c r="J668" s="9"/>
      <c r="K668" s="9"/>
      <c r="L668" s="115"/>
      <c r="M668" s="115"/>
      <c r="N668" s="115"/>
      <c r="O668" s="115"/>
      <c r="P668" s="9"/>
      <c r="Q668" s="9"/>
      <c r="R668" s="9"/>
      <c r="S668" s="9"/>
      <c r="T668" s="9"/>
      <c r="U668" s="9"/>
      <c r="V668" s="9"/>
      <c r="W668" s="10"/>
      <c r="X668" s="10"/>
      <c r="Y668" s="10"/>
      <c r="Z668" s="10"/>
    </row>
    <row r="669">
      <c r="A669" s="9"/>
      <c r="B669" s="9"/>
      <c r="C669" s="9"/>
      <c r="D669" s="9"/>
      <c r="E669" s="9"/>
      <c r="F669" s="9"/>
      <c r="G669" s="9"/>
      <c r="H669" s="9"/>
      <c r="I669" s="9"/>
      <c r="J669" s="9"/>
      <c r="K669" s="9"/>
      <c r="L669" s="115"/>
      <c r="M669" s="115"/>
      <c r="N669" s="115"/>
      <c r="O669" s="115"/>
      <c r="P669" s="9"/>
      <c r="Q669" s="9"/>
      <c r="R669" s="9"/>
      <c r="S669" s="9"/>
      <c r="T669" s="9"/>
      <c r="U669" s="9"/>
      <c r="V669" s="9"/>
      <c r="W669" s="10"/>
      <c r="X669" s="10"/>
      <c r="Y669" s="10"/>
      <c r="Z669" s="10"/>
    </row>
    <row r="670">
      <c r="A670" s="9"/>
      <c r="B670" s="9"/>
      <c r="C670" s="9"/>
      <c r="D670" s="9"/>
      <c r="E670" s="9"/>
      <c r="F670" s="9"/>
      <c r="G670" s="9"/>
      <c r="H670" s="9"/>
      <c r="I670" s="9"/>
      <c r="J670" s="9"/>
      <c r="K670" s="9"/>
      <c r="L670" s="115"/>
      <c r="M670" s="115"/>
      <c r="N670" s="115"/>
      <c r="O670" s="115"/>
      <c r="P670" s="9"/>
      <c r="Q670" s="9"/>
      <c r="R670" s="9"/>
      <c r="S670" s="9"/>
      <c r="T670" s="9"/>
      <c r="U670" s="9"/>
      <c r="V670" s="9"/>
      <c r="W670" s="10"/>
      <c r="X670" s="10"/>
      <c r="Y670" s="10"/>
      <c r="Z670" s="10"/>
    </row>
    <row r="671">
      <c r="A671" s="9"/>
      <c r="B671" s="9"/>
      <c r="C671" s="9"/>
      <c r="D671" s="9"/>
      <c r="E671" s="9"/>
      <c r="F671" s="9"/>
      <c r="G671" s="9"/>
      <c r="H671" s="9"/>
      <c r="I671" s="9"/>
      <c r="J671" s="9"/>
      <c r="K671" s="9"/>
      <c r="L671" s="115"/>
      <c r="M671" s="115"/>
      <c r="N671" s="115"/>
      <c r="O671" s="115"/>
      <c r="P671" s="9"/>
      <c r="Q671" s="9"/>
      <c r="R671" s="9"/>
      <c r="S671" s="9"/>
      <c r="T671" s="9"/>
      <c r="U671" s="9"/>
      <c r="V671" s="9"/>
      <c r="W671" s="10"/>
      <c r="X671" s="10"/>
      <c r="Y671" s="10"/>
      <c r="Z671" s="10"/>
    </row>
    <row r="672">
      <c r="A672" s="9"/>
      <c r="B672" s="9"/>
      <c r="C672" s="9"/>
      <c r="D672" s="9"/>
      <c r="E672" s="9"/>
      <c r="F672" s="9"/>
      <c r="G672" s="9"/>
      <c r="H672" s="9"/>
      <c r="I672" s="9"/>
      <c r="J672" s="9"/>
      <c r="K672" s="9"/>
      <c r="L672" s="115"/>
      <c r="M672" s="115"/>
      <c r="N672" s="115"/>
      <c r="O672" s="115"/>
      <c r="P672" s="9"/>
      <c r="Q672" s="9"/>
      <c r="R672" s="9"/>
      <c r="S672" s="9"/>
      <c r="T672" s="9"/>
      <c r="U672" s="9"/>
      <c r="V672" s="9"/>
      <c r="W672" s="10"/>
      <c r="X672" s="10"/>
      <c r="Y672" s="10"/>
      <c r="Z672" s="10"/>
    </row>
    <row r="673">
      <c r="A673" s="9"/>
      <c r="B673" s="9"/>
      <c r="C673" s="9"/>
      <c r="D673" s="9"/>
      <c r="E673" s="9"/>
      <c r="F673" s="9"/>
      <c r="G673" s="9"/>
      <c r="H673" s="9"/>
      <c r="I673" s="9"/>
      <c r="J673" s="9"/>
      <c r="K673" s="9"/>
      <c r="L673" s="115"/>
      <c r="M673" s="115"/>
      <c r="N673" s="115"/>
      <c r="O673" s="115"/>
      <c r="P673" s="9"/>
      <c r="Q673" s="9"/>
      <c r="R673" s="9"/>
      <c r="S673" s="9"/>
      <c r="T673" s="9"/>
      <c r="U673" s="9"/>
      <c r="V673" s="9"/>
      <c r="W673" s="10"/>
      <c r="X673" s="10"/>
      <c r="Y673" s="10"/>
      <c r="Z673" s="10"/>
    </row>
    <row r="674">
      <c r="A674" s="9"/>
      <c r="B674" s="9"/>
      <c r="C674" s="9"/>
      <c r="D674" s="9"/>
      <c r="E674" s="9"/>
      <c r="F674" s="9"/>
      <c r="G674" s="9"/>
      <c r="H674" s="9"/>
      <c r="I674" s="9"/>
      <c r="J674" s="9"/>
      <c r="K674" s="9"/>
      <c r="L674" s="115"/>
      <c r="M674" s="115"/>
      <c r="N674" s="115"/>
      <c r="O674" s="115"/>
      <c r="P674" s="9"/>
      <c r="Q674" s="9"/>
      <c r="R674" s="9"/>
      <c r="S674" s="9"/>
      <c r="T674" s="9"/>
      <c r="U674" s="9"/>
      <c r="V674" s="9"/>
      <c r="W674" s="10"/>
      <c r="X674" s="10"/>
      <c r="Y674" s="10"/>
      <c r="Z674" s="10"/>
    </row>
    <row r="675">
      <c r="A675" s="9"/>
      <c r="B675" s="9"/>
      <c r="C675" s="9"/>
      <c r="D675" s="9"/>
      <c r="E675" s="9"/>
      <c r="F675" s="9"/>
      <c r="G675" s="9"/>
      <c r="H675" s="9"/>
      <c r="I675" s="9"/>
      <c r="J675" s="9"/>
      <c r="K675" s="9"/>
      <c r="L675" s="115"/>
      <c r="M675" s="115"/>
      <c r="N675" s="115"/>
      <c r="O675" s="115"/>
      <c r="P675" s="9"/>
      <c r="Q675" s="9"/>
      <c r="R675" s="9"/>
      <c r="S675" s="9"/>
      <c r="T675" s="9"/>
      <c r="U675" s="9"/>
      <c r="V675" s="9"/>
      <c r="W675" s="10"/>
      <c r="X675" s="10"/>
      <c r="Y675" s="10"/>
      <c r="Z675" s="10"/>
    </row>
    <row r="676">
      <c r="A676" s="9"/>
      <c r="B676" s="9"/>
      <c r="C676" s="9"/>
      <c r="D676" s="9"/>
      <c r="E676" s="9"/>
      <c r="F676" s="9"/>
      <c r="G676" s="9"/>
      <c r="H676" s="9"/>
      <c r="I676" s="9"/>
      <c r="J676" s="9"/>
      <c r="K676" s="9"/>
      <c r="L676" s="115"/>
      <c r="M676" s="115"/>
      <c r="N676" s="115"/>
      <c r="O676" s="115"/>
      <c r="P676" s="9"/>
      <c r="Q676" s="9"/>
      <c r="R676" s="9"/>
      <c r="S676" s="9"/>
      <c r="T676" s="9"/>
      <c r="U676" s="9"/>
      <c r="V676" s="9"/>
      <c r="W676" s="10"/>
      <c r="X676" s="10"/>
      <c r="Y676" s="10"/>
      <c r="Z676" s="10"/>
    </row>
    <row r="677">
      <c r="A677" s="9"/>
      <c r="B677" s="9"/>
      <c r="C677" s="9"/>
      <c r="D677" s="9"/>
      <c r="E677" s="9"/>
      <c r="F677" s="9"/>
      <c r="G677" s="9"/>
      <c r="H677" s="9"/>
      <c r="I677" s="9"/>
      <c r="J677" s="9"/>
      <c r="K677" s="9"/>
      <c r="L677" s="115"/>
      <c r="M677" s="115"/>
      <c r="N677" s="115"/>
      <c r="O677" s="115"/>
      <c r="P677" s="9"/>
      <c r="Q677" s="9"/>
      <c r="R677" s="9"/>
      <c r="S677" s="9"/>
      <c r="T677" s="9"/>
      <c r="U677" s="9"/>
      <c r="V677" s="9"/>
      <c r="W677" s="10"/>
      <c r="X677" s="10"/>
      <c r="Y677" s="10"/>
      <c r="Z677" s="10"/>
    </row>
    <row r="678">
      <c r="A678" s="9"/>
      <c r="B678" s="9"/>
      <c r="C678" s="9"/>
      <c r="D678" s="9"/>
      <c r="E678" s="9"/>
      <c r="F678" s="9"/>
      <c r="G678" s="9"/>
      <c r="H678" s="9"/>
      <c r="I678" s="9"/>
      <c r="J678" s="9"/>
      <c r="K678" s="9"/>
      <c r="L678" s="115"/>
      <c r="M678" s="115"/>
      <c r="N678" s="115"/>
      <c r="O678" s="115"/>
      <c r="P678" s="9"/>
      <c r="Q678" s="9"/>
      <c r="R678" s="9"/>
      <c r="S678" s="9"/>
      <c r="T678" s="9"/>
      <c r="U678" s="9"/>
      <c r="V678" s="9"/>
      <c r="W678" s="10"/>
      <c r="X678" s="10"/>
      <c r="Y678" s="10"/>
      <c r="Z678" s="10"/>
    </row>
    <row r="679">
      <c r="A679" s="9"/>
      <c r="B679" s="9"/>
      <c r="C679" s="9"/>
      <c r="D679" s="9"/>
      <c r="E679" s="9"/>
      <c r="F679" s="9"/>
      <c r="G679" s="9"/>
      <c r="H679" s="9"/>
      <c r="I679" s="9"/>
      <c r="J679" s="9"/>
      <c r="K679" s="9"/>
      <c r="L679" s="115"/>
      <c r="M679" s="115"/>
      <c r="N679" s="115"/>
      <c r="O679" s="115"/>
      <c r="P679" s="9"/>
      <c r="Q679" s="9"/>
      <c r="R679" s="9"/>
      <c r="S679" s="9"/>
      <c r="T679" s="9"/>
      <c r="U679" s="9"/>
      <c r="V679" s="9"/>
      <c r="W679" s="10"/>
      <c r="X679" s="10"/>
      <c r="Y679" s="10"/>
      <c r="Z679" s="10"/>
    </row>
    <row r="680">
      <c r="A680" s="9"/>
      <c r="B680" s="9"/>
      <c r="C680" s="9"/>
      <c r="D680" s="9"/>
      <c r="E680" s="9"/>
      <c r="F680" s="9"/>
      <c r="G680" s="9"/>
      <c r="H680" s="9"/>
      <c r="I680" s="9"/>
      <c r="J680" s="9"/>
      <c r="K680" s="9"/>
      <c r="L680" s="115"/>
      <c r="M680" s="115"/>
      <c r="N680" s="115"/>
      <c r="O680" s="115"/>
      <c r="P680" s="9"/>
      <c r="Q680" s="9"/>
      <c r="R680" s="9"/>
      <c r="S680" s="9"/>
      <c r="T680" s="9"/>
      <c r="U680" s="9"/>
      <c r="V680" s="9"/>
      <c r="W680" s="10"/>
      <c r="X680" s="10"/>
      <c r="Y680" s="10"/>
      <c r="Z680" s="10"/>
    </row>
    <row r="681">
      <c r="A681" s="9"/>
      <c r="B681" s="9"/>
      <c r="C681" s="9"/>
      <c r="D681" s="9"/>
      <c r="E681" s="9"/>
      <c r="F681" s="9"/>
      <c r="G681" s="9"/>
      <c r="H681" s="9"/>
      <c r="I681" s="9"/>
      <c r="J681" s="9"/>
      <c r="K681" s="9"/>
      <c r="L681" s="115"/>
      <c r="M681" s="115"/>
      <c r="N681" s="115"/>
      <c r="O681" s="115"/>
      <c r="P681" s="9"/>
      <c r="Q681" s="9"/>
      <c r="R681" s="9"/>
      <c r="S681" s="9"/>
      <c r="T681" s="9"/>
      <c r="U681" s="9"/>
      <c r="V681" s="9"/>
      <c r="W681" s="10"/>
      <c r="X681" s="10"/>
      <c r="Y681" s="10"/>
      <c r="Z681" s="10"/>
    </row>
    <row r="682">
      <c r="A682" s="9"/>
      <c r="B682" s="9"/>
      <c r="C682" s="9"/>
      <c r="D682" s="9"/>
      <c r="E682" s="9"/>
      <c r="F682" s="9"/>
      <c r="G682" s="9"/>
      <c r="H682" s="9"/>
      <c r="I682" s="9"/>
      <c r="J682" s="9"/>
      <c r="K682" s="9"/>
      <c r="L682" s="115"/>
      <c r="M682" s="115"/>
      <c r="N682" s="115"/>
      <c r="O682" s="115"/>
      <c r="P682" s="9"/>
      <c r="Q682" s="9"/>
      <c r="R682" s="9"/>
      <c r="S682" s="9"/>
      <c r="T682" s="9"/>
      <c r="U682" s="9"/>
      <c r="V682" s="9"/>
      <c r="W682" s="10"/>
      <c r="X682" s="10"/>
      <c r="Y682" s="10"/>
      <c r="Z682" s="10"/>
    </row>
    <row r="683">
      <c r="A683" s="9"/>
      <c r="B683" s="9"/>
      <c r="C683" s="9"/>
      <c r="D683" s="9"/>
      <c r="E683" s="9"/>
      <c r="F683" s="9"/>
      <c r="G683" s="9"/>
      <c r="H683" s="9"/>
      <c r="I683" s="9"/>
      <c r="J683" s="9"/>
      <c r="K683" s="9"/>
      <c r="L683" s="115"/>
      <c r="M683" s="115"/>
      <c r="N683" s="115"/>
      <c r="O683" s="115"/>
      <c r="P683" s="9"/>
      <c r="Q683" s="9"/>
      <c r="R683" s="9"/>
      <c r="S683" s="9"/>
      <c r="T683" s="9"/>
      <c r="U683" s="9"/>
      <c r="V683" s="9"/>
      <c r="W683" s="10"/>
      <c r="X683" s="10"/>
      <c r="Y683" s="10"/>
      <c r="Z683" s="10"/>
    </row>
    <row r="684">
      <c r="A684" s="9"/>
      <c r="B684" s="9"/>
      <c r="C684" s="9"/>
      <c r="D684" s="9"/>
      <c r="E684" s="9"/>
      <c r="F684" s="9"/>
      <c r="G684" s="9"/>
      <c r="H684" s="9"/>
      <c r="I684" s="9"/>
      <c r="J684" s="9"/>
      <c r="K684" s="9"/>
      <c r="L684" s="115"/>
      <c r="M684" s="115"/>
      <c r="N684" s="115"/>
      <c r="O684" s="115"/>
      <c r="P684" s="9"/>
      <c r="Q684" s="9"/>
      <c r="R684" s="9"/>
      <c r="S684" s="9"/>
      <c r="T684" s="9"/>
      <c r="U684" s="9"/>
      <c r="V684" s="9"/>
      <c r="W684" s="10"/>
      <c r="X684" s="10"/>
      <c r="Y684" s="10"/>
      <c r="Z684" s="10"/>
    </row>
    <row r="685">
      <c r="A685" s="9"/>
      <c r="B685" s="9"/>
      <c r="C685" s="9"/>
      <c r="D685" s="9"/>
      <c r="E685" s="9"/>
      <c r="F685" s="9"/>
      <c r="G685" s="9"/>
      <c r="H685" s="9"/>
      <c r="I685" s="9"/>
      <c r="J685" s="9"/>
      <c r="K685" s="9"/>
      <c r="L685" s="115"/>
      <c r="M685" s="115"/>
      <c r="N685" s="115"/>
      <c r="O685" s="115"/>
      <c r="P685" s="9"/>
      <c r="Q685" s="9"/>
      <c r="R685" s="9"/>
      <c r="S685" s="9"/>
      <c r="T685" s="9"/>
      <c r="U685" s="9"/>
      <c r="V685" s="9"/>
      <c r="W685" s="10"/>
      <c r="X685" s="10"/>
      <c r="Y685" s="10"/>
      <c r="Z685" s="10"/>
    </row>
    <row r="686">
      <c r="A686" s="9"/>
      <c r="B686" s="9"/>
      <c r="C686" s="9"/>
      <c r="D686" s="9"/>
      <c r="E686" s="9"/>
      <c r="F686" s="9"/>
      <c r="G686" s="9"/>
      <c r="H686" s="9"/>
      <c r="I686" s="9"/>
      <c r="J686" s="9"/>
      <c r="K686" s="9"/>
      <c r="L686" s="115"/>
      <c r="M686" s="115"/>
      <c r="N686" s="115"/>
      <c r="O686" s="115"/>
      <c r="P686" s="9"/>
      <c r="Q686" s="9"/>
      <c r="R686" s="9"/>
      <c r="S686" s="9"/>
      <c r="T686" s="9"/>
      <c r="U686" s="9"/>
      <c r="V686" s="9"/>
      <c r="W686" s="10"/>
      <c r="X686" s="10"/>
      <c r="Y686" s="10"/>
      <c r="Z686" s="10"/>
    </row>
    <row r="687">
      <c r="A687" s="9"/>
      <c r="B687" s="9"/>
      <c r="C687" s="9"/>
      <c r="D687" s="9"/>
      <c r="E687" s="9"/>
      <c r="F687" s="9"/>
      <c r="G687" s="9"/>
      <c r="H687" s="9"/>
      <c r="I687" s="9"/>
      <c r="J687" s="9"/>
      <c r="K687" s="9"/>
      <c r="L687" s="115"/>
      <c r="M687" s="115"/>
      <c r="N687" s="115"/>
      <c r="O687" s="115"/>
      <c r="P687" s="9"/>
      <c r="Q687" s="9"/>
      <c r="R687" s="9"/>
      <c r="S687" s="9"/>
      <c r="T687" s="9"/>
      <c r="U687" s="9"/>
      <c r="V687" s="9"/>
      <c r="W687" s="10"/>
      <c r="X687" s="10"/>
      <c r="Y687" s="10"/>
      <c r="Z687" s="10"/>
    </row>
    <row r="688">
      <c r="A688" s="9"/>
      <c r="B688" s="9"/>
      <c r="C688" s="9"/>
      <c r="D688" s="9"/>
      <c r="E688" s="9"/>
      <c r="F688" s="9"/>
      <c r="G688" s="9"/>
      <c r="H688" s="9"/>
      <c r="I688" s="9"/>
      <c r="J688" s="9"/>
      <c r="K688" s="9"/>
      <c r="L688" s="115"/>
      <c r="M688" s="115"/>
      <c r="N688" s="115"/>
      <c r="O688" s="115"/>
      <c r="P688" s="9"/>
      <c r="Q688" s="9"/>
      <c r="R688" s="9"/>
      <c r="S688" s="9"/>
      <c r="T688" s="9"/>
      <c r="U688" s="9"/>
      <c r="V688" s="9"/>
      <c r="W688" s="10"/>
      <c r="X688" s="10"/>
      <c r="Y688" s="10"/>
      <c r="Z688" s="10"/>
    </row>
    <row r="689">
      <c r="A689" s="9"/>
      <c r="B689" s="9"/>
      <c r="C689" s="9"/>
      <c r="D689" s="9"/>
      <c r="E689" s="9"/>
      <c r="F689" s="9"/>
      <c r="G689" s="9"/>
      <c r="H689" s="9"/>
      <c r="I689" s="9"/>
      <c r="J689" s="9"/>
      <c r="K689" s="9"/>
      <c r="L689" s="115"/>
      <c r="M689" s="115"/>
      <c r="N689" s="115"/>
      <c r="O689" s="115"/>
      <c r="P689" s="9"/>
      <c r="Q689" s="9"/>
      <c r="R689" s="9"/>
      <c r="S689" s="9"/>
      <c r="T689" s="9"/>
      <c r="U689" s="9"/>
      <c r="V689" s="9"/>
      <c r="W689" s="10"/>
      <c r="X689" s="10"/>
      <c r="Y689" s="10"/>
      <c r="Z689" s="10"/>
    </row>
    <row r="690">
      <c r="A690" s="9"/>
      <c r="B690" s="9"/>
      <c r="C690" s="9"/>
      <c r="D690" s="9"/>
      <c r="E690" s="9"/>
      <c r="F690" s="9"/>
      <c r="G690" s="9"/>
      <c r="H690" s="9"/>
      <c r="I690" s="9"/>
      <c r="J690" s="9"/>
      <c r="K690" s="9"/>
      <c r="L690" s="115"/>
      <c r="M690" s="115"/>
      <c r="N690" s="115"/>
      <c r="O690" s="115"/>
      <c r="P690" s="9"/>
      <c r="Q690" s="9"/>
      <c r="R690" s="9"/>
      <c r="S690" s="9"/>
      <c r="T690" s="9"/>
      <c r="U690" s="9"/>
      <c r="V690" s="9"/>
      <c r="W690" s="10"/>
      <c r="X690" s="10"/>
      <c r="Y690" s="10"/>
      <c r="Z690" s="10"/>
    </row>
    <row r="691">
      <c r="A691" s="9"/>
      <c r="B691" s="9"/>
      <c r="C691" s="9"/>
      <c r="D691" s="9"/>
      <c r="E691" s="9"/>
      <c r="F691" s="9"/>
      <c r="G691" s="9"/>
      <c r="H691" s="9"/>
      <c r="I691" s="9"/>
      <c r="J691" s="9"/>
      <c r="K691" s="9"/>
      <c r="L691" s="115"/>
      <c r="M691" s="115"/>
      <c r="N691" s="115"/>
      <c r="O691" s="115"/>
      <c r="P691" s="9"/>
      <c r="Q691" s="9"/>
      <c r="R691" s="9"/>
      <c r="S691" s="9"/>
      <c r="T691" s="9"/>
      <c r="U691" s="9"/>
      <c r="V691" s="9"/>
      <c r="W691" s="10"/>
      <c r="X691" s="10"/>
      <c r="Y691" s="10"/>
      <c r="Z691" s="10"/>
    </row>
    <row r="692">
      <c r="A692" s="9"/>
      <c r="B692" s="9"/>
      <c r="C692" s="9"/>
      <c r="D692" s="9"/>
      <c r="E692" s="9"/>
      <c r="F692" s="9"/>
      <c r="G692" s="9"/>
      <c r="H692" s="9"/>
      <c r="I692" s="9"/>
      <c r="J692" s="9"/>
      <c r="K692" s="9"/>
      <c r="L692" s="115"/>
      <c r="M692" s="115"/>
      <c r="N692" s="115"/>
      <c r="O692" s="115"/>
      <c r="P692" s="9"/>
      <c r="Q692" s="9"/>
      <c r="R692" s="9"/>
      <c r="S692" s="9"/>
      <c r="T692" s="9"/>
      <c r="U692" s="9"/>
      <c r="V692" s="9"/>
      <c r="W692" s="10"/>
      <c r="X692" s="10"/>
      <c r="Y692" s="10"/>
      <c r="Z692" s="10"/>
    </row>
    <row r="693">
      <c r="A693" s="9"/>
      <c r="B693" s="9"/>
      <c r="C693" s="9"/>
      <c r="D693" s="9"/>
      <c r="E693" s="9"/>
      <c r="F693" s="9"/>
      <c r="G693" s="9"/>
      <c r="H693" s="9"/>
      <c r="I693" s="9"/>
      <c r="J693" s="9"/>
      <c r="K693" s="9"/>
      <c r="L693" s="115"/>
      <c r="M693" s="115"/>
      <c r="N693" s="115"/>
      <c r="O693" s="115"/>
      <c r="P693" s="9"/>
      <c r="Q693" s="9"/>
      <c r="R693" s="9"/>
      <c r="S693" s="9"/>
      <c r="T693" s="9"/>
      <c r="U693" s="9"/>
      <c r="V693" s="9"/>
      <c r="W693" s="10"/>
      <c r="X693" s="10"/>
      <c r="Y693" s="10"/>
      <c r="Z693" s="10"/>
    </row>
    <row r="694">
      <c r="A694" s="9"/>
      <c r="B694" s="9"/>
      <c r="C694" s="9"/>
      <c r="D694" s="9"/>
      <c r="E694" s="9"/>
      <c r="F694" s="9"/>
      <c r="G694" s="9"/>
      <c r="H694" s="9"/>
      <c r="I694" s="9"/>
      <c r="J694" s="9"/>
      <c r="K694" s="9"/>
      <c r="L694" s="115"/>
      <c r="M694" s="115"/>
      <c r="N694" s="115"/>
      <c r="O694" s="115"/>
      <c r="P694" s="9"/>
      <c r="Q694" s="9"/>
      <c r="R694" s="9"/>
      <c r="S694" s="9"/>
      <c r="T694" s="9"/>
      <c r="U694" s="9"/>
      <c r="V694" s="9"/>
      <c r="W694" s="10"/>
      <c r="X694" s="10"/>
      <c r="Y694" s="10"/>
      <c r="Z694" s="10"/>
    </row>
    <row r="695">
      <c r="A695" s="9"/>
      <c r="B695" s="9"/>
      <c r="C695" s="9"/>
      <c r="D695" s="9"/>
      <c r="E695" s="9"/>
      <c r="F695" s="9"/>
      <c r="G695" s="9"/>
      <c r="H695" s="9"/>
      <c r="I695" s="9"/>
      <c r="J695" s="9"/>
      <c r="K695" s="9"/>
      <c r="L695" s="115"/>
      <c r="M695" s="115"/>
      <c r="N695" s="115"/>
      <c r="O695" s="115"/>
      <c r="P695" s="9"/>
      <c r="Q695" s="9"/>
      <c r="R695" s="9"/>
      <c r="S695" s="9"/>
      <c r="T695" s="9"/>
      <c r="U695" s="9"/>
      <c r="V695" s="9"/>
      <c r="W695" s="10"/>
      <c r="X695" s="10"/>
      <c r="Y695" s="10"/>
      <c r="Z695" s="10"/>
    </row>
    <row r="696">
      <c r="A696" s="9"/>
      <c r="B696" s="9"/>
      <c r="C696" s="9"/>
      <c r="D696" s="9"/>
      <c r="E696" s="9"/>
      <c r="F696" s="9"/>
      <c r="G696" s="9"/>
      <c r="H696" s="9"/>
      <c r="I696" s="9"/>
      <c r="J696" s="9"/>
      <c r="K696" s="9"/>
      <c r="L696" s="115"/>
      <c r="M696" s="115"/>
      <c r="N696" s="115"/>
      <c r="O696" s="115"/>
      <c r="P696" s="9"/>
      <c r="Q696" s="9"/>
      <c r="R696" s="9"/>
      <c r="S696" s="9"/>
      <c r="T696" s="9"/>
      <c r="U696" s="9"/>
      <c r="V696" s="9"/>
      <c r="W696" s="10"/>
      <c r="X696" s="10"/>
      <c r="Y696" s="10"/>
      <c r="Z696" s="10"/>
    </row>
    <row r="697">
      <c r="A697" s="9"/>
      <c r="B697" s="9"/>
      <c r="C697" s="9"/>
      <c r="D697" s="9"/>
      <c r="E697" s="9"/>
      <c r="F697" s="9"/>
      <c r="G697" s="9"/>
      <c r="H697" s="9"/>
      <c r="I697" s="9"/>
      <c r="J697" s="9"/>
      <c r="K697" s="9"/>
      <c r="L697" s="115"/>
      <c r="M697" s="115"/>
      <c r="N697" s="115"/>
      <c r="O697" s="115"/>
      <c r="P697" s="9"/>
      <c r="Q697" s="9"/>
      <c r="R697" s="9"/>
      <c r="S697" s="9"/>
      <c r="T697" s="9"/>
      <c r="U697" s="9"/>
      <c r="V697" s="9"/>
      <c r="W697" s="10"/>
      <c r="X697" s="10"/>
      <c r="Y697" s="10"/>
      <c r="Z697" s="10"/>
    </row>
    <row r="698">
      <c r="A698" s="9"/>
      <c r="B698" s="9"/>
      <c r="C698" s="9"/>
      <c r="D698" s="9"/>
      <c r="E698" s="9"/>
      <c r="F698" s="9"/>
      <c r="G698" s="9"/>
      <c r="H698" s="9"/>
      <c r="I698" s="9"/>
      <c r="J698" s="9"/>
      <c r="K698" s="9"/>
      <c r="L698" s="115"/>
      <c r="M698" s="115"/>
      <c r="N698" s="115"/>
      <c r="O698" s="115"/>
      <c r="P698" s="9"/>
      <c r="Q698" s="9"/>
      <c r="R698" s="9"/>
      <c r="S698" s="9"/>
      <c r="T698" s="9"/>
      <c r="U698" s="9"/>
      <c r="V698" s="9"/>
      <c r="W698" s="10"/>
      <c r="X698" s="10"/>
      <c r="Y698" s="10"/>
      <c r="Z698" s="10"/>
    </row>
    <row r="699">
      <c r="A699" s="9"/>
      <c r="B699" s="9"/>
      <c r="C699" s="9"/>
      <c r="D699" s="9"/>
      <c r="E699" s="9"/>
      <c r="F699" s="9"/>
      <c r="G699" s="9"/>
      <c r="H699" s="9"/>
      <c r="I699" s="9"/>
      <c r="J699" s="9"/>
      <c r="K699" s="9"/>
      <c r="L699" s="115"/>
      <c r="M699" s="115"/>
      <c r="N699" s="115"/>
      <c r="O699" s="115"/>
      <c r="P699" s="9"/>
      <c r="Q699" s="9"/>
      <c r="R699" s="9"/>
      <c r="S699" s="9"/>
      <c r="T699" s="9"/>
      <c r="U699" s="9"/>
      <c r="V699" s="9"/>
      <c r="W699" s="10"/>
      <c r="X699" s="10"/>
      <c r="Y699" s="10"/>
      <c r="Z699" s="10"/>
    </row>
    <row r="700">
      <c r="A700" s="9"/>
      <c r="B700" s="9"/>
      <c r="C700" s="9"/>
      <c r="D700" s="9"/>
      <c r="E700" s="9"/>
      <c r="F700" s="9"/>
      <c r="G700" s="9"/>
      <c r="H700" s="9"/>
      <c r="I700" s="9"/>
      <c r="J700" s="9"/>
      <c r="K700" s="9"/>
      <c r="L700" s="115"/>
      <c r="M700" s="115"/>
      <c r="N700" s="115"/>
      <c r="O700" s="115"/>
      <c r="P700" s="9"/>
      <c r="Q700" s="9"/>
      <c r="R700" s="9"/>
      <c r="S700" s="9"/>
      <c r="T700" s="9"/>
      <c r="U700" s="9"/>
      <c r="V700" s="9"/>
      <c r="W700" s="10"/>
      <c r="X700" s="10"/>
      <c r="Y700" s="10"/>
      <c r="Z700" s="10"/>
    </row>
    <row r="701">
      <c r="A701" s="9"/>
      <c r="B701" s="9"/>
      <c r="C701" s="9"/>
      <c r="D701" s="9"/>
      <c r="E701" s="9"/>
      <c r="F701" s="9"/>
      <c r="G701" s="9"/>
      <c r="H701" s="9"/>
      <c r="I701" s="9"/>
      <c r="J701" s="9"/>
      <c r="K701" s="9"/>
      <c r="L701" s="115"/>
      <c r="M701" s="115"/>
      <c r="N701" s="115"/>
      <c r="O701" s="115"/>
      <c r="P701" s="9"/>
      <c r="Q701" s="9"/>
      <c r="R701" s="9"/>
      <c r="S701" s="9"/>
      <c r="T701" s="9"/>
      <c r="U701" s="9"/>
      <c r="V701" s="9"/>
      <c r="W701" s="10"/>
      <c r="X701" s="10"/>
      <c r="Y701" s="10"/>
      <c r="Z701" s="10"/>
    </row>
    <row r="702">
      <c r="A702" s="9"/>
      <c r="B702" s="9"/>
      <c r="C702" s="9"/>
      <c r="D702" s="9"/>
      <c r="E702" s="9"/>
      <c r="F702" s="9"/>
      <c r="G702" s="9"/>
      <c r="H702" s="9"/>
      <c r="I702" s="9"/>
      <c r="J702" s="9"/>
      <c r="K702" s="9"/>
      <c r="L702" s="115"/>
      <c r="M702" s="115"/>
      <c r="N702" s="115"/>
      <c r="O702" s="115"/>
      <c r="P702" s="9"/>
      <c r="Q702" s="9"/>
      <c r="R702" s="9"/>
      <c r="S702" s="9"/>
      <c r="T702" s="9"/>
      <c r="U702" s="9"/>
      <c r="V702" s="9"/>
      <c r="W702" s="10"/>
      <c r="X702" s="10"/>
      <c r="Y702" s="10"/>
      <c r="Z702" s="10"/>
    </row>
    <row r="703">
      <c r="A703" s="9"/>
      <c r="B703" s="9"/>
      <c r="C703" s="9"/>
      <c r="D703" s="9"/>
      <c r="E703" s="9"/>
      <c r="F703" s="9"/>
      <c r="G703" s="9"/>
      <c r="H703" s="9"/>
      <c r="I703" s="9"/>
      <c r="J703" s="9"/>
      <c r="K703" s="9"/>
      <c r="L703" s="115"/>
      <c r="M703" s="115"/>
      <c r="N703" s="115"/>
      <c r="O703" s="115"/>
      <c r="P703" s="9"/>
      <c r="Q703" s="9"/>
      <c r="R703" s="9"/>
      <c r="S703" s="9"/>
      <c r="T703" s="9"/>
      <c r="U703" s="9"/>
      <c r="V703" s="9"/>
      <c r="W703" s="10"/>
      <c r="X703" s="10"/>
      <c r="Y703" s="10"/>
      <c r="Z703" s="10"/>
    </row>
    <row r="704">
      <c r="A704" s="9"/>
      <c r="B704" s="9"/>
      <c r="C704" s="9"/>
      <c r="D704" s="9"/>
      <c r="E704" s="9"/>
      <c r="F704" s="9"/>
      <c r="G704" s="9"/>
      <c r="H704" s="9"/>
      <c r="I704" s="9"/>
      <c r="J704" s="9"/>
      <c r="K704" s="9"/>
      <c r="L704" s="115"/>
      <c r="M704" s="115"/>
      <c r="N704" s="115"/>
      <c r="O704" s="115"/>
      <c r="P704" s="9"/>
      <c r="Q704" s="9"/>
      <c r="R704" s="9"/>
      <c r="S704" s="9"/>
      <c r="T704" s="9"/>
      <c r="U704" s="9"/>
      <c r="V704" s="9"/>
      <c r="W704" s="10"/>
      <c r="X704" s="10"/>
      <c r="Y704" s="10"/>
      <c r="Z704" s="10"/>
    </row>
    <row r="705">
      <c r="A705" s="9"/>
      <c r="B705" s="9"/>
      <c r="C705" s="9"/>
      <c r="D705" s="9"/>
      <c r="E705" s="9"/>
      <c r="F705" s="9"/>
      <c r="G705" s="9"/>
      <c r="H705" s="9"/>
      <c r="I705" s="9"/>
      <c r="J705" s="9"/>
      <c r="K705" s="9"/>
      <c r="L705" s="115"/>
      <c r="M705" s="115"/>
      <c r="N705" s="115"/>
      <c r="O705" s="115"/>
      <c r="P705" s="9"/>
      <c r="Q705" s="9"/>
      <c r="R705" s="9"/>
      <c r="S705" s="9"/>
      <c r="T705" s="9"/>
      <c r="U705" s="9"/>
      <c r="V705" s="9"/>
      <c r="W705" s="10"/>
      <c r="X705" s="10"/>
      <c r="Y705" s="10"/>
      <c r="Z705" s="10"/>
    </row>
    <row r="706">
      <c r="A706" s="9"/>
      <c r="B706" s="9"/>
      <c r="C706" s="9"/>
      <c r="D706" s="9"/>
      <c r="E706" s="9"/>
      <c r="F706" s="9"/>
      <c r="G706" s="9"/>
      <c r="H706" s="9"/>
      <c r="I706" s="9"/>
      <c r="J706" s="9"/>
      <c r="K706" s="9"/>
      <c r="L706" s="115"/>
      <c r="M706" s="115"/>
      <c r="N706" s="115"/>
      <c r="O706" s="115"/>
      <c r="P706" s="9"/>
      <c r="Q706" s="9"/>
      <c r="R706" s="9"/>
      <c r="S706" s="9"/>
      <c r="T706" s="9"/>
      <c r="U706" s="9"/>
      <c r="V706" s="9"/>
      <c r="W706" s="10"/>
      <c r="X706" s="10"/>
      <c r="Y706" s="10"/>
      <c r="Z706" s="10"/>
    </row>
    <row r="707">
      <c r="A707" s="9"/>
      <c r="B707" s="9"/>
      <c r="C707" s="9"/>
      <c r="D707" s="9"/>
      <c r="E707" s="9"/>
      <c r="F707" s="9"/>
      <c r="G707" s="9"/>
      <c r="H707" s="9"/>
      <c r="I707" s="9"/>
      <c r="J707" s="9"/>
      <c r="K707" s="9"/>
      <c r="L707" s="115"/>
      <c r="M707" s="115"/>
      <c r="N707" s="115"/>
      <c r="O707" s="115"/>
      <c r="P707" s="9"/>
      <c r="Q707" s="9"/>
      <c r="R707" s="9"/>
      <c r="S707" s="9"/>
      <c r="T707" s="9"/>
      <c r="U707" s="9"/>
      <c r="V707" s="9"/>
      <c r="W707" s="10"/>
      <c r="X707" s="10"/>
      <c r="Y707" s="10"/>
      <c r="Z707" s="10"/>
    </row>
    <row r="708">
      <c r="A708" s="9"/>
      <c r="B708" s="9"/>
      <c r="C708" s="9"/>
      <c r="D708" s="9"/>
      <c r="E708" s="9"/>
      <c r="F708" s="9"/>
      <c r="G708" s="9"/>
      <c r="H708" s="9"/>
      <c r="I708" s="9"/>
      <c r="J708" s="9"/>
      <c r="K708" s="9"/>
      <c r="L708" s="115"/>
      <c r="M708" s="115"/>
      <c r="N708" s="115"/>
      <c r="O708" s="115"/>
      <c r="P708" s="9"/>
      <c r="Q708" s="9"/>
      <c r="R708" s="9"/>
      <c r="S708" s="9"/>
      <c r="T708" s="9"/>
      <c r="U708" s="9"/>
      <c r="V708" s="9"/>
      <c r="W708" s="10"/>
      <c r="X708" s="10"/>
      <c r="Y708" s="10"/>
      <c r="Z708" s="10"/>
    </row>
    <row r="709">
      <c r="A709" s="9"/>
      <c r="B709" s="9"/>
      <c r="C709" s="9"/>
      <c r="D709" s="9"/>
      <c r="E709" s="9"/>
      <c r="F709" s="9"/>
      <c r="G709" s="9"/>
      <c r="H709" s="9"/>
      <c r="I709" s="9"/>
      <c r="J709" s="9"/>
      <c r="K709" s="9"/>
      <c r="L709" s="115"/>
      <c r="M709" s="115"/>
      <c r="N709" s="115"/>
      <c r="O709" s="115"/>
      <c r="P709" s="9"/>
      <c r="Q709" s="9"/>
      <c r="R709" s="9"/>
      <c r="S709" s="9"/>
      <c r="T709" s="9"/>
      <c r="U709" s="9"/>
      <c r="V709" s="9"/>
      <c r="W709" s="10"/>
      <c r="X709" s="10"/>
      <c r="Y709" s="10"/>
      <c r="Z709" s="10"/>
    </row>
    <row r="710">
      <c r="A710" s="9"/>
      <c r="B710" s="9"/>
      <c r="C710" s="9"/>
      <c r="D710" s="9"/>
      <c r="E710" s="9"/>
      <c r="F710" s="9"/>
      <c r="G710" s="9"/>
      <c r="H710" s="9"/>
      <c r="I710" s="9"/>
      <c r="J710" s="9"/>
      <c r="K710" s="9"/>
      <c r="L710" s="115"/>
      <c r="M710" s="115"/>
      <c r="N710" s="115"/>
      <c r="O710" s="115"/>
      <c r="P710" s="9"/>
      <c r="Q710" s="9"/>
      <c r="R710" s="9"/>
      <c r="S710" s="9"/>
      <c r="T710" s="9"/>
      <c r="U710" s="9"/>
      <c r="V710" s="9"/>
      <c r="W710" s="10"/>
      <c r="X710" s="10"/>
      <c r="Y710" s="10"/>
      <c r="Z710" s="10"/>
    </row>
    <row r="711">
      <c r="A711" s="9"/>
      <c r="B711" s="9"/>
      <c r="C711" s="9"/>
      <c r="D711" s="9"/>
      <c r="E711" s="9"/>
      <c r="F711" s="9"/>
      <c r="G711" s="9"/>
      <c r="H711" s="9"/>
      <c r="I711" s="9"/>
      <c r="J711" s="9"/>
      <c r="K711" s="9"/>
      <c r="L711" s="115"/>
      <c r="M711" s="115"/>
      <c r="N711" s="115"/>
      <c r="O711" s="115"/>
      <c r="P711" s="9"/>
      <c r="Q711" s="9"/>
      <c r="R711" s="9"/>
      <c r="S711" s="9"/>
      <c r="T711" s="9"/>
      <c r="U711" s="9"/>
      <c r="V711" s="9"/>
      <c r="W711" s="10"/>
      <c r="X711" s="10"/>
      <c r="Y711" s="10"/>
      <c r="Z711" s="10"/>
    </row>
    <row r="712">
      <c r="A712" s="9"/>
      <c r="B712" s="9"/>
      <c r="C712" s="9"/>
      <c r="D712" s="9"/>
      <c r="E712" s="9"/>
      <c r="F712" s="9"/>
      <c r="G712" s="9"/>
      <c r="H712" s="9"/>
      <c r="I712" s="9"/>
      <c r="J712" s="9"/>
      <c r="K712" s="9"/>
      <c r="L712" s="115"/>
      <c r="M712" s="115"/>
      <c r="N712" s="115"/>
      <c r="O712" s="115"/>
      <c r="P712" s="9"/>
      <c r="Q712" s="9"/>
      <c r="R712" s="9"/>
      <c r="S712" s="9"/>
      <c r="T712" s="9"/>
      <c r="U712" s="9"/>
      <c r="V712" s="9"/>
      <c r="W712" s="10"/>
      <c r="X712" s="10"/>
      <c r="Y712" s="10"/>
      <c r="Z712" s="10"/>
    </row>
    <row r="713">
      <c r="A713" s="9"/>
      <c r="B713" s="9"/>
      <c r="C713" s="9"/>
      <c r="D713" s="9"/>
      <c r="E713" s="9"/>
      <c r="F713" s="9"/>
      <c r="G713" s="9"/>
      <c r="H713" s="9"/>
      <c r="I713" s="9"/>
      <c r="J713" s="9"/>
      <c r="K713" s="9"/>
      <c r="L713" s="115"/>
      <c r="M713" s="115"/>
      <c r="N713" s="115"/>
      <c r="O713" s="115"/>
      <c r="P713" s="9"/>
      <c r="Q713" s="9"/>
      <c r="R713" s="9"/>
      <c r="S713" s="9"/>
      <c r="T713" s="9"/>
      <c r="U713" s="9"/>
      <c r="V713" s="9"/>
      <c r="W713" s="10"/>
      <c r="X713" s="10"/>
      <c r="Y713" s="10"/>
      <c r="Z713" s="10"/>
    </row>
    <row r="714">
      <c r="A714" s="9"/>
      <c r="B714" s="9"/>
      <c r="C714" s="9"/>
      <c r="D714" s="9"/>
      <c r="E714" s="9"/>
      <c r="F714" s="9"/>
      <c r="G714" s="9"/>
      <c r="H714" s="9"/>
      <c r="I714" s="9"/>
      <c r="J714" s="9"/>
      <c r="K714" s="9"/>
      <c r="L714" s="115"/>
      <c r="M714" s="115"/>
      <c r="N714" s="115"/>
      <c r="O714" s="115"/>
      <c r="P714" s="9"/>
      <c r="Q714" s="9"/>
      <c r="R714" s="9"/>
      <c r="S714" s="9"/>
      <c r="T714" s="9"/>
      <c r="U714" s="9"/>
      <c r="V714" s="9"/>
      <c r="W714" s="10"/>
      <c r="X714" s="10"/>
      <c r="Y714" s="10"/>
      <c r="Z714" s="10"/>
    </row>
    <row r="715">
      <c r="A715" s="9"/>
      <c r="B715" s="9"/>
      <c r="C715" s="9"/>
      <c r="D715" s="9"/>
      <c r="E715" s="9"/>
      <c r="F715" s="9"/>
      <c r="G715" s="9"/>
      <c r="H715" s="9"/>
      <c r="I715" s="9"/>
      <c r="J715" s="9"/>
      <c r="K715" s="9"/>
      <c r="L715" s="115"/>
      <c r="M715" s="115"/>
      <c r="N715" s="115"/>
      <c r="O715" s="115"/>
      <c r="P715" s="9"/>
      <c r="Q715" s="9"/>
      <c r="R715" s="9"/>
      <c r="S715" s="9"/>
      <c r="T715" s="9"/>
      <c r="U715" s="9"/>
      <c r="V715" s="9"/>
      <c r="W715" s="10"/>
      <c r="X715" s="10"/>
      <c r="Y715" s="10"/>
      <c r="Z715" s="10"/>
    </row>
    <row r="716">
      <c r="A716" s="9"/>
      <c r="B716" s="9"/>
      <c r="C716" s="9"/>
      <c r="D716" s="9"/>
      <c r="E716" s="9"/>
      <c r="F716" s="9"/>
      <c r="G716" s="9"/>
      <c r="H716" s="9"/>
      <c r="I716" s="9"/>
      <c r="J716" s="9"/>
      <c r="K716" s="9"/>
      <c r="L716" s="115"/>
      <c r="M716" s="115"/>
      <c r="N716" s="115"/>
      <c r="O716" s="115"/>
      <c r="P716" s="9"/>
      <c r="Q716" s="9"/>
      <c r="R716" s="9"/>
      <c r="S716" s="9"/>
      <c r="T716" s="9"/>
      <c r="U716" s="9"/>
      <c r="V716" s="9"/>
      <c r="W716" s="10"/>
      <c r="X716" s="10"/>
      <c r="Y716" s="10"/>
      <c r="Z716" s="10"/>
    </row>
    <row r="717">
      <c r="A717" s="9"/>
      <c r="B717" s="9"/>
      <c r="C717" s="9"/>
      <c r="D717" s="9"/>
      <c r="E717" s="9"/>
      <c r="F717" s="9"/>
      <c r="G717" s="9"/>
      <c r="H717" s="9"/>
      <c r="I717" s="9"/>
      <c r="J717" s="9"/>
      <c r="K717" s="9"/>
      <c r="L717" s="115"/>
      <c r="M717" s="115"/>
      <c r="N717" s="115"/>
      <c r="O717" s="115"/>
      <c r="P717" s="9"/>
      <c r="Q717" s="9"/>
      <c r="R717" s="9"/>
      <c r="S717" s="9"/>
      <c r="T717" s="9"/>
      <c r="U717" s="9"/>
      <c r="V717" s="9"/>
      <c r="W717" s="10"/>
      <c r="X717" s="10"/>
      <c r="Y717" s="10"/>
      <c r="Z717" s="10"/>
    </row>
    <row r="718">
      <c r="A718" s="9"/>
      <c r="B718" s="9"/>
      <c r="C718" s="9"/>
      <c r="D718" s="9"/>
      <c r="E718" s="9"/>
      <c r="F718" s="9"/>
      <c r="G718" s="9"/>
      <c r="H718" s="9"/>
      <c r="I718" s="9"/>
      <c r="J718" s="9"/>
      <c r="K718" s="9"/>
      <c r="L718" s="115"/>
      <c r="M718" s="115"/>
      <c r="N718" s="115"/>
      <c r="O718" s="115"/>
      <c r="P718" s="9"/>
      <c r="Q718" s="9"/>
      <c r="R718" s="9"/>
      <c r="S718" s="9"/>
      <c r="T718" s="9"/>
      <c r="U718" s="9"/>
      <c r="V718" s="9"/>
      <c r="W718" s="10"/>
      <c r="X718" s="10"/>
      <c r="Y718" s="10"/>
      <c r="Z718" s="10"/>
    </row>
    <row r="719">
      <c r="A719" s="9"/>
      <c r="B719" s="9"/>
      <c r="C719" s="9"/>
      <c r="D719" s="9"/>
      <c r="E719" s="9"/>
      <c r="F719" s="9"/>
      <c r="G719" s="9"/>
      <c r="H719" s="9"/>
      <c r="I719" s="9"/>
      <c r="J719" s="9"/>
      <c r="K719" s="9"/>
      <c r="L719" s="115"/>
      <c r="M719" s="115"/>
      <c r="N719" s="115"/>
      <c r="O719" s="115"/>
      <c r="P719" s="9"/>
      <c r="Q719" s="9"/>
      <c r="R719" s="9"/>
      <c r="S719" s="9"/>
      <c r="T719" s="9"/>
      <c r="U719" s="9"/>
      <c r="V719" s="9"/>
      <c r="W719" s="10"/>
      <c r="X719" s="10"/>
      <c r="Y719" s="10"/>
      <c r="Z719" s="10"/>
    </row>
    <row r="720">
      <c r="A720" s="9"/>
      <c r="B720" s="9"/>
      <c r="C720" s="9"/>
      <c r="D720" s="9"/>
      <c r="E720" s="9"/>
      <c r="F720" s="9"/>
      <c r="G720" s="9"/>
      <c r="H720" s="9"/>
      <c r="I720" s="9"/>
      <c r="J720" s="9"/>
      <c r="K720" s="9"/>
      <c r="L720" s="115"/>
      <c r="M720" s="115"/>
      <c r="N720" s="115"/>
      <c r="O720" s="115"/>
      <c r="P720" s="9"/>
      <c r="Q720" s="9"/>
      <c r="R720" s="9"/>
      <c r="S720" s="9"/>
      <c r="T720" s="9"/>
      <c r="U720" s="9"/>
      <c r="V720" s="9"/>
      <c r="W720" s="10"/>
      <c r="X720" s="10"/>
      <c r="Y720" s="10"/>
      <c r="Z720" s="10"/>
    </row>
    <row r="721">
      <c r="A721" s="9"/>
      <c r="B721" s="9"/>
      <c r="C721" s="9"/>
      <c r="D721" s="9"/>
      <c r="E721" s="9"/>
      <c r="F721" s="9"/>
      <c r="G721" s="9"/>
      <c r="H721" s="9"/>
      <c r="I721" s="9"/>
      <c r="J721" s="9"/>
      <c r="K721" s="9"/>
      <c r="L721" s="115"/>
      <c r="M721" s="115"/>
      <c r="N721" s="115"/>
      <c r="O721" s="115"/>
      <c r="P721" s="9"/>
      <c r="Q721" s="9"/>
      <c r="R721" s="9"/>
      <c r="S721" s="9"/>
      <c r="T721" s="9"/>
      <c r="U721" s="9"/>
      <c r="V721" s="9"/>
      <c r="W721" s="10"/>
      <c r="X721" s="10"/>
      <c r="Y721" s="10"/>
      <c r="Z721" s="10"/>
    </row>
    <row r="722">
      <c r="A722" s="9"/>
      <c r="B722" s="9"/>
      <c r="C722" s="9"/>
      <c r="D722" s="9"/>
      <c r="E722" s="9"/>
      <c r="F722" s="9"/>
      <c r="G722" s="9"/>
      <c r="H722" s="9"/>
      <c r="I722" s="9"/>
      <c r="J722" s="9"/>
      <c r="K722" s="9"/>
      <c r="L722" s="115"/>
      <c r="M722" s="115"/>
      <c r="N722" s="115"/>
      <c r="O722" s="115"/>
      <c r="P722" s="9"/>
      <c r="Q722" s="9"/>
      <c r="R722" s="9"/>
      <c r="S722" s="9"/>
      <c r="T722" s="9"/>
      <c r="U722" s="9"/>
      <c r="V722" s="9"/>
      <c r="W722" s="10"/>
      <c r="X722" s="10"/>
      <c r="Y722" s="10"/>
      <c r="Z722" s="10"/>
    </row>
    <row r="723">
      <c r="A723" s="9"/>
      <c r="B723" s="9"/>
      <c r="C723" s="9"/>
      <c r="D723" s="9"/>
      <c r="E723" s="9"/>
      <c r="F723" s="9"/>
      <c r="G723" s="9"/>
      <c r="H723" s="9"/>
      <c r="I723" s="9"/>
      <c r="J723" s="9"/>
      <c r="K723" s="9"/>
      <c r="L723" s="115"/>
      <c r="M723" s="115"/>
      <c r="N723" s="115"/>
      <c r="O723" s="115"/>
      <c r="P723" s="9"/>
      <c r="Q723" s="9"/>
      <c r="R723" s="9"/>
      <c r="S723" s="9"/>
      <c r="T723" s="9"/>
      <c r="U723" s="9"/>
      <c r="V723" s="9"/>
      <c r="W723" s="10"/>
      <c r="X723" s="10"/>
      <c r="Y723" s="10"/>
      <c r="Z723" s="10"/>
    </row>
    <row r="724">
      <c r="A724" s="9"/>
      <c r="B724" s="9"/>
      <c r="C724" s="9"/>
      <c r="D724" s="9"/>
      <c r="E724" s="9"/>
      <c r="F724" s="9"/>
      <c r="G724" s="9"/>
      <c r="H724" s="9"/>
      <c r="I724" s="9"/>
      <c r="J724" s="9"/>
      <c r="K724" s="9"/>
      <c r="L724" s="115"/>
      <c r="M724" s="115"/>
      <c r="N724" s="115"/>
      <c r="O724" s="115"/>
      <c r="P724" s="9"/>
      <c r="Q724" s="9"/>
      <c r="R724" s="9"/>
      <c r="S724" s="9"/>
      <c r="T724" s="9"/>
      <c r="U724" s="9"/>
      <c r="V724" s="9"/>
      <c r="W724" s="10"/>
      <c r="X724" s="10"/>
      <c r="Y724" s="10"/>
      <c r="Z724" s="10"/>
    </row>
    <row r="725">
      <c r="A725" s="9"/>
      <c r="B725" s="9"/>
      <c r="C725" s="9"/>
      <c r="D725" s="9"/>
      <c r="E725" s="9"/>
      <c r="F725" s="9"/>
      <c r="G725" s="9"/>
      <c r="H725" s="9"/>
      <c r="I725" s="9"/>
      <c r="J725" s="9"/>
      <c r="K725" s="9"/>
      <c r="L725" s="115"/>
      <c r="M725" s="115"/>
      <c r="N725" s="115"/>
      <c r="O725" s="115"/>
      <c r="P725" s="9"/>
      <c r="Q725" s="9"/>
      <c r="R725" s="9"/>
      <c r="S725" s="9"/>
      <c r="T725" s="9"/>
      <c r="U725" s="9"/>
      <c r="V725" s="9"/>
      <c r="W725" s="10"/>
      <c r="X725" s="10"/>
      <c r="Y725" s="10"/>
      <c r="Z725" s="10"/>
    </row>
    <row r="726">
      <c r="A726" s="9"/>
      <c r="B726" s="9"/>
      <c r="C726" s="9"/>
      <c r="D726" s="9"/>
      <c r="E726" s="9"/>
      <c r="F726" s="9"/>
      <c r="G726" s="9"/>
      <c r="H726" s="9"/>
      <c r="I726" s="9"/>
      <c r="J726" s="9"/>
      <c r="K726" s="9"/>
      <c r="L726" s="115"/>
      <c r="M726" s="115"/>
      <c r="N726" s="115"/>
      <c r="O726" s="115"/>
      <c r="P726" s="9"/>
      <c r="Q726" s="9"/>
      <c r="R726" s="9"/>
      <c r="S726" s="9"/>
      <c r="T726" s="9"/>
      <c r="U726" s="9"/>
      <c r="V726" s="9"/>
      <c r="W726" s="10"/>
      <c r="X726" s="10"/>
      <c r="Y726" s="10"/>
      <c r="Z726" s="10"/>
    </row>
    <row r="727">
      <c r="A727" s="9"/>
      <c r="B727" s="9"/>
      <c r="C727" s="9"/>
      <c r="D727" s="9"/>
      <c r="E727" s="9"/>
      <c r="F727" s="9"/>
      <c r="G727" s="9"/>
      <c r="H727" s="9"/>
      <c r="I727" s="9"/>
      <c r="J727" s="9"/>
      <c r="K727" s="9"/>
      <c r="L727" s="115"/>
      <c r="M727" s="115"/>
      <c r="N727" s="115"/>
      <c r="O727" s="115"/>
      <c r="P727" s="9"/>
      <c r="Q727" s="9"/>
      <c r="R727" s="9"/>
      <c r="S727" s="9"/>
      <c r="T727" s="9"/>
      <c r="U727" s="9"/>
      <c r="V727" s="9"/>
      <c r="W727" s="10"/>
      <c r="X727" s="10"/>
      <c r="Y727" s="10"/>
      <c r="Z727" s="10"/>
    </row>
    <row r="728">
      <c r="A728" s="9"/>
      <c r="B728" s="9"/>
      <c r="C728" s="9"/>
      <c r="D728" s="9"/>
      <c r="E728" s="9"/>
      <c r="F728" s="9"/>
      <c r="G728" s="9"/>
      <c r="H728" s="9"/>
      <c r="I728" s="9"/>
      <c r="J728" s="9"/>
      <c r="K728" s="9"/>
      <c r="L728" s="115"/>
      <c r="M728" s="115"/>
      <c r="N728" s="115"/>
      <c r="O728" s="115"/>
      <c r="P728" s="9"/>
      <c r="Q728" s="9"/>
      <c r="R728" s="9"/>
      <c r="S728" s="9"/>
      <c r="T728" s="9"/>
      <c r="U728" s="9"/>
      <c r="V728" s="9"/>
      <c r="W728" s="10"/>
      <c r="X728" s="10"/>
      <c r="Y728" s="10"/>
      <c r="Z728" s="10"/>
    </row>
    <row r="729">
      <c r="A729" s="9"/>
      <c r="B729" s="9"/>
      <c r="C729" s="9"/>
      <c r="D729" s="9"/>
      <c r="E729" s="9"/>
      <c r="F729" s="9"/>
      <c r="G729" s="9"/>
      <c r="H729" s="9"/>
      <c r="I729" s="9"/>
      <c r="J729" s="9"/>
      <c r="K729" s="9"/>
      <c r="L729" s="115"/>
      <c r="M729" s="115"/>
      <c r="N729" s="115"/>
      <c r="O729" s="115"/>
      <c r="P729" s="9"/>
      <c r="Q729" s="9"/>
      <c r="R729" s="9"/>
      <c r="S729" s="9"/>
      <c r="T729" s="9"/>
      <c r="U729" s="9"/>
      <c r="V729" s="9"/>
      <c r="W729" s="10"/>
      <c r="X729" s="10"/>
      <c r="Y729" s="10"/>
      <c r="Z729" s="10"/>
    </row>
    <row r="730">
      <c r="A730" s="9"/>
      <c r="B730" s="9"/>
      <c r="C730" s="9"/>
      <c r="D730" s="9"/>
      <c r="E730" s="9"/>
      <c r="F730" s="9"/>
      <c r="G730" s="9"/>
      <c r="H730" s="9"/>
      <c r="I730" s="9"/>
      <c r="J730" s="9"/>
      <c r="K730" s="9"/>
      <c r="L730" s="115"/>
      <c r="M730" s="115"/>
      <c r="N730" s="115"/>
      <c r="O730" s="115"/>
      <c r="P730" s="9"/>
      <c r="Q730" s="9"/>
      <c r="R730" s="9"/>
      <c r="S730" s="9"/>
      <c r="T730" s="9"/>
      <c r="U730" s="9"/>
      <c r="V730" s="9"/>
      <c r="W730" s="10"/>
      <c r="X730" s="10"/>
      <c r="Y730" s="10"/>
      <c r="Z730" s="10"/>
    </row>
    <row r="731">
      <c r="A731" s="9"/>
      <c r="B731" s="9"/>
      <c r="C731" s="9"/>
      <c r="D731" s="9"/>
      <c r="E731" s="9"/>
      <c r="F731" s="9"/>
      <c r="G731" s="9"/>
      <c r="H731" s="9"/>
      <c r="I731" s="9"/>
      <c r="J731" s="9"/>
      <c r="K731" s="9"/>
      <c r="L731" s="115"/>
      <c r="M731" s="115"/>
      <c r="N731" s="115"/>
      <c r="O731" s="115"/>
      <c r="P731" s="9"/>
      <c r="Q731" s="9"/>
      <c r="R731" s="9"/>
      <c r="S731" s="9"/>
      <c r="T731" s="9"/>
      <c r="U731" s="9"/>
      <c r="V731" s="9"/>
      <c r="W731" s="10"/>
      <c r="X731" s="10"/>
      <c r="Y731" s="10"/>
      <c r="Z731" s="10"/>
    </row>
    <row r="732">
      <c r="A732" s="9"/>
      <c r="B732" s="9"/>
      <c r="C732" s="9"/>
      <c r="D732" s="9"/>
      <c r="E732" s="9"/>
      <c r="F732" s="9"/>
      <c r="G732" s="9"/>
      <c r="H732" s="9"/>
      <c r="I732" s="9"/>
      <c r="J732" s="9"/>
      <c r="K732" s="9"/>
      <c r="L732" s="115"/>
      <c r="M732" s="115"/>
      <c r="N732" s="115"/>
      <c r="O732" s="115"/>
      <c r="P732" s="9"/>
      <c r="Q732" s="9"/>
      <c r="R732" s="9"/>
      <c r="S732" s="9"/>
      <c r="T732" s="9"/>
      <c r="U732" s="9"/>
      <c r="V732" s="9"/>
      <c r="W732" s="10"/>
      <c r="X732" s="10"/>
      <c r="Y732" s="10"/>
      <c r="Z732" s="10"/>
    </row>
    <row r="733">
      <c r="A733" s="9"/>
      <c r="B733" s="9"/>
      <c r="C733" s="9"/>
      <c r="D733" s="9"/>
      <c r="E733" s="9"/>
      <c r="F733" s="9"/>
      <c r="G733" s="9"/>
      <c r="H733" s="9"/>
      <c r="I733" s="9"/>
      <c r="J733" s="9"/>
      <c r="K733" s="9"/>
      <c r="L733" s="115"/>
      <c r="M733" s="115"/>
      <c r="N733" s="115"/>
      <c r="O733" s="115"/>
      <c r="P733" s="9"/>
      <c r="Q733" s="9"/>
      <c r="R733" s="9"/>
      <c r="S733" s="9"/>
      <c r="T733" s="9"/>
      <c r="U733" s="9"/>
      <c r="V733" s="9"/>
      <c r="W733" s="10"/>
      <c r="X733" s="10"/>
      <c r="Y733" s="10"/>
      <c r="Z733" s="10"/>
    </row>
    <row r="734">
      <c r="A734" s="9"/>
      <c r="B734" s="9"/>
      <c r="C734" s="9"/>
      <c r="D734" s="9"/>
      <c r="E734" s="9"/>
      <c r="F734" s="9"/>
      <c r="G734" s="9"/>
      <c r="H734" s="9"/>
      <c r="I734" s="9"/>
      <c r="J734" s="9"/>
      <c r="K734" s="9"/>
      <c r="L734" s="115"/>
      <c r="M734" s="115"/>
      <c r="N734" s="115"/>
      <c r="O734" s="115"/>
      <c r="P734" s="9"/>
      <c r="Q734" s="9"/>
      <c r="R734" s="9"/>
      <c r="S734" s="9"/>
      <c r="T734" s="9"/>
      <c r="U734" s="9"/>
      <c r="V734" s="9"/>
      <c r="W734" s="10"/>
      <c r="X734" s="10"/>
      <c r="Y734" s="10"/>
      <c r="Z734" s="10"/>
    </row>
    <row r="735">
      <c r="A735" s="9"/>
      <c r="B735" s="9"/>
      <c r="C735" s="9"/>
      <c r="D735" s="9"/>
      <c r="E735" s="9"/>
      <c r="F735" s="9"/>
      <c r="G735" s="9"/>
      <c r="H735" s="9"/>
      <c r="I735" s="9"/>
      <c r="J735" s="9"/>
      <c r="K735" s="9"/>
      <c r="L735" s="115"/>
      <c r="M735" s="115"/>
      <c r="N735" s="115"/>
      <c r="O735" s="115"/>
      <c r="P735" s="9"/>
      <c r="Q735" s="9"/>
      <c r="R735" s="9"/>
      <c r="S735" s="9"/>
      <c r="T735" s="9"/>
      <c r="U735" s="9"/>
      <c r="V735" s="9"/>
      <c r="W735" s="10"/>
      <c r="X735" s="10"/>
      <c r="Y735" s="10"/>
      <c r="Z735" s="10"/>
    </row>
    <row r="736">
      <c r="A736" s="9"/>
      <c r="B736" s="9"/>
      <c r="C736" s="9"/>
      <c r="D736" s="9"/>
      <c r="E736" s="9"/>
      <c r="F736" s="9"/>
      <c r="G736" s="9"/>
      <c r="H736" s="9"/>
      <c r="I736" s="9"/>
      <c r="J736" s="9"/>
      <c r="K736" s="9"/>
      <c r="L736" s="115"/>
      <c r="M736" s="115"/>
      <c r="N736" s="115"/>
      <c r="O736" s="115"/>
      <c r="P736" s="9"/>
      <c r="Q736" s="9"/>
      <c r="R736" s="9"/>
      <c r="S736" s="9"/>
      <c r="T736" s="9"/>
      <c r="U736" s="9"/>
      <c r="V736" s="9"/>
      <c r="W736" s="10"/>
      <c r="X736" s="10"/>
      <c r="Y736" s="10"/>
      <c r="Z736" s="10"/>
    </row>
    <row r="737">
      <c r="A737" s="9"/>
      <c r="B737" s="9"/>
      <c r="C737" s="9"/>
      <c r="D737" s="9"/>
      <c r="E737" s="9"/>
      <c r="F737" s="9"/>
      <c r="G737" s="9"/>
      <c r="H737" s="9"/>
      <c r="I737" s="9"/>
      <c r="J737" s="9"/>
      <c r="K737" s="9"/>
      <c r="L737" s="115"/>
      <c r="M737" s="115"/>
      <c r="N737" s="115"/>
      <c r="O737" s="115"/>
      <c r="P737" s="9"/>
      <c r="Q737" s="9"/>
      <c r="R737" s="9"/>
      <c r="S737" s="9"/>
      <c r="T737" s="9"/>
      <c r="U737" s="9"/>
      <c r="V737" s="9"/>
      <c r="W737" s="10"/>
      <c r="X737" s="10"/>
      <c r="Y737" s="10"/>
      <c r="Z737" s="10"/>
    </row>
    <row r="738">
      <c r="A738" s="9"/>
      <c r="B738" s="9"/>
      <c r="C738" s="9"/>
      <c r="D738" s="9"/>
      <c r="E738" s="9"/>
      <c r="F738" s="9"/>
      <c r="G738" s="9"/>
      <c r="H738" s="9"/>
      <c r="I738" s="9"/>
      <c r="J738" s="9"/>
      <c r="K738" s="9"/>
      <c r="L738" s="115"/>
      <c r="M738" s="115"/>
      <c r="N738" s="115"/>
      <c r="O738" s="115"/>
      <c r="P738" s="9"/>
      <c r="Q738" s="9"/>
      <c r="R738" s="9"/>
      <c r="S738" s="9"/>
      <c r="T738" s="9"/>
      <c r="U738" s="9"/>
      <c r="V738" s="9"/>
      <c r="W738" s="10"/>
      <c r="X738" s="10"/>
      <c r="Y738" s="10"/>
      <c r="Z738" s="10"/>
    </row>
    <row r="739">
      <c r="A739" s="9"/>
      <c r="B739" s="9"/>
      <c r="C739" s="9"/>
      <c r="D739" s="9"/>
      <c r="E739" s="9"/>
      <c r="F739" s="9"/>
      <c r="G739" s="9"/>
      <c r="H739" s="9"/>
      <c r="I739" s="9"/>
      <c r="J739" s="9"/>
      <c r="K739" s="9"/>
      <c r="L739" s="115"/>
      <c r="M739" s="115"/>
      <c r="N739" s="115"/>
      <c r="O739" s="115"/>
      <c r="P739" s="9"/>
      <c r="Q739" s="9"/>
      <c r="R739" s="9"/>
      <c r="S739" s="9"/>
      <c r="T739" s="9"/>
      <c r="U739" s="9"/>
      <c r="V739" s="9"/>
      <c r="W739" s="10"/>
      <c r="X739" s="10"/>
      <c r="Y739" s="10"/>
      <c r="Z739" s="10"/>
    </row>
    <row r="740">
      <c r="A740" s="9"/>
      <c r="B740" s="9"/>
      <c r="C740" s="9"/>
      <c r="D740" s="9"/>
      <c r="E740" s="9"/>
      <c r="F740" s="9"/>
      <c r="G740" s="9"/>
      <c r="H740" s="9"/>
      <c r="I740" s="9"/>
      <c r="J740" s="9"/>
      <c r="K740" s="9"/>
      <c r="L740" s="115"/>
      <c r="M740" s="115"/>
      <c r="N740" s="115"/>
      <c r="O740" s="115"/>
      <c r="P740" s="9"/>
      <c r="Q740" s="9"/>
      <c r="R740" s="9"/>
      <c r="S740" s="9"/>
      <c r="T740" s="9"/>
      <c r="U740" s="9"/>
      <c r="V740" s="9"/>
      <c r="W740" s="10"/>
      <c r="X740" s="10"/>
      <c r="Y740" s="10"/>
      <c r="Z740" s="10"/>
    </row>
    <row r="741">
      <c r="A741" s="9"/>
      <c r="B741" s="9"/>
      <c r="C741" s="9"/>
      <c r="D741" s="9"/>
      <c r="E741" s="9"/>
      <c r="F741" s="9"/>
      <c r="G741" s="9"/>
      <c r="H741" s="9"/>
      <c r="I741" s="9"/>
      <c r="J741" s="9"/>
      <c r="K741" s="9"/>
      <c r="L741" s="115"/>
      <c r="M741" s="115"/>
      <c r="N741" s="115"/>
      <c r="O741" s="115"/>
      <c r="P741" s="9"/>
      <c r="Q741" s="9"/>
      <c r="R741" s="9"/>
      <c r="S741" s="9"/>
      <c r="T741" s="9"/>
      <c r="U741" s="9"/>
      <c r="V741" s="9"/>
      <c r="W741" s="10"/>
      <c r="X741" s="10"/>
      <c r="Y741" s="10"/>
      <c r="Z741" s="10"/>
    </row>
    <row r="742">
      <c r="A742" s="9"/>
      <c r="B742" s="9"/>
      <c r="C742" s="9"/>
      <c r="D742" s="9"/>
      <c r="E742" s="9"/>
      <c r="F742" s="9"/>
      <c r="G742" s="9"/>
      <c r="H742" s="9"/>
      <c r="I742" s="9"/>
      <c r="J742" s="9"/>
      <c r="K742" s="9"/>
      <c r="L742" s="115"/>
      <c r="M742" s="115"/>
      <c r="N742" s="115"/>
      <c r="O742" s="115"/>
      <c r="P742" s="9"/>
      <c r="Q742" s="9"/>
      <c r="R742" s="9"/>
      <c r="S742" s="9"/>
      <c r="T742" s="9"/>
      <c r="U742" s="9"/>
      <c r="V742" s="9"/>
      <c r="W742" s="10"/>
      <c r="X742" s="10"/>
      <c r="Y742" s="10"/>
      <c r="Z742" s="10"/>
    </row>
    <row r="743">
      <c r="A743" s="9"/>
      <c r="B743" s="9"/>
      <c r="C743" s="9"/>
      <c r="D743" s="9"/>
      <c r="E743" s="9"/>
      <c r="F743" s="9"/>
      <c r="G743" s="9"/>
      <c r="H743" s="9"/>
      <c r="I743" s="9"/>
      <c r="J743" s="9"/>
      <c r="K743" s="9"/>
      <c r="L743" s="115"/>
      <c r="M743" s="115"/>
      <c r="N743" s="115"/>
      <c r="O743" s="115"/>
      <c r="P743" s="9"/>
      <c r="Q743" s="9"/>
      <c r="R743" s="9"/>
      <c r="S743" s="9"/>
      <c r="T743" s="9"/>
      <c r="U743" s="9"/>
      <c r="V743" s="9"/>
      <c r="W743" s="10"/>
      <c r="X743" s="10"/>
      <c r="Y743" s="10"/>
      <c r="Z743" s="10"/>
    </row>
    <row r="744">
      <c r="A744" s="9"/>
      <c r="B744" s="9"/>
      <c r="C744" s="9"/>
      <c r="D744" s="9"/>
      <c r="E744" s="9"/>
      <c r="F744" s="9"/>
      <c r="G744" s="9"/>
      <c r="H744" s="9"/>
      <c r="I744" s="9"/>
      <c r="J744" s="9"/>
      <c r="K744" s="9"/>
      <c r="L744" s="115"/>
      <c r="M744" s="115"/>
      <c r="N744" s="115"/>
      <c r="O744" s="115"/>
      <c r="P744" s="9"/>
      <c r="Q744" s="9"/>
      <c r="R744" s="9"/>
      <c r="S744" s="9"/>
      <c r="T744" s="9"/>
      <c r="U744" s="9"/>
      <c r="V744" s="9"/>
      <c r="W744" s="10"/>
      <c r="X744" s="10"/>
      <c r="Y744" s="10"/>
      <c r="Z744" s="10"/>
    </row>
    <row r="745">
      <c r="A745" s="9"/>
      <c r="B745" s="9"/>
      <c r="C745" s="9"/>
      <c r="D745" s="9"/>
      <c r="E745" s="9"/>
      <c r="F745" s="9"/>
      <c r="G745" s="9"/>
      <c r="H745" s="9"/>
      <c r="I745" s="9"/>
      <c r="J745" s="9"/>
      <c r="K745" s="9"/>
      <c r="L745" s="115"/>
      <c r="M745" s="115"/>
      <c r="N745" s="115"/>
      <c r="O745" s="115"/>
      <c r="P745" s="9"/>
      <c r="Q745" s="9"/>
      <c r="R745" s="9"/>
      <c r="S745" s="9"/>
      <c r="T745" s="9"/>
      <c r="U745" s="9"/>
      <c r="V745" s="9"/>
      <c r="W745" s="10"/>
      <c r="X745" s="10"/>
      <c r="Y745" s="10"/>
      <c r="Z745" s="10"/>
    </row>
    <row r="746">
      <c r="A746" s="9"/>
      <c r="B746" s="9"/>
      <c r="C746" s="9"/>
      <c r="D746" s="9"/>
      <c r="E746" s="9"/>
      <c r="F746" s="9"/>
      <c r="G746" s="9"/>
      <c r="H746" s="9"/>
      <c r="I746" s="9"/>
      <c r="J746" s="9"/>
      <c r="K746" s="9"/>
      <c r="L746" s="115"/>
      <c r="M746" s="115"/>
      <c r="N746" s="115"/>
      <c r="O746" s="115"/>
      <c r="P746" s="9"/>
      <c r="Q746" s="9"/>
      <c r="R746" s="9"/>
      <c r="S746" s="9"/>
      <c r="T746" s="9"/>
      <c r="U746" s="9"/>
      <c r="V746" s="9"/>
      <c r="W746" s="10"/>
      <c r="X746" s="10"/>
      <c r="Y746" s="10"/>
      <c r="Z746" s="10"/>
    </row>
    <row r="747">
      <c r="A747" s="9"/>
      <c r="B747" s="9"/>
      <c r="C747" s="9"/>
      <c r="D747" s="9"/>
      <c r="E747" s="9"/>
      <c r="F747" s="9"/>
      <c r="G747" s="9"/>
      <c r="H747" s="9"/>
      <c r="I747" s="9"/>
      <c r="J747" s="9"/>
      <c r="K747" s="9"/>
      <c r="L747" s="115"/>
      <c r="M747" s="115"/>
      <c r="N747" s="115"/>
      <c r="O747" s="115"/>
      <c r="P747" s="9"/>
      <c r="Q747" s="9"/>
      <c r="R747" s="9"/>
      <c r="S747" s="9"/>
      <c r="T747" s="9"/>
      <c r="U747" s="9"/>
      <c r="V747" s="9"/>
      <c r="W747" s="10"/>
      <c r="X747" s="10"/>
      <c r="Y747" s="10"/>
      <c r="Z747" s="10"/>
    </row>
    <row r="748">
      <c r="A748" s="9"/>
      <c r="B748" s="9"/>
      <c r="C748" s="9"/>
      <c r="D748" s="9"/>
      <c r="E748" s="9"/>
      <c r="F748" s="9"/>
      <c r="G748" s="9"/>
      <c r="H748" s="9"/>
      <c r="I748" s="9"/>
      <c r="J748" s="9"/>
      <c r="K748" s="9"/>
      <c r="L748" s="115"/>
      <c r="M748" s="115"/>
      <c r="N748" s="115"/>
      <c r="O748" s="115"/>
      <c r="P748" s="9"/>
      <c r="Q748" s="9"/>
      <c r="R748" s="9"/>
      <c r="S748" s="9"/>
      <c r="T748" s="9"/>
      <c r="U748" s="9"/>
      <c r="V748" s="9"/>
      <c r="W748" s="10"/>
      <c r="X748" s="10"/>
      <c r="Y748" s="10"/>
      <c r="Z748" s="10"/>
    </row>
    <row r="749">
      <c r="A749" s="9"/>
      <c r="B749" s="9"/>
      <c r="C749" s="9"/>
      <c r="D749" s="9"/>
      <c r="E749" s="9"/>
      <c r="F749" s="9"/>
      <c r="G749" s="9"/>
      <c r="H749" s="9"/>
      <c r="I749" s="9"/>
      <c r="J749" s="9"/>
      <c r="K749" s="9"/>
      <c r="L749" s="115"/>
      <c r="M749" s="115"/>
      <c r="N749" s="115"/>
      <c r="O749" s="115"/>
      <c r="P749" s="9"/>
      <c r="Q749" s="9"/>
      <c r="R749" s="9"/>
      <c r="S749" s="9"/>
      <c r="T749" s="9"/>
      <c r="U749" s="9"/>
      <c r="V749" s="9"/>
      <c r="W749" s="10"/>
      <c r="X749" s="10"/>
      <c r="Y749" s="10"/>
      <c r="Z749" s="10"/>
    </row>
    <row r="750">
      <c r="A750" s="9"/>
      <c r="B750" s="9"/>
      <c r="C750" s="9"/>
      <c r="D750" s="9"/>
      <c r="E750" s="9"/>
      <c r="F750" s="9"/>
      <c r="G750" s="9"/>
      <c r="H750" s="9"/>
      <c r="I750" s="9"/>
      <c r="J750" s="9"/>
      <c r="K750" s="9"/>
      <c r="L750" s="115"/>
      <c r="M750" s="115"/>
      <c r="N750" s="115"/>
      <c r="O750" s="115"/>
      <c r="P750" s="9"/>
      <c r="Q750" s="9"/>
      <c r="R750" s="9"/>
      <c r="S750" s="9"/>
      <c r="T750" s="9"/>
      <c r="U750" s="9"/>
      <c r="V750" s="9"/>
      <c r="W750" s="10"/>
      <c r="X750" s="10"/>
      <c r="Y750" s="10"/>
      <c r="Z750" s="10"/>
    </row>
    <row r="751">
      <c r="A751" s="9"/>
      <c r="B751" s="9"/>
      <c r="C751" s="9"/>
      <c r="D751" s="9"/>
      <c r="E751" s="9"/>
      <c r="F751" s="9"/>
      <c r="G751" s="9"/>
      <c r="H751" s="9"/>
      <c r="I751" s="9"/>
      <c r="J751" s="9"/>
      <c r="K751" s="9"/>
      <c r="L751" s="115"/>
      <c r="M751" s="115"/>
      <c r="N751" s="115"/>
      <c r="O751" s="115"/>
      <c r="P751" s="9"/>
      <c r="Q751" s="9"/>
      <c r="R751" s="9"/>
      <c r="S751" s="9"/>
      <c r="T751" s="9"/>
      <c r="U751" s="9"/>
      <c r="V751" s="9"/>
      <c r="W751" s="10"/>
      <c r="X751" s="10"/>
      <c r="Y751" s="10"/>
      <c r="Z751" s="10"/>
    </row>
    <row r="752">
      <c r="A752" s="9"/>
      <c r="B752" s="9"/>
      <c r="C752" s="9"/>
      <c r="D752" s="9"/>
      <c r="E752" s="9"/>
      <c r="F752" s="9"/>
      <c r="G752" s="9"/>
      <c r="H752" s="9"/>
      <c r="I752" s="9"/>
      <c r="J752" s="9"/>
      <c r="K752" s="9"/>
      <c r="L752" s="115"/>
      <c r="M752" s="115"/>
      <c r="N752" s="115"/>
      <c r="O752" s="115"/>
      <c r="P752" s="9"/>
      <c r="Q752" s="9"/>
      <c r="R752" s="9"/>
      <c r="S752" s="9"/>
      <c r="T752" s="9"/>
      <c r="U752" s="9"/>
      <c r="V752" s="9"/>
      <c r="W752" s="10"/>
      <c r="X752" s="10"/>
      <c r="Y752" s="10"/>
      <c r="Z752" s="10"/>
    </row>
    <row r="753">
      <c r="A753" s="9"/>
      <c r="B753" s="9"/>
      <c r="C753" s="9"/>
      <c r="D753" s="9"/>
      <c r="E753" s="9"/>
      <c r="F753" s="9"/>
      <c r="G753" s="9"/>
      <c r="H753" s="9"/>
      <c r="I753" s="9"/>
      <c r="J753" s="9"/>
      <c r="K753" s="9"/>
      <c r="L753" s="115"/>
      <c r="M753" s="115"/>
      <c r="N753" s="115"/>
      <c r="O753" s="115"/>
      <c r="P753" s="9"/>
      <c r="Q753" s="9"/>
      <c r="R753" s="9"/>
      <c r="S753" s="9"/>
      <c r="T753" s="9"/>
      <c r="U753" s="9"/>
      <c r="V753" s="9"/>
      <c r="W753" s="10"/>
      <c r="X753" s="10"/>
      <c r="Y753" s="10"/>
      <c r="Z753" s="10"/>
    </row>
    <row r="754">
      <c r="A754" s="9"/>
      <c r="B754" s="9"/>
      <c r="C754" s="9"/>
      <c r="D754" s="9"/>
      <c r="E754" s="9"/>
      <c r="F754" s="9"/>
      <c r="G754" s="9"/>
      <c r="H754" s="9"/>
      <c r="I754" s="9"/>
      <c r="J754" s="9"/>
      <c r="K754" s="9"/>
      <c r="L754" s="115"/>
      <c r="M754" s="115"/>
      <c r="N754" s="115"/>
      <c r="O754" s="115"/>
      <c r="P754" s="9"/>
      <c r="Q754" s="9"/>
      <c r="R754" s="9"/>
      <c r="S754" s="9"/>
      <c r="T754" s="9"/>
      <c r="U754" s="9"/>
      <c r="V754" s="9"/>
      <c r="W754" s="10"/>
      <c r="X754" s="10"/>
      <c r="Y754" s="10"/>
      <c r="Z754" s="10"/>
    </row>
    <row r="755">
      <c r="A755" s="9"/>
      <c r="B755" s="9"/>
      <c r="C755" s="9"/>
      <c r="D755" s="9"/>
      <c r="E755" s="9"/>
      <c r="F755" s="9"/>
      <c r="G755" s="9"/>
      <c r="H755" s="9"/>
      <c r="I755" s="9"/>
      <c r="J755" s="9"/>
      <c r="K755" s="9"/>
      <c r="L755" s="115"/>
      <c r="M755" s="115"/>
      <c r="N755" s="115"/>
      <c r="O755" s="115"/>
      <c r="P755" s="9"/>
      <c r="Q755" s="9"/>
      <c r="R755" s="9"/>
      <c r="S755" s="9"/>
      <c r="T755" s="9"/>
      <c r="U755" s="9"/>
      <c r="V755" s="9"/>
      <c r="W755" s="10"/>
      <c r="X755" s="10"/>
      <c r="Y755" s="10"/>
      <c r="Z755" s="10"/>
    </row>
    <row r="756">
      <c r="A756" s="9"/>
      <c r="B756" s="9"/>
      <c r="C756" s="9"/>
      <c r="D756" s="9"/>
      <c r="E756" s="9"/>
      <c r="F756" s="9"/>
      <c r="G756" s="9"/>
      <c r="H756" s="9"/>
      <c r="I756" s="9"/>
      <c r="J756" s="9"/>
      <c r="K756" s="9"/>
      <c r="L756" s="115"/>
      <c r="M756" s="115"/>
      <c r="N756" s="115"/>
      <c r="O756" s="115"/>
      <c r="P756" s="9"/>
      <c r="Q756" s="9"/>
      <c r="R756" s="9"/>
      <c r="S756" s="9"/>
      <c r="T756" s="9"/>
      <c r="U756" s="9"/>
      <c r="V756" s="9"/>
      <c r="W756" s="10"/>
      <c r="X756" s="10"/>
      <c r="Y756" s="10"/>
      <c r="Z756" s="10"/>
    </row>
    <row r="757">
      <c r="A757" s="9"/>
      <c r="B757" s="9"/>
      <c r="C757" s="9"/>
      <c r="D757" s="9"/>
      <c r="E757" s="9"/>
      <c r="F757" s="9"/>
      <c r="G757" s="9"/>
      <c r="H757" s="9"/>
      <c r="I757" s="9"/>
      <c r="J757" s="9"/>
      <c r="K757" s="9"/>
      <c r="L757" s="115"/>
      <c r="M757" s="115"/>
      <c r="N757" s="115"/>
      <c r="O757" s="115"/>
      <c r="P757" s="9"/>
      <c r="Q757" s="9"/>
      <c r="R757" s="9"/>
      <c r="S757" s="9"/>
      <c r="T757" s="9"/>
      <c r="U757" s="9"/>
      <c r="V757" s="9"/>
      <c r="W757" s="10"/>
      <c r="X757" s="10"/>
      <c r="Y757" s="10"/>
      <c r="Z757" s="10"/>
    </row>
    <row r="758">
      <c r="A758" s="9"/>
      <c r="B758" s="9"/>
      <c r="C758" s="9"/>
      <c r="D758" s="9"/>
      <c r="E758" s="9"/>
      <c r="F758" s="9"/>
      <c r="G758" s="9"/>
      <c r="H758" s="9"/>
      <c r="I758" s="9"/>
      <c r="J758" s="9"/>
      <c r="K758" s="9"/>
      <c r="L758" s="115"/>
      <c r="M758" s="115"/>
      <c r="N758" s="115"/>
      <c r="O758" s="115"/>
      <c r="P758" s="9"/>
      <c r="Q758" s="9"/>
      <c r="R758" s="9"/>
      <c r="S758" s="9"/>
      <c r="T758" s="9"/>
      <c r="U758" s="9"/>
      <c r="V758" s="9"/>
      <c r="W758" s="10"/>
      <c r="X758" s="10"/>
      <c r="Y758" s="10"/>
      <c r="Z758" s="10"/>
    </row>
    <row r="759">
      <c r="A759" s="9"/>
      <c r="B759" s="9"/>
      <c r="C759" s="9"/>
      <c r="D759" s="9"/>
      <c r="E759" s="9"/>
      <c r="F759" s="9"/>
      <c r="G759" s="9"/>
      <c r="H759" s="9"/>
      <c r="I759" s="9"/>
      <c r="J759" s="9"/>
      <c r="K759" s="9"/>
      <c r="L759" s="115"/>
      <c r="M759" s="115"/>
      <c r="N759" s="115"/>
      <c r="O759" s="115"/>
      <c r="P759" s="9"/>
      <c r="Q759" s="9"/>
      <c r="R759" s="9"/>
      <c r="S759" s="9"/>
      <c r="T759" s="9"/>
      <c r="U759" s="9"/>
      <c r="V759" s="9"/>
      <c r="W759" s="10"/>
      <c r="X759" s="10"/>
      <c r="Y759" s="10"/>
      <c r="Z759" s="10"/>
    </row>
    <row r="760">
      <c r="A760" s="9"/>
      <c r="B760" s="9"/>
      <c r="C760" s="9"/>
      <c r="D760" s="9"/>
      <c r="E760" s="9"/>
      <c r="F760" s="9"/>
      <c r="G760" s="9"/>
      <c r="H760" s="9"/>
      <c r="I760" s="9"/>
      <c r="J760" s="9"/>
      <c r="K760" s="9"/>
      <c r="L760" s="115"/>
      <c r="M760" s="115"/>
      <c r="N760" s="115"/>
      <c r="O760" s="115"/>
      <c r="P760" s="9"/>
      <c r="Q760" s="9"/>
      <c r="R760" s="9"/>
      <c r="S760" s="9"/>
      <c r="T760" s="9"/>
      <c r="U760" s="9"/>
      <c r="V760" s="9"/>
      <c r="W760" s="10"/>
      <c r="X760" s="10"/>
      <c r="Y760" s="10"/>
      <c r="Z760" s="10"/>
    </row>
    <row r="761">
      <c r="A761" s="9"/>
      <c r="B761" s="9"/>
      <c r="C761" s="9"/>
      <c r="D761" s="9"/>
      <c r="E761" s="9"/>
      <c r="F761" s="9"/>
      <c r="G761" s="9"/>
      <c r="H761" s="9"/>
      <c r="I761" s="9"/>
      <c r="J761" s="9"/>
      <c r="K761" s="9"/>
      <c r="L761" s="115"/>
      <c r="M761" s="115"/>
      <c r="N761" s="115"/>
      <c r="O761" s="115"/>
      <c r="P761" s="9"/>
      <c r="Q761" s="9"/>
      <c r="R761" s="9"/>
      <c r="S761" s="9"/>
      <c r="T761" s="9"/>
      <c r="U761" s="9"/>
      <c r="V761" s="9"/>
      <c r="W761" s="10"/>
      <c r="X761" s="10"/>
      <c r="Y761" s="10"/>
      <c r="Z761" s="10"/>
    </row>
    <row r="762">
      <c r="A762" s="9"/>
      <c r="B762" s="9"/>
      <c r="C762" s="9"/>
      <c r="D762" s="9"/>
      <c r="E762" s="9"/>
      <c r="F762" s="9"/>
      <c r="G762" s="9"/>
      <c r="H762" s="9"/>
      <c r="I762" s="9"/>
      <c r="J762" s="9"/>
      <c r="K762" s="9"/>
      <c r="L762" s="115"/>
      <c r="M762" s="115"/>
      <c r="N762" s="115"/>
      <c r="O762" s="115"/>
      <c r="P762" s="9"/>
      <c r="Q762" s="9"/>
      <c r="R762" s="9"/>
      <c r="S762" s="9"/>
      <c r="T762" s="9"/>
      <c r="U762" s="9"/>
      <c r="V762" s="9"/>
      <c r="W762" s="10"/>
      <c r="X762" s="10"/>
      <c r="Y762" s="10"/>
      <c r="Z762" s="10"/>
    </row>
    <row r="763">
      <c r="A763" s="9"/>
      <c r="B763" s="9"/>
      <c r="C763" s="9"/>
      <c r="D763" s="9"/>
      <c r="E763" s="9"/>
      <c r="F763" s="9"/>
      <c r="G763" s="9"/>
      <c r="H763" s="9"/>
      <c r="I763" s="9"/>
      <c r="J763" s="9"/>
      <c r="K763" s="9"/>
      <c r="L763" s="115"/>
      <c r="M763" s="115"/>
      <c r="N763" s="115"/>
      <c r="O763" s="115"/>
      <c r="P763" s="9"/>
      <c r="Q763" s="9"/>
      <c r="R763" s="9"/>
      <c r="S763" s="9"/>
      <c r="T763" s="9"/>
      <c r="U763" s="9"/>
      <c r="V763" s="9"/>
      <c r="W763" s="10"/>
      <c r="X763" s="10"/>
      <c r="Y763" s="10"/>
      <c r="Z763" s="10"/>
    </row>
    <row r="764">
      <c r="A764" s="9"/>
      <c r="B764" s="9"/>
      <c r="C764" s="9"/>
      <c r="D764" s="9"/>
      <c r="E764" s="9"/>
      <c r="F764" s="9"/>
      <c r="G764" s="9"/>
      <c r="H764" s="9"/>
      <c r="I764" s="9"/>
      <c r="J764" s="9"/>
      <c r="K764" s="9"/>
      <c r="L764" s="115"/>
      <c r="M764" s="115"/>
      <c r="N764" s="115"/>
      <c r="O764" s="115"/>
      <c r="P764" s="9"/>
      <c r="Q764" s="9"/>
      <c r="R764" s="9"/>
      <c r="S764" s="9"/>
      <c r="T764" s="9"/>
      <c r="U764" s="9"/>
      <c r="V764" s="9"/>
      <c r="W764" s="10"/>
      <c r="X764" s="10"/>
      <c r="Y764" s="10"/>
      <c r="Z764" s="10"/>
    </row>
    <row r="765">
      <c r="A765" s="9"/>
      <c r="B765" s="9"/>
      <c r="C765" s="9"/>
      <c r="D765" s="9"/>
      <c r="E765" s="9"/>
      <c r="F765" s="9"/>
      <c r="G765" s="9"/>
      <c r="H765" s="9"/>
      <c r="I765" s="9"/>
      <c r="J765" s="9"/>
      <c r="K765" s="9"/>
      <c r="L765" s="115"/>
      <c r="M765" s="115"/>
      <c r="N765" s="115"/>
      <c r="O765" s="115"/>
      <c r="P765" s="9"/>
      <c r="Q765" s="9"/>
      <c r="R765" s="9"/>
      <c r="S765" s="9"/>
      <c r="T765" s="9"/>
      <c r="U765" s="9"/>
      <c r="V765" s="9"/>
      <c r="W765" s="10"/>
      <c r="X765" s="10"/>
      <c r="Y765" s="10"/>
      <c r="Z765" s="10"/>
    </row>
    <row r="766">
      <c r="A766" s="9"/>
      <c r="B766" s="9"/>
      <c r="C766" s="9"/>
      <c r="D766" s="9"/>
      <c r="E766" s="9"/>
      <c r="F766" s="9"/>
      <c r="G766" s="9"/>
      <c r="H766" s="9"/>
      <c r="I766" s="9"/>
      <c r="J766" s="9"/>
      <c r="K766" s="9"/>
      <c r="L766" s="115"/>
      <c r="M766" s="115"/>
      <c r="N766" s="115"/>
      <c r="O766" s="115"/>
      <c r="P766" s="9"/>
      <c r="Q766" s="9"/>
      <c r="R766" s="9"/>
      <c r="S766" s="9"/>
      <c r="T766" s="9"/>
      <c r="U766" s="9"/>
      <c r="V766" s="9"/>
      <c r="W766" s="10"/>
      <c r="X766" s="10"/>
      <c r="Y766" s="10"/>
      <c r="Z766" s="10"/>
    </row>
    <row r="767">
      <c r="A767" s="9"/>
      <c r="B767" s="9"/>
      <c r="C767" s="9"/>
      <c r="D767" s="9"/>
      <c r="E767" s="9"/>
      <c r="F767" s="9"/>
      <c r="G767" s="9"/>
      <c r="H767" s="9"/>
      <c r="I767" s="9"/>
      <c r="J767" s="9"/>
      <c r="K767" s="9"/>
      <c r="L767" s="115"/>
      <c r="M767" s="115"/>
      <c r="N767" s="115"/>
      <c r="O767" s="115"/>
      <c r="P767" s="9"/>
      <c r="Q767" s="9"/>
      <c r="R767" s="9"/>
      <c r="S767" s="9"/>
      <c r="T767" s="9"/>
      <c r="U767" s="9"/>
      <c r="V767" s="9"/>
      <c r="W767" s="10"/>
      <c r="X767" s="10"/>
      <c r="Y767" s="10"/>
      <c r="Z767" s="10"/>
    </row>
    <row r="768">
      <c r="A768" s="9"/>
      <c r="B768" s="9"/>
      <c r="C768" s="9"/>
      <c r="D768" s="9"/>
      <c r="E768" s="9"/>
      <c r="F768" s="9"/>
      <c r="G768" s="9"/>
      <c r="H768" s="9"/>
      <c r="I768" s="9"/>
      <c r="J768" s="9"/>
      <c r="K768" s="9"/>
      <c r="L768" s="115"/>
      <c r="M768" s="115"/>
      <c r="N768" s="115"/>
      <c r="O768" s="115"/>
      <c r="P768" s="9"/>
      <c r="Q768" s="9"/>
      <c r="R768" s="9"/>
      <c r="S768" s="9"/>
      <c r="T768" s="9"/>
      <c r="U768" s="9"/>
      <c r="V768" s="9"/>
      <c r="W768" s="10"/>
      <c r="X768" s="10"/>
      <c r="Y768" s="10"/>
      <c r="Z768" s="10"/>
    </row>
    <row r="769">
      <c r="A769" s="9"/>
      <c r="B769" s="9"/>
      <c r="C769" s="9"/>
      <c r="D769" s="9"/>
      <c r="E769" s="9"/>
      <c r="F769" s="9"/>
      <c r="G769" s="9"/>
      <c r="H769" s="9"/>
      <c r="I769" s="9"/>
      <c r="J769" s="9"/>
      <c r="K769" s="9"/>
      <c r="L769" s="115"/>
      <c r="M769" s="115"/>
      <c r="N769" s="115"/>
      <c r="O769" s="115"/>
      <c r="P769" s="9"/>
      <c r="Q769" s="9"/>
      <c r="R769" s="9"/>
      <c r="S769" s="9"/>
      <c r="T769" s="9"/>
      <c r="U769" s="9"/>
      <c r="V769" s="9"/>
      <c r="W769" s="10"/>
      <c r="X769" s="10"/>
      <c r="Y769" s="10"/>
      <c r="Z769" s="10"/>
    </row>
    <row r="770">
      <c r="A770" s="9"/>
      <c r="B770" s="9"/>
      <c r="C770" s="9"/>
      <c r="D770" s="9"/>
      <c r="E770" s="9"/>
      <c r="F770" s="9"/>
      <c r="G770" s="9"/>
      <c r="H770" s="9"/>
      <c r="I770" s="9"/>
      <c r="J770" s="9"/>
      <c r="K770" s="9"/>
      <c r="L770" s="115"/>
      <c r="M770" s="115"/>
      <c r="N770" s="115"/>
      <c r="O770" s="115"/>
      <c r="P770" s="9"/>
      <c r="Q770" s="9"/>
      <c r="R770" s="9"/>
      <c r="S770" s="9"/>
      <c r="T770" s="9"/>
      <c r="U770" s="9"/>
      <c r="V770" s="9"/>
      <c r="W770" s="10"/>
      <c r="X770" s="10"/>
      <c r="Y770" s="10"/>
      <c r="Z770" s="10"/>
    </row>
    <row r="771">
      <c r="A771" s="9"/>
      <c r="B771" s="9"/>
      <c r="C771" s="9"/>
      <c r="D771" s="9"/>
      <c r="E771" s="9"/>
      <c r="F771" s="9"/>
      <c r="G771" s="9"/>
      <c r="H771" s="9"/>
      <c r="I771" s="9"/>
      <c r="J771" s="9"/>
      <c r="K771" s="9"/>
      <c r="L771" s="115"/>
      <c r="M771" s="115"/>
      <c r="N771" s="115"/>
      <c r="O771" s="115"/>
      <c r="P771" s="9"/>
      <c r="Q771" s="9"/>
      <c r="R771" s="9"/>
      <c r="S771" s="9"/>
      <c r="T771" s="9"/>
      <c r="U771" s="9"/>
      <c r="V771" s="9"/>
      <c r="W771" s="10"/>
      <c r="X771" s="10"/>
      <c r="Y771" s="10"/>
      <c r="Z771" s="10"/>
    </row>
    <row r="772">
      <c r="A772" s="9"/>
      <c r="B772" s="9"/>
      <c r="C772" s="9"/>
      <c r="D772" s="9"/>
      <c r="E772" s="9"/>
      <c r="F772" s="9"/>
      <c r="G772" s="9"/>
      <c r="H772" s="9"/>
      <c r="I772" s="9"/>
      <c r="J772" s="9"/>
      <c r="K772" s="9"/>
      <c r="L772" s="115"/>
      <c r="M772" s="115"/>
      <c r="N772" s="115"/>
      <c r="O772" s="115"/>
      <c r="P772" s="9"/>
      <c r="Q772" s="9"/>
      <c r="R772" s="9"/>
      <c r="S772" s="9"/>
      <c r="T772" s="9"/>
      <c r="U772" s="9"/>
      <c r="V772" s="9"/>
      <c r="W772" s="10"/>
      <c r="X772" s="10"/>
      <c r="Y772" s="10"/>
      <c r="Z772" s="10"/>
    </row>
    <row r="773">
      <c r="A773" s="9"/>
      <c r="B773" s="9"/>
      <c r="C773" s="9"/>
      <c r="D773" s="9"/>
      <c r="E773" s="9"/>
      <c r="F773" s="9"/>
      <c r="G773" s="9"/>
      <c r="H773" s="9"/>
      <c r="I773" s="9"/>
      <c r="J773" s="9"/>
      <c r="K773" s="9"/>
      <c r="L773" s="115"/>
      <c r="M773" s="115"/>
      <c r="N773" s="115"/>
      <c r="O773" s="115"/>
      <c r="P773" s="9"/>
      <c r="Q773" s="9"/>
      <c r="R773" s="9"/>
      <c r="S773" s="9"/>
      <c r="T773" s="9"/>
      <c r="U773" s="9"/>
      <c r="V773" s="9"/>
      <c r="W773" s="10"/>
      <c r="X773" s="10"/>
      <c r="Y773" s="10"/>
      <c r="Z773" s="10"/>
    </row>
    <row r="774">
      <c r="A774" s="9"/>
      <c r="B774" s="9"/>
      <c r="C774" s="9"/>
      <c r="D774" s="9"/>
      <c r="E774" s="9"/>
      <c r="F774" s="9"/>
      <c r="G774" s="9"/>
      <c r="H774" s="9"/>
      <c r="I774" s="9"/>
      <c r="J774" s="9"/>
      <c r="K774" s="9"/>
      <c r="L774" s="115"/>
      <c r="M774" s="115"/>
      <c r="N774" s="115"/>
      <c r="O774" s="115"/>
      <c r="P774" s="9"/>
      <c r="Q774" s="9"/>
      <c r="R774" s="9"/>
      <c r="S774" s="9"/>
      <c r="T774" s="9"/>
      <c r="U774" s="9"/>
      <c r="V774" s="9"/>
      <c r="W774" s="10"/>
      <c r="X774" s="10"/>
      <c r="Y774" s="10"/>
      <c r="Z774" s="10"/>
    </row>
    <row r="775">
      <c r="A775" s="9"/>
      <c r="B775" s="9"/>
      <c r="C775" s="9"/>
      <c r="D775" s="9"/>
      <c r="E775" s="9"/>
      <c r="F775" s="9"/>
      <c r="G775" s="9"/>
      <c r="H775" s="9"/>
      <c r="I775" s="9"/>
      <c r="J775" s="9"/>
      <c r="K775" s="9"/>
      <c r="L775" s="115"/>
      <c r="M775" s="115"/>
      <c r="N775" s="115"/>
      <c r="O775" s="115"/>
      <c r="P775" s="9"/>
      <c r="Q775" s="9"/>
      <c r="R775" s="9"/>
      <c r="S775" s="9"/>
      <c r="T775" s="9"/>
      <c r="U775" s="9"/>
      <c r="V775" s="9"/>
      <c r="W775" s="10"/>
      <c r="X775" s="10"/>
      <c r="Y775" s="10"/>
      <c r="Z775" s="10"/>
    </row>
    <row r="776">
      <c r="A776" s="9"/>
      <c r="B776" s="9"/>
      <c r="C776" s="9"/>
      <c r="D776" s="9"/>
      <c r="E776" s="9"/>
      <c r="F776" s="9"/>
      <c r="G776" s="9"/>
      <c r="H776" s="9"/>
      <c r="I776" s="9"/>
      <c r="J776" s="9"/>
      <c r="K776" s="9"/>
      <c r="L776" s="115"/>
      <c r="M776" s="115"/>
      <c r="N776" s="115"/>
      <c r="O776" s="115"/>
      <c r="P776" s="9"/>
      <c r="Q776" s="9"/>
      <c r="R776" s="9"/>
      <c r="S776" s="9"/>
      <c r="T776" s="9"/>
      <c r="U776" s="9"/>
      <c r="V776" s="9"/>
      <c r="W776" s="10"/>
      <c r="X776" s="10"/>
      <c r="Y776" s="10"/>
      <c r="Z776" s="10"/>
    </row>
    <row r="777">
      <c r="A777" s="9"/>
      <c r="B777" s="9"/>
      <c r="C777" s="9"/>
      <c r="D777" s="9"/>
      <c r="E777" s="9"/>
      <c r="F777" s="9"/>
      <c r="G777" s="9"/>
      <c r="H777" s="9"/>
      <c r="I777" s="9"/>
      <c r="J777" s="9"/>
      <c r="K777" s="9"/>
      <c r="L777" s="115"/>
      <c r="M777" s="115"/>
      <c r="N777" s="115"/>
      <c r="O777" s="115"/>
      <c r="P777" s="9"/>
      <c r="Q777" s="9"/>
      <c r="R777" s="9"/>
      <c r="S777" s="9"/>
      <c r="T777" s="9"/>
      <c r="U777" s="9"/>
      <c r="V777" s="9"/>
      <c r="W777" s="10"/>
      <c r="X777" s="10"/>
      <c r="Y777" s="10"/>
      <c r="Z777" s="10"/>
    </row>
    <row r="778">
      <c r="A778" s="9"/>
      <c r="B778" s="9"/>
      <c r="C778" s="9"/>
      <c r="D778" s="9"/>
      <c r="E778" s="9"/>
      <c r="F778" s="9"/>
      <c r="G778" s="9"/>
      <c r="H778" s="9"/>
      <c r="I778" s="9"/>
      <c r="J778" s="9"/>
      <c r="K778" s="9"/>
      <c r="L778" s="115"/>
      <c r="M778" s="115"/>
      <c r="N778" s="115"/>
      <c r="O778" s="115"/>
      <c r="P778" s="9"/>
      <c r="Q778" s="9"/>
      <c r="R778" s="9"/>
      <c r="S778" s="9"/>
      <c r="T778" s="9"/>
      <c r="U778" s="9"/>
      <c r="V778" s="9"/>
      <c r="W778" s="10"/>
      <c r="X778" s="10"/>
      <c r="Y778" s="10"/>
      <c r="Z778" s="10"/>
    </row>
    <row r="779">
      <c r="A779" s="9"/>
      <c r="B779" s="9"/>
      <c r="C779" s="9"/>
      <c r="D779" s="9"/>
      <c r="E779" s="9"/>
      <c r="F779" s="9"/>
      <c r="G779" s="9"/>
      <c r="H779" s="9"/>
      <c r="I779" s="9"/>
      <c r="J779" s="9"/>
      <c r="K779" s="9"/>
      <c r="L779" s="115"/>
      <c r="M779" s="115"/>
      <c r="N779" s="115"/>
      <c r="O779" s="115"/>
      <c r="P779" s="9"/>
      <c r="Q779" s="9"/>
      <c r="R779" s="9"/>
      <c r="S779" s="9"/>
      <c r="T779" s="9"/>
      <c r="U779" s="9"/>
      <c r="V779" s="9"/>
      <c r="W779" s="10"/>
      <c r="X779" s="10"/>
      <c r="Y779" s="10"/>
      <c r="Z779" s="10"/>
    </row>
    <row r="780">
      <c r="A780" s="9"/>
      <c r="B780" s="9"/>
      <c r="C780" s="9"/>
      <c r="D780" s="9"/>
      <c r="E780" s="9"/>
      <c r="F780" s="9"/>
      <c r="G780" s="9"/>
      <c r="H780" s="9"/>
      <c r="I780" s="9"/>
      <c r="J780" s="9"/>
      <c r="K780" s="9"/>
      <c r="L780" s="115"/>
      <c r="M780" s="115"/>
      <c r="N780" s="115"/>
      <c r="O780" s="115"/>
      <c r="P780" s="9"/>
      <c r="Q780" s="9"/>
      <c r="R780" s="9"/>
      <c r="S780" s="9"/>
      <c r="T780" s="9"/>
      <c r="U780" s="9"/>
      <c r="V780" s="9"/>
      <c r="W780" s="10"/>
      <c r="X780" s="10"/>
      <c r="Y780" s="10"/>
      <c r="Z780" s="10"/>
    </row>
    <row r="781">
      <c r="A781" s="9"/>
      <c r="B781" s="9"/>
      <c r="C781" s="9"/>
      <c r="D781" s="9"/>
      <c r="E781" s="9"/>
      <c r="F781" s="9"/>
      <c r="G781" s="9"/>
      <c r="H781" s="9"/>
      <c r="I781" s="9"/>
      <c r="J781" s="9"/>
      <c r="K781" s="9"/>
      <c r="L781" s="115"/>
      <c r="M781" s="115"/>
      <c r="N781" s="115"/>
      <c r="O781" s="115"/>
      <c r="P781" s="9"/>
      <c r="Q781" s="9"/>
      <c r="R781" s="9"/>
      <c r="S781" s="9"/>
      <c r="T781" s="9"/>
      <c r="U781" s="9"/>
      <c r="V781" s="9"/>
      <c r="W781" s="10"/>
      <c r="X781" s="10"/>
      <c r="Y781" s="10"/>
      <c r="Z781" s="10"/>
    </row>
    <row r="782">
      <c r="A782" s="9"/>
      <c r="B782" s="9"/>
      <c r="C782" s="9"/>
      <c r="D782" s="9"/>
      <c r="E782" s="9"/>
      <c r="F782" s="9"/>
      <c r="G782" s="9"/>
      <c r="H782" s="9"/>
      <c r="I782" s="9"/>
      <c r="J782" s="9"/>
      <c r="K782" s="9"/>
      <c r="L782" s="115"/>
      <c r="M782" s="115"/>
      <c r="N782" s="115"/>
      <c r="O782" s="115"/>
      <c r="P782" s="9"/>
      <c r="Q782" s="9"/>
      <c r="R782" s="9"/>
      <c r="S782" s="9"/>
      <c r="T782" s="9"/>
      <c r="U782" s="9"/>
      <c r="V782" s="9"/>
      <c r="W782" s="10"/>
      <c r="X782" s="10"/>
      <c r="Y782" s="10"/>
      <c r="Z782" s="10"/>
    </row>
    <row r="783">
      <c r="A783" s="9"/>
      <c r="B783" s="9"/>
      <c r="C783" s="9"/>
      <c r="D783" s="9"/>
      <c r="E783" s="9"/>
      <c r="F783" s="9"/>
      <c r="G783" s="9"/>
      <c r="H783" s="9"/>
      <c r="I783" s="9"/>
      <c r="J783" s="9"/>
      <c r="K783" s="9"/>
      <c r="L783" s="115"/>
      <c r="M783" s="115"/>
      <c r="N783" s="115"/>
      <c r="O783" s="115"/>
      <c r="P783" s="9"/>
      <c r="Q783" s="9"/>
      <c r="R783" s="9"/>
      <c r="S783" s="9"/>
      <c r="T783" s="9"/>
      <c r="U783" s="9"/>
      <c r="V783" s="9"/>
      <c r="W783" s="10"/>
      <c r="X783" s="10"/>
      <c r="Y783" s="10"/>
      <c r="Z783" s="10"/>
    </row>
    <row r="784">
      <c r="A784" s="9"/>
      <c r="B784" s="9"/>
      <c r="C784" s="9"/>
      <c r="D784" s="9"/>
      <c r="E784" s="9"/>
      <c r="F784" s="9"/>
      <c r="G784" s="9"/>
      <c r="H784" s="9"/>
      <c r="I784" s="9"/>
      <c r="J784" s="9"/>
      <c r="K784" s="9"/>
      <c r="L784" s="115"/>
      <c r="M784" s="115"/>
      <c r="N784" s="115"/>
      <c r="O784" s="115"/>
      <c r="P784" s="9"/>
      <c r="Q784" s="9"/>
      <c r="R784" s="9"/>
      <c r="S784" s="9"/>
      <c r="T784" s="9"/>
      <c r="U784" s="9"/>
      <c r="V784" s="9"/>
      <c r="W784" s="10"/>
      <c r="X784" s="10"/>
      <c r="Y784" s="10"/>
      <c r="Z784" s="10"/>
    </row>
    <row r="785">
      <c r="A785" s="9"/>
      <c r="B785" s="9"/>
      <c r="C785" s="9"/>
      <c r="D785" s="9"/>
      <c r="E785" s="9"/>
      <c r="F785" s="9"/>
      <c r="G785" s="9"/>
      <c r="H785" s="9"/>
      <c r="I785" s="9"/>
      <c r="J785" s="9"/>
      <c r="K785" s="9"/>
      <c r="L785" s="115"/>
      <c r="M785" s="115"/>
      <c r="N785" s="115"/>
      <c r="O785" s="115"/>
      <c r="P785" s="9"/>
      <c r="Q785" s="9"/>
      <c r="R785" s="9"/>
      <c r="S785" s="9"/>
      <c r="T785" s="9"/>
      <c r="U785" s="9"/>
      <c r="V785" s="9"/>
      <c r="W785" s="10"/>
      <c r="X785" s="10"/>
      <c r="Y785" s="10"/>
      <c r="Z785" s="10"/>
    </row>
    <row r="786">
      <c r="A786" s="9"/>
      <c r="B786" s="9"/>
      <c r="C786" s="9"/>
      <c r="D786" s="9"/>
      <c r="E786" s="9"/>
      <c r="F786" s="9"/>
      <c r="G786" s="9"/>
      <c r="H786" s="9"/>
      <c r="I786" s="9"/>
      <c r="J786" s="9"/>
      <c r="K786" s="9"/>
      <c r="L786" s="115"/>
      <c r="M786" s="115"/>
      <c r="N786" s="115"/>
      <c r="O786" s="115"/>
      <c r="P786" s="9"/>
      <c r="Q786" s="9"/>
      <c r="R786" s="9"/>
      <c r="S786" s="9"/>
      <c r="T786" s="9"/>
      <c r="U786" s="9"/>
      <c r="V786" s="9"/>
      <c r="W786" s="10"/>
      <c r="X786" s="10"/>
      <c r="Y786" s="10"/>
      <c r="Z786" s="10"/>
    </row>
    <row r="787">
      <c r="A787" s="9"/>
      <c r="B787" s="9"/>
      <c r="C787" s="9"/>
      <c r="D787" s="9"/>
      <c r="E787" s="9"/>
      <c r="F787" s="9"/>
      <c r="G787" s="9"/>
      <c r="H787" s="9"/>
      <c r="I787" s="9"/>
      <c r="J787" s="9"/>
      <c r="K787" s="9"/>
      <c r="L787" s="115"/>
      <c r="M787" s="115"/>
      <c r="N787" s="115"/>
      <c r="O787" s="115"/>
      <c r="P787" s="9"/>
      <c r="Q787" s="9"/>
      <c r="R787" s="9"/>
      <c r="S787" s="9"/>
      <c r="T787" s="9"/>
      <c r="U787" s="9"/>
      <c r="V787" s="9"/>
      <c r="W787" s="10"/>
      <c r="X787" s="10"/>
      <c r="Y787" s="10"/>
      <c r="Z787" s="10"/>
    </row>
    <row r="788">
      <c r="A788" s="9"/>
      <c r="B788" s="9"/>
      <c r="C788" s="9"/>
      <c r="D788" s="9"/>
      <c r="E788" s="9"/>
      <c r="F788" s="9"/>
      <c r="G788" s="9"/>
      <c r="H788" s="9"/>
      <c r="I788" s="9"/>
      <c r="J788" s="9"/>
      <c r="K788" s="9"/>
      <c r="L788" s="115"/>
      <c r="M788" s="115"/>
      <c r="N788" s="115"/>
      <c r="O788" s="115"/>
      <c r="P788" s="9"/>
      <c r="Q788" s="9"/>
      <c r="R788" s="9"/>
      <c r="S788" s="9"/>
      <c r="T788" s="9"/>
      <c r="U788" s="9"/>
      <c r="V788" s="9"/>
      <c r="W788" s="10"/>
      <c r="X788" s="10"/>
      <c r="Y788" s="10"/>
      <c r="Z788" s="10"/>
    </row>
    <row r="789">
      <c r="A789" s="9"/>
      <c r="B789" s="9"/>
      <c r="C789" s="9"/>
      <c r="D789" s="9"/>
      <c r="E789" s="9"/>
      <c r="F789" s="9"/>
      <c r="G789" s="9"/>
      <c r="H789" s="9"/>
      <c r="I789" s="9"/>
      <c r="J789" s="9"/>
      <c r="K789" s="9"/>
      <c r="L789" s="115"/>
      <c r="M789" s="115"/>
      <c r="N789" s="115"/>
      <c r="O789" s="115"/>
      <c r="P789" s="9"/>
      <c r="Q789" s="9"/>
      <c r="R789" s="9"/>
      <c r="S789" s="9"/>
      <c r="T789" s="9"/>
      <c r="U789" s="9"/>
      <c r="V789" s="9"/>
      <c r="W789" s="10"/>
      <c r="X789" s="10"/>
      <c r="Y789" s="10"/>
      <c r="Z789" s="10"/>
    </row>
    <row r="790">
      <c r="A790" s="9"/>
      <c r="B790" s="9"/>
      <c r="C790" s="9"/>
      <c r="D790" s="9"/>
      <c r="E790" s="9"/>
      <c r="F790" s="9"/>
      <c r="G790" s="9"/>
      <c r="H790" s="9"/>
      <c r="I790" s="9"/>
      <c r="J790" s="9"/>
      <c r="K790" s="9"/>
      <c r="L790" s="115"/>
      <c r="M790" s="115"/>
      <c r="N790" s="115"/>
      <c r="O790" s="115"/>
      <c r="P790" s="9"/>
      <c r="Q790" s="9"/>
      <c r="R790" s="9"/>
      <c r="S790" s="9"/>
      <c r="T790" s="9"/>
      <c r="U790" s="9"/>
      <c r="V790" s="9"/>
      <c r="W790" s="10"/>
      <c r="X790" s="10"/>
      <c r="Y790" s="10"/>
      <c r="Z790" s="10"/>
    </row>
    <row r="791">
      <c r="A791" s="9"/>
      <c r="B791" s="9"/>
      <c r="C791" s="9"/>
      <c r="D791" s="9"/>
      <c r="E791" s="9"/>
      <c r="F791" s="9"/>
      <c r="G791" s="9"/>
      <c r="H791" s="9"/>
      <c r="I791" s="9"/>
      <c r="J791" s="9"/>
      <c r="K791" s="9"/>
      <c r="L791" s="115"/>
      <c r="M791" s="115"/>
      <c r="N791" s="115"/>
      <c r="O791" s="115"/>
      <c r="P791" s="9"/>
      <c r="Q791" s="9"/>
      <c r="R791" s="9"/>
      <c r="S791" s="9"/>
      <c r="T791" s="9"/>
      <c r="U791" s="9"/>
      <c r="V791" s="9"/>
      <c r="W791" s="10"/>
      <c r="X791" s="10"/>
      <c r="Y791" s="10"/>
      <c r="Z791" s="10"/>
    </row>
    <row r="792">
      <c r="A792" s="9"/>
      <c r="B792" s="9"/>
      <c r="C792" s="9"/>
      <c r="D792" s="9"/>
      <c r="E792" s="9"/>
      <c r="F792" s="9"/>
      <c r="G792" s="9"/>
      <c r="H792" s="9"/>
      <c r="I792" s="9"/>
      <c r="J792" s="9"/>
      <c r="K792" s="9"/>
      <c r="L792" s="115"/>
      <c r="M792" s="115"/>
      <c r="N792" s="115"/>
      <c r="O792" s="115"/>
      <c r="P792" s="9"/>
      <c r="Q792" s="9"/>
      <c r="R792" s="9"/>
      <c r="S792" s="9"/>
      <c r="T792" s="9"/>
      <c r="U792" s="9"/>
      <c r="V792" s="9"/>
      <c r="W792" s="10"/>
      <c r="X792" s="10"/>
      <c r="Y792" s="10"/>
      <c r="Z792" s="10"/>
    </row>
    <row r="793">
      <c r="A793" s="9"/>
      <c r="B793" s="9"/>
      <c r="C793" s="9"/>
      <c r="D793" s="9"/>
      <c r="E793" s="9"/>
      <c r="F793" s="9"/>
      <c r="G793" s="9"/>
      <c r="H793" s="9"/>
      <c r="I793" s="9"/>
      <c r="J793" s="9"/>
      <c r="K793" s="9"/>
      <c r="L793" s="115"/>
      <c r="M793" s="115"/>
      <c r="N793" s="115"/>
      <c r="O793" s="115"/>
      <c r="P793" s="9"/>
      <c r="Q793" s="9"/>
      <c r="R793" s="9"/>
      <c r="S793" s="9"/>
      <c r="T793" s="9"/>
      <c r="U793" s="9"/>
      <c r="V793" s="9"/>
      <c r="W793" s="10"/>
      <c r="X793" s="10"/>
      <c r="Y793" s="10"/>
      <c r="Z793" s="10"/>
    </row>
    <row r="794">
      <c r="A794" s="9"/>
      <c r="B794" s="9"/>
      <c r="C794" s="9"/>
      <c r="D794" s="9"/>
      <c r="E794" s="9"/>
      <c r="F794" s="9"/>
      <c r="G794" s="9"/>
      <c r="H794" s="9"/>
      <c r="I794" s="9"/>
      <c r="J794" s="9"/>
      <c r="K794" s="9"/>
      <c r="L794" s="115"/>
      <c r="M794" s="115"/>
      <c r="N794" s="115"/>
      <c r="O794" s="115"/>
      <c r="P794" s="9"/>
      <c r="Q794" s="9"/>
      <c r="R794" s="9"/>
      <c r="S794" s="9"/>
      <c r="T794" s="9"/>
      <c r="U794" s="9"/>
      <c r="V794" s="9"/>
      <c r="W794" s="10"/>
      <c r="X794" s="10"/>
      <c r="Y794" s="10"/>
      <c r="Z794" s="10"/>
    </row>
    <row r="795">
      <c r="A795" s="9"/>
      <c r="B795" s="9"/>
      <c r="C795" s="9"/>
      <c r="D795" s="9"/>
      <c r="E795" s="9"/>
      <c r="F795" s="9"/>
      <c r="G795" s="9"/>
      <c r="H795" s="9"/>
      <c r="I795" s="9"/>
      <c r="J795" s="9"/>
      <c r="K795" s="9"/>
      <c r="L795" s="115"/>
      <c r="M795" s="115"/>
      <c r="N795" s="115"/>
      <c r="O795" s="115"/>
      <c r="P795" s="9"/>
      <c r="Q795" s="9"/>
      <c r="R795" s="9"/>
      <c r="S795" s="9"/>
      <c r="T795" s="9"/>
      <c r="U795" s="9"/>
      <c r="V795" s="9"/>
      <c r="W795" s="10"/>
      <c r="X795" s="10"/>
      <c r="Y795" s="10"/>
      <c r="Z795" s="10"/>
    </row>
    <row r="796">
      <c r="A796" s="9"/>
      <c r="B796" s="9"/>
      <c r="C796" s="9"/>
      <c r="D796" s="9"/>
      <c r="E796" s="9"/>
      <c r="F796" s="9"/>
      <c r="G796" s="9"/>
      <c r="H796" s="9"/>
      <c r="I796" s="9"/>
      <c r="J796" s="9"/>
      <c r="K796" s="9"/>
      <c r="L796" s="115"/>
      <c r="M796" s="115"/>
      <c r="N796" s="115"/>
      <c r="O796" s="115"/>
      <c r="P796" s="9"/>
      <c r="Q796" s="9"/>
      <c r="R796" s="9"/>
      <c r="S796" s="9"/>
      <c r="T796" s="9"/>
      <c r="U796" s="9"/>
      <c r="V796" s="9"/>
      <c r="W796" s="10"/>
      <c r="X796" s="10"/>
      <c r="Y796" s="10"/>
      <c r="Z796" s="10"/>
    </row>
    <row r="797">
      <c r="A797" s="9"/>
      <c r="B797" s="9"/>
      <c r="C797" s="9"/>
      <c r="D797" s="9"/>
      <c r="E797" s="9"/>
      <c r="F797" s="9"/>
      <c r="G797" s="9"/>
      <c r="H797" s="9"/>
      <c r="I797" s="9"/>
      <c r="J797" s="9"/>
      <c r="K797" s="9"/>
      <c r="L797" s="115"/>
      <c r="M797" s="115"/>
      <c r="N797" s="115"/>
      <c r="O797" s="115"/>
      <c r="P797" s="9"/>
      <c r="Q797" s="9"/>
      <c r="R797" s="9"/>
      <c r="S797" s="9"/>
      <c r="T797" s="9"/>
      <c r="U797" s="9"/>
      <c r="V797" s="9"/>
      <c r="W797" s="10"/>
      <c r="X797" s="10"/>
      <c r="Y797" s="10"/>
      <c r="Z797" s="10"/>
    </row>
    <row r="798">
      <c r="A798" s="9"/>
      <c r="B798" s="9"/>
      <c r="C798" s="9"/>
      <c r="D798" s="9"/>
      <c r="E798" s="9"/>
      <c r="F798" s="9"/>
      <c r="G798" s="9"/>
      <c r="H798" s="9"/>
      <c r="I798" s="9"/>
      <c r="J798" s="9"/>
      <c r="K798" s="9"/>
      <c r="L798" s="115"/>
      <c r="M798" s="115"/>
      <c r="N798" s="115"/>
      <c r="O798" s="115"/>
      <c r="P798" s="9"/>
      <c r="Q798" s="9"/>
      <c r="R798" s="9"/>
      <c r="S798" s="9"/>
      <c r="T798" s="9"/>
      <c r="U798" s="9"/>
      <c r="V798" s="9"/>
      <c r="W798" s="10"/>
      <c r="X798" s="10"/>
      <c r="Y798" s="10"/>
      <c r="Z798" s="10"/>
    </row>
    <row r="799">
      <c r="A799" s="9"/>
      <c r="B799" s="9"/>
      <c r="C799" s="9"/>
      <c r="D799" s="9"/>
      <c r="E799" s="9"/>
      <c r="F799" s="9"/>
      <c r="G799" s="9"/>
      <c r="H799" s="9"/>
      <c r="I799" s="9"/>
      <c r="J799" s="9"/>
      <c r="K799" s="9"/>
      <c r="L799" s="115"/>
      <c r="M799" s="115"/>
      <c r="N799" s="115"/>
      <c r="O799" s="115"/>
      <c r="P799" s="9"/>
      <c r="Q799" s="9"/>
      <c r="R799" s="9"/>
      <c r="S799" s="9"/>
      <c r="T799" s="9"/>
      <c r="U799" s="9"/>
      <c r="V799" s="9"/>
      <c r="W799" s="10"/>
      <c r="X799" s="10"/>
      <c r="Y799" s="10"/>
      <c r="Z799" s="10"/>
    </row>
    <row r="800">
      <c r="A800" s="9"/>
      <c r="B800" s="9"/>
      <c r="C800" s="9"/>
      <c r="D800" s="9"/>
      <c r="E800" s="9"/>
      <c r="F800" s="9"/>
      <c r="G800" s="9"/>
      <c r="H800" s="9"/>
      <c r="I800" s="9"/>
      <c r="J800" s="9"/>
      <c r="K800" s="9"/>
      <c r="L800" s="115"/>
      <c r="M800" s="115"/>
      <c r="N800" s="115"/>
      <c r="O800" s="115"/>
      <c r="P800" s="9"/>
      <c r="Q800" s="9"/>
      <c r="R800" s="9"/>
      <c r="S800" s="9"/>
      <c r="T800" s="9"/>
      <c r="U800" s="9"/>
      <c r="V800" s="9"/>
      <c r="W800" s="10"/>
      <c r="X800" s="10"/>
      <c r="Y800" s="10"/>
      <c r="Z800" s="10"/>
    </row>
    <row r="801">
      <c r="A801" s="9"/>
      <c r="B801" s="9"/>
      <c r="C801" s="9"/>
      <c r="D801" s="9"/>
      <c r="E801" s="9"/>
      <c r="F801" s="9"/>
      <c r="G801" s="9"/>
      <c r="H801" s="9"/>
      <c r="I801" s="9"/>
      <c r="J801" s="9"/>
      <c r="K801" s="9"/>
      <c r="L801" s="115"/>
      <c r="M801" s="115"/>
      <c r="N801" s="115"/>
      <c r="O801" s="115"/>
      <c r="P801" s="9"/>
      <c r="Q801" s="9"/>
      <c r="R801" s="9"/>
      <c r="S801" s="9"/>
      <c r="T801" s="9"/>
      <c r="U801" s="9"/>
      <c r="V801" s="9"/>
      <c r="W801" s="10"/>
      <c r="X801" s="10"/>
      <c r="Y801" s="10"/>
      <c r="Z801" s="10"/>
    </row>
    <row r="802">
      <c r="A802" s="9"/>
      <c r="B802" s="9"/>
      <c r="C802" s="9"/>
      <c r="D802" s="9"/>
      <c r="E802" s="9"/>
      <c r="F802" s="9"/>
      <c r="G802" s="9"/>
      <c r="H802" s="9"/>
      <c r="I802" s="9"/>
      <c r="J802" s="9"/>
      <c r="K802" s="9"/>
      <c r="L802" s="115"/>
      <c r="M802" s="115"/>
      <c r="N802" s="115"/>
      <c r="O802" s="115"/>
      <c r="P802" s="9"/>
      <c r="Q802" s="9"/>
      <c r="R802" s="9"/>
      <c r="S802" s="9"/>
      <c r="T802" s="9"/>
      <c r="U802" s="9"/>
      <c r="V802" s="9"/>
      <c r="W802" s="10"/>
      <c r="X802" s="10"/>
      <c r="Y802" s="10"/>
      <c r="Z802" s="10"/>
    </row>
    <row r="803">
      <c r="A803" s="9"/>
      <c r="B803" s="9"/>
      <c r="C803" s="9"/>
      <c r="D803" s="9"/>
      <c r="E803" s="9"/>
      <c r="F803" s="9"/>
      <c r="G803" s="9"/>
      <c r="H803" s="9"/>
      <c r="I803" s="9"/>
      <c r="J803" s="9"/>
      <c r="K803" s="9"/>
      <c r="L803" s="115"/>
      <c r="M803" s="115"/>
      <c r="N803" s="115"/>
      <c r="O803" s="115"/>
      <c r="P803" s="9"/>
      <c r="Q803" s="9"/>
      <c r="R803" s="9"/>
      <c r="S803" s="9"/>
      <c r="T803" s="9"/>
      <c r="U803" s="9"/>
      <c r="V803" s="9"/>
      <c r="W803" s="10"/>
      <c r="X803" s="10"/>
      <c r="Y803" s="10"/>
      <c r="Z803" s="10"/>
    </row>
    <row r="804">
      <c r="A804" s="9"/>
      <c r="B804" s="9"/>
      <c r="C804" s="9"/>
      <c r="D804" s="9"/>
      <c r="E804" s="9"/>
      <c r="F804" s="9"/>
      <c r="G804" s="9"/>
      <c r="H804" s="9"/>
      <c r="I804" s="9"/>
      <c r="J804" s="9"/>
      <c r="K804" s="9"/>
      <c r="L804" s="115"/>
      <c r="M804" s="115"/>
      <c r="N804" s="115"/>
      <c r="O804" s="115"/>
      <c r="P804" s="9"/>
      <c r="Q804" s="9"/>
      <c r="R804" s="9"/>
      <c r="S804" s="9"/>
      <c r="T804" s="9"/>
      <c r="U804" s="9"/>
      <c r="V804" s="9"/>
      <c r="W804" s="10"/>
      <c r="X804" s="10"/>
      <c r="Y804" s="10"/>
      <c r="Z804" s="10"/>
    </row>
    <row r="805">
      <c r="A805" s="9"/>
      <c r="B805" s="9"/>
      <c r="C805" s="9"/>
      <c r="D805" s="9"/>
      <c r="E805" s="9"/>
      <c r="F805" s="9"/>
      <c r="G805" s="9"/>
      <c r="H805" s="9"/>
      <c r="I805" s="9"/>
      <c r="J805" s="9"/>
      <c r="K805" s="9"/>
      <c r="L805" s="115"/>
      <c r="M805" s="115"/>
      <c r="N805" s="115"/>
      <c r="O805" s="115"/>
      <c r="P805" s="9"/>
      <c r="Q805" s="9"/>
      <c r="R805" s="9"/>
      <c r="S805" s="9"/>
      <c r="T805" s="9"/>
      <c r="U805" s="9"/>
      <c r="V805" s="9"/>
      <c r="W805" s="10"/>
      <c r="X805" s="10"/>
      <c r="Y805" s="10"/>
      <c r="Z805" s="10"/>
    </row>
    <row r="806">
      <c r="A806" s="9"/>
      <c r="B806" s="9"/>
      <c r="C806" s="9"/>
      <c r="D806" s="9"/>
      <c r="E806" s="9"/>
      <c r="F806" s="9"/>
      <c r="G806" s="9"/>
      <c r="H806" s="9"/>
      <c r="I806" s="9"/>
      <c r="J806" s="9"/>
      <c r="K806" s="9"/>
      <c r="L806" s="115"/>
      <c r="M806" s="115"/>
      <c r="N806" s="115"/>
      <c r="O806" s="115"/>
      <c r="P806" s="9"/>
      <c r="Q806" s="9"/>
      <c r="R806" s="9"/>
      <c r="S806" s="9"/>
      <c r="T806" s="9"/>
      <c r="U806" s="9"/>
      <c r="V806" s="9"/>
      <c r="W806" s="10"/>
      <c r="X806" s="10"/>
      <c r="Y806" s="10"/>
      <c r="Z806" s="10"/>
    </row>
    <row r="807">
      <c r="A807" s="9"/>
      <c r="B807" s="9"/>
      <c r="C807" s="9"/>
      <c r="D807" s="9"/>
      <c r="E807" s="9"/>
      <c r="F807" s="9"/>
      <c r="G807" s="9"/>
      <c r="H807" s="9"/>
      <c r="I807" s="9"/>
      <c r="J807" s="9"/>
      <c r="K807" s="9"/>
      <c r="L807" s="115"/>
      <c r="M807" s="115"/>
      <c r="N807" s="115"/>
      <c r="O807" s="115"/>
      <c r="P807" s="9"/>
      <c r="Q807" s="9"/>
      <c r="R807" s="9"/>
      <c r="S807" s="9"/>
      <c r="T807" s="9"/>
      <c r="U807" s="9"/>
      <c r="V807" s="9"/>
      <c r="W807" s="10"/>
      <c r="X807" s="10"/>
      <c r="Y807" s="10"/>
      <c r="Z807" s="10"/>
    </row>
    <row r="808">
      <c r="A808" s="9"/>
      <c r="B808" s="9"/>
      <c r="C808" s="9"/>
      <c r="D808" s="9"/>
      <c r="E808" s="9"/>
      <c r="F808" s="9"/>
      <c r="G808" s="9"/>
      <c r="H808" s="9"/>
      <c r="I808" s="9"/>
      <c r="J808" s="9"/>
      <c r="K808" s="9"/>
      <c r="L808" s="115"/>
      <c r="M808" s="115"/>
      <c r="N808" s="115"/>
      <c r="O808" s="115"/>
      <c r="P808" s="9"/>
      <c r="Q808" s="9"/>
      <c r="R808" s="9"/>
      <c r="S808" s="9"/>
      <c r="T808" s="9"/>
      <c r="U808" s="9"/>
      <c r="V808" s="9"/>
      <c r="W808" s="10"/>
      <c r="X808" s="10"/>
      <c r="Y808" s="10"/>
      <c r="Z808" s="10"/>
    </row>
    <row r="809">
      <c r="A809" s="9"/>
      <c r="B809" s="9"/>
      <c r="C809" s="9"/>
      <c r="D809" s="9"/>
      <c r="E809" s="9"/>
      <c r="F809" s="9"/>
      <c r="G809" s="9"/>
      <c r="H809" s="9"/>
      <c r="I809" s="9"/>
      <c r="J809" s="9"/>
      <c r="K809" s="9"/>
      <c r="L809" s="115"/>
      <c r="M809" s="115"/>
      <c r="N809" s="115"/>
      <c r="O809" s="115"/>
      <c r="P809" s="9"/>
      <c r="Q809" s="9"/>
      <c r="R809" s="9"/>
      <c r="S809" s="9"/>
      <c r="T809" s="9"/>
      <c r="U809" s="9"/>
      <c r="V809" s="9"/>
      <c r="W809" s="10"/>
      <c r="X809" s="10"/>
      <c r="Y809" s="10"/>
      <c r="Z809" s="10"/>
    </row>
    <row r="810">
      <c r="A810" s="9"/>
      <c r="B810" s="9"/>
      <c r="C810" s="9"/>
      <c r="D810" s="9"/>
      <c r="E810" s="9"/>
      <c r="F810" s="9"/>
      <c r="G810" s="9"/>
      <c r="H810" s="9"/>
      <c r="I810" s="9"/>
      <c r="J810" s="9"/>
      <c r="K810" s="9"/>
      <c r="L810" s="115"/>
      <c r="M810" s="115"/>
      <c r="N810" s="115"/>
      <c r="O810" s="115"/>
      <c r="P810" s="9"/>
      <c r="Q810" s="9"/>
      <c r="R810" s="9"/>
      <c r="S810" s="9"/>
      <c r="T810" s="9"/>
      <c r="U810" s="9"/>
      <c r="V810" s="9"/>
      <c r="W810" s="10"/>
      <c r="X810" s="10"/>
      <c r="Y810" s="10"/>
      <c r="Z810" s="10"/>
    </row>
    <row r="811">
      <c r="A811" s="9"/>
      <c r="B811" s="9"/>
      <c r="C811" s="9"/>
      <c r="D811" s="9"/>
      <c r="E811" s="9"/>
      <c r="F811" s="9"/>
      <c r="G811" s="9"/>
      <c r="H811" s="9"/>
      <c r="I811" s="9"/>
      <c r="J811" s="9"/>
      <c r="K811" s="9"/>
      <c r="L811" s="115"/>
      <c r="M811" s="115"/>
      <c r="N811" s="115"/>
      <c r="O811" s="115"/>
      <c r="P811" s="9"/>
      <c r="Q811" s="9"/>
      <c r="R811" s="9"/>
      <c r="S811" s="9"/>
      <c r="T811" s="9"/>
      <c r="U811" s="9"/>
      <c r="V811" s="9"/>
      <c r="W811" s="10"/>
      <c r="X811" s="10"/>
      <c r="Y811" s="10"/>
      <c r="Z811" s="10"/>
    </row>
    <row r="812">
      <c r="A812" s="9"/>
      <c r="B812" s="9"/>
      <c r="C812" s="9"/>
      <c r="D812" s="9"/>
      <c r="E812" s="9"/>
      <c r="F812" s="9"/>
      <c r="G812" s="9"/>
      <c r="H812" s="9"/>
      <c r="I812" s="9"/>
      <c r="J812" s="9"/>
      <c r="K812" s="9"/>
      <c r="L812" s="115"/>
      <c r="M812" s="115"/>
      <c r="N812" s="115"/>
      <c r="O812" s="115"/>
      <c r="P812" s="9"/>
      <c r="Q812" s="9"/>
      <c r="R812" s="9"/>
      <c r="S812" s="9"/>
      <c r="T812" s="9"/>
      <c r="U812" s="9"/>
      <c r="V812" s="9"/>
      <c r="W812" s="10"/>
      <c r="X812" s="10"/>
      <c r="Y812" s="10"/>
      <c r="Z812" s="10"/>
    </row>
    <row r="813">
      <c r="A813" s="9"/>
      <c r="B813" s="9"/>
      <c r="C813" s="9"/>
      <c r="D813" s="9"/>
      <c r="E813" s="9"/>
      <c r="F813" s="9"/>
      <c r="G813" s="9"/>
      <c r="H813" s="9"/>
      <c r="I813" s="9"/>
      <c r="J813" s="9"/>
      <c r="K813" s="9"/>
      <c r="L813" s="115"/>
      <c r="M813" s="115"/>
      <c r="N813" s="115"/>
      <c r="O813" s="115"/>
      <c r="P813" s="9"/>
      <c r="Q813" s="9"/>
      <c r="R813" s="9"/>
      <c r="S813" s="9"/>
      <c r="T813" s="9"/>
      <c r="U813" s="9"/>
      <c r="V813" s="9"/>
      <c r="W813" s="10"/>
      <c r="X813" s="10"/>
      <c r="Y813" s="10"/>
      <c r="Z813" s="10"/>
    </row>
    <row r="814">
      <c r="A814" s="9"/>
      <c r="B814" s="9"/>
      <c r="C814" s="9"/>
      <c r="D814" s="9"/>
      <c r="E814" s="9"/>
      <c r="F814" s="9"/>
      <c r="G814" s="9"/>
      <c r="H814" s="9"/>
      <c r="I814" s="9"/>
      <c r="J814" s="9"/>
      <c r="K814" s="9"/>
      <c r="L814" s="115"/>
      <c r="M814" s="115"/>
      <c r="N814" s="115"/>
      <c r="O814" s="115"/>
      <c r="P814" s="9"/>
      <c r="Q814" s="9"/>
      <c r="R814" s="9"/>
      <c r="S814" s="9"/>
      <c r="T814" s="9"/>
      <c r="U814" s="9"/>
      <c r="V814" s="9"/>
      <c r="W814" s="10"/>
      <c r="X814" s="10"/>
      <c r="Y814" s="10"/>
      <c r="Z814" s="10"/>
    </row>
    <row r="815">
      <c r="A815" s="9"/>
      <c r="B815" s="9"/>
      <c r="C815" s="9"/>
      <c r="D815" s="9"/>
      <c r="E815" s="9"/>
      <c r="F815" s="9"/>
      <c r="G815" s="9"/>
      <c r="H815" s="9"/>
      <c r="I815" s="9"/>
      <c r="J815" s="9"/>
      <c r="K815" s="9"/>
      <c r="L815" s="115"/>
      <c r="M815" s="115"/>
      <c r="N815" s="115"/>
      <c r="O815" s="115"/>
      <c r="P815" s="9"/>
      <c r="Q815" s="9"/>
      <c r="R815" s="9"/>
      <c r="S815" s="9"/>
      <c r="T815" s="9"/>
      <c r="U815" s="9"/>
      <c r="V815" s="9"/>
      <c r="W815" s="10"/>
      <c r="X815" s="10"/>
      <c r="Y815" s="10"/>
      <c r="Z815" s="10"/>
    </row>
    <row r="816">
      <c r="A816" s="9"/>
      <c r="B816" s="9"/>
      <c r="C816" s="9"/>
      <c r="D816" s="9"/>
      <c r="E816" s="9"/>
      <c r="F816" s="9"/>
      <c r="G816" s="9"/>
      <c r="H816" s="9"/>
      <c r="I816" s="9"/>
      <c r="J816" s="9"/>
      <c r="K816" s="9"/>
      <c r="L816" s="115"/>
      <c r="M816" s="115"/>
      <c r="N816" s="115"/>
      <c r="O816" s="115"/>
      <c r="P816" s="9"/>
      <c r="Q816" s="9"/>
      <c r="R816" s="9"/>
      <c r="S816" s="9"/>
      <c r="T816" s="9"/>
      <c r="U816" s="9"/>
      <c r="V816" s="9"/>
      <c r="W816" s="10"/>
      <c r="X816" s="10"/>
      <c r="Y816" s="10"/>
      <c r="Z816" s="10"/>
    </row>
    <row r="817">
      <c r="A817" s="9"/>
      <c r="B817" s="9"/>
      <c r="C817" s="9"/>
      <c r="D817" s="9"/>
      <c r="E817" s="9"/>
      <c r="F817" s="9"/>
      <c r="G817" s="9"/>
      <c r="H817" s="9"/>
      <c r="I817" s="9"/>
      <c r="J817" s="9"/>
      <c r="K817" s="9"/>
      <c r="L817" s="115"/>
      <c r="M817" s="115"/>
      <c r="N817" s="115"/>
      <c r="O817" s="115"/>
      <c r="P817" s="9"/>
      <c r="Q817" s="9"/>
      <c r="R817" s="9"/>
      <c r="S817" s="9"/>
      <c r="T817" s="9"/>
      <c r="U817" s="9"/>
      <c r="V817" s="9"/>
      <c r="W817" s="10"/>
      <c r="X817" s="10"/>
      <c r="Y817" s="10"/>
      <c r="Z817" s="10"/>
    </row>
    <row r="818">
      <c r="A818" s="9"/>
      <c r="B818" s="9"/>
      <c r="C818" s="9"/>
      <c r="D818" s="9"/>
      <c r="E818" s="9"/>
      <c r="F818" s="9"/>
      <c r="G818" s="9"/>
      <c r="H818" s="9"/>
      <c r="I818" s="9"/>
      <c r="J818" s="9"/>
      <c r="K818" s="9"/>
      <c r="L818" s="115"/>
      <c r="M818" s="115"/>
      <c r="N818" s="115"/>
      <c r="O818" s="115"/>
      <c r="P818" s="9"/>
      <c r="Q818" s="9"/>
      <c r="R818" s="9"/>
      <c r="S818" s="9"/>
      <c r="T818" s="9"/>
      <c r="U818" s="9"/>
      <c r="V818" s="9"/>
      <c r="W818" s="10"/>
      <c r="X818" s="10"/>
      <c r="Y818" s="10"/>
      <c r="Z818" s="10"/>
    </row>
    <row r="819">
      <c r="A819" s="9"/>
      <c r="B819" s="9"/>
      <c r="C819" s="9"/>
      <c r="D819" s="9"/>
      <c r="E819" s="9"/>
      <c r="F819" s="9"/>
      <c r="G819" s="9"/>
      <c r="H819" s="9"/>
      <c r="I819" s="9"/>
      <c r="J819" s="9"/>
      <c r="K819" s="9"/>
      <c r="L819" s="115"/>
      <c r="M819" s="115"/>
      <c r="N819" s="115"/>
      <c r="O819" s="115"/>
      <c r="P819" s="9"/>
      <c r="Q819" s="9"/>
      <c r="R819" s="9"/>
      <c r="S819" s="9"/>
      <c r="T819" s="9"/>
      <c r="U819" s="9"/>
      <c r="V819" s="9"/>
      <c r="W819" s="10"/>
      <c r="X819" s="10"/>
      <c r="Y819" s="10"/>
      <c r="Z819" s="10"/>
    </row>
    <row r="820">
      <c r="A820" s="9"/>
      <c r="B820" s="9"/>
      <c r="C820" s="9"/>
      <c r="D820" s="9"/>
      <c r="E820" s="9"/>
      <c r="F820" s="9"/>
      <c r="G820" s="9"/>
      <c r="H820" s="9"/>
      <c r="I820" s="9"/>
      <c r="J820" s="9"/>
      <c r="K820" s="9"/>
      <c r="L820" s="115"/>
      <c r="M820" s="115"/>
      <c r="N820" s="115"/>
      <c r="O820" s="115"/>
      <c r="P820" s="9"/>
      <c r="Q820" s="9"/>
      <c r="R820" s="9"/>
      <c r="S820" s="9"/>
      <c r="T820" s="9"/>
      <c r="U820" s="9"/>
      <c r="V820" s="9"/>
      <c r="W820" s="10"/>
      <c r="X820" s="10"/>
      <c r="Y820" s="10"/>
      <c r="Z820" s="10"/>
    </row>
    <row r="821">
      <c r="A821" s="9"/>
      <c r="B821" s="9"/>
      <c r="C821" s="9"/>
      <c r="D821" s="9"/>
      <c r="E821" s="9"/>
      <c r="F821" s="9"/>
      <c r="G821" s="9"/>
      <c r="H821" s="9"/>
      <c r="I821" s="9"/>
      <c r="J821" s="9"/>
      <c r="K821" s="9"/>
      <c r="L821" s="115"/>
      <c r="M821" s="115"/>
      <c r="N821" s="115"/>
      <c r="O821" s="115"/>
      <c r="P821" s="9"/>
      <c r="Q821" s="9"/>
      <c r="R821" s="9"/>
      <c r="S821" s="9"/>
      <c r="T821" s="9"/>
      <c r="U821" s="9"/>
      <c r="V821" s="9"/>
      <c r="W821" s="10"/>
      <c r="X821" s="10"/>
      <c r="Y821" s="10"/>
      <c r="Z821" s="10"/>
    </row>
    <row r="822">
      <c r="A822" s="9"/>
      <c r="B822" s="9"/>
      <c r="C822" s="9"/>
      <c r="D822" s="9"/>
      <c r="E822" s="9"/>
      <c r="F822" s="9"/>
      <c r="G822" s="9"/>
      <c r="H822" s="9"/>
      <c r="I822" s="9"/>
      <c r="J822" s="9"/>
      <c r="K822" s="9"/>
      <c r="L822" s="115"/>
      <c r="M822" s="115"/>
      <c r="N822" s="115"/>
      <c r="O822" s="115"/>
      <c r="P822" s="9"/>
      <c r="Q822" s="9"/>
      <c r="R822" s="9"/>
      <c r="S822" s="9"/>
      <c r="T822" s="9"/>
      <c r="U822" s="9"/>
      <c r="V822" s="9"/>
      <c r="W822" s="10"/>
      <c r="X822" s="10"/>
      <c r="Y822" s="10"/>
      <c r="Z822" s="10"/>
    </row>
    <row r="823">
      <c r="A823" s="9"/>
      <c r="B823" s="9"/>
      <c r="C823" s="9"/>
      <c r="D823" s="9"/>
      <c r="E823" s="9"/>
      <c r="F823" s="9"/>
      <c r="G823" s="9"/>
      <c r="H823" s="9"/>
      <c r="I823" s="9"/>
      <c r="J823" s="9"/>
      <c r="K823" s="9"/>
      <c r="L823" s="115"/>
      <c r="M823" s="115"/>
      <c r="N823" s="115"/>
      <c r="O823" s="115"/>
      <c r="P823" s="9"/>
      <c r="Q823" s="9"/>
      <c r="R823" s="9"/>
      <c r="S823" s="9"/>
      <c r="T823" s="9"/>
      <c r="U823" s="9"/>
      <c r="V823" s="9"/>
      <c r="W823" s="10"/>
      <c r="X823" s="10"/>
      <c r="Y823" s="10"/>
      <c r="Z823" s="10"/>
    </row>
    <row r="824">
      <c r="A824" s="9"/>
      <c r="B824" s="9"/>
      <c r="C824" s="9"/>
      <c r="D824" s="9"/>
      <c r="E824" s="9"/>
      <c r="F824" s="9"/>
      <c r="G824" s="9"/>
      <c r="H824" s="9"/>
      <c r="I824" s="9"/>
      <c r="J824" s="9"/>
      <c r="K824" s="9"/>
      <c r="L824" s="115"/>
      <c r="M824" s="115"/>
      <c r="N824" s="115"/>
      <c r="O824" s="115"/>
      <c r="P824" s="9"/>
      <c r="Q824" s="9"/>
      <c r="R824" s="9"/>
      <c r="S824" s="9"/>
      <c r="T824" s="9"/>
      <c r="U824" s="9"/>
      <c r="V824" s="9"/>
      <c r="W824" s="10"/>
      <c r="X824" s="10"/>
      <c r="Y824" s="10"/>
      <c r="Z824" s="10"/>
    </row>
    <row r="825">
      <c r="A825" s="9"/>
      <c r="B825" s="9"/>
      <c r="C825" s="9"/>
      <c r="D825" s="9"/>
      <c r="E825" s="9"/>
      <c r="F825" s="9"/>
      <c r="G825" s="9"/>
      <c r="H825" s="9"/>
      <c r="I825" s="9"/>
      <c r="J825" s="9"/>
      <c r="K825" s="9"/>
      <c r="L825" s="115"/>
      <c r="M825" s="115"/>
      <c r="N825" s="115"/>
      <c r="O825" s="115"/>
      <c r="P825" s="9"/>
      <c r="Q825" s="9"/>
      <c r="R825" s="9"/>
      <c r="S825" s="9"/>
      <c r="T825" s="9"/>
      <c r="U825" s="9"/>
      <c r="V825" s="9"/>
      <c r="W825" s="10"/>
      <c r="X825" s="10"/>
      <c r="Y825" s="10"/>
      <c r="Z825" s="10"/>
    </row>
    <row r="826">
      <c r="A826" s="9"/>
      <c r="B826" s="9"/>
      <c r="C826" s="9"/>
      <c r="D826" s="9"/>
      <c r="E826" s="9"/>
      <c r="F826" s="9"/>
      <c r="G826" s="9"/>
      <c r="H826" s="9"/>
      <c r="I826" s="9"/>
      <c r="J826" s="9"/>
      <c r="K826" s="9"/>
      <c r="L826" s="115"/>
      <c r="M826" s="115"/>
      <c r="N826" s="115"/>
      <c r="O826" s="115"/>
      <c r="P826" s="9"/>
      <c r="Q826" s="9"/>
      <c r="R826" s="9"/>
      <c r="S826" s="9"/>
      <c r="T826" s="9"/>
      <c r="U826" s="9"/>
      <c r="V826" s="9"/>
      <c r="W826" s="10"/>
      <c r="X826" s="10"/>
      <c r="Y826" s="10"/>
      <c r="Z826" s="10"/>
    </row>
    <row r="827">
      <c r="A827" s="9"/>
      <c r="B827" s="9"/>
      <c r="C827" s="9"/>
      <c r="D827" s="9"/>
      <c r="E827" s="9"/>
      <c r="F827" s="9"/>
      <c r="G827" s="9"/>
      <c r="H827" s="9"/>
      <c r="I827" s="9"/>
      <c r="J827" s="9"/>
      <c r="K827" s="9"/>
      <c r="L827" s="115"/>
      <c r="M827" s="115"/>
      <c r="N827" s="115"/>
      <c r="O827" s="115"/>
      <c r="P827" s="9"/>
      <c r="Q827" s="9"/>
      <c r="R827" s="9"/>
      <c r="S827" s="9"/>
      <c r="T827" s="9"/>
      <c r="U827" s="9"/>
      <c r="V827" s="9"/>
      <c r="W827" s="10"/>
      <c r="X827" s="10"/>
      <c r="Y827" s="10"/>
      <c r="Z827" s="10"/>
    </row>
    <row r="828">
      <c r="A828" s="9"/>
      <c r="B828" s="9"/>
      <c r="C828" s="9"/>
      <c r="D828" s="9"/>
      <c r="E828" s="9"/>
      <c r="F828" s="9"/>
      <c r="G828" s="9"/>
      <c r="H828" s="9"/>
      <c r="I828" s="9"/>
      <c r="J828" s="9"/>
      <c r="K828" s="9"/>
      <c r="L828" s="115"/>
      <c r="M828" s="115"/>
      <c r="N828" s="115"/>
      <c r="O828" s="115"/>
      <c r="P828" s="9"/>
      <c r="Q828" s="9"/>
      <c r="R828" s="9"/>
      <c r="S828" s="9"/>
      <c r="T828" s="9"/>
      <c r="U828" s="9"/>
      <c r="V828" s="9"/>
      <c r="W828" s="10"/>
      <c r="X828" s="10"/>
      <c r="Y828" s="10"/>
      <c r="Z828" s="10"/>
    </row>
    <row r="829">
      <c r="A829" s="9"/>
      <c r="B829" s="9"/>
      <c r="C829" s="9"/>
      <c r="D829" s="9"/>
      <c r="E829" s="9"/>
      <c r="F829" s="9"/>
      <c r="G829" s="9"/>
      <c r="H829" s="9"/>
      <c r="I829" s="9"/>
      <c r="J829" s="9"/>
      <c r="K829" s="9"/>
      <c r="L829" s="115"/>
      <c r="M829" s="115"/>
      <c r="N829" s="115"/>
      <c r="O829" s="115"/>
      <c r="P829" s="9"/>
      <c r="Q829" s="9"/>
      <c r="R829" s="9"/>
      <c r="S829" s="9"/>
      <c r="T829" s="9"/>
      <c r="U829" s="9"/>
      <c r="V829" s="9"/>
      <c r="W829" s="10"/>
      <c r="X829" s="10"/>
      <c r="Y829" s="10"/>
      <c r="Z829" s="10"/>
    </row>
    <row r="830">
      <c r="A830" s="9"/>
      <c r="B830" s="9"/>
      <c r="C830" s="9"/>
      <c r="D830" s="9"/>
      <c r="E830" s="9"/>
      <c r="F830" s="9"/>
      <c r="G830" s="9"/>
      <c r="H830" s="9"/>
      <c r="I830" s="9"/>
      <c r="J830" s="9"/>
      <c r="K830" s="9"/>
      <c r="L830" s="115"/>
      <c r="M830" s="115"/>
      <c r="N830" s="115"/>
      <c r="O830" s="115"/>
      <c r="P830" s="9"/>
      <c r="Q830" s="9"/>
      <c r="R830" s="9"/>
      <c r="S830" s="9"/>
      <c r="T830" s="9"/>
      <c r="U830" s="9"/>
      <c r="V830" s="9"/>
      <c r="W830" s="10"/>
      <c r="X830" s="10"/>
      <c r="Y830" s="10"/>
      <c r="Z830" s="10"/>
    </row>
    <row r="831">
      <c r="A831" s="9"/>
      <c r="B831" s="9"/>
      <c r="C831" s="9"/>
      <c r="D831" s="9"/>
      <c r="E831" s="9"/>
      <c r="F831" s="9"/>
      <c r="G831" s="9"/>
      <c r="H831" s="9"/>
      <c r="I831" s="9"/>
      <c r="J831" s="9"/>
      <c r="K831" s="9"/>
      <c r="L831" s="115"/>
      <c r="M831" s="115"/>
      <c r="N831" s="115"/>
      <c r="O831" s="115"/>
      <c r="P831" s="9"/>
      <c r="Q831" s="9"/>
      <c r="R831" s="9"/>
      <c r="S831" s="9"/>
      <c r="T831" s="9"/>
      <c r="U831" s="9"/>
      <c r="V831" s="9"/>
      <c r="W831" s="10"/>
      <c r="X831" s="10"/>
      <c r="Y831" s="10"/>
      <c r="Z831" s="10"/>
    </row>
    <row r="832">
      <c r="A832" s="9"/>
      <c r="B832" s="9"/>
      <c r="C832" s="9"/>
      <c r="D832" s="9"/>
      <c r="E832" s="9"/>
      <c r="F832" s="9"/>
      <c r="G832" s="9"/>
      <c r="H832" s="9"/>
      <c r="I832" s="9"/>
      <c r="J832" s="9"/>
      <c r="K832" s="9"/>
      <c r="L832" s="115"/>
      <c r="M832" s="115"/>
      <c r="N832" s="115"/>
      <c r="O832" s="115"/>
      <c r="P832" s="9"/>
      <c r="Q832" s="9"/>
      <c r="R832" s="9"/>
      <c r="S832" s="9"/>
      <c r="T832" s="9"/>
      <c r="U832" s="9"/>
      <c r="V832" s="9"/>
      <c r="W832" s="10"/>
      <c r="X832" s="10"/>
      <c r="Y832" s="10"/>
      <c r="Z832" s="10"/>
    </row>
    <row r="833">
      <c r="A833" s="9"/>
      <c r="B833" s="9"/>
      <c r="C833" s="9"/>
      <c r="D833" s="9"/>
      <c r="E833" s="9"/>
      <c r="F833" s="9"/>
      <c r="G833" s="9"/>
      <c r="H833" s="9"/>
      <c r="I833" s="9"/>
      <c r="J833" s="9"/>
      <c r="K833" s="9"/>
      <c r="L833" s="115"/>
      <c r="M833" s="115"/>
      <c r="N833" s="115"/>
      <c r="O833" s="115"/>
      <c r="P833" s="9"/>
      <c r="Q833" s="9"/>
      <c r="R833" s="9"/>
      <c r="S833" s="9"/>
      <c r="T833" s="9"/>
      <c r="U833" s="9"/>
      <c r="V833" s="9"/>
      <c r="W833" s="10"/>
      <c r="X833" s="10"/>
      <c r="Y833" s="10"/>
      <c r="Z833" s="10"/>
    </row>
    <row r="834">
      <c r="A834" s="9"/>
      <c r="B834" s="9"/>
      <c r="C834" s="9"/>
      <c r="D834" s="9"/>
      <c r="E834" s="9"/>
      <c r="F834" s="9"/>
      <c r="G834" s="9"/>
      <c r="H834" s="9"/>
      <c r="I834" s="9"/>
      <c r="J834" s="9"/>
      <c r="K834" s="9"/>
      <c r="L834" s="115"/>
      <c r="M834" s="115"/>
      <c r="N834" s="115"/>
      <c r="O834" s="115"/>
      <c r="P834" s="9"/>
      <c r="Q834" s="9"/>
      <c r="R834" s="9"/>
      <c r="S834" s="9"/>
      <c r="T834" s="9"/>
      <c r="U834" s="9"/>
      <c r="V834" s="9"/>
      <c r="W834" s="10"/>
      <c r="X834" s="10"/>
      <c r="Y834" s="10"/>
      <c r="Z834" s="10"/>
    </row>
    <row r="835">
      <c r="A835" s="9"/>
      <c r="B835" s="9"/>
      <c r="C835" s="9"/>
      <c r="D835" s="9"/>
      <c r="E835" s="9"/>
      <c r="F835" s="9"/>
      <c r="G835" s="9"/>
      <c r="H835" s="9"/>
      <c r="I835" s="9"/>
      <c r="J835" s="9"/>
      <c r="K835" s="9"/>
      <c r="L835" s="115"/>
      <c r="M835" s="115"/>
      <c r="N835" s="115"/>
      <c r="O835" s="115"/>
      <c r="P835" s="9"/>
      <c r="Q835" s="9"/>
      <c r="R835" s="9"/>
      <c r="S835" s="9"/>
      <c r="T835" s="9"/>
      <c r="U835" s="9"/>
      <c r="V835" s="9"/>
      <c r="W835" s="10"/>
      <c r="X835" s="10"/>
      <c r="Y835" s="10"/>
      <c r="Z835" s="10"/>
    </row>
    <row r="836">
      <c r="A836" s="9"/>
      <c r="B836" s="9"/>
      <c r="C836" s="9"/>
      <c r="D836" s="9"/>
      <c r="E836" s="9"/>
      <c r="F836" s="9"/>
      <c r="G836" s="9"/>
      <c r="H836" s="9"/>
      <c r="I836" s="9"/>
      <c r="J836" s="9"/>
      <c r="K836" s="9"/>
      <c r="L836" s="115"/>
      <c r="M836" s="115"/>
      <c r="N836" s="115"/>
      <c r="O836" s="115"/>
      <c r="P836" s="9"/>
      <c r="Q836" s="9"/>
      <c r="R836" s="9"/>
      <c r="S836" s="9"/>
      <c r="T836" s="9"/>
      <c r="U836" s="9"/>
      <c r="V836" s="9"/>
      <c r="W836" s="10"/>
      <c r="X836" s="10"/>
      <c r="Y836" s="10"/>
      <c r="Z836" s="10"/>
    </row>
    <row r="837">
      <c r="A837" s="9"/>
      <c r="B837" s="9"/>
      <c r="C837" s="9"/>
      <c r="D837" s="9"/>
      <c r="E837" s="9"/>
      <c r="F837" s="9"/>
      <c r="G837" s="9"/>
      <c r="H837" s="9"/>
      <c r="I837" s="9"/>
      <c r="J837" s="9"/>
      <c r="K837" s="9"/>
      <c r="L837" s="115"/>
      <c r="M837" s="115"/>
      <c r="N837" s="115"/>
      <c r="O837" s="115"/>
      <c r="P837" s="9"/>
      <c r="Q837" s="9"/>
      <c r="R837" s="9"/>
      <c r="S837" s="9"/>
      <c r="T837" s="9"/>
      <c r="U837" s="9"/>
      <c r="V837" s="9"/>
      <c r="W837" s="10"/>
      <c r="X837" s="10"/>
      <c r="Y837" s="10"/>
      <c r="Z837" s="10"/>
    </row>
    <row r="838">
      <c r="A838" s="9"/>
      <c r="B838" s="9"/>
      <c r="C838" s="9"/>
      <c r="D838" s="9"/>
      <c r="E838" s="9"/>
      <c r="F838" s="9"/>
      <c r="G838" s="9"/>
      <c r="H838" s="9"/>
      <c r="I838" s="9"/>
      <c r="J838" s="9"/>
      <c r="K838" s="9"/>
      <c r="L838" s="115"/>
      <c r="M838" s="115"/>
      <c r="N838" s="115"/>
      <c r="O838" s="115"/>
      <c r="P838" s="9"/>
      <c r="Q838" s="9"/>
      <c r="R838" s="9"/>
      <c r="S838" s="9"/>
      <c r="T838" s="9"/>
      <c r="U838" s="9"/>
      <c r="V838" s="9"/>
      <c r="W838" s="10"/>
      <c r="X838" s="10"/>
      <c r="Y838" s="10"/>
      <c r="Z838" s="10"/>
    </row>
    <row r="839">
      <c r="A839" s="9"/>
      <c r="B839" s="9"/>
      <c r="C839" s="9"/>
      <c r="D839" s="9"/>
      <c r="E839" s="9"/>
      <c r="F839" s="9"/>
      <c r="G839" s="9"/>
      <c r="H839" s="9"/>
      <c r="I839" s="9"/>
      <c r="J839" s="9"/>
      <c r="K839" s="9"/>
      <c r="L839" s="115"/>
      <c r="M839" s="115"/>
      <c r="N839" s="115"/>
      <c r="O839" s="115"/>
      <c r="P839" s="9"/>
      <c r="Q839" s="9"/>
      <c r="R839" s="9"/>
      <c r="S839" s="9"/>
      <c r="T839" s="9"/>
      <c r="U839" s="9"/>
      <c r="V839" s="9"/>
      <c r="W839" s="10"/>
      <c r="X839" s="10"/>
      <c r="Y839" s="10"/>
      <c r="Z839" s="10"/>
    </row>
    <row r="840">
      <c r="A840" s="9"/>
      <c r="B840" s="9"/>
      <c r="C840" s="9"/>
      <c r="D840" s="9"/>
      <c r="E840" s="9"/>
      <c r="F840" s="9"/>
      <c r="G840" s="9"/>
      <c r="H840" s="9"/>
      <c r="I840" s="9"/>
      <c r="J840" s="9"/>
      <c r="K840" s="9"/>
      <c r="L840" s="115"/>
      <c r="M840" s="115"/>
      <c r="N840" s="115"/>
      <c r="O840" s="115"/>
      <c r="P840" s="9"/>
      <c r="Q840" s="9"/>
      <c r="R840" s="9"/>
      <c r="S840" s="9"/>
      <c r="T840" s="9"/>
      <c r="U840" s="9"/>
      <c r="V840" s="9"/>
      <c r="W840" s="10"/>
      <c r="X840" s="10"/>
      <c r="Y840" s="10"/>
      <c r="Z840" s="10"/>
    </row>
    <row r="841">
      <c r="A841" s="9"/>
      <c r="B841" s="9"/>
      <c r="C841" s="9"/>
      <c r="D841" s="9"/>
      <c r="E841" s="9"/>
      <c r="F841" s="9"/>
      <c r="G841" s="9"/>
      <c r="H841" s="9"/>
      <c r="I841" s="9"/>
      <c r="J841" s="9"/>
      <c r="K841" s="9"/>
      <c r="L841" s="115"/>
      <c r="M841" s="115"/>
      <c r="N841" s="115"/>
      <c r="O841" s="115"/>
      <c r="P841" s="9"/>
      <c r="Q841" s="9"/>
      <c r="R841" s="9"/>
      <c r="S841" s="9"/>
      <c r="T841" s="9"/>
      <c r="U841" s="9"/>
      <c r="V841" s="9"/>
      <c r="W841" s="10"/>
      <c r="X841" s="10"/>
      <c r="Y841" s="10"/>
      <c r="Z841" s="10"/>
    </row>
    <row r="842">
      <c r="A842" s="9"/>
      <c r="B842" s="9"/>
      <c r="C842" s="9"/>
      <c r="D842" s="9"/>
      <c r="E842" s="9"/>
      <c r="F842" s="9"/>
      <c r="G842" s="9"/>
      <c r="H842" s="9"/>
      <c r="I842" s="9"/>
      <c r="J842" s="9"/>
      <c r="K842" s="9"/>
      <c r="L842" s="115"/>
      <c r="M842" s="115"/>
      <c r="N842" s="115"/>
      <c r="O842" s="115"/>
      <c r="P842" s="9"/>
      <c r="Q842" s="9"/>
      <c r="R842" s="9"/>
      <c r="S842" s="9"/>
      <c r="T842" s="9"/>
      <c r="U842" s="9"/>
      <c r="V842" s="9"/>
      <c r="W842" s="10"/>
      <c r="X842" s="10"/>
      <c r="Y842" s="10"/>
      <c r="Z842" s="10"/>
    </row>
    <row r="843">
      <c r="A843" s="9"/>
      <c r="B843" s="9"/>
      <c r="C843" s="9"/>
      <c r="D843" s="9"/>
      <c r="E843" s="9"/>
      <c r="F843" s="9"/>
      <c r="G843" s="9"/>
      <c r="H843" s="9"/>
      <c r="I843" s="9"/>
      <c r="J843" s="9"/>
      <c r="K843" s="9"/>
      <c r="L843" s="115"/>
      <c r="M843" s="115"/>
      <c r="N843" s="115"/>
      <c r="O843" s="115"/>
      <c r="P843" s="9"/>
      <c r="Q843" s="9"/>
      <c r="R843" s="9"/>
      <c r="S843" s="9"/>
      <c r="T843" s="9"/>
      <c r="U843" s="9"/>
      <c r="V843" s="9"/>
      <c r="W843" s="10"/>
      <c r="X843" s="10"/>
      <c r="Y843" s="10"/>
      <c r="Z843" s="10"/>
    </row>
    <row r="844">
      <c r="A844" s="9"/>
      <c r="B844" s="9"/>
      <c r="C844" s="9"/>
      <c r="D844" s="9"/>
      <c r="E844" s="9"/>
      <c r="F844" s="9"/>
      <c r="G844" s="9"/>
      <c r="H844" s="9"/>
      <c r="I844" s="9"/>
      <c r="J844" s="9"/>
      <c r="K844" s="9"/>
      <c r="L844" s="115"/>
      <c r="M844" s="115"/>
      <c r="N844" s="115"/>
      <c r="O844" s="115"/>
      <c r="P844" s="9"/>
      <c r="Q844" s="9"/>
      <c r="R844" s="9"/>
      <c r="S844" s="9"/>
      <c r="T844" s="9"/>
      <c r="U844" s="9"/>
      <c r="V844" s="9"/>
      <c r="W844" s="10"/>
      <c r="X844" s="10"/>
      <c r="Y844" s="10"/>
      <c r="Z844" s="10"/>
    </row>
    <row r="845">
      <c r="A845" s="9"/>
      <c r="B845" s="9"/>
      <c r="C845" s="9"/>
      <c r="D845" s="9"/>
      <c r="E845" s="9"/>
      <c r="F845" s="9"/>
      <c r="G845" s="9"/>
      <c r="H845" s="9"/>
      <c r="I845" s="9"/>
      <c r="J845" s="9"/>
      <c r="K845" s="9"/>
      <c r="L845" s="115"/>
      <c r="M845" s="115"/>
      <c r="N845" s="115"/>
      <c r="O845" s="115"/>
      <c r="P845" s="9"/>
      <c r="Q845" s="9"/>
      <c r="R845" s="9"/>
      <c r="S845" s="9"/>
      <c r="T845" s="9"/>
      <c r="U845" s="9"/>
      <c r="V845" s="9"/>
      <c r="W845" s="10"/>
      <c r="X845" s="10"/>
      <c r="Y845" s="10"/>
      <c r="Z845" s="10"/>
    </row>
    <row r="846">
      <c r="A846" s="9"/>
      <c r="B846" s="9"/>
      <c r="C846" s="9"/>
      <c r="D846" s="9"/>
      <c r="E846" s="9"/>
      <c r="F846" s="9"/>
      <c r="G846" s="9"/>
      <c r="H846" s="9"/>
      <c r="I846" s="9"/>
      <c r="J846" s="9"/>
      <c r="K846" s="9"/>
      <c r="L846" s="115"/>
      <c r="M846" s="115"/>
      <c r="N846" s="115"/>
      <c r="O846" s="115"/>
      <c r="P846" s="9"/>
      <c r="Q846" s="9"/>
      <c r="R846" s="9"/>
      <c r="S846" s="9"/>
      <c r="T846" s="9"/>
      <c r="U846" s="9"/>
      <c r="V846" s="9"/>
      <c r="W846" s="10"/>
      <c r="X846" s="10"/>
      <c r="Y846" s="10"/>
      <c r="Z846" s="10"/>
    </row>
    <row r="847">
      <c r="A847" s="9"/>
      <c r="B847" s="9"/>
      <c r="C847" s="9"/>
      <c r="D847" s="9"/>
      <c r="E847" s="9"/>
      <c r="F847" s="9"/>
      <c r="G847" s="9"/>
      <c r="H847" s="9"/>
      <c r="I847" s="9"/>
      <c r="J847" s="9"/>
      <c r="K847" s="9"/>
      <c r="L847" s="115"/>
      <c r="M847" s="115"/>
      <c r="N847" s="115"/>
      <c r="O847" s="115"/>
      <c r="P847" s="9"/>
      <c r="Q847" s="9"/>
      <c r="R847" s="9"/>
      <c r="S847" s="9"/>
      <c r="T847" s="9"/>
      <c r="U847" s="9"/>
      <c r="V847" s="9"/>
      <c r="W847" s="10"/>
      <c r="X847" s="10"/>
      <c r="Y847" s="10"/>
      <c r="Z847" s="10"/>
    </row>
    <row r="848">
      <c r="A848" s="9"/>
      <c r="B848" s="9"/>
      <c r="C848" s="9"/>
      <c r="D848" s="9"/>
      <c r="E848" s="9"/>
      <c r="F848" s="9"/>
      <c r="G848" s="9"/>
      <c r="H848" s="9"/>
      <c r="I848" s="9"/>
      <c r="J848" s="9"/>
      <c r="K848" s="9"/>
      <c r="L848" s="115"/>
      <c r="M848" s="115"/>
      <c r="N848" s="115"/>
      <c r="O848" s="115"/>
      <c r="P848" s="9"/>
      <c r="Q848" s="9"/>
      <c r="R848" s="9"/>
      <c r="S848" s="9"/>
      <c r="T848" s="9"/>
      <c r="U848" s="9"/>
      <c r="V848" s="9"/>
      <c r="W848" s="10"/>
      <c r="X848" s="10"/>
      <c r="Y848" s="10"/>
      <c r="Z848" s="10"/>
    </row>
    <row r="849">
      <c r="A849" s="9"/>
      <c r="B849" s="9"/>
      <c r="C849" s="9"/>
      <c r="D849" s="9"/>
      <c r="E849" s="9"/>
      <c r="F849" s="9"/>
      <c r="G849" s="9"/>
      <c r="H849" s="9"/>
      <c r="I849" s="9"/>
      <c r="J849" s="9"/>
      <c r="K849" s="9"/>
      <c r="L849" s="115"/>
      <c r="M849" s="115"/>
      <c r="N849" s="115"/>
      <c r="O849" s="115"/>
      <c r="P849" s="9"/>
      <c r="Q849" s="9"/>
      <c r="R849" s="9"/>
      <c r="S849" s="9"/>
      <c r="T849" s="9"/>
      <c r="U849" s="9"/>
      <c r="V849" s="9"/>
      <c r="W849" s="10"/>
      <c r="X849" s="10"/>
      <c r="Y849" s="10"/>
      <c r="Z849" s="10"/>
    </row>
    <row r="850">
      <c r="A850" s="9"/>
      <c r="B850" s="9"/>
      <c r="C850" s="9"/>
      <c r="D850" s="9"/>
      <c r="E850" s="9"/>
      <c r="F850" s="9"/>
      <c r="G850" s="9"/>
      <c r="H850" s="9"/>
      <c r="I850" s="9"/>
      <c r="J850" s="9"/>
      <c r="K850" s="9"/>
      <c r="L850" s="115"/>
      <c r="M850" s="115"/>
      <c r="N850" s="115"/>
      <c r="O850" s="115"/>
      <c r="P850" s="9"/>
      <c r="Q850" s="9"/>
      <c r="R850" s="9"/>
      <c r="S850" s="9"/>
      <c r="T850" s="9"/>
      <c r="U850" s="9"/>
      <c r="V850" s="9"/>
      <c r="W850" s="10"/>
      <c r="X850" s="10"/>
      <c r="Y850" s="10"/>
      <c r="Z850" s="10"/>
    </row>
    <row r="851">
      <c r="A851" s="9"/>
      <c r="B851" s="9"/>
      <c r="C851" s="9"/>
      <c r="D851" s="9"/>
      <c r="E851" s="9"/>
      <c r="F851" s="9"/>
      <c r="G851" s="9"/>
      <c r="H851" s="9"/>
      <c r="I851" s="9"/>
      <c r="J851" s="9"/>
      <c r="K851" s="9"/>
      <c r="L851" s="115"/>
      <c r="M851" s="115"/>
      <c r="N851" s="115"/>
      <c r="O851" s="115"/>
      <c r="P851" s="9"/>
      <c r="Q851" s="9"/>
      <c r="R851" s="9"/>
      <c r="S851" s="9"/>
      <c r="T851" s="9"/>
      <c r="U851" s="9"/>
      <c r="V851" s="9"/>
      <c r="W851" s="10"/>
      <c r="X851" s="10"/>
      <c r="Y851" s="10"/>
      <c r="Z851" s="10"/>
    </row>
    <row r="852">
      <c r="A852" s="9"/>
      <c r="B852" s="9"/>
      <c r="C852" s="9"/>
      <c r="D852" s="9"/>
      <c r="E852" s="9"/>
      <c r="F852" s="9"/>
      <c r="G852" s="9"/>
      <c r="H852" s="9"/>
      <c r="I852" s="9"/>
      <c r="J852" s="9"/>
      <c r="K852" s="9"/>
      <c r="L852" s="115"/>
      <c r="M852" s="115"/>
      <c r="N852" s="115"/>
      <c r="O852" s="115"/>
      <c r="P852" s="9"/>
      <c r="Q852" s="9"/>
      <c r="R852" s="9"/>
      <c r="S852" s="9"/>
      <c r="T852" s="9"/>
      <c r="U852" s="9"/>
      <c r="V852" s="9"/>
      <c r="W852" s="10"/>
      <c r="X852" s="10"/>
      <c r="Y852" s="10"/>
      <c r="Z852" s="10"/>
    </row>
    <row r="853">
      <c r="A853" s="9"/>
      <c r="B853" s="9"/>
      <c r="C853" s="9"/>
      <c r="D853" s="9"/>
      <c r="E853" s="9"/>
      <c r="F853" s="9"/>
      <c r="G853" s="9"/>
      <c r="H853" s="9"/>
      <c r="I853" s="9"/>
      <c r="J853" s="9"/>
      <c r="K853" s="9"/>
      <c r="L853" s="115"/>
      <c r="M853" s="115"/>
      <c r="N853" s="115"/>
      <c r="O853" s="115"/>
      <c r="P853" s="9"/>
      <c r="Q853" s="9"/>
      <c r="R853" s="9"/>
      <c r="S853" s="9"/>
      <c r="T853" s="9"/>
      <c r="U853" s="9"/>
      <c r="V853" s="9"/>
      <c r="W853" s="10"/>
      <c r="X853" s="10"/>
      <c r="Y853" s="10"/>
      <c r="Z853" s="10"/>
    </row>
    <row r="854">
      <c r="A854" s="9"/>
      <c r="B854" s="9"/>
      <c r="C854" s="9"/>
      <c r="D854" s="9"/>
      <c r="E854" s="9"/>
      <c r="F854" s="9"/>
      <c r="G854" s="9"/>
      <c r="H854" s="9"/>
      <c r="I854" s="9"/>
      <c r="J854" s="9"/>
      <c r="K854" s="9"/>
      <c r="L854" s="115"/>
      <c r="M854" s="115"/>
      <c r="N854" s="115"/>
      <c r="O854" s="115"/>
      <c r="P854" s="9"/>
      <c r="Q854" s="9"/>
      <c r="R854" s="9"/>
      <c r="S854" s="9"/>
      <c r="T854" s="9"/>
      <c r="U854" s="9"/>
      <c r="V854" s="9"/>
      <c r="W854" s="10"/>
      <c r="X854" s="10"/>
      <c r="Y854" s="10"/>
      <c r="Z854" s="10"/>
    </row>
    <row r="855">
      <c r="A855" s="9"/>
      <c r="B855" s="9"/>
      <c r="C855" s="9"/>
      <c r="D855" s="9"/>
      <c r="E855" s="9"/>
      <c r="F855" s="9"/>
      <c r="G855" s="9"/>
      <c r="H855" s="9"/>
      <c r="I855" s="9"/>
      <c r="J855" s="9"/>
      <c r="K855" s="9"/>
      <c r="L855" s="115"/>
      <c r="M855" s="115"/>
      <c r="N855" s="115"/>
      <c r="O855" s="115"/>
      <c r="P855" s="9"/>
      <c r="Q855" s="9"/>
      <c r="R855" s="9"/>
      <c r="S855" s="9"/>
      <c r="T855" s="9"/>
      <c r="U855" s="9"/>
      <c r="V855" s="9"/>
      <c r="W855" s="10"/>
      <c r="X855" s="10"/>
      <c r="Y855" s="10"/>
      <c r="Z855" s="10"/>
    </row>
    <row r="856">
      <c r="A856" s="9"/>
      <c r="B856" s="9"/>
      <c r="C856" s="9"/>
      <c r="D856" s="9"/>
      <c r="E856" s="9"/>
      <c r="F856" s="9"/>
      <c r="G856" s="9"/>
      <c r="H856" s="9"/>
      <c r="I856" s="9"/>
      <c r="J856" s="9"/>
      <c r="K856" s="9"/>
      <c r="L856" s="115"/>
      <c r="M856" s="115"/>
      <c r="N856" s="115"/>
      <c r="O856" s="115"/>
      <c r="P856" s="9"/>
      <c r="Q856" s="9"/>
      <c r="R856" s="9"/>
      <c r="S856" s="9"/>
      <c r="T856" s="9"/>
      <c r="U856" s="9"/>
      <c r="V856" s="9"/>
      <c r="W856" s="10"/>
      <c r="X856" s="10"/>
      <c r="Y856" s="10"/>
      <c r="Z856" s="10"/>
    </row>
    <row r="857">
      <c r="A857" s="9"/>
      <c r="B857" s="9"/>
      <c r="C857" s="9"/>
      <c r="D857" s="9"/>
      <c r="E857" s="9"/>
      <c r="F857" s="9"/>
      <c r="G857" s="9"/>
      <c r="H857" s="9"/>
      <c r="I857" s="9"/>
      <c r="J857" s="9"/>
      <c r="K857" s="9"/>
      <c r="L857" s="115"/>
      <c r="M857" s="115"/>
      <c r="N857" s="115"/>
      <c r="O857" s="115"/>
      <c r="P857" s="9"/>
      <c r="Q857" s="9"/>
      <c r="R857" s="9"/>
      <c r="S857" s="9"/>
      <c r="T857" s="9"/>
      <c r="U857" s="9"/>
      <c r="V857" s="9"/>
      <c r="W857" s="10"/>
      <c r="X857" s="10"/>
      <c r="Y857" s="10"/>
      <c r="Z857" s="10"/>
    </row>
    <row r="858">
      <c r="A858" s="9"/>
      <c r="B858" s="9"/>
      <c r="C858" s="9"/>
      <c r="D858" s="9"/>
      <c r="E858" s="9"/>
      <c r="F858" s="9"/>
      <c r="G858" s="9"/>
      <c r="H858" s="9"/>
      <c r="I858" s="9"/>
      <c r="J858" s="9"/>
      <c r="K858" s="9"/>
      <c r="L858" s="115"/>
      <c r="M858" s="115"/>
      <c r="N858" s="115"/>
      <c r="O858" s="115"/>
      <c r="P858" s="9"/>
      <c r="Q858" s="9"/>
      <c r="R858" s="9"/>
      <c r="S858" s="9"/>
      <c r="T858" s="9"/>
      <c r="U858" s="9"/>
      <c r="V858" s="9"/>
      <c r="W858" s="10"/>
      <c r="X858" s="10"/>
      <c r="Y858" s="10"/>
      <c r="Z858" s="10"/>
    </row>
    <row r="859">
      <c r="A859" s="9"/>
      <c r="B859" s="9"/>
      <c r="C859" s="9"/>
      <c r="D859" s="9"/>
      <c r="E859" s="9"/>
      <c r="F859" s="9"/>
      <c r="G859" s="9"/>
      <c r="H859" s="9"/>
      <c r="I859" s="9"/>
      <c r="J859" s="9"/>
      <c r="K859" s="9"/>
      <c r="L859" s="115"/>
      <c r="M859" s="115"/>
      <c r="N859" s="115"/>
      <c r="O859" s="115"/>
      <c r="P859" s="9"/>
      <c r="Q859" s="9"/>
      <c r="R859" s="9"/>
      <c r="S859" s="9"/>
      <c r="T859" s="9"/>
      <c r="U859" s="9"/>
      <c r="V859" s="9"/>
      <c r="W859" s="10"/>
      <c r="X859" s="10"/>
      <c r="Y859" s="10"/>
      <c r="Z859" s="10"/>
    </row>
    <row r="860">
      <c r="A860" s="9"/>
      <c r="B860" s="9"/>
      <c r="C860" s="9"/>
      <c r="D860" s="9"/>
      <c r="E860" s="9"/>
      <c r="F860" s="9"/>
      <c r="G860" s="9"/>
      <c r="H860" s="9"/>
      <c r="I860" s="9"/>
      <c r="J860" s="9"/>
      <c r="K860" s="9"/>
      <c r="L860" s="115"/>
      <c r="M860" s="115"/>
      <c r="N860" s="115"/>
      <c r="O860" s="115"/>
      <c r="P860" s="9"/>
      <c r="Q860" s="9"/>
      <c r="R860" s="9"/>
      <c r="S860" s="9"/>
      <c r="T860" s="9"/>
      <c r="U860" s="9"/>
      <c r="V860" s="9"/>
      <c r="W860" s="10"/>
      <c r="X860" s="10"/>
      <c r="Y860" s="10"/>
      <c r="Z860" s="10"/>
    </row>
    <row r="861">
      <c r="A861" s="9"/>
      <c r="B861" s="9"/>
      <c r="C861" s="9"/>
      <c r="D861" s="9"/>
      <c r="E861" s="9"/>
      <c r="F861" s="9"/>
      <c r="G861" s="9"/>
      <c r="H861" s="9"/>
      <c r="I861" s="9"/>
      <c r="J861" s="9"/>
      <c r="K861" s="9"/>
      <c r="L861" s="115"/>
      <c r="M861" s="115"/>
      <c r="N861" s="115"/>
      <c r="O861" s="115"/>
      <c r="P861" s="9"/>
      <c r="Q861" s="9"/>
      <c r="R861" s="9"/>
      <c r="S861" s="9"/>
      <c r="T861" s="9"/>
      <c r="U861" s="9"/>
      <c r="V861" s="9"/>
      <c r="W861" s="10"/>
      <c r="X861" s="10"/>
      <c r="Y861" s="10"/>
      <c r="Z861" s="10"/>
    </row>
    <row r="862">
      <c r="A862" s="9"/>
      <c r="B862" s="9"/>
      <c r="C862" s="9"/>
      <c r="D862" s="9"/>
      <c r="E862" s="9"/>
      <c r="F862" s="9"/>
      <c r="G862" s="9"/>
      <c r="H862" s="9"/>
      <c r="I862" s="9"/>
      <c r="J862" s="9"/>
      <c r="K862" s="9"/>
      <c r="L862" s="115"/>
      <c r="M862" s="115"/>
      <c r="N862" s="115"/>
      <c r="O862" s="115"/>
      <c r="P862" s="9"/>
      <c r="Q862" s="9"/>
      <c r="R862" s="9"/>
      <c r="S862" s="9"/>
      <c r="T862" s="9"/>
      <c r="U862" s="9"/>
      <c r="V862" s="9"/>
      <c r="W862" s="10"/>
      <c r="X862" s="10"/>
      <c r="Y862" s="10"/>
      <c r="Z862" s="10"/>
    </row>
    <row r="863">
      <c r="A863" s="9"/>
      <c r="B863" s="9"/>
      <c r="C863" s="9"/>
      <c r="D863" s="9"/>
      <c r="E863" s="9"/>
      <c r="F863" s="9"/>
      <c r="G863" s="9"/>
      <c r="H863" s="9"/>
      <c r="I863" s="9"/>
      <c r="J863" s="9"/>
      <c r="K863" s="9"/>
      <c r="L863" s="115"/>
      <c r="M863" s="115"/>
      <c r="N863" s="115"/>
      <c r="O863" s="115"/>
      <c r="P863" s="9"/>
      <c r="Q863" s="9"/>
      <c r="R863" s="9"/>
      <c r="S863" s="9"/>
      <c r="T863" s="9"/>
      <c r="U863" s="9"/>
      <c r="V863" s="9"/>
      <c r="W863" s="10"/>
      <c r="X863" s="10"/>
      <c r="Y863" s="10"/>
      <c r="Z863" s="10"/>
    </row>
    <row r="864">
      <c r="A864" s="9"/>
      <c r="B864" s="9"/>
      <c r="C864" s="9"/>
      <c r="D864" s="9"/>
      <c r="E864" s="9"/>
      <c r="F864" s="9"/>
      <c r="G864" s="9"/>
      <c r="H864" s="9"/>
      <c r="I864" s="9"/>
      <c r="J864" s="9"/>
      <c r="K864" s="9"/>
      <c r="L864" s="115"/>
      <c r="M864" s="115"/>
      <c r="N864" s="115"/>
      <c r="O864" s="115"/>
      <c r="P864" s="9"/>
      <c r="Q864" s="9"/>
      <c r="R864" s="9"/>
      <c r="S864" s="9"/>
      <c r="T864" s="9"/>
      <c r="U864" s="9"/>
      <c r="V864" s="9"/>
      <c r="W864" s="10"/>
      <c r="X864" s="10"/>
      <c r="Y864" s="10"/>
      <c r="Z864" s="10"/>
    </row>
    <row r="865">
      <c r="A865" s="9"/>
      <c r="B865" s="9"/>
      <c r="C865" s="9"/>
      <c r="D865" s="9"/>
      <c r="E865" s="9"/>
      <c r="F865" s="9"/>
      <c r="G865" s="9"/>
      <c r="H865" s="9"/>
      <c r="I865" s="9"/>
      <c r="J865" s="9"/>
      <c r="K865" s="9"/>
      <c r="L865" s="115"/>
      <c r="M865" s="115"/>
      <c r="N865" s="115"/>
      <c r="O865" s="115"/>
      <c r="P865" s="9"/>
      <c r="Q865" s="9"/>
      <c r="R865" s="9"/>
      <c r="S865" s="9"/>
      <c r="T865" s="9"/>
      <c r="U865" s="9"/>
      <c r="V865" s="9"/>
      <c r="W865" s="10"/>
      <c r="X865" s="10"/>
      <c r="Y865" s="10"/>
      <c r="Z865" s="10"/>
    </row>
    <row r="866">
      <c r="A866" s="9"/>
      <c r="B866" s="9"/>
      <c r="C866" s="9"/>
      <c r="D866" s="9"/>
      <c r="E866" s="9"/>
      <c r="F866" s="9"/>
      <c r="G866" s="9"/>
      <c r="H866" s="9"/>
      <c r="I866" s="9"/>
      <c r="J866" s="9"/>
      <c r="K866" s="9"/>
      <c r="L866" s="115"/>
      <c r="M866" s="115"/>
      <c r="N866" s="115"/>
      <c r="O866" s="115"/>
      <c r="P866" s="9"/>
      <c r="Q866" s="9"/>
      <c r="R866" s="9"/>
      <c r="S866" s="9"/>
      <c r="T866" s="9"/>
      <c r="U866" s="9"/>
      <c r="V866" s="9"/>
      <c r="W866" s="10"/>
      <c r="X866" s="10"/>
      <c r="Y866" s="10"/>
      <c r="Z866" s="10"/>
    </row>
    <row r="867">
      <c r="A867" s="9"/>
      <c r="B867" s="9"/>
      <c r="C867" s="9"/>
      <c r="D867" s="9"/>
      <c r="E867" s="9"/>
      <c r="F867" s="9"/>
      <c r="G867" s="9"/>
      <c r="H867" s="9"/>
      <c r="I867" s="9"/>
      <c r="J867" s="9"/>
      <c r="K867" s="9"/>
      <c r="L867" s="115"/>
      <c r="M867" s="115"/>
      <c r="N867" s="115"/>
      <c r="O867" s="115"/>
      <c r="P867" s="9"/>
      <c r="Q867" s="9"/>
      <c r="R867" s="9"/>
      <c r="S867" s="9"/>
      <c r="T867" s="9"/>
      <c r="U867" s="9"/>
      <c r="V867" s="9"/>
      <c r="W867" s="10"/>
      <c r="X867" s="10"/>
      <c r="Y867" s="10"/>
      <c r="Z867" s="10"/>
    </row>
    <row r="868">
      <c r="A868" s="9"/>
      <c r="B868" s="9"/>
      <c r="C868" s="9"/>
      <c r="D868" s="9"/>
      <c r="E868" s="9"/>
      <c r="F868" s="9"/>
      <c r="G868" s="9"/>
      <c r="H868" s="9"/>
      <c r="I868" s="9"/>
      <c r="J868" s="9"/>
      <c r="K868" s="9"/>
      <c r="L868" s="115"/>
      <c r="M868" s="115"/>
      <c r="N868" s="115"/>
      <c r="O868" s="115"/>
      <c r="P868" s="9"/>
      <c r="Q868" s="9"/>
      <c r="R868" s="9"/>
      <c r="S868" s="9"/>
      <c r="T868" s="9"/>
      <c r="U868" s="9"/>
      <c r="V868" s="9"/>
      <c r="W868" s="10"/>
      <c r="X868" s="10"/>
      <c r="Y868" s="10"/>
      <c r="Z868" s="10"/>
    </row>
    <row r="869">
      <c r="A869" s="9"/>
      <c r="B869" s="9"/>
      <c r="C869" s="9"/>
      <c r="D869" s="9"/>
      <c r="E869" s="9"/>
      <c r="F869" s="9"/>
      <c r="G869" s="9"/>
      <c r="H869" s="9"/>
      <c r="I869" s="9"/>
      <c r="J869" s="9"/>
      <c r="K869" s="9"/>
      <c r="L869" s="115"/>
      <c r="M869" s="115"/>
      <c r="N869" s="115"/>
      <c r="O869" s="115"/>
      <c r="P869" s="9"/>
      <c r="Q869" s="9"/>
      <c r="R869" s="9"/>
      <c r="S869" s="9"/>
      <c r="T869" s="9"/>
      <c r="U869" s="9"/>
      <c r="V869" s="9"/>
      <c r="W869" s="10"/>
      <c r="X869" s="10"/>
      <c r="Y869" s="10"/>
      <c r="Z869" s="10"/>
    </row>
    <row r="870">
      <c r="A870" s="9"/>
      <c r="B870" s="9"/>
      <c r="C870" s="9"/>
      <c r="D870" s="9"/>
      <c r="E870" s="9"/>
      <c r="F870" s="9"/>
      <c r="G870" s="9"/>
      <c r="H870" s="9"/>
      <c r="I870" s="9"/>
      <c r="J870" s="9"/>
      <c r="K870" s="9"/>
      <c r="L870" s="115"/>
      <c r="M870" s="115"/>
      <c r="N870" s="115"/>
      <c r="O870" s="115"/>
      <c r="P870" s="9"/>
      <c r="Q870" s="9"/>
      <c r="R870" s="9"/>
      <c r="S870" s="9"/>
      <c r="T870" s="9"/>
      <c r="U870" s="9"/>
      <c r="V870" s="9"/>
      <c r="W870" s="10"/>
      <c r="X870" s="10"/>
      <c r="Y870" s="10"/>
      <c r="Z870" s="10"/>
    </row>
    <row r="871">
      <c r="A871" s="9"/>
      <c r="B871" s="9"/>
      <c r="C871" s="9"/>
      <c r="D871" s="9"/>
      <c r="E871" s="9"/>
      <c r="F871" s="9"/>
      <c r="G871" s="9"/>
      <c r="H871" s="9"/>
      <c r="I871" s="9"/>
      <c r="J871" s="9"/>
      <c r="K871" s="9"/>
      <c r="L871" s="115"/>
      <c r="M871" s="115"/>
      <c r="N871" s="115"/>
      <c r="O871" s="115"/>
      <c r="P871" s="9"/>
      <c r="Q871" s="9"/>
      <c r="R871" s="9"/>
      <c r="S871" s="9"/>
      <c r="T871" s="9"/>
      <c r="U871" s="9"/>
      <c r="V871" s="9"/>
      <c r="W871" s="10"/>
      <c r="X871" s="10"/>
      <c r="Y871" s="10"/>
      <c r="Z871" s="10"/>
    </row>
    <row r="872">
      <c r="A872" s="9"/>
      <c r="B872" s="9"/>
      <c r="C872" s="9"/>
      <c r="D872" s="9"/>
      <c r="E872" s="9"/>
      <c r="F872" s="9"/>
      <c r="G872" s="9"/>
      <c r="H872" s="9"/>
      <c r="I872" s="9"/>
      <c r="J872" s="9"/>
      <c r="K872" s="9"/>
      <c r="L872" s="115"/>
      <c r="M872" s="115"/>
      <c r="N872" s="115"/>
      <c r="O872" s="115"/>
      <c r="P872" s="9"/>
      <c r="Q872" s="9"/>
      <c r="R872" s="9"/>
      <c r="S872" s="9"/>
      <c r="T872" s="9"/>
      <c r="U872" s="9"/>
      <c r="V872" s="9"/>
      <c r="W872" s="10"/>
      <c r="X872" s="10"/>
      <c r="Y872" s="10"/>
      <c r="Z872" s="10"/>
    </row>
    <row r="873">
      <c r="A873" s="9"/>
      <c r="B873" s="9"/>
      <c r="C873" s="9"/>
      <c r="D873" s="9"/>
      <c r="E873" s="9"/>
      <c r="F873" s="9"/>
      <c r="G873" s="9"/>
      <c r="H873" s="9"/>
      <c r="I873" s="9"/>
      <c r="J873" s="9"/>
      <c r="K873" s="9"/>
      <c r="L873" s="115"/>
      <c r="M873" s="115"/>
      <c r="N873" s="115"/>
      <c r="O873" s="115"/>
      <c r="P873" s="9"/>
      <c r="Q873" s="9"/>
      <c r="R873" s="9"/>
      <c r="S873" s="9"/>
      <c r="T873" s="9"/>
      <c r="U873" s="9"/>
      <c r="V873" s="9"/>
      <c r="W873" s="10"/>
      <c r="X873" s="10"/>
      <c r="Y873" s="10"/>
      <c r="Z873" s="10"/>
    </row>
    <row r="874">
      <c r="A874" s="9"/>
      <c r="B874" s="9"/>
      <c r="C874" s="9"/>
      <c r="D874" s="9"/>
      <c r="E874" s="9"/>
      <c r="F874" s="9"/>
      <c r="G874" s="9"/>
      <c r="H874" s="9"/>
      <c r="I874" s="9"/>
      <c r="J874" s="9"/>
      <c r="K874" s="9"/>
      <c r="L874" s="115"/>
      <c r="M874" s="115"/>
      <c r="N874" s="115"/>
      <c r="O874" s="115"/>
      <c r="P874" s="9"/>
      <c r="Q874" s="9"/>
      <c r="R874" s="9"/>
      <c r="S874" s="9"/>
      <c r="T874" s="9"/>
      <c r="U874" s="9"/>
      <c r="V874" s="9"/>
      <c r="W874" s="10"/>
      <c r="X874" s="10"/>
      <c r="Y874" s="10"/>
      <c r="Z874" s="10"/>
    </row>
    <row r="875">
      <c r="A875" s="9"/>
      <c r="B875" s="9"/>
      <c r="C875" s="9"/>
      <c r="D875" s="9"/>
      <c r="E875" s="9"/>
      <c r="F875" s="9"/>
      <c r="G875" s="9"/>
      <c r="H875" s="9"/>
      <c r="I875" s="9"/>
      <c r="J875" s="9"/>
      <c r="K875" s="9"/>
      <c r="L875" s="115"/>
      <c r="M875" s="115"/>
      <c r="N875" s="115"/>
      <c r="O875" s="115"/>
      <c r="P875" s="9"/>
      <c r="Q875" s="9"/>
      <c r="R875" s="9"/>
      <c r="S875" s="9"/>
      <c r="T875" s="9"/>
      <c r="U875" s="9"/>
      <c r="V875" s="9"/>
      <c r="W875" s="10"/>
      <c r="X875" s="10"/>
      <c r="Y875" s="10"/>
      <c r="Z875" s="10"/>
    </row>
    <row r="876">
      <c r="A876" s="9"/>
      <c r="B876" s="9"/>
      <c r="C876" s="9"/>
      <c r="D876" s="9"/>
      <c r="E876" s="9"/>
      <c r="F876" s="9"/>
      <c r="G876" s="9"/>
      <c r="H876" s="9"/>
      <c r="I876" s="9"/>
      <c r="J876" s="9"/>
      <c r="K876" s="9"/>
      <c r="L876" s="115"/>
      <c r="M876" s="115"/>
      <c r="N876" s="115"/>
      <c r="O876" s="115"/>
      <c r="P876" s="9"/>
      <c r="Q876" s="9"/>
      <c r="R876" s="9"/>
      <c r="S876" s="9"/>
      <c r="T876" s="9"/>
      <c r="U876" s="9"/>
      <c r="V876" s="9"/>
      <c r="W876" s="10"/>
      <c r="X876" s="10"/>
      <c r="Y876" s="10"/>
      <c r="Z876" s="10"/>
    </row>
    <row r="877">
      <c r="A877" s="9"/>
      <c r="B877" s="9"/>
      <c r="C877" s="9"/>
      <c r="D877" s="9"/>
      <c r="E877" s="9"/>
      <c r="F877" s="9"/>
      <c r="G877" s="9"/>
      <c r="H877" s="9"/>
      <c r="I877" s="9"/>
      <c r="J877" s="9"/>
      <c r="K877" s="9"/>
      <c r="L877" s="115"/>
      <c r="M877" s="115"/>
      <c r="N877" s="115"/>
      <c r="O877" s="115"/>
      <c r="P877" s="9"/>
      <c r="Q877" s="9"/>
      <c r="R877" s="9"/>
      <c r="S877" s="9"/>
      <c r="T877" s="9"/>
      <c r="U877" s="9"/>
      <c r="V877" s="9"/>
      <c r="W877" s="10"/>
      <c r="X877" s="10"/>
      <c r="Y877" s="10"/>
      <c r="Z877" s="10"/>
    </row>
    <row r="878">
      <c r="A878" s="9"/>
      <c r="B878" s="9"/>
      <c r="C878" s="9"/>
      <c r="D878" s="9"/>
      <c r="E878" s="9"/>
      <c r="F878" s="9"/>
      <c r="G878" s="9"/>
      <c r="H878" s="9"/>
      <c r="I878" s="9"/>
      <c r="J878" s="9"/>
      <c r="K878" s="9"/>
      <c r="L878" s="115"/>
      <c r="M878" s="115"/>
      <c r="N878" s="115"/>
      <c r="O878" s="115"/>
      <c r="P878" s="9"/>
      <c r="Q878" s="9"/>
      <c r="R878" s="9"/>
      <c r="S878" s="9"/>
      <c r="T878" s="9"/>
      <c r="U878" s="9"/>
      <c r="V878" s="9"/>
      <c r="W878" s="10"/>
      <c r="X878" s="10"/>
      <c r="Y878" s="10"/>
      <c r="Z878" s="10"/>
    </row>
    <row r="879">
      <c r="A879" s="9"/>
      <c r="B879" s="9"/>
      <c r="C879" s="9"/>
      <c r="D879" s="9"/>
      <c r="E879" s="9"/>
      <c r="F879" s="9"/>
      <c r="G879" s="9"/>
      <c r="H879" s="9"/>
      <c r="I879" s="9"/>
      <c r="J879" s="9"/>
      <c r="K879" s="9"/>
      <c r="L879" s="115"/>
      <c r="M879" s="115"/>
      <c r="N879" s="115"/>
      <c r="O879" s="115"/>
      <c r="P879" s="9"/>
      <c r="Q879" s="9"/>
      <c r="R879" s="9"/>
      <c r="S879" s="9"/>
      <c r="T879" s="9"/>
      <c r="U879" s="9"/>
      <c r="V879" s="9"/>
      <c r="W879" s="10"/>
      <c r="X879" s="10"/>
      <c r="Y879" s="10"/>
      <c r="Z879" s="10"/>
    </row>
    <row r="880">
      <c r="A880" s="9"/>
      <c r="B880" s="9"/>
      <c r="C880" s="9"/>
      <c r="D880" s="9"/>
      <c r="E880" s="9"/>
      <c r="F880" s="9"/>
      <c r="G880" s="9"/>
      <c r="H880" s="9"/>
      <c r="I880" s="9"/>
      <c r="J880" s="9"/>
      <c r="K880" s="9"/>
      <c r="L880" s="115"/>
      <c r="M880" s="115"/>
      <c r="N880" s="115"/>
      <c r="O880" s="115"/>
      <c r="P880" s="9"/>
      <c r="Q880" s="9"/>
      <c r="R880" s="9"/>
      <c r="S880" s="9"/>
      <c r="T880" s="9"/>
      <c r="U880" s="9"/>
      <c r="V880" s="9"/>
      <c r="W880" s="10"/>
      <c r="X880" s="10"/>
      <c r="Y880" s="10"/>
      <c r="Z880" s="10"/>
    </row>
    <row r="881">
      <c r="A881" s="9"/>
      <c r="B881" s="9"/>
      <c r="C881" s="9"/>
      <c r="D881" s="9"/>
      <c r="E881" s="9"/>
      <c r="F881" s="9"/>
      <c r="G881" s="9"/>
      <c r="H881" s="9"/>
      <c r="I881" s="9"/>
      <c r="J881" s="9"/>
      <c r="K881" s="9"/>
      <c r="L881" s="115"/>
      <c r="M881" s="115"/>
      <c r="N881" s="115"/>
      <c r="O881" s="115"/>
      <c r="P881" s="9"/>
      <c r="Q881" s="9"/>
      <c r="R881" s="9"/>
      <c r="S881" s="9"/>
      <c r="T881" s="9"/>
      <c r="U881" s="9"/>
      <c r="V881" s="9"/>
      <c r="W881" s="10"/>
      <c r="X881" s="10"/>
      <c r="Y881" s="10"/>
      <c r="Z881" s="10"/>
    </row>
    <row r="882">
      <c r="A882" s="9"/>
      <c r="B882" s="9"/>
      <c r="C882" s="9"/>
      <c r="D882" s="9"/>
      <c r="E882" s="9"/>
      <c r="F882" s="9"/>
      <c r="G882" s="9"/>
      <c r="H882" s="9"/>
      <c r="I882" s="9"/>
      <c r="J882" s="9"/>
      <c r="K882" s="9"/>
      <c r="L882" s="115"/>
      <c r="M882" s="115"/>
      <c r="N882" s="115"/>
      <c r="O882" s="115"/>
      <c r="P882" s="9"/>
      <c r="Q882" s="9"/>
      <c r="R882" s="9"/>
      <c r="S882" s="9"/>
      <c r="T882" s="9"/>
      <c r="U882" s="9"/>
      <c r="V882" s="9"/>
      <c r="W882" s="10"/>
      <c r="X882" s="10"/>
      <c r="Y882" s="10"/>
      <c r="Z882" s="10"/>
    </row>
    <row r="883">
      <c r="A883" s="9"/>
      <c r="B883" s="9"/>
      <c r="C883" s="9"/>
      <c r="D883" s="9"/>
      <c r="E883" s="9"/>
      <c r="F883" s="9"/>
      <c r="G883" s="9"/>
      <c r="H883" s="9"/>
      <c r="I883" s="9"/>
      <c r="J883" s="9"/>
      <c r="K883" s="9"/>
      <c r="L883" s="115"/>
      <c r="M883" s="115"/>
      <c r="N883" s="115"/>
      <c r="O883" s="115"/>
      <c r="P883" s="9"/>
      <c r="Q883" s="9"/>
      <c r="R883" s="9"/>
      <c r="S883" s="9"/>
      <c r="T883" s="9"/>
      <c r="U883" s="9"/>
      <c r="V883" s="9"/>
      <c r="W883" s="10"/>
      <c r="X883" s="10"/>
      <c r="Y883" s="10"/>
      <c r="Z883" s="10"/>
    </row>
    <row r="884">
      <c r="A884" s="9"/>
      <c r="B884" s="9"/>
      <c r="C884" s="9"/>
      <c r="D884" s="9"/>
      <c r="E884" s="9"/>
      <c r="F884" s="9"/>
      <c r="G884" s="9"/>
      <c r="H884" s="9"/>
      <c r="I884" s="9"/>
      <c r="J884" s="9"/>
      <c r="K884" s="9"/>
      <c r="L884" s="115"/>
      <c r="M884" s="115"/>
      <c r="N884" s="115"/>
      <c r="O884" s="115"/>
      <c r="P884" s="9"/>
      <c r="Q884" s="9"/>
      <c r="R884" s="9"/>
      <c r="S884" s="9"/>
      <c r="T884" s="9"/>
      <c r="U884" s="9"/>
      <c r="V884" s="9"/>
      <c r="W884" s="10"/>
      <c r="X884" s="10"/>
      <c r="Y884" s="10"/>
      <c r="Z884" s="10"/>
    </row>
    <row r="885">
      <c r="A885" s="9"/>
      <c r="B885" s="9"/>
      <c r="C885" s="9"/>
      <c r="D885" s="9"/>
      <c r="E885" s="9"/>
      <c r="F885" s="9"/>
      <c r="G885" s="9"/>
      <c r="H885" s="9"/>
      <c r="I885" s="9"/>
      <c r="J885" s="9"/>
      <c r="K885" s="9"/>
      <c r="L885" s="115"/>
      <c r="M885" s="115"/>
      <c r="N885" s="115"/>
      <c r="O885" s="115"/>
      <c r="P885" s="9"/>
      <c r="Q885" s="9"/>
      <c r="R885" s="9"/>
      <c r="S885" s="9"/>
      <c r="T885" s="9"/>
      <c r="U885" s="9"/>
      <c r="V885" s="9"/>
      <c r="W885" s="10"/>
      <c r="X885" s="10"/>
      <c r="Y885" s="10"/>
      <c r="Z885" s="10"/>
    </row>
    <row r="886">
      <c r="A886" s="9"/>
      <c r="B886" s="9"/>
      <c r="C886" s="9"/>
      <c r="D886" s="9"/>
      <c r="E886" s="9"/>
      <c r="F886" s="9"/>
      <c r="G886" s="9"/>
      <c r="H886" s="9"/>
      <c r="I886" s="9"/>
      <c r="J886" s="9"/>
      <c r="K886" s="9"/>
      <c r="L886" s="115"/>
      <c r="M886" s="115"/>
      <c r="N886" s="115"/>
      <c r="O886" s="115"/>
      <c r="P886" s="9"/>
      <c r="Q886" s="9"/>
      <c r="R886" s="9"/>
      <c r="S886" s="9"/>
      <c r="T886" s="9"/>
      <c r="U886" s="9"/>
      <c r="V886" s="9"/>
      <c r="W886" s="10"/>
      <c r="X886" s="10"/>
      <c r="Y886" s="10"/>
      <c r="Z886" s="10"/>
    </row>
    <row r="887">
      <c r="A887" s="9"/>
      <c r="B887" s="9"/>
      <c r="C887" s="9"/>
      <c r="D887" s="9"/>
      <c r="E887" s="9"/>
      <c r="F887" s="9"/>
      <c r="G887" s="9"/>
      <c r="H887" s="9"/>
      <c r="I887" s="9"/>
      <c r="J887" s="9"/>
      <c r="K887" s="9"/>
      <c r="L887" s="115"/>
      <c r="M887" s="115"/>
      <c r="N887" s="115"/>
      <c r="O887" s="115"/>
      <c r="P887" s="9"/>
      <c r="Q887" s="9"/>
      <c r="R887" s="9"/>
      <c r="S887" s="9"/>
      <c r="T887" s="9"/>
      <c r="U887" s="9"/>
      <c r="V887" s="9"/>
      <c r="W887" s="10"/>
      <c r="X887" s="10"/>
      <c r="Y887" s="10"/>
      <c r="Z887" s="10"/>
    </row>
    <row r="888">
      <c r="A888" s="9"/>
      <c r="B888" s="9"/>
      <c r="C888" s="9"/>
      <c r="D888" s="9"/>
      <c r="E888" s="9"/>
      <c r="F888" s="9"/>
      <c r="G888" s="9"/>
      <c r="H888" s="9"/>
      <c r="I888" s="9"/>
      <c r="J888" s="9"/>
      <c r="K888" s="9"/>
      <c r="L888" s="115"/>
      <c r="M888" s="115"/>
      <c r="N888" s="115"/>
      <c r="O888" s="115"/>
      <c r="P888" s="9"/>
      <c r="Q888" s="9"/>
      <c r="R888" s="9"/>
      <c r="S888" s="9"/>
      <c r="T888" s="9"/>
      <c r="U888" s="9"/>
      <c r="V888" s="9"/>
      <c r="W888" s="10"/>
      <c r="X888" s="10"/>
      <c r="Y888" s="10"/>
      <c r="Z888" s="10"/>
    </row>
    <row r="889">
      <c r="A889" s="9"/>
      <c r="B889" s="9"/>
      <c r="C889" s="9"/>
      <c r="D889" s="9"/>
      <c r="E889" s="9"/>
      <c r="F889" s="9"/>
      <c r="G889" s="9"/>
      <c r="H889" s="9"/>
      <c r="I889" s="9"/>
      <c r="J889" s="9"/>
      <c r="K889" s="9"/>
      <c r="L889" s="115"/>
      <c r="M889" s="115"/>
      <c r="N889" s="115"/>
      <c r="O889" s="115"/>
      <c r="P889" s="9"/>
      <c r="Q889" s="9"/>
      <c r="R889" s="9"/>
      <c r="S889" s="9"/>
      <c r="T889" s="9"/>
      <c r="U889" s="9"/>
      <c r="V889" s="9"/>
      <c r="W889" s="10"/>
      <c r="X889" s="10"/>
      <c r="Y889" s="10"/>
      <c r="Z889" s="10"/>
    </row>
    <row r="890">
      <c r="A890" s="9"/>
      <c r="B890" s="9"/>
      <c r="C890" s="9"/>
      <c r="D890" s="9"/>
      <c r="E890" s="9"/>
      <c r="F890" s="9"/>
      <c r="G890" s="9"/>
      <c r="H890" s="9"/>
      <c r="I890" s="9"/>
      <c r="J890" s="9"/>
      <c r="K890" s="9"/>
      <c r="L890" s="115"/>
      <c r="M890" s="115"/>
      <c r="N890" s="115"/>
      <c r="O890" s="115"/>
      <c r="P890" s="9"/>
      <c r="Q890" s="9"/>
      <c r="R890" s="9"/>
      <c r="S890" s="9"/>
      <c r="T890" s="9"/>
      <c r="U890" s="9"/>
      <c r="V890" s="9"/>
      <c r="W890" s="10"/>
      <c r="X890" s="10"/>
      <c r="Y890" s="10"/>
      <c r="Z890" s="10"/>
    </row>
    <row r="891">
      <c r="A891" s="9"/>
      <c r="B891" s="9"/>
      <c r="C891" s="9"/>
      <c r="D891" s="9"/>
      <c r="E891" s="9"/>
      <c r="F891" s="9"/>
      <c r="G891" s="9"/>
      <c r="H891" s="9"/>
      <c r="I891" s="9"/>
      <c r="J891" s="9"/>
      <c r="K891" s="9"/>
      <c r="L891" s="115"/>
      <c r="M891" s="115"/>
      <c r="N891" s="115"/>
      <c r="O891" s="115"/>
      <c r="P891" s="9"/>
      <c r="Q891" s="9"/>
      <c r="R891" s="9"/>
      <c r="S891" s="9"/>
      <c r="T891" s="9"/>
      <c r="U891" s="9"/>
      <c r="V891" s="9"/>
      <c r="W891" s="10"/>
      <c r="X891" s="10"/>
      <c r="Y891" s="10"/>
      <c r="Z891" s="10"/>
    </row>
    <row r="892">
      <c r="A892" s="9"/>
      <c r="B892" s="9"/>
      <c r="C892" s="9"/>
      <c r="D892" s="9"/>
      <c r="E892" s="9"/>
      <c r="F892" s="9"/>
      <c r="G892" s="9"/>
      <c r="H892" s="9"/>
      <c r="I892" s="9"/>
      <c r="J892" s="9"/>
      <c r="K892" s="9"/>
      <c r="L892" s="115"/>
      <c r="M892" s="115"/>
      <c r="N892" s="115"/>
      <c r="O892" s="115"/>
      <c r="P892" s="9"/>
      <c r="Q892" s="9"/>
      <c r="R892" s="9"/>
      <c r="S892" s="9"/>
      <c r="T892" s="9"/>
      <c r="U892" s="9"/>
      <c r="V892" s="9"/>
      <c r="W892" s="10"/>
      <c r="X892" s="10"/>
      <c r="Y892" s="10"/>
      <c r="Z892" s="10"/>
    </row>
    <row r="893">
      <c r="A893" s="9"/>
      <c r="B893" s="9"/>
      <c r="C893" s="9"/>
      <c r="D893" s="9"/>
      <c r="E893" s="9"/>
      <c r="F893" s="9"/>
      <c r="G893" s="9"/>
      <c r="H893" s="9"/>
      <c r="I893" s="9"/>
      <c r="J893" s="9"/>
      <c r="K893" s="9"/>
      <c r="L893" s="115"/>
      <c r="M893" s="115"/>
      <c r="N893" s="115"/>
      <c r="O893" s="115"/>
      <c r="P893" s="9"/>
      <c r="Q893" s="9"/>
      <c r="R893" s="9"/>
      <c r="S893" s="9"/>
      <c r="T893" s="9"/>
      <c r="U893" s="9"/>
      <c r="V893" s="9"/>
      <c r="W893" s="10"/>
      <c r="X893" s="10"/>
      <c r="Y893" s="10"/>
      <c r="Z893" s="10"/>
    </row>
    <row r="894">
      <c r="A894" s="9"/>
      <c r="B894" s="9"/>
      <c r="C894" s="9"/>
      <c r="D894" s="9"/>
      <c r="E894" s="9"/>
      <c r="F894" s="9"/>
      <c r="G894" s="9"/>
      <c r="H894" s="9"/>
      <c r="I894" s="9"/>
      <c r="J894" s="9"/>
      <c r="K894" s="9"/>
      <c r="L894" s="115"/>
      <c r="M894" s="115"/>
      <c r="N894" s="115"/>
      <c r="O894" s="115"/>
      <c r="P894" s="9"/>
      <c r="Q894" s="9"/>
      <c r="R894" s="9"/>
      <c r="S894" s="9"/>
      <c r="T894" s="9"/>
      <c r="U894" s="9"/>
      <c r="V894" s="9"/>
      <c r="W894" s="10"/>
      <c r="X894" s="10"/>
      <c r="Y894" s="10"/>
      <c r="Z894" s="10"/>
    </row>
    <row r="895">
      <c r="A895" s="9"/>
      <c r="B895" s="9"/>
      <c r="C895" s="9"/>
      <c r="D895" s="9"/>
      <c r="E895" s="9"/>
      <c r="F895" s="9"/>
      <c r="G895" s="9"/>
      <c r="H895" s="9"/>
      <c r="I895" s="9"/>
      <c r="J895" s="9"/>
      <c r="K895" s="9"/>
      <c r="L895" s="115"/>
      <c r="M895" s="115"/>
      <c r="N895" s="115"/>
      <c r="O895" s="115"/>
      <c r="P895" s="9"/>
      <c r="Q895" s="9"/>
      <c r="R895" s="9"/>
      <c r="S895" s="9"/>
      <c r="T895" s="9"/>
      <c r="U895" s="9"/>
      <c r="V895" s="9"/>
      <c r="W895" s="10"/>
      <c r="X895" s="10"/>
      <c r="Y895" s="10"/>
      <c r="Z895" s="10"/>
    </row>
    <row r="896">
      <c r="A896" s="9"/>
      <c r="B896" s="9"/>
      <c r="C896" s="9"/>
      <c r="D896" s="9"/>
      <c r="E896" s="9"/>
      <c r="F896" s="9"/>
      <c r="G896" s="9"/>
      <c r="H896" s="9"/>
      <c r="I896" s="9"/>
      <c r="J896" s="9"/>
      <c r="K896" s="9"/>
      <c r="L896" s="115"/>
      <c r="M896" s="115"/>
      <c r="N896" s="115"/>
      <c r="O896" s="115"/>
      <c r="P896" s="9"/>
      <c r="Q896" s="9"/>
      <c r="R896" s="9"/>
      <c r="S896" s="9"/>
      <c r="T896" s="9"/>
      <c r="U896" s="9"/>
      <c r="V896" s="9"/>
      <c r="W896" s="10"/>
      <c r="X896" s="10"/>
      <c r="Y896" s="10"/>
      <c r="Z896" s="10"/>
    </row>
    <row r="897">
      <c r="A897" s="9"/>
      <c r="B897" s="9"/>
      <c r="C897" s="9"/>
      <c r="D897" s="9"/>
      <c r="E897" s="9"/>
      <c r="F897" s="9"/>
      <c r="G897" s="9"/>
      <c r="H897" s="9"/>
      <c r="I897" s="9"/>
      <c r="J897" s="9"/>
      <c r="K897" s="9"/>
      <c r="L897" s="115"/>
      <c r="M897" s="115"/>
      <c r="N897" s="115"/>
      <c r="O897" s="115"/>
      <c r="P897" s="9"/>
      <c r="Q897" s="9"/>
      <c r="R897" s="9"/>
      <c r="S897" s="9"/>
      <c r="T897" s="9"/>
      <c r="U897" s="9"/>
      <c r="V897" s="9"/>
      <c r="W897" s="10"/>
      <c r="X897" s="10"/>
      <c r="Y897" s="10"/>
      <c r="Z897" s="10"/>
    </row>
    <row r="898">
      <c r="A898" s="9"/>
      <c r="B898" s="9"/>
      <c r="C898" s="9"/>
      <c r="D898" s="9"/>
      <c r="E898" s="9"/>
      <c r="F898" s="9"/>
      <c r="G898" s="9"/>
      <c r="H898" s="9"/>
      <c r="I898" s="9"/>
      <c r="J898" s="9"/>
      <c r="K898" s="9"/>
      <c r="L898" s="115"/>
      <c r="M898" s="115"/>
      <c r="N898" s="115"/>
      <c r="O898" s="115"/>
      <c r="P898" s="9"/>
      <c r="Q898" s="9"/>
      <c r="R898" s="9"/>
      <c r="S898" s="9"/>
      <c r="T898" s="9"/>
      <c r="U898" s="9"/>
      <c r="V898" s="9"/>
      <c r="W898" s="10"/>
      <c r="X898" s="10"/>
      <c r="Y898" s="10"/>
      <c r="Z898" s="10"/>
    </row>
    <row r="899">
      <c r="A899" s="9"/>
      <c r="B899" s="9"/>
      <c r="C899" s="9"/>
      <c r="D899" s="9"/>
      <c r="E899" s="9"/>
      <c r="F899" s="9"/>
      <c r="G899" s="9"/>
      <c r="H899" s="9"/>
      <c r="I899" s="9"/>
      <c r="J899" s="9"/>
      <c r="K899" s="9"/>
      <c r="L899" s="115"/>
      <c r="M899" s="115"/>
      <c r="N899" s="115"/>
      <c r="O899" s="115"/>
      <c r="P899" s="9"/>
      <c r="Q899" s="9"/>
      <c r="R899" s="9"/>
      <c r="S899" s="9"/>
      <c r="T899" s="9"/>
      <c r="U899" s="9"/>
      <c r="V899" s="9"/>
      <c r="W899" s="10"/>
      <c r="X899" s="10"/>
      <c r="Y899" s="10"/>
      <c r="Z899" s="10"/>
    </row>
    <row r="900">
      <c r="A900" s="9"/>
      <c r="B900" s="9"/>
      <c r="C900" s="9"/>
      <c r="D900" s="9"/>
      <c r="E900" s="9"/>
      <c r="F900" s="9"/>
      <c r="G900" s="9"/>
      <c r="H900" s="9"/>
      <c r="I900" s="9"/>
      <c r="J900" s="9"/>
      <c r="K900" s="9"/>
      <c r="L900" s="115"/>
      <c r="M900" s="115"/>
      <c r="N900" s="115"/>
      <c r="O900" s="115"/>
      <c r="P900" s="9"/>
      <c r="Q900" s="9"/>
      <c r="R900" s="9"/>
      <c r="S900" s="9"/>
      <c r="T900" s="9"/>
      <c r="U900" s="9"/>
      <c r="V900" s="9"/>
      <c r="W900" s="10"/>
      <c r="X900" s="10"/>
      <c r="Y900" s="10"/>
      <c r="Z900" s="10"/>
    </row>
    <row r="901">
      <c r="A901" s="9"/>
      <c r="B901" s="9"/>
      <c r="C901" s="9"/>
      <c r="D901" s="9"/>
      <c r="E901" s="9"/>
      <c r="F901" s="9"/>
      <c r="G901" s="9"/>
      <c r="H901" s="9"/>
      <c r="I901" s="9"/>
      <c r="J901" s="9"/>
      <c r="K901" s="9"/>
      <c r="L901" s="115"/>
      <c r="M901" s="115"/>
      <c r="N901" s="115"/>
      <c r="O901" s="115"/>
      <c r="P901" s="9"/>
      <c r="Q901" s="9"/>
      <c r="R901" s="9"/>
      <c r="S901" s="9"/>
      <c r="T901" s="9"/>
      <c r="U901" s="9"/>
      <c r="V901" s="9"/>
      <c r="W901" s="10"/>
      <c r="X901" s="10"/>
      <c r="Y901" s="10"/>
      <c r="Z901" s="10"/>
    </row>
    <row r="902">
      <c r="A902" s="9"/>
      <c r="B902" s="9"/>
      <c r="C902" s="9"/>
      <c r="D902" s="9"/>
      <c r="E902" s="9"/>
      <c r="F902" s="9"/>
      <c r="G902" s="9"/>
      <c r="H902" s="9"/>
      <c r="I902" s="9"/>
      <c r="J902" s="9"/>
      <c r="K902" s="9"/>
      <c r="L902" s="115"/>
      <c r="M902" s="115"/>
      <c r="N902" s="115"/>
      <c r="O902" s="115"/>
      <c r="P902" s="9"/>
      <c r="Q902" s="9"/>
      <c r="R902" s="9"/>
      <c r="S902" s="9"/>
      <c r="T902" s="9"/>
      <c r="U902" s="9"/>
      <c r="V902" s="9"/>
      <c r="W902" s="10"/>
      <c r="X902" s="10"/>
      <c r="Y902" s="10"/>
      <c r="Z902" s="10"/>
    </row>
    <row r="903">
      <c r="A903" s="9"/>
      <c r="B903" s="9"/>
      <c r="C903" s="9"/>
      <c r="D903" s="9"/>
      <c r="E903" s="9"/>
      <c r="F903" s="9"/>
      <c r="G903" s="9"/>
      <c r="H903" s="9"/>
      <c r="I903" s="9"/>
      <c r="J903" s="9"/>
      <c r="K903" s="9"/>
      <c r="L903" s="115"/>
      <c r="M903" s="115"/>
      <c r="N903" s="115"/>
      <c r="O903" s="115"/>
      <c r="P903" s="9"/>
      <c r="Q903" s="9"/>
      <c r="R903" s="9"/>
      <c r="S903" s="9"/>
      <c r="T903" s="9"/>
      <c r="U903" s="9"/>
      <c r="V903" s="9"/>
      <c r="W903" s="10"/>
      <c r="X903" s="10"/>
      <c r="Y903" s="10"/>
      <c r="Z903" s="10"/>
    </row>
    <row r="904">
      <c r="A904" s="9"/>
      <c r="B904" s="9"/>
      <c r="C904" s="9"/>
      <c r="D904" s="9"/>
      <c r="E904" s="9"/>
      <c r="F904" s="9"/>
      <c r="G904" s="9"/>
      <c r="H904" s="9"/>
      <c r="I904" s="9"/>
      <c r="J904" s="9"/>
      <c r="K904" s="9"/>
      <c r="L904" s="115"/>
      <c r="M904" s="115"/>
      <c r="N904" s="115"/>
      <c r="O904" s="115"/>
      <c r="P904" s="9"/>
      <c r="Q904" s="9"/>
      <c r="R904" s="9"/>
      <c r="S904" s="9"/>
      <c r="T904" s="9"/>
      <c r="U904" s="9"/>
      <c r="V904" s="9"/>
      <c r="W904" s="10"/>
      <c r="X904" s="10"/>
      <c r="Y904" s="10"/>
      <c r="Z904" s="10"/>
    </row>
    <row r="905">
      <c r="A905" s="9"/>
      <c r="B905" s="9"/>
      <c r="C905" s="9"/>
      <c r="D905" s="9"/>
      <c r="E905" s="9"/>
      <c r="F905" s="9"/>
      <c r="G905" s="9"/>
      <c r="H905" s="9"/>
      <c r="I905" s="9"/>
      <c r="J905" s="9"/>
      <c r="K905" s="9"/>
      <c r="L905" s="115"/>
      <c r="M905" s="115"/>
      <c r="N905" s="115"/>
      <c r="O905" s="115"/>
      <c r="P905" s="9"/>
      <c r="Q905" s="9"/>
      <c r="R905" s="9"/>
      <c r="S905" s="9"/>
      <c r="T905" s="9"/>
      <c r="U905" s="9"/>
      <c r="V905" s="9"/>
      <c r="W905" s="10"/>
      <c r="X905" s="10"/>
      <c r="Y905" s="10"/>
      <c r="Z905" s="10"/>
    </row>
    <row r="906">
      <c r="A906" s="9"/>
      <c r="B906" s="9"/>
      <c r="C906" s="9"/>
      <c r="D906" s="9"/>
      <c r="E906" s="9"/>
      <c r="F906" s="9"/>
      <c r="G906" s="9"/>
      <c r="H906" s="9"/>
      <c r="I906" s="9"/>
      <c r="J906" s="9"/>
      <c r="K906" s="9"/>
      <c r="L906" s="115"/>
      <c r="M906" s="115"/>
      <c r="N906" s="115"/>
      <c r="O906" s="115"/>
      <c r="P906" s="9"/>
      <c r="Q906" s="9"/>
      <c r="R906" s="9"/>
      <c r="S906" s="9"/>
      <c r="T906" s="9"/>
      <c r="U906" s="9"/>
      <c r="V906" s="9"/>
      <c r="W906" s="10"/>
      <c r="X906" s="10"/>
      <c r="Y906" s="10"/>
      <c r="Z906" s="10"/>
    </row>
    <row r="907">
      <c r="A907" s="9"/>
      <c r="B907" s="9"/>
      <c r="C907" s="9"/>
      <c r="D907" s="9"/>
      <c r="E907" s="9"/>
      <c r="F907" s="9"/>
      <c r="G907" s="9"/>
      <c r="H907" s="9"/>
      <c r="I907" s="9"/>
      <c r="J907" s="9"/>
      <c r="K907" s="9"/>
      <c r="L907" s="115"/>
      <c r="M907" s="115"/>
      <c r="N907" s="115"/>
      <c r="O907" s="115"/>
      <c r="P907" s="9"/>
      <c r="Q907" s="9"/>
      <c r="R907" s="9"/>
      <c r="S907" s="9"/>
      <c r="T907" s="9"/>
      <c r="U907" s="9"/>
      <c r="V907" s="9"/>
      <c r="W907" s="10"/>
      <c r="X907" s="10"/>
      <c r="Y907" s="10"/>
      <c r="Z907" s="10"/>
    </row>
    <row r="908">
      <c r="A908" s="9"/>
      <c r="B908" s="9"/>
      <c r="C908" s="9"/>
      <c r="D908" s="9"/>
      <c r="E908" s="9"/>
      <c r="F908" s="9"/>
      <c r="G908" s="9"/>
      <c r="H908" s="9"/>
      <c r="I908" s="9"/>
      <c r="J908" s="9"/>
      <c r="K908" s="9"/>
      <c r="L908" s="115"/>
      <c r="M908" s="115"/>
      <c r="N908" s="115"/>
      <c r="O908" s="115"/>
      <c r="P908" s="9"/>
      <c r="Q908" s="9"/>
      <c r="R908" s="9"/>
      <c r="S908" s="9"/>
      <c r="T908" s="9"/>
      <c r="U908" s="9"/>
      <c r="V908" s="9"/>
      <c r="W908" s="10"/>
      <c r="X908" s="10"/>
      <c r="Y908" s="10"/>
      <c r="Z908" s="10"/>
    </row>
    <row r="909">
      <c r="A909" s="9"/>
      <c r="B909" s="9"/>
      <c r="C909" s="9"/>
      <c r="D909" s="9"/>
      <c r="E909" s="9"/>
      <c r="F909" s="9"/>
      <c r="G909" s="9"/>
      <c r="H909" s="9"/>
      <c r="I909" s="9"/>
      <c r="J909" s="9"/>
      <c r="K909" s="9"/>
      <c r="L909" s="115"/>
      <c r="M909" s="115"/>
      <c r="N909" s="115"/>
      <c r="O909" s="115"/>
      <c r="P909" s="9"/>
      <c r="Q909" s="9"/>
      <c r="R909" s="9"/>
      <c r="S909" s="9"/>
      <c r="T909" s="9"/>
      <c r="U909" s="9"/>
      <c r="V909" s="9"/>
      <c r="W909" s="10"/>
      <c r="X909" s="10"/>
      <c r="Y909" s="10"/>
      <c r="Z909" s="10"/>
    </row>
    <row r="910">
      <c r="A910" s="9"/>
      <c r="B910" s="9"/>
      <c r="C910" s="9"/>
      <c r="D910" s="9"/>
      <c r="E910" s="9"/>
      <c r="F910" s="9"/>
      <c r="G910" s="9"/>
      <c r="H910" s="9"/>
      <c r="I910" s="9"/>
      <c r="J910" s="9"/>
      <c r="K910" s="9"/>
      <c r="L910" s="115"/>
      <c r="M910" s="115"/>
      <c r="N910" s="115"/>
      <c r="O910" s="115"/>
      <c r="P910" s="9"/>
      <c r="Q910" s="9"/>
      <c r="R910" s="9"/>
      <c r="S910" s="9"/>
      <c r="T910" s="9"/>
      <c r="U910" s="9"/>
      <c r="V910" s="9"/>
      <c r="W910" s="10"/>
      <c r="X910" s="10"/>
      <c r="Y910" s="10"/>
      <c r="Z910" s="10"/>
    </row>
    <row r="911">
      <c r="A911" s="9"/>
      <c r="B911" s="9"/>
      <c r="C911" s="9"/>
      <c r="D911" s="9"/>
      <c r="E911" s="9"/>
      <c r="F911" s="9"/>
      <c r="G911" s="9"/>
      <c r="H911" s="9"/>
      <c r="I911" s="9"/>
      <c r="J911" s="9"/>
      <c r="K911" s="9"/>
      <c r="L911" s="115"/>
      <c r="M911" s="115"/>
      <c r="N911" s="115"/>
      <c r="O911" s="115"/>
      <c r="P911" s="9"/>
      <c r="Q911" s="9"/>
      <c r="R911" s="9"/>
      <c r="S911" s="9"/>
      <c r="T911" s="9"/>
      <c r="U911" s="9"/>
      <c r="V911" s="9"/>
      <c r="W911" s="10"/>
      <c r="X911" s="10"/>
      <c r="Y911" s="10"/>
      <c r="Z911" s="10"/>
    </row>
    <row r="912">
      <c r="A912" s="9"/>
      <c r="B912" s="9"/>
      <c r="C912" s="9"/>
      <c r="D912" s="9"/>
      <c r="E912" s="9"/>
      <c r="F912" s="9"/>
      <c r="G912" s="9"/>
      <c r="H912" s="9"/>
      <c r="I912" s="9"/>
      <c r="J912" s="9"/>
      <c r="K912" s="9"/>
      <c r="L912" s="115"/>
      <c r="M912" s="115"/>
      <c r="N912" s="115"/>
      <c r="O912" s="115"/>
      <c r="P912" s="9"/>
      <c r="Q912" s="9"/>
      <c r="R912" s="9"/>
      <c r="S912" s="9"/>
      <c r="T912" s="9"/>
      <c r="U912" s="9"/>
      <c r="V912" s="9"/>
      <c r="W912" s="10"/>
      <c r="X912" s="10"/>
      <c r="Y912" s="10"/>
      <c r="Z912" s="10"/>
    </row>
    <row r="913">
      <c r="A913" s="9"/>
      <c r="B913" s="9"/>
      <c r="C913" s="9"/>
      <c r="D913" s="9"/>
      <c r="E913" s="9"/>
      <c r="F913" s="9"/>
      <c r="G913" s="9"/>
      <c r="H913" s="9"/>
      <c r="I913" s="9"/>
      <c r="J913" s="9"/>
      <c r="K913" s="9"/>
      <c r="L913" s="115"/>
      <c r="M913" s="115"/>
      <c r="N913" s="115"/>
      <c r="O913" s="115"/>
      <c r="P913" s="9"/>
      <c r="Q913" s="9"/>
      <c r="R913" s="9"/>
      <c r="S913" s="9"/>
      <c r="T913" s="9"/>
      <c r="U913" s="9"/>
      <c r="V913" s="9"/>
      <c r="W913" s="10"/>
      <c r="X913" s="10"/>
      <c r="Y913" s="10"/>
      <c r="Z913" s="10"/>
    </row>
    <row r="914">
      <c r="A914" s="9"/>
      <c r="B914" s="9"/>
      <c r="C914" s="9"/>
      <c r="D914" s="9"/>
      <c r="E914" s="9"/>
      <c r="F914" s="9"/>
      <c r="G914" s="9"/>
      <c r="H914" s="9"/>
      <c r="I914" s="9"/>
      <c r="J914" s="9"/>
      <c r="K914" s="9"/>
      <c r="L914" s="115"/>
      <c r="M914" s="115"/>
      <c r="N914" s="115"/>
      <c r="O914" s="115"/>
      <c r="P914" s="9"/>
      <c r="Q914" s="9"/>
      <c r="R914" s="9"/>
      <c r="S914" s="9"/>
      <c r="T914" s="9"/>
      <c r="U914" s="9"/>
      <c r="V914" s="9"/>
      <c r="W914" s="10"/>
      <c r="X914" s="10"/>
      <c r="Y914" s="10"/>
      <c r="Z914" s="10"/>
    </row>
    <row r="915">
      <c r="A915" s="9"/>
      <c r="B915" s="9"/>
      <c r="C915" s="9"/>
      <c r="D915" s="9"/>
      <c r="E915" s="9"/>
      <c r="F915" s="9"/>
      <c r="G915" s="9"/>
      <c r="H915" s="9"/>
      <c r="I915" s="9"/>
      <c r="J915" s="9"/>
      <c r="K915" s="9"/>
      <c r="L915" s="115"/>
      <c r="M915" s="115"/>
      <c r="N915" s="115"/>
      <c r="O915" s="115"/>
      <c r="P915" s="9"/>
      <c r="Q915" s="9"/>
      <c r="R915" s="9"/>
      <c r="S915" s="9"/>
      <c r="T915" s="9"/>
      <c r="U915" s="9"/>
      <c r="V915" s="9"/>
      <c r="W915" s="10"/>
      <c r="X915" s="10"/>
      <c r="Y915" s="10"/>
      <c r="Z915" s="10"/>
    </row>
    <row r="916">
      <c r="A916" s="9"/>
      <c r="B916" s="9"/>
      <c r="C916" s="9"/>
      <c r="D916" s="9"/>
      <c r="E916" s="9"/>
      <c r="F916" s="9"/>
      <c r="G916" s="9"/>
      <c r="H916" s="9"/>
      <c r="I916" s="9"/>
      <c r="J916" s="9"/>
      <c r="K916" s="9"/>
      <c r="L916" s="115"/>
      <c r="M916" s="115"/>
      <c r="N916" s="115"/>
      <c r="O916" s="115"/>
      <c r="P916" s="9"/>
      <c r="Q916" s="9"/>
      <c r="R916" s="9"/>
      <c r="S916" s="9"/>
      <c r="T916" s="9"/>
      <c r="U916" s="9"/>
      <c r="V916" s="9"/>
      <c r="W916" s="10"/>
      <c r="X916" s="10"/>
      <c r="Y916" s="10"/>
      <c r="Z916" s="10"/>
    </row>
    <row r="917">
      <c r="A917" s="9"/>
      <c r="B917" s="9"/>
      <c r="C917" s="9"/>
      <c r="D917" s="9"/>
      <c r="E917" s="9"/>
      <c r="F917" s="9"/>
      <c r="G917" s="9"/>
      <c r="H917" s="9"/>
      <c r="I917" s="9"/>
      <c r="J917" s="9"/>
      <c r="K917" s="9"/>
      <c r="L917" s="115"/>
      <c r="M917" s="115"/>
      <c r="N917" s="115"/>
      <c r="O917" s="115"/>
      <c r="P917" s="9"/>
      <c r="Q917" s="9"/>
      <c r="R917" s="9"/>
      <c r="S917" s="9"/>
      <c r="T917" s="9"/>
      <c r="U917" s="9"/>
      <c r="V917" s="9"/>
      <c r="W917" s="10"/>
      <c r="X917" s="10"/>
      <c r="Y917" s="10"/>
      <c r="Z917" s="10"/>
    </row>
    <row r="918">
      <c r="A918" s="9"/>
      <c r="B918" s="9"/>
      <c r="C918" s="9"/>
      <c r="D918" s="9"/>
      <c r="E918" s="9"/>
      <c r="F918" s="9"/>
      <c r="G918" s="9"/>
      <c r="H918" s="9"/>
      <c r="I918" s="9"/>
      <c r="J918" s="9"/>
      <c r="K918" s="9"/>
      <c r="L918" s="115"/>
      <c r="M918" s="115"/>
      <c r="N918" s="115"/>
      <c r="O918" s="115"/>
      <c r="P918" s="9"/>
      <c r="Q918" s="9"/>
      <c r="R918" s="9"/>
      <c r="S918" s="9"/>
      <c r="T918" s="9"/>
      <c r="U918" s="9"/>
      <c r="V918" s="9"/>
      <c r="W918" s="10"/>
      <c r="X918" s="10"/>
      <c r="Y918" s="10"/>
      <c r="Z918" s="10"/>
    </row>
    <row r="919">
      <c r="A919" s="9"/>
      <c r="B919" s="9"/>
      <c r="C919" s="9"/>
      <c r="D919" s="9"/>
      <c r="E919" s="9"/>
      <c r="F919" s="9"/>
      <c r="G919" s="9"/>
      <c r="H919" s="9"/>
      <c r="I919" s="9"/>
      <c r="J919" s="9"/>
      <c r="K919" s="9"/>
      <c r="L919" s="115"/>
      <c r="M919" s="115"/>
      <c r="N919" s="115"/>
      <c r="O919" s="115"/>
      <c r="P919" s="9"/>
      <c r="Q919" s="9"/>
      <c r="R919" s="9"/>
      <c r="S919" s="9"/>
      <c r="T919" s="9"/>
      <c r="U919" s="9"/>
      <c r="V919" s="9"/>
      <c r="W919" s="10"/>
      <c r="X919" s="10"/>
      <c r="Y919" s="10"/>
      <c r="Z919" s="10"/>
    </row>
    <row r="920">
      <c r="A920" s="9"/>
      <c r="B920" s="9"/>
      <c r="C920" s="9"/>
      <c r="D920" s="9"/>
      <c r="E920" s="9"/>
      <c r="F920" s="9"/>
      <c r="G920" s="9"/>
      <c r="H920" s="9"/>
      <c r="I920" s="9"/>
      <c r="J920" s="9"/>
      <c r="K920" s="9"/>
      <c r="L920" s="115"/>
      <c r="M920" s="115"/>
      <c r="N920" s="115"/>
      <c r="O920" s="115"/>
      <c r="P920" s="9"/>
      <c r="Q920" s="9"/>
      <c r="R920" s="9"/>
      <c r="S920" s="9"/>
      <c r="T920" s="9"/>
      <c r="U920" s="9"/>
      <c r="V920" s="9"/>
      <c r="W920" s="10"/>
      <c r="X920" s="10"/>
      <c r="Y920" s="10"/>
      <c r="Z920" s="10"/>
    </row>
    <row r="921">
      <c r="A921" s="9"/>
      <c r="B921" s="9"/>
      <c r="C921" s="9"/>
      <c r="D921" s="9"/>
      <c r="E921" s="9"/>
      <c r="F921" s="9"/>
      <c r="G921" s="9"/>
      <c r="H921" s="9"/>
      <c r="I921" s="9"/>
      <c r="J921" s="9"/>
      <c r="K921" s="9"/>
      <c r="L921" s="115"/>
      <c r="M921" s="115"/>
      <c r="N921" s="115"/>
      <c r="O921" s="115"/>
      <c r="P921" s="9"/>
      <c r="Q921" s="9"/>
      <c r="R921" s="9"/>
      <c r="S921" s="9"/>
      <c r="T921" s="9"/>
      <c r="U921" s="9"/>
      <c r="V921" s="9"/>
      <c r="W921" s="10"/>
      <c r="X921" s="10"/>
      <c r="Y921" s="10"/>
      <c r="Z921" s="10"/>
    </row>
    <row r="922">
      <c r="A922" s="9"/>
      <c r="B922" s="9"/>
      <c r="C922" s="9"/>
      <c r="D922" s="9"/>
      <c r="E922" s="9"/>
      <c r="F922" s="9"/>
      <c r="G922" s="9"/>
      <c r="H922" s="9"/>
      <c r="I922" s="9"/>
      <c r="J922" s="9"/>
      <c r="K922" s="9"/>
      <c r="L922" s="115"/>
      <c r="M922" s="115"/>
      <c r="N922" s="115"/>
      <c r="O922" s="115"/>
      <c r="P922" s="9"/>
      <c r="Q922" s="9"/>
      <c r="R922" s="9"/>
      <c r="S922" s="9"/>
      <c r="T922" s="9"/>
      <c r="U922" s="9"/>
      <c r="V922" s="9"/>
      <c r="W922" s="10"/>
      <c r="X922" s="10"/>
      <c r="Y922" s="10"/>
      <c r="Z922" s="10"/>
    </row>
    <row r="923">
      <c r="A923" s="9"/>
      <c r="B923" s="9"/>
      <c r="C923" s="9"/>
      <c r="D923" s="9"/>
      <c r="E923" s="9"/>
      <c r="F923" s="9"/>
      <c r="G923" s="9"/>
      <c r="H923" s="9"/>
      <c r="I923" s="9"/>
      <c r="J923" s="9"/>
      <c r="K923" s="9"/>
      <c r="L923" s="115"/>
      <c r="M923" s="115"/>
      <c r="N923" s="115"/>
      <c r="O923" s="115"/>
      <c r="P923" s="9"/>
      <c r="Q923" s="9"/>
      <c r="R923" s="9"/>
      <c r="S923" s="9"/>
      <c r="T923" s="9"/>
      <c r="U923" s="9"/>
      <c r="V923" s="9"/>
      <c r="W923" s="10"/>
      <c r="X923" s="10"/>
      <c r="Y923" s="10"/>
      <c r="Z923" s="10"/>
    </row>
    <row r="924">
      <c r="A924" s="9"/>
      <c r="B924" s="9"/>
      <c r="C924" s="9"/>
      <c r="D924" s="9"/>
      <c r="E924" s="9"/>
      <c r="F924" s="9"/>
      <c r="G924" s="9"/>
      <c r="H924" s="9"/>
      <c r="I924" s="9"/>
      <c r="J924" s="9"/>
      <c r="K924" s="9"/>
      <c r="L924" s="115"/>
      <c r="M924" s="115"/>
      <c r="N924" s="115"/>
      <c r="O924" s="115"/>
      <c r="P924" s="9"/>
      <c r="Q924" s="9"/>
      <c r="R924" s="9"/>
      <c r="S924" s="9"/>
      <c r="T924" s="9"/>
      <c r="U924" s="9"/>
      <c r="V924" s="9"/>
      <c r="W924" s="10"/>
      <c r="X924" s="10"/>
      <c r="Y924" s="10"/>
      <c r="Z924" s="10"/>
    </row>
    <row r="925">
      <c r="A925" s="9"/>
      <c r="B925" s="9"/>
      <c r="C925" s="9"/>
      <c r="D925" s="9"/>
      <c r="E925" s="9"/>
      <c r="F925" s="9"/>
      <c r="G925" s="9"/>
      <c r="H925" s="9"/>
      <c r="I925" s="9"/>
      <c r="J925" s="9"/>
      <c r="K925" s="9"/>
      <c r="L925" s="115"/>
      <c r="M925" s="115"/>
      <c r="N925" s="115"/>
      <c r="O925" s="115"/>
      <c r="P925" s="9"/>
      <c r="Q925" s="9"/>
      <c r="R925" s="9"/>
      <c r="S925" s="9"/>
      <c r="T925" s="9"/>
      <c r="U925" s="9"/>
      <c r="V925" s="9"/>
      <c r="W925" s="10"/>
      <c r="X925" s="10"/>
      <c r="Y925" s="10"/>
      <c r="Z925" s="10"/>
    </row>
    <row r="926">
      <c r="A926" s="9"/>
      <c r="B926" s="9"/>
      <c r="C926" s="9"/>
      <c r="D926" s="9"/>
      <c r="E926" s="9"/>
      <c r="F926" s="9"/>
      <c r="G926" s="9"/>
      <c r="H926" s="9"/>
      <c r="I926" s="9"/>
      <c r="J926" s="9"/>
      <c r="K926" s="9"/>
      <c r="L926" s="115"/>
      <c r="M926" s="115"/>
      <c r="N926" s="115"/>
      <c r="O926" s="115"/>
      <c r="P926" s="9"/>
      <c r="Q926" s="9"/>
      <c r="R926" s="9"/>
      <c r="S926" s="9"/>
      <c r="T926" s="9"/>
      <c r="U926" s="9"/>
      <c r="V926" s="9"/>
      <c r="W926" s="10"/>
      <c r="X926" s="10"/>
      <c r="Y926" s="10"/>
      <c r="Z926" s="10"/>
    </row>
    <row r="927">
      <c r="A927" s="9"/>
      <c r="B927" s="9"/>
      <c r="C927" s="9"/>
      <c r="D927" s="9"/>
      <c r="E927" s="9"/>
      <c r="F927" s="9"/>
      <c r="G927" s="9"/>
      <c r="H927" s="9"/>
      <c r="I927" s="9"/>
      <c r="J927" s="9"/>
      <c r="K927" s="9"/>
      <c r="L927" s="115"/>
      <c r="M927" s="115"/>
      <c r="N927" s="115"/>
      <c r="O927" s="115"/>
      <c r="P927" s="9"/>
      <c r="Q927" s="9"/>
      <c r="R927" s="9"/>
      <c r="S927" s="9"/>
      <c r="T927" s="9"/>
      <c r="U927" s="9"/>
      <c r="V927" s="9"/>
      <c r="W927" s="10"/>
      <c r="X927" s="10"/>
      <c r="Y927" s="10"/>
      <c r="Z927" s="10"/>
    </row>
    <row r="928">
      <c r="A928" s="9"/>
      <c r="B928" s="9"/>
      <c r="C928" s="9"/>
      <c r="D928" s="9"/>
      <c r="E928" s="9"/>
      <c r="F928" s="9"/>
      <c r="G928" s="9"/>
      <c r="H928" s="9"/>
      <c r="I928" s="9"/>
      <c r="J928" s="9"/>
      <c r="K928" s="9"/>
      <c r="L928" s="115"/>
      <c r="M928" s="115"/>
      <c r="N928" s="115"/>
      <c r="O928" s="115"/>
      <c r="P928" s="9"/>
      <c r="Q928" s="9"/>
      <c r="R928" s="9"/>
      <c r="S928" s="9"/>
      <c r="T928" s="9"/>
      <c r="U928" s="9"/>
      <c r="V928" s="9"/>
      <c r="W928" s="10"/>
      <c r="X928" s="10"/>
      <c r="Y928" s="10"/>
      <c r="Z928" s="10"/>
    </row>
    <row r="929">
      <c r="A929" s="9"/>
      <c r="B929" s="9"/>
      <c r="C929" s="9"/>
      <c r="D929" s="9"/>
      <c r="E929" s="9"/>
      <c r="F929" s="9"/>
      <c r="G929" s="9"/>
      <c r="H929" s="9"/>
      <c r="I929" s="9"/>
      <c r="J929" s="9"/>
      <c r="K929" s="9"/>
      <c r="L929" s="115"/>
      <c r="M929" s="115"/>
      <c r="N929" s="115"/>
      <c r="O929" s="115"/>
      <c r="P929" s="9"/>
      <c r="Q929" s="9"/>
      <c r="R929" s="9"/>
      <c r="S929" s="9"/>
      <c r="T929" s="9"/>
      <c r="U929" s="9"/>
      <c r="V929" s="9"/>
      <c r="W929" s="10"/>
      <c r="X929" s="10"/>
      <c r="Y929" s="10"/>
      <c r="Z929" s="10"/>
    </row>
    <row r="930">
      <c r="A930" s="9"/>
      <c r="B930" s="9"/>
      <c r="C930" s="9"/>
      <c r="D930" s="9"/>
      <c r="E930" s="9"/>
      <c r="F930" s="9"/>
      <c r="G930" s="9"/>
      <c r="H930" s="9"/>
      <c r="I930" s="9"/>
      <c r="J930" s="9"/>
      <c r="K930" s="9"/>
      <c r="L930" s="115"/>
      <c r="M930" s="115"/>
      <c r="N930" s="115"/>
      <c r="O930" s="115"/>
      <c r="P930" s="9"/>
      <c r="Q930" s="9"/>
      <c r="R930" s="9"/>
      <c r="S930" s="9"/>
      <c r="T930" s="9"/>
      <c r="U930" s="9"/>
      <c r="V930" s="9"/>
      <c r="W930" s="10"/>
      <c r="X930" s="10"/>
      <c r="Y930" s="10"/>
      <c r="Z930" s="10"/>
    </row>
    <row r="931">
      <c r="A931" s="9"/>
      <c r="B931" s="9"/>
      <c r="C931" s="9"/>
      <c r="D931" s="9"/>
      <c r="E931" s="9"/>
      <c r="F931" s="9"/>
      <c r="G931" s="9"/>
      <c r="H931" s="9"/>
      <c r="I931" s="9"/>
      <c r="J931" s="9"/>
      <c r="K931" s="9"/>
      <c r="L931" s="115"/>
      <c r="M931" s="115"/>
      <c r="N931" s="115"/>
      <c r="O931" s="115"/>
      <c r="P931" s="9"/>
      <c r="Q931" s="9"/>
      <c r="R931" s="9"/>
      <c r="S931" s="9"/>
      <c r="T931" s="9"/>
      <c r="U931" s="9"/>
      <c r="V931" s="9"/>
      <c r="W931" s="10"/>
      <c r="X931" s="10"/>
      <c r="Y931" s="10"/>
      <c r="Z931" s="10"/>
    </row>
    <row r="932">
      <c r="A932" s="9"/>
      <c r="B932" s="9"/>
      <c r="C932" s="9"/>
      <c r="D932" s="9"/>
      <c r="E932" s="9"/>
      <c r="F932" s="9"/>
      <c r="G932" s="9"/>
      <c r="H932" s="9"/>
      <c r="I932" s="9"/>
      <c r="J932" s="9"/>
      <c r="K932" s="9"/>
      <c r="L932" s="115"/>
      <c r="M932" s="115"/>
      <c r="N932" s="115"/>
      <c r="O932" s="115"/>
      <c r="P932" s="9"/>
      <c r="Q932" s="9"/>
      <c r="R932" s="9"/>
      <c r="S932" s="9"/>
      <c r="T932" s="9"/>
      <c r="U932" s="9"/>
      <c r="V932" s="9"/>
      <c r="W932" s="10"/>
      <c r="X932" s="10"/>
      <c r="Y932" s="10"/>
      <c r="Z932" s="10"/>
    </row>
    <row r="933">
      <c r="A933" s="9"/>
      <c r="B933" s="9"/>
      <c r="C933" s="9"/>
      <c r="D933" s="9"/>
      <c r="E933" s="9"/>
      <c r="F933" s="9"/>
      <c r="G933" s="9"/>
      <c r="H933" s="9"/>
      <c r="I933" s="9"/>
      <c r="J933" s="9"/>
      <c r="K933" s="9"/>
      <c r="L933" s="115"/>
      <c r="M933" s="115"/>
      <c r="N933" s="115"/>
      <c r="O933" s="115"/>
      <c r="P933" s="9"/>
      <c r="Q933" s="9"/>
      <c r="R933" s="9"/>
      <c r="S933" s="9"/>
      <c r="T933" s="9"/>
      <c r="U933" s="9"/>
      <c r="V933" s="9"/>
      <c r="W933" s="10"/>
      <c r="X933" s="10"/>
      <c r="Y933" s="10"/>
      <c r="Z933" s="10"/>
    </row>
    <row r="934">
      <c r="A934" s="9"/>
      <c r="B934" s="9"/>
      <c r="C934" s="9"/>
      <c r="D934" s="9"/>
      <c r="E934" s="9"/>
      <c r="F934" s="9"/>
      <c r="G934" s="9"/>
      <c r="H934" s="9"/>
      <c r="I934" s="9"/>
      <c r="J934" s="9"/>
      <c r="K934" s="9"/>
      <c r="L934" s="115"/>
      <c r="M934" s="115"/>
      <c r="N934" s="115"/>
      <c r="O934" s="115"/>
      <c r="P934" s="9"/>
      <c r="Q934" s="9"/>
      <c r="R934" s="9"/>
      <c r="S934" s="9"/>
      <c r="T934" s="9"/>
      <c r="U934" s="9"/>
      <c r="V934" s="9"/>
      <c r="W934" s="10"/>
      <c r="X934" s="10"/>
      <c r="Y934" s="10"/>
      <c r="Z934" s="10"/>
    </row>
    <row r="935">
      <c r="A935" s="9"/>
      <c r="B935" s="9"/>
      <c r="C935" s="9"/>
      <c r="D935" s="9"/>
      <c r="E935" s="9"/>
      <c r="F935" s="9"/>
      <c r="G935" s="9"/>
      <c r="H935" s="9"/>
      <c r="I935" s="9"/>
      <c r="J935" s="9"/>
      <c r="K935" s="9"/>
      <c r="L935" s="115"/>
      <c r="M935" s="115"/>
      <c r="N935" s="115"/>
      <c r="O935" s="115"/>
      <c r="P935" s="9"/>
      <c r="Q935" s="9"/>
      <c r="R935" s="9"/>
      <c r="S935" s="9"/>
      <c r="T935" s="9"/>
      <c r="U935" s="9"/>
      <c r="V935" s="9"/>
      <c r="W935" s="10"/>
      <c r="X935" s="10"/>
      <c r="Y935" s="10"/>
      <c r="Z935" s="10"/>
    </row>
    <row r="936">
      <c r="A936" s="9"/>
      <c r="B936" s="9"/>
      <c r="C936" s="9"/>
      <c r="D936" s="9"/>
      <c r="E936" s="9"/>
      <c r="F936" s="9"/>
      <c r="G936" s="9"/>
      <c r="H936" s="9"/>
      <c r="I936" s="9"/>
      <c r="J936" s="9"/>
      <c r="K936" s="9"/>
      <c r="L936" s="115"/>
      <c r="M936" s="115"/>
      <c r="N936" s="115"/>
      <c r="O936" s="115"/>
      <c r="P936" s="9"/>
      <c r="Q936" s="9"/>
      <c r="R936" s="9"/>
      <c r="S936" s="9"/>
      <c r="T936" s="9"/>
      <c r="U936" s="9"/>
      <c r="V936" s="9"/>
      <c r="W936" s="10"/>
      <c r="X936" s="10"/>
      <c r="Y936" s="10"/>
      <c r="Z936" s="10"/>
    </row>
    <row r="937">
      <c r="A937" s="9"/>
      <c r="B937" s="9"/>
      <c r="C937" s="9"/>
      <c r="D937" s="9"/>
      <c r="E937" s="9"/>
      <c r="F937" s="9"/>
      <c r="G937" s="9"/>
      <c r="H937" s="9"/>
      <c r="I937" s="9"/>
      <c r="J937" s="9"/>
      <c r="K937" s="9"/>
      <c r="L937" s="115"/>
      <c r="M937" s="115"/>
      <c r="N937" s="115"/>
      <c r="O937" s="115"/>
      <c r="P937" s="9"/>
      <c r="Q937" s="9"/>
      <c r="R937" s="9"/>
      <c r="S937" s="9"/>
      <c r="T937" s="9"/>
      <c r="U937" s="9"/>
      <c r="V937" s="9"/>
      <c r="W937" s="10"/>
      <c r="X937" s="10"/>
      <c r="Y937" s="10"/>
      <c r="Z937" s="10"/>
    </row>
    <row r="938">
      <c r="A938" s="9"/>
      <c r="B938" s="9"/>
      <c r="C938" s="9"/>
      <c r="D938" s="9"/>
      <c r="E938" s="9"/>
      <c r="F938" s="9"/>
      <c r="G938" s="9"/>
      <c r="H938" s="9"/>
      <c r="I938" s="9"/>
      <c r="J938" s="9"/>
      <c r="K938" s="9"/>
      <c r="L938" s="115"/>
      <c r="M938" s="115"/>
      <c r="N938" s="115"/>
      <c r="O938" s="115"/>
      <c r="P938" s="9"/>
      <c r="Q938" s="9"/>
      <c r="R938" s="9"/>
      <c r="S938" s="9"/>
      <c r="T938" s="9"/>
      <c r="U938" s="9"/>
      <c r="V938" s="9"/>
      <c r="W938" s="10"/>
      <c r="X938" s="10"/>
      <c r="Y938" s="10"/>
      <c r="Z938" s="10"/>
    </row>
    <row r="939">
      <c r="A939" s="9"/>
      <c r="B939" s="9"/>
      <c r="C939" s="9"/>
      <c r="D939" s="9"/>
      <c r="E939" s="9"/>
      <c r="F939" s="9"/>
      <c r="G939" s="9"/>
      <c r="H939" s="9"/>
      <c r="I939" s="9"/>
      <c r="J939" s="9"/>
      <c r="K939" s="9"/>
      <c r="L939" s="115"/>
      <c r="M939" s="115"/>
      <c r="N939" s="115"/>
      <c r="O939" s="115"/>
      <c r="P939" s="9"/>
      <c r="Q939" s="9"/>
      <c r="R939" s="9"/>
      <c r="S939" s="9"/>
      <c r="T939" s="9"/>
      <c r="U939" s="9"/>
      <c r="V939" s="9"/>
      <c r="W939" s="10"/>
      <c r="X939" s="10"/>
      <c r="Y939" s="10"/>
      <c r="Z939" s="10"/>
    </row>
    <row r="940">
      <c r="A940" s="9"/>
      <c r="B940" s="9"/>
      <c r="C940" s="9"/>
      <c r="D940" s="9"/>
      <c r="E940" s="9"/>
      <c r="F940" s="9"/>
      <c r="G940" s="9"/>
      <c r="H940" s="9"/>
      <c r="I940" s="9"/>
      <c r="J940" s="9"/>
      <c r="K940" s="9"/>
      <c r="L940" s="115"/>
      <c r="M940" s="115"/>
      <c r="N940" s="115"/>
      <c r="O940" s="115"/>
      <c r="P940" s="9"/>
      <c r="Q940" s="9"/>
      <c r="R940" s="9"/>
      <c r="S940" s="9"/>
      <c r="T940" s="9"/>
      <c r="U940" s="9"/>
      <c r="V940" s="9"/>
      <c r="W940" s="10"/>
      <c r="X940" s="10"/>
      <c r="Y940" s="10"/>
      <c r="Z940" s="10"/>
    </row>
    <row r="941">
      <c r="A941" s="9"/>
      <c r="B941" s="9"/>
      <c r="C941" s="9"/>
      <c r="D941" s="9"/>
      <c r="E941" s="9"/>
      <c r="F941" s="9"/>
      <c r="G941" s="9"/>
      <c r="H941" s="9"/>
      <c r="I941" s="9"/>
      <c r="J941" s="9"/>
      <c r="K941" s="9"/>
      <c r="L941" s="115"/>
      <c r="M941" s="115"/>
      <c r="N941" s="115"/>
      <c r="O941" s="115"/>
      <c r="P941" s="9"/>
      <c r="Q941" s="9"/>
      <c r="R941" s="9"/>
      <c r="S941" s="9"/>
      <c r="T941" s="9"/>
      <c r="U941" s="9"/>
      <c r="V941" s="9"/>
      <c r="W941" s="10"/>
      <c r="X941" s="10"/>
      <c r="Y941" s="10"/>
      <c r="Z941" s="10"/>
    </row>
    <row r="942">
      <c r="A942" s="9"/>
      <c r="B942" s="9"/>
      <c r="C942" s="9"/>
      <c r="D942" s="9"/>
      <c r="E942" s="9"/>
      <c r="F942" s="9"/>
      <c r="G942" s="9"/>
      <c r="H942" s="9"/>
      <c r="I942" s="9"/>
      <c r="J942" s="9"/>
      <c r="K942" s="9"/>
      <c r="L942" s="115"/>
      <c r="M942" s="115"/>
      <c r="N942" s="115"/>
      <c r="O942" s="115"/>
      <c r="P942" s="9"/>
      <c r="Q942" s="9"/>
      <c r="R942" s="9"/>
      <c r="S942" s="9"/>
      <c r="T942" s="9"/>
      <c r="U942" s="9"/>
      <c r="V942" s="9"/>
      <c r="W942" s="10"/>
      <c r="X942" s="10"/>
      <c r="Y942" s="10"/>
      <c r="Z942" s="10"/>
    </row>
    <row r="943">
      <c r="A943" s="9"/>
      <c r="B943" s="9"/>
      <c r="C943" s="9"/>
      <c r="D943" s="9"/>
      <c r="E943" s="9"/>
      <c r="F943" s="9"/>
      <c r="G943" s="9"/>
      <c r="H943" s="9"/>
      <c r="I943" s="9"/>
      <c r="J943" s="9"/>
      <c r="K943" s="9"/>
      <c r="L943" s="115"/>
      <c r="M943" s="115"/>
      <c r="N943" s="115"/>
      <c r="O943" s="115"/>
      <c r="P943" s="9"/>
      <c r="Q943" s="9"/>
      <c r="R943" s="9"/>
      <c r="S943" s="9"/>
      <c r="T943" s="9"/>
      <c r="U943" s="9"/>
      <c r="V943" s="9"/>
      <c r="W943" s="10"/>
      <c r="X943" s="10"/>
      <c r="Y943" s="10"/>
      <c r="Z943" s="10"/>
    </row>
    <row r="944">
      <c r="A944" s="9"/>
      <c r="B944" s="9"/>
      <c r="C944" s="9"/>
      <c r="D944" s="9"/>
      <c r="E944" s="9"/>
      <c r="F944" s="9"/>
      <c r="G944" s="9"/>
      <c r="H944" s="9"/>
      <c r="I944" s="9"/>
      <c r="J944" s="9"/>
      <c r="K944" s="9"/>
      <c r="L944" s="115"/>
      <c r="M944" s="115"/>
      <c r="N944" s="115"/>
      <c r="O944" s="115"/>
      <c r="P944" s="9"/>
      <c r="Q944" s="9"/>
      <c r="R944" s="9"/>
      <c r="S944" s="9"/>
      <c r="T944" s="9"/>
      <c r="U944" s="9"/>
      <c r="V944" s="9"/>
      <c r="W944" s="10"/>
      <c r="X944" s="10"/>
      <c r="Y944" s="10"/>
      <c r="Z944" s="10"/>
    </row>
    <row r="945">
      <c r="A945" s="9"/>
      <c r="B945" s="9"/>
      <c r="C945" s="9"/>
      <c r="D945" s="9"/>
      <c r="E945" s="9"/>
      <c r="F945" s="9"/>
      <c r="G945" s="9"/>
      <c r="H945" s="9"/>
      <c r="I945" s="9"/>
      <c r="J945" s="9"/>
      <c r="K945" s="9"/>
      <c r="L945" s="115"/>
      <c r="M945" s="115"/>
      <c r="N945" s="115"/>
      <c r="O945" s="115"/>
      <c r="P945" s="9"/>
      <c r="Q945" s="9"/>
      <c r="R945" s="9"/>
      <c r="S945" s="9"/>
      <c r="T945" s="9"/>
      <c r="U945" s="9"/>
      <c r="V945" s="9"/>
      <c r="W945" s="10"/>
      <c r="X945" s="10"/>
      <c r="Y945" s="10"/>
      <c r="Z945" s="10"/>
    </row>
    <row r="946">
      <c r="A946" s="9"/>
      <c r="B946" s="9"/>
      <c r="C946" s="9"/>
      <c r="D946" s="9"/>
      <c r="E946" s="9"/>
      <c r="F946" s="9"/>
      <c r="G946" s="9"/>
      <c r="H946" s="9"/>
      <c r="I946" s="9"/>
      <c r="J946" s="9"/>
      <c r="K946" s="9"/>
      <c r="L946" s="115"/>
      <c r="M946" s="115"/>
      <c r="N946" s="115"/>
      <c r="O946" s="115"/>
      <c r="P946" s="9"/>
      <c r="Q946" s="9"/>
      <c r="R946" s="9"/>
      <c r="S946" s="9"/>
      <c r="T946" s="9"/>
      <c r="U946" s="9"/>
      <c r="V946" s="9"/>
      <c r="W946" s="10"/>
      <c r="X946" s="10"/>
      <c r="Y946" s="10"/>
      <c r="Z946" s="10"/>
    </row>
    <row r="947">
      <c r="A947" s="9"/>
      <c r="B947" s="9"/>
      <c r="C947" s="9"/>
      <c r="D947" s="9"/>
      <c r="E947" s="9"/>
      <c r="F947" s="9"/>
      <c r="G947" s="9"/>
      <c r="H947" s="9"/>
      <c r="I947" s="9"/>
      <c r="J947" s="9"/>
      <c r="K947" s="9"/>
      <c r="L947" s="115"/>
      <c r="M947" s="115"/>
      <c r="N947" s="115"/>
      <c r="O947" s="115"/>
      <c r="P947" s="9"/>
      <c r="Q947" s="9"/>
      <c r="R947" s="9"/>
      <c r="S947" s="9"/>
      <c r="T947" s="9"/>
      <c r="U947" s="9"/>
      <c r="V947" s="9"/>
      <c r="W947" s="10"/>
      <c r="X947" s="10"/>
      <c r="Y947" s="10"/>
      <c r="Z947" s="10"/>
    </row>
    <row r="948">
      <c r="A948" s="9"/>
      <c r="B948" s="9"/>
      <c r="C948" s="9"/>
      <c r="D948" s="9"/>
      <c r="E948" s="9"/>
      <c r="F948" s="9"/>
      <c r="G948" s="9"/>
      <c r="H948" s="9"/>
      <c r="I948" s="9"/>
      <c r="J948" s="9"/>
      <c r="K948" s="9"/>
      <c r="L948" s="115"/>
      <c r="M948" s="115"/>
      <c r="N948" s="115"/>
      <c r="O948" s="115"/>
      <c r="P948" s="9"/>
      <c r="Q948" s="9"/>
      <c r="R948" s="9"/>
      <c r="S948" s="9"/>
      <c r="T948" s="9"/>
      <c r="U948" s="9"/>
      <c r="V948" s="9"/>
      <c r="W948" s="10"/>
      <c r="X948" s="10"/>
      <c r="Y948" s="10"/>
      <c r="Z948" s="10"/>
    </row>
    <row r="949">
      <c r="A949" s="9"/>
      <c r="B949" s="9"/>
      <c r="C949" s="9"/>
      <c r="D949" s="9"/>
      <c r="E949" s="9"/>
      <c r="F949" s="9"/>
      <c r="G949" s="9"/>
      <c r="H949" s="9"/>
      <c r="I949" s="9"/>
      <c r="J949" s="9"/>
      <c r="K949" s="9"/>
      <c r="L949" s="115"/>
      <c r="M949" s="115"/>
      <c r="N949" s="115"/>
      <c r="O949" s="115"/>
      <c r="P949" s="9"/>
      <c r="Q949" s="9"/>
      <c r="R949" s="9"/>
      <c r="S949" s="9"/>
      <c r="T949" s="9"/>
      <c r="U949" s="9"/>
      <c r="V949" s="9"/>
      <c r="W949" s="10"/>
      <c r="X949" s="10"/>
      <c r="Y949" s="10"/>
      <c r="Z949" s="10"/>
    </row>
    <row r="950">
      <c r="A950" s="9"/>
      <c r="B950" s="9"/>
      <c r="C950" s="9"/>
      <c r="D950" s="9"/>
      <c r="E950" s="9"/>
      <c r="F950" s="9"/>
      <c r="G950" s="9"/>
      <c r="H950" s="9"/>
      <c r="I950" s="9"/>
      <c r="J950" s="9"/>
      <c r="K950" s="9"/>
      <c r="L950" s="115"/>
      <c r="M950" s="115"/>
      <c r="N950" s="115"/>
      <c r="O950" s="115"/>
      <c r="P950" s="9"/>
      <c r="Q950" s="9"/>
      <c r="R950" s="9"/>
      <c r="S950" s="9"/>
      <c r="T950" s="9"/>
      <c r="U950" s="9"/>
      <c r="V950" s="9"/>
      <c r="W950" s="10"/>
      <c r="X950" s="10"/>
      <c r="Y950" s="10"/>
      <c r="Z950" s="10"/>
    </row>
    <row r="951">
      <c r="A951" s="9"/>
      <c r="B951" s="9"/>
      <c r="C951" s="9"/>
      <c r="D951" s="9"/>
      <c r="E951" s="9"/>
      <c r="F951" s="9"/>
      <c r="G951" s="9"/>
      <c r="H951" s="9"/>
      <c r="I951" s="9"/>
      <c r="J951" s="9"/>
      <c r="K951" s="9"/>
      <c r="L951" s="115"/>
      <c r="M951" s="115"/>
      <c r="N951" s="115"/>
      <c r="O951" s="115"/>
      <c r="P951" s="9"/>
      <c r="Q951" s="9"/>
      <c r="R951" s="9"/>
      <c r="S951" s="9"/>
      <c r="T951" s="9"/>
      <c r="U951" s="9"/>
      <c r="V951" s="9"/>
      <c r="W951" s="10"/>
      <c r="X951" s="10"/>
      <c r="Y951" s="10"/>
      <c r="Z951" s="10"/>
    </row>
    <row r="952">
      <c r="A952" s="9"/>
      <c r="B952" s="9"/>
      <c r="C952" s="9"/>
      <c r="D952" s="9"/>
      <c r="E952" s="9"/>
      <c r="F952" s="9"/>
      <c r="G952" s="9"/>
      <c r="H952" s="9"/>
      <c r="I952" s="9"/>
      <c r="J952" s="9"/>
      <c r="K952" s="9"/>
      <c r="L952" s="115"/>
      <c r="M952" s="115"/>
      <c r="N952" s="115"/>
      <c r="O952" s="115"/>
      <c r="P952" s="9"/>
      <c r="Q952" s="9"/>
      <c r="R952" s="9"/>
      <c r="S952" s="9"/>
      <c r="T952" s="9"/>
      <c r="U952" s="9"/>
      <c r="V952" s="9"/>
      <c r="W952" s="10"/>
      <c r="X952" s="10"/>
      <c r="Y952" s="10"/>
      <c r="Z952" s="10"/>
    </row>
    <row r="953">
      <c r="A953" s="9"/>
      <c r="B953" s="9"/>
      <c r="C953" s="9"/>
      <c r="D953" s="9"/>
      <c r="E953" s="9"/>
      <c r="F953" s="9"/>
      <c r="G953" s="9"/>
      <c r="H953" s="9"/>
      <c r="I953" s="9"/>
      <c r="J953" s="9"/>
      <c r="K953" s="9"/>
      <c r="L953" s="115"/>
      <c r="M953" s="115"/>
      <c r="N953" s="115"/>
      <c r="O953" s="115"/>
      <c r="P953" s="9"/>
      <c r="Q953" s="9"/>
      <c r="R953" s="9"/>
      <c r="S953" s="9"/>
      <c r="T953" s="9"/>
      <c r="U953" s="9"/>
      <c r="V953" s="9"/>
      <c r="W953" s="10"/>
      <c r="X953" s="10"/>
      <c r="Y953" s="10"/>
      <c r="Z953" s="10"/>
    </row>
    <row r="954">
      <c r="A954" s="9"/>
      <c r="B954" s="9"/>
      <c r="C954" s="9"/>
      <c r="D954" s="9"/>
      <c r="E954" s="9"/>
      <c r="F954" s="9"/>
      <c r="G954" s="9"/>
      <c r="H954" s="9"/>
      <c r="I954" s="9"/>
      <c r="J954" s="9"/>
      <c r="K954" s="9"/>
      <c r="L954" s="115"/>
      <c r="M954" s="115"/>
      <c r="N954" s="115"/>
      <c r="O954" s="115"/>
      <c r="P954" s="9"/>
      <c r="Q954" s="9"/>
      <c r="R954" s="9"/>
      <c r="S954" s="9"/>
      <c r="T954" s="9"/>
      <c r="U954" s="9"/>
      <c r="V954" s="9"/>
      <c r="W954" s="10"/>
      <c r="X954" s="10"/>
      <c r="Y954" s="10"/>
      <c r="Z954" s="10"/>
    </row>
    <row r="955">
      <c r="A955" s="9"/>
      <c r="B955" s="9"/>
      <c r="C955" s="9"/>
      <c r="D955" s="9"/>
      <c r="E955" s="9"/>
      <c r="F955" s="9"/>
      <c r="G955" s="9"/>
      <c r="H955" s="9"/>
      <c r="I955" s="9"/>
      <c r="J955" s="9"/>
      <c r="K955" s="9"/>
      <c r="L955" s="115"/>
      <c r="M955" s="115"/>
      <c r="N955" s="115"/>
      <c r="O955" s="115"/>
      <c r="P955" s="9"/>
      <c r="Q955" s="9"/>
      <c r="R955" s="9"/>
      <c r="S955" s="9"/>
      <c r="T955" s="9"/>
      <c r="U955" s="9"/>
      <c r="V955" s="9"/>
      <c r="W955" s="10"/>
      <c r="X955" s="10"/>
      <c r="Y955" s="10"/>
      <c r="Z955" s="10"/>
    </row>
    <row r="956">
      <c r="A956" s="9"/>
      <c r="B956" s="9"/>
      <c r="C956" s="9"/>
      <c r="D956" s="9"/>
      <c r="E956" s="9"/>
      <c r="F956" s="9"/>
      <c r="G956" s="9"/>
      <c r="H956" s="9"/>
      <c r="I956" s="9"/>
      <c r="J956" s="9"/>
      <c r="K956" s="9"/>
      <c r="L956" s="115"/>
      <c r="M956" s="115"/>
      <c r="N956" s="115"/>
      <c r="O956" s="115"/>
      <c r="P956" s="9"/>
      <c r="Q956" s="9"/>
      <c r="R956" s="9"/>
      <c r="S956" s="9"/>
      <c r="T956" s="9"/>
      <c r="U956" s="9"/>
      <c r="V956" s="9"/>
      <c r="W956" s="10"/>
      <c r="X956" s="10"/>
      <c r="Y956" s="10"/>
      <c r="Z956" s="10"/>
    </row>
    <row r="957">
      <c r="A957" s="9"/>
      <c r="B957" s="9"/>
      <c r="C957" s="9"/>
      <c r="D957" s="9"/>
      <c r="E957" s="9"/>
      <c r="F957" s="9"/>
      <c r="G957" s="9"/>
      <c r="H957" s="9"/>
      <c r="I957" s="9"/>
      <c r="J957" s="9"/>
      <c r="K957" s="9"/>
      <c r="L957" s="115"/>
      <c r="M957" s="115"/>
      <c r="N957" s="115"/>
      <c r="O957" s="115"/>
      <c r="P957" s="9"/>
      <c r="Q957" s="9"/>
      <c r="R957" s="9"/>
      <c r="S957" s="9"/>
      <c r="T957" s="9"/>
      <c r="U957" s="9"/>
      <c r="V957" s="9"/>
      <c r="W957" s="10"/>
      <c r="X957" s="10"/>
      <c r="Y957" s="10"/>
      <c r="Z957" s="10"/>
    </row>
    <row r="958">
      <c r="A958" s="9"/>
      <c r="B958" s="9"/>
      <c r="C958" s="9"/>
      <c r="D958" s="9"/>
      <c r="E958" s="9"/>
      <c r="F958" s="9"/>
      <c r="G958" s="9"/>
      <c r="H958" s="9"/>
      <c r="I958" s="9"/>
      <c r="J958" s="9"/>
      <c r="K958" s="9"/>
      <c r="L958" s="115"/>
      <c r="M958" s="115"/>
      <c r="N958" s="115"/>
      <c r="O958" s="115"/>
      <c r="P958" s="9"/>
      <c r="Q958" s="9"/>
      <c r="R958" s="9"/>
      <c r="S958" s="9"/>
      <c r="T958" s="9"/>
      <c r="U958" s="9"/>
      <c r="V958" s="9"/>
      <c r="W958" s="10"/>
      <c r="X958" s="10"/>
      <c r="Y958" s="10"/>
      <c r="Z958" s="10"/>
    </row>
    <row r="959">
      <c r="A959" s="9"/>
      <c r="B959" s="9"/>
      <c r="C959" s="9"/>
      <c r="D959" s="9"/>
      <c r="E959" s="9"/>
      <c r="F959" s="9"/>
      <c r="G959" s="9"/>
      <c r="H959" s="9"/>
      <c r="I959" s="9"/>
      <c r="J959" s="9"/>
      <c r="K959" s="9"/>
      <c r="L959" s="115"/>
      <c r="M959" s="115"/>
      <c r="N959" s="115"/>
      <c r="O959" s="115"/>
      <c r="P959" s="9"/>
      <c r="Q959" s="9"/>
      <c r="R959" s="9"/>
      <c r="S959" s="9"/>
      <c r="T959" s="9"/>
      <c r="U959" s="9"/>
      <c r="V959" s="9"/>
      <c r="W959" s="10"/>
      <c r="X959" s="10"/>
      <c r="Y959" s="10"/>
      <c r="Z959" s="10"/>
    </row>
    <row r="960">
      <c r="A960" s="9"/>
      <c r="B960" s="9"/>
      <c r="C960" s="9"/>
      <c r="D960" s="9"/>
      <c r="E960" s="9"/>
      <c r="F960" s="9"/>
      <c r="G960" s="9"/>
      <c r="H960" s="9"/>
      <c r="I960" s="9"/>
      <c r="J960" s="9"/>
      <c r="K960" s="9"/>
      <c r="L960" s="115"/>
      <c r="M960" s="115"/>
      <c r="N960" s="115"/>
      <c r="O960" s="115"/>
      <c r="P960" s="9"/>
      <c r="Q960" s="9"/>
      <c r="R960" s="9"/>
      <c r="S960" s="9"/>
      <c r="T960" s="9"/>
      <c r="U960" s="9"/>
      <c r="V960" s="9"/>
      <c r="W960" s="10"/>
      <c r="X960" s="10"/>
      <c r="Y960" s="10"/>
      <c r="Z960" s="10"/>
    </row>
    <row r="961">
      <c r="A961" s="9"/>
      <c r="B961" s="9"/>
      <c r="C961" s="9"/>
      <c r="D961" s="9"/>
      <c r="E961" s="9"/>
      <c r="F961" s="9"/>
      <c r="G961" s="9"/>
      <c r="H961" s="9"/>
      <c r="I961" s="9"/>
      <c r="J961" s="9"/>
      <c r="K961" s="9"/>
      <c r="L961" s="115"/>
      <c r="M961" s="115"/>
      <c r="N961" s="115"/>
      <c r="O961" s="115"/>
      <c r="P961" s="9"/>
      <c r="Q961" s="9"/>
      <c r="R961" s="9"/>
      <c r="S961" s="9"/>
      <c r="T961" s="9"/>
      <c r="U961" s="9"/>
      <c r="V961" s="9"/>
      <c r="W961" s="10"/>
      <c r="X961" s="10"/>
      <c r="Y961" s="10"/>
      <c r="Z961" s="10"/>
    </row>
    <row r="962">
      <c r="A962" s="9"/>
      <c r="B962" s="9"/>
      <c r="C962" s="9"/>
      <c r="D962" s="9"/>
      <c r="E962" s="9"/>
      <c r="F962" s="9"/>
      <c r="G962" s="9"/>
      <c r="H962" s="9"/>
      <c r="I962" s="9"/>
      <c r="J962" s="9"/>
      <c r="K962" s="9"/>
      <c r="L962" s="115"/>
      <c r="M962" s="115"/>
      <c r="N962" s="115"/>
      <c r="O962" s="115"/>
      <c r="P962" s="9"/>
      <c r="Q962" s="9"/>
      <c r="R962" s="9"/>
      <c r="S962" s="9"/>
      <c r="T962" s="9"/>
      <c r="U962" s="9"/>
      <c r="V962" s="9"/>
      <c r="W962" s="10"/>
      <c r="X962" s="10"/>
      <c r="Y962" s="10"/>
      <c r="Z962" s="10"/>
    </row>
    <row r="963">
      <c r="A963" s="9"/>
      <c r="B963" s="9"/>
      <c r="C963" s="9"/>
      <c r="D963" s="9"/>
      <c r="E963" s="9"/>
      <c r="F963" s="9"/>
      <c r="G963" s="9"/>
      <c r="H963" s="9"/>
      <c r="I963" s="9"/>
      <c r="J963" s="9"/>
      <c r="K963" s="9"/>
      <c r="L963" s="115"/>
      <c r="M963" s="115"/>
      <c r="N963" s="115"/>
      <c r="O963" s="115"/>
      <c r="P963" s="9"/>
      <c r="Q963" s="9"/>
      <c r="R963" s="9"/>
      <c r="S963" s="9"/>
      <c r="T963" s="9"/>
      <c r="U963" s="9"/>
      <c r="V963" s="9"/>
      <c r="W963" s="10"/>
      <c r="X963" s="10"/>
      <c r="Y963" s="10"/>
      <c r="Z963" s="10"/>
    </row>
    <row r="964">
      <c r="A964" s="9"/>
      <c r="B964" s="9"/>
      <c r="C964" s="9"/>
      <c r="D964" s="9"/>
      <c r="E964" s="9"/>
      <c r="F964" s="9"/>
      <c r="G964" s="9"/>
      <c r="H964" s="9"/>
      <c r="I964" s="9"/>
      <c r="J964" s="9"/>
      <c r="K964" s="9"/>
      <c r="L964" s="115"/>
      <c r="M964" s="115"/>
      <c r="N964" s="115"/>
      <c r="O964" s="115"/>
      <c r="P964" s="9"/>
      <c r="Q964" s="9"/>
      <c r="R964" s="9"/>
      <c r="S964" s="9"/>
      <c r="T964" s="9"/>
      <c r="U964" s="9"/>
      <c r="V964" s="9"/>
      <c r="W964" s="10"/>
      <c r="X964" s="10"/>
      <c r="Y964" s="10"/>
      <c r="Z964" s="10"/>
    </row>
    <row r="965">
      <c r="A965" s="9"/>
      <c r="B965" s="9"/>
      <c r="C965" s="9"/>
      <c r="D965" s="9"/>
      <c r="E965" s="9"/>
      <c r="F965" s="9"/>
      <c r="G965" s="9"/>
      <c r="H965" s="9"/>
      <c r="I965" s="9"/>
      <c r="J965" s="9"/>
      <c r="K965" s="9"/>
      <c r="L965" s="115"/>
      <c r="M965" s="115"/>
      <c r="N965" s="115"/>
      <c r="O965" s="115"/>
      <c r="P965" s="9"/>
      <c r="Q965" s="9"/>
      <c r="R965" s="9"/>
      <c r="S965" s="9"/>
      <c r="T965" s="9"/>
      <c r="U965" s="9"/>
      <c r="V965" s="9"/>
      <c r="W965" s="10"/>
      <c r="X965" s="10"/>
      <c r="Y965" s="10"/>
      <c r="Z965" s="10"/>
    </row>
    <row r="966">
      <c r="A966" s="9"/>
      <c r="B966" s="9"/>
      <c r="C966" s="9"/>
      <c r="D966" s="9"/>
      <c r="E966" s="9"/>
      <c r="F966" s="9"/>
      <c r="G966" s="9"/>
      <c r="H966" s="9"/>
      <c r="I966" s="9"/>
      <c r="J966" s="9"/>
      <c r="K966" s="9"/>
      <c r="L966" s="115"/>
      <c r="M966" s="115"/>
      <c r="N966" s="115"/>
      <c r="O966" s="115"/>
      <c r="P966" s="9"/>
      <c r="Q966" s="9"/>
      <c r="R966" s="9"/>
      <c r="S966" s="9"/>
      <c r="T966" s="9"/>
      <c r="U966" s="9"/>
      <c r="V966" s="9"/>
      <c r="W966" s="10"/>
      <c r="X966" s="10"/>
      <c r="Y966" s="10"/>
      <c r="Z966" s="10"/>
    </row>
    <row r="967">
      <c r="A967" s="9"/>
      <c r="B967" s="9"/>
      <c r="C967" s="9"/>
      <c r="D967" s="9"/>
      <c r="E967" s="9"/>
      <c r="F967" s="9"/>
      <c r="G967" s="9"/>
      <c r="H967" s="9"/>
      <c r="I967" s="9"/>
      <c r="J967" s="9"/>
      <c r="K967" s="9"/>
      <c r="L967" s="115"/>
      <c r="M967" s="115"/>
      <c r="N967" s="115"/>
      <c r="O967" s="115"/>
      <c r="P967" s="9"/>
      <c r="Q967" s="9"/>
      <c r="R967" s="9"/>
      <c r="S967" s="9"/>
      <c r="T967" s="9"/>
      <c r="U967" s="9"/>
      <c r="V967" s="9"/>
      <c r="W967" s="10"/>
      <c r="X967" s="10"/>
      <c r="Y967" s="10"/>
      <c r="Z967" s="10"/>
    </row>
    <row r="968">
      <c r="A968" s="9"/>
      <c r="B968" s="9"/>
      <c r="C968" s="9"/>
      <c r="D968" s="9"/>
      <c r="E968" s="9"/>
      <c r="F968" s="9"/>
      <c r="G968" s="9"/>
      <c r="H968" s="9"/>
      <c r="I968" s="9"/>
      <c r="J968" s="9"/>
      <c r="K968" s="9"/>
      <c r="L968" s="115"/>
      <c r="M968" s="115"/>
      <c r="N968" s="115"/>
      <c r="O968" s="115"/>
      <c r="P968" s="9"/>
      <c r="Q968" s="9"/>
      <c r="R968" s="9"/>
      <c r="S968" s="9"/>
      <c r="T968" s="9"/>
      <c r="U968" s="9"/>
      <c r="V968" s="9"/>
      <c r="W968" s="10"/>
      <c r="X968" s="10"/>
      <c r="Y968" s="10"/>
      <c r="Z968" s="10"/>
    </row>
    <row r="969">
      <c r="A969" s="9"/>
      <c r="B969" s="9"/>
      <c r="C969" s="9"/>
      <c r="D969" s="9"/>
      <c r="E969" s="9"/>
      <c r="F969" s="9"/>
      <c r="G969" s="9"/>
      <c r="H969" s="9"/>
      <c r="I969" s="9"/>
      <c r="J969" s="9"/>
      <c r="K969" s="9"/>
      <c r="L969" s="115"/>
      <c r="M969" s="115"/>
      <c r="N969" s="115"/>
      <c r="O969" s="115"/>
      <c r="P969" s="9"/>
      <c r="Q969" s="9"/>
      <c r="R969" s="9"/>
      <c r="S969" s="9"/>
      <c r="T969" s="9"/>
      <c r="U969" s="9"/>
      <c r="V969" s="9"/>
      <c r="W969" s="10"/>
      <c r="X969" s="10"/>
      <c r="Y969" s="10"/>
      <c r="Z969" s="10"/>
    </row>
    <row r="970">
      <c r="A970" s="9"/>
      <c r="B970" s="9"/>
      <c r="C970" s="9"/>
      <c r="D970" s="9"/>
      <c r="E970" s="9"/>
      <c r="F970" s="9"/>
      <c r="G970" s="9"/>
      <c r="H970" s="9"/>
      <c r="I970" s="9"/>
      <c r="J970" s="9"/>
      <c r="K970" s="9"/>
      <c r="L970" s="115"/>
      <c r="M970" s="115"/>
      <c r="N970" s="115"/>
      <c r="O970" s="115"/>
      <c r="P970" s="9"/>
      <c r="Q970" s="9"/>
      <c r="R970" s="9"/>
      <c r="S970" s="9"/>
      <c r="T970" s="9"/>
      <c r="U970" s="9"/>
      <c r="V970" s="9"/>
      <c r="W970" s="10"/>
      <c r="X970" s="10"/>
      <c r="Y970" s="10"/>
      <c r="Z970" s="10"/>
    </row>
    <row r="971">
      <c r="A971" s="9"/>
      <c r="B971" s="9"/>
      <c r="C971" s="9"/>
      <c r="D971" s="9"/>
      <c r="E971" s="9"/>
      <c r="F971" s="9"/>
      <c r="G971" s="9"/>
      <c r="H971" s="9"/>
      <c r="I971" s="9"/>
      <c r="J971" s="9"/>
      <c r="K971" s="9"/>
      <c r="L971" s="115"/>
      <c r="M971" s="115"/>
      <c r="N971" s="115"/>
      <c r="O971" s="115"/>
      <c r="P971" s="9"/>
      <c r="Q971" s="9"/>
      <c r="R971" s="9"/>
      <c r="S971" s="9"/>
      <c r="T971" s="9"/>
      <c r="U971" s="9"/>
      <c r="V971" s="9"/>
      <c r="W971" s="10"/>
      <c r="X971" s="10"/>
      <c r="Y971" s="10"/>
      <c r="Z971" s="10"/>
    </row>
    <row r="972">
      <c r="A972" s="9"/>
      <c r="B972" s="9"/>
      <c r="C972" s="9"/>
      <c r="D972" s="9"/>
      <c r="E972" s="9"/>
      <c r="F972" s="9"/>
      <c r="G972" s="9"/>
      <c r="H972" s="9"/>
      <c r="I972" s="9"/>
      <c r="J972" s="9"/>
      <c r="K972" s="9"/>
      <c r="L972" s="115"/>
      <c r="M972" s="115"/>
      <c r="N972" s="115"/>
      <c r="O972" s="115"/>
      <c r="P972" s="9"/>
      <c r="Q972" s="9"/>
      <c r="R972" s="9"/>
      <c r="S972" s="9"/>
      <c r="T972" s="9"/>
      <c r="U972" s="9"/>
      <c r="V972" s="9"/>
      <c r="W972" s="10"/>
      <c r="X972" s="10"/>
      <c r="Y972" s="10"/>
      <c r="Z972" s="10"/>
    </row>
    <row r="973">
      <c r="A973" s="9"/>
      <c r="B973" s="9"/>
      <c r="C973" s="9"/>
      <c r="D973" s="9"/>
      <c r="E973" s="9"/>
      <c r="F973" s="9"/>
      <c r="G973" s="9"/>
      <c r="H973" s="9"/>
      <c r="I973" s="9"/>
      <c r="J973" s="9"/>
      <c r="K973" s="9"/>
      <c r="L973" s="115"/>
      <c r="M973" s="115"/>
      <c r="N973" s="115"/>
      <c r="O973" s="115"/>
      <c r="P973" s="9"/>
      <c r="Q973" s="9"/>
      <c r="R973" s="9"/>
      <c r="S973" s="9"/>
      <c r="T973" s="9"/>
      <c r="U973" s="9"/>
      <c r="V973" s="9"/>
      <c r="W973" s="10"/>
      <c r="X973" s="10"/>
      <c r="Y973" s="10"/>
      <c r="Z973" s="10"/>
    </row>
    <row r="974">
      <c r="A974" s="9"/>
      <c r="B974" s="9"/>
      <c r="C974" s="9"/>
      <c r="D974" s="9"/>
      <c r="E974" s="9"/>
      <c r="F974" s="9"/>
      <c r="G974" s="9"/>
      <c r="H974" s="9"/>
      <c r="I974" s="9"/>
      <c r="J974" s="9"/>
      <c r="K974" s="9"/>
      <c r="L974" s="115"/>
      <c r="M974" s="115"/>
      <c r="N974" s="115"/>
      <c r="O974" s="115"/>
      <c r="P974" s="9"/>
      <c r="Q974" s="9"/>
      <c r="R974" s="9"/>
      <c r="S974" s="9"/>
      <c r="T974" s="9"/>
      <c r="U974" s="9"/>
      <c r="V974" s="9"/>
      <c r="W974" s="10"/>
      <c r="X974" s="10"/>
      <c r="Y974" s="10"/>
      <c r="Z974" s="10"/>
    </row>
    <row r="975">
      <c r="A975" s="9"/>
      <c r="B975" s="9"/>
      <c r="C975" s="9"/>
      <c r="D975" s="9"/>
      <c r="E975" s="9"/>
      <c r="F975" s="9"/>
      <c r="G975" s="9"/>
      <c r="H975" s="9"/>
      <c r="I975" s="9"/>
      <c r="J975" s="9"/>
      <c r="K975" s="9"/>
      <c r="L975" s="115"/>
      <c r="M975" s="115"/>
      <c r="N975" s="115"/>
      <c r="O975" s="115"/>
      <c r="P975" s="9"/>
      <c r="Q975" s="9"/>
      <c r="R975" s="9"/>
      <c r="S975" s="9"/>
      <c r="T975" s="9"/>
      <c r="U975" s="9"/>
      <c r="V975" s="9"/>
      <c r="W975" s="10"/>
      <c r="X975" s="10"/>
      <c r="Y975" s="10"/>
      <c r="Z975" s="10"/>
    </row>
    <row r="976">
      <c r="A976" s="9"/>
      <c r="B976" s="9"/>
      <c r="C976" s="9"/>
      <c r="D976" s="9"/>
      <c r="E976" s="9"/>
      <c r="F976" s="9"/>
      <c r="G976" s="9"/>
      <c r="H976" s="9"/>
      <c r="I976" s="9"/>
      <c r="J976" s="9"/>
      <c r="K976" s="9"/>
      <c r="L976" s="115"/>
      <c r="M976" s="115"/>
      <c r="N976" s="115"/>
      <c r="O976" s="115"/>
      <c r="P976" s="9"/>
      <c r="Q976" s="9"/>
      <c r="R976" s="9"/>
      <c r="S976" s="9"/>
      <c r="T976" s="9"/>
      <c r="U976" s="9"/>
      <c r="V976" s="9"/>
      <c r="W976" s="10"/>
      <c r="X976" s="10"/>
      <c r="Y976" s="10"/>
      <c r="Z976" s="10"/>
    </row>
    <row r="977">
      <c r="A977" s="9"/>
      <c r="B977" s="9"/>
      <c r="C977" s="9"/>
      <c r="D977" s="9"/>
      <c r="E977" s="9"/>
      <c r="F977" s="9"/>
      <c r="G977" s="9"/>
      <c r="H977" s="9"/>
      <c r="I977" s="9"/>
      <c r="J977" s="9"/>
      <c r="K977" s="9"/>
      <c r="L977" s="115"/>
      <c r="M977" s="115"/>
      <c r="N977" s="115"/>
      <c r="O977" s="115"/>
      <c r="P977" s="9"/>
      <c r="Q977" s="9"/>
      <c r="R977" s="9"/>
      <c r="S977" s="9"/>
      <c r="T977" s="9"/>
      <c r="U977" s="9"/>
      <c r="V977" s="9"/>
      <c r="W977" s="10"/>
      <c r="X977" s="10"/>
      <c r="Y977" s="10"/>
      <c r="Z977" s="10"/>
    </row>
    <row r="978">
      <c r="A978" s="9"/>
      <c r="B978" s="9"/>
      <c r="C978" s="9"/>
      <c r="D978" s="9"/>
      <c r="E978" s="9"/>
      <c r="F978" s="9"/>
      <c r="G978" s="9"/>
      <c r="H978" s="9"/>
      <c r="I978" s="9"/>
      <c r="J978" s="9"/>
      <c r="K978" s="9"/>
      <c r="L978" s="115"/>
      <c r="M978" s="115"/>
      <c r="N978" s="115"/>
      <c r="O978" s="115"/>
      <c r="P978" s="9"/>
      <c r="Q978" s="9"/>
      <c r="R978" s="9"/>
      <c r="S978" s="9"/>
      <c r="T978" s="9"/>
      <c r="U978" s="9"/>
      <c r="V978" s="9"/>
      <c r="W978" s="10"/>
      <c r="X978" s="10"/>
      <c r="Y978" s="10"/>
      <c r="Z978" s="10"/>
    </row>
    <row r="979">
      <c r="A979" s="9"/>
      <c r="B979" s="9"/>
      <c r="C979" s="9"/>
      <c r="D979" s="9"/>
      <c r="E979" s="9"/>
      <c r="F979" s="9"/>
      <c r="G979" s="9"/>
      <c r="H979" s="9"/>
      <c r="I979" s="9"/>
      <c r="J979" s="9"/>
      <c r="K979" s="9"/>
      <c r="L979" s="115"/>
      <c r="M979" s="115"/>
      <c r="N979" s="115"/>
      <c r="O979" s="115"/>
      <c r="P979" s="9"/>
      <c r="Q979" s="9"/>
      <c r="R979" s="9"/>
      <c r="S979" s="9"/>
      <c r="T979" s="9"/>
      <c r="U979" s="9"/>
      <c r="V979" s="9"/>
      <c r="W979" s="10"/>
      <c r="X979" s="10"/>
      <c r="Y979" s="10"/>
      <c r="Z979" s="10"/>
    </row>
    <row r="980">
      <c r="A980" s="9"/>
      <c r="B980" s="9"/>
      <c r="C980" s="9"/>
      <c r="D980" s="9"/>
      <c r="E980" s="9"/>
      <c r="F980" s="9"/>
      <c r="G980" s="9"/>
      <c r="H980" s="9"/>
      <c r="I980" s="9"/>
      <c r="J980" s="9"/>
      <c r="K980" s="9"/>
      <c r="L980" s="115"/>
      <c r="M980" s="115"/>
      <c r="N980" s="115"/>
      <c r="O980" s="115"/>
      <c r="P980" s="9"/>
      <c r="Q980" s="9"/>
      <c r="R980" s="9"/>
      <c r="S980" s="9"/>
      <c r="T980" s="9"/>
      <c r="U980" s="9"/>
      <c r="V980" s="9"/>
      <c r="W980" s="10"/>
      <c r="X980" s="10"/>
      <c r="Y980" s="10"/>
      <c r="Z980" s="10"/>
    </row>
    <row r="981">
      <c r="A981" s="9"/>
      <c r="B981" s="9"/>
      <c r="C981" s="9"/>
      <c r="D981" s="9"/>
      <c r="E981" s="9"/>
      <c r="F981" s="9"/>
      <c r="G981" s="9"/>
      <c r="H981" s="9"/>
      <c r="I981" s="9"/>
      <c r="J981" s="9"/>
      <c r="K981" s="9"/>
      <c r="L981" s="115"/>
      <c r="M981" s="115"/>
      <c r="N981" s="115"/>
      <c r="O981" s="115"/>
      <c r="P981" s="9"/>
      <c r="Q981" s="9"/>
      <c r="R981" s="9"/>
      <c r="S981" s="9"/>
      <c r="T981" s="9"/>
      <c r="U981" s="9"/>
      <c r="V981" s="9"/>
      <c r="W981" s="10"/>
      <c r="X981" s="10"/>
      <c r="Y981" s="10"/>
      <c r="Z981" s="10"/>
    </row>
    <row r="982">
      <c r="A982" s="9"/>
      <c r="B982" s="9"/>
      <c r="C982" s="9"/>
      <c r="D982" s="9"/>
      <c r="E982" s="9"/>
      <c r="F982" s="9"/>
      <c r="G982" s="9"/>
      <c r="H982" s="9"/>
      <c r="I982" s="9"/>
      <c r="J982" s="9"/>
      <c r="K982" s="9"/>
      <c r="L982" s="115"/>
      <c r="M982" s="115"/>
      <c r="N982" s="115"/>
      <c r="O982" s="115"/>
      <c r="P982" s="9"/>
      <c r="Q982" s="9"/>
      <c r="R982" s="9"/>
      <c r="S982" s="9"/>
      <c r="T982" s="9"/>
      <c r="U982" s="9"/>
      <c r="V982" s="9"/>
      <c r="W982" s="10"/>
      <c r="X982" s="10"/>
      <c r="Y982" s="10"/>
      <c r="Z982" s="10"/>
    </row>
    <row r="983">
      <c r="A983" s="9"/>
      <c r="B983" s="9"/>
      <c r="C983" s="9"/>
      <c r="D983" s="9"/>
      <c r="E983" s="9"/>
      <c r="F983" s="9"/>
      <c r="G983" s="9"/>
      <c r="H983" s="9"/>
      <c r="I983" s="9"/>
      <c r="J983" s="9"/>
      <c r="K983" s="9"/>
      <c r="L983" s="115"/>
      <c r="M983" s="115"/>
      <c r="N983" s="115"/>
      <c r="O983" s="115"/>
      <c r="P983" s="9"/>
      <c r="Q983" s="9"/>
      <c r="R983" s="9"/>
      <c r="S983" s="9"/>
      <c r="T983" s="9"/>
      <c r="U983" s="9"/>
      <c r="V983" s="9"/>
      <c r="W983" s="10"/>
      <c r="X983" s="10"/>
      <c r="Y983" s="10"/>
      <c r="Z983" s="10"/>
    </row>
    <row r="984">
      <c r="A984" s="9"/>
      <c r="B984" s="9"/>
      <c r="C984" s="9"/>
      <c r="D984" s="9"/>
      <c r="E984" s="9"/>
      <c r="F984" s="9"/>
      <c r="G984" s="9"/>
      <c r="H984" s="9"/>
      <c r="I984" s="9"/>
      <c r="J984" s="9"/>
      <c r="K984" s="9"/>
      <c r="L984" s="115"/>
      <c r="M984" s="115"/>
      <c r="N984" s="115"/>
      <c r="O984" s="115"/>
      <c r="P984" s="9"/>
      <c r="Q984" s="9"/>
      <c r="R984" s="9"/>
      <c r="S984" s="9"/>
      <c r="T984" s="9"/>
      <c r="U984" s="9"/>
      <c r="V984" s="9"/>
      <c r="W984" s="10"/>
      <c r="X984" s="10"/>
      <c r="Y984" s="10"/>
      <c r="Z984" s="10"/>
    </row>
    <row r="985">
      <c r="A985" s="9"/>
      <c r="B985" s="9"/>
      <c r="C985" s="9"/>
      <c r="D985" s="9"/>
      <c r="E985" s="9"/>
      <c r="F985" s="9"/>
      <c r="G985" s="9"/>
      <c r="H985" s="9"/>
      <c r="I985" s="9"/>
      <c r="J985" s="9"/>
      <c r="K985" s="9"/>
      <c r="L985" s="115"/>
      <c r="M985" s="115"/>
      <c r="N985" s="115"/>
      <c r="O985" s="115"/>
      <c r="P985" s="9"/>
      <c r="Q985" s="9"/>
      <c r="R985" s="9"/>
      <c r="S985" s="9"/>
      <c r="T985" s="9"/>
      <c r="U985" s="9"/>
      <c r="V985" s="9"/>
      <c r="W985" s="10"/>
      <c r="X985" s="10"/>
      <c r="Y985" s="10"/>
      <c r="Z985" s="10"/>
    </row>
    <row r="986">
      <c r="A986" s="9"/>
      <c r="B986" s="9"/>
      <c r="C986" s="9"/>
      <c r="D986" s="9"/>
      <c r="E986" s="9"/>
      <c r="F986" s="9"/>
      <c r="G986" s="9"/>
      <c r="H986" s="9"/>
      <c r="I986" s="9"/>
      <c r="J986" s="9"/>
      <c r="K986" s="9"/>
      <c r="L986" s="115"/>
      <c r="M986" s="115"/>
      <c r="N986" s="115"/>
      <c r="O986" s="115"/>
      <c r="P986" s="9"/>
      <c r="Q986" s="9"/>
      <c r="R986" s="9"/>
      <c r="S986" s="9"/>
      <c r="T986" s="9"/>
      <c r="U986" s="9"/>
      <c r="V986" s="9"/>
      <c r="W986" s="10"/>
      <c r="X986" s="10"/>
      <c r="Y986" s="10"/>
      <c r="Z986" s="10"/>
    </row>
    <row r="987">
      <c r="A987" s="9"/>
      <c r="B987" s="9"/>
      <c r="C987" s="9"/>
      <c r="D987" s="9"/>
      <c r="E987" s="9"/>
      <c r="F987" s="9"/>
      <c r="G987" s="9"/>
      <c r="H987" s="9"/>
      <c r="I987" s="9"/>
      <c r="J987" s="9"/>
      <c r="K987" s="9"/>
      <c r="L987" s="115"/>
      <c r="M987" s="115"/>
      <c r="N987" s="115"/>
      <c r="O987" s="115"/>
      <c r="P987" s="9"/>
      <c r="Q987" s="9"/>
      <c r="R987" s="9"/>
      <c r="S987" s="9"/>
      <c r="T987" s="9"/>
      <c r="U987" s="9"/>
      <c r="V987" s="9"/>
      <c r="W987" s="10"/>
      <c r="X987" s="10"/>
      <c r="Y987" s="10"/>
      <c r="Z987" s="10"/>
    </row>
    <row r="988">
      <c r="A988" s="9"/>
      <c r="B988" s="9"/>
      <c r="C988" s="9"/>
      <c r="D988" s="9"/>
      <c r="E988" s="9"/>
      <c r="F988" s="9"/>
      <c r="G988" s="9"/>
      <c r="H988" s="9"/>
      <c r="I988" s="9"/>
      <c r="J988" s="9"/>
      <c r="K988" s="9"/>
      <c r="L988" s="115"/>
      <c r="M988" s="115"/>
      <c r="N988" s="115"/>
      <c r="O988" s="115"/>
      <c r="P988" s="9"/>
      <c r="Q988" s="9"/>
      <c r="R988" s="9"/>
      <c r="S988" s="9"/>
      <c r="T988" s="9"/>
      <c r="U988" s="9"/>
      <c r="V988" s="9"/>
      <c r="W988" s="10"/>
      <c r="X988" s="10"/>
      <c r="Y988" s="10"/>
      <c r="Z988" s="10"/>
    </row>
    <row r="989">
      <c r="A989" s="9"/>
      <c r="B989" s="9"/>
      <c r="C989" s="9"/>
      <c r="D989" s="9"/>
      <c r="E989" s="9"/>
      <c r="F989" s="9"/>
      <c r="G989" s="9"/>
      <c r="H989" s="9"/>
      <c r="I989" s="9"/>
      <c r="J989" s="9"/>
      <c r="K989" s="9"/>
      <c r="L989" s="115"/>
      <c r="M989" s="115"/>
      <c r="N989" s="115"/>
      <c r="O989" s="115"/>
      <c r="P989" s="9"/>
      <c r="Q989" s="9"/>
      <c r="R989" s="9"/>
      <c r="S989" s="9"/>
      <c r="T989" s="9"/>
      <c r="U989" s="9"/>
      <c r="V989" s="9"/>
      <c r="W989" s="10"/>
      <c r="X989" s="10"/>
      <c r="Y989" s="10"/>
      <c r="Z989" s="10"/>
    </row>
    <row r="990">
      <c r="A990" s="9"/>
      <c r="B990" s="9"/>
      <c r="C990" s="9"/>
      <c r="D990" s="9"/>
      <c r="E990" s="9"/>
      <c r="F990" s="9"/>
      <c r="G990" s="9"/>
      <c r="H990" s="9"/>
      <c r="I990" s="9"/>
      <c r="J990" s="9"/>
      <c r="K990" s="9"/>
      <c r="L990" s="115"/>
      <c r="M990" s="115"/>
      <c r="N990" s="115"/>
      <c r="O990" s="115"/>
      <c r="P990" s="9"/>
      <c r="Q990" s="9"/>
      <c r="R990" s="9"/>
      <c r="S990" s="9"/>
      <c r="T990" s="9"/>
      <c r="U990" s="9"/>
      <c r="V990" s="9"/>
      <c r="W990" s="10"/>
      <c r="X990" s="10"/>
      <c r="Y990" s="10"/>
      <c r="Z990" s="10"/>
    </row>
    <row r="991">
      <c r="A991" s="9"/>
      <c r="B991" s="9"/>
      <c r="C991" s="9"/>
      <c r="D991" s="9"/>
      <c r="E991" s="9"/>
      <c r="F991" s="9"/>
      <c r="G991" s="9"/>
      <c r="H991" s="9"/>
      <c r="I991" s="9"/>
      <c r="J991" s="9"/>
      <c r="K991" s="9"/>
      <c r="L991" s="115"/>
      <c r="M991" s="115"/>
      <c r="N991" s="115"/>
      <c r="O991" s="115"/>
      <c r="P991" s="9"/>
      <c r="Q991" s="9"/>
      <c r="R991" s="9"/>
      <c r="S991" s="9"/>
      <c r="T991" s="9"/>
      <c r="U991" s="9"/>
      <c r="V991" s="9"/>
      <c r="W991" s="10"/>
      <c r="X991" s="10"/>
      <c r="Y991" s="10"/>
      <c r="Z991" s="10"/>
    </row>
    <row r="992">
      <c r="A992" s="9"/>
      <c r="B992" s="9"/>
      <c r="C992" s="9"/>
      <c r="D992" s="9"/>
      <c r="E992" s="9"/>
      <c r="F992" s="9"/>
      <c r="G992" s="9"/>
      <c r="H992" s="9"/>
      <c r="I992" s="9"/>
      <c r="J992" s="9"/>
      <c r="K992" s="9"/>
      <c r="L992" s="115"/>
      <c r="M992" s="115"/>
      <c r="N992" s="115"/>
      <c r="O992" s="115"/>
      <c r="P992" s="9"/>
      <c r="Q992" s="9"/>
      <c r="R992" s="9"/>
      <c r="S992" s="9"/>
      <c r="T992" s="9"/>
      <c r="U992" s="9"/>
      <c r="V992" s="9"/>
      <c r="W992" s="10"/>
      <c r="X992" s="10"/>
      <c r="Y992" s="10"/>
      <c r="Z992" s="10"/>
    </row>
    <row r="993">
      <c r="A993" s="9"/>
      <c r="B993" s="9"/>
      <c r="C993" s="9"/>
      <c r="D993" s="9"/>
      <c r="E993" s="9"/>
      <c r="F993" s="9"/>
      <c r="G993" s="9"/>
      <c r="H993" s="9"/>
      <c r="I993" s="9"/>
      <c r="J993" s="9"/>
      <c r="K993" s="9"/>
      <c r="L993" s="115"/>
      <c r="M993" s="115"/>
      <c r="N993" s="115"/>
      <c r="O993" s="115"/>
      <c r="P993" s="9"/>
      <c r="Q993" s="9"/>
      <c r="R993" s="9"/>
      <c r="S993" s="9"/>
      <c r="T993" s="9"/>
      <c r="U993" s="9"/>
      <c r="V993" s="9"/>
      <c r="W993" s="10"/>
      <c r="X993" s="10"/>
      <c r="Y993" s="10"/>
      <c r="Z993" s="10"/>
    </row>
    <row r="994">
      <c r="A994" s="9"/>
      <c r="B994" s="9"/>
      <c r="C994" s="9"/>
      <c r="D994" s="9"/>
      <c r="E994" s="9"/>
      <c r="F994" s="9"/>
      <c r="G994" s="9"/>
      <c r="H994" s="9"/>
      <c r="I994" s="9"/>
      <c r="J994" s="9"/>
      <c r="K994" s="9"/>
      <c r="L994" s="115"/>
      <c r="M994" s="115"/>
      <c r="N994" s="115"/>
      <c r="O994" s="115"/>
      <c r="P994" s="9"/>
      <c r="Q994" s="9"/>
      <c r="R994" s="9"/>
      <c r="S994" s="9"/>
      <c r="T994" s="9"/>
      <c r="U994" s="9"/>
      <c r="V994" s="9"/>
      <c r="W994" s="10"/>
      <c r="X994" s="10"/>
      <c r="Y994" s="10"/>
      <c r="Z994" s="10"/>
    </row>
    <row r="995">
      <c r="A995" s="9"/>
      <c r="B995" s="9"/>
      <c r="C995" s="9"/>
      <c r="D995" s="9"/>
      <c r="E995" s="9"/>
      <c r="F995" s="9"/>
      <c r="G995" s="9"/>
      <c r="H995" s="9"/>
      <c r="I995" s="9"/>
      <c r="J995" s="9"/>
      <c r="K995" s="9"/>
      <c r="L995" s="115"/>
      <c r="M995" s="115"/>
      <c r="N995" s="115"/>
      <c r="O995" s="115"/>
      <c r="P995" s="9"/>
      <c r="Q995" s="9"/>
      <c r="R995" s="9"/>
      <c r="S995" s="9"/>
      <c r="T995" s="9"/>
      <c r="U995" s="9"/>
      <c r="V995" s="9"/>
      <c r="W995" s="10"/>
      <c r="X995" s="10"/>
      <c r="Y995" s="10"/>
      <c r="Z995" s="10"/>
    </row>
    <row r="996">
      <c r="A996" s="9"/>
      <c r="B996" s="9"/>
      <c r="C996" s="9"/>
      <c r="D996" s="9"/>
      <c r="E996" s="9"/>
      <c r="F996" s="9"/>
      <c r="G996" s="9"/>
      <c r="H996" s="9"/>
      <c r="I996" s="9"/>
      <c r="J996" s="9"/>
      <c r="K996" s="9"/>
      <c r="L996" s="115"/>
      <c r="M996" s="115"/>
      <c r="N996" s="115"/>
      <c r="O996" s="115"/>
      <c r="P996" s="9"/>
      <c r="Q996" s="9"/>
      <c r="R996" s="9"/>
      <c r="S996" s="9"/>
      <c r="T996" s="9"/>
      <c r="U996" s="9"/>
      <c r="V996" s="9"/>
      <c r="W996" s="10"/>
      <c r="X996" s="10"/>
      <c r="Y996" s="10"/>
      <c r="Z996" s="10"/>
    </row>
    <row r="997">
      <c r="A997" s="9"/>
      <c r="B997" s="9"/>
      <c r="C997" s="9"/>
      <c r="D997" s="9"/>
      <c r="E997" s="9"/>
      <c r="F997" s="9"/>
      <c r="G997" s="9"/>
      <c r="H997" s="9"/>
      <c r="I997" s="9"/>
      <c r="J997" s="9"/>
      <c r="K997" s="9"/>
      <c r="L997" s="115"/>
      <c r="M997" s="115"/>
      <c r="N997" s="115"/>
      <c r="O997" s="115"/>
      <c r="P997" s="9"/>
      <c r="Q997" s="9"/>
      <c r="R997" s="9"/>
      <c r="S997" s="9"/>
      <c r="T997" s="9"/>
      <c r="U997" s="9"/>
      <c r="V997" s="9"/>
      <c r="W997" s="10"/>
      <c r="X997" s="10"/>
      <c r="Y997" s="10"/>
      <c r="Z997" s="10"/>
    </row>
    <row r="998">
      <c r="A998" s="9"/>
      <c r="B998" s="9"/>
      <c r="C998" s="9"/>
      <c r="D998" s="9"/>
      <c r="E998" s="9"/>
      <c r="F998" s="9"/>
      <c r="G998" s="9"/>
      <c r="H998" s="9"/>
      <c r="I998" s="9"/>
      <c r="J998" s="9"/>
      <c r="K998" s="9"/>
      <c r="L998" s="115"/>
      <c r="M998" s="115"/>
      <c r="N998" s="115"/>
      <c r="O998" s="115"/>
      <c r="P998" s="9"/>
      <c r="Q998" s="9"/>
      <c r="R998" s="9"/>
      <c r="S998" s="9"/>
      <c r="T998" s="9"/>
      <c r="U998" s="9"/>
      <c r="V998" s="9"/>
      <c r="W998" s="10"/>
      <c r="X998" s="10"/>
      <c r="Y998" s="10"/>
      <c r="Z998" s="10"/>
    </row>
    <row r="999">
      <c r="A999" s="9"/>
      <c r="B999" s="9"/>
      <c r="C999" s="9"/>
      <c r="D999" s="9"/>
      <c r="E999" s="9"/>
      <c r="F999" s="9"/>
      <c r="G999" s="9"/>
      <c r="H999" s="9"/>
      <c r="I999" s="9"/>
      <c r="J999" s="9"/>
      <c r="K999" s="9"/>
      <c r="L999" s="115"/>
      <c r="M999" s="115"/>
      <c r="N999" s="115"/>
      <c r="O999" s="115"/>
      <c r="P999" s="9"/>
      <c r="Q999" s="9"/>
      <c r="R999" s="9"/>
      <c r="S999" s="9"/>
      <c r="T999" s="9"/>
      <c r="U999" s="9"/>
      <c r="V999" s="9"/>
      <c r="W999" s="10"/>
      <c r="X999" s="10"/>
      <c r="Y999" s="10"/>
      <c r="Z999" s="10"/>
    </row>
    <row r="1000">
      <c r="A1000" s="9"/>
      <c r="B1000" s="9"/>
      <c r="C1000" s="9"/>
      <c r="D1000" s="9"/>
      <c r="E1000" s="9"/>
      <c r="F1000" s="9"/>
      <c r="G1000" s="9"/>
      <c r="H1000" s="9"/>
      <c r="I1000" s="9"/>
      <c r="J1000" s="9"/>
      <c r="K1000" s="9"/>
      <c r="L1000" s="115"/>
      <c r="M1000" s="115"/>
      <c r="N1000" s="115"/>
      <c r="O1000" s="115"/>
      <c r="P1000" s="9"/>
      <c r="Q1000" s="9"/>
      <c r="R1000" s="9"/>
      <c r="S1000" s="9"/>
      <c r="T1000" s="9"/>
      <c r="U1000" s="9"/>
      <c r="V1000" s="9"/>
      <c r="W1000" s="10"/>
      <c r="X1000" s="10"/>
      <c r="Y1000" s="10"/>
      <c r="Z1000" s="10"/>
    </row>
    <row r="1001">
      <c r="A1001" s="9"/>
      <c r="B1001" s="9"/>
      <c r="C1001" s="9"/>
      <c r="D1001" s="9"/>
      <c r="E1001" s="9"/>
      <c r="F1001" s="9"/>
      <c r="G1001" s="9"/>
      <c r="H1001" s="9"/>
      <c r="I1001" s="9"/>
      <c r="J1001" s="9"/>
      <c r="K1001" s="9"/>
      <c r="L1001" s="115"/>
      <c r="M1001" s="115"/>
      <c r="N1001" s="115"/>
      <c r="O1001" s="115"/>
      <c r="P1001" s="9"/>
      <c r="Q1001" s="9"/>
      <c r="R1001" s="9"/>
      <c r="S1001" s="9"/>
      <c r="T1001" s="9"/>
      <c r="U1001" s="9"/>
      <c r="V1001" s="9"/>
      <c r="W1001" s="10"/>
      <c r="X1001" s="10"/>
      <c r="Y1001" s="10"/>
      <c r="Z1001" s="10"/>
    </row>
    <row r="1002">
      <c r="A1002" s="9"/>
      <c r="B1002" s="9"/>
      <c r="C1002" s="9"/>
      <c r="D1002" s="9"/>
      <c r="E1002" s="9"/>
      <c r="F1002" s="9"/>
      <c r="G1002" s="9"/>
      <c r="H1002" s="9"/>
      <c r="I1002" s="9"/>
      <c r="J1002" s="9"/>
      <c r="K1002" s="9"/>
      <c r="L1002" s="115"/>
      <c r="M1002" s="115"/>
      <c r="N1002" s="115"/>
      <c r="O1002" s="115"/>
      <c r="P1002" s="9"/>
      <c r="Q1002" s="9"/>
      <c r="R1002" s="9"/>
      <c r="S1002" s="9"/>
      <c r="T1002" s="9"/>
      <c r="U1002" s="9"/>
      <c r="V1002" s="9"/>
      <c r="W1002" s="10"/>
      <c r="X1002" s="10"/>
      <c r="Y1002" s="10"/>
      <c r="Z1002" s="10"/>
    </row>
    <row r="1003">
      <c r="A1003" s="9"/>
      <c r="B1003" s="9"/>
      <c r="C1003" s="9"/>
      <c r="D1003" s="9"/>
      <c r="E1003" s="9"/>
      <c r="F1003" s="9"/>
      <c r="G1003" s="9"/>
      <c r="H1003" s="9"/>
      <c r="I1003" s="9"/>
      <c r="J1003" s="9"/>
      <c r="K1003" s="9"/>
      <c r="L1003" s="115"/>
      <c r="M1003" s="115"/>
      <c r="N1003" s="115"/>
      <c r="O1003" s="115"/>
      <c r="P1003" s="9"/>
      <c r="Q1003" s="9"/>
      <c r="R1003" s="9"/>
      <c r="S1003" s="9"/>
      <c r="T1003" s="9"/>
      <c r="U1003" s="9"/>
      <c r="V1003" s="9"/>
      <c r="W1003" s="10"/>
      <c r="X1003" s="10"/>
      <c r="Y1003" s="10"/>
      <c r="Z1003" s="10"/>
    </row>
    <row r="1004">
      <c r="A1004" s="9"/>
      <c r="B1004" s="9"/>
      <c r="C1004" s="9"/>
      <c r="D1004" s="9"/>
      <c r="E1004" s="9"/>
      <c r="F1004" s="9"/>
      <c r="G1004" s="9"/>
      <c r="H1004" s="9"/>
      <c r="I1004" s="9"/>
      <c r="J1004" s="9"/>
      <c r="K1004" s="9"/>
      <c r="L1004" s="115"/>
      <c r="M1004" s="115"/>
      <c r="N1004" s="115"/>
      <c r="O1004" s="115"/>
      <c r="P1004" s="9"/>
      <c r="Q1004" s="9"/>
      <c r="R1004" s="9"/>
      <c r="S1004" s="9"/>
      <c r="T1004" s="9"/>
      <c r="U1004" s="9"/>
      <c r="V1004" s="9"/>
      <c r="W1004" s="10"/>
      <c r="X1004" s="10"/>
      <c r="Y1004" s="10"/>
      <c r="Z1004" s="10"/>
    </row>
    <row r="1005">
      <c r="A1005" s="9"/>
      <c r="B1005" s="9"/>
      <c r="C1005" s="9"/>
      <c r="D1005" s="9"/>
      <c r="E1005" s="9"/>
      <c r="F1005" s="9"/>
      <c r="G1005" s="9"/>
      <c r="H1005" s="9"/>
      <c r="I1005" s="9"/>
      <c r="J1005" s="9"/>
      <c r="K1005" s="9"/>
      <c r="L1005" s="115"/>
      <c r="M1005" s="115"/>
      <c r="N1005" s="115"/>
      <c r="O1005" s="115"/>
      <c r="P1005" s="9"/>
      <c r="Q1005" s="9"/>
      <c r="R1005" s="9"/>
      <c r="S1005" s="9"/>
      <c r="T1005" s="9"/>
      <c r="U1005" s="9"/>
      <c r="V1005" s="9"/>
      <c r="W1005" s="10"/>
      <c r="X1005" s="10"/>
      <c r="Y1005" s="10"/>
      <c r="Z1005" s="10"/>
    </row>
    <row r="1006">
      <c r="A1006" s="9"/>
      <c r="B1006" s="9"/>
      <c r="C1006" s="9"/>
      <c r="D1006" s="9"/>
      <c r="E1006" s="9"/>
      <c r="F1006" s="9"/>
      <c r="G1006" s="9"/>
      <c r="H1006" s="9"/>
      <c r="I1006" s="9"/>
      <c r="J1006" s="9"/>
      <c r="K1006" s="9"/>
      <c r="L1006" s="115"/>
      <c r="M1006" s="115"/>
      <c r="N1006" s="115"/>
      <c r="O1006" s="115"/>
      <c r="P1006" s="9"/>
      <c r="Q1006" s="9"/>
      <c r="R1006" s="9"/>
      <c r="S1006" s="9"/>
      <c r="T1006" s="9"/>
      <c r="U1006" s="9"/>
      <c r="V1006" s="9"/>
      <c r="W1006" s="10"/>
      <c r="X1006" s="10"/>
      <c r="Y1006" s="10"/>
      <c r="Z1006" s="10"/>
    </row>
    <row r="1007">
      <c r="A1007" s="9"/>
      <c r="B1007" s="9"/>
      <c r="C1007" s="9"/>
      <c r="D1007" s="9"/>
      <c r="E1007" s="9"/>
      <c r="F1007" s="9"/>
      <c r="G1007" s="9"/>
      <c r="H1007" s="9"/>
      <c r="I1007" s="9"/>
      <c r="J1007" s="9"/>
      <c r="K1007" s="9"/>
      <c r="L1007" s="115"/>
      <c r="M1007" s="115"/>
      <c r="N1007" s="115"/>
      <c r="O1007" s="115"/>
      <c r="P1007" s="9"/>
      <c r="Q1007" s="9"/>
      <c r="R1007" s="9"/>
      <c r="S1007" s="9"/>
      <c r="T1007" s="9"/>
      <c r="U1007" s="9"/>
      <c r="V1007" s="9"/>
      <c r="W1007" s="10"/>
      <c r="X1007" s="10"/>
      <c r="Y1007" s="10"/>
      <c r="Z1007" s="10"/>
    </row>
    <row r="1008">
      <c r="A1008" s="9"/>
      <c r="B1008" s="9"/>
      <c r="C1008" s="9"/>
      <c r="D1008" s="9"/>
      <c r="E1008" s="9"/>
      <c r="F1008" s="9"/>
      <c r="G1008" s="9"/>
      <c r="H1008" s="9"/>
      <c r="I1008" s="9"/>
      <c r="J1008" s="9"/>
      <c r="K1008" s="9"/>
      <c r="L1008" s="115"/>
      <c r="M1008" s="115"/>
      <c r="N1008" s="115"/>
      <c r="O1008" s="115"/>
      <c r="P1008" s="9"/>
      <c r="Q1008" s="9"/>
      <c r="R1008" s="9"/>
      <c r="S1008" s="9"/>
      <c r="T1008" s="9"/>
      <c r="U1008" s="9"/>
      <c r="V1008" s="9"/>
      <c r="W1008" s="10"/>
      <c r="X1008" s="10"/>
      <c r="Y1008" s="10"/>
      <c r="Z1008" s="10"/>
    </row>
    <row r="1009">
      <c r="A1009" s="9"/>
      <c r="B1009" s="9"/>
      <c r="C1009" s="9"/>
      <c r="D1009" s="9"/>
      <c r="E1009" s="9"/>
      <c r="F1009" s="9"/>
      <c r="G1009" s="9"/>
      <c r="H1009" s="9"/>
      <c r="I1009" s="9"/>
      <c r="J1009" s="9"/>
      <c r="K1009" s="9"/>
      <c r="L1009" s="115"/>
      <c r="M1009" s="115"/>
      <c r="N1009" s="115"/>
      <c r="O1009" s="115"/>
      <c r="P1009" s="9"/>
      <c r="Q1009" s="9"/>
      <c r="R1009" s="9"/>
      <c r="S1009" s="9"/>
      <c r="T1009" s="9"/>
      <c r="U1009" s="9"/>
      <c r="V1009" s="9"/>
      <c r="W1009" s="10"/>
      <c r="X1009" s="10"/>
      <c r="Y1009" s="10"/>
      <c r="Z1009" s="10"/>
    </row>
    <row r="1010">
      <c r="A1010" s="9"/>
      <c r="B1010" s="9"/>
      <c r="C1010" s="9"/>
      <c r="D1010" s="9"/>
      <c r="E1010" s="9"/>
      <c r="F1010" s="9"/>
      <c r="G1010" s="9"/>
      <c r="H1010" s="9"/>
      <c r="I1010" s="9"/>
      <c r="J1010" s="9"/>
      <c r="K1010" s="9"/>
      <c r="L1010" s="115"/>
      <c r="M1010" s="115"/>
      <c r="N1010" s="115"/>
      <c r="O1010" s="115"/>
      <c r="P1010" s="9"/>
      <c r="Q1010" s="9"/>
      <c r="R1010" s="9"/>
      <c r="S1010" s="9"/>
      <c r="T1010" s="9"/>
      <c r="U1010" s="9"/>
      <c r="V1010" s="9"/>
      <c r="W1010" s="10"/>
      <c r="X1010" s="10"/>
      <c r="Y1010" s="10"/>
      <c r="Z1010" s="10"/>
    </row>
    <row r="1011">
      <c r="A1011" s="9"/>
      <c r="B1011" s="9"/>
      <c r="C1011" s="9"/>
      <c r="D1011" s="9"/>
      <c r="E1011" s="9"/>
      <c r="F1011" s="9"/>
      <c r="G1011" s="9"/>
      <c r="H1011" s="9"/>
      <c r="I1011" s="9"/>
      <c r="J1011" s="9"/>
      <c r="K1011" s="9"/>
      <c r="L1011" s="115"/>
      <c r="M1011" s="115"/>
      <c r="N1011" s="115"/>
      <c r="O1011" s="115"/>
      <c r="P1011" s="9"/>
      <c r="Q1011" s="9"/>
      <c r="R1011" s="9"/>
      <c r="S1011" s="9"/>
      <c r="T1011" s="9"/>
      <c r="U1011" s="9"/>
      <c r="V1011" s="9"/>
      <c r="W1011" s="10"/>
      <c r="X1011" s="10"/>
      <c r="Y1011" s="10"/>
      <c r="Z1011" s="10"/>
    </row>
    <row r="1012">
      <c r="A1012" s="9"/>
      <c r="B1012" s="9"/>
      <c r="C1012" s="9"/>
      <c r="D1012" s="9"/>
      <c r="E1012" s="9"/>
      <c r="F1012" s="9"/>
      <c r="G1012" s="9"/>
      <c r="H1012" s="9"/>
      <c r="I1012" s="9"/>
      <c r="J1012" s="9"/>
      <c r="K1012" s="9"/>
      <c r="L1012" s="115"/>
      <c r="M1012" s="115"/>
      <c r="N1012" s="115"/>
      <c r="O1012" s="115"/>
      <c r="P1012" s="9"/>
      <c r="Q1012" s="9"/>
      <c r="R1012" s="9"/>
      <c r="S1012" s="9"/>
      <c r="T1012" s="9"/>
      <c r="U1012" s="9"/>
      <c r="V1012" s="9"/>
      <c r="W1012" s="10"/>
      <c r="X1012" s="10"/>
      <c r="Y1012" s="10"/>
      <c r="Z1012" s="10"/>
    </row>
    <row r="1013">
      <c r="A1013" s="9"/>
      <c r="B1013" s="9"/>
      <c r="C1013" s="9"/>
      <c r="D1013" s="9"/>
      <c r="E1013" s="9"/>
      <c r="F1013" s="9"/>
      <c r="G1013" s="9"/>
      <c r="H1013" s="9"/>
      <c r="I1013" s="9"/>
      <c r="J1013" s="9"/>
      <c r="K1013" s="9"/>
      <c r="L1013" s="115"/>
      <c r="M1013" s="115"/>
      <c r="N1013" s="115"/>
      <c r="O1013" s="115"/>
      <c r="P1013" s="9"/>
      <c r="Q1013" s="9"/>
      <c r="R1013" s="9"/>
      <c r="S1013" s="9"/>
      <c r="T1013" s="9"/>
      <c r="U1013" s="9"/>
      <c r="V1013" s="9"/>
      <c r="W1013" s="10"/>
      <c r="X1013" s="10"/>
      <c r="Y1013" s="10"/>
      <c r="Z1013" s="10"/>
    </row>
    <row r="1014">
      <c r="A1014" s="9"/>
      <c r="B1014" s="9"/>
      <c r="C1014" s="9"/>
      <c r="D1014" s="9"/>
      <c r="E1014" s="9"/>
      <c r="F1014" s="9"/>
      <c r="G1014" s="9"/>
      <c r="H1014" s="9"/>
      <c r="I1014" s="9"/>
      <c r="J1014" s="9"/>
      <c r="K1014" s="9"/>
      <c r="L1014" s="115"/>
      <c r="M1014" s="115"/>
      <c r="N1014" s="115"/>
      <c r="O1014" s="115"/>
      <c r="P1014" s="9"/>
      <c r="Q1014" s="9"/>
      <c r="R1014" s="9"/>
      <c r="S1014" s="9"/>
      <c r="T1014" s="9"/>
      <c r="U1014" s="9"/>
      <c r="V1014" s="9"/>
      <c r="W1014" s="10"/>
      <c r="X1014" s="10"/>
      <c r="Y1014" s="10"/>
      <c r="Z1014" s="10"/>
    </row>
    <row r="1015">
      <c r="A1015" s="9"/>
      <c r="B1015" s="9"/>
      <c r="C1015" s="9"/>
      <c r="D1015" s="9"/>
      <c r="E1015" s="9"/>
      <c r="F1015" s="9"/>
      <c r="G1015" s="9"/>
      <c r="H1015" s="9"/>
      <c r="I1015" s="9"/>
      <c r="J1015" s="9"/>
      <c r="K1015" s="9"/>
      <c r="L1015" s="115"/>
      <c r="M1015" s="115"/>
      <c r="N1015" s="115"/>
      <c r="O1015" s="115"/>
      <c r="P1015" s="9"/>
      <c r="Q1015" s="9"/>
      <c r="R1015" s="9"/>
      <c r="S1015" s="9"/>
      <c r="T1015" s="9"/>
      <c r="U1015" s="9"/>
      <c r="V1015" s="9"/>
      <c r="W1015" s="10"/>
      <c r="X1015" s="10"/>
      <c r="Y1015" s="10"/>
      <c r="Z1015" s="10"/>
    </row>
    <row r="1016">
      <c r="A1016" s="9"/>
      <c r="B1016" s="9"/>
      <c r="C1016" s="9"/>
      <c r="D1016" s="9"/>
      <c r="E1016" s="9"/>
      <c r="F1016" s="9"/>
      <c r="G1016" s="9"/>
      <c r="H1016" s="9"/>
      <c r="I1016" s="9"/>
      <c r="J1016" s="9"/>
      <c r="K1016" s="9"/>
      <c r="L1016" s="115"/>
      <c r="M1016" s="115"/>
      <c r="N1016" s="115"/>
      <c r="O1016" s="115"/>
      <c r="P1016" s="9"/>
      <c r="Q1016" s="9"/>
      <c r="R1016" s="9"/>
      <c r="S1016" s="9"/>
      <c r="T1016" s="9"/>
      <c r="U1016" s="9"/>
      <c r="V1016" s="9"/>
      <c r="W1016" s="10"/>
      <c r="X1016" s="10"/>
      <c r="Y1016" s="10"/>
      <c r="Z1016" s="10"/>
    </row>
    <row r="1017">
      <c r="A1017" s="9"/>
      <c r="B1017" s="9"/>
      <c r="C1017" s="9"/>
      <c r="D1017" s="9"/>
      <c r="E1017" s="9"/>
      <c r="F1017" s="9"/>
      <c r="G1017" s="9"/>
      <c r="H1017" s="9"/>
      <c r="I1017" s="9"/>
      <c r="J1017" s="9"/>
      <c r="K1017" s="9"/>
      <c r="L1017" s="115"/>
      <c r="M1017" s="115"/>
      <c r="N1017" s="115"/>
      <c r="O1017" s="115"/>
      <c r="P1017" s="9"/>
      <c r="Q1017" s="9"/>
      <c r="R1017" s="9"/>
      <c r="S1017" s="9"/>
      <c r="T1017" s="9"/>
      <c r="U1017" s="9"/>
      <c r="V1017" s="9"/>
      <c r="W1017" s="10"/>
      <c r="X1017" s="10"/>
      <c r="Y1017" s="10"/>
      <c r="Z1017" s="10"/>
    </row>
    <row r="1018">
      <c r="A1018" s="9"/>
      <c r="B1018" s="9"/>
      <c r="C1018" s="9"/>
      <c r="D1018" s="9"/>
      <c r="E1018" s="9"/>
      <c r="F1018" s="9"/>
      <c r="G1018" s="9"/>
      <c r="H1018" s="9"/>
      <c r="I1018" s="9"/>
      <c r="J1018" s="9"/>
      <c r="K1018" s="9"/>
      <c r="L1018" s="115"/>
      <c r="M1018" s="115"/>
      <c r="N1018" s="115"/>
      <c r="O1018" s="115"/>
      <c r="P1018" s="9"/>
      <c r="Q1018" s="9"/>
      <c r="R1018" s="9"/>
      <c r="S1018" s="9"/>
      <c r="T1018" s="9"/>
      <c r="U1018" s="9"/>
      <c r="V1018" s="9"/>
      <c r="W1018" s="10"/>
      <c r="X1018" s="10"/>
      <c r="Y1018" s="10"/>
      <c r="Z1018" s="10"/>
    </row>
    <row r="1019">
      <c r="A1019" s="9"/>
      <c r="B1019" s="9"/>
      <c r="C1019" s="9"/>
      <c r="D1019" s="9"/>
      <c r="E1019" s="9"/>
      <c r="F1019" s="9"/>
      <c r="G1019" s="9"/>
      <c r="H1019" s="9"/>
      <c r="I1019" s="9"/>
      <c r="J1019" s="9"/>
      <c r="K1019" s="9"/>
      <c r="L1019" s="115"/>
      <c r="M1019" s="115"/>
      <c r="N1019" s="115"/>
      <c r="O1019" s="115"/>
      <c r="P1019" s="9"/>
      <c r="Q1019" s="9"/>
      <c r="R1019" s="9"/>
      <c r="S1019" s="9"/>
      <c r="T1019" s="9"/>
      <c r="U1019" s="9"/>
      <c r="V1019" s="9"/>
      <c r="W1019" s="10"/>
      <c r="X1019" s="10"/>
      <c r="Y1019" s="10"/>
      <c r="Z1019" s="10"/>
    </row>
    <row r="1020">
      <c r="A1020" s="9"/>
      <c r="B1020" s="9"/>
      <c r="C1020" s="9"/>
      <c r="D1020" s="9"/>
      <c r="E1020" s="9"/>
      <c r="F1020" s="9"/>
      <c r="G1020" s="9"/>
      <c r="H1020" s="9"/>
      <c r="I1020" s="9"/>
      <c r="J1020" s="9"/>
      <c r="K1020" s="9"/>
      <c r="L1020" s="115"/>
      <c r="M1020" s="115"/>
      <c r="N1020" s="115"/>
      <c r="O1020" s="115"/>
      <c r="P1020" s="9"/>
      <c r="Q1020" s="9"/>
      <c r="R1020" s="9"/>
      <c r="S1020" s="9"/>
      <c r="T1020" s="9"/>
      <c r="U1020" s="9"/>
      <c r="V1020" s="9"/>
      <c r="W1020" s="10"/>
      <c r="X1020" s="10"/>
      <c r="Y1020" s="10"/>
      <c r="Z1020" s="10"/>
    </row>
    <row r="1021">
      <c r="A1021" s="9"/>
      <c r="B1021" s="9"/>
      <c r="C1021" s="9"/>
      <c r="D1021" s="9"/>
      <c r="E1021" s="9"/>
      <c r="F1021" s="9"/>
      <c r="G1021" s="9"/>
      <c r="H1021" s="9"/>
      <c r="I1021" s="9"/>
      <c r="J1021" s="9"/>
      <c r="K1021" s="9"/>
      <c r="L1021" s="115"/>
      <c r="M1021" s="115"/>
      <c r="N1021" s="115"/>
      <c r="O1021" s="115"/>
      <c r="P1021" s="9"/>
      <c r="Q1021" s="9"/>
      <c r="R1021" s="9"/>
      <c r="S1021" s="9"/>
      <c r="T1021" s="9"/>
      <c r="U1021" s="9"/>
      <c r="V1021" s="9"/>
      <c r="W1021" s="10"/>
      <c r="X1021" s="10"/>
      <c r="Y1021" s="10"/>
      <c r="Z1021" s="10"/>
    </row>
    <row r="1022">
      <c r="A1022" s="9"/>
      <c r="B1022" s="9"/>
      <c r="C1022" s="9"/>
      <c r="D1022" s="9"/>
      <c r="E1022" s="9"/>
      <c r="F1022" s="9"/>
      <c r="G1022" s="9"/>
      <c r="H1022" s="9"/>
      <c r="I1022" s="9"/>
      <c r="J1022" s="9"/>
      <c r="K1022" s="9"/>
      <c r="L1022" s="115"/>
      <c r="M1022" s="115"/>
      <c r="N1022" s="115"/>
      <c r="O1022" s="115"/>
      <c r="P1022" s="9"/>
      <c r="Q1022" s="9"/>
      <c r="R1022" s="9"/>
      <c r="S1022" s="9"/>
      <c r="T1022" s="9"/>
      <c r="U1022" s="9"/>
      <c r="V1022" s="9"/>
      <c r="W1022" s="10"/>
      <c r="X1022" s="10"/>
      <c r="Y1022" s="10"/>
      <c r="Z1022" s="10"/>
    </row>
    <row r="1023">
      <c r="A1023" s="9"/>
      <c r="B1023" s="9"/>
      <c r="C1023" s="9"/>
      <c r="D1023" s="9"/>
      <c r="E1023" s="9"/>
      <c r="F1023" s="9"/>
      <c r="G1023" s="9"/>
      <c r="H1023" s="9"/>
      <c r="I1023" s="9"/>
      <c r="J1023" s="9"/>
      <c r="K1023" s="9"/>
      <c r="L1023" s="115"/>
      <c r="M1023" s="115"/>
      <c r="N1023" s="115"/>
      <c r="O1023" s="115"/>
      <c r="P1023" s="9"/>
      <c r="Q1023" s="9"/>
      <c r="R1023" s="9"/>
      <c r="S1023" s="9"/>
      <c r="T1023" s="9"/>
      <c r="U1023" s="9"/>
      <c r="V1023" s="9"/>
      <c r="W1023" s="10"/>
      <c r="X1023" s="10"/>
      <c r="Y1023" s="10"/>
      <c r="Z1023" s="10"/>
    </row>
    <row r="1024">
      <c r="A1024" s="9"/>
      <c r="B1024" s="9"/>
      <c r="C1024" s="9"/>
      <c r="D1024" s="9"/>
      <c r="E1024" s="9"/>
      <c r="F1024" s="9"/>
      <c r="G1024" s="9"/>
      <c r="H1024" s="9"/>
      <c r="I1024" s="9"/>
      <c r="J1024" s="9"/>
      <c r="K1024" s="9"/>
      <c r="L1024" s="115"/>
      <c r="M1024" s="115"/>
      <c r="N1024" s="115"/>
      <c r="O1024" s="115"/>
      <c r="P1024" s="9"/>
      <c r="Q1024" s="9"/>
      <c r="R1024" s="9"/>
      <c r="S1024" s="9"/>
      <c r="T1024" s="9"/>
      <c r="U1024" s="9"/>
      <c r="V1024" s="9"/>
      <c r="W1024" s="10"/>
      <c r="X1024" s="10"/>
      <c r="Y1024" s="10"/>
      <c r="Z1024" s="10"/>
    </row>
    <row r="1025">
      <c r="A1025" s="9"/>
      <c r="B1025" s="9"/>
      <c r="C1025" s="9"/>
      <c r="D1025" s="9"/>
      <c r="E1025" s="9"/>
      <c r="F1025" s="9"/>
      <c r="G1025" s="9"/>
      <c r="H1025" s="9"/>
      <c r="I1025" s="9"/>
      <c r="J1025" s="9"/>
      <c r="K1025" s="9"/>
      <c r="L1025" s="115"/>
      <c r="M1025" s="115"/>
      <c r="N1025" s="115"/>
      <c r="O1025" s="115"/>
      <c r="P1025" s="9"/>
      <c r="Q1025" s="9"/>
      <c r="R1025" s="9"/>
      <c r="S1025" s="9"/>
      <c r="T1025" s="9"/>
      <c r="U1025" s="9"/>
      <c r="V1025" s="9"/>
      <c r="W1025" s="10"/>
      <c r="X1025" s="10"/>
      <c r="Y1025" s="10"/>
      <c r="Z1025" s="10"/>
    </row>
    <row r="1026">
      <c r="A1026" s="9"/>
      <c r="B1026" s="9"/>
      <c r="C1026" s="9"/>
      <c r="D1026" s="9"/>
      <c r="E1026" s="9"/>
      <c r="F1026" s="9"/>
      <c r="G1026" s="9"/>
      <c r="H1026" s="9"/>
      <c r="I1026" s="9"/>
      <c r="J1026" s="9"/>
      <c r="K1026" s="9"/>
      <c r="L1026" s="115"/>
      <c r="M1026" s="115"/>
      <c r="N1026" s="115"/>
      <c r="O1026" s="115"/>
      <c r="P1026" s="9"/>
      <c r="Q1026" s="9"/>
      <c r="R1026" s="9"/>
      <c r="S1026" s="9"/>
      <c r="T1026" s="9"/>
      <c r="U1026" s="9"/>
      <c r="V1026" s="9"/>
      <c r="W1026" s="10"/>
      <c r="X1026" s="10"/>
      <c r="Y1026" s="10"/>
      <c r="Z1026" s="10"/>
    </row>
    <row r="1027">
      <c r="A1027" s="9"/>
      <c r="B1027" s="9"/>
      <c r="C1027" s="9"/>
      <c r="D1027" s="9"/>
      <c r="E1027" s="9"/>
      <c r="F1027" s="9"/>
      <c r="G1027" s="9"/>
      <c r="H1027" s="9"/>
      <c r="I1027" s="9"/>
      <c r="J1027" s="9"/>
      <c r="K1027" s="9"/>
      <c r="L1027" s="115"/>
      <c r="M1027" s="115"/>
      <c r="N1027" s="115"/>
      <c r="O1027" s="115"/>
      <c r="P1027" s="9"/>
      <c r="Q1027" s="9"/>
      <c r="R1027" s="9"/>
      <c r="S1027" s="9"/>
      <c r="T1027" s="9"/>
      <c r="U1027" s="9"/>
      <c r="V1027" s="9"/>
      <c r="W1027" s="10"/>
      <c r="X1027" s="10"/>
      <c r="Y1027" s="10"/>
      <c r="Z1027" s="10"/>
    </row>
    <row r="1028">
      <c r="A1028" s="9"/>
      <c r="B1028" s="9"/>
      <c r="C1028" s="9"/>
      <c r="D1028" s="9"/>
      <c r="E1028" s="9"/>
      <c r="F1028" s="9"/>
      <c r="G1028" s="9"/>
      <c r="H1028" s="9"/>
      <c r="I1028" s="9"/>
      <c r="J1028" s="9"/>
      <c r="K1028" s="9"/>
      <c r="L1028" s="115"/>
      <c r="M1028" s="115"/>
      <c r="N1028" s="115"/>
      <c r="O1028" s="115"/>
      <c r="P1028" s="9"/>
      <c r="Q1028" s="9"/>
      <c r="R1028" s="9"/>
      <c r="S1028" s="9"/>
      <c r="T1028" s="9"/>
      <c r="U1028" s="9"/>
      <c r="V1028" s="9"/>
      <c r="W1028" s="10"/>
      <c r="X1028" s="10"/>
      <c r="Y1028" s="10"/>
      <c r="Z1028" s="10"/>
    </row>
    <row r="1029">
      <c r="A1029" s="9"/>
      <c r="B1029" s="9"/>
      <c r="C1029" s="9"/>
      <c r="D1029" s="9"/>
      <c r="E1029" s="9"/>
      <c r="F1029" s="9"/>
      <c r="G1029" s="9"/>
      <c r="H1029" s="9"/>
      <c r="I1029" s="9"/>
      <c r="J1029" s="9"/>
      <c r="K1029" s="9"/>
      <c r="L1029" s="115"/>
      <c r="M1029" s="115"/>
      <c r="N1029" s="115"/>
      <c r="O1029" s="115"/>
      <c r="P1029" s="9"/>
      <c r="Q1029" s="9"/>
      <c r="R1029" s="9"/>
      <c r="S1029" s="9"/>
      <c r="T1029" s="9"/>
      <c r="U1029" s="9"/>
      <c r="V1029" s="9"/>
      <c r="W1029" s="10"/>
      <c r="X1029" s="10"/>
      <c r="Y1029" s="10"/>
      <c r="Z1029" s="10"/>
    </row>
    <row r="1030">
      <c r="A1030" s="9"/>
      <c r="B1030" s="9"/>
      <c r="C1030" s="9"/>
      <c r="D1030" s="9"/>
      <c r="E1030" s="9"/>
      <c r="F1030" s="9"/>
      <c r="G1030" s="9"/>
      <c r="H1030" s="9"/>
      <c r="I1030" s="9"/>
      <c r="J1030" s="9"/>
      <c r="K1030" s="9"/>
      <c r="L1030" s="115"/>
      <c r="M1030" s="115"/>
      <c r="N1030" s="115"/>
      <c r="O1030" s="115"/>
      <c r="P1030" s="9"/>
      <c r="Q1030" s="9"/>
      <c r="R1030" s="9"/>
      <c r="S1030" s="9"/>
      <c r="T1030" s="9"/>
      <c r="U1030" s="9"/>
      <c r="V1030" s="9"/>
      <c r="W1030" s="10"/>
      <c r="X1030" s="10"/>
      <c r="Y1030" s="10"/>
      <c r="Z1030" s="10"/>
    </row>
    <row r="1031">
      <c r="A1031" s="9"/>
      <c r="B1031" s="9"/>
      <c r="C1031" s="9"/>
      <c r="D1031" s="9"/>
      <c r="E1031" s="9"/>
      <c r="F1031" s="9"/>
      <c r="G1031" s="9"/>
      <c r="H1031" s="9"/>
      <c r="I1031" s="9"/>
      <c r="J1031" s="9"/>
      <c r="K1031" s="9"/>
      <c r="L1031" s="115"/>
      <c r="M1031" s="115"/>
      <c r="N1031" s="115"/>
      <c r="O1031" s="115"/>
      <c r="P1031" s="9"/>
      <c r="Q1031" s="9"/>
      <c r="R1031" s="9"/>
      <c r="S1031" s="9"/>
      <c r="T1031" s="9"/>
      <c r="U1031" s="9"/>
      <c r="V1031" s="9"/>
      <c r="W1031" s="10"/>
      <c r="X1031" s="10"/>
      <c r="Y1031" s="10"/>
      <c r="Z1031" s="10"/>
    </row>
    <row r="1032">
      <c r="A1032" s="9"/>
      <c r="B1032" s="9"/>
      <c r="C1032" s="9"/>
      <c r="D1032" s="9"/>
      <c r="E1032" s="9"/>
      <c r="F1032" s="9"/>
      <c r="G1032" s="9"/>
      <c r="H1032" s="9"/>
      <c r="I1032" s="9"/>
      <c r="J1032" s="9"/>
      <c r="K1032" s="9"/>
      <c r="L1032" s="115"/>
      <c r="M1032" s="115"/>
      <c r="N1032" s="115"/>
      <c r="O1032" s="115"/>
      <c r="P1032" s="9"/>
      <c r="Q1032" s="9"/>
      <c r="R1032" s="9"/>
      <c r="S1032" s="9"/>
      <c r="T1032" s="9"/>
      <c r="U1032" s="9"/>
      <c r="V1032" s="9"/>
      <c r="W1032" s="10"/>
      <c r="X1032" s="10"/>
      <c r="Y1032" s="10"/>
      <c r="Z1032" s="10"/>
    </row>
    <row r="1033">
      <c r="A1033" s="9"/>
      <c r="B1033" s="9"/>
      <c r="C1033" s="9"/>
      <c r="D1033" s="9"/>
      <c r="E1033" s="9"/>
      <c r="F1033" s="9"/>
      <c r="G1033" s="9"/>
      <c r="H1033" s="9"/>
      <c r="I1033" s="9"/>
      <c r="J1033" s="9"/>
      <c r="K1033" s="9"/>
      <c r="L1033" s="115"/>
      <c r="M1033" s="115"/>
      <c r="N1033" s="115"/>
      <c r="O1033" s="115"/>
      <c r="P1033" s="9"/>
      <c r="Q1033" s="9"/>
      <c r="R1033" s="9"/>
      <c r="S1033" s="9"/>
      <c r="T1033" s="9"/>
      <c r="U1033" s="9"/>
      <c r="V1033" s="9"/>
      <c r="W1033" s="10"/>
      <c r="X1033" s="10"/>
      <c r="Y1033" s="10"/>
      <c r="Z1033" s="10"/>
    </row>
    <row r="1034">
      <c r="A1034" s="9"/>
      <c r="B1034" s="9"/>
      <c r="C1034" s="9"/>
      <c r="D1034" s="9"/>
      <c r="E1034" s="9"/>
      <c r="F1034" s="9"/>
      <c r="G1034" s="9"/>
      <c r="H1034" s="9"/>
      <c r="I1034" s="9"/>
      <c r="J1034" s="9"/>
      <c r="K1034" s="9"/>
      <c r="L1034" s="115"/>
      <c r="M1034" s="115"/>
      <c r="N1034" s="115"/>
      <c r="O1034" s="115"/>
      <c r="P1034" s="9"/>
      <c r="Q1034" s="9"/>
      <c r="R1034" s="9"/>
      <c r="S1034" s="9"/>
      <c r="T1034" s="9"/>
      <c r="U1034" s="9"/>
      <c r="V1034" s="9"/>
      <c r="W1034" s="10"/>
      <c r="X1034" s="10"/>
      <c r="Y1034" s="10"/>
      <c r="Z1034" s="10"/>
    </row>
    <row r="1035">
      <c r="A1035" s="9"/>
      <c r="B1035" s="9"/>
      <c r="C1035" s="9"/>
      <c r="D1035" s="9"/>
      <c r="E1035" s="9"/>
      <c r="F1035" s="9"/>
      <c r="G1035" s="9"/>
      <c r="H1035" s="9"/>
      <c r="I1035" s="9"/>
      <c r="J1035" s="9"/>
      <c r="K1035" s="9"/>
      <c r="L1035" s="115"/>
      <c r="M1035" s="115"/>
      <c r="N1035" s="115"/>
      <c r="O1035" s="115"/>
      <c r="P1035" s="9"/>
      <c r="Q1035" s="9"/>
      <c r="R1035" s="9"/>
      <c r="S1035" s="9"/>
      <c r="T1035" s="9"/>
      <c r="U1035" s="9"/>
      <c r="V1035" s="9"/>
      <c r="W1035" s="10"/>
      <c r="X1035" s="10"/>
      <c r="Y1035" s="10"/>
      <c r="Z1035" s="10"/>
    </row>
    <row r="1036">
      <c r="A1036" s="9"/>
      <c r="B1036" s="9"/>
      <c r="C1036" s="9"/>
      <c r="D1036" s="9"/>
      <c r="E1036" s="9"/>
      <c r="F1036" s="9"/>
      <c r="G1036" s="9"/>
      <c r="H1036" s="9"/>
      <c r="I1036" s="9"/>
      <c r="J1036" s="9"/>
      <c r="K1036" s="9"/>
      <c r="L1036" s="115"/>
      <c r="M1036" s="115"/>
      <c r="N1036" s="115"/>
      <c r="O1036" s="115"/>
      <c r="P1036" s="9"/>
      <c r="Q1036" s="9"/>
      <c r="R1036" s="9"/>
      <c r="S1036" s="9"/>
      <c r="T1036" s="9"/>
      <c r="U1036" s="9"/>
      <c r="V1036" s="9"/>
      <c r="W1036" s="10"/>
      <c r="X1036" s="10"/>
      <c r="Y1036" s="10"/>
      <c r="Z1036" s="10"/>
    </row>
    <row r="1037">
      <c r="A1037" s="9"/>
      <c r="B1037" s="9"/>
      <c r="C1037" s="9"/>
      <c r="D1037" s="9"/>
      <c r="E1037" s="9"/>
      <c r="F1037" s="9"/>
      <c r="G1037" s="9"/>
      <c r="H1037" s="9"/>
      <c r="I1037" s="9"/>
      <c r="J1037" s="9"/>
      <c r="K1037" s="9"/>
      <c r="L1037" s="115"/>
      <c r="M1037" s="115"/>
      <c r="N1037" s="115"/>
      <c r="O1037" s="115"/>
      <c r="P1037" s="9"/>
      <c r="Q1037" s="9"/>
      <c r="R1037" s="9"/>
      <c r="S1037" s="9"/>
      <c r="T1037" s="9"/>
      <c r="U1037" s="9"/>
      <c r="V1037" s="9"/>
      <c r="W1037" s="10"/>
      <c r="X1037" s="10"/>
      <c r="Y1037" s="10"/>
      <c r="Z1037" s="10"/>
    </row>
    <row r="1038">
      <c r="A1038" s="9"/>
      <c r="B1038" s="9"/>
      <c r="C1038" s="9"/>
      <c r="D1038" s="9"/>
      <c r="E1038" s="9"/>
      <c r="F1038" s="9"/>
      <c r="G1038" s="9"/>
      <c r="H1038" s="9"/>
      <c r="I1038" s="9"/>
      <c r="J1038" s="9"/>
      <c r="K1038" s="9"/>
      <c r="L1038" s="115"/>
      <c r="M1038" s="115"/>
      <c r="N1038" s="115"/>
      <c r="O1038" s="115"/>
      <c r="P1038" s="9"/>
      <c r="Q1038" s="9"/>
      <c r="R1038" s="9"/>
      <c r="S1038" s="9"/>
      <c r="T1038" s="9"/>
      <c r="U1038" s="9"/>
      <c r="V1038" s="9"/>
      <c r="W1038" s="10"/>
      <c r="X1038" s="10"/>
      <c r="Y1038" s="10"/>
      <c r="Z1038" s="10"/>
    </row>
    <row r="1039">
      <c r="A1039" s="9"/>
      <c r="B1039" s="9"/>
      <c r="C1039" s="9"/>
      <c r="D1039" s="9"/>
      <c r="E1039" s="9"/>
      <c r="F1039" s="9"/>
      <c r="G1039" s="9"/>
      <c r="H1039" s="9"/>
      <c r="I1039" s="9"/>
      <c r="J1039" s="9"/>
      <c r="K1039" s="9"/>
      <c r="L1039" s="115"/>
      <c r="M1039" s="115"/>
      <c r="N1039" s="115"/>
      <c r="O1039" s="115"/>
      <c r="P1039" s="9"/>
      <c r="Q1039" s="9"/>
      <c r="R1039" s="9"/>
      <c r="S1039" s="9"/>
      <c r="T1039" s="9"/>
      <c r="U1039" s="9"/>
      <c r="V1039" s="9"/>
      <c r="W1039" s="10"/>
      <c r="X1039" s="10"/>
      <c r="Y1039" s="10"/>
      <c r="Z1039" s="10"/>
    </row>
    <row r="1040">
      <c r="A1040" s="9"/>
      <c r="B1040" s="9"/>
      <c r="C1040" s="9"/>
      <c r="D1040" s="9"/>
      <c r="E1040" s="9"/>
      <c r="F1040" s="9"/>
      <c r="G1040" s="9"/>
      <c r="H1040" s="9"/>
      <c r="I1040" s="9"/>
      <c r="J1040" s="9"/>
      <c r="K1040" s="9"/>
      <c r="L1040" s="115"/>
      <c r="M1040" s="115"/>
      <c r="N1040" s="115"/>
      <c r="O1040" s="115"/>
      <c r="P1040" s="9"/>
      <c r="Q1040" s="9"/>
      <c r="R1040" s="9"/>
      <c r="S1040" s="9"/>
      <c r="T1040" s="9"/>
      <c r="U1040" s="9"/>
      <c r="V1040" s="9"/>
      <c r="W1040" s="10"/>
      <c r="X1040" s="10"/>
      <c r="Y1040" s="10"/>
      <c r="Z1040" s="10"/>
    </row>
    <row r="1041">
      <c r="A1041" s="9"/>
      <c r="B1041" s="9"/>
      <c r="C1041" s="9"/>
      <c r="D1041" s="9"/>
      <c r="E1041" s="9"/>
      <c r="F1041" s="9"/>
      <c r="G1041" s="9"/>
      <c r="H1041" s="9"/>
      <c r="I1041" s="9"/>
      <c r="J1041" s="9"/>
      <c r="K1041" s="9"/>
      <c r="L1041" s="115"/>
      <c r="M1041" s="115"/>
      <c r="N1041" s="115"/>
      <c r="O1041" s="115"/>
      <c r="P1041" s="9"/>
      <c r="Q1041" s="9"/>
      <c r="R1041" s="9"/>
      <c r="S1041" s="9"/>
      <c r="T1041" s="9"/>
      <c r="U1041" s="9"/>
      <c r="V1041" s="9"/>
      <c r="W1041" s="10"/>
      <c r="X1041" s="10"/>
      <c r="Y1041" s="10"/>
      <c r="Z1041" s="10"/>
    </row>
    <row r="1042">
      <c r="A1042" s="9"/>
      <c r="B1042" s="9"/>
      <c r="C1042" s="9"/>
      <c r="D1042" s="9"/>
      <c r="E1042" s="9"/>
      <c r="F1042" s="9"/>
      <c r="G1042" s="9"/>
      <c r="H1042" s="9"/>
      <c r="I1042" s="9"/>
      <c r="J1042" s="9"/>
      <c r="K1042" s="9"/>
      <c r="L1042" s="115"/>
      <c r="M1042" s="115"/>
      <c r="N1042" s="115"/>
      <c r="O1042" s="115"/>
      <c r="P1042" s="9"/>
      <c r="Q1042" s="9"/>
      <c r="R1042" s="9"/>
      <c r="S1042" s="9"/>
      <c r="T1042" s="9"/>
      <c r="U1042" s="9"/>
      <c r="V1042" s="9"/>
      <c r="W1042" s="10"/>
      <c r="X1042" s="10"/>
      <c r="Y1042" s="10"/>
      <c r="Z1042" s="10"/>
    </row>
    <row r="1043">
      <c r="A1043" s="9"/>
      <c r="B1043" s="9"/>
      <c r="C1043" s="9"/>
      <c r="D1043" s="9"/>
      <c r="E1043" s="9"/>
      <c r="F1043" s="9"/>
      <c r="G1043" s="9"/>
      <c r="H1043" s="9"/>
      <c r="I1043" s="9"/>
      <c r="J1043" s="9"/>
      <c r="K1043" s="9"/>
      <c r="L1043" s="115"/>
      <c r="M1043" s="115"/>
      <c r="N1043" s="115"/>
      <c r="O1043" s="115"/>
      <c r="P1043" s="9"/>
      <c r="Q1043" s="9"/>
      <c r="R1043" s="9"/>
      <c r="S1043" s="9"/>
      <c r="T1043" s="9"/>
      <c r="U1043" s="9"/>
      <c r="V1043" s="9"/>
      <c r="W1043" s="10"/>
      <c r="X1043" s="10"/>
      <c r="Y1043" s="10"/>
      <c r="Z1043" s="10"/>
    </row>
    <row r="1044">
      <c r="A1044" s="9"/>
      <c r="B1044" s="9"/>
      <c r="C1044" s="9"/>
      <c r="D1044" s="9"/>
      <c r="E1044" s="9"/>
      <c r="F1044" s="9"/>
      <c r="G1044" s="9"/>
      <c r="H1044" s="9"/>
      <c r="I1044" s="9"/>
      <c r="J1044" s="9"/>
      <c r="K1044" s="9"/>
      <c r="L1044" s="115"/>
      <c r="M1044" s="115"/>
      <c r="N1044" s="115"/>
      <c r="O1044" s="115"/>
      <c r="P1044" s="9"/>
      <c r="Q1044" s="9"/>
      <c r="R1044" s="9"/>
      <c r="S1044" s="9"/>
      <c r="T1044" s="9"/>
      <c r="U1044" s="9"/>
      <c r="V1044" s="9"/>
      <c r="W1044" s="10"/>
      <c r="X1044" s="10"/>
      <c r="Y1044" s="10"/>
      <c r="Z1044" s="10"/>
    </row>
    <row r="1045">
      <c r="A1045" s="9"/>
      <c r="B1045" s="9"/>
      <c r="C1045" s="9"/>
      <c r="D1045" s="9"/>
      <c r="E1045" s="9"/>
      <c r="F1045" s="9"/>
      <c r="G1045" s="9"/>
      <c r="H1045" s="9"/>
      <c r="I1045" s="9"/>
      <c r="J1045" s="9"/>
      <c r="K1045" s="9"/>
      <c r="L1045" s="115"/>
      <c r="M1045" s="115"/>
      <c r="N1045" s="115"/>
      <c r="O1045" s="115"/>
      <c r="P1045" s="9"/>
      <c r="Q1045" s="9"/>
      <c r="R1045" s="9"/>
      <c r="S1045" s="9"/>
      <c r="T1045" s="9"/>
      <c r="U1045" s="9"/>
      <c r="V1045" s="9"/>
      <c r="W1045" s="10"/>
      <c r="X1045" s="10"/>
      <c r="Y1045" s="10"/>
      <c r="Z1045" s="10"/>
    </row>
    <row r="1046">
      <c r="A1046" s="9"/>
      <c r="B1046" s="9"/>
      <c r="C1046" s="9"/>
      <c r="D1046" s="9"/>
      <c r="E1046" s="9"/>
      <c r="F1046" s="9"/>
      <c r="G1046" s="9"/>
      <c r="H1046" s="9"/>
      <c r="I1046" s="9"/>
      <c r="J1046" s="9"/>
      <c r="K1046" s="9"/>
      <c r="L1046" s="115"/>
      <c r="M1046" s="115"/>
      <c r="N1046" s="115"/>
      <c r="O1046" s="115"/>
      <c r="P1046" s="9"/>
      <c r="Q1046" s="9"/>
      <c r="R1046" s="9"/>
      <c r="S1046" s="9"/>
      <c r="T1046" s="9"/>
      <c r="U1046" s="9"/>
      <c r="V1046" s="9"/>
      <c r="W1046" s="10"/>
      <c r="X1046" s="10"/>
      <c r="Y1046" s="10"/>
      <c r="Z1046" s="10"/>
    </row>
    <row r="1047">
      <c r="A1047" s="9"/>
      <c r="B1047" s="9"/>
      <c r="C1047" s="9"/>
      <c r="D1047" s="9"/>
      <c r="E1047" s="9"/>
      <c r="F1047" s="9"/>
      <c r="G1047" s="9"/>
      <c r="H1047" s="9"/>
      <c r="I1047" s="9"/>
      <c r="J1047" s="9"/>
      <c r="K1047" s="9"/>
      <c r="L1047" s="115"/>
      <c r="M1047" s="115"/>
      <c r="N1047" s="115"/>
      <c r="O1047" s="115"/>
      <c r="P1047" s="9"/>
      <c r="Q1047" s="9"/>
      <c r="R1047" s="9"/>
      <c r="S1047" s="9"/>
      <c r="T1047" s="9"/>
      <c r="U1047" s="9"/>
      <c r="V1047" s="9"/>
      <c r="W1047" s="10"/>
      <c r="X1047" s="10"/>
      <c r="Y1047" s="10"/>
      <c r="Z1047" s="10"/>
    </row>
    <row r="1048">
      <c r="A1048" s="9"/>
      <c r="B1048" s="9"/>
      <c r="C1048" s="9"/>
      <c r="D1048" s="9"/>
      <c r="E1048" s="9"/>
      <c r="F1048" s="9"/>
      <c r="G1048" s="9"/>
      <c r="H1048" s="9"/>
      <c r="I1048" s="9"/>
      <c r="J1048" s="9"/>
      <c r="K1048" s="9"/>
      <c r="L1048" s="115"/>
      <c r="M1048" s="115"/>
      <c r="N1048" s="115"/>
      <c r="O1048" s="115"/>
      <c r="P1048" s="9"/>
      <c r="Q1048" s="9"/>
      <c r="R1048" s="9"/>
      <c r="S1048" s="9"/>
      <c r="T1048" s="9"/>
      <c r="U1048" s="9"/>
      <c r="V1048" s="9"/>
      <c r="W1048" s="10"/>
      <c r="X1048" s="10"/>
      <c r="Y1048" s="10"/>
      <c r="Z1048" s="10"/>
    </row>
    <row r="1049">
      <c r="A1049" s="9"/>
      <c r="B1049" s="9"/>
      <c r="C1049" s="9"/>
      <c r="D1049" s="9"/>
      <c r="E1049" s="9"/>
      <c r="F1049" s="9"/>
      <c r="G1049" s="9"/>
      <c r="H1049" s="9"/>
      <c r="I1049" s="9"/>
      <c r="J1049" s="9"/>
      <c r="K1049" s="9"/>
      <c r="L1049" s="115"/>
      <c r="M1049" s="115"/>
      <c r="N1049" s="115"/>
      <c r="O1049" s="115"/>
      <c r="P1049" s="9"/>
      <c r="Q1049" s="9"/>
      <c r="R1049" s="9"/>
      <c r="S1049" s="9"/>
      <c r="T1049" s="9"/>
      <c r="U1049" s="9"/>
      <c r="V1049" s="9"/>
      <c r="W1049" s="10"/>
      <c r="X1049" s="10"/>
      <c r="Y1049" s="10"/>
      <c r="Z1049" s="10"/>
    </row>
    <row r="1050">
      <c r="A1050" s="9"/>
      <c r="B1050" s="9"/>
      <c r="C1050" s="9"/>
      <c r="D1050" s="9"/>
      <c r="E1050" s="9"/>
      <c r="F1050" s="9"/>
      <c r="G1050" s="9"/>
      <c r="H1050" s="9"/>
      <c r="I1050" s="9"/>
      <c r="J1050" s="9"/>
      <c r="K1050" s="9"/>
      <c r="L1050" s="115"/>
      <c r="M1050" s="115"/>
      <c r="N1050" s="115"/>
      <c r="O1050" s="115"/>
      <c r="P1050" s="9"/>
      <c r="Q1050" s="9"/>
      <c r="R1050" s="9"/>
      <c r="S1050" s="9"/>
      <c r="T1050" s="9"/>
      <c r="U1050" s="9"/>
      <c r="V1050" s="9"/>
      <c r="W1050" s="10"/>
      <c r="X1050" s="10"/>
      <c r="Y1050" s="10"/>
      <c r="Z1050" s="10"/>
    </row>
    <row r="1051">
      <c r="A1051" s="9"/>
      <c r="B1051" s="9"/>
      <c r="C1051" s="9"/>
      <c r="D1051" s="9"/>
      <c r="E1051" s="9"/>
      <c r="F1051" s="9"/>
      <c r="G1051" s="9"/>
      <c r="H1051" s="9"/>
      <c r="I1051" s="9"/>
      <c r="J1051" s="9"/>
      <c r="K1051" s="9"/>
      <c r="L1051" s="115"/>
      <c r="M1051" s="115"/>
      <c r="N1051" s="115"/>
      <c r="O1051" s="115"/>
      <c r="P1051" s="9"/>
      <c r="Q1051" s="9"/>
      <c r="R1051" s="9"/>
      <c r="S1051" s="9"/>
      <c r="T1051" s="9"/>
      <c r="U1051" s="9"/>
      <c r="V1051" s="9"/>
      <c r="W1051" s="10"/>
      <c r="X1051" s="10"/>
      <c r="Y1051" s="10"/>
      <c r="Z1051" s="10"/>
    </row>
    <row r="1052">
      <c r="A1052" s="9"/>
      <c r="B1052" s="9"/>
      <c r="C1052" s="9"/>
      <c r="D1052" s="9"/>
      <c r="E1052" s="9"/>
      <c r="F1052" s="9"/>
      <c r="G1052" s="9"/>
      <c r="H1052" s="9"/>
      <c r="I1052" s="9"/>
      <c r="J1052" s="9"/>
      <c r="K1052" s="9"/>
      <c r="L1052" s="115"/>
      <c r="M1052" s="115"/>
      <c r="N1052" s="115"/>
      <c r="O1052" s="115"/>
      <c r="P1052" s="9"/>
      <c r="Q1052" s="9"/>
      <c r="R1052" s="9"/>
      <c r="S1052" s="9"/>
      <c r="T1052" s="9"/>
      <c r="U1052" s="9"/>
      <c r="V1052" s="9"/>
      <c r="W1052" s="10"/>
      <c r="X1052" s="10"/>
      <c r="Y1052" s="10"/>
      <c r="Z1052" s="10"/>
    </row>
    <row r="1053">
      <c r="A1053" s="9"/>
      <c r="B1053" s="9"/>
      <c r="C1053" s="9"/>
      <c r="D1053" s="9"/>
      <c r="E1053" s="9"/>
      <c r="F1053" s="9"/>
      <c r="G1053" s="9"/>
      <c r="H1053" s="9"/>
      <c r="I1053" s="9"/>
      <c r="J1053" s="9"/>
      <c r="K1053" s="9"/>
      <c r="L1053" s="115"/>
      <c r="M1053" s="115"/>
      <c r="N1053" s="115"/>
      <c r="O1053" s="115"/>
      <c r="P1053" s="9"/>
      <c r="Q1053" s="9"/>
      <c r="R1053" s="9"/>
      <c r="S1053" s="9"/>
      <c r="T1053" s="9"/>
      <c r="U1053" s="9"/>
      <c r="V1053" s="9"/>
      <c r="W1053" s="10"/>
      <c r="X1053" s="10"/>
      <c r="Y1053" s="10"/>
      <c r="Z1053" s="10"/>
    </row>
    <row r="1054">
      <c r="A1054" s="9"/>
      <c r="B1054" s="9"/>
      <c r="C1054" s="9"/>
      <c r="D1054" s="9"/>
      <c r="E1054" s="9"/>
      <c r="F1054" s="9"/>
      <c r="G1054" s="9"/>
      <c r="H1054" s="9"/>
      <c r="I1054" s="9"/>
      <c r="J1054" s="9"/>
      <c r="K1054" s="9"/>
      <c r="L1054" s="115"/>
      <c r="M1054" s="115"/>
      <c r="N1054" s="115"/>
      <c r="O1054" s="115"/>
      <c r="P1054" s="9"/>
      <c r="Q1054" s="9"/>
      <c r="R1054" s="9"/>
      <c r="S1054" s="9"/>
      <c r="T1054" s="9"/>
      <c r="U1054" s="9"/>
      <c r="V1054" s="9"/>
      <c r="W1054" s="10"/>
      <c r="X1054" s="10"/>
      <c r="Y1054" s="10"/>
      <c r="Z1054" s="10"/>
    </row>
    <row r="1055">
      <c r="A1055" s="9"/>
      <c r="B1055" s="9"/>
      <c r="C1055" s="9"/>
      <c r="D1055" s="9"/>
      <c r="E1055" s="9"/>
      <c r="F1055" s="9"/>
      <c r="G1055" s="9"/>
      <c r="H1055" s="9"/>
      <c r="I1055" s="9"/>
      <c r="J1055" s="9"/>
      <c r="K1055" s="9"/>
      <c r="L1055" s="115"/>
      <c r="M1055" s="115"/>
      <c r="N1055" s="115"/>
      <c r="O1055" s="115"/>
      <c r="P1055" s="9"/>
      <c r="Q1055" s="9"/>
      <c r="R1055" s="9"/>
      <c r="S1055" s="9"/>
      <c r="T1055" s="9"/>
      <c r="U1055" s="9"/>
      <c r="V1055" s="9"/>
      <c r="W1055" s="10"/>
      <c r="X1055" s="10"/>
      <c r="Y1055" s="10"/>
      <c r="Z1055" s="10"/>
    </row>
    <row r="1056">
      <c r="A1056" s="9"/>
      <c r="B1056" s="9"/>
      <c r="C1056" s="9"/>
      <c r="D1056" s="9"/>
      <c r="E1056" s="9"/>
      <c r="F1056" s="9"/>
      <c r="G1056" s="9"/>
      <c r="H1056" s="9"/>
      <c r="I1056" s="9"/>
      <c r="J1056" s="9"/>
      <c r="K1056" s="9"/>
      <c r="L1056" s="115"/>
      <c r="M1056" s="115"/>
      <c r="N1056" s="115"/>
      <c r="O1056" s="115"/>
      <c r="P1056" s="9"/>
      <c r="Q1056" s="9"/>
      <c r="R1056" s="9"/>
      <c r="S1056" s="9"/>
      <c r="T1056" s="9"/>
      <c r="U1056" s="9"/>
      <c r="V1056" s="9"/>
      <c r="W1056" s="10"/>
      <c r="X1056" s="10"/>
      <c r="Y1056" s="10"/>
      <c r="Z1056" s="10"/>
    </row>
    <row r="1057">
      <c r="A1057" s="9"/>
      <c r="B1057" s="9"/>
      <c r="C1057" s="9"/>
      <c r="D1057" s="9"/>
      <c r="E1057" s="9"/>
      <c r="F1057" s="9"/>
      <c r="G1057" s="9"/>
      <c r="H1057" s="9"/>
      <c r="I1057" s="9"/>
      <c r="J1057" s="9"/>
      <c r="K1057" s="9"/>
      <c r="L1057" s="115"/>
      <c r="M1057" s="115"/>
      <c r="N1057" s="115"/>
      <c r="O1057" s="115"/>
      <c r="P1057" s="9"/>
      <c r="Q1057" s="9"/>
      <c r="R1057" s="9"/>
      <c r="S1057" s="9"/>
      <c r="T1057" s="9"/>
      <c r="U1057" s="9"/>
      <c r="V1057" s="9"/>
      <c r="W1057" s="10"/>
      <c r="X1057" s="10"/>
      <c r="Y1057" s="10"/>
      <c r="Z1057" s="10"/>
    </row>
    <row r="1058">
      <c r="A1058" s="9"/>
      <c r="B1058" s="9"/>
      <c r="C1058" s="9"/>
      <c r="D1058" s="9"/>
      <c r="E1058" s="9"/>
      <c r="F1058" s="9"/>
      <c r="G1058" s="9"/>
      <c r="H1058" s="9"/>
      <c r="I1058" s="9"/>
      <c r="J1058" s="9"/>
      <c r="K1058" s="9"/>
      <c r="L1058" s="115"/>
      <c r="M1058" s="115"/>
      <c r="N1058" s="115"/>
      <c r="O1058" s="115"/>
      <c r="P1058" s="9"/>
      <c r="Q1058" s="9"/>
      <c r="R1058" s="9"/>
      <c r="S1058" s="9"/>
      <c r="T1058" s="9"/>
      <c r="U1058" s="9"/>
      <c r="V1058" s="9"/>
      <c r="W1058" s="10"/>
      <c r="X1058" s="10"/>
      <c r="Y1058" s="10"/>
      <c r="Z1058" s="10"/>
    </row>
    <row r="1059">
      <c r="A1059" s="9"/>
      <c r="B1059" s="9"/>
      <c r="C1059" s="9"/>
      <c r="D1059" s="9"/>
      <c r="E1059" s="9"/>
      <c r="F1059" s="9"/>
      <c r="G1059" s="9"/>
      <c r="H1059" s="9"/>
      <c r="I1059" s="9"/>
      <c r="J1059" s="9"/>
      <c r="K1059" s="9"/>
      <c r="L1059" s="115"/>
      <c r="M1059" s="115"/>
      <c r="N1059" s="115"/>
      <c r="O1059" s="115"/>
      <c r="P1059" s="9"/>
      <c r="Q1059" s="9"/>
      <c r="R1059" s="9"/>
      <c r="S1059" s="9"/>
      <c r="T1059" s="9"/>
      <c r="U1059" s="9"/>
      <c r="V1059" s="9"/>
      <c r="W1059" s="10"/>
      <c r="X1059" s="10"/>
      <c r="Y1059" s="10"/>
      <c r="Z1059" s="10"/>
    </row>
    <row r="1060">
      <c r="A1060" s="9"/>
      <c r="B1060" s="9"/>
      <c r="C1060" s="9"/>
      <c r="D1060" s="9"/>
      <c r="E1060" s="9"/>
      <c r="F1060" s="9"/>
      <c r="G1060" s="9"/>
      <c r="H1060" s="9"/>
      <c r="I1060" s="9"/>
      <c r="J1060" s="9"/>
      <c r="K1060" s="9"/>
      <c r="L1060" s="115"/>
      <c r="M1060" s="115"/>
      <c r="N1060" s="115"/>
      <c r="O1060" s="115"/>
      <c r="P1060" s="9"/>
      <c r="Q1060" s="9"/>
      <c r="R1060" s="9"/>
      <c r="S1060" s="9"/>
      <c r="T1060" s="9"/>
      <c r="U1060" s="9"/>
      <c r="V1060" s="9"/>
      <c r="W1060" s="10"/>
      <c r="X1060" s="10"/>
      <c r="Y1060" s="10"/>
      <c r="Z1060" s="10"/>
    </row>
    <row r="1061">
      <c r="A1061" s="9"/>
      <c r="B1061" s="9"/>
      <c r="C1061" s="9"/>
      <c r="D1061" s="9"/>
      <c r="E1061" s="9"/>
      <c r="F1061" s="9"/>
      <c r="G1061" s="9"/>
      <c r="H1061" s="9"/>
      <c r="I1061" s="9"/>
      <c r="J1061" s="9"/>
      <c r="K1061" s="9"/>
      <c r="L1061" s="115"/>
      <c r="M1061" s="115"/>
      <c r="N1061" s="115"/>
      <c r="O1061" s="115"/>
      <c r="P1061" s="9"/>
      <c r="Q1061" s="9"/>
      <c r="R1061" s="9"/>
      <c r="S1061" s="9"/>
      <c r="T1061" s="9"/>
      <c r="U1061" s="9"/>
      <c r="V1061" s="9"/>
      <c r="W1061" s="10"/>
      <c r="X1061" s="10"/>
      <c r="Y1061" s="10"/>
      <c r="Z1061" s="10"/>
    </row>
    <row r="1062">
      <c r="A1062" s="9"/>
      <c r="B1062" s="9"/>
      <c r="C1062" s="9"/>
      <c r="D1062" s="9"/>
      <c r="E1062" s="9"/>
      <c r="F1062" s="9"/>
      <c r="G1062" s="9"/>
      <c r="H1062" s="9"/>
      <c r="I1062" s="9"/>
      <c r="J1062" s="9"/>
      <c r="K1062" s="9"/>
      <c r="L1062" s="115"/>
      <c r="M1062" s="115"/>
      <c r="N1062" s="115"/>
      <c r="O1062" s="115"/>
      <c r="P1062" s="9"/>
      <c r="Q1062" s="9"/>
      <c r="R1062" s="9"/>
      <c r="S1062" s="9"/>
      <c r="T1062" s="9"/>
      <c r="U1062" s="9"/>
      <c r="V1062" s="9"/>
      <c r="W1062" s="10"/>
      <c r="X1062" s="10"/>
      <c r="Y1062" s="10"/>
      <c r="Z1062" s="10"/>
    </row>
    <row r="1063">
      <c r="A1063" s="9"/>
      <c r="B1063" s="9"/>
      <c r="C1063" s="9"/>
      <c r="D1063" s="9"/>
      <c r="E1063" s="9"/>
      <c r="F1063" s="9"/>
      <c r="G1063" s="9"/>
      <c r="H1063" s="9"/>
      <c r="I1063" s="9"/>
      <c r="J1063" s="9"/>
      <c r="K1063" s="9"/>
      <c r="L1063" s="115"/>
      <c r="M1063" s="115"/>
      <c r="N1063" s="115"/>
      <c r="O1063" s="115"/>
      <c r="P1063" s="9"/>
      <c r="Q1063" s="9"/>
      <c r="R1063" s="9"/>
      <c r="S1063" s="9"/>
      <c r="T1063" s="9"/>
      <c r="U1063" s="9"/>
      <c r="V1063" s="9"/>
      <c r="W1063" s="10"/>
      <c r="X1063" s="10"/>
      <c r="Y1063" s="10"/>
      <c r="Z1063" s="10"/>
    </row>
    <row r="1064">
      <c r="A1064" s="9"/>
      <c r="B1064" s="9"/>
      <c r="C1064" s="9"/>
      <c r="D1064" s="9"/>
      <c r="E1064" s="9"/>
      <c r="F1064" s="9"/>
      <c r="G1064" s="9"/>
      <c r="H1064" s="9"/>
      <c r="I1064" s="9"/>
      <c r="J1064" s="9"/>
      <c r="K1064" s="9"/>
      <c r="L1064" s="115"/>
      <c r="M1064" s="115"/>
      <c r="N1064" s="115"/>
      <c r="O1064" s="115"/>
      <c r="P1064" s="9"/>
      <c r="Q1064" s="9"/>
      <c r="R1064" s="9"/>
      <c r="S1064" s="9"/>
      <c r="T1064" s="9"/>
      <c r="U1064" s="9"/>
      <c r="V1064" s="9"/>
      <c r="W1064" s="10"/>
      <c r="X1064" s="10"/>
      <c r="Y1064" s="10"/>
      <c r="Z1064" s="10"/>
    </row>
    <row r="1065">
      <c r="A1065" s="9"/>
      <c r="B1065" s="9"/>
      <c r="C1065" s="9"/>
      <c r="D1065" s="9"/>
      <c r="E1065" s="9"/>
      <c r="F1065" s="9"/>
      <c r="G1065" s="9"/>
      <c r="H1065" s="9"/>
      <c r="I1065" s="9"/>
      <c r="J1065" s="9"/>
      <c r="K1065" s="9"/>
      <c r="L1065" s="115"/>
      <c r="M1065" s="115"/>
      <c r="N1065" s="115"/>
      <c r="O1065" s="115"/>
      <c r="P1065" s="9"/>
      <c r="Q1065" s="9"/>
      <c r="R1065" s="9"/>
      <c r="S1065" s="9"/>
      <c r="T1065" s="9"/>
      <c r="U1065" s="9"/>
      <c r="V1065" s="9"/>
      <c r="W1065" s="10"/>
      <c r="X1065" s="10"/>
      <c r="Y1065" s="10"/>
      <c r="Z1065" s="10"/>
    </row>
    <row r="1066">
      <c r="A1066" s="9"/>
      <c r="B1066" s="9"/>
      <c r="C1066" s="9"/>
      <c r="D1066" s="9"/>
      <c r="E1066" s="9"/>
      <c r="F1066" s="9"/>
      <c r="G1066" s="9"/>
      <c r="H1066" s="9"/>
      <c r="I1066" s="9"/>
      <c r="J1066" s="9"/>
      <c r="K1066" s="9"/>
      <c r="L1066" s="115"/>
      <c r="M1066" s="115"/>
      <c r="N1066" s="115"/>
      <c r="O1066" s="115"/>
      <c r="P1066" s="9"/>
      <c r="Q1066" s="9"/>
      <c r="R1066" s="9"/>
      <c r="S1066" s="9"/>
      <c r="T1066" s="9"/>
      <c r="U1066" s="9"/>
      <c r="V1066" s="9"/>
      <c r="W1066" s="10"/>
      <c r="X1066" s="10"/>
      <c r="Y1066" s="10"/>
      <c r="Z1066" s="10"/>
    </row>
    <row r="1067">
      <c r="A1067" s="9"/>
      <c r="B1067" s="9"/>
      <c r="C1067" s="9"/>
      <c r="D1067" s="9"/>
      <c r="E1067" s="9"/>
      <c r="F1067" s="9"/>
      <c r="G1067" s="9"/>
      <c r="H1067" s="9"/>
      <c r="I1067" s="9"/>
      <c r="J1067" s="9"/>
      <c r="K1067" s="9"/>
      <c r="L1067" s="115"/>
      <c r="M1067" s="115"/>
      <c r="N1067" s="115"/>
      <c r="O1067" s="115"/>
      <c r="P1067" s="9"/>
      <c r="Q1067" s="9"/>
      <c r="R1067" s="9"/>
      <c r="S1067" s="9"/>
      <c r="T1067" s="9"/>
      <c r="U1067" s="9"/>
      <c r="V1067" s="9"/>
      <c r="W1067" s="10"/>
      <c r="X1067" s="10"/>
      <c r="Y1067" s="10"/>
      <c r="Z1067" s="10"/>
    </row>
    <row r="1068">
      <c r="A1068" s="9"/>
      <c r="B1068" s="9"/>
      <c r="C1068" s="9"/>
      <c r="D1068" s="9"/>
      <c r="E1068" s="9"/>
      <c r="F1068" s="9"/>
      <c r="G1068" s="9"/>
      <c r="H1068" s="9"/>
      <c r="I1068" s="9"/>
      <c r="J1068" s="9"/>
      <c r="K1068" s="9"/>
      <c r="L1068" s="115"/>
      <c r="M1068" s="115"/>
      <c r="N1068" s="115"/>
      <c r="O1068" s="115"/>
      <c r="P1068" s="9"/>
      <c r="Q1068" s="9"/>
      <c r="R1068" s="9"/>
      <c r="S1068" s="9"/>
      <c r="T1068" s="9"/>
      <c r="U1068" s="9"/>
      <c r="V1068" s="9"/>
      <c r="W1068" s="10"/>
      <c r="X1068" s="10"/>
      <c r="Y1068" s="10"/>
      <c r="Z1068" s="10"/>
    </row>
    <row r="1069">
      <c r="A1069" s="9"/>
      <c r="B1069" s="9"/>
      <c r="C1069" s="9"/>
      <c r="D1069" s="9"/>
      <c r="E1069" s="9"/>
      <c r="F1069" s="9"/>
      <c r="G1069" s="9"/>
      <c r="H1069" s="9"/>
      <c r="I1069" s="9"/>
      <c r="J1069" s="9"/>
      <c r="K1069" s="9"/>
      <c r="L1069" s="115"/>
      <c r="M1069" s="115"/>
      <c r="N1069" s="115"/>
      <c r="O1069" s="115"/>
      <c r="P1069" s="9"/>
      <c r="Q1069" s="9"/>
      <c r="R1069" s="9"/>
      <c r="S1069" s="9"/>
      <c r="T1069" s="9"/>
      <c r="U1069" s="9"/>
      <c r="V1069" s="9"/>
      <c r="W1069" s="10"/>
      <c r="X1069" s="10"/>
      <c r="Y1069" s="10"/>
      <c r="Z1069" s="10"/>
    </row>
    <row r="1070">
      <c r="A1070" s="9"/>
      <c r="B1070" s="9"/>
      <c r="C1070" s="9"/>
      <c r="D1070" s="9"/>
      <c r="E1070" s="9"/>
      <c r="F1070" s="9"/>
      <c r="G1070" s="9"/>
      <c r="H1070" s="9"/>
      <c r="I1070" s="9"/>
      <c r="J1070" s="9"/>
      <c r="K1070" s="9"/>
      <c r="L1070" s="115"/>
      <c r="M1070" s="115"/>
      <c r="N1070" s="115"/>
      <c r="O1070" s="115"/>
      <c r="P1070" s="9"/>
      <c r="Q1070" s="9"/>
      <c r="R1070" s="9"/>
      <c r="S1070" s="9"/>
      <c r="T1070" s="9"/>
      <c r="U1070" s="9"/>
      <c r="V1070" s="9"/>
      <c r="W1070" s="10"/>
      <c r="X1070" s="10"/>
      <c r="Y1070" s="10"/>
      <c r="Z1070" s="10"/>
    </row>
    <row r="1071">
      <c r="A1071" s="9"/>
      <c r="B1071" s="9"/>
      <c r="C1071" s="9"/>
      <c r="D1071" s="9"/>
      <c r="E1071" s="9"/>
      <c r="F1071" s="9"/>
      <c r="G1071" s="9"/>
      <c r="H1071" s="9"/>
      <c r="I1071" s="9"/>
      <c r="J1071" s="9"/>
      <c r="K1071" s="9"/>
      <c r="L1071" s="115"/>
      <c r="M1071" s="115"/>
      <c r="N1071" s="115"/>
      <c r="O1071" s="115"/>
      <c r="P1071" s="9"/>
      <c r="Q1071" s="9"/>
      <c r="R1071" s="9"/>
      <c r="S1071" s="9"/>
      <c r="T1071" s="9"/>
      <c r="U1071" s="9"/>
      <c r="V1071" s="9"/>
      <c r="W1071" s="10"/>
      <c r="X1071" s="10"/>
      <c r="Y1071" s="10"/>
      <c r="Z1071" s="10"/>
    </row>
    <row r="1072">
      <c r="A1072" s="9"/>
      <c r="B1072" s="9"/>
      <c r="C1072" s="9"/>
      <c r="D1072" s="9"/>
      <c r="E1072" s="9"/>
      <c r="F1072" s="9"/>
      <c r="G1072" s="9"/>
      <c r="H1072" s="9"/>
      <c r="I1072" s="9"/>
      <c r="J1072" s="9"/>
      <c r="K1072" s="9"/>
      <c r="L1072" s="115"/>
      <c r="M1072" s="115"/>
      <c r="N1072" s="115"/>
      <c r="O1072" s="115"/>
      <c r="P1072" s="9"/>
      <c r="Q1072" s="9"/>
      <c r="R1072" s="9"/>
      <c r="S1072" s="9"/>
      <c r="T1072" s="9"/>
      <c r="U1072" s="9"/>
      <c r="V1072" s="9"/>
      <c r="W1072" s="10"/>
      <c r="X1072" s="10"/>
      <c r="Y1072" s="10"/>
      <c r="Z1072" s="10"/>
    </row>
    <row r="1073">
      <c r="A1073" s="9"/>
      <c r="B1073" s="9"/>
      <c r="C1073" s="9"/>
      <c r="D1073" s="9"/>
      <c r="E1073" s="9"/>
      <c r="F1073" s="9"/>
      <c r="G1073" s="9"/>
      <c r="H1073" s="9"/>
      <c r="I1073" s="9"/>
      <c r="J1073" s="9"/>
      <c r="K1073" s="9"/>
      <c r="L1073" s="115"/>
      <c r="M1073" s="115"/>
      <c r="N1073" s="115"/>
      <c r="O1073" s="115"/>
      <c r="P1073" s="9"/>
      <c r="Q1073" s="9"/>
      <c r="R1073" s="9"/>
      <c r="S1073" s="9"/>
      <c r="T1073" s="9"/>
      <c r="U1073" s="9"/>
      <c r="V1073" s="9"/>
      <c r="W1073" s="10"/>
      <c r="X1073" s="10"/>
      <c r="Y1073" s="10"/>
      <c r="Z1073" s="10"/>
    </row>
    <row r="1074">
      <c r="A1074" s="9"/>
      <c r="B1074" s="9"/>
      <c r="C1074" s="9"/>
      <c r="D1074" s="9"/>
      <c r="E1074" s="9"/>
      <c r="F1074" s="9"/>
      <c r="G1074" s="9"/>
      <c r="H1074" s="9"/>
      <c r="I1074" s="9"/>
      <c r="J1074" s="9"/>
      <c r="K1074" s="9"/>
      <c r="L1074" s="115"/>
      <c r="M1074" s="115"/>
      <c r="N1074" s="115"/>
      <c r="O1074" s="115"/>
      <c r="P1074" s="9"/>
      <c r="Q1074" s="9"/>
      <c r="R1074" s="9"/>
      <c r="S1074" s="9"/>
      <c r="T1074" s="9"/>
      <c r="U1074" s="9"/>
      <c r="V1074" s="9"/>
      <c r="W1074" s="10"/>
      <c r="X1074" s="10"/>
      <c r="Y1074" s="10"/>
      <c r="Z1074" s="10"/>
    </row>
    <row r="1075">
      <c r="A1075" s="9"/>
      <c r="B1075" s="9"/>
      <c r="C1075" s="9"/>
      <c r="D1075" s="9"/>
      <c r="E1075" s="9"/>
      <c r="F1075" s="9"/>
      <c r="G1075" s="9"/>
      <c r="H1075" s="9"/>
      <c r="I1075" s="9"/>
      <c r="J1075" s="9"/>
      <c r="K1075" s="9"/>
      <c r="L1075" s="115"/>
      <c r="M1075" s="115"/>
      <c r="N1075" s="115"/>
      <c r="O1075" s="115"/>
      <c r="P1075" s="9"/>
      <c r="Q1075" s="9"/>
      <c r="R1075" s="9"/>
      <c r="S1075" s="9"/>
      <c r="T1075" s="9"/>
      <c r="U1075" s="9"/>
      <c r="V1075" s="9"/>
      <c r="W1075" s="10"/>
      <c r="X1075" s="10"/>
      <c r="Y1075" s="10"/>
      <c r="Z1075" s="10"/>
    </row>
    <row r="1076">
      <c r="A1076" s="9"/>
      <c r="B1076" s="9"/>
      <c r="C1076" s="9"/>
      <c r="D1076" s="9"/>
      <c r="E1076" s="9"/>
      <c r="F1076" s="9"/>
      <c r="G1076" s="9"/>
      <c r="H1076" s="9"/>
      <c r="I1076" s="9"/>
      <c r="J1076" s="9"/>
      <c r="K1076" s="9"/>
      <c r="L1076" s="115"/>
      <c r="M1076" s="115"/>
      <c r="N1076" s="115"/>
      <c r="O1076" s="115"/>
      <c r="P1076" s="9"/>
      <c r="Q1076" s="9"/>
      <c r="R1076" s="9"/>
      <c r="S1076" s="9"/>
      <c r="T1076" s="9"/>
      <c r="U1076" s="9"/>
      <c r="V1076" s="9"/>
      <c r="W1076" s="10"/>
      <c r="X1076" s="10"/>
      <c r="Y1076" s="10"/>
      <c r="Z1076" s="10"/>
    </row>
    <row r="1077">
      <c r="A1077" s="9"/>
      <c r="B1077" s="9"/>
      <c r="C1077" s="9"/>
      <c r="D1077" s="9"/>
      <c r="E1077" s="9"/>
      <c r="F1077" s="9"/>
      <c r="G1077" s="9"/>
      <c r="H1077" s="9"/>
      <c r="I1077" s="9"/>
      <c r="J1077" s="9"/>
      <c r="K1077" s="9"/>
      <c r="L1077" s="115"/>
      <c r="M1077" s="115"/>
      <c r="N1077" s="115"/>
      <c r="O1077" s="115"/>
      <c r="P1077" s="9"/>
      <c r="Q1077" s="9"/>
      <c r="R1077" s="9"/>
      <c r="S1077" s="9"/>
      <c r="T1077" s="9"/>
      <c r="U1077" s="9"/>
      <c r="V1077" s="9"/>
      <c r="W1077" s="10"/>
      <c r="X1077" s="10"/>
      <c r="Y1077" s="10"/>
      <c r="Z1077" s="10"/>
    </row>
    <row r="1078">
      <c r="A1078" s="9"/>
      <c r="B1078" s="9"/>
      <c r="C1078" s="9"/>
      <c r="D1078" s="9"/>
      <c r="E1078" s="9"/>
      <c r="F1078" s="9"/>
      <c r="G1078" s="9"/>
      <c r="H1078" s="9"/>
      <c r="I1078" s="9"/>
      <c r="J1078" s="9"/>
      <c r="K1078" s="9"/>
      <c r="L1078" s="115"/>
      <c r="M1078" s="115"/>
      <c r="N1078" s="115"/>
      <c r="O1078" s="115"/>
      <c r="P1078" s="9"/>
      <c r="Q1078" s="9"/>
      <c r="R1078" s="9"/>
      <c r="S1078" s="9"/>
      <c r="T1078" s="9"/>
      <c r="U1078" s="9"/>
      <c r="V1078" s="9"/>
      <c r="W1078" s="10"/>
      <c r="X1078" s="10"/>
      <c r="Y1078" s="10"/>
      <c r="Z1078" s="10"/>
    </row>
    <row r="1079">
      <c r="A1079" s="9"/>
      <c r="B1079" s="9"/>
      <c r="C1079" s="9"/>
      <c r="D1079" s="9"/>
      <c r="E1079" s="9"/>
      <c r="F1079" s="9"/>
      <c r="G1079" s="9"/>
      <c r="H1079" s="9"/>
      <c r="I1079" s="9"/>
      <c r="J1079" s="9"/>
      <c r="K1079" s="9"/>
      <c r="L1079" s="115"/>
      <c r="M1079" s="115"/>
      <c r="N1079" s="115"/>
      <c r="O1079" s="115"/>
      <c r="P1079" s="9"/>
      <c r="Q1079" s="9"/>
      <c r="R1079" s="9"/>
      <c r="S1079" s="9"/>
      <c r="T1079" s="9"/>
      <c r="U1079" s="9"/>
      <c r="V1079" s="9"/>
      <c r="W1079" s="10"/>
      <c r="X1079" s="10"/>
      <c r="Y1079" s="10"/>
      <c r="Z1079" s="10"/>
    </row>
    <row r="1080">
      <c r="A1080" s="9"/>
      <c r="B1080" s="9"/>
      <c r="C1080" s="9"/>
      <c r="D1080" s="9"/>
      <c r="E1080" s="9"/>
      <c r="F1080" s="9"/>
      <c r="G1080" s="9"/>
      <c r="H1080" s="9"/>
      <c r="I1080" s="9"/>
      <c r="J1080" s="9"/>
      <c r="K1080" s="9"/>
      <c r="L1080" s="115"/>
      <c r="M1080" s="115"/>
      <c r="N1080" s="115"/>
      <c r="O1080" s="115"/>
      <c r="P1080" s="9"/>
      <c r="Q1080" s="9"/>
      <c r="R1080" s="9"/>
      <c r="S1080" s="9"/>
      <c r="T1080" s="9"/>
      <c r="U1080" s="9"/>
      <c r="V1080" s="9"/>
      <c r="W1080" s="10"/>
      <c r="X1080" s="10"/>
      <c r="Y1080" s="10"/>
      <c r="Z1080" s="10"/>
    </row>
    <row r="1081">
      <c r="A1081" s="9"/>
      <c r="B1081" s="9"/>
      <c r="C1081" s="9"/>
      <c r="D1081" s="9"/>
      <c r="E1081" s="9"/>
      <c r="F1081" s="9"/>
      <c r="G1081" s="9"/>
      <c r="H1081" s="9"/>
      <c r="I1081" s="9"/>
      <c r="J1081" s="9"/>
      <c r="K1081" s="9"/>
      <c r="L1081" s="115"/>
      <c r="M1081" s="115"/>
      <c r="N1081" s="115"/>
      <c r="O1081" s="115"/>
      <c r="P1081" s="9"/>
      <c r="Q1081" s="9"/>
      <c r="R1081" s="9"/>
      <c r="S1081" s="9"/>
      <c r="T1081" s="9"/>
      <c r="U1081" s="9"/>
      <c r="V1081" s="9"/>
      <c r="W1081" s="10"/>
      <c r="X1081" s="10"/>
      <c r="Y1081" s="10"/>
      <c r="Z1081" s="10"/>
    </row>
    <row r="1082">
      <c r="A1082" s="9"/>
      <c r="B1082" s="9"/>
      <c r="C1082" s="9"/>
      <c r="D1082" s="9"/>
      <c r="E1082" s="9"/>
      <c r="F1082" s="9"/>
      <c r="G1082" s="9"/>
      <c r="H1082" s="9"/>
      <c r="I1082" s="9"/>
      <c r="J1082" s="9"/>
      <c r="K1082" s="9"/>
      <c r="L1082" s="115"/>
      <c r="M1082" s="115"/>
      <c r="N1082" s="115"/>
      <c r="O1082" s="115"/>
      <c r="P1082" s="9"/>
      <c r="Q1082" s="9"/>
      <c r="R1082" s="9"/>
      <c r="S1082" s="9"/>
      <c r="T1082" s="9"/>
      <c r="U1082" s="9"/>
      <c r="V1082" s="9"/>
      <c r="W1082" s="10"/>
      <c r="X1082" s="10"/>
      <c r="Y1082" s="10"/>
      <c r="Z1082" s="10"/>
    </row>
    <row r="1083">
      <c r="A1083" s="9"/>
      <c r="B1083" s="9"/>
      <c r="C1083" s="9"/>
      <c r="D1083" s="9"/>
      <c r="E1083" s="9"/>
      <c r="F1083" s="9"/>
      <c r="G1083" s="9"/>
      <c r="H1083" s="9"/>
      <c r="I1083" s="9"/>
      <c r="J1083" s="9"/>
      <c r="K1083" s="9"/>
      <c r="L1083" s="115"/>
      <c r="M1083" s="115"/>
      <c r="N1083" s="115"/>
      <c r="O1083" s="115"/>
      <c r="P1083" s="9"/>
      <c r="Q1083" s="9"/>
      <c r="R1083" s="9"/>
      <c r="S1083" s="9"/>
      <c r="T1083" s="9"/>
      <c r="U1083" s="9"/>
      <c r="V1083" s="9"/>
      <c r="W1083" s="10"/>
      <c r="X1083" s="10"/>
      <c r="Y1083" s="10"/>
      <c r="Z1083" s="10"/>
    </row>
    <row r="1084">
      <c r="A1084" s="9"/>
      <c r="B1084" s="9"/>
      <c r="C1084" s="9"/>
      <c r="D1084" s="9"/>
      <c r="E1084" s="9"/>
      <c r="F1084" s="9"/>
      <c r="G1084" s="9"/>
      <c r="H1084" s="9"/>
      <c r="I1084" s="9"/>
      <c r="J1084" s="9"/>
      <c r="K1084" s="9"/>
      <c r="L1084" s="115"/>
      <c r="M1084" s="115"/>
      <c r="N1084" s="115"/>
      <c r="O1084" s="115"/>
      <c r="P1084" s="9"/>
      <c r="Q1084" s="9"/>
      <c r="R1084" s="9"/>
      <c r="S1084" s="9"/>
      <c r="T1084" s="9"/>
      <c r="U1084" s="9"/>
      <c r="V1084" s="9"/>
      <c r="W1084" s="10"/>
      <c r="X1084" s="10"/>
      <c r="Y1084" s="10"/>
      <c r="Z1084" s="10"/>
    </row>
    <row r="1085">
      <c r="A1085" s="9"/>
      <c r="B1085" s="9"/>
      <c r="C1085" s="9"/>
      <c r="D1085" s="9"/>
      <c r="E1085" s="9"/>
      <c r="F1085" s="9"/>
      <c r="G1085" s="9"/>
      <c r="H1085" s="9"/>
      <c r="I1085" s="9"/>
      <c r="J1085" s="9"/>
      <c r="K1085" s="9"/>
      <c r="L1085" s="115"/>
      <c r="M1085" s="115"/>
      <c r="N1085" s="115"/>
      <c r="O1085" s="115"/>
      <c r="P1085" s="9"/>
      <c r="Q1085" s="9"/>
      <c r="R1085" s="9"/>
      <c r="S1085" s="9"/>
      <c r="T1085" s="9"/>
      <c r="U1085" s="9"/>
      <c r="V1085" s="9"/>
      <c r="W1085" s="10"/>
      <c r="X1085" s="10"/>
      <c r="Y1085" s="10"/>
      <c r="Z1085" s="10"/>
    </row>
    <row r="1086">
      <c r="A1086" s="9"/>
      <c r="B1086" s="9"/>
      <c r="C1086" s="9"/>
      <c r="D1086" s="9"/>
      <c r="E1086" s="9"/>
      <c r="F1086" s="9"/>
      <c r="G1086" s="9"/>
      <c r="H1086" s="9"/>
      <c r="I1086" s="9"/>
      <c r="J1086" s="9"/>
      <c r="K1086" s="9"/>
      <c r="L1086" s="115"/>
      <c r="M1086" s="115"/>
      <c r="N1086" s="115"/>
      <c r="O1086" s="115"/>
      <c r="P1086" s="9"/>
      <c r="Q1086" s="9"/>
      <c r="R1086" s="9"/>
      <c r="S1086" s="9"/>
      <c r="T1086" s="9"/>
      <c r="U1086" s="9"/>
      <c r="V1086" s="9"/>
      <c r="W1086" s="10"/>
      <c r="X1086" s="10"/>
      <c r="Y1086" s="10"/>
      <c r="Z1086" s="10"/>
    </row>
    <row r="1087">
      <c r="A1087" s="9"/>
      <c r="B1087" s="9"/>
      <c r="C1087" s="9"/>
      <c r="D1087" s="9"/>
      <c r="E1087" s="9"/>
      <c r="F1087" s="9"/>
      <c r="G1087" s="9"/>
      <c r="H1087" s="9"/>
      <c r="I1087" s="9"/>
      <c r="J1087" s="9"/>
      <c r="K1087" s="9"/>
      <c r="L1087" s="115"/>
      <c r="M1087" s="115"/>
      <c r="N1087" s="115"/>
      <c r="O1087" s="115"/>
      <c r="P1087" s="9"/>
      <c r="Q1087" s="9"/>
      <c r="R1087" s="9"/>
      <c r="S1087" s="9"/>
      <c r="T1087" s="9"/>
      <c r="U1087" s="9"/>
      <c r="V1087" s="9"/>
      <c r="W1087" s="10"/>
      <c r="X1087" s="10"/>
      <c r="Y1087" s="10"/>
      <c r="Z1087" s="10"/>
    </row>
    <row r="1088">
      <c r="A1088" s="9"/>
      <c r="B1088" s="9"/>
      <c r="C1088" s="9"/>
      <c r="D1088" s="9"/>
      <c r="E1088" s="9"/>
      <c r="F1088" s="9"/>
      <c r="G1088" s="9"/>
      <c r="H1088" s="9"/>
      <c r="I1088" s="9"/>
      <c r="J1088" s="9"/>
      <c r="K1088" s="9"/>
      <c r="L1088" s="115"/>
      <c r="M1088" s="115"/>
      <c r="N1088" s="115"/>
      <c r="O1088" s="115"/>
      <c r="P1088" s="9"/>
      <c r="Q1088" s="9"/>
      <c r="R1088" s="9"/>
      <c r="S1088" s="9"/>
      <c r="T1088" s="9"/>
      <c r="U1088" s="9"/>
      <c r="V1088" s="9"/>
      <c r="W1088" s="10"/>
      <c r="X1088" s="10"/>
      <c r="Y1088" s="10"/>
      <c r="Z1088" s="10"/>
    </row>
    <row r="1089">
      <c r="A1089" s="9"/>
      <c r="B1089" s="9"/>
      <c r="C1089" s="9"/>
      <c r="D1089" s="9"/>
      <c r="E1089" s="9"/>
      <c r="F1089" s="9"/>
      <c r="G1089" s="9"/>
      <c r="H1089" s="9"/>
      <c r="I1089" s="9"/>
      <c r="J1089" s="9"/>
      <c r="K1089" s="9"/>
      <c r="L1089" s="115"/>
      <c r="M1089" s="115"/>
      <c r="N1089" s="115"/>
      <c r="O1089" s="115"/>
      <c r="P1089" s="9"/>
      <c r="Q1089" s="9"/>
      <c r="R1089" s="9"/>
      <c r="S1089" s="9"/>
      <c r="T1089" s="9"/>
      <c r="U1089" s="9"/>
      <c r="V1089" s="9"/>
      <c r="W1089" s="10"/>
      <c r="X1089" s="10"/>
      <c r="Y1089" s="10"/>
      <c r="Z1089" s="10"/>
    </row>
    <row r="1090">
      <c r="A1090" s="9"/>
      <c r="B1090" s="9"/>
      <c r="C1090" s="9"/>
      <c r="D1090" s="9"/>
      <c r="E1090" s="9"/>
      <c r="F1090" s="9"/>
      <c r="G1090" s="9"/>
      <c r="H1090" s="9"/>
      <c r="I1090" s="9"/>
      <c r="J1090" s="9"/>
      <c r="K1090" s="9"/>
      <c r="L1090" s="115"/>
      <c r="M1090" s="115"/>
      <c r="N1090" s="115"/>
      <c r="O1090" s="115"/>
      <c r="P1090" s="9"/>
      <c r="Q1090" s="9"/>
      <c r="R1090" s="9"/>
      <c r="S1090" s="9"/>
      <c r="T1090" s="9"/>
      <c r="U1090" s="9"/>
      <c r="V1090" s="9"/>
      <c r="W1090" s="10"/>
      <c r="X1090" s="10"/>
      <c r="Y1090" s="10"/>
      <c r="Z1090" s="10"/>
    </row>
    <row r="1091">
      <c r="A1091" s="9"/>
      <c r="B1091" s="9"/>
      <c r="C1091" s="9"/>
      <c r="D1091" s="9"/>
      <c r="E1091" s="9"/>
      <c r="F1091" s="9"/>
      <c r="G1091" s="9"/>
      <c r="H1091" s="9"/>
      <c r="I1091" s="9"/>
      <c r="J1091" s="9"/>
      <c r="K1091" s="9"/>
      <c r="L1091" s="115"/>
      <c r="M1091" s="115"/>
      <c r="N1091" s="115"/>
      <c r="O1091" s="115"/>
      <c r="P1091" s="9"/>
      <c r="Q1091" s="9"/>
      <c r="R1091" s="9"/>
      <c r="S1091" s="9"/>
      <c r="T1091" s="9"/>
      <c r="U1091" s="9"/>
      <c r="V1091" s="9"/>
      <c r="W1091" s="10"/>
      <c r="X1091" s="10"/>
      <c r="Y1091" s="10"/>
      <c r="Z1091" s="10"/>
    </row>
    <row r="1092">
      <c r="A1092" s="9"/>
      <c r="B1092" s="9"/>
      <c r="C1092" s="9"/>
      <c r="D1092" s="9"/>
      <c r="E1092" s="9"/>
      <c r="F1092" s="9"/>
      <c r="G1092" s="9"/>
      <c r="H1092" s="9"/>
      <c r="I1092" s="9"/>
      <c r="J1092" s="9"/>
      <c r="K1092" s="9"/>
      <c r="L1092" s="115"/>
      <c r="M1092" s="115"/>
      <c r="N1092" s="115"/>
      <c r="O1092" s="115"/>
      <c r="P1092" s="9"/>
      <c r="Q1092" s="9"/>
      <c r="R1092" s="9"/>
      <c r="S1092" s="9"/>
      <c r="T1092" s="9"/>
      <c r="U1092" s="9"/>
      <c r="V1092" s="9"/>
      <c r="W1092" s="10"/>
      <c r="X1092" s="10"/>
      <c r="Y1092" s="10"/>
      <c r="Z1092" s="10"/>
    </row>
    <row r="1093">
      <c r="A1093" s="9"/>
      <c r="B1093" s="9"/>
      <c r="C1093" s="9"/>
      <c r="D1093" s="9"/>
      <c r="E1093" s="9"/>
      <c r="F1093" s="9"/>
      <c r="G1093" s="9"/>
      <c r="H1093" s="9"/>
      <c r="I1093" s="9"/>
      <c r="J1093" s="9"/>
      <c r="K1093" s="9"/>
      <c r="L1093" s="115"/>
      <c r="M1093" s="115"/>
      <c r="N1093" s="115"/>
      <c r="O1093" s="115"/>
      <c r="P1093" s="9"/>
      <c r="Q1093" s="9"/>
      <c r="R1093" s="9"/>
      <c r="S1093" s="9"/>
      <c r="T1093" s="9"/>
      <c r="U1093" s="9"/>
      <c r="V1093" s="9"/>
      <c r="W1093" s="10"/>
      <c r="X1093" s="10"/>
      <c r="Y1093" s="10"/>
      <c r="Z1093" s="10"/>
    </row>
    <row r="1094">
      <c r="A1094" s="9"/>
      <c r="B1094" s="9"/>
      <c r="C1094" s="9"/>
      <c r="D1094" s="9"/>
      <c r="E1094" s="9"/>
      <c r="F1094" s="9"/>
      <c r="G1094" s="9"/>
      <c r="H1094" s="9"/>
      <c r="I1094" s="9"/>
      <c r="J1094" s="9"/>
      <c r="K1094" s="9"/>
      <c r="L1094" s="115"/>
      <c r="M1094" s="115"/>
      <c r="N1094" s="115"/>
      <c r="O1094" s="115"/>
      <c r="P1094" s="9"/>
      <c r="Q1094" s="9"/>
      <c r="R1094" s="9"/>
      <c r="S1094" s="9"/>
      <c r="T1094" s="9"/>
      <c r="U1094" s="9"/>
      <c r="V1094" s="9"/>
      <c r="W1094" s="10"/>
      <c r="X1094" s="10"/>
      <c r="Y1094" s="10"/>
      <c r="Z1094" s="10"/>
    </row>
    <row r="1095">
      <c r="A1095" s="9"/>
      <c r="B1095" s="9"/>
      <c r="C1095" s="9"/>
      <c r="D1095" s="9"/>
      <c r="E1095" s="9"/>
      <c r="F1095" s="9"/>
      <c r="G1095" s="9"/>
      <c r="H1095" s="9"/>
      <c r="I1095" s="9"/>
      <c r="J1095" s="9"/>
      <c r="K1095" s="9"/>
      <c r="L1095" s="115"/>
      <c r="M1095" s="115"/>
      <c r="N1095" s="115"/>
      <c r="O1095" s="115"/>
      <c r="P1095" s="9"/>
      <c r="Q1095" s="9"/>
      <c r="R1095" s="9"/>
      <c r="S1095" s="9"/>
      <c r="T1095" s="9"/>
      <c r="U1095" s="9"/>
      <c r="V1095" s="9"/>
      <c r="W1095" s="10"/>
      <c r="X1095" s="10"/>
      <c r="Y1095" s="10"/>
      <c r="Z1095" s="10"/>
    </row>
    <row r="1096">
      <c r="A1096" s="9"/>
      <c r="B1096" s="9"/>
      <c r="C1096" s="9"/>
      <c r="D1096" s="9"/>
      <c r="E1096" s="9"/>
      <c r="F1096" s="9"/>
      <c r="G1096" s="9"/>
      <c r="H1096" s="9"/>
      <c r="I1096" s="9"/>
      <c r="J1096" s="9"/>
      <c r="K1096" s="9"/>
      <c r="L1096" s="115"/>
      <c r="M1096" s="115"/>
      <c r="N1096" s="115"/>
      <c r="O1096" s="115"/>
      <c r="P1096" s="9"/>
      <c r="Q1096" s="9"/>
      <c r="R1096" s="9"/>
      <c r="S1096" s="9"/>
      <c r="T1096" s="9"/>
      <c r="U1096" s="9"/>
      <c r="V1096" s="9"/>
      <c r="W1096" s="10"/>
      <c r="X1096" s="10"/>
      <c r="Y1096" s="10"/>
      <c r="Z1096" s="10"/>
    </row>
    <row r="1097">
      <c r="A1097" s="9"/>
      <c r="B1097" s="9"/>
      <c r="C1097" s="9"/>
      <c r="D1097" s="9"/>
      <c r="E1097" s="9"/>
      <c r="F1097" s="9"/>
      <c r="G1097" s="9"/>
      <c r="H1097" s="9"/>
      <c r="I1097" s="9"/>
      <c r="J1097" s="9"/>
      <c r="K1097" s="9"/>
      <c r="L1097" s="115"/>
      <c r="M1097" s="115"/>
      <c r="N1097" s="115"/>
      <c r="O1097" s="115"/>
      <c r="P1097" s="9"/>
      <c r="Q1097" s="9"/>
      <c r="R1097" s="9"/>
      <c r="S1097" s="9"/>
      <c r="T1097" s="9"/>
      <c r="U1097" s="9"/>
      <c r="V1097" s="9"/>
      <c r="W1097" s="10"/>
      <c r="X1097" s="10"/>
      <c r="Y1097" s="10"/>
      <c r="Z1097" s="10"/>
    </row>
    <row r="1098">
      <c r="A1098" s="9"/>
      <c r="B1098" s="9"/>
      <c r="C1098" s="9"/>
      <c r="D1098" s="9"/>
      <c r="E1098" s="9"/>
      <c r="F1098" s="9"/>
      <c r="G1098" s="9"/>
      <c r="H1098" s="9"/>
      <c r="I1098" s="9"/>
      <c r="J1098" s="9"/>
      <c r="K1098" s="9"/>
      <c r="L1098" s="115"/>
      <c r="M1098" s="115"/>
      <c r="N1098" s="115"/>
      <c r="O1098" s="115"/>
      <c r="P1098" s="9"/>
      <c r="Q1098" s="9"/>
      <c r="R1098" s="9"/>
      <c r="S1098" s="9"/>
      <c r="T1098" s="9"/>
      <c r="U1098" s="9"/>
      <c r="V1098" s="9"/>
      <c r="W1098" s="10"/>
      <c r="X1098" s="10"/>
      <c r="Y1098" s="10"/>
      <c r="Z1098" s="10"/>
    </row>
    <row r="1099">
      <c r="A1099" s="9"/>
      <c r="B1099" s="9"/>
      <c r="C1099" s="9"/>
      <c r="D1099" s="9"/>
      <c r="E1099" s="9"/>
      <c r="F1099" s="9"/>
      <c r="G1099" s="9"/>
      <c r="H1099" s="9"/>
      <c r="I1099" s="9"/>
      <c r="J1099" s="9"/>
      <c r="K1099" s="9"/>
      <c r="L1099" s="115"/>
      <c r="M1099" s="115"/>
      <c r="N1099" s="115"/>
      <c r="O1099" s="115"/>
      <c r="P1099" s="9"/>
      <c r="Q1099" s="9"/>
      <c r="R1099" s="9"/>
      <c r="S1099" s="9"/>
      <c r="T1099" s="9"/>
      <c r="U1099" s="9"/>
      <c r="V1099" s="9"/>
      <c r="W1099" s="10"/>
      <c r="X1099" s="10"/>
      <c r="Y1099" s="10"/>
      <c r="Z1099" s="10"/>
    </row>
    <row r="1100">
      <c r="A1100" s="9"/>
      <c r="B1100" s="9"/>
      <c r="C1100" s="9"/>
      <c r="D1100" s="9"/>
      <c r="E1100" s="9"/>
      <c r="F1100" s="9"/>
      <c r="G1100" s="9"/>
      <c r="H1100" s="9"/>
      <c r="I1100" s="9"/>
      <c r="J1100" s="9"/>
      <c r="K1100" s="9"/>
      <c r="L1100" s="115"/>
      <c r="M1100" s="115"/>
      <c r="N1100" s="115"/>
      <c r="O1100" s="115"/>
      <c r="P1100" s="9"/>
      <c r="Q1100" s="9"/>
      <c r="R1100" s="9"/>
      <c r="S1100" s="9"/>
      <c r="T1100" s="9"/>
      <c r="U1100" s="9"/>
      <c r="V1100" s="9"/>
      <c r="W1100" s="10"/>
      <c r="X1100" s="10"/>
      <c r="Y1100" s="10"/>
      <c r="Z1100" s="10"/>
    </row>
    <row r="1101">
      <c r="A1101" s="9"/>
      <c r="B1101" s="9"/>
      <c r="C1101" s="9"/>
      <c r="D1101" s="9"/>
      <c r="E1101" s="9"/>
      <c r="F1101" s="9"/>
      <c r="G1101" s="9"/>
      <c r="H1101" s="9"/>
      <c r="I1101" s="9"/>
      <c r="J1101" s="9"/>
      <c r="K1101" s="9"/>
      <c r="L1101" s="115"/>
      <c r="M1101" s="115"/>
      <c r="N1101" s="115"/>
      <c r="O1101" s="115"/>
      <c r="P1101" s="9"/>
      <c r="Q1101" s="9"/>
      <c r="R1101" s="9"/>
      <c r="S1101" s="9"/>
      <c r="T1101" s="9"/>
      <c r="U1101" s="9"/>
      <c r="V1101" s="9"/>
      <c r="W1101" s="10"/>
      <c r="X1101" s="10"/>
      <c r="Y1101" s="10"/>
      <c r="Z1101" s="10"/>
    </row>
    <row r="1102">
      <c r="A1102" s="9"/>
      <c r="B1102" s="9"/>
      <c r="C1102" s="9"/>
      <c r="D1102" s="9"/>
      <c r="E1102" s="9"/>
      <c r="F1102" s="9"/>
      <c r="G1102" s="9"/>
      <c r="H1102" s="9"/>
      <c r="I1102" s="9"/>
      <c r="J1102" s="9"/>
      <c r="K1102" s="9"/>
      <c r="L1102" s="115"/>
      <c r="M1102" s="115"/>
      <c r="N1102" s="115"/>
      <c r="O1102" s="115"/>
      <c r="P1102" s="9"/>
      <c r="Q1102" s="9"/>
      <c r="R1102" s="9"/>
      <c r="S1102" s="9"/>
      <c r="T1102" s="9"/>
      <c r="U1102" s="9"/>
      <c r="V1102" s="9"/>
      <c r="W1102" s="10"/>
      <c r="X1102" s="10"/>
      <c r="Y1102" s="10"/>
      <c r="Z1102" s="10"/>
    </row>
    <row r="1103">
      <c r="A1103" s="9"/>
      <c r="B1103" s="9"/>
      <c r="C1103" s="9"/>
      <c r="D1103" s="9"/>
      <c r="E1103" s="9"/>
      <c r="F1103" s="9"/>
      <c r="G1103" s="9"/>
      <c r="H1103" s="9"/>
      <c r="I1103" s="9"/>
      <c r="J1103" s="9"/>
      <c r="K1103" s="9"/>
      <c r="L1103" s="115"/>
      <c r="M1103" s="115"/>
      <c r="N1103" s="115"/>
      <c r="O1103" s="115"/>
      <c r="P1103" s="9"/>
      <c r="Q1103" s="9"/>
      <c r="R1103" s="9"/>
      <c r="S1103" s="9"/>
      <c r="T1103" s="9"/>
      <c r="U1103" s="9"/>
      <c r="V1103" s="9"/>
      <c r="W1103" s="10"/>
      <c r="X1103" s="10"/>
      <c r="Y1103" s="10"/>
      <c r="Z1103" s="10"/>
    </row>
    <row r="1104">
      <c r="A1104" s="9"/>
      <c r="B1104" s="9"/>
      <c r="C1104" s="9"/>
      <c r="D1104" s="9"/>
      <c r="E1104" s="9"/>
      <c r="F1104" s="9"/>
      <c r="G1104" s="9"/>
      <c r="H1104" s="9"/>
      <c r="I1104" s="9"/>
      <c r="J1104" s="9"/>
      <c r="K1104" s="9"/>
      <c r="L1104" s="115"/>
      <c r="M1104" s="115"/>
      <c r="N1104" s="115"/>
      <c r="O1104" s="115"/>
      <c r="P1104" s="9"/>
      <c r="Q1104" s="9"/>
      <c r="R1104" s="9"/>
      <c r="S1104" s="9"/>
      <c r="T1104" s="9"/>
      <c r="U1104" s="9"/>
      <c r="V1104" s="9"/>
      <c r="W1104" s="10"/>
      <c r="X1104" s="10"/>
      <c r="Y1104" s="10"/>
      <c r="Z1104" s="10"/>
    </row>
    <row r="1105">
      <c r="A1105" s="9"/>
      <c r="B1105" s="9"/>
      <c r="C1105" s="9"/>
      <c r="D1105" s="9"/>
      <c r="E1105" s="9"/>
      <c r="F1105" s="9"/>
      <c r="G1105" s="9"/>
      <c r="H1105" s="9"/>
      <c r="I1105" s="9"/>
      <c r="J1105" s="9"/>
      <c r="K1105" s="9"/>
      <c r="L1105" s="115"/>
      <c r="M1105" s="115"/>
      <c r="N1105" s="115"/>
      <c r="O1105" s="115"/>
      <c r="P1105" s="9"/>
      <c r="Q1105" s="9"/>
      <c r="R1105" s="9"/>
      <c r="S1105" s="9"/>
      <c r="T1105" s="9"/>
      <c r="U1105" s="9"/>
      <c r="V1105" s="9"/>
      <c r="W1105" s="10"/>
      <c r="X1105" s="10"/>
      <c r="Y1105" s="10"/>
      <c r="Z1105" s="10"/>
    </row>
    <row r="1106">
      <c r="A1106" s="9"/>
      <c r="B1106" s="9"/>
      <c r="C1106" s="9"/>
      <c r="D1106" s="9"/>
      <c r="E1106" s="9"/>
      <c r="F1106" s="9"/>
      <c r="G1106" s="9"/>
      <c r="H1106" s="9"/>
      <c r="I1106" s="9"/>
      <c r="J1106" s="9"/>
      <c r="K1106" s="9"/>
      <c r="L1106" s="115"/>
      <c r="M1106" s="115"/>
      <c r="N1106" s="115"/>
      <c r="O1106" s="115"/>
      <c r="P1106" s="9"/>
      <c r="Q1106" s="9"/>
      <c r="R1106" s="9"/>
      <c r="S1106" s="9"/>
      <c r="T1106" s="9"/>
      <c r="U1106" s="9"/>
      <c r="V1106" s="9"/>
      <c r="W1106" s="10"/>
      <c r="X1106" s="10"/>
      <c r="Y1106" s="10"/>
      <c r="Z1106" s="10"/>
    </row>
    <row r="1107">
      <c r="A1107" s="9"/>
      <c r="B1107" s="9"/>
      <c r="C1107" s="9"/>
      <c r="D1107" s="9"/>
      <c r="E1107" s="9"/>
      <c r="F1107" s="9"/>
      <c r="G1107" s="9"/>
      <c r="H1107" s="9"/>
      <c r="I1107" s="9"/>
      <c r="J1107" s="9"/>
      <c r="K1107" s="9"/>
      <c r="L1107" s="115"/>
      <c r="M1107" s="115"/>
      <c r="N1107" s="115"/>
      <c r="O1107" s="115"/>
      <c r="P1107" s="9"/>
      <c r="Q1107" s="9"/>
      <c r="R1107" s="9"/>
      <c r="S1107" s="9"/>
      <c r="T1107" s="9"/>
      <c r="U1107" s="9"/>
      <c r="V1107" s="9"/>
      <c r="W1107" s="10"/>
      <c r="X1107" s="10"/>
      <c r="Y1107" s="10"/>
      <c r="Z1107" s="10"/>
    </row>
    <row r="1108">
      <c r="A1108" s="9"/>
      <c r="B1108" s="9"/>
      <c r="C1108" s="9"/>
      <c r="D1108" s="9"/>
      <c r="E1108" s="9"/>
      <c r="F1108" s="9"/>
      <c r="G1108" s="9"/>
      <c r="H1108" s="9"/>
      <c r="I1108" s="9"/>
      <c r="J1108" s="9"/>
      <c r="K1108" s="9"/>
      <c r="L1108" s="115"/>
      <c r="M1108" s="115"/>
      <c r="N1108" s="115"/>
      <c r="O1108" s="115"/>
      <c r="P1108" s="9"/>
      <c r="Q1108" s="9"/>
      <c r="R1108" s="9"/>
      <c r="S1108" s="9"/>
      <c r="T1108" s="9"/>
      <c r="U1108" s="9"/>
      <c r="V1108" s="9"/>
      <c r="W1108" s="10"/>
      <c r="X1108" s="10"/>
      <c r="Y1108" s="10"/>
      <c r="Z1108" s="10"/>
    </row>
    <row r="1109">
      <c r="A1109" s="9"/>
      <c r="B1109" s="9"/>
      <c r="C1109" s="9"/>
      <c r="D1109" s="9"/>
      <c r="E1109" s="9"/>
      <c r="F1109" s="9"/>
      <c r="G1109" s="9"/>
      <c r="H1109" s="9"/>
      <c r="I1109" s="9"/>
      <c r="J1109" s="9"/>
      <c r="K1109" s="9"/>
      <c r="L1109" s="115"/>
      <c r="M1109" s="115"/>
      <c r="N1109" s="115"/>
      <c r="O1109" s="115"/>
      <c r="P1109" s="9"/>
      <c r="Q1109" s="9"/>
      <c r="R1109" s="9"/>
      <c r="S1109" s="9"/>
      <c r="T1109" s="9"/>
      <c r="U1109" s="9"/>
      <c r="V1109" s="9"/>
      <c r="W1109" s="10"/>
      <c r="X1109" s="10"/>
      <c r="Y1109" s="10"/>
      <c r="Z1109" s="10"/>
    </row>
    <row r="1110">
      <c r="A1110" s="9"/>
      <c r="B1110" s="9"/>
      <c r="C1110" s="9"/>
      <c r="D1110" s="9"/>
      <c r="E1110" s="9"/>
      <c r="F1110" s="9"/>
      <c r="G1110" s="9"/>
      <c r="H1110" s="9"/>
      <c r="I1110" s="9"/>
      <c r="J1110" s="9"/>
      <c r="K1110" s="9"/>
      <c r="L1110" s="115"/>
      <c r="M1110" s="115"/>
      <c r="N1110" s="115"/>
      <c r="O1110" s="115"/>
      <c r="P1110" s="9"/>
      <c r="Q1110" s="9"/>
      <c r="R1110" s="9"/>
      <c r="S1110" s="9"/>
      <c r="T1110" s="9"/>
      <c r="U1110" s="9"/>
      <c r="V1110" s="9"/>
      <c r="W1110" s="10"/>
      <c r="X1110" s="10"/>
      <c r="Y1110" s="10"/>
      <c r="Z1110" s="10"/>
    </row>
    <row r="1111">
      <c r="A1111" s="9"/>
      <c r="B1111" s="9"/>
      <c r="C1111" s="9"/>
      <c r="D1111" s="9"/>
      <c r="E1111" s="9"/>
      <c r="F1111" s="9"/>
      <c r="G1111" s="9"/>
      <c r="H1111" s="9"/>
      <c r="I1111" s="9"/>
      <c r="J1111" s="9"/>
      <c r="K1111" s="9"/>
      <c r="L1111" s="115"/>
      <c r="M1111" s="115"/>
      <c r="N1111" s="115"/>
      <c r="O1111" s="115"/>
      <c r="P1111" s="9"/>
      <c r="Q1111" s="9"/>
      <c r="R1111" s="9"/>
      <c r="S1111" s="9"/>
      <c r="T1111" s="9"/>
      <c r="U1111" s="9"/>
      <c r="V1111" s="9"/>
      <c r="W1111" s="10"/>
      <c r="X1111" s="10"/>
      <c r="Y1111" s="10"/>
      <c r="Z1111" s="10"/>
    </row>
    <row r="1112">
      <c r="A1112" s="9"/>
      <c r="B1112" s="9"/>
      <c r="C1112" s="9"/>
      <c r="D1112" s="9"/>
      <c r="E1112" s="9"/>
      <c r="F1112" s="9"/>
      <c r="G1112" s="9"/>
      <c r="H1112" s="9"/>
      <c r="I1112" s="9"/>
      <c r="J1112" s="9"/>
      <c r="K1112" s="9"/>
      <c r="L1112" s="115"/>
      <c r="M1112" s="115"/>
      <c r="N1112" s="115"/>
      <c r="O1112" s="115"/>
      <c r="P1112" s="9"/>
      <c r="Q1112" s="9"/>
      <c r="R1112" s="9"/>
      <c r="S1112" s="9"/>
      <c r="T1112" s="9"/>
      <c r="U1112" s="9"/>
      <c r="V1112" s="9"/>
      <c r="W1112" s="10"/>
      <c r="X1112" s="10"/>
      <c r="Y1112" s="10"/>
      <c r="Z1112" s="10"/>
    </row>
    <row r="1113">
      <c r="A1113" s="9"/>
      <c r="B1113" s="9"/>
      <c r="C1113" s="9"/>
      <c r="D1113" s="9"/>
      <c r="E1113" s="9"/>
      <c r="F1113" s="9"/>
      <c r="G1113" s="9"/>
      <c r="H1113" s="9"/>
      <c r="I1113" s="9"/>
      <c r="J1113" s="9"/>
      <c r="K1113" s="9"/>
      <c r="L1113" s="115"/>
      <c r="M1113" s="115"/>
      <c r="N1113" s="115"/>
      <c r="O1113" s="115"/>
      <c r="P1113" s="9"/>
      <c r="Q1113" s="9"/>
      <c r="R1113" s="9"/>
      <c r="S1113" s="9"/>
      <c r="T1113" s="9"/>
      <c r="U1113" s="9"/>
      <c r="V1113" s="9"/>
      <c r="W1113" s="10"/>
      <c r="X1113" s="10"/>
      <c r="Y1113" s="10"/>
      <c r="Z1113" s="10"/>
    </row>
    <row r="1114">
      <c r="A1114" s="9"/>
      <c r="B1114" s="9"/>
      <c r="C1114" s="9"/>
      <c r="D1114" s="9"/>
      <c r="E1114" s="9"/>
      <c r="F1114" s="9"/>
      <c r="G1114" s="9"/>
      <c r="H1114" s="9"/>
      <c r="I1114" s="9"/>
      <c r="J1114" s="9"/>
      <c r="K1114" s="9"/>
      <c r="L1114" s="115"/>
      <c r="M1114" s="115"/>
      <c r="N1114" s="115"/>
      <c r="O1114" s="115"/>
      <c r="P1114" s="9"/>
      <c r="Q1114" s="9"/>
      <c r="R1114" s="9"/>
      <c r="S1114" s="9"/>
      <c r="T1114" s="9"/>
      <c r="U1114" s="9"/>
      <c r="V1114" s="9"/>
      <c r="W1114" s="10"/>
      <c r="X1114" s="10"/>
      <c r="Y1114" s="10"/>
      <c r="Z1114" s="10"/>
    </row>
    <row r="1115">
      <c r="A1115" s="9"/>
      <c r="B1115" s="9"/>
      <c r="C1115" s="9"/>
      <c r="D1115" s="9"/>
      <c r="E1115" s="9"/>
      <c r="F1115" s="9"/>
      <c r="G1115" s="9"/>
      <c r="H1115" s="9"/>
      <c r="I1115" s="9"/>
      <c r="J1115" s="9"/>
      <c r="K1115" s="9"/>
      <c r="L1115" s="115"/>
      <c r="M1115" s="115"/>
      <c r="N1115" s="115"/>
      <c r="O1115" s="115"/>
      <c r="P1115" s="9"/>
      <c r="Q1115" s="9"/>
      <c r="R1115" s="9"/>
      <c r="S1115" s="9"/>
      <c r="T1115" s="9"/>
      <c r="U1115" s="9"/>
      <c r="V1115" s="9"/>
      <c r="W1115" s="10"/>
      <c r="X1115" s="10"/>
      <c r="Y1115" s="10"/>
      <c r="Z1115" s="10"/>
    </row>
    <row r="1116">
      <c r="A1116" s="9"/>
      <c r="B1116" s="9"/>
      <c r="C1116" s="9"/>
      <c r="D1116" s="9"/>
      <c r="E1116" s="9"/>
      <c r="F1116" s="9"/>
      <c r="G1116" s="9"/>
      <c r="H1116" s="9"/>
      <c r="I1116" s="9"/>
      <c r="J1116" s="9"/>
      <c r="K1116" s="9"/>
      <c r="L1116" s="115"/>
      <c r="M1116" s="115"/>
      <c r="N1116" s="115"/>
      <c r="O1116" s="115"/>
      <c r="P1116" s="9"/>
      <c r="Q1116" s="9"/>
      <c r="R1116" s="9"/>
      <c r="S1116" s="9"/>
      <c r="T1116" s="9"/>
      <c r="U1116" s="9"/>
      <c r="V1116" s="9"/>
      <c r="W1116" s="10"/>
      <c r="X1116" s="10"/>
      <c r="Y1116" s="10"/>
      <c r="Z1116" s="10"/>
    </row>
    <row r="1117">
      <c r="A1117" s="9"/>
      <c r="B1117" s="9"/>
      <c r="C1117" s="9"/>
      <c r="D1117" s="9"/>
      <c r="E1117" s="9"/>
      <c r="F1117" s="9"/>
      <c r="G1117" s="9"/>
      <c r="H1117" s="9"/>
      <c r="I1117" s="9"/>
      <c r="J1117" s="9"/>
      <c r="K1117" s="9"/>
      <c r="L1117" s="115"/>
      <c r="M1117" s="115"/>
      <c r="N1117" s="115"/>
      <c r="O1117" s="115"/>
      <c r="P1117" s="9"/>
      <c r="Q1117" s="9"/>
      <c r="R1117" s="9"/>
      <c r="S1117" s="9"/>
      <c r="T1117" s="9"/>
      <c r="U1117" s="9"/>
      <c r="V1117" s="9"/>
      <c r="W1117" s="10"/>
      <c r="X1117" s="10"/>
      <c r="Y1117" s="10"/>
      <c r="Z1117" s="10"/>
    </row>
    <row r="1118">
      <c r="A1118" s="9"/>
      <c r="B1118" s="9"/>
      <c r="C1118" s="9"/>
      <c r="D1118" s="9"/>
      <c r="E1118" s="9"/>
      <c r="F1118" s="9"/>
      <c r="G1118" s="9"/>
      <c r="H1118" s="9"/>
      <c r="I1118" s="9"/>
      <c r="J1118" s="9"/>
      <c r="K1118" s="9"/>
      <c r="L1118" s="115"/>
      <c r="M1118" s="115"/>
      <c r="N1118" s="115"/>
      <c r="O1118" s="115"/>
      <c r="P1118" s="9"/>
      <c r="Q1118" s="9"/>
      <c r="R1118" s="9"/>
      <c r="S1118" s="9"/>
      <c r="T1118" s="9"/>
      <c r="U1118" s="9"/>
      <c r="V1118" s="9"/>
      <c r="W1118" s="10"/>
      <c r="X1118" s="10"/>
      <c r="Y1118" s="10"/>
      <c r="Z1118" s="10"/>
    </row>
    <row r="1119">
      <c r="A1119" s="9"/>
      <c r="B1119" s="9"/>
      <c r="C1119" s="9"/>
      <c r="D1119" s="9"/>
      <c r="E1119" s="9"/>
      <c r="F1119" s="9"/>
      <c r="G1119" s="9"/>
      <c r="H1119" s="9"/>
      <c r="I1119" s="9"/>
      <c r="J1119" s="9"/>
      <c r="K1119" s="9"/>
      <c r="L1119" s="115"/>
      <c r="M1119" s="115"/>
      <c r="N1119" s="115"/>
      <c r="O1119" s="115"/>
      <c r="P1119" s="9"/>
      <c r="Q1119" s="9"/>
      <c r="R1119" s="9"/>
      <c r="S1119" s="9"/>
      <c r="T1119" s="9"/>
      <c r="U1119" s="9"/>
      <c r="V1119" s="9"/>
      <c r="W1119" s="10"/>
      <c r="X1119" s="10"/>
      <c r="Y1119" s="10"/>
      <c r="Z1119" s="10"/>
    </row>
    <row r="1120">
      <c r="A1120" s="9"/>
      <c r="B1120" s="9"/>
      <c r="C1120" s="9"/>
      <c r="D1120" s="9"/>
      <c r="E1120" s="9"/>
      <c r="F1120" s="9"/>
      <c r="G1120" s="9"/>
      <c r="H1120" s="9"/>
      <c r="I1120" s="9"/>
      <c r="J1120" s="9"/>
      <c r="K1120" s="9"/>
      <c r="L1120" s="115"/>
      <c r="M1120" s="115"/>
      <c r="N1120" s="115"/>
      <c r="O1120" s="115"/>
      <c r="P1120" s="9"/>
      <c r="Q1120" s="9"/>
      <c r="R1120" s="9"/>
      <c r="S1120" s="9"/>
      <c r="T1120" s="9"/>
      <c r="U1120" s="9"/>
      <c r="V1120" s="9"/>
      <c r="W1120" s="10"/>
      <c r="X1120" s="10"/>
      <c r="Y1120" s="10"/>
      <c r="Z1120" s="10"/>
    </row>
    <row r="1121">
      <c r="A1121" s="9"/>
      <c r="B1121" s="9"/>
      <c r="C1121" s="9"/>
      <c r="D1121" s="9"/>
      <c r="E1121" s="9"/>
      <c r="F1121" s="9"/>
      <c r="G1121" s="9"/>
      <c r="H1121" s="9"/>
      <c r="I1121" s="9"/>
      <c r="J1121" s="9"/>
      <c r="K1121" s="9"/>
      <c r="L1121" s="115"/>
      <c r="M1121" s="115"/>
      <c r="N1121" s="115"/>
      <c r="O1121" s="115"/>
      <c r="P1121" s="9"/>
      <c r="Q1121" s="9"/>
      <c r="R1121" s="9"/>
      <c r="S1121" s="9"/>
      <c r="T1121" s="9"/>
      <c r="U1121" s="9"/>
      <c r="V1121" s="9"/>
      <c r="W1121" s="10"/>
      <c r="X1121" s="10"/>
      <c r="Y1121" s="10"/>
      <c r="Z1121" s="10"/>
    </row>
    <row r="1122">
      <c r="A1122" s="9"/>
      <c r="B1122" s="9"/>
      <c r="C1122" s="9"/>
      <c r="D1122" s="9"/>
      <c r="E1122" s="9"/>
      <c r="F1122" s="9"/>
      <c r="G1122" s="9"/>
      <c r="H1122" s="9"/>
      <c r="I1122" s="9"/>
      <c r="J1122" s="9"/>
      <c r="K1122" s="9"/>
      <c r="L1122" s="115"/>
      <c r="M1122" s="115"/>
      <c r="N1122" s="115"/>
      <c r="O1122" s="115"/>
      <c r="P1122" s="9"/>
      <c r="Q1122" s="9"/>
      <c r="R1122" s="9"/>
      <c r="S1122" s="9"/>
      <c r="T1122" s="9"/>
      <c r="U1122" s="9"/>
      <c r="V1122" s="9"/>
      <c r="W1122" s="10"/>
      <c r="X1122" s="10"/>
      <c r="Y1122" s="10"/>
      <c r="Z1122" s="10"/>
    </row>
    <row r="1123">
      <c r="A1123" s="9"/>
      <c r="B1123" s="9"/>
      <c r="C1123" s="9"/>
      <c r="D1123" s="9"/>
      <c r="E1123" s="9"/>
      <c r="F1123" s="9"/>
      <c r="G1123" s="9"/>
      <c r="H1123" s="9"/>
      <c r="I1123" s="9"/>
      <c r="J1123" s="9"/>
      <c r="K1123" s="9"/>
      <c r="L1123" s="115"/>
      <c r="M1123" s="115"/>
      <c r="N1123" s="115"/>
      <c r="O1123" s="115"/>
      <c r="P1123" s="9"/>
      <c r="Q1123" s="9"/>
      <c r="R1123" s="9"/>
      <c r="S1123" s="9"/>
      <c r="T1123" s="9"/>
      <c r="U1123" s="9"/>
      <c r="V1123" s="9"/>
      <c r="W1123" s="10"/>
      <c r="X1123" s="10"/>
      <c r="Y1123" s="10"/>
      <c r="Z1123" s="10"/>
    </row>
    <row r="1124">
      <c r="A1124" s="9"/>
      <c r="B1124" s="9"/>
      <c r="C1124" s="9"/>
      <c r="D1124" s="9"/>
      <c r="E1124" s="9"/>
      <c r="F1124" s="9"/>
      <c r="G1124" s="9"/>
      <c r="H1124" s="9"/>
      <c r="I1124" s="9"/>
      <c r="J1124" s="9"/>
      <c r="K1124" s="9"/>
      <c r="L1124" s="115"/>
      <c r="M1124" s="115"/>
      <c r="N1124" s="115"/>
      <c r="O1124" s="115"/>
      <c r="P1124" s="9"/>
      <c r="Q1124" s="9"/>
      <c r="R1124" s="9"/>
      <c r="S1124" s="9"/>
      <c r="T1124" s="9"/>
      <c r="U1124" s="9"/>
      <c r="V1124" s="9"/>
      <c r="W1124" s="10"/>
      <c r="X1124" s="10"/>
      <c r="Y1124" s="10"/>
      <c r="Z1124" s="10"/>
    </row>
    <row r="1125">
      <c r="A1125" s="9"/>
      <c r="B1125" s="9"/>
      <c r="C1125" s="9"/>
      <c r="D1125" s="9"/>
      <c r="E1125" s="9"/>
      <c r="F1125" s="9"/>
      <c r="G1125" s="9"/>
      <c r="H1125" s="9"/>
      <c r="I1125" s="9"/>
      <c r="J1125" s="9"/>
      <c r="K1125" s="9"/>
      <c r="L1125" s="115"/>
      <c r="M1125" s="115"/>
      <c r="N1125" s="115"/>
      <c r="O1125" s="115"/>
      <c r="P1125" s="9"/>
      <c r="Q1125" s="9"/>
      <c r="R1125" s="9"/>
      <c r="S1125" s="9"/>
      <c r="T1125" s="9"/>
      <c r="U1125" s="9"/>
      <c r="V1125" s="9"/>
      <c r="W1125" s="10"/>
      <c r="X1125" s="10"/>
      <c r="Y1125" s="10"/>
      <c r="Z1125" s="10"/>
    </row>
    <row r="1126">
      <c r="A1126" s="9"/>
      <c r="B1126" s="9"/>
      <c r="C1126" s="9"/>
      <c r="D1126" s="9"/>
      <c r="E1126" s="9"/>
      <c r="F1126" s="9"/>
      <c r="G1126" s="9"/>
      <c r="H1126" s="9"/>
      <c r="I1126" s="9"/>
      <c r="J1126" s="9"/>
      <c r="K1126" s="9"/>
      <c r="L1126" s="115"/>
      <c r="M1126" s="115"/>
      <c r="N1126" s="115"/>
      <c r="O1126" s="115"/>
      <c r="P1126" s="9"/>
      <c r="Q1126" s="9"/>
      <c r="R1126" s="9"/>
      <c r="S1126" s="9"/>
      <c r="T1126" s="9"/>
      <c r="U1126" s="9"/>
      <c r="V1126" s="9"/>
      <c r="W1126" s="10"/>
      <c r="X1126" s="10"/>
      <c r="Y1126" s="10"/>
      <c r="Z1126" s="10"/>
    </row>
    <row r="1127">
      <c r="A1127" s="9"/>
      <c r="B1127" s="9"/>
      <c r="C1127" s="9"/>
      <c r="D1127" s="9"/>
      <c r="E1127" s="9"/>
      <c r="F1127" s="9"/>
      <c r="G1127" s="9"/>
      <c r="H1127" s="9"/>
      <c r="I1127" s="9"/>
      <c r="J1127" s="9"/>
      <c r="K1127" s="9"/>
      <c r="L1127" s="115"/>
      <c r="M1127" s="115"/>
      <c r="N1127" s="115"/>
      <c r="O1127" s="115"/>
      <c r="P1127" s="9"/>
      <c r="Q1127" s="9"/>
      <c r="R1127" s="9"/>
      <c r="S1127" s="9"/>
      <c r="T1127" s="9"/>
      <c r="U1127" s="9"/>
      <c r="V1127" s="9"/>
      <c r="W1127" s="10"/>
      <c r="X1127" s="10"/>
      <c r="Y1127" s="10"/>
      <c r="Z1127" s="10"/>
    </row>
    <row r="1128">
      <c r="A1128" s="9"/>
      <c r="B1128" s="9"/>
      <c r="C1128" s="9"/>
      <c r="D1128" s="9"/>
      <c r="E1128" s="9"/>
      <c r="F1128" s="9"/>
      <c r="G1128" s="9"/>
      <c r="H1128" s="9"/>
      <c r="I1128" s="9"/>
      <c r="J1128" s="9"/>
      <c r="K1128" s="9"/>
      <c r="L1128" s="115"/>
      <c r="M1128" s="115"/>
      <c r="N1128" s="115"/>
      <c r="O1128" s="115"/>
      <c r="P1128" s="9"/>
      <c r="Q1128" s="9"/>
      <c r="R1128" s="9"/>
      <c r="S1128" s="9"/>
      <c r="T1128" s="9"/>
      <c r="U1128" s="9"/>
      <c r="V1128" s="9"/>
      <c r="W1128" s="10"/>
      <c r="X1128" s="10"/>
      <c r="Y1128" s="10"/>
      <c r="Z1128" s="10"/>
    </row>
    <row r="1129">
      <c r="A1129" s="9"/>
      <c r="B1129" s="9"/>
      <c r="C1129" s="9"/>
      <c r="D1129" s="9"/>
      <c r="E1129" s="9"/>
      <c r="F1129" s="9"/>
      <c r="G1129" s="9"/>
      <c r="H1129" s="9"/>
      <c r="I1129" s="9"/>
      <c r="J1129" s="9"/>
      <c r="K1129" s="9"/>
      <c r="L1129" s="115"/>
      <c r="M1129" s="115"/>
      <c r="N1129" s="115"/>
      <c r="O1129" s="115"/>
      <c r="P1129" s="9"/>
      <c r="Q1129" s="9"/>
      <c r="R1129" s="9"/>
      <c r="S1129" s="9"/>
      <c r="T1129" s="9"/>
      <c r="U1129" s="9"/>
      <c r="V1129" s="9"/>
      <c r="W1129" s="10"/>
      <c r="X1129" s="10"/>
      <c r="Y1129" s="10"/>
      <c r="Z1129" s="10"/>
    </row>
    <row r="1130">
      <c r="A1130" s="9"/>
      <c r="B1130" s="9"/>
      <c r="C1130" s="9"/>
      <c r="D1130" s="9"/>
      <c r="E1130" s="9"/>
      <c r="F1130" s="9"/>
      <c r="G1130" s="9"/>
      <c r="H1130" s="9"/>
      <c r="I1130" s="9"/>
      <c r="J1130" s="9"/>
      <c r="K1130" s="9"/>
      <c r="L1130" s="115"/>
      <c r="M1130" s="115"/>
      <c r="N1130" s="115"/>
      <c r="O1130" s="115"/>
      <c r="P1130" s="9"/>
      <c r="Q1130" s="9"/>
      <c r="R1130" s="9"/>
      <c r="S1130" s="9"/>
      <c r="T1130" s="9"/>
      <c r="U1130" s="9"/>
      <c r="V1130" s="9"/>
      <c r="W1130" s="10"/>
      <c r="X1130" s="10"/>
      <c r="Y1130" s="10"/>
      <c r="Z1130" s="10"/>
    </row>
    <row r="1131">
      <c r="A1131" s="9"/>
      <c r="B1131" s="9"/>
      <c r="C1131" s="9"/>
      <c r="D1131" s="9"/>
      <c r="E1131" s="9"/>
      <c r="F1131" s="9"/>
      <c r="G1131" s="9"/>
      <c r="H1131" s="9"/>
      <c r="I1131" s="9"/>
      <c r="J1131" s="9"/>
      <c r="K1131" s="9"/>
      <c r="L1131" s="115"/>
      <c r="M1131" s="115"/>
      <c r="N1131" s="115"/>
      <c r="O1131" s="115"/>
      <c r="P1131" s="9"/>
      <c r="Q1131" s="9"/>
      <c r="R1131" s="9"/>
      <c r="S1131" s="9"/>
      <c r="T1131" s="9"/>
      <c r="U1131" s="9"/>
      <c r="V1131" s="9"/>
      <c r="W1131" s="10"/>
      <c r="X1131" s="10"/>
      <c r="Y1131" s="10"/>
      <c r="Z1131" s="10"/>
    </row>
    <row r="1132">
      <c r="A1132" s="9"/>
      <c r="B1132" s="9"/>
      <c r="C1132" s="9"/>
      <c r="D1132" s="9"/>
      <c r="E1132" s="9"/>
      <c r="F1132" s="9"/>
      <c r="G1132" s="9"/>
      <c r="H1132" s="9"/>
      <c r="I1132" s="9"/>
      <c r="J1132" s="9"/>
      <c r="K1132" s="9"/>
      <c r="L1132" s="115"/>
      <c r="M1132" s="115"/>
      <c r="N1132" s="115"/>
      <c r="O1132" s="115"/>
      <c r="P1132" s="9"/>
      <c r="Q1132" s="9"/>
      <c r="R1132" s="9"/>
      <c r="S1132" s="9"/>
      <c r="T1132" s="9"/>
      <c r="U1132" s="9"/>
      <c r="V1132" s="9"/>
      <c r="W1132" s="10"/>
      <c r="X1132" s="10"/>
      <c r="Y1132" s="10"/>
      <c r="Z1132" s="10"/>
    </row>
    <row r="1133">
      <c r="A1133" s="9"/>
      <c r="B1133" s="9"/>
      <c r="C1133" s="9"/>
      <c r="D1133" s="9"/>
      <c r="E1133" s="9"/>
      <c r="F1133" s="9"/>
      <c r="G1133" s="9"/>
      <c r="H1133" s="9"/>
      <c r="I1133" s="9"/>
      <c r="J1133" s="9"/>
      <c r="K1133" s="9"/>
      <c r="L1133" s="115"/>
      <c r="M1133" s="115"/>
      <c r="N1133" s="115"/>
      <c r="O1133" s="115"/>
      <c r="P1133" s="9"/>
      <c r="Q1133" s="9"/>
      <c r="R1133" s="9"/>
      <c r="S1133" s="9"/>
      <c r="T1133" s="9"/>
      <c r="U1133" s="9"/>
      <c r="V1133" s="9"/>
      <c r="W1133" s="10"/>
      <c r="X1133" s="10"/>
      <c r="Y1133" s="10"/>
      <c r="Z1133" s="10"/>
    </row>
    <row r="1134">
      <c r="A1134" s="9"/>
      <c r="B1134" s="9"/>
      <c r="C1134" s="9"/>
      <c r="D1134" s="9"/>
      <c r="E1134" s="9"/>
      <c r="F1134" s="9"/>
      <c r="G1134" s="9"/>
      <c r="H1134" s="9"/>
      <c r="I1134" s="9"/>
      <c r="J1134" s="9"/>
      <c r="K1134" s="9"/>
      <c r="L1134" s="115"/>
      <c r="M1134" s="115"/>
      <c r="N1134" s="115"/>
      <c r="O1134" s="115"/>
      <c r="P1134" s="9"/>
      <c r="Q1134" s="9"/>
      <c r="R1134" s="9"/>
      <c r="S1134" s="9"/>
      <c r="T1134" s="9"/>
      <c r="U1134" s="9"/>
      <c r="V1134" s="9"/>
      <c r="W1134" s="10"/>
      <c r="X1134" s="10"/>
      <c r="Y1134" s="10"/>
      <c r="Z1134" s="10"/>
    </row>
    <row r="1135">
      <c r="A1135" s="9"/>
      <c r="B1135" s="9"/>
      <c r="C1135" s="9"/>
      <c r="D1135" s="9"/>
      <c r="E1135" s="9"/>
      <c r="F1135" s="9"/>
      <c r="G1135" s="9"/>
      <c r="H1135" s="9"/>
      <c r="I1135" s="9"/>
      <c r="J1135" s="9"/>
      <c r="K1135" s="9"/>
      <c r="L1135" s="115"/>
      <c r="M1135" s="115"/>
      <c r="N1135" s="115"/>
      <c r="O1135" s="115"/>
      <c r="P1135" s="9"/>
      <c r="Q1135" s="9"/>
      <c r="R1135" s="9"/>
      <c r="S1135" s="9"/>
      <c r="T1135" s="9"/>
      <c r="U1135" s="9"/>
      <c r="V1135" s="9"/>
      <c r="W1135" s="10"/>
      <c r="X1135" s="10"/>
      <c r="Y1135" s="10"/>
      <c r="Z1135" s="10"/>
    </row>
    <row r="1136">
      <c r="A1136" s="9"/>
      <c r="B1136" s="9"/>
      <c r="C1136" s="9"/>
      <c r="D1136" s="9"/>
      <c r="E1136" s="9"/>
      <c r="F1136" s="9"/>
      <c r="G1136" s="9"/>
      <c r="H1136" s="9"/>
      <c r="I1136" s="9"/>
      <c r="J1136" s="9"/>
      <c r="K1136" s="9"/>
      <c r="L1136" s="115"/>
      <c r="M1136" s="115"/>
      <c r="N1136" s="115"/>
      <c r="O1136" s="115"/>
      <c r="P1136" s="9"/>
      <c r="Q1136" s="9"/>
      <c r="R1136" s="9"/>
      <c r="S1136" s="9"/>
      <c r="T1136" s="9"/>
      <c r="U1136" s="9"/>
      <c r="V1136" s="9"/>
      <c r="W1136" s="10"/>
      <c r="X1136" s="10"/>
      <c r="Y1136" s="10"/>
      <c r="Z1136" s="10"/>
    </row>
    <row r="1137">
      <c r="A1137" s="9"/>
      <c r="B1137" s="9"/>
      <c r="C1137" s="9"/>
      <c r="D1137" s="9"/>
      <c r="E1137" s="9"/>
      <c r="F1137" s="9"/>
      <c r="G1137" s="9"/>
      <c r="H1137" s="9"/>
      <c r="I1137" s="9"/>
      <c r="J1137" s="9"/>
      <c r="K1137" s="9"/>
      <c r="L1137" s="115"/>
      <c r="M1137" s="115"/>
      <c r="N1137" s="115"/>
      <c r="O1137" s="115"/>
      <c r="P1137" s="9"/>
      <c r="Q1137" s="9"/>
      <c r="R1137" s="9"/>
      <c r="S1137" s="9"/>
      <c r="T1137" s="9"/>
      <c r="U1137" s="9"/>
      <c r="V1137" s="9"/>
      <c r="W1137" s="10"/>
      <c r="X1137" s="10"/>
      <c r="Y1137" s="10"/>
      <c r="Z1137" s="10"/>
    </row>
    <row r="1138">
      <c r="A1138" s="9"/>
      <c r="B1138" s="9"/>
      <c r="C1138" s="9"/>
      <c r="D1138" s="9"/>
      <c r="E1138" s="9"/>
      <c r="F1138" s="9"/>
      <c r="G1138" s="9"/>
      <c r="H1138" s="9"/>
      <c r="I1138" s="9"/>
      <c r="J1138" s="9"/>
      <c r="K1138" s="9"/>
      <c r="L1138" s="115"/>
      <c r="M1138" s="115"/>
      <c r="N1138" s="115"/>
      <c r="O1138" s="115"/>
      <c r="P1138" s="9"/>
      <c r="Q1138" s="9"/>
      <c r="R1138" s="9"/>
      <c r="S1138" s="9"/>
      <c r="T1138" s="9"/>
      <c r="U1138" s="9"/>
      <c r="V1138" s="9"/>
      <c r="W1138" s="10"/>
      <c r="X1138" s="10"/>
      <c r="Y1138" s="10"/>
      <c r="Z1138" s="10"/>
    </row>
    <row r="1139">
      <c r="A1139" s="9"/>
      <c r="B1139" s="9"/>
      <c r="C1139" s="9"/>
      <c r="D1139" s="9"/>
      <c r="E1139" s="9"/>
      <c r="F1139" s="9"/>
      <c r="G1139" s="9"/>
      <c r="H1139" s="9"/>
      <c r="I1139" s="9"/>
      <c r="J1139" s="9"/>
      <c r="K1139" s="9"/>
      <c r="L1139" s="115"/>
      <c r="M1139" s="115"/>
      <c r="N1139" s="115"/>
      <c r="O1139" s="115"/>
      <c r="P1139" s="9"/>
      <c r="Q1139" s="9"/>
      <c r="R1139" s="9"/>
      <c r="S1139" s="9"/>
      <c r="T1139" s="9"/>
      <c r="U1139" s="9"/>
      <c r="V1139" s="9"/>
      <c r="W1139" s="10"/>
      <c r="X1139" s="10"/>
      <c r="Y1139" s="10"/>
      <c r="Z1139" s="10"/>
    </row>
    <row r="1140">
      <c r="A1140" s="9"/>
      <c r="B1140" s="9"/>
      <c r="C1140" s="9"/>
      <c r="D1140" s="9"/>
      <c r="E1140" s="9"/>
      <c r="F1140" s="9"/>
      <c r="G1140" s="9"/>
      <c r="H1140" s="9"/>
      <c r="I1140" s="9"/>
      <c r="J1140" s="9"/>
      <c r="K1140" s="9"/>
      <c r="L1140" s="115"/>
      <c r="M1140" s="115"/>
      <c r="N1140" s="115"/>
      <c r="O1140" s="115"/>
      <c r="P1140" s="9"/>
      <c r="Q1140" s="9"/>
      <c r="R1140" s="9"/>
      <c r="S1140" s="9"/>
      <c r="T1140" s="9"/>
      <c r="U1140" s="9"/>
      <c r="V1140" s="9"/>
      <c r="W1140" s="10"/>
      <c r="X1140" s="10"/>
      <c r="Y1140" s="10"/>
      <c r="Z1140" s="10"/>
    </row>
    <row r="1141">
      <c r="A1141" s="9"/>
      <c r="B1141" s="9"/>
      <c r="C1141" s="9"/>
      <c r="D1141" s="9"/>
      <c r="E1141" s="9"/>
      <c r="F1141" s="9"/>
      <c r="G1141" s="9"/>
      <c r="H1141" s="9"/>
      <c r="I1141" s="9"/>
      <c r="J1141" s="9"/>
      <c r="K1141" s="9"/>
      <c r="L1141" s="115"/>
      <c r="M1141" s="115"/>
      <c r="N1141" s="115"/>
      <c r="O1141" s="115"/>
      <c r="P1141" s="9"/>
      <c r="Q1141" s="9"/>
      <c r="R1141" s="9"/>
      <c r="S1141" s="9"/>
      <c r="T1141" s="9"/>
      <c r="U1141" s="9"/>
      <c r="V1141" s="9"/>
      <c r="W1141" s="10"/>
      <c r="X1141" s="10"/>
      <c r="Y1141" s="10"/>
      <c r="Z1141" s="10"/>
    </row>
    <row r="1142">
      <c r="A1142" s="9"/>
      <c r="B1142" s="9"/>
      <c r="C1142" s="9"/>
      <c r="D1142" s="9"/>
      <c r="E1142" s="9"/>
      <c r="F1142" s="9"/>
      <c r="G1142" s="9"/>
      <c r="H1142" s="9"/>
      <c r="I1142" s="9"/>
      <c r="J1142" s="9"/>
      <c r="K1142" s="9"/>
      <c r="L1142" s="115"/>
      <c r="M1142" s="115"/>
      <c r="N1142" s="115"/>
      <c r="O1142" s="115"/>
      <c r="P1142" s="9"/>
      <c r="Q1142" s="9"/>
      <c r="R1142" s="9"/>
      <c r="S1142" s="9"/>
      <c r="T1142" s="9"/>
      <c r="U1142" s="9"/>
      <c r="V1142" s="9"/>
      <c r="W1142" s="10"/>
      <c r="X1142" s="10"/>
      <c r="Y1142" s="10"/>
      <c r="Z1142" s="10"/>
    </row>
    <row r="1143">
      <c r="A1143" s="9"/>
      <c r="B1143" s="9"/>
      <c r="C1143" s="9"/>
      <c r="D1143" s="9"/>
      <c r="E1143" s="9"/>
      <c r="F1143" s="9"/>
      <c r="G1143" s="9"/>
      <c r="H1143" s="9"/>
      <c r="I1143" s="9"/>
      <c r="J1143" s="9"/>
      <c r="K1143" s="9"/>
      <c r="L1143" s="115"/>
      <c r="M1143" s="115"/>
      <c r="N1143" s="115"/>
      <c r="O1143" s="115"/>
      <c r="P1143" s="9"/>
      <c r="Q1143" s="9"/>
      <c r="R1143" s="9"/>
      <c r="S1143" s="9"/>
      <c r="T1143" s="9"/>
      <c r="U1143" s="9"/>
      <c r="V1143" s="9"/>
      <c r="W1143" s="10"/>
      <c r="X1143" s="10"/>
      <c r="Y1143" s="10"/>
      <c r="Z1143" s="10"/>
    </row>
    <row r="1144">
      <c r="A1144" s="9"/>
      <c r="B1144" s="9"/>
      <c r="C1144" s="9"/>
      <c r="D1144" s="9"/>
      <c r="E1144" s="9"/>
      <c r="F1144" s="9"/>
      <c r="G1144" s="9"/>
      <c r="H1144" s="9"/>
      <c r="I1144" s="9"/>
      <c r="J1144" s="9"/>
      <c r="K1144" s="9"/>
      <c r="L1144" s="115"/>
      <c r="M1144" s="115"/>
      <c r="N1144" s="115"/>
      <c r="O1144" s="115"/>
      <c r="P1144" s="9"/>
      <c r="Q1144" s="9"/>
      <c r="R1144" s="9"/>
      <c r="S1144" s="9"/>
      <c r="T1144" s="9"/>
      <c r="U1144" s="9"/>
      <c r="V1144" s="9"/>
      <c r="W1144" s="10"/>
      <c r="X1144" s="10"/>
      <c r="Y1144" s="10"/>
      <c r="Z1144" s="10"/>
    </row>
    <row r="1145">
      <c r="A1145" s="9"/>
      <c r="B1145" s="9"/>
      <c r="C1145" s="9"/>
      <c r="D1145" s="9"/>
      <c r="E1145" s="9"/>
      <c r="F1145" s="9"/>
      <c r="G1145" s="9"/>
      <c r="H1145" s="9"/>
      <c r="I1145" s="9"/>
      <c r="J1145" s="9"/>
      <c r="K1145" s="9"/>
      <c r="L1145" s="115"/>
      <c r="M1145" s="115"/>
      <c r="N1145" s="115"/>
      <c r="O1145" s="115"/>
      <c r="P1145" s="9"/>
      <c r="Q1145" s="9"/>
      <c r="R1145" s="9"/>
      <c r="S1145" s="9"/>
      <c r="T1145" s="9"/>
      <c r="U1145" s="9"/>
      <c r="V1145" s="9"/>
      <c r="W1145" s="10"/>
      <c r="X1145" s="10"/>
      <c r="Y1145" s="10"/>
      <c r="Z1145" s="10"/>
    </row>
    <row r="1146">
      <c r="A1146" s="9"/>
      <c r="B1146" s="9"/>
      <c r="C1146" s="9"/>
      <c r="D1146" s="9"/>
      <c r="E1146" s="9"/>
      <c r="F1146" s="9"/>
      <c r="G1146" s="9"/>
      <c r="H1146" s="9"/>
      <c r="I1146" s="9"/>
      <c r="J1146" s="9"/>
      <c r="K1146" s="9"/>
      <c r="L1146" s="115"/>
      <c r="M1146" s="115"/>
      <c r="N1146" s="115"/>
      <c r="O1146" s="115"/>
      <c r="P1146" s="9"/>
      <c r="Q1146" s="9"/>
      <c r="R1146" s="9"/>
      <c r="S1146" s="9"/>
      <c r="T1146" s="9"/>
      <c r="U1146" s="9"/>
      <c r="V1146" s="9"/>
      <c r="W1146" s="10"/>
      <c r="X1146" s="10"/>
      <c r="Y1146" s="10"/>
      <c r="Z1146" s="10"/>
    </row>
    <row r="1147">
      <c r="A1147" s="9"/>
      <c r="B1147" s="9"/>
      <c r="C1147" s="9"/>
      <c r="D1147" s="9"/>
      <c r="E1147" s="9"/>
      <c r="F1147" s="9"/>
      <c r="G1147" s="9"/>
      <c r="H1147" s="9"/>
      <c r="I1147" s="9"/>
      <c r="J1147" s="9"/>
      <c r="K1147" s="9"/>
      <c r="L1147" s="115"/>
      <c r="M1147" s="115"/>
      <c r="N1147" s="115"/>
      <c r="O1147" s="115"/>
      <c r="P1147" s="9"/>
      <c r="Q1147" s="9"/>
      <c r="R1147" s="9"/>
      <c r="S1147" s="9"/>
      <c r="T1147" s="9"/>
      <c r="U1147" s="9"/>
      <c r="V1147" s="9"/>
      <c r="W1147" s="10"/>
      <c r="X1147" s="10"/>
      <c r="Y1147" s="10"/>
      <c r="Z1147" s="10"/>
    </row>
    <row r="1148">
      <c r="A1148" s="9"/>
      <c r="B1148" s="9"/>
      <c r="C1148" s="9"/>
      <c r="D1148" s="9"/>
      <c r="E1148" s="9"/>
      <c r="F1148" s="9"/>
      <c r="G1148" s="9"/>
      <c r="H1148" s="9"/>
      <c r="I1148" s="9"/>
      <c r="J1148" s="9"/>
      <c r="K1148" s="9"/>
      <c r="L1148" s="115"/>
      <c r="M1148" s="115"/>
      <c r="N1148" s="115"/>
      <c r="O1148" s="115"/>
      <c r="P1148" s="9"/>
      <c r="Q1148" s="9"/>
      <c r="R1148" s="9"/>
      <c r="S1148" s="9"/>
      <c r="T1148" s="9"/>
      <c r="U1148" s="9"/>
      <c r="V1148" s="9"/>
      <c r="W1148" s="10"/>
      <c r="X1148" s="10"/>
      <c r="Y1148" s="10"/>
      <c r="Z1148" s="10"/>
    </row>
    <row r="1149">
      <c r="A1149" s="9"/>
      <c r="B1149" s="9"/>
      <c r="C1149" s="9"/>
      <c r="D1149" s="9"/>
      <c r="E1149" s="9"/>
      <c r="F1149" s="9"/>
      <c r="G1149" s="9"/>
      <c r="H1149" s="9"/>
      <c r="I1149" s="9"/>
      <c r="J1149" s="9"/>
      <c r="K1149" s="9"/>
      <c r="L1149" s="115"/>
      <c r="M1149" s="115"/>
      <c r="N1149" s="115"/>
      <c r="O1149" s="115"/>
      <c r="P1149" s="9"/>
      <c r="Q1149" s="9"/>
      <c r="R1149" s="9"/>
      <c r="S1149" s="9"/>
      <c r="T1149" s="9"/>
      <c r="U1149" s="9"/>
      <c r="V1149" s="9"/>
      <c r="W1149" s="10"/>
      <c r="X1149" s="10"/>
      <c r="Y1149" s="10"/>
      <c r="Z1149" s="10"/>
    </row>
    <row r="1150">
      <c r="A1150" s="9"/>
      <c r="B1150" s="9"/>
      <c r="C1150" s="9"/>
      <c r="D1150" s="9"/>
      <c r="E1150" s="9"/>
      <c r="F1150" s="9"/>
      <c r="G1150" s="9"/>
      <c r="H1150" s="9"/>
      <c r="I1150" s="9"/>
      <c r="J1150" s="9"/>
      <c r="K1150" s="9"/>
      <c r="L1150" s="115"/>
      <c r="M1150" s="115"/>
      <c r="N1150" s="115"/>
      <c r="O1150" s="115"/>
      <c r="P1150" s="9"/>
      <c r="Q1150" s="9"/>
      <c r="R1150" s="9"/>
      <c r="S1150" s="9"/>
      <c r="T1150" s="9"/>
      <c r="U1150" s="9"/>
      <c r="V1150" s="9"/>
      <c r="W1150" s="10"/>
      <c r="X1150" s="10"/>
      <c r="Y1150" s="10"/>
      <c r="Z1150" s="10"/>
    </row>
    <row r="1151">
      <c r="A1151" s="9"/>
      <c r="B1151" s="9"/>
      <c r="C1151" s="9"/>
      <c r="D1151" s="9"/>
      <c r="E1151" s="9"/>
      <c r="F1151" s="9"/>
      <c r="G1151" s="9"/>
      <c r="H1151" s="9"/>
      <c r="I1151" s="9"/>
      <c r="J1151" s="9"/>
      <c r="K1151" s="9"/>
      <c r="L1151" s="115"/>
      <c r="M1151" s="115"/>
      <c r="N1151" s="115"/>
      <c r="O1151" s="115"/>
      <c r="P1151" s="9"/>
      <c r="Q1151" s="9"/>
      <c r="R1151" s="9"/>
      <c r="S1151" s="9"/>
      <c r="T1151" s="9"/>
      <c r="U1151" s="9"/>
      <c r="V1151" s="9"/>
      <c r="W1151" s="10"/>
      <c r="X1151" s="10"/>
      <c r="Y1151" s="10"/>
      <c r="Z1151" s="10"/>
    </row>
    <row r="1152">
      <c r="A1152" s="9"/>
      <c r="B1152" s="9"/>
      <c r="C1152" s="9"/>
      <c r="D1152" s="9"/>
      <c r="E1152" s="9"/>
      <c r="F1152" s="9"/>
      <c r="G1152" s="9"/>
      <c r="H1152" s="9"/>
      <c r="I1152" s="9"/>
      <c r="J1152" s="9"/>
      <c r="K1152" s="9"/>
      <c r="L1152" s="115"/>
      <c r="M1152" s="115"/>
      <c r="N1152" s="115"/>
      <c r="O1152" s="115"/>
      <c r="P1152" s="9"/>
      <c r="Q1152" s="9"/>
      <c r="R1152" s="9"/>
      <c r="S1152" s="9"/>
      <c r="T1152" s="9"/>
      <c r="U1152" s="9"/>
      <c r="V1152" s="9"/>
      <c r="W1152" s="10"/>
      <c r="X1152" s="10"/>
      <c r="Y1152" s="10"/>
      <c r="Z1152" s="10"/>
    </row>
    <row r="1153">
      <c r="A1153" s="9"/>
      <c r="B1153" s="9"/>
      <c r="C1153" s="9"/>
      <c r="D1153" s="9"/>
      <c r="E1153" s="9"/>
      <c r="F1153" s="9"/>
      <c r="G1153" s="9"/>
      <c r="H1153" s="9"/>
      <c r="I1153" s="9"/>
      <c r="J1153" s="9"/>
      <c r="K1153" s="9"/>
      <c r="L1153" s="115"/>
      <c r="M1153" s="115"/>
      <c r="N1153" s="115"/>
      <c r="O1153" s="115"/>
      <c r="P1153" s="9"/>
      <c r="Q1153" s="9"/>
      <c r="R1153" s="9"/>
      <c r="S1153" s="9"/>
      <c r="T1153" s="9"/>
      <c r="U1153" s="9"/>
      <c r="V1153" s="9"/>
      <c r="W1153" s="10"/>
      <c r="X1153" s="10"/>
      <c r="Y1153" s="10"/>
      <c r="Z1153" s="10"/>
    </row>
    <row r="1154">
      <c r="A1154" s="9"/>
      <c r="B1154" s="9"/>
      <c r="C1154" s="9"/>
      <c r="D1154" s="9"/>
      <c r="E1154" s="9"/>
      <c r="F1154" s="9"/>
      <c r="G1154" s="9"/>
      <c r="H1154" s="9"/>
      <c r="I1154" s="9"/>
      <c r="J1154" s="9"/>
      <c r="K1154" s="9"/>
      <c r="L1154" s="115"/>
      <c r="M1154" s="115"/>
      <c r="N1154" s="115"/>
      <c r="O1154" s="115"/>
      <c r="P1154" s="9"/>
      <c r="Q1154" s="9"/>
      <c r="R1154" s="9"/>
      <c r="S1154" s="9"/>
      <c r="T1154" s="9"/>
      <c r="U1154" s="9"/>
      <c r="V1154" s="9"/>
      <c r="W1154" s="10"/>
      <c r="X1154" s="10"/>
      <c r="Y1154" s="10"/>
      <c r="Z1154" s="10"/>
    </row>
    <row r="1155">
      <c r="A1155" s="9"/>
      <c r="B1155" s="9"/>
      <c r="C1155" s="9"/>
      <c r="D1155" s="9"/>
      <c r="E1155" s="9"/>
      <c r="F1155" s="9"/>
      <c r="G1155" s="9"/>
      <c r="H1155" s="9"/>
      <c r="I1155" s="9"/>
      <c r="J1155" s="9"/>
      <c r="K1155" s="9"/>
      <c r="L1155" s="115"/>
      <c r="M1155" s="115"/>
      <c r="N1155" s="115"/>
      <c r="O1155" s="115"/>
      <c r="P1155" s="9"/>
      <c r="Q1155" s="9"/>
      <c r="R1155" s="9"/>
      <c r="S1155" s="9"/>
      <c r="T1155" s="9"/>
      <c r="U1155" s="9"/>
      <c r="V1155" s="9"/>
      <c r="W1155" s="10"/>
      <c r="X1155" s="10"/>
      <c r="Y1155" s="10"/>
      <c r="Z1155" s="10"/>
    </row>
    <row r="1156">
      <c r="A1156" s="9"/>
      <c r="B1156" s="9"/>
      <c r="C1156" s="9"/>
      <c r="D1156" s="9"/>
      <c r="E1156" s="9"/>
      <c r="F1156" s="9"/>
      <c r="G1156" s="9"/>
      <c r="H1156" s="9"/>
      <c r="I1156" s="9"/>
      <c r="J1156" s="9"/>
      <c r="K1156" s="9"/>
      <c r="L1156" s="115"/>
      <c r="M1156" s="115"/>
      <c r="N1156" s="115"/>
      <c r="O1156" s="115"/>
      <c r="P1156" s="9"/>
      <c r="Q1156" s="9"/>
      <c r="R1156" s="9"/>
      <c r="S1156" s="9"/>
      <c r="T1156" s="9"/>
      <c r="U1156" s="9"/>
      <c r="V1156" s="9"/>
      <c r="W1156" s="10"/>
      <c r="X1156" s="10"/>
      <c r="Y1156" s="10"/>
      <c r="Z1156" s="10"/>
    </row>
    <row r="1157">
      <c r="A1157" s="9"/>
      <c r="B1157" s="9"/>
      <c r="C1157" s="9"/>
      <c r="D1157" s="9"/>
      <c r="E1157" s="9"/>
      <c r="F1157" s="9"/>
      <c r="G1157" s="9"/>
      <c r="H1157" s="9"/>
      <c r="I1157" s="9"/>
      <c r="J1157" s="9"/>
      <c r="K1157" s="9"/>
      <c r="L1157" s="115"/>
      <c r="M1157" s="115"/>
      <c r="N1157" s="115"/>
      <c r="O1157" s="115"/>
      <c r="P1157" s="9"/>
      <c r="Q1157" s="9"/>
      <c r="R1157" s="9"/>
      <c r="S1157" s="9"/>
      <c r="T1157" s="9"/>
      <c r="U1157" s="9"/>
      <c r="V1157" s="9"/>
      <c r="W1157" s="10"/>
      <c r="X1157" s="10"/>
      <c r="Y1157" s="10"/>
      <c r="Z1157" s="10"/>
    </row>
    <row r="1158">
      <c r="A1158" s="9"/>
      <c r="B1158" s="9"/>
      <c r="C1158" s="9"/>
      <c r="D1158" s="9"/>
      <c r="E1158" s="9"/>
      <c r="F1158" s="9"/>
      <c r="G1158" s="9"/>
      <c r="H1158" s="9"/>
      <c r="I1158" s="9"/>
      <c r="J1158" s="9"/>
      <c r="K1158" s="9"/>
      <c r="L1158" s="115"/>
      <c r="M1158" s="115"/>
      <c r="N1158" s="115"/>
      <c r="O1158" s="115"/>
      <c r="P1158" s="9"/>
      <c r="Q1158" s="9"/>
      <c r="R1158" s="9"/>
      <c r="S1158" s="9"/>
      <c r="T1158" s="9"/>
      <c r="U1158" s="9"/>
      <c r="V1158" s="9"/>
      <c r="W1158" s="10"/>
      <c r="X1158" s="10"/>
      <c r="Y1158" s="10"/>
      <c r="Z1158" s="10"/>
    </row>
    <row r="1159">
      <c r="A1159" s="9"/>
      <c r="B1159" s="9"/>
      <c r="C1159" s="9"/>
      <c r="D1159" s="9"/>
      <c r="E1159" s="9"/>
      <c r="F1159" s="9"/>
      <c r="G1159" s="9"/>
      <c r="H1159" s="9"/>
      <c r="I1159" s="9"/>
      <c r="J1159" s="9"/>
      <c r="K1159" s="9"/>
      <c r="L1159" s="115"/>
      <c r="M1159" s="115"/>
      <c r="N1159" s="115"/>
      <c r="O1159" s="115"/>
      <c r="P1159" s="9"/>
      <c r="Q1159" s="9"/>
      <c r="R1159" s="9"/>
      <c r="S1159" s="9"/>
      <c r="T1159" s="9"/>
      <c r="U1159" s="9"/>
      <c r="V1159" s="9"/>
      <c r="W1159" s="10"/>
      <c r="X1159" s="10"/>
      <c r="Y1159" s="10"/>
      <c r="Z1159" s="10"/>
    </row>
    <row r="1160">
      <c r="A1160" s="9"/>
      <c r="B1160" s="9"/>
      <c r="C1160" s="9"/>
      <c r="D1160" s="9"/>
      <c r="E1160" s="9"/>
      <c r="F1160" s="9"/>
      <c r="G1160" s="9"/>
      <c r="H1160" s="9"/>
      <c r="I1160" s="9"/>
      <c r="J1160" s="9"/>
      <c r="K1160" s="9"/>
      <c r="L1160" s="115"/>
      <c r="M1160" s="115"/>
      <c r="N1160" s="115"/>
      <c r="O1160" s="115"/>
      <c r="P1160" s="9"/>
      <c r="Q1160" s="9"/>
      <c r="R1160" s="9"/>
      <c r="S1160" s="9"/>
      <c r="T1160" s="9"/>
      <c r="U1160" s="9"/>
      <c r="V1160" s="9"/>
      <c r="W1160" s="10"/>
      <c r="X1160" s="10"/>
      <c r="Y1160" s="10"/>
      <c r="Z1160" s="10"/>
    </row>
    <row r="1161">
      <c r="A1161" s="9"/>
      <c r="B1161" s="9"/>
      <c r="C1161" s="9"/>
      <c r="D1161" s="9"/>
      <c r="E1161" s="9"/>
      <c r="F1161" s="9"/>
      <c r="G1161" s="9"/>
      <c r="H1161" s="9"/>
      <c r="I1161" s="9"/>
      <c r="J1161" s="9"/>
      <c r="K1161" s="9"/>
      <c r="L1161" s="115"/>
      <c r="M1161" s="115"/>
      <c r="N1161" s="115"/>
      <c r="O1161" s="115"/>
      <c r="P1161" s="9"/>
      <c r="Q1161" s="9"/>
      <c r="R1161" s="9"/>
      <c r="S1161" s="9"/>
      <c r="T1161" s="9"/>
      <c r="U1161" s="9"/>
      <c r="V1161" s="9"/>
      <c r="W1161" s="10"/>
      <c r="X1161" s="10"/>
      <c r="Y1161" s="10"/>
      <c r="Z1161" s="10"/>
    </row>
    <row r="1162">
      <c r="A1162" s="9"/>
      <c r="B1162" s="9"/>
      <c r="C1162" s="9"/>
      <c r="D1162" s="9"/>
      <c r="E1162" s="9"/>
      <c r="F1162" s="9"/>
      <c r="G1162" s="9"/>
      <c r="H1162" s="9"/>
      <c r="I1162" s="9"/>
      <c r="J1162" s="9"/>
      <c r="K1162" s="9"/>
      <c r="L1162" s="115"/>
      <c r="M1162" s="115"/>
      <c r="N1162" s="115"/>
      <c r="O1162" s="115"/>
      <c r="P1162" s="9"/>
      <c r="Q1162" s="9"/>
      <c r="R1162" s="9"/>
      <c r="S1162" s="9"/>
      <c r="T1162" s="9"/>
      <c r="U1162" s="9"/>
      <c r="V1162" s="9"/>
      <c r="W1162" s="10"/>
      <c r="X1162" s="10"/>
      <c r="Y1162" s="10"/>
      <c r="Z1162" s="10"/>
    </row>
    <row r="1163">
      <c r="A1163" s="9"/>
      <c r="B1163" s="9"/>
      <c r="C1163" s="9"/>
      <c r="D1163" s="9"/>
      <c r="E1163" s="9"/>
      <c r="F1163" s="9"/>
      <c r="G1163" s="9"/>
      <c r="H1163" s="9"/>
      <c r="I1163" s="9"/>
      <c r="J1163" s="9"/>
      <c r="K1163" s="9"/>
      <c r="L1163" s="115"/>
      <c r="M1163" s="115"/>
      <c r="N1163" s="115"/>
      <c r="O1163" s="115"/>
      <c r="P1163" s="9"/>
      <c r="Q1163" s="9"/>
      <c r="R1163" s="9"/>
      <c r="S1163" s="9"/>
      <c r="T1163" s="9"/>
      <c r="U1163" s="9"/>
      <c r="V1163" s="9"/>
      <c r="W1163" s="10"/>
      <c r="X1163" s="10"/>
      <c r="Y1163" s="10"/>
      <c r="Z1163" s="10"/>
    </row>
    <row r="1164">
      <c r="A1164" s="9"/>
      <c r="B1164" s="9"/>
      <c r="C1164" s="9"/>
      <c r="D1164" s="9"/>
      <c r="E1164" s="9"/>
      <c r="F1164" s="9"/>
      <c r="G1164" s="9"/>
      <c r="H1164" s="9"/>
      <c r="I1164" s="9"/>
      <c r="J1164" s="9"/>
      <c r="K1164" s="9"/>
      <c r="L1164" s="115"/>
      <c r="M1164" s="115"/>
      <c r="N1164" s="115"/>
      <c r="O1164" s="115"/>
      <c r="P1164" s="9"/>
      <c r="Q1164" s="9"/>
      <c r="R1164" s="9"/>
      <c r="S1164" s="9"/>
      <c r="T1164" s="9"/>
      <c r="U1164" s="9"/>
      <c r="V1164" s="9"/>
      <c r="W1164" s="10"/>
      <c r="X1164" s="10"/>
      <c r="Y1164" s="10"/>
      <c r="Z1164" s="10"/>
    </row>
    <row r="1165">
      <c r="A1165" s="9"/>
      <c r="B1165" s="9"/>
      <c r="C1165" s="9"/>
      <c r="D1165" s="9"/>
      <c r="E1165" s="9"/>
      <c r="F1165" s="9"/>
      <c r="G1165" s="9"/>
      <c r="H1165" s="9"/>
      <c r="I1165" s="9"/>
      <c r="J1165" s="9"/>
      <c r="K1165" s="9"/>
      <c r="L1165" s="115"/>
      <c r="M1165" s="115"/>
      <c r="N1165" s="115"/>
      <c r="O1165" s="115"/>
      <c r="P1165" s="9"/>
      <c r="Q1165" s="9"/>
      <c r="R1165" s="9"/>
      <c r="S1165" s="9"/>
      <c r="T1165" s="9"/>
      <c r="U1165" s="9"/>
      <c r="V1165" s="9"/>
      <c r="W1165" s="10"/>
      <c r="X1165" s="10"/>
      <c r="Y1165" s="10"/>
      <c r="Z1165" s="10"/>
    </row>
    <row r="1166">
      <c r="A1166" s="9"/>
      <c r="B1166" s="9"/>
      <c r="C1166" s="9"/>
      <c r="D1166" s="9"/>
      <c r="E1166" s="9"/>
      <c r="F1166" s="9"/>
      <c r="G1166" s="9"/>
      <c r="H1166" s="9"/>
      <c r="I1166" s="9"/>
      <c r="J1166" s="9"/>
      <c r="K1166" s="9"/>
      <c r="L1166" s="115"/>
      <c r="M1166" s="115"/>
      <c r="N1166" s="115"/>
      <c r="O1166" s="115"/>
      <c r="P1166" s="9"/>
      <c r="Q1166" s="9"/>
      <c r="R1166" s="9"/>
      <c r="S1166" s="9"/>
      <c r="T1166" s="9"/>
      <c r="U1166" s="9"/>
      <c r="V1166" s="9"/>
      <c r="W1166" s="10"/>
      <c r="X1166" s="10"/>
      <c r="Y1166" s="10"/>
      <c r="Z1166" s="10"/>
    </row>
    <row r="1167">
      <c r="A1167" s="9"/>
      <c r="B1167" s="9"/>
      <c r="C1167" s="9"/>
      <c r="D1167" s="9"/>
      <c r="E1167" s="9"/>
      <c r="F1167" s="9"/>
      <c r="G1167" s="9"/>
      <c r="H1167" s="9"/>
      <c r="I1167" s="9"/>
      <c r="J1167" s="9"/>
      <c r="K1167" s="9"/>
      <c r="L1167" s="115"/>
      <c r="M1167" s="115"/>
      <c r="N1167" s="115"/>
      <c r="O1167" s="115"/>
      <c r="P1167" s="9"/>
      <c r="Q1167" s="9"/>
      <c r="R1167" s="9"/>
      <c r="S1167" s="9"/>
      <c r="T1167" s="9"/>
      <c r="U1167" s="9"/>
      <c r="V1167" s="9"/>
      <c r="W1167" s="10"/>
      <c r="X1167" s="10"/>
      <c r="Y1167" s="10"/>
      <c r="Z1167" s="10"/>
    </row>
    <row r="1168">
      <c r="A1168" s="9"/>
      <c r="B1168" s="9"/>
      <c r="C1168" s="9"/>
      <c r="D1168" s="9"/>
      <c r="E1168" s="9"/>
      <c r="F1168" s="9"/>
      <c r="G1168" s="9"/>
      <c r="H1168" s="9"/>
      <c r="I1168" s="9"/>
      <c r="J1168" s="9"/>
      <c r="K1168" s="9"/>
      <c r="L1168" s="115"/>
      <c r="M1168" s="115"/>
      <c r="N1168" s="115"/>
      <c r="O1168" s="115"/>
      <c r="P1168" s="9"/>
      <c r="Q1168" s="9"/>
      <c r="R1168" s="9"/>
      <c r="S1168" s="9"/>
      <c r="T1168" s="9"/>
      <c r="U1168" s="9"/>
      <c r="V1168" s="9"/>
      <c r="W1168" s="10"/>
      <c r="X1168" s="10"/>
      <c r="Y1168" s="10"/>
      <c r="Z1168" s="10"/>
    </row>
    <row r="1169">
      <c r="A1169" s="9"/>
      <c r="B1169" s="9"/>
      <c r="C1169" s="9"/>
      <c r="D1169" s="9"/>
      <c r="E1169" s="9"/>
      <c r="F1169" s="9"/>
      <c r="G1169" s="9"/>
      <c r="H1169" s="9"/>
      <c r="I1169" s="9"/>
      <c r="J1169" s="9"/>
      <c r="K1169" s="9"/>
      <c r="L1169" s="115"/>
      <c r="M1169" s="115"/>
      <c r="N1169" s="115"/>
      <c r="O1169" s="115"/>
      <c r="P1169" s="9"/>
      <c r="Q1169" s="9"/>
      <c r="R1169" s="9"/>
      <c r="S1169" s="9"/>
      <c r="T1169" s="9"/>
      <c r="U1169" s="9"/>
      <c r="V1169" s="9"/>
      <c r="W1169" s="10"/>
      <c r="X1169" s="10"/>
      <c r="Y1169" s="10"/>
      <c r="Z1169" s="10"/>
    </row>
    <row r="1170">
      <c r="A1170" s="9"/>
      <c r="B1170" s="9"/>
      <c r="C1170" s="9"/>
      <c r="D1170" s="9"/>
      <c r="E1170" s="9"/>
      <c r="F1170" s="9"/>
      <c r="G1170" s="9"/>
      <c r="H1170" s="9"/>
      <c r="I1170" s="9"/>
      <c r="J1170" s="9"/>
      <c r="K1170" s="9"/>
      <c r="L1170" s="115"/>
      <c r="M1170" s="115"/>
      <c r="N1170" s="115"/>
      <c r="O1170" s="115"/>
      <c r="P1170" s="9"/>
      <c r="Q1170" s="9"/>
      <c r="R1170" s="9"/>
      <c r="S1170" s="9"/>
      <c r="T1170" s="9"/>
      <c r="U1170" s="9"/>
      <c r="V1170" s="9"/>
      <c r="W1170" s="10"/>
      <c r="X1170" s="10"/>
      <c r="Y1170" s="10"/>
      <c r="Z1170" s="10"/>
    </row>
    <row r="1171">
      <c r="A1171" s="9"/>
      <c r="B1171" s="9"/>
      <c r="C1171" s="9"/>
      <c r="D1171" s="9"/>
      <c r="E1171" s="9"/>
      <c r="F1171" s="9"/>
      <c r="G1171" s="9"/>
      <c r="H1171" s="9"/>
      <c r="I1171" s="9"/>
      <c r="J1171" s="9"/>
      <c r="K1171" s="9"/>
      <c r="L1171" s="115"/>
      <c r="M1171" s="115"/>
      <c r="N1171" s="115"/>
      <c r="O1171" s="115"/>
      <c r="P1171" s="9"/>
      <c r="Q1171" s="9"/>
      <c r="R1171" s="9"/>
      <c r="S1171" s="9"/>
      <c r="T1171" s="9"/>
      <c r="U1171" s="9"/>
      <c r="V1171" s="9"/>
      <c r="W1171" s="10"/>
      <c r="X1171" s="10"/>
      <c r="Y1171" s="10"/>
      <c r="Z1171" s="10"/>
    </row>
    <row r="1172">
      <c r="A1172" s="9"/>
      <c r="B1172" s="9"/>
      <c r="C1172" s="9"/>
      <c r="D1172" s="9"/>
      <c r="E1172" s="9"/>
      <c r="F1172" s="9"/>
      <c r="G1172" s="9"/>
      <c r="H1172" s="9"/>
      <c r="I1172" s="9"/>
      <c r="J1172" s="9"/>
      <c r="K1172" s="9"/>
      <c r="L1172" s="115"/>
      <c r="M1172" s="115"/>
      <c r="N1172" s="115"/>
      <c r="O1172" s="115"/>
      <c r="P1172" s="9"/>
      <c r="Q1172" s="9"/>
      <c r="R1172" s="9"/>
      <c r="S1172" s="9"/>
      <c r="T1172" s="9"/>
      <c r="U1172" s="9"/>
      <c r="V1172" s="9"/>
      <c r="W1172" s="10"/>
      <c r="X1172" s="10"/>
      <c r="Y1172" s="10"/>
      <c r="Z1172" s="10"/>
    </row>
    <row r="1173">
      <c r="A1173" s="9"/>
      <c r="B1173" s="9"/>
      <c r="C1173" s="9"/>
      <c r="D1173" s="9"/>
      <c r="E1173" s="9"/>
      <c r="F1173" s="9"/>
      <c r="G1173" s="9"/>
      <c r="H1173" s="9"/>
      <c r="I1173" s="9"/>
      <c r="J1173" s="9"/>
      <c r="K1173" s="9"/>
      <c r="L1173" s="115"/>
      <c r="M1173" s="115"/>
      <c r="N1173" s="115"/>
      <c r="O1173" s="115"/>
      <c r="P1173" s="9"/>
      <c r="Q1173" s="9"/>
      <c r="R1173" s="9"/>
      <c r="S1173" s="9"/>
      <c r="T1173" s="9"/>
      <c r="U1173" s="9"/>
      <c r="V1173" s="9"/>
      <c r="W1173" s="10"/>
      <c r="X1173" s="10"/>
      <c r="Y1173" s="10"/>
      <c r="Z1173" s="10"/>
    </row>
    <row r="1174">
      <c r="A1174" s="9"/>
      <c r="B1174" s="9"/>
      <c r="C1174" s="9"/>
      <c r="D1174" s="9"/>
      <c r="E1174" s="9"/>
      <c r="F1174" s="9"/>
      <c r="G1174" s="9"/>
      <c r="H1174" s="9"/>
      <c r="I1174" s="9"/>
      <c r="J1174" s="9"/>
      <c r="K1174" s="9"/>
      <c r="L1174" s="115"/>
      <c r="M1174" s="115"/>
      <c r="N1174" s="115"/>
      <c r="O1174" s="115"/>
      <c r="P1174" s="9"/>
      <c r="Q1174" s="9"/>
      <c r="R1174" s="9"/>
      <c r="S1174" s="9"/>
      <c r="T1174" s="9"/>
      <c r="U1174" s="9"/>
      <c r="V1174" s="9"/>
      <c r="W1174" s="10"/>
      <c r="X1174" s="10"/>
      <c r="Y1174" s="10"/>
      <c r="Z1174" s="10"/>
    </row>
    <row r="1175">
      <c r="A1175" s="9"/>
      <c r="B1175" s="9"/>
      <c r="C1175" s="9"/>
      <c r="D1175" s="9"/>
      <c r="E1175" s="9"/>
      <c r="F1175" s="9"/>
      <c r="G1175" s="9"/>
      <c r="H1175" s="9"/>
      <c r="I1175" s="9"/>
      <c r="J1175" s="9"/>
      <c r="K1175" s="9"/>
      <c r="L1175" s="115"/>
      <c r="M1175" s="115"/>
      <c r="N1175" s="115"/>
      <c r="O1175" s="115"/>
      <c r="P1175" s="9"/>
      <c r="Q1175" s="9"/>
      <c r="R1175" s="9"/>
      <c r="S1175" s="9"/>
      <c r="T1175" s="9"/>
      <c r="U1175" s="9"/>
      <c r="V1175" s="9"/>
      <c r="W1175" s="10"/>
      <c r="X1175" s="10"/>
      <c r="Y1175" s="10"/>
      <c r="Z1175" s="10"/>
    </row>
    <row r="1176">
      <c r="A1176" s="9"/>
      <c r="B1176" s="9"/>
      <c r="C1176" s="9"/>
      <c r="D1176" s="9"/>
      <c r="E1176" s="9"/>
      <c r="F1176" s="9"/>
      <c r="G1176" s="9"/>
      <c r="H1176" s="9"/>
      <c r="I1176" s="9"/>
      <c r="J1176" s="9"/>
      <c r="K1176" s="9"/>
      <c r="L1176" s="115"/>
      <c r="M1176" s="115"/>
      <c r="N1176" s="115"/>
      <c r="O1176" s="115"/>
      <c r="P1176" s="9"/>
      <c r="Q1176" s="9"/>
      <c r="R1176" s="9"/>
      <c r="S1176" s="9"/>
      <c r="T1176" s="9"/>
      <c r="U1176" s="9"/>
      <c r="V1176" s="9"/>
      <c r="W1176" s="10"/>
      <c r="X1176" s="10"/>
      <c r="Y1176" s="10"/>
      <c r="Z1176" s="10"/>
    </row>
    <row r="1177">
      <c r="A1177" s="9"/>
      <c r="B1177" s="9"/>
      <c r="C1177" s="9"/>
      <c r="D1177" s="9"/>
      <c r="E1177" s="9"/>
      <c r="F1177" s="9"/>
      <c r="G1177" s="9"/>
      <c r="H1177" s="9"/>
      <c r="I1177" s="9"/>
      <c r="J1177" s="9"/>
      <c r="K1177" s="9"/>
      <c r="L1177" s="115"/>
      <c r="M1177" s="115"/>
      <c r="N1177" s="115"/>
      <c r="O1177" s="115"/>
      <c r="P1177" s="9"/>
      <c r="Q1177" s="9"/>
      <c r="R1177" s="9"/>
      <c r="S1177" s="9"/>
      <c r="T1177" s="9"/>
      <c r="U1177" s="9"/>
      <c r="V1177" s="9"/>
      <c r="W1177" s="10"/>
      <c r="X1177" s="10"/>
      <c r="Y1177" s="10"/>
      <c r="Z1177" s="10"/>
    </row>
    <row r="1178">
      <c r="A1178" s="9"/>
      <c r="B1178" s="9"/>
      <c r="C1178" s="9"/>
      <c r="D1178" s="9"/>
      <c r="E1178" s="9"/>
      <c r="F1178" s="9"/>
      <c r="G1178" s="9"/>
      <c r="H1178" s="9"/>
      <c r="I1178" s="9"/>
      <c r="J1178" s="9"/>
      <c r="K1178" s="9"/>
      <c r="L1178" s="115"/>
      <c r="M1178" s="115"/>
      <c r="N1178" s="115"/>
      <c r="O1178" s="115"/>
      <c r="P1178" s="9"/>
      <c r="Q1178" s="9"/>
      <c r="R1178" s="9"/>
      <c r="S1178" s="9"/>
      <c r="T1178" s="9"/>
      <c r="U1178" s="9"/>
      <c r="V1178" s="9"/>
      <c r="W1178" s="10"/>
      <c r="X1178" s="10"/>
      <c r="Y1178" s="10"/>
      <c r="Z1178" s="10"/>
    </row>
    <row r="1179">
      <c r="A1179" s="9"/>
      <c r="B1179" s="9"/>
      <c r="C1179" s="9"/>
      <c r="D1179" s="9"/>
      <c r="E1179" s="9"/>
      <c r="F1179" s="9"/>
      <c r="G1179" s="9"/>
      <c r="H1179" s="9"/>
      <c r="I1179" s="9"/>
      <c r="J1179" s="9"/>
      <c r="K1179" s="9"/>
      <c r="L1179" s="115"/>
      <c r="M1179" s="115"/>
      <c r="N1179" s="115"/>
      <c r="O1179" s="115"/>
      <c r="P1179" s="9"/>
      <c r="Q1179" s="9"/>
      <c r="R1179" s="9"/>
      <c r="S1179" s="9"/>
      <c r="T1179" s="9"/>
      <c r="U1179" s="9"/>
      <c r="V1179" s="9"/>
      <c r="W1179" s="10"/>
      <c r="X1179" s="10"/>
      <c r="Y1179" s="10"/>
      <c r="Z1179" s="10"/>
    </row>
    <row r="1180">
      <c r="A1180" s="9"/>
      <c r="B1180" s="9"/>
      <c r="C1180" s="9"/>
      <c r="D1180" s="9"/>
      <c r="E1180" s="9"/>
      <c r="F1180" s="9"/>
      <c r="G1180" s="9"/>
      <c r="H1180" s="9"/>
      <c r="I1180" s="9"/>
      <c r="J1180" s="9"/>
      <c r="K1180" s="9"/>
      <c r="L1180" s="115"/>
      <c r="M1180" s="115"/>
      <c r="N1180" s="115"/>
      <c r="O1180" s="115"/>
      <c r="P1180" s="9"/>
      <c r="Q1180" s="9"/>
      <c r="R1180" s="9"/>
      <c r="S1180" s="9"/>
      <c r="T1180" s="9"/>
      <c r="U1180" s="9"/>
      <c r="V1180" s="9"/>
      <c r="W1180" s="10"/>
      <c r="X1180" s="10"/>
      <c r="Y1180" s="10"/>
      <c r="Z1180" s="10"/>
    </row>
    <row r="1181">
      <c r="A1181" s="9"/>
      <c r="B1181" s="9"/>
      <c r="C1181" s="9"/>
      <c r="D1181" s="9"/>
      <c r="E1181" s="9"/>
      <c r="F1181" s="9"/>
      <c r="G1181" s="9"/>
      <c r="H1181" s="9"/>
      <c r="I1181" s="9"/>
      <c r="J1181" s="9"/>
      <c r="K1181" s="9"/>
      <c r="L1181" s="115"/>
      <c r="M1181" s="115"/>
      <c r="N1181" s="115"/>
      <c r="O1181" s="115"/>
      <c r="P1181" s="9"/>
      <c r="Q1181" s="9"/>
      <c r="R1181" s="9"/>
      <c r="S1181" s="9"/>
      <c r="T1181" s="9"/>
      <c r="U1181" s="9"/>
      <c r="V1181" s="9"/>
      <c r="W1181" s="10"/>
      <c r="X1181" s="10"/>
      <c r="Y1181" s="10"/>
      <c r="Z1181" s="10"/>
    </row>
    <row r="1182">
      <c r="A1182" s="9"/>
      <c r="B1182" s="9"/>
      <c r="C1182" s="9"/>
      <c r="D1182" s="9"/>
      <c r="E1182" s="9"/>
      <c r="F1182" s="9"/>
      <c r="G1182" s="9"/>
      <c r="H1182" s="9"/>
      <c r="I1182" s="9"/>
      <c r="J1182" s="9"/>
      <c r="K1182" s="9"/>
      <c r="L1182" s="115"/>
      <c r="M1182" s="115"/>
      <c r="N1182" s="115"/>
      <c r="O1182" s="115"/>
      <c r="P1182" s="9"/>
      <c r="Q1182" s="9"/>
      <c r="R1182" s="9"/>
      <c r="S1182" s="9"/>
      <c r="T1182" s="9"/>
      <c r="U1182" s="9"/>
      <c r="V1182" s="9"/>
      <c r="W1182" s="10"/>
      <c r="X1182" s="10"/>
      <c r="Y1182" s="10"/>
      <c r="Z1182" s="10"/>
    </row>
    <row r="1183">
      <c r="A1183" s="9"/>
      <c r="B1183" s="9"/>
      <c r="C1183" s="9"/>
      <c r="D1183" s="9"/>
      <c r="E1183" s="9"/>
      <c r="F1183" s="9"/>
      <c r="G1183" s="9"/>
      <c r="H1183" s="9"/>
      <c r="I1183" s="9"/>
      <c r="J1183" s="9"/>
      <c r="K1183" s="9"/>
      <c r="L1183" s="115"/>
      <c r="M1183" s="115"/>
      <c r="N1183" s="115"/>
      <c r="O1183" s="115"/>
      <c r="P1183" s="9"/>
      <c r="Q1183" s="9"/>
      <c r="R1183" s="9"/>
      <c r="S1183" s="9"/>
      <c r="T1183" s="9"/>
      <c r="U1183" s="9"/>
      <c r="V1183" s="9"/>
      <c r="W1183" s="10"/>
      <c r="X1183" s="10"/>
      <c r="Y1183" s="10"/>
      <c r="Z1183" s="10"/>
    </row>
    <row r="1184">
      <c r="A1184" s="9"/>
      <c r="B1184" s="9"/>
      <c r="C1184" s="9"/>
      <c r="D1184" s="9"/>
      <c r="E1184" s="9"/>
      <c r="F1184" s="9"/>
      <c r="G1184" s="9"/>
      <c r="H1184" s="9"/>
      <c r="I1184" s="9"/>
      <c r="J1184" s="9"/>
      <c r="K1184" s="9"/>
      <c r="L1184" s="115"/>
      <c r="M1184" s="115"/>
      <c r="N1184" s="115"/>
      <c r="O1184" s="115"/>
      <c r="P1184" s="9"/>
      <c r="Q1184" s="9"/>
      <c r="R1184" s="9"/>
      <c r="S1184" s="9"/>
      <c r="T1184" s="9"/>
      <c r="U1184" s="9"/>
      <c r="V1184" s="9"/>
      <c r="W1184" s="10"/>
      <c r="X1184" s="10"/>
      <c r="Y1184" s="10"/>
      <c r="Z1184" s="10"/>
    </row>
  </sheetData>
  <mergeCells count="26">
    <mergeCell ref="G3:I3"/>
    <mergeCell ref="G4:I4"/>
    <mergeCell ref="C4:E4"/>
    <mergeCell ref="C5:F5"/>
    <mergeCell ref="G5:I5"/>
    <mergeCell ref="J5:L5"/>
    <mergeCell ref="C3:F3"/>
    <mergeCell ref="C7:F7"/>
    <mergeCell ref="G7:I7"/>
    <mergeCell ref="J7:L7"/>
    <mergeCell ref="C8:E8"/>
    <mergeCell ref="G8:I8"/>
    <mergeCell ref="J8:L8"/>
    <mergeCell ref="C9:F9"/>
    <mergeCell ref="G9:I9"/>
    <mergeCell ref="J9:L9"/>
    <mergeCell ref="D10:K10"/>
    <mergeCell ref="L10:R10"/>
    <mergeCell ref="S10:T10"/>
    <mergeCell ref="A1:B1"/>
    <mergeCell ref="A2:T2"/>
    <mergeCell ref="A3:B9"/>
    <mergeCell ref="J3:L3"/>
    <mergeCell ref="M3:M9"/>
    <mergeCell ref="J4:L4"/>
    <mergeCell ref="J6:L6"/>
  </mergeCells>
  <dataValidations>
    <dataValidation type="list" allowBlank="1" sqref="A2 A19 A27 A35 A43 A51 A59 A67 A75 A83 A91 A99 A107 A115 A123 A131 A139 A147 A155 A163 A171 A179 A187 A195 A203 A211 A219 A227">
      <formula1>"Previous Week,Current Week"</formula1>
    </dataValidation>
  </dataValidations>
  <hyperlinks>
    <hyperlink r:id="rId1" location="/report?id=102%3ADetailSalesTrafficByTime&amp;chartCols=17&amp;columns=0%2F1%2F2%2F3%2F4%2F5%2F6%2F17%2F18%2F23%2F24%2F25%2F26%2F29%2F30%2F31%2F32&amp;fromDate=2024-12-29&amp;toDate=2025-01-04" ref="A1"/>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ySplit="11.0" topLeftCell="A12" activePane="bottomLeft" state="frozen"/>
      <selection activeCell="B13" sqref="B13" pane="bottomLeft"/>
    </sheetView>
  </sheetViews>
  <sheetFormatPr customHeight="1" defaultColWidth="12.63" defaultRowHeight="15.75" outlineLevelRow="1"/>
  <cols>
    <col customWidth="1" min="1" max="1" width="16.88"/>
  </cols>
  <sheetData>
    <row r="1">
      <c r="A1" s="116" t="s">
        <v>57</v>
      </c>
      <c r="B1" s="117"/>
      <c r="C1" s="117"/>
      <c r="D1" s="7"/>
      <c r="E1" s="118"/>
      <c r="F1" s="118"/>
      <c r="G1" s="118"/>
      <c r="H1" s="118"/>
      <c r="I1" s="118"/>
      <c r="J1" s="118"/>
      <c r="K1" s="118"/>
      <c r="L1" s="118"/>
      <c r="M1" s="118"/>
      <c r="N1" s="118"/>
      <c r="O1" s="118"/>
      <c r="P1" s="118"/>
      <c r="Q1" s="118"/>
      <c r="R1" s="118"/>
      <c r="S1" s="118"/>
      <c r="T1" s="118"/>
      <c r="U1" s="118"/>
      <c r="V1" s="118"/>
      <c r="W1" s="2"/>
      <c r="X1" s="2"/>
    </row>
    <row r="2">
      <c r="A2" s="11" t="s">
        <v>17</v>
      </c>
      <c r="B2" s="12"/>
      <c r="C2" s="12"/>
      <c r="D2" s="12"/>
      <c r="E2" s="12"/>
      <c r="F2" s="12"/>
      <c r="G2" s="12"/>
      <c r="H2" s="12"/>
      <c r="I2" s="12"/>
      <c r="J2" s="12"/>
      <c r="K2" s="12"/>
      <c r="L2" s="12"/>
      <c r="M2" s="12"/>
      <c r="N2" s="12"/>
      <c r="O2" s="12"/>
      <c r="P2" s="12"/>
      <c r="Q2" s="12"/>
      <c r="R2" s="12"/>
      <c r="S2" s="12"/>
      <c r="T2" s="12"/>
      <c r="U2" s="12"/>
      <c r="V2" s="13"/>
      <c r="W2" s="2"/>
      <c r="X2" s="2"/>
    </row>
    <row r="3">
      <c r="A3" s="2"/>
      <c r="E3" s="119" t="s">
        <v>18</v>
      </c>
      <c r="F3" s="12"/>
      <c r="G3" s="12"/>
      <c r="H3" s="13"/>
      <c r="I3" s="119" t="s">
        <v>19</v>
      </c>
      <c r="J3" s="12"/>
      <c r="K3" s="13"/>
      <c r="L3" s="119" t="s">
        <v>20</v>
      </c>
      <c r="M3" s="12"/>
      <c r="N3" s="12"/>
      <c r="O3" s="2"/>
      <c r="P3" s="120"/>
      <c r="Q3" s="120"/>
      <c r="R3" s="120"/>
      <c r="S3" s="120"/>
      <c r="T3" s="120"/>
      <c r="U3" s="120"/>
      <c r="V3" s="120"/>
      <c r="W3" s="2"/>
      <c r="X3" s="2"/>
    </row>
    <row r="4">
      <c r="E4" s="121">
        <f>VLOOKUP("Current Week",$A$11:$V$917,match("SALES",$A$11:$V$11,0),FALSE)</f>
        <v>2245.1</v>
      </c>
      <c r="F4" s="12"/>
      <c r="G4" s="13"/>
      <c r="H4" s="120"/>
      <c r="I4" s="122">
        <f>VLOOKUP("Current Week",$A$11:$V$917,match("ORDERS",$A$11:$V$11,0),FALSE)</f>
        <v>83</v>
      </c>
      <c r="J4" s="12"/>
      <c r="K4" s="13"/>
      <c r="L4" s="122">
        <f>VLOOKUP("Current Week",$A$11:$V$917,match("UNITS SOLD",$A$11:$V$11,0),FALSE)</f>
        <v>91</v>
      </c>
      <c r="M4" s="12"/>
      <c r="N4" s="12"/>
      <c r="P4" s="120"/>
      <c r="Q4" s="120"/>
      <c r="R4" s="120"/>
      <c r="S4" s="120"/>
      <c r="T4" s="120"/>
      <c r="U4" s="120"/>
      <c r="V4" s="120"/>
      <c r="W4" s="2"/>
      <c r="X4" s="2"/>
    </row>
    <row r="5">
      <c r="E5" s="123">
        <f>(E4-(VLOOKUP("Previous Week",$A$11:$V917,match("SALES",$A$11:$V$11,0),FALSE)))/E4</f>
        <v>0.4474589105</v>
      </c>
      <c r="F5" s="12"/>
      <c r="G5" s="12"/>
      <c r="H5" s="13"/>
      <c r="I5" s="123">
        <f>(I4-(VLOOKUP("Previous Week",$A$11:$V917,match("ORDERS",$A$11:$V$11,0),FALSE)))/I4</f>
        <v>0.4578313253</v>
      </c>
      <c r="J5" s="12"/>
      <c r="K5" s="13"/>
      <c r="L5" s="123">
        <f>(L4-(VLOOKUP("Previous Week",$A$11:$V917,match("UNITS SOLD",$A$11:$V$11,0),FALSE)))/L4</f>
        <v>0.4395604396</v>
      </c>
      <c r="M5" s="12"/>
      <c r="N5" s="12"/>
      <c r="P5" s="120"/>
      <c r="Q5" s="120"/>
      <c r="R5" s="120"/>
      <c r="S5" s="120"/>
      <c r="T5" s="120"/>
      <c r="U5" s="120"/>
      <c r="V5" s="120"/>
      <c r="W5" s="2"/>
      <c r="X5" s="2"/>
    </row>
    <row r="6">
      <c r="E6" s="120"/>
      <c r="F6" s="120"/>
      <c r="G6" s="120"/>
      <c r="H6" s="120"/>
      <c r="I6" s="120"/>
      <c r="J6" s="120"/>
      <c r="K6" s="120"/>
      <c r="L6" s="76"/>
      <c r="M6" s="12"/>
      <c r="N6" s="13"/>
      <c r="P6" s="120"/>
      <c r="Q6" s="120"/>
      <c r="R6" s="120"/>
      <c r="S6" s="120"/>
      <c r="T6" s="120"/>
      <c r="U6" s="120"/>
      <c r="V6" s="120"/>
      <c r="W6" s="2"/>
      <c r="X6" s="2"/>
    </row>
    <row r="7">
      <c r="E7" s="119" t="s">
        <v>21</v>
      </c>
      <c r="F7" s="12"/>
      <c r="G7" s="12"/>
      <c r="H7" s="13"/>
      <c r="I7" s="119" t="s">
        <v>22</v>
      </c>
      <c r="J7" s="12"/>
      <c r="K7" s="13"/>
      <c r="L7" s="119" t="s">
        <v>23</v>
      </c>
      <c r="M7" s="12"/>
      <c r="N7" s="12"/>
      <c r="P7" s="120"/>
      <c r="Q7" s="120"/>
      <c r="R7" s="120"/>
      <c r="S7" s="120"/>
      <c r="T7" s="120"/>
      <c r="U7" s="120"/>
      <c r="V7" s="120"/>
      <c r="W7" s="2"/>
      <c r="X7" s="2"/>
    </row>
    <row r="8">
      <c r="E8" s="121">
        <f>VLOOKUP("Current Week",$A$11:$V$917,match("AD SALES",$A$11:$V$11,0),FALSE)</f>
        <v>1522.39</v>
      </c>
      <c r="F8" s="12"/>
      <c r="G8" s="13"/>
      <c r="H8" s="120"/>
      <c r="I8" s="121">
        <f>VLOOKUP("Current Week",$A$11:$V$917,match("SP AD SPEND",$A$11:$V$11,0),FALSE)</f>
        <v>796.28</v>
      </c>
      <c r="J8" s="12"/>
      <c r="K8" s="13"/>
      <c r="L8" s="124" t="str">
        <f>K8/G8</f>
        <v>#DIV/0!</v>
      </c>
      <c r="M8" s="12"/>
      <c r="N8" s="12"/>
      <c r="P8" s="120"/>
      <c r="Q8" s="120"/>
      <c r="R8" s="120"/>
      <c r="S8" s="120"/>
      <c r="T8" s="120"/>
      <c r="U8" s="120"/>
      <c r="V8" s="120"/>
      <c r="W8" s="2"/>
      <c r="X8" s="2"/>
    </row>
    <row r="9">
      <c r="E9" s="125">
        <f>(E8-(VLOOKUP("Previous Week",$A$11:$V917,match("AD SALES",$A$11:$V$11,0),FALSE)))/E8</f>
        <v>0.2586984938</v>
      </c>
      <c r="H9" s="126"/>
      <c r="I9" s="127">
        <f>(I8-(VLOOKUP("Previous Week",$A$11:$V917,match("SP AD SPEND",$A$11:$V$11,0),FALSE)))/I8</f>
        <v>0.4261440699</v>
      </c>
      <c r="J9" s="21"/>
      <c r="K9" s="23"/>
      <c r="L9" s="128" t="str">
        <f>(L8-(VLOOKUP("Previous Week",$A$11:$V917,match("ACoS",$A$11:$V$11,0),FALSE)))/L8</f>
        <v>#DIV/0!</v>
      </c>
      <c r="M9" s="21"/>
      <c r="N9" s="21"/>
      <c r="P9" s="129"/>
      <c r="Q9" s="129"/>
      <c r="R9" s="129"/>
      <c r="S9" s="129"/>
      <c r="T9" s="129"/>
      <c r="U9" s="129"/>
      <c r="V9" s="129"/>
      <c r="W9" s="2"/>
      <c r="X9" s="2"/>
    </row>
    <row r="10">
      <c r="A10" s="130"/>
      <c r="B10" s="131"/>
      <c r="C10" s="131"/>
      <c r="D10" s="132"/>
      <c r="E10" s="132"/>
      <c r="F10" s="133" t="s">
        <v>24</v>
      </c>
      <c r="G10" s="134"/>
      <c r="H10" s="134"/>
      <c r="I10" s="134"/>
      <c r="J10" s="134"/>
      <c r="K10" s="134"/>
      <c r="L10" s="134"/>
      <c r="M10" s="135"/>
      <c r="N10" s="136" t="s">
        <v>25</v>
      </c>
      <c r="O10" s="134"/>
      <c r="P10" s="134"/>
      <c r="Q10" s="134"/>
      <c r="R10" s="134"/>
      <c r="S10" s="134"/>
      <c r="T10" s="135"/>
      <c r="U10" s="137" t="s">
        <v>26</v>
      </c>
      <c r="V10" s="29"/>
      <c r="W10" s="2"/>
      <c r="X10" s="2"/>
    </row>
    <row r="11">
      <c r="A11" s="138" t="s">
        <v>27</v>
      </c>
      <c r="B11" s="139" t="s">
        <v>58</v>
      </c>
      <c r="C11" s="140" t="s">
        <v>8</v>
      </c>
      <c r="D11" s="139" t="s">
        <v>9</v>
      </c>
      <c r="E11" s="141"/>
      <c r="F11" s="142" t="s">
        <v>29</v>
      </c>
      <c r="G11" s="142" t="s">
        <v>30</v>
      </c>
      <c r="H11" s="142" t="s">
        <v>31</v>
      </c>
      <c r="I11" s="142" t="s">
        <v>32</v>
      </c>
      <c r="J11" s="142" t="s">
        <v>59</v>
      </c>
      <c r="K11" s="142" t="s">
        <v>34</v>
      </c>
      <c r="L11" s="142" t="s">
        <v>35</v>
      </c>
      <c r="M11" s="139" t="s">
        <v>36</v>
      </c>
      <c r="N11" s="142" t="s">
        <v>37</v>
      </c>
      <c r="O11" s="142" t="s">
        <v>38</v>
      </c>
      <c r="P11" s="142" t="s">
        <v>39</v>
      </c>
      <c r="Q11" s="142" t="s">
        <v>40</v>
      </c>
      <c r="R11" s="142" t="s">
        <v>23</v>
      </c>
      <c r="S11" s="142" t="s">
        <v>41</v>
      </c>
      <c r="T11" s="139" t="s">
        <v>42</v>
      </c>
      <c r="U11" s="140" t="s">
        <v>29</v>
      </c>
      <c r="V11" s="139" t="s">
        <v>43</v>
      </c>
      <c r="W11" s="2"/>
      <c r="X11" s="2"/>
    </row>
    <row r="12" hidden="1" outlineLevel="1">
      <c r="A12" s="56" t="str">
        <f>iferror(if(B12&gt;0,month(B12)&amp;"-"&amp;year(B12),B12),)</f>
        <v>7-2024</v>
      </c>
      <c r="B12" s="227">
        <v>45501.0</v>
      </c>
      <c r="C12" s="144"/>
      <c r="D12" s="228" t="s">
        <v>60</v>
      </c>
      <c r="E12" s="58"/>
      <c r="F12" s="146"/>
      <c r="G12" s="147"/>
      <c r="H12" s="147"/>
      <c r="I12" s="148"/>
      <c r="J12" s="149"/>
      <c r="K12" s="149"/>
      <c r="L12" s="150"/>
      <c r="M12" s="151"/>
      <c r="N12" s="229">
        <v>40.47</v>
      </c>
      <c r="O12" s="229">
        <v>24.99</v>
      </c>
      <c r="P12" s="230">
        <v>1.0</v>
      </c>
      <c r="Q12" s="231">
        <v>10184.0</v>
      </c>
      <c r="R12" s="155">
        <f t="shared" ref="R12:R149" si="1">N12/O12</f>
        <v>1.619447779</v>
      </c>
      <c r="S12" s="156">
        <f t="shared" ref="S12:S149" si="2">O12/N12</f>
        <v>0.6174944403</v>
      </c>
      <c r="T12" s="155" t="str">
        <f>O12/F12</f>
        <v>#DIV/0!</v>
      </c>
      <c r="U12" s="76"/>
      <c r="V12" s="77"/>
      <c r="W12" s="2"/>
      <c r="X12" s="2"/>
    </row>
    <row r="13" hidden="1" outlineLevel="1">
      <c r="A13" s="157"/>
      <c r="B13" s="158"/>
      <c r="C13" s="232" t="s">
        <v>12</v>
      </c>
      <c r="D13" s="232" t="s">
        <v>13</v>
      </c>
      <c r="E13" s="58"/>
      <c r="F13" s="233">
        <v>91.96</v>
      </c>
      <c r="G13" s="234">
        <v>23.0</v>
      </c>
      <c r="H13" s="234">
        <v>23.0</v>
      </c>
      <c r="I13" s="71">
        <f t="shared" ref="I13:I17" si="3">G13/H13</f>
        <v>1</v>
      </c>
      <c r="J13" s="69">
        <f t="shared" ref="J13:J16" si="4">F13/H13</f>
        <v>3.99826087</v>
      </c>
      <c r="K13" s="69">
        <f t="shared" ref="K13:K16" si="5">F13/G13</f>
        <v>3.99826087</v>
      </c>
      <c r="L13" s="236">
        <v>103.0</v>
      </c>
      <c r="M13" s="73">
        <f t="shared" ref="M13:M17" si="6">G13/L13</f>
        <v>0.2233009709</v>
      </c>
      <c r="N13" s="237">
        <v>1.59</v>
      </c>
      <c r="O13" s="237">
        <v>0.0</v>
      </c>
      <c r="P13" s="238">
        <v>0.0</v>
      </c>
      <c r="Q13" s="239">
        <v>1100.0</v>
      </c>
      <c r="R13" s="155" t="str">
        <f t="shared" si="1"/>
        <v>#DIV/0!</v>
      </c>
      <c r="S13" s="156">
        <f t="shared" si="2"/>
        <v>0</v>
      </c>
      <c r="T13" s="155" t="str">
        <f>#REF!/#REF!</f>
        <v>#REF!</v>
      </c>
      <c r="U13" s="76"/>
      <c r="V13" s="77"/>
      <c r="W13" s="2"/>
      <c r="X13" s="2"/>
    </row>
    <row r="14" hidden="1" outlineLevel="1">
      <c r="A14" s="157" t="str">
        <f t="shared" ref="A14:A15" si="7">iferror(if(D14&gt;0,month(D14)&amp;"-"&amp;year(D14),D14),)</f>
        <v/>
      </c>
      <c r="B14" s="158"/>
      <c r="C14" s="240" t="s">
        <v>61</v>
      </c>
      <c r="D14" s="240" t="s">
        <v>62</v>
      </c>
      <c r="E14" s="68"/>
      <c r="F14" s="235">
        <v>107.96</v>
      </c>
      <c r="G14" s="241">
        <v>9.0</v>
      </c>
      <c r="H14" s="241">
        <v>8.0</v>
      </c>
      <c r="I14" s="71">
        <f t="shared" si="3"/>
        <v>1.125</v>
      </c>
      <c r="J14" s="69">
        <f t="shared" si="4"/>
        <v>13.495</v>
      </c>
      <c r="K14" s="69">
        <f t="shared" si="5"/>
        <v>11.99555556</v>
      </c>
      <c r="L14" s="236">
        <v>74.0</v>
      </c>
      <c r="M14" s="73">
        <f t="shared" si="6"/>
        <v>0.1216216216</v>
      </c>
      <c r="N14" s="242">
        <v>0.0</v>
      </c>
      <c r="O14" s="242">
        <v>0.0</v>
      </c>
      <c r="P14" s="243">
        <v>0.0</v>
      </c>
      <c r="Q14" s="244">
        <v>678.0</v>
      </c>
      <c r="R14" s="155" t="str">
        <f t="shared" si="1"/>
        <v>#DIV/0!</v>
      </c>
      <c r="S14" s="156" t="str">
        <f t="shared" si="2"/>
        <v>#DIV/0!</v>
      </c>
      <c r="T14" s="155">
        <f t="shared" ref="T14:T18" si="8">O14/F14</f>
        <v>0</v>
      </c>
      <c r="U14" s="76"/>
      <c r="V14" s="77"/>
      <c r="W14" s="2"/>
      <c r="X14" s="2"/>
    </row>
    <row r="15" hidden="1" outlineLevel="1">
      <c r="A15" s="157" t="str">
        <f t="shared" si="7"/>
        <v/>
      </c>
      <c r="B15" s="158"/>
      <c r="C15" s="245" t="s">
        <v>14</v>
      </c>
      <c r="D15" s="245" t="s">
        <v>15</v>
      </c>
      <c r="E15" s="68"/>
      <c r="F15" s="235">
        <v>49.98</v>
      </c>
      <c r="G15" s="241">
        <v>2.0</v>
      </c>
      <c r="H15" s="241">
        <v>2.0</v>
      </c>
      <c r="I15" s="71">
        <f t="shared" si="3"/>
        <v>1</v>
      </c>
      <c r="J15" s="69">
        <f t="shared" si="4"/>
        <v>24.99</v>
      </c>
      <c r="K15" s="69">
        <f t="shared" si="5"/>
        <v>24.99</v>
      </c>
      <c r="L15" s="236">
        <v>58.0</v>
      </c>
      <c r="M15" s="73">
        <f t="shared" si="6"/>
        <v>0.03448275862</v>
      </c>
      <c r="N15" s="246">
        <v>1.58</v>
      </c>
      <c r="O15" s="246">
        <v>0.0</v>
      </c>
      <c r="P15" s="247">
        <v>1.0</v>
      </c>
      <c r="Q15" s="248">
        <v>954.0</v>
      </c>
      <c r="R15" s="155" t="str">
        <f t="shared" si="1"/>
        <v>#DIV/0!</v>
      </c>
      <c r="S15" s="156">
        <f t="shared" si="2"/>
        <v>0</v>
      </c>
      <c r="T15" s="155">
        <f t="shared" si="8"/>
        <v>0</v>
      </c>
      <c r="U15" s="76"/>
      <c r="V15" s="77"/>
      <c r="W15" s="2"/>
      <c r="X15" s="2"/>
    </row>
    <row r="16" hidden="1" outlineLevel="1">
      <c r="A16" s="56" t="str">
        <f>iferror(if(B16&gt;0,month(B16)&amp;"-"&amp;year(B16),B16),)</f>
        <v>8-2024</v>
      </c>
      <c r="B16" s="227">
        <v>45507.0</v>
      </c>
      <c r="C16" s="249" t="s">
        <v>63</v>
      </c>
      <c r="D16" s="249" t="s">
        <v>64</v>
      </c>
      <c r="E16" s="68"/>
      <c r="F16" s="235">
        <v>24.99</v>
      </c>
      <c r="G16" s="241">
        <v>11.0</v>
      </c>
      <c r="H16" s="241">
        <v>11.0</v>
      </c>
      <c r="I16" s="71">
        <f t="shared" si="3"/>
        <v>1</v>
      </c>
      <c r="J16" s="69">
        <f t="shared" si="4"/>
        <v>2.271818182</v>
      </c>
      <c r="K16" s="69">
        <f t="shared" si="5"/>
        <v>2.271818182</v>
      </c>
      <c r="L16" s="236">
        <v>98.0</v>
      </c>
      <c r="M16" s="73">
        <f t="shared" si="6"/>
        <v>0.112244898</v>
      </c>
      <c r="N16" s="250">
        <v>6.24</v>
      </c>
      <c r="O16" s="250">
        <v>49.98</v>
      </c>
      <c r="P16" s="269">
        <v>2.0</v>
      </c>
      <c r="Q16" s="252">
        <v>1475.0</v>
      </c>
      <c r="R16" s="155">
        <f t="shared" si="1"/>
        <v>0.12484994</v>
      </c>
      <c r="S16" s="156">
        <f t="shared" si="2"/>
        <v>8.009615385</v>
      </c>
      <c r="T16" s="155">
        <f t="shared" si="8"/>
        <v>2</v>
      </c>
      <c r="U16" s="76"/>
      <c r="V16" s="77"/>
      <c r="W16" s="2"/>
      <c r="X16" s="2"/>
    </row>
    <row r="17" collapsed="1">
      <c r="A17" s="101" t="s">
        <v>124</v>
      </c>
      <c r="B17" s="79"/>
      <c r="C17" s="79"/>
      <c r="D17" s="79"/>
      <c r="E17" s="80"/>
      <c r="F17" s="81">
        <f t="shared" ref="F17:H17" si="9">SUM(F12:F16)</f>
        <v>274.89</v>
      </c>
      <c r="G17" s="256">
        <f t="shared" si="9"/>
        <v>45</v>
      </c>
      <c r="H17" s="256">
        <f t="shared" si="9"/>
        <v>44</v>
      </c>
      <c r="I17" s="257">
        <f t="shared" si="3"/>
        <v>1.022727273</v>
      </c>
      <c r="J17" s="84">
        <f>F17/G17</f>
        <v>6.108666667</v>
      </c>
      <c r="K17" s="84">
        <f>J17/I17</f>
        <v>5.972918519</v>
      </c>
      <c r="L17" s="85">
        <f>SUM(L12:L16)</f>
        <v>333</v>
      </c>
      <c r="M17" s="86">
        <f t="shared" si="6"/>
        <v>0.1351351351</v>
      </c>
      <c r="N17" s="81">
        <f t="shared" ref="N17:P17" si="10">SUM(N12:N16)</f>
        <v>49.88</v>
      </c>
      <c r="O17" s="81">
        <f t="shared" si="10"/>
        <v>74.97</v>
      </c>
      <c r="P17" s="256">
        <f t="shared" si="10"/>
        <v>4</v>
      </c>
      <c r="Q17" s="258">
        <f>sum(Q12:Q16)</f>
        <v>14391</v>
      </c>
      <c r="R17" s="86">
        <f t="shared" si="1"/>
        <v>0.6653327998</v>
      </c>
      <c r="S17" s="259">
        <f t="shared" si="2"/>
        <v>1.503007217</v>
      </c>
      <c r="T17" s="89">
        <f t="shared" si="8"/>
        <v>0.2727272727</v>
      </c>
      <c r="U17" s="80" t="str">
        <f>iferror((F17-#REF!)/F17,)</f>
        <v/>
      </c>
      <c r="V17" s="90" t="str">
        <f>iferror((H17-#REF!)/H17,)</f>
        <v/>
      </c>
      <c r="W17" s="2"/>
      <c r="X17" s="2"/>
    </row>
    <row r="18" hidden="1" outlineLevel="1">
      <c r="A18" s="56" t="str">
        <f>iferror(if(B18&gt;0,month(B18)&amp;"-"&amp;year(B18),B18),)</f>
        <v>8-2024</v>
      </c>
      <c r="B18" s="143">
        <v>45508.0</v>
      </c>
      <c r="C18" s="144"/>
      <c r="D18" s="145" t="s">
        <v>60</v>
      </c>
      <c r="E18" s="58"/>
      <c r="F18" s="146"/>
      <c r="G18" s="147"/>
      <c r="H18" s="147"/>
      <c r="I18" s="148"/>
      <c r="J18" s="149"/>
      <c r="K18" s="149"/>
      <c r="L18" s="150"/>
      <c r="M18" s="151"/>
      <c r="N18" s="152">
        <v>431.2</v>
      </c>
      <c r="O18" s="152">
        <v>1373.46</v>
      </c>
      <c r="P18" s="153">
        <v>33.0</v>
      </c>
      <c r="Q18" s="154">
        <v>74825.0</v>
      </c>
      <c r="R18" s="155">
        <f t="shared" si="1"/>
        <v>0.3139516258</v>
      </c>
      <c r="S18" s="156">
        <f t="shared" si="2"/>
        <v>3.185204082</v>
      </c>
      <c r="T18" s="155" t="str">
        <f t="shared" si="8"/>
        <v>#DIV/0!</v>
      </c>
      <c r="U18" s="76"/>
      <c r="V18" s="77"/>
      <c r="W18" s="2"/>
      <c r="X18" s="2"/>
      <c r="Y18" s="2"/>
      <c r="Z18" s="2"/>
    </row>
    <row r="19" hidden="1" outlineLevel="1">
      <c r="A19" s="157"/>
      <c r="B19" s="158"/>
      <c r="C19" s="159" t="s">
        <v>12</v>
      </c>
      <c r="D19" s="160" t="s">
        <v>13</v>
      </c>
      <c r="E19" s="58"/>
      <c r="F19" s="161">
        <v>344.85</v>
      </c>
      <c r="G19" s="162">
        <v>17.0</v>
      </c>
      <c r="H19" s="162">
        <v>14.0</v>
      </c>
      <c r="I19" s="163">
        <f t="shared" ref="I19:I23" si="11">G19/H19</f>
        <v>1.214285714</v>
      </c>
      <c r="J19" s="164">
        <f t="shared" ref="J19:J22" si="12">F19/H19</f>
        <v>24.63214286</v>
      </c>
      <c r="K19" s="164">
        <f t="shared" ref="K19:K22" si="13">F19/G19</f>
        <v>20.28529412</v>
      </c>
      <c r="L19" s="165">
        <v>154.0</v>
      </c>
      <c r="M19" s="155">
        <f t="shared" ref="M19:M23" si="14">G19/L19</f>
        <v>0.1103896104</v>
      </c>
      <c r="N19" s="166">
        <v>5.5</v>
      </c>
      <c r="O19" s="166">
        <v>118.95</v>
      </c>
      <c r="P19" s="167">
        <v>5.0</v>
      </c>
      <c r="Q19" s="168">
        <v>2518.0</v>
      </c>
      <c r="R19" s="155">
        <f t="shared" si="1"/>
        <v>0.04623791509</v>
      </c>
      <c r="S19" s="156">
        <f t="shared" si="2"/>
        <v>21.62727273</v>
      </c>
      <c r="T19" s="155" t="str">
        <f>#REF!/#REF!</f>
        <v>#REF!</v>
      </c>
      <c r="U19" s="76"/>
      <c r="V19" s="77"/>
      <c r="W19" s="2"/>
      <c r="X19" s="2"/>
      <c r="Y19" s="2"/>
      <c r="Z19" s="2"/>
    </row>
    <row r="20" hidden="1" outlineLevel="1">
      <c r="A20" s="157" t="str">
        <f>iferror(if(D20&gt;0,month(D20)&amp;"-"&amp;year(D20),D20),)</f>
        <v/>
      </c>
      <c r="B20" s="158"/>
      <c r="C20" s="169" t="s">
        <v>61</v>
      </c>
      <c r="D20" s="170" t="s">
        <v>62</v>
      </c>
      <c r="E20" s="68"/>
      <c r="F20" s="164">
        <v>917.66</v>
      </c>
      <c r="G20" s="171">
        <v>39.0</v>
      </c>
      <c r="H20" s="171">
        <v>21.0</v>
      </c>
      <c r="I20" s="163">
        <f t="shared" si="11"/>
        <v>1.857142857</v>
      </c>
      <c r="J20" s="164">
        <f t="shared" si="12"/>
        <v>43.69809524</v>
      </c>
      <c r="K20" s="164">
        <f t="shared" si="13"/>
        <v>23.52974359</v>
      </c>
      <c r="L20" s="165">
        <v>154.0</v>
      </c>
      <c r="M20" s="155">
        <f t="shared" si="14"/>
        <v>0.2532467532</v>
      </c>
      <c r="N20" s="172">
        <v>15.9</v>
      </c>
      <c r="O20" s="172">
        <v>180.93</v>
      </c>
      <c r="P20" s="173">
        <v>6.0</v>
      </c>
      <c r="Q20" s="174">
        <v>5251.0</v>
      </c>
      <c r="R20" s="155">
        <f t="shared" si="1"/>
        <v>0.08787929033</v>
      </c>
      <c r="S20" s="156">
        <f t="shared" si="2"/>
        <v>11.37924528</v>
      </c>
      <c r="T20" s="155">
        <f t="shared" ref="T20:T24" si="15">O20/F20</f>
        <v>0.1971645272</v>
      </c>
      <c r="U20" s="76"/>
      <c r="V20" s="77"/>
      <c r="W20" s="2"/>
      <c r="X20" s="2"/>
      <c r="Y20" s="2"/>
      <c r="Z20" s="2"/>
    </row>
    <row r="21" hidden="1" outlineLevel="1">
      <c r="A21" s="175"/>
      <c r="B21" s="158"/>
      <c r="C21" s="176" t="s">
        <v>14</v>
      </c>
      <c r="D21" s="177" t="s">
        <v>15</v>
      </c>
      <c r="E21" s="68"/>
      <c r="F21" s="164">
        <v>274.89</v>
      </c>
      <c r="G21" s="171">
        <v>11.0</v>
      </c>
      <c r="H21" s="171">
        <v>10.0</v>
      </c>
      <c r="I21" s="163">
        <f t="shared" si="11"/>
        <v>1.1</v>
      </c>
      <c r="J21" s="164">
        <f t="shared" si="12"/>
        <v>27.489</v>
      </c>
      <c r="K21" s="164">
        <f t="shared" si="13"/>
        <v>24.99</v>
      </c>
      <c r="L21" s="165">
        <v>174.0</v>
      </c>
      <c r="M21" s="155">
        <f t="shared" si="14"/>
        <v>0.0632183908</v>
      </c>
      <c r="N21" s="178">
        <v>6.92</v>
      </c>
      <c r="O21" s="178">
        <v>0.0</v>
      </c>
      <c r="P21" s="179">
        <v>0.0</v>
      </c>
      <c r="Q21" s="180">
        <v>2806.0</v>
      </c>
      <c r="R21" s="155" t="str">
        <f t="shared" si="1"/>
        <v>#DIV/0!</v>
      </c>
      <c r="S21" s="156">
        <f t="shared" si="2"/>
        <v>0</v>
      </c>
      <c r="T21" s="155">
        <f t="shared" si="15"/>
        <v>0</v>
      </c>
      <c r="U21" s="76"/>
      <c r="V21" s="77"/>
      <c r="W21" s="2"/>
      <c r="X21" s="2"/>
      <c r="Y21" s="2"/>
      <c r="Z21" s="2"/>
    </row>
    <row r="22" hidden="1" outlineLevel="1">
      <c r="A22" s="56" t="str">
        <f>iferror(if(B22&gt;0,month(B22)&amp;"-"&amp;year(B22),B22),)</f>
        <v>8-2024</v>
      </c>
      <c r="B22" s="143">
        <v>45514.0</v>
      </c>
      <c r="C22" s="181" t="s">
        <v>63</v>
      </c>
      <c r="D22" s="182" t="s">
        <v>64</v>
      </c>
      <c r="E22" s="68"/>
      <c r="F22" s="164">
        <v>224.91</v>
      </c>
      <c r="G22" s="171">
        <v>9.0</v>
      </c>
      <c r="H22" s="171">
        <v>9.0</v>
      </c>
      <c r="I22" s="163">
        <f t="shared" si="11"/>
        <v>1</v>
      </c>
      <c r="J22" s="164">
        <f t="shared" si="12"/>
        <v>24.99</v>
      </c>
      <c r="K22" s="164">
        <f t="shared" si="13"/>
        <v>24.99</v>
      </c>
      <c r="L22" s="165">
        <v>204.0</v>
      </c>
      <c r="M22" s="155">
        <f t="shared" si="14"/>
        <v>0.04411764706</v>
      </c>
      <c r="N22" s="183">
        <v>15.03</v>
      </c>
      <c r="O22" s="183">
        <v>0.0</v>
      </c>
      <c r="P22" s="270">
        <v>0.0</v>
      </c>
      <c r="Q22" s="185">
        <v>5232.0</v>
      </c>
      <c r="R22" s="155" t="str">
        <f t="shared" si="1"/>
        <v>#DIV/0!</v>
      </c>
      <c r="S22" s="156">
        <f t="shared" si="2"/>
        <v>0</v>
      </c>
      <c r="T22" s="155">
        <f t="shared" si="15"/>
        <v>0</v>
      </c>
      <c r="U22" s="76"/>
      <c r="V22" s="77"/>
      <c r="W22" s="2"/>
      <c r="X22" s="2"/>
      <c r="Y22" s="2"/>
      <c r="Z22" s="2"/>
    </row>
    <row r="23" collapsed="1">
      <c r="A23" s="101" t="s">
        <v>125</v>
      </c>
      <c r="B23" s="79"/>
      <c r="C23" s="79"/>
      <c r="D23" s="79"/>
      <c r="E23" s="80"/>
      <c r="F23" s="190">
        <f t="shared" ref="F23:H23" si="16">SUM(F18:F22)</f>
        <v>1762.31</v>
      </c>
      <c r="G23" s="191">
        <f t="shared" si="16"/>
        <v>76</v>
      </c>
      <c r="H23" s="191">
        <f t="shared" si="16"/>
        <v>54</v>
      </c>
      <c r="I23" s="192">
        <f t="shared" si="11"/>
        <v>1.407407407</v>
      </c>
      <c r="J23" s="193">
        <f>F23/G23</f>
        <v>23.18828947</v>
      </c>
      <c r="K23" s="193">
        <f>J23/I23</f>
        <v>16.47588989</v>
      </c>
      <c r="L23" s="194">
        <f>SUM(L18:L22)</f>
        <v>686</v>
      </c>
      <c r="M23" s="195">
        <f t="shared" si="14"/>
        <v>0.110787172</v>
      </c>
      <c r="N23" s="190">
        <f t="shared" ref="N23:P23" si="17">SUM(N18:N22)</f>
        <v>474.55</v>
      </c>
      <c r="O23" s="190">
        <f t="shared" si="17"/>
        <v>1673.34</v>
      </c>
      <c r="P23" s="196">
        <f t="shared" si="17"/>
        <v>44</v>
      </c>
      <c r="Q23" s="197">
        <f>sum(Q18:Q22)</f>
        <v>90632</v>
      </c>
      <c r="R23" s="195">
        <f t="shared" si="1"/>
        <v>0.2835944877</v>
      </c>
      <c r="S23" s="198">
        <f t="shared" si="2"/>
        <v>3.526161627</v>
      </c>
      <c r="T23" s="199">
        <f t="shared" si="15"/>
        <v>0.949515125</v>
      </c>
      <c r="U23" s="80" t="str">
        <f>iferror((F23-#REF!)/F23,)</f>
        <v/>
      </c>
      <c r="V23" s="90" t="str">
        <f>iferror((H23-#REF!)/H23,)</f>
        <v/>
      </c>
      <c r="W23" s="2"/>
      <c r="X23" s="2"/>
      <c r="Y23" s="2"/>
      <c r="Z23" s="2"/>
    </row>
    <row r="24" hidden="1" outlineLevel="1">
      <c r="A24" s="56" t="str">
        <f>iferror(if(B24&gt;0,month(B24)&amp;"-"&amp;year(B24),B24),)</f>
        <v>8-2024</v>
      </c>
      <c r="B24" s="143">
        <v>45515.0</v>
      </c>
      <c r="C24" s="144"/>
      <c r="D24" s="145" t="s">
        <v>60</v>
      </c>
      <c r="E24" s="58"/>
      <c r="F24" s="146"/>
      <c r="G24" s="147"/>
      <c r="H24" s="147"/>
      <c r="I24" s="148"/>
      <c r="J24" s="149"/>
      <c r="K24" s="149"/>
      <c r="L24" s="150"/>
      <c r="M24" s="151"/>
      <c r="N24" s="152">
        <v>689.82</v>
      </c>
      <c r="O24" s="152">
        <v>1402.45</v>
      </c>
      <c r="P24" s="153">
        <v>51.0</v>
      </c>
      <c r="Q24" s="154">
        <v>112231.0</v>
      </c>
      <c r="R24" s="155">
        <f t="shared" si="1"/>
        <v>0.4918678028</v>
      </c>
      <c r="S24" s="156">
        <f t="shared" si="2"/>
        <v>2.033066597</v>
      </c>
      <c r="T24" s="155" t="str">
        <f t="shared" si="15"/>
        <v>#DIV/0!</v>
      </c>
      <c r="U24" s="76"/>
      <c r="V24" s="77"/>
      <c r="W24" s="2"/>
      <c r="X24" s="2"/>
      <c r="Y24" s="2"/>
      <c r="Z24" s="2"/>
    </row>
    <row r="25" hidden="1" outlineLevel="1">
      <c r="A25" s="157"/>
      <c r="B25" s="158"/>
      <c r="C25" s="159" t="s">
        <v>12</v>
      </c>
      <c r="D25" s="160" t="s">
        <v>13</v>
      </c>
      <c r="E25" s="58"/>
      <c r="F25" s="161">
        <v>229.9</v>
      </c>
      <c r="G25" s="162">
        <v>10.0</v>
      </c>
      <c r="H25" s="162">
        <v>7.0</v>
      </c>
      <c r="I25" s="163">
        <f t="shared" ref="I25:I29" si="18">G25/H25</f>
        <v>1.428571429</v>
      </c>
      <c r="J25" s="164">
        <f t="shared" ref="J25:J28" si="19">F25/H25</f>
        <v>32.84285714</v>
      </c>
      <c r="K25" s="164">
        <f t="shared" ref="K25:K28" si="20">F25/G25</f>
        <v>22.99</v>
      </c>
      <c r="L25" s="165">
        <v>179.0</v>
      </c>
      <c r="M25" s="155">
        <f t="shared" ref="M25:M29" si="21">G25/L25</f>
        <v>0.05586592179</v>
      </c>
      <c r="N25" s="166">
        <v>20.47</v>
      </c>
      <c r="O25" s="166">
        <v>22.99</v>
      </c>
      <c r="P25" s="167">
        <v>1.0</v>
      </c>
      <c r="Q25" s="168">
        <v>10062.0</v>
      </c>
      <c r="R25" s="155">
        <f t="shared" si="1"/>
        <v>0.8903871248</v>
      </c>
      <c r="S25" s="156">
        <f t="shared" si="2"/>
        <v>1.123106986</v>
      </c>
      <c r="T25" s="155" t="str">
        <f>#REF!/#REF!</f>
        <v>#REF!</v>
      </c>
      <c r="U25" s="76"/>
      <c r="V25" s="77"/>
      <c r="W25" s="2"/>
      <c r="X25" s="2"/>
      <c r="Y25" s="2"/>
      <c r="Z25" s="2"/>
    </row>
    <row r="26" hidden="1" outlineLevel="1">
      <c r="A26" s="157" t="str">
        <f>iferror(if(D26&gt;0,month(D26)&amp;"-"&amp;year(D26),D26),)</f>
        <v/>
      </c>
      <c r="B26" s="158"/>
      <c r="C26" s="169" t="s">
        <v>61</v>
      </c>
      <c r="D26" s="170" t="s">
        <v>62</v>
      </c>
      <c r="E26" s="68"/>
      <c r="F26" s="164">
        <v>782.71</v>
      </c>
      <c r="G26" s="171">
        <v>29.0</v>
      </c>
      <c r="H26" s="171">
        <v>28.0</v>
      </c>
      <c r="I26" s="163">
        <f t="shared" si="18"/>
        <v>1.035714286</v>
      </c>
      <c r="J26" s="164">
        <f t="shared" si="19"/>
        <v>27.95392857</v>
      </c>
      <c r="K26" s="164">
        <f t="shared" si="20"/>
        <v>26.99</v>
      </c>
      <c r="L26" s="165">
        <v>451.0</v>
      </c>
      <c r="M26" s="155">
        <f t="shared" si="21"/>
        <v>0.06430155211</v>
      </c>
      <c r="N26" s="172">
        <v>187.5</v>
      </c>
      <c r="O26" s="172">
        <v>296.89</v>
      </c>
      <c r="P26" s="173">
        <v>10.0</v>
      </c>
      <c r="Q26" s="174">
        <v>65662.0</v>
      </c>
      <c r="R26" s="155">
        <f t="shared" si="1"/>
        <v>0.6315470376</v>
      </c>
      <c r="S26" s="156">
        <f t="shared" si="2"/>
        <v>1.583413333</v>
      </c>
      <c r="T26" s="155">
        <f t="shared" ref="T26:T30" si="22">O26/F26</f>
        <v>0.3793103448</v>
      </c>
      <c r="U26" s="76"/>
      <c r="V26" s="77"/>
      <c r="W26" s="2"/>
      <c r="X26" s="2"/>
      <c r="Y26" s="2"/>
      <c r="Z26" s="2"/>
    </row>
    <row r="27" hidden="1" outlineLevel="1">
      <c r="A27" s="175"/>
      <c r="B27" s="158"/>
      <c r="C27" s="176" t="s">
        <v>14</v>
      </c>
      <c r="D27" s="177" t="s">
        <v>15</v>
      </c>
      <c r="E27" s="68"/>
      <c r="F27" s="164">
        <v>399.84</v>
      </c>
      <c r="G27" s="171">
        <v>16.0</v>
      </c>
      <c r="H27" s="171">
        <v>16.0</v>
      </c>
      <c r="I27" s="163">
        <f t="shared" si="18"/>
        <v>1</v>
      </c>
      <c r="J27" s="164">
        <f t="shared" si="19"/>
        <v>24.99</v>
      </c>
      <c r="K27" s="164">
        <f t="shared" si="20"/>
        <v>24.99</v>
      </c>
      <c r="L27" s="165">
        <v>226.0</v>
      </c>
      <c r="M27" s="155">
        <f t="shared" si="21"/>
        <v>0.07079646018</v>
      </c>
      <c r="N27" s="178">
        <v>7.18</v>
      </c>
      <c r="O27" s="178">
        <v>0.0</v>
      </c>
      <c r="P27" s="179">
        <v>0.0</v>
      </c>
      <c r="Q27" s="180">
        <v>3897.0</v>
      </c>
      <c r="R27" s="155" t="str">
        <f t="shared" si="1"/>
        <v>#DIV/0!</v>
      </c>
      <c r="S27" s="156">
        <f t="shared" si="2"/>
        <v>0</v>
      </c>
      <c r="T27" s="155">
        <f t="shared" si="22"/>
        <v>0</v>
      </c>
      <c r="U27" s="76"/>
      <c r="V27" s="77"/>
      <c r="W27" s="2"/>
      <c r="X27" s="2"/>
      <c r="Y27" s="2"/>
      <c r="Z27" s="2"/>
    </row>
    <row r="28" hidden="1" outlineLevel="1">
      <c r="A28" s="56" t="str">
        <f>iferror(if(B28&gt;0,month(B28)&amp;"-"&amp;year(B28),B28),)</f>
        <v>8-2024</v>
      </c>
      <c r="B28" s="143">
        <v>45521.0</v>
      </c>
      <c r="C28" s="181" t="s">
        <v>63</v>
      </c>
      <c r="D28" s="182" t="s">
        <v>64</v>
      </c>
      <c r="E28" s="68"/>
      <c r="F28" s="164">
        <v>499.8</v>
      </c>
      <c r="G28" s="171">
        <v>20.0</v>
      </c>
      <c r="H28" s="171">
        <v>16.0</v>
      </c>
      <c r="I28" s="163">
        <f t="shared" si="18"/>
        <v>1.25</v>
      </c>
      <c r="J28" s="164">
        <f t="shared" si="19"/>
        <v>31.2375</v>
      </c>
      <c r="K28" s="164">
        <f t="shared" si="20"/>
        <v>24.99</v>
      </c>
      <c r="L28" s="165">
        <v>228.0</v>
      </c>
      <c r="M28" s="155">
        <f t="shared" si="21"/>
        <v>0.08771929825</v>
      </c>
      <c r="N28" s="183">
        <v>7.37</v>
      </c>
      <c r="O28" s="183">
        <v>0.0</v>
      </c>
      <c r="P28" s="270">
        <v>0.0</v>
      </c>
      <c r="Q28" s="185">
        <v>3888.0</v>
      </c>
      <c r="R28" s="155" t="str">
        <f t="shared" si="1"/>
        <v>#DIV/0!</v>
      </c>
      <c r="S28" s="156">
        <f t="shared" si="2"/>
        <v>0</v>
      </c>
      <c r="T28" s="155">
        <f t="shared" si="22"/>
        <v>0</v>
      </c>
      <c r="U28" s="76"/>
      <c r="V28" s="77"/>
      <c r="W28" s="2"/>
      <c r="X28" s="2"/>
      <c r="Y28" s="2"/>
      <c r="Z28" s="2"/>
    </row>
    <row r="29" collapsed="1">
      <c r="A29" s="101" t="s">
        <v>126</v>
      </c>
      <c r="B29" s="79"/>
      <c r="C29" s="79"/>
      <c r="D29" s="79"/>
      <c r="E29" s="80"/>
      <c r="F29" s="190">
        <f t="shared" ref="F29:H29" si="23">SUM(F24:F28)</f>
        <v>1912.25</v>
      </c>
      <c r="G29" s="191">
        <f t="shared" si="23"/>
        <v>75</v>
      </c>
      <c r="H29" s="191">
        <f t="shared" si="23"/>
        <v>67</v>
      </c>
      <c r="I29" s="192">
        <f t="shared" si="18"/>
        <v>1.119402985</v>
      </c>
      <c r="J29" s="193">
        <f>F29/G29</f>
        <v>25.49666667</v>
      </c>
      <c r="K29" s="193">
        <f>J29/I29</f>
        <v>22.77702222</v>
      </c>
      <c r="L29" s="194">
        <f>SUM(L24:L28)</f>
        <v>1084</v>
      </c>
      <c r="M29" s="195">
        <f t="shared" si="21"/>
        <v>0.06918819188</v>
      </c>
      <c r="N29" s="190">
        <f t="shared" ref="N29:P29" si="24">SUM(N24:N28)</f>
        <v>912.34</v>
      </c>
      <c r="O29" s="190">
        <f t="shared" si="24"/>
        <v>1722.33</v>
      </c>
      <c r="P29" s="196">
        <f t="shared" si="24"/>
        <v>62</v>
      </c>
      <c r="Q29" s="197">
        <f>sum(Q24:Q28)</f>
        <v>195740</v>
      </c>
      <c r="R29" s="195">
        <f t="shared" si="1"/>
        <v>0.5297126567</v>
      </c>
      <c r="S29" s="198">
        <f t="shared" si="2"/>
        <v>1.887815946</v>
      </c>
      <c r="T29" s="199">
        <f t="shared" si="22"/>
        <v>0.9006824421</v>
      </c>
      <c r="U29" s="80" t="str">
        <f>iferror((F29-#REF!)/F29,)</f>
        <v/>
      </c>
      <c r="V29" s="90" t="str">
        <f>iferror((H29-#REF!)/H29,)</f>
        <v/>
      </c>
      <c r="W29" s="2"/>
      <c r="X29" s="2"/>
      <c r="Y29" s="2"/>
      <c r="Z29" s="2"/>
    </row>
    <row r="30" hidden="1" outlineLevel="1">
      <c r="A30" s="56" t="str">
        <f>iferror(if(B30&gt;0,month(B30)&amp;"-"&amp;year(B30),B30),)</f>
        <v>8-2024</v>
      </c>
      <c r="B30" s="143">
        <v>45522.0</v>
      </c>
      <c r="C30" s="144"/>
      <c r="D30" s="145" t="s">
        <v>60</v>
      </c>
      <c r="E30" s="58"/>
      <c r="F30" s="146"/>
      <c r="G30" s="147"/>
      <c r="H30" s="147"/>
      <c r="I30" s="148"/>
      <c r="J30" s="149"/>
      <c r="K30" s="149"/>
      <c r="L30" s="150"/>
      <c r="M30" s="151"/>
      <c r="N30" s="152">
        <v>1430.42</v>
      </c>
      <c r="O30" s="152">
        <v>2961.87</v>
      </c>
      <c r="P30" s="153">
        <v>104.0</v>
      </c>
      <c r="Q30" s="154">
        <v>156248.0</v>
      </c>
      <c r="R30" s="155">
        <f t="shared" si="1"/>
        <v>0.4829448963</v>
      </c>
      <c r="S30" s="156">
        <f t="shared" si="2"/>
        <v>2.070629605</v>
      </c>
      <c r="T30" s="155" t="str">
        <f t="shared" si="22"/>
        <v>#DIV/0!</v>
      </c>
      <c r="U30" s="76"/>
      <c r="V30" s="77"/>
      <c r="W30" s="2"/>
      <c r="X30" s="2"/>
      <c r="Y30" s="2"/>
      <c r="Z30" s="2"/>
    </row>
    <row r="31" hidden="1" outlineLevel="1">
      <c r="A31" s="157"/>
      <c r="B31" s="158"/>
      <c r="C31" s="159" t="s">
        <v>12</v>
      </c>
      <c r="D31" s="160" t="s">
        <v>13</v>
      </c>
      <c r="E31" s="58"/>
      <c r="F31" s="161">
        <v>436.81</v>
      </c>
      <c r="G31" s="162">
        <v>19.0</v>
      </c>
      <c r="H31" s="162">
        <v>16.0</v>
      </c>
      <c r="I31" s="163">
        <f t="shared" ref="I31:I35" si="25">G31/H31</f>
        <v>1.1875</v>
      </c>
      <c r="J31" s="164">
        <f t="shared" ref="J31:J34" si="26">F31/H31</f>
        <v>27.300625</v>
      </c>
      <c r="K31" s="164">
        <f t="shared" ref="K31:K34" si="27">F31/G31</f>
        <v>22.99</v>
      </c>
      <c r="L31" s="165">
        <v>179.0</v>
      </c>
      <c r="M31" s="155">
        <f t="shared" ref="M31:M35" si="28">G31/L31</f>
        <v>0.1061452514</v>
      </c>
      <c r="N31" s="166">
        <v>27.81</v>
      </c>
      <c r="O31" s="166">
        <v>145.94</v>
      </c>
      <c r="P31" s="167">
        <v>5.0</v>
      </c>
      <c r="Q31" s="168">
        <v>7998.0</v>
      </c>
      <c r="R31" s="155">
        <f t="shared" si="1"/>
        <v>0.1905577635</v>
      </c>
      <c r="S31" s="156">
        <f t="shared" si="2"/>
        <v>5.247752607</v>
      </c>
      <c r="T31" s="155" t="str">
        <f>#REF!/#REF!</f>
        <v>#REF!</v>
      </c>
      <c r="U31" s="76"/>
      <c r="V31" s="77"/>
      <c r="W31" s="2"/>
      <c r="X31" s="2"/>
      <c r="Y31" s="2"/>
      <c r="Z31" s="2"/>
    </row>
    <row r="32" hidden="1" outlineLevel="1">
      <c r="A32" s="157" t="str">
        <f>iferror(if(D32&gt;0,month(D32)&amp;"-"&amp;year(D32),D32),)</f>
        <v/>
      </c>
      <c r="B32" s="158"/>
      <c r="C32" s="169" t="s">
        <v>61</v>
      </c>
      <c r="D32" s="170" t="s">
        <v>62</v>
      </c>
      <c r="E32" s="68"/>
      <c r="F32" s="164">
        <v>2914.92</v>
      </c>
      <c r="G32" s="171">
        <v>108.0</v>
      </c>
      <c r="H32" s="171">
        <v>99.0</v>
      </c>
      <c r="I32" s="163">
        <f t="shared" si="25"/>
        <v>1.090909091</v>
      </c>
      <c r="J32" s="164">
        <f t="shared" si="26"/>
        <v>29.44363636</v>
      </c>
      <c r="K32" s="164">
        <f t="shared" si="27"/>
        <v>26.99</v>
      </c>
      <c r="L32" s="165">
        <v>1143.0</v>
      </c>
      <c r="M32" s="155">
        <f t="shared" si="28"/>
        <v>0.09448818898</v>
      </c>
      <c r="N32" s="172">
        <v>139.88</v>
      </c>
      <c r="O32" s="172">
        <v>726.73</v>
      </c>
      <c r="P32" s="173">
        <v>23.0</v>
      </c>
      <c r="Q32" s="174">
        <v>37730.0</v>
      </c>
      <c r="R32" s="155">
        <f t="shared" si="1"/>
        <v>0.1924786372</v>
      </c>
      <c r="S32" s="156">
        <f t="shared" si="2"/>
        <v>5.195381756</v>
      </c>
      <c r="T32" s="155">
        <f t="shared" ref="T32:T36" si="29">O32/F32</f>
        <v>0.2493138748</v>
      </c>
      <c r="U32" s="76"/>
      <c r="V32" s="77"/>
      <c r="W32" s="2"/>
      <c r="X32" s="2"/>
      <c r="Y32" s="2"/>
      <c r="Z32" s="2"/>
    </row>
    <row r="33" hidden="1" outlineLevel="1">
      <c r="A33" s="175"/>
      <c r="B33" s="158"/>
      <c r="C33" s="176" t="s">
        <v>14</v>
      </c>
      <c r="D33" s="177" t="s">
        <v>15</v>
      </c>
      <c r="E33" s="68"/>
      <c r="F33" s="164">
        <v>399.84</v>
      </c>
      <c r="G33" s="171">
        <v>16.0</v>
      </c>
      <c r="H33" s="171">
        <v>13.0</v>
      </c>
      <c r="I33" s="163">
        <f t="shared" si="25"/>
        <v>1.230769231</v>
      </c>
      <c r="J33" s="164">
        <f t="shared" si="26"/>
        <v>30.75692308</v>
      </c>
      <c r="K33" s="164">
        <f t="shared" si="27"/>
        <v>24.99</v>
      </c>
      <c r="L33" s="165">
        <v>242.0</v>
      </c>
      <c r="M33" s="155">
        <f t="shared" si="28"/>
        <v>0.06611570248</v>
      </c>
      <c r="N33" s="178">
        <v>5.15</v>
      </c>
      <c r="O33" s="178">
        <v>24.99</v>
      </c>
      <c r="P33" s="179">
        <v>1.0</v>
      </c>
      <c r="Q33" s="180">
        <v>1847.0</v>
      </c>
      <c r="R33" s="155">
        <f t="shared" si="1"/>
        <v>0.206082433</v>
      </c>
      <c r="S33" s="156">
        <f t="shared" si="2"/>
        <v>4.852427184</v>
      </c>
      <c r="T33" s="155">
        <f t="shared" si="29"/>
        <v>0.0625</v>
      </c>
      <c r="U33" s="76"/>
      <c r="V33" s="77"/>
      <c r="W33" s="2"/>
      <c r="X33" s="2"/>
      <c r="Y33" s="2"/>
      <c r="Z33" s="2"/>
    </row>
    <row r="34" hidden="1" outlineLevel="1">
      <c r="A34" s="56" t="str">
        <f>iferror(if(B34&gt;0,month(B34)&amp;"-"&amp;year(B34),B34),)</f>
        <v>8-2024</v>
      </c>
      <c r="B34" s="143">
        <v>45528.0</v>
      </c>
      <c r="C34" s="181" t="s">
        <v>63</v>
      </c>
      <c r="D34" s="182" t="s">
        <v>64</v>
      </c>
      <c r="E34" s="68"/>
      <c r="F34" s="164">
        <v>249.9</v>
      </c>
      <c r="G34" s="171">
        <v>10.0</v>
      </c>
      <c r="H34" s="171">
        <v>10.0</v>
      </c>
      <c r="I34" s="163">
        <f t="shared" si="25"/>
        <v>1</v>
      </c>
      <c r="J34" s="164">
        <f t="shared" si="26"/>
        <v>24.99</v>
      </c>
      <c r="K34" s="164">
        <f t="shared" si="27"/>
        <v>24.99</v>
      </c>
      <c r="L34" s="165">
        <v>211.0</v>
      </c>
      <c r="M34" s="155">
        <f t="shared" si="28"/>
        <v>0.04739336493</v>
      </c>
      <c r="N34" s="183">
        <v>13.54</v>
      </c>
      <c r="O34" s="183">
        <v>72.97</v>
      </c>
      <c r="P34" s="270">
        <v>3.0</v>
      </c>
      <c r="Q34" s="185">
        <v>4898.0</v>
      </c>
      <c r="R34" s="155">
        <f t="shared" si="1"/>
        <v>0.1855557078</v>
      </c>
      <c r="S34" s="156">
        <f t="shared" si="2"/>
        <v>5.389217134</v>
      </c>
      <c r="T34" s="155">
        <f t="shared" si="29"/>
        <v>0.2919967987</v>
      </c>
      <c r="U34" s="76"/>
      <c r="V34" s="77"/>
      <c r="W34" s="2"/>
      <c r="X34" s="2"/>
      <c r="Y34" s="2"/>
      <c r="Z34" s="2"/>
    </row>
    <row r="35" collapsed="1">
      <c r="A35" s="101" t="s">
        <v>127</v>
      </c>
      <c r="B35" s="79"/>
      <c r="C35" s="79"/>
      <c r="D35" s="79"/>
      <c r="E35" s="80"/>
      <c r="F35" s="190">
        <f t="shared" ref="F35:H35" si="30">SUM(F30:F34)</f>
        <v>4001.47</v>
      </c>
      <c r="G35" s="191">
        <f t="shared" si="30"/>
        <v>153</v>
      </c>
      <c r="H35" s="191">
        <f t="shared" si="30"/>
        <v>138</v>
      </c>
      <c r="I35" s="192">
        <f t="shared" si="25"/>
        <v>1.108695652</v>
      </c>
      <c r="J35" s="193">
        <f>F35/G35</f>
        <v>26.15339869</v>
      </c>
      <c r="K35" s="193">
        <f>J35/I35</f>
        <v>23.58934</v>
      </c>
      <c r="L35" s="194">
        <f>SUM(L30:L34)</f>
        <v>1775</v>
      </c>
      <c r="M35" s="195">
        <f t="shared" si="28"/>
        <v>0.0861971831</v>
      </c>
      <c r="N35" s="190">
        <f t="shared" ref="N35:P35" si="31">SUM(N30:N34)</f>
        <v>1616.8</v>
      </c>
      <c r="O35" s="190">
        <f t="shared" si="31"/>
        <v>3932.5</v>
      </c>
      <c r="P35" s="196">
        <f t="shared" si="31"/>
        <v>136</v>
      </c>
      <c r="Q35" s="197">
        <f>sum(Q30:Q34)</f>
        <v>208721</v>
      </c>
      <c r="R35" s="195">
        <f t="shared" si="1"/>
        <v>0.411137953</v>
      </c>
      <c r="S35" s="198">
        <f t="shared" si="2"/>
        <v>2.432273627</v>
      </c>
      <c r="T35" s="199">
        <f t="shared" si="29"/>
        <v>0.9827638343</v>
      </c>
      <c r="U35" s="80" t="str">
        <f>iferror((F35-#REF!)/F35,)</f>
        <v/>
      </c>
      <c r="V35" s="90" t="str">
        <f>iferror((H35-#REF!)/H35,)</f>
        <v/>
      </c>
      <c r="W35" s="2"/>
      <c r="X35" s="2"/>
      <c r="Y35" s="2"/>
      <c r="Z35" s="2"/>
    </row>
    <row r="36" hidden="1" outlineLevel="1">
      <c r="A36" s="56" t="str">
        <f>iferror(if(B36&gt;0,month(B36)&amp;"-"&amp;year(B36),B36),)</f>
        <v>8-2024</v>
      </c>
      <c r="B36" s="143">
        <v>45529.0</v>
      </c>
      <c r="C36" s="144"/>
      <c r="D36" s="145" t="s">
        <v>60</v>
      </c>
      <c r="E36" s="58"/>
      <c r="F36" s="146"/>
      <c r="G36" s="147"/>
      <c r="H36" s="147"/>
      <c r="I36" s="148"/>
      <c r="J36" s="149"/>
      <c r="K36" s="149"/>
      <c r="L36" s="150"/>
      <c r="M36" s="151"/>
      <c r="N36" s="152">
        <v>294.16</v>
      </c>
      <c r="O36" s="152">
        <v>901.63</v>
      </c>
      <c r="P36" s="153">
        <v>28.0</v>
      </c>
      <c r="Q36" s="154">
        <v>73668.0</v>
      </c>
      <c r="R36" s="155">
        <f t="shared" si="1"/>
        <v>0.326253563</v>
      </c>
      <c r="S36" s="156">
        <f t="shared" si="2"/>
        <v>3.065100626</v>
      </c>
      <c r="T36" s="155" t="str">
        <f t="shared" si="29"/>
        <v>#DIV/0!</v>
      </c>
      <c r="U36" s="76"/>
      <c r="V36" s="77"/>
      <c r="W36" s="2"/>
      <c r="X36" s="2"/>
      <c r="Y36" s="2"/>
      <c r="Z36" s="2"/>
    </row>
    <row r="37" hidden="1" outlineLevel="1">
      <c r="A37" s="157"/>
      <c r="B37" s="158"/>
      <c r="C37" s="159" t="s">
        <v>12</v>
      </c>
      <c r="D37" s="160" t="s">
        <v>13</v>
      </c>
      <c r="E37" s="58"/>
      <c r="F37" s="161">
        <v>467.41</v>
      </c>
      <c r="G37" s="162">
        <v>19.0</v>
      </c>
      <c r="H37" s="162">
        <v>16.0</v>
      </c>
      <c r="I37" s="163">
        <f t="shared" ref="I37:I41" si="32">G37/H37</f>
        <v>1.1875</v>
      </c>
      <c r="J37" s="164">
        <f t="shared" ref="J37:J40" si="33">F37/H37</f>
        <v>29.213125</v>
      </c>
      <c r="K37" s="164">
        <f t="shared" ref="K37:K40" si="34">F37/G37</f>
        <v>24.60052632</v>
      </c>
      <c r="L37" s="165">
        <v>270.0</v>
      </c>
      <c r="M37" s="155">
        <f t="shared" ref="M37:M41" si="35">G37/L37</f>
        <v>0.07037037037</v>
      </c>
      <c r="N37" s="166">
        <v>109.3</v>
      </c>
      <c r="O37" s="166">
        <v>200.67</v>
      </c>
      <c r="P37" s="167">
        <v>7.0</v>
      </c>
      <c r="Q37" s="168">
        <v>29649.0</v>
      </c>
      <c r="R37" s="155">
        <f t="shared" si="1"/>
        <v>0.5446753376</v>
      </c>
      <c r="S37" s="156">
        <f t="shared" si="2"/>
        <v>1.835956084</v>
      </c>
      <c r="T37" s="155" t="str">
        <f>#REF!/#REF!</f>
        <v>#REF!</v>
      </c>
      <c r="U37" s="76"/>
      <c r="V37" s="77"/>
      <c r="W37" s="2"/>
      <c r="X37" s="2"/>
      <c r="Y37" s="2"/>
      <c r="Z37" s="2"/>
    </row>
    <row r="38" hidden="1" outlineLevel="1">
      <c r="A38" s="157" t="str">
        <f>iferror(if(D38&gt;0,month(D38)&amp;"-"&amp;year(D38),D38),)</f>
        <v/>
      </c>
      <c r="B38" s="158"/>
      <c r="C38" s="169" t="s">
        <v>61</v>
      </c>
      <c r="D38" s="170" t="s">
        <v>62</v>
      </c>
      <c r="E38" s="68"/>
      <c r="F38" s="164">
        <v>3319.77</v>
      </c>
      <c r="G38" s="171">
        <v>123.0</v>
      </c>
      <c r="H38" s="171">
        <v>109.0</v>
      </c>
      <c r="I38" s="163">
        <f t="shared" si="32"/>
        <v>1.128440367</v>
      </c>
      <c r="J38" s="164">
        <f t="shared" si="33"/>
        <v>30.4566055</v>
      </c>
      <c r="K38" s="164">
        <f t="shared" si="34"/>
        <v>26.99</v>
      </c>
      <c r="L38" s="165">
        <v>1108.0</v>
      </c>
      <c r="M38" s="155">
        <f t="shared" si="35"/>
        <v>0.1110108303</v>
      </c>
      <c r="N38" s="172">
        <v>900.26</v>
      </c>
      <c r="O38" s="172">
        <v>2395.44</v>
      </c>
      <c r="P38" s="173">
        <v>78.0</v>
      </c>
      <c r="Q38" s="174">
        <v>141838.0</v>
      </c>
      <c r="R38" s="155">
        <f t="shared" si="1"/>
        <v>0.3758223959</v>
      </c>
      <c r="S38" s="156">
        <f t="shared" si="2"/>
        <v>2.660831315</v>
      </c>
      <c r="T38" s="155">
        <f t="shared" ref="T38:T42" si="36">O38/F38</f>
        <v>0.7215680604</v>
      </c>
      <c r="U38" s="76"/>
      <c r="V38" s="77"/>
      <c r="W38" s="2"/>
      <c r="X38" s="2"/>
      <c r="Y38" s="2"/>
      <c r="Z38" s="2"/>
    </row>
    <row r="39" hidden="1" outlineLevel="1">
      <c r="A39" s="175"/>
      <c r="B39" s="158"/>
      <c r="C39" s="176" t="s">
        <v>14</v>
      </c>
      <c r="D39" s="177" t="s">
        <v>15</v>
      </c>
      <c r="E39" s="68"/>
      <c r="F39" s="164">
        <v>308.22</v>
      </c>
      <c r="G39" s="171">
        <v>12.0</v>
      </c>
      <c r="H39" s="171">
        <v>12.0</v>
      </c>
      <c r="I39" s="163">
        <f t="shared" si="32"/>
        <v>1</v>
      </c>
      <c r="J39" s="164">
        <f t="shared" si="33"/>
        <v>25.685</v>
      </c>
      <c r="K39" s="164">
        <f t="shared" si="34"/>
        <v>25.685</v>
      </c>
      <c r="L39" s="165">
        <v>256.0</v>
      </c>
      <c r="M39" s="155">
        <f t="shared" si="35"/>
        <v>0.046875</v>
      </c>
      <c r="N39" s="178">
        <v>48.66</v>
      </c>
      <c r="O39" s="178">
        <v>26.99</v>
      </c>
      <c r="P39" s="179">
        <v>1.0</v>
      </c>
      <c r="Q39" s="180">
        <v>9303.0</v>
      </c>
      <c r="R39" s="155">
        <f t="shared" si="1"/>
        <v>1.802889959</v>
      </c>
      <c r="S39" s="156">
        <f t="shared" si="2"/>
        <v>0.5546650226</v>
      </c>
      <c r="T39" s="155">
        <f t="shared" si="36"/>
        <v>0.08756732204</v>
      </c>
      <c r="U39" s="76"/>
      <c r="V39" s="77"/>
      <c r="W39" s="2"/>
      <c r="X39" s="2"/>
      <c r="Y39" s="2"/>
      <c r="Z39" s="2"/>
    </row>
    <row r="40" hidden="1" outlineLevel="1">
      <c r="A40" s="56" t="str">
        <f>iferror(if(B40&gt;0,month(B40)&amp;"-"&amp;year(B40),B40),)</f>
        <v>8-2024</v>
      </c>
      <c r="B40" s="143">
        <v>45535.0</v>
      </c>
      <c r="C40" s="181" t="s">
        <v>63</v>
      </c>
      <c r="D40" s="182" t="s">
        <v>64</v>
      </c>
      <c r="E40" s="68"/>
      <c r="F40" s="164">
        <v>302.66</v>
      </c>
      <c r="G40" s="171">
        <v>12.0</v>
      </c>
      <c r="H40" s="171">
        <v>10.0</v>
      </c>
      <c r="I40" s="163">
        <f t="shared" si="32"/>
        <v>1.2</v>
      </c>
      <c r="J40" s="164">
        <f t="shared" si="33"/>
        <v>30.266</v>
      </c>
      <c r="K40" s="164">
        <f t="shared" si="34"/>
        <v>25.22166667</v>
      </c>
      <c r="L40" s="165">
        <v>254.0</v>
      </c>
      <c r="M40" s="155">
        <f t="shared" si="35"/>
        <v>0.04724409449</v>
      </c>
      <c r="N40" s="183">
        <v>67.97</v>
      </c>
      <c r="O40" s="183">
        <v>154.72</v>
      </c>
      <c r="P40" s="270">
        <v>5.0</v>
      </c>
      <c r="Q40" s="185">
        <v>14201.0</v>
      </c>
      <c r="R40" s="155">
        <f t="shared" si="1"/>
        <v>0.4393097208</v>
      </c>
      <c r="S40" s="156">
        <f t="shared" si="2"/>
        <v>2.276298367</v>
      </c>
      <c r="T40" s="155">
        <f t="shared" si="36"/>
        <v>0.5112006872</v>
      </c>
      <c r="U40" s="76"/>
      <c r="V40" s="77"/>
      <c r="W40" s="2"/>
      <c r="X40" s="2"/>
      <c r="Y40" s="2"/>
      <c r="Z40" s="2"/>
    </row>
    <row r="41" collapsed="1">
      <c r="A41" s="101" t="s">
        <v>128</v>
      </c>
      <c r="B41" s="79"/>
      <c r="C41" s="79"/>
      <c r="D41" s="79"/>
      <c r="E41" s="80"/>
      <c r="F41" s="190">
        <f t="shared" ref="F41:H41" si="37">SUM(F36:F40)</f>
        <v>4398.06</v>
      </c>
      <c r="G41" s="191">
        <f t="shared" si="37"/>
        <v>166</v>
      </c>
      <c r="H41" s="191">
        <f t="shared" si="37"/>
        <v>147</v>
      </c>
      <c r="I41" s="192">
        <f t="shared" si="32"/>
        <v>1.129251701</v>
      </c>
      <c r="J41" s="193">
        <f>F41/G41</f>
        <v>26.49433735</v>
      </c>
      <c r="K41" s="193">
        <f>J41/I41</f>
        <v>23.46185295</v>
      </c>
      <c r="L41" s="194">
        <f>SUM(L36:L40)</f>
        <v>1888</v>
      </c>
      <c r="M41" s="195">
        <f t="shared" si="35"/>
        <v>0.08792372881</v>
      </c>
      <c r="N41" s="190">
        <f t="shared" ref="N41:P41" si="38">SUM(N36:N40)</f>
        <v>1420.35</v>
      </c>
      <c r="O41" s="190">
        <f t="shared" si="38"/>
        <v>3679.45</v>
      </c>
      <c r="P41" s="196">
        <f t="shared" si="38"/>
        <v>119</v>
      </c>
      <c r="Q41" s="197">
        <f>sum(Q36:Q40)</f>
        <v>268659</v>
      </c>
      <c r="R41" s="195">
        <f t="shared" si="1"/>
        <v>0.3860223675</v>
      </c>
      <c r="S41" s="198">
        <f t="shared" si="2"/>
        <v>2.590523463</v>
      </c>
      <c r="T41" s="199">
        <f t="shared" si="36"/>
        <v>0.8366075042</v>
      </c>
      <c r="U41" s="80" t="str">
        <f>iferror((F41-#REF!)/F41,)</f>
        <v/>
      </c>
      <c r="V41" s="90" t="str">
        <f>iferror((H41-#REF!)/H41,)</f>
        <v/>
      </c>
      <c r="W41" s="2"/>
      <c r="X41" s="2"/>
      <c r="Y41" s="2"/>
      <c r="Z41" s="2"/>
    </row>
    <row r="42" hidden="1" outlineLevel="1">
      <c r="A42" s="56" t="str">
        <f>iferror(if(B42&gt;0,month(B42)&amp;"-"&amp;year(B42),B42),)</f>
        <v>9-2024</v>
      </c>
      <c r="B42" s="143">
        <v>45536.0</v>
      </c>
      <c r="C42" s="144"/>
      <c r="D42" s="145" t="s">
        <v>60</v>
      </c>
      <c r="E42" s="58"/>
      <c r="F42" s="146"/>
      <c r="G42" s="147"/>
      <c r="H42" s="147"/>
      <c r="I42" s="148"/>
      <c r="J42" s="149"/>
      <c r="K42" s="149"/>
      <c r="L42" s="150"/>
      <c r="M42" s="151"/>
      <c r="N42" s="152">
        <v>296.27</v>
      </c>
      <c r="O42" s="152">
        <v>650.43</v>
      </c>
      <c r="P42" s="153">
        <v>23.0</v>
      </c>
      <c r="Q42" s="154">
        <v>71014.0</v>
      </c>
      <c r="R42" s="155">
        <f t="shared" si="1"/>
        <v>0.4554986701</v>
      </c>
      <c r="S42" s="156">
        <f t="shared" si="2"/>
        <v>2.195396091</v>
      </c>
      <c r="T42" s="155" t="str">
        <f t="shared" si="36"/>
        <v>#DIV/0!</v>
      </c>
      <c r="U42" s="76"/>
      <c r="V42" s="77"/>
      <c r="W42" s="2"/>
      <c r="X42" s="2"/>
      <c r="Y42" s="2"/>
      <c r="Z42" s="2"/>
    </row>
    <row r="43" hidden="1" outlineLevel="1">
      <c r="A43" s="157"/>
      <c r="B43" s="158"/>
      <c r="C43" s="159" t="s">
        <v>12</v>
      </c>
      <c r="D43" s="160" t="s">
        <v>13</v>
      </c>
      <c r="E43" s="58"/>
      <c r="F43" s="161">
        <v>434.18</v>
      </c>
      <c r="G43" s="162">
        <v>17.0</v>
      </c>
      <c r="H43" s="162">
        <v>16.0</v>
      </c>
      <c r="I43" s="163">
        <f t="shared" ref="I43:I47" si="39">G43/H43</f>
        <v>1.0625</v>
      </c>
      <c r="J43" s="164">
        <f t="shared" ref="J43:J46" si="40">F43/H43</f>
        <v>27.13625</v>
      </c>
      <c r="K43" s="164">
        <f t="shared" ref="K43:K46" si="41">F43/G43</f>
        <v>25.54</v>
      </c>
      <c r="L43" s="165">
        <v>143.0</v>
      </c>
      <c r="M43" s="155">
        <f t="shared" ref="M43:M47" si="42">G43/L43</f>
        <v>0.1188811189</v>
      </c>
      <c r="N43" s="166">
        <v>93.58</v>
      </c>
      <c r="O43" s="166">
        <v>307.93</v>
      </c>
      <c r="P43" s="167">
        <v>11.0</v>
      </c>
      <c r="Q43" s="168">
        <v>21957.0</v>
      </c>
      <c r="R43" s="155">
        <f t="shared" si="1"/>
        <v>0.3039002371</v>
      </c>
      <c r="S43" s="156">
        <f t="shared" si="2"/>
        <v>3.290553537</v>
      </c>
      <c r="T43" s="155" t="str">
        <f>#REF!/#REF!</f>
        <v>#REF!</v>
      </c>
      <c r="U43" s="76"/>
      <c r="V43" s="77"/>
      <c r="W43" s="2"/>
      <c r="X43" s="2"/>
      <c r="Y43" s="2"/>
      <c r="Z43" s="2"/>
    </row>
    <row r="44" hidden="1" outlineLevel="1">
      <c r="A44" s="157" t="str">
        <f>iferror(if(D44&gt;0,month(D44)&amp;"-"&amp;year(D44),D44),)</f>
        <v/>
      </c>
      <c r="B44" s="158"/>
      <c r="C44" s="169" t="s">
        <v>61</v>
      </c>
      <c r="D44" s="170" t="s">
        <v>62</v>
      </c>
      <c r="E44" s="68"/>
      <c r="F44" s="164">
        <v>2456.09</v>
      </c>
      <c r="G44" s="171">
        <v>91.0</v>
      </c>
      <c r="H44" s="171">
        <v>80.0</v>
      </c>
      <c r="I44" s="163">
        <f t="shared" si="39"/>
        <v>1.1375</v>
      </c>
      <c r="J44" s="164">
        <f t="shared" si="40"/>
        <v>30.701125</v>
      </c>
      <c r="K44" s="164">
        <f t="shared" si="41"/>
        <v>26.99</v>
      </c>
      <c r="L44" s="165">
        <v>657.0</v>
      </c>
      <c r="M44" s="155">
        <f t="shared" si="42"/>
        <v>0.1385083714</v>
      </c>
      <c r="N44" s="172">
        <v>554.08</v>
      </c>
      <c r="O44" s="172">
        <v>1349.17</v>
      </c>
      <c r="P44" s="173">
        <v>46.0</v>
      </c>
      <c r="Q44" s="174">
        <v>119522.0</v>
      </c>
      <c r="R44" s="155">
        <f t="shared" si="1"/>
        <v>0.4106821231</v>
      </c>
      <c r="S44" s="156">
        <f t="shared" si="2"/>
        <v>2.434973289</v>
      </c>
      <c r="T44" s="155">
        <f t="shared" ref="T44:T48" si="43">O44/F44</f>
        <v>0.5493161896</v>
      </c>
      <c r="U44" s="76"/>
      <c r="V44" s="77"/>
      <c r="W44" s="2"/>
      <c r="X44" s="2"/>
      <c r="Y44" s="2"/>
      <c r="Z44" s="2"/>
    </row>
    <row r="45" hidden="1" outlineLevel="1">
      <c r="A45" s="175"/>
      <c r="B45" s="158"/>
      <c r="C45" s="176" t="s">
        <v>14</v>
      </c>
      <c r="D45" s="177" t="s">
        <v>15</v>
      </c>
      <c r="E45" s="68"/>
      <c r="F45" s="164">
        <v>249.93</v>
      </c>
      <c r="G45" s="171">
        <v>9.0</v>
      </c>
      <c r="H45" s="171">
        <v>9.0</v>
      </c>
      <c r="I45" s="163">
        <f t="shared" si="39"/>
        <v>1</v>
      </c>
      <c r="J45" s="164">
        <f t="shared" si="40"/>
        <v>27.77</v>
      </c>
      <c r="K45" s="164">
        <f t="shared" si="41"/>
        <v>27.77</v>
      </c>
      <c r="L45" s="165">
        <v>111.0</v>
      </c>
      <c r="M45" s="155">
        <f t="shared" si="42"/>
        <v>0.08108108108</v>
      </c>
      <c r="N45" s="178">
        <v>51.39</v>
      </c>
      <c r="O45" s="178">
        <v>135.84</v>
      </c>
      <c r="P45" s="179">
        <v>5.0</v>
      </c>
      <c r="Q45" s="180">
        <v>9376.0</v>
      </c>
      <c r="R45" s="155">
        <f t="shared" si="1"/>
        <v>0.3783127208</v>
      </c>
      <c r="S45" s="156">
        <f t="shared" si="2"/>
        <v>2.64331582</v>
      </c>
      <c r="T45" s="155">
        <f t="shared" si="43"/>
        <v>0.5435121834</v>
      </c>
      <c r="U45" s="76"/>
      <c r="V45" s="77"/>
      <c r="W45" s="2"/>
      <c r="X45" s="2"/>
      <c r="Y45" s="2"/>
      <c r="Z45" s="2"/>
    </row>
    <row r="46" hidden="1" outlineLevel="1">
      <c r="A46" s="56" t="str">
        <f>iferror(if(B46&gt;0,month(B46)&amp;"-"&amp;year(B46),B46),)</f>
        <v>9-2024</v>
      </c>
      <c r="B46" s="143">
        <v>45542.0</v>
      </c>
      <c r="C46" s="181" t="s">
        <v>63</v>
      </c>
      <c r="D46" s="182" t="s">
        <v>64</v>
      </c>
      <c r="E46" s="68"/>
      <c r="F46" s="164">
        <v>499.86</v>
      </c>
      <c r="G46" s="171">
        <v>18.0</v>
      </c>
      <c r="H46" s="171">
        <v>17.0</v>
      </c>
      <c r="I46" s="163">
        <f t="shared" si="39"/>
        <v>1.058823529</v>
      </c>
      <c r="J46" s="164">
        <f t="shared" si="40"/>
        <v>29.40352941</v>
      </c>
      <c r="K46" s="164">
        <f t="shared" si="41"/>
        <v>27.77</v>
      </c>
      <c r="L46" s="165">
        <v>206.0</v>
      </c>
      <c r="M46" s="155">
        <f t="shared" si="42"/>
        <v>0.08737864078</v>
      </c>
      <c r="N46" s="183">
        <v>127.48</v>
      </c>
      <c r="O46" s="183">
        <v>276.92</v>
      </c>
      <c r="P46" s="270">
        <v>10.0</v>
      </c>
      <c r="Q46" s="185">
        <v>24115.0</v>
      </c>
      <c r="R46" s="155">
        <f t="shared" si="1"/>
        <v>0.4603495594</v>
      </c>
      <c r="S46" s="156">
        <f t="shared" si="2"/>
        <v>2.172262316</v>
      </c>
      <c r="T46" s="155">
        <f t="shared" si="43"/>
        <v>0.5539951186</v>
      </c>
      <c r="U46" s="76"/>
      <c r="V46" s="77"/>
      <c r="W46" s="2"/>
      <c r="X46" s="2"/>
      <c r="Y46" s="2"/>
      <c r="Z46" s="2"/>
    </row>
    <row r="47" collapsed="1">
      <c r="A47" s="101" t="s">
        <v>129</v>
      </c>
      <c r="B47" s="79"/>
      <c r="C47" s="79"/>
      <c r="D47" s="79"/>
      <c r="E47" s="80"/>
      <c r="F47" s="190">
        <f t="shared" ref="F47:H47" si="44">SUM(F42:F46)</f>
        <v>3640.06</v>
      </c>
      <c r="G47" s="191">
        <f t="shared" si="44"/>
        <v>135</v>
      </c>
      <c r="H47" s="191">
        <f t="shared" si="44"/>
        <v>122</v>
      </c>
      <c r="I47" s="192">
        <f t="shared" si="39"/>
        <v>1.106557377</v>
      </c>
      <c r="J47" s="193">
        <f>F47/G47</f>
        <v>26.96340741</v>
      </c>
      <c r="K47" s="193">
        <f>J47/I47</f>
        <v>24.36693114</v>
      </c>
      <c r="L47" s="194">
        <f>SUM(L42:L46)</f>
        <v>1117</v>
      </c>
      <c r="M47" s="195">
        <f t="shared" si="42"/>
        <v>0.1208594449</v>
      </c>
      <c r="N47" s="190">
        <f t="shared" ref="N47:P47" si="45">SUM(N42:N46)</f>
        <v>1122.8</v>
      </c>
      <c r="O47" s="190">
        <f t="shared" si="45"/>
        <v>2720.29</v>
      </c>
      <c r="P47" s="196">
        <f t="shared" si="45"/>
        <v>95</v>
      </c>
      <c r="Q47" s="197">
        <f>sum(Q42:Q46)</f>
        <v>245984</v>
      </c>
      <c r="R47" s="195">
        <f t="shared" si="1"/>
        <v>0.4127501112</v>
      </c>
      <c r="S47" s="198">
        <f t="shared" si="2"/>
        <v>2.422773424</v>
      </c>
      <c r="T47" s="199">
        <f t="shared" si="43"/>
        <v>0.7473200991</v>
      </c>
      <c r="U47" s="80" t="str">
        <f>iferror((F47-#REF!)/F47,)</f>
        <v/>
      </c>
      <c r="V47" s="90" t="str">
        <f>iferror((H47-#REF!)/H47,)</f>
        <v/>
      </c>
      <c r="W47" s="2"/>
      <c r="X47" s="2"/>
      <c r="Y47" s="2"/>
      <c r="Z47" s="2"/>
    </row>
    <row r="48" hidden="1" outlineLevel="1">
      <c r="A48" s="56" t="str">
        <f>iferror(if(B48&gt;0,month(B48)&amp;"-"&amp;year(B48),B48),)</f>
        <v>9-2024</v>
      </c>
      <c r="B48" s="143">
        <v>45543.0</v>
      </c>
      <c r="C48" s="144"/>
      <c r="D48" s="145" t="s">
        <v>60</v>
      </c>
      <c r="E48" s="58"/>
      <c r="F48" s="146"/>
      <c r="G48" s="147"/>
      <c r="H48" s="147"/>
      <c r="I48" s="148"/>
      <c r="J48" s="149"/>
      <c r="K48" s="149"/>
      <c r="L48" s="150"/>
      <c r="M48" s="151"/>
      <c r="N48" s="152">
        <v>370.12</v>
      </c>
      <c r="O48" s="152">
        <v>880.07</v>
      </c>
      <c r="P48" s="153">
        <v>32.0</v>
      </c>
      <c r="Q48" s="154">
        <v>97008.0</v>
      </c>
      <c r="R48" s="155">
        <f t="shared" si="1"/>
        <v>0.4205574557</v>
      </c>
      <c r="S48" s="156">
        <f t="shared" si="2"/>
        <v>2.37779639</v>
      </c>
      <c r="T48" s="155" t="str">
        <f t="shared" si="43"/>
        <v>#DIV/0!</v>
      </c>
      <c r="U48" s="76"/>
      <c r="V48" s="77"/>
      <c r="W48" s="2"/>
      <c r="X48" s="2"/>
      <c r="Y48" s="2"/>
      <c r="Z48" s="2"/>
    </row>
    <row r="49" hidden="1" outlineLevel="1">
      <c r="A49" s="157"/>
      <c r="B49" s="158"/>
      <c r="C49" s="159" t="s">
        <v>12</v>
      </c>
      <c r="D49" s="160" t="s">
        <v>13</v>
      </c>
      <c r="E49" s="58"/>
      <c r="F49" s="161">
        <v>510.8</v>
      </c>
      <c r="G49" s="162">
        <v>20.0</v>
      </c>
      <c r="H49" s="162">
        <v>17.0</v>
      </c>
      <c r="I49" s="163">
        <f t="shared" ref="I49:I53" si="46">G49/H49</f>
        <v>1.176470588</v>
      </c>
      <c r="J49" s="164">
        <f t="shared" ref="J49:J52" si="47">F49/H49</f>
        <v>30.04705882</v>
      </c>
      <c r="K49" s="164">
        <f t="shared" ref="K49:K52" si="48">F49/G49</f>
        <v>25.54</v>
      </c>
      <c r="L49" s="165">
        <v>288.0</v>
      </c>
      <c r="M49" s="155">
        <f t="shared" ref="M49:M53" si="49">G49/L49</f>
        <v>0.06944444444</v>
      </c>
      <c r="N49" s="166">
        <v>80.38</v>
      </c>
      <c r="O49" s="166">
        <v>182.46</v>
      </c>
      <c r="P49" s="167">
        <v>6.0</v>
      </c>
      <c r="Q49" s="168">
        <v>29485.0</v>
      </c>
      <c r="R49" s="155">
        <f t="shared" si="1"/>
        <v>0.4405349118</v>
      </c>
      <c r="S49" s="156">
        <f t="shared" si="2"/>
        <v>2.269967654</v>
      </c>
      <c r="T49" s="155" t="str">
        <f>#REF!/#REF!</f>
        <v>#REF!</v>
      </c>
      <c r="U49" s="76"/>
      <c r="V49" s="77"/>
      <c r="W49" s="2"/>
      <c r="X49" s="2"/>
      <c r="Y49" s="2"/>
      <c r="Z49" s="2"/>
    </row>
    <row r="50" hidden="1" outlineLevel="1">
      <c r="A50" s="157" t="str">
        <f>iferror(if(D50&gt;0,month(D50)&amp;"-"&amp;year(D50),D50),)</f>
        <v/>
      </c>
      <c r="B50" s="158"/>
      <c r="C50" s="169" t="s">
        <v>61</v>
      </c>
      <c r="D50" s="170" t="s">
        <v>62</v>
      </c>
      <c r="E50" s="68"/>
      <c r="F50" s="164">
        <v>1781.34</v>
      </c>
      <c r="G50" s="171">
        <v>66.0</v>
      </c>
      <c r="H50" s="171">
        <v>64.0</v>
      </c>
      <c r="I50" s="163">
        <f t="shared" si="46"/>
        <v>1.03125</v>
      </c>
      <c r="J50" s="164">
        <f t="shared" si="47"/>
        <v>27.8334375</v>
      </c>
      <c r="K50" s="164">
        <f t="shared" si="48"/>
        <v>26.99</v>
      </c>
      <c r="L50" s="165">
        <v>647.0</v>
      </c>
      <c r="M50" s="155">
        <f t="shared" si="49"/>
        <v>0.1020092736</v>
      </c>
      <c r="N50" s="172">
        <v>236.27</v>
      </c>
      <c r="O50" s="172">
        <v>940.3</v>
      </c>
      <c r="P50" s="173">
        <v>32.0</v>
      </c>
      <c r="Q50" s="174">
        <v>37730.0</v>
      </c>
      <c r="R50" s="155">
        <f t="shared" si="1"/>
        <v>0.251270871</v>
      </c>
      <c r="S50" s="156">
        <f t="shared" si="2"/>
        <v>3.979768908</v>
      </c>
      <c r="T50" s="155">
        <f t="shared" ref="T50:T54" si="50">O50/F50</f>
        <v>0.5278610484</v>
      </c>
      <c r="U50" s="76"/>
      <c r="V50" s="77"/>
      <c r="W50" s="2"/>
      <c r="X50" s="2"/>
      <c r="Y50" s="2"/>
      <c r="Z50" s="2"/>
    </row>
    <row r="51" hidden="1" outlineLevel="1">
      <c r="A51" s="175"/>
      <c r="B51" s="158"/>
      <c r="C51" s="176" t="s">
        <v>14</v>
      </c>
      <c r="D51" s="177" t="s">
        <v>15</v>
      </c>
      <c r="E51" s="68"/>
      <c r="F51" s="164">
        <v>83.31</v>
      </c>
      <c r="G51" s="171">
        <v>3.0</v>
      </c>
      <c r="H51" s="171">
        <v>3.0</v>
      </c>
      <c r="I51" s="163">
        <f t="shared" si="46"/>
        <v>1</v>
      </c>
      <c r="J51" s="164">
        <f t="shared" si="47"/>
        <v>27.77</v>
      </c>
      <c r="K51" s="164">
        <f t="shared" si="48"/>
        <v>27.77</v>
      </c>
      <c r="L51" s="165">
        <v>121.0</v>
      </c>
      <c r="M51" s="155">
        <f t="shared" si="49"/>
        <v>0.02479338843</v>
      </c>
      <c r="N51" s="178">
        <v>22.15</v>
      </c>
      <c r="O51" s="178">
        <v>0.0</v>
      </c>
      <c r="P51" s="179">
        <v>0.0</v>
      </c>
      <c r="Q51" s="180">
        <v>7561.0</v>
      </c>
      <c r="R51" s="155" t="str">
        <f t="shared" si="1"/>
        <v>#DIV/0!</v>
      </c>
      <c r="S51" s="156">
        <f t="shared" si="2"/>
        <v>0</v>
      </c>
      <c r="T51" s="155">
        <f t="shared" si="50"/>
        <v>0</v>
      </c>
      <c r="U51" s="76"/>
      <c r="V51" s="77"/>
      <c r="W51" s="2"/>
      <c r="X51" s="2"/>
      <c r="Y51" s="2"/>
      <c r="Z51" s="2"/>
    </row>
    <row r="52" hidden="1" outlineLevel="1">
      <c r="A52" s="56" t="str">
        <f>iferror(if(B52&gt;0,month(B52)&amp;"-"&amp;year(B52),B52),)</f>
        <v>9-2024</v>
      </c>
      <c r="B52" s="143">
        <v>45549.0</v>
      </c>
      <c r="C52" s="181" t="s">
        <v>63</v>
      </c>
      <c r="D52" s="182" t="s">
        <v>64</v>
      </c>
      <c r="E52" s="68"/>
      <c r="F52" s="164">
        <v>222.16</v>
      </c>
      <c r="G52" s="171">
        <v>8.0</v>
      </c>
      <c r="H52" s="171">
        <v>8.0</v>
      </c>
      <c r="I52" s="163">
        <f t="shared" si="46"/>
        <v>1</v>
      </c>
      <c r="J52" s="164">
        <f t="shared" si="47"/>
        <v>27.77</v>
      </c>
      <c r="K52" s="164">
        <f t="shared" si="48"/>
        <v>27.77</v>
      </c>
      <c r="L52" s="165">
        <v>149.0</v>
      </c>
      <c r="M52" s="155">
        <f t="shared" si="49"/>
        <v>0.05369127517</v>
      </c>
      <c r="N52" s="183">
        <v>29.53</v>
      </c>
      <c r="O52" s="183">
        <v>83.31</v>
      </c>
      <c r="P52" s="270">
        <v>3.0</v>
      </c>
      <c r="Q52" s="185">
        <v>9675.0</v>
      </c>
      <c r="R52" s="155">
        <f t="shared" si="1"/>
        <v>0.3544592486</v>
      </c>
      <c r="S52" s="156">
        <f t="shared" si="2"/>
        <v>2.821198781</v>
      </c>
      <c r="T52" s="155">
        <f t="shared" si="50"/>
        <v>0.375</v>
      </c>
      <c r="U52" s="76"/>
      <c r="V52" s="77"/>
      <c r="W52" s="2"/>
      <c r="X52" s="2"/>
      <c r="Y52" s="2"/>
      <c r="Z52" s="2"/>
    </row>
    <row r="53" collapsed="1">
      <c r="A53" s="101" t="s">
        <v>130</v>
      </c>
      <c r="B53" s="79"/>
      <c r="C53" s="79"/>
      <c r="D53" s="79"/>
      <c r="E53" s="80"/>
      <c r="F53" s="190">
        <f t="shared" ref="F53:H53" si="51">SUM(F48:F52)</f>
        <v>2597.61</v>
      </c>
      <c r="G53" s="191">
        <f t="shared" si="51"/>
        <v>97</v>
      </c>
      <c r="H53" s="191">
        <f t="shared" si="51"/>
        <v>92</v>
      </c>
      <c r="I53" s="192">
        <f t="shared" si="46"/>
        <v>1.054347826</v>
      </c>
      <c r="J53" s="193">
        <f>F53/G53</f>
        <v>26.77948454</v>
      </c>
      <c r="K53" s="193">
        <f>J53/I53</f>
        <v>25.39909874</v>
      </c>
      <c r="L53" s="194">
        <f>SUM(L48:L52)</f>
        <v>1205</v>
      </c>
      <c r="M53" s="195">
        <f t="shared" si="49"/>
        <v>0.08049792531</v>
      </c>
      <c r="N53" s="190">
        <f t="shared" ref="N53:P53" si="52">SUM(N48:N52)</f>
        <v>738.45</v>
      </c>
      <c r="O53" s="190">
        <f t="shared" si="52"/>
        <v>2086.14</v>
      </c>
      <c r="P53" s="196">
        <f t="shared" si="52"/>
        <v>73</v>
      </c>
      <c r="Q53" s="197">
        <f>sum(Q48:Q52)</f>
        <v>181459</v>
      </c>
      <c r="R53" s="195">
        <f t="shared" si="1"/>
        <v>0.3539791193</v>
      </c>
      <c r="S53" s="198">
        <f t="shared" si="2"/>
        <v>2.825025391</v>
      </c>
      <c r="T53" s="199">
        <f t="shared" si="50"/>
        <v>0.8030997725</v>
      </c>
      <c r="U53" s="80" t="str">
        <f>iferror((F53-#REF!)/F53,)</f>
        <v/>
      </c>
      <c r="V53" s="90" t="str">
        <f>iferror((H53-#REF!)/H53,)</f>
        <v/>
      </c>
      <c r="W53" s="2"/>
      <c r="X53" s="2"/>
      <c r="Y53" s="2"/>
      <c r="Z53" s="2"/>
    </row>
    <row r="54" hidden="1" outlineLevel="1">
      <c r="A54" s="56" t="str">
        <f>iferror(if(B54&gt;0,month(B54)&amp;"-"&amp;year(B54),B54),)</f>
        <v>9-2024</v>
      </c>
      <c r="B54" s="143">
        <v>45550.0</v>
      </c>
      <c r="C54" s="144"/>
      <c r="D54" s="145" t="s">
        <v>60</v>
      </c>
      <c r="E54" s="58"/>
      <c r="F54" s="146"/>
      <c r="G54" s="147"/>
      <c r="H54" s="147"/>
      <c r="I54" s="148"/>
      <c r="J54" s="149"/>
      <c r="K54" s="149"/>
      <c r="L54" s="150"/>
      <c r="M54" s="151"/>
      <c r="N54" s="152">
        <v>322.41</v>
      </c>
      <c r="O54" s="152">
        <v>902.44</v>
      </c>
      <c r="P54" s="153">
        <v>30.0</v>
      </c>
      <c r="Q54" s="154">
        <v>82991.0</v>
      </c>
      <c r="R54" s="155">
        <f t="shared" si="1"/>
        <v>0.3572647489</v>
      </c>
      <c r="S54" s="156">
        <f t="shared" si="2"/>
        <v>2.799044695</v>
      </c>
      <c r="T54" s="155" t="str">
        <f t="shared" si="50"/>
        <v>#DIV/0!</v>
      </c>
      <c r="U54" s="76"/>
      <c r="V54" s="77"/>
      <c r="W54" s="2"/>
      <c r="X54" s="2"/>
      <c r="Y54" s="2"/>
      <c r="Z54" s="2"/>
    </row>
    <row r="55" hidden="1" outlineLevel="1">
      <c r="A55" s="157"/>
      <c r="B55" s="158"/>
      <c r="C55" s="159" t="s">
        <v>12</v>
      </c>
      <c r="D55" s="160" t="s">
        <v>13</v>
      </c>
      <c r="E55" s="58"/>
      <c r="F55" s="161">
        <v>268.19</v>
      </c>
      <c r="G55" s="162">
        <v>11.0</v>
      </c>
      <c r="H55" s="162">
        <v>10.0</v>
      </c>
      <c r="I55" s="163">
        <f t="shared" ref="I55:I59" si="53">G55/H55</f>
        <v>1.1</v>
      </c>
      <c r="J55" s="164">
        <f t="shared" ref="J55:J58" si="54">F55/H55</f>
        <v>26.819</v>
      </c>
      <c r="K55" s="164">
        <f t="shared" ref="K55:K58" si="55">F55/G55</f>
        <v>24.38090909</v>
      </c>
      <c r="L55" s="165">
        <v>227.0</v>
      </c>
      <c r="M55" s="155">
        <f t="shared" ref="M55:M59" si="56">G55/L55</f>
        <v>0.04845814978</v>
      </c>
      <c r="N55" s="166">
        <v>83.2</v>
      </c>
      <c r="O55" s="166">
        <v>233.68</v>
      </c>
      <c r="P55" s="167">
        <v>7.0</v>
      </c>
      <c r="Q55" s="168">
        <v>29844.0</v>
      </c>
      <c r="R55" s="155">
        <f t="shared" si="1"/>
        <v>0.3560424512</v>
      </c>
      <c r="S55" s="156">
        <f t="shared" si="2"/>
        <v>2.808653846</v>
      </c>
      <c r="T55" s="155" t="str">
        <f>#REF!/#REF!</f>
        <v>#REF!</v>
      </c>
      <c r="U55" s="76"/>
      <c r="V55" s="77"/>
      <c r="W55" s="2"/>
      <c r="X55" s="2"/>
      <c r="Y55" s="2"/>
      <c r="Z55" s="2"/>
    </row>
    <row r="56" hidden="1" outlineLevel="1">
      <c r="A56" s="157" t="str">
        <f>iferror(if(D56&gt;0,month(D56)&amp;"-"&amp;year(D56),D56),)</f>
        <v/>
      </c>
      <c r="B56" s="158"/>
      <c r="C56" s="169" t="s">
        <v>61</v>
      </c>
      <c r="D56" s="170" t="s">
        <v>62</v>
      </c>
      <c r="E56" s="68"/>
      <c r="F56" s="164">
        <v>2213.18</v>
      </c>
      <c r="G56" s="171">
        <v>82.0</v>
      </c>
      <c r="H56" s="171">
        <v>74.0</v>
      </c>
      <c r="I56" s="163">
        <f t="shared" si="53"/>
        <v>1.108108108</v>
      </c>
      <c r="J56" s="164">
        <f t="shared" si="54"/>
        <v>29.90783784</v>
      </c>
      <c r="K56" s="164">
        <f t="shared" si="55"/>
        <v>26.99</v>
      </c>
      <c r="L56" s="165">
        <v>834.0</v>
      </c>
      <c r="M56" s="155">
        <f t="shared" si="56"/>
        <v>0.09832134293</v>
      </c>
      <c r="N56" s="172">
        <v>301.28</v>
      </c>
      <c r="O56" s="172">
        <v>861.68</v>
      </c>
      <c r="P56" s="173">
        <v>27.0</v>
      </c>
      <c r="Q56" s="174">
        <v>61442.0</v>
      </c>
      <c r="R56" s="155">
        <f t="shared" si="1"/>
        <v>0.3496425587</v>
      </c>
      <c r="S56" s="156">
        <f t="shared" si="2"/>
        <v>2.860063728</v>
      </c>
      <c r="T56" s="155">
        <f t="shared" ref="T56:T60" si="57">O56/F56</f>
        <v>0.3893402254</v>
      </c>
      <c r="U56" s="76"/>
      <c r="V56" s="77"/>
      <c r="W56" s="2"/>
      <c r="X56" s="2"/>
      <c r="Y56" s="2"/>
      <c r="Z56" s="2"/>
    </row>
    <row r="57" hidden="1" outlineLevel="1">
      <c r="A57" s="175"/>
      <c r="B57" s="158"/>
      <c r="C57" s="176" t="s">
        <v>14</v>
      </c>
      <c r="D57" s="177" t="s">
        <v>15</v>
      </c>
      <c r="E57" s="68"/>
      <c r="F57" s="164">
        <v>186.05</v>
      </c>
      <c r="G57" s="171">
        <v>7.0</v>
      </c>
      <c r="H57" s="171">
        <v>6.0</v>
      </c>
      <c r="I57" s="163">
        <f t="shared" si="53"/>
        <v>1.166666667</v>
      </c>
      <c r="J57" s="164">
        <f t="shared" si="54"/>
        <v>31.00833333</v>
      </c>
      <c r="K57" s="164">
        <f t="shared" si="55"/>
        <v>26.57857143</v>
      </c>
      <c r="L57" s="165">
        <v>117.0</v>
      </c>
      <c r="M57" s="155">
        <f t="shared" si="56"/>
        <v>0.05982905983</v>
      </c>
      <c r="N57" s="178">
        <v>19.2</v>
      </c>
      <c r="O57" s="178">
        <v>0.0</v>
      </c>
      <c r="P57" s="179">
        <v>0.0</v>
      </c>
      <c r="Q57" s="180">
        <v>5913.0</v>
      </c>
      <c r="R57" s="155" t="str">
        <f t="shared" si="1"/>
        <v>#DIV/0!</v>
      </c>
      <c r="S57" s="156">
        <f t="shared" si="2"/>
        <v>0</v>
      </c>
      <c r="T57" s="155">
        <f t="shared" si="57"/>
        <v>0</v>
      </c>
      <c r="U57" s="76"/>
      <c r="V57" s="77"/>
      <c r="W57" s="2"/>
      <c r="X57" s="2"/>
      <c r="Y57" s="2"/>
      <c r="Z57" s="2"/>
    </row>
    <row r="58" hidden="1" outlineLevel="1">
      <c r="A58" s="56" t="str">
        <f>iferror(if(B58&gt;0,month(B58)&amp;"-"&amp;year(B58),B58),)</f>
        <v>9-2024</v>
      </c>
      <c r="B58" s="143">
        <v>45556.0</v>
      </c>
      <c r="C58" s="181" t="s">
        <v>63</v>
      </c>
      <c r="D58" s="182" t="s">
        <v>64</v>
      </c>
      <c r="E58" s="68"/>
      <c r="F58" s="164">
        <v>133.29</v>
      </c>
      <c r="G58" s="171">
        <v>5.0</v>
      </c>
      <c r="H58" s="171">
        <v>4.0</v>
      </c>
      <c r="I58" s="163">
        <f t="shared" si="53"/>
        <v>1.25</v>
      </c>
      <c r="J58" s="164">
        <f t="shared" si="54"/>
        <v>33.3225</v>
      </c>
      <c r="K58" s="164">
        <f t="shared" si="55"/>
        <v>26.658</v>
      </c>
      <c r="L58" s="165">
        <v>150.0</v>
      </c>
      <c r="M58" s="155">
        <f t="shared" si="56"/>
        <v>0.03333333333</v>
      </c>
      <c r="N58" s="183">
        <v>39.46</v>
      </c>
      <c r="O58" s="183">
        <v>27.77</v>
      </c>
      <c r="P58" s="270">
        <v>1.0</v>
      </c>
      <c r="Q58" s="185">
        <v>15547.0</v>
      </c>
      <c r="R58" s="155">
        <f t="shared" si="1"/>
        <v>1.420957868</v>
      </c>
      <c r="S58" s="156">
        <f t="shared" si="2"/>
        <v>0.7037506336</v>
      </c>
      <c r="T58" s="155">
        <f t="shared" si="57"/>
        <v>0.2083427114</v>
      </c>
      <c r="U58" s="76"/>
      <c r="V58" s="77"/>
      <c r="W58" s="2"/>
      <c r="X58" s="2"/>
      <c r="Y58" s="2"/>
      <c r="Z58" s="2"/>
    </row>
    <row r="59" collapsed="1">
      <c r="A59" s="101" t="s">
        <v>131</v>
      </c>
      <c r="B59" s="79"/>
      <c r="C59" s="79"/>
      <c r="D59" s="79"/>
      <c r="E59" s="80"/>
      <c r="F59" s="190">
        <f t="shared" ref="F59:H59" si="58">SUM(F54:F58)</f>
        <v>2800.71</v>
      </c>
      <c r="G59" s="191">
        <f t="shared" si="58"/>
        <v>105</v>
      </c>
      <c r="H59" s="191">
        <f t="shared" si="58"/>
        <v>94</v>
      </c>
      <c r="I59" s="192">
        <f t="shared" si="53"/>
        <v>1.117021277</v>
      </c>
      <c r="J59" s="193">
        <f>F59/G59</f>
        <v>26.67342857</v>
      </c>
      <c r="K59" s="193">
        <f>J59/I59</f>
        <v>23.87906939</v>
      </c>
      <c r="L59" s="194">
        <f>SUM(L54:L58)</f>
        <v>1328</v>
      </c>
      <c r="M59" s="195">
        <f t="shared" si="56"/>
        <v>0.07906626506</v>
      </c>
      <c r="N59" s="190">
        <f t="shared" ref="N59:P59" si="59">SUM(N54:N58)</f>
        <v>765.55</v>
      </c>
      <c r="O59" s="190">
        <f t="shared" si="59"/>
        <v>2025.57</v>
      </c>
      <c r="P59" s="196">
        <f t="shared" si="59"/>
        <v>65</v>
      </c>
      <c r="Q59" s="197">
        <f>sum(Q54:Q58)</f>
        <v>195737</v>
      </c>
      <c r="R59" s="195">
        <f t="shared" si="1"/>
        <v>0.3779429988</v>
      </c>
      <c r="S59" s="198">
        <f t="shared" si="2"/>
        <v>2.645901639</v>
      </c>
      <c r="T59" s="199">
        <f t="shared" si="57"/>
        <v>0.7232344655</v>
      </c>
      <c r="U59" s="80" t="str">
        <f>iferror((F59-#REF!)/F59,)</f>
        <v/>
      </c>
      <c r="V59" s="90" t="str">
        <f>iferror((H59-#REF!)/H59,)</f>
        <v/>
      </c>
      <c r="W59" s="2"/>
      <c r="X59" s="2"/>
      <c r="Y59" s="2"/>
      <c r="Z59" s="2"/>
    </row>
    <row r="60" hidden="1" outlineLevel="1">
      <c r="A60" s="56" t="str">
        <f>iferror(if(B60&gt;0,month(B60)&amp;"-"&amp;year(B60),B60),)</f>
        <v>9-2024</v>
      </c>
      <c r="B60" s="143">
        <v>45557.0</v>
      </c>
      <c r="C60" s="144"/>
      <c r="D60" s="145" t="s">
        <v>60</v>
      </c>
      <c r="E60" s="58"/>
      <c r="F60" s="146"/>
      <c r="G60" s="147"/>
      <c r="H60" s="147"/>
      <c r="I60" s="148"/>
      <c r="J60" s="149"/>
      <c r="K60" s="149"/>
      <c r="L60" s="150"/>
      <c r="M60" s="151"/>
      <c r="N60" s="152">
        <v>143.67</v>
      </c>
      <c r="O60" s="152">
        <v>459.82</v>
      </c>
      <c r="P60" s="153">
        <v>18.0</v>
      </c>
      <c r="Q60" s="154">
        <v>34316.0</v>
      </c>
      <c r="R60" s="155">
        <f t="shared" si="1"/>
        <v>0.3124483494</v>
      </c>
      <c r="S60" s="156">
        <f t="shared" si="2"/>
        <v>3.20052899</v>
      </c>
      <c r="T60" s="155" t="str">
        <f t="shared" si="57"/>
        <v>#DIV/0!</v>
      </c>
      <c r="U60" s="76"/>
      <c r="V60" s="77"/>
      <c r="W60" s="2"/>
      <c r="X60" s="2"/>
      <c r="Y60" s="2"/>
      <c r="Z60" s="2"/>
    </row>
    <row r="61" hidden="1" outlineLevel="1">
      <c r="A61" s="157"/>
      <c r="B61" s="158"/>
      <c r="C61" s="159" t="s">
        <v>12</v>
      </c>
      <c r="D61" s="160" t="s">
        <v>13</v>
      </c>
      <c r="E61" s="58"/>
      <c r="F61" s="161">
        <v>459.8</v>
      </c>
      <c r="G61" s="162">
        <v>20.0</v>
      </c>
      <c r="H61" s="162">
        <v>18.0</v>
      </c>
      <c r="I61" s="163">
        <f t="shared" ref="I61:I65" si="60">G61/H61</f>
        <v>1.111111111</v>
      </c>
      <c r="J61" s="164">
        <f t="shared" ref="J61:J64" si="61">F61/H61</f>
        <v>25.54444444</v>
      </c>
      <c r="K61" s="164">
        <f t="shared" ref="K61:K64" si="62">F61/G61</f>
        <v>22.99</v>
      </c>
      <c r="L61" s="165">
        <v>140.0</v>
      </c>
      <c r="M61" s="155">
        <f t="shared" ref="M61:M65" si="63">G61/L61</f>
        <v>0.1428571429</v>
      </c>
      <c r="N61" s="166">
        <v>20.57</v>
      </c>
      <c r="O61" s="166">
        <v>22.99</v>
      </c>
      <c r="P61" s="167">
        <v>1.0</v>
      </c>
      <c r="Q61" s="168">
        <v>7386.0</v>
      </c>
      <c r="R61" s="155">
        <f t="shared" si="1"/>
        <v>0.8947368421</v>
      </c>
      <c r="S61" s="156">
        <f t="shared" si="2"/>
        <v>1.117647059</v>
      </c>
      <c r="T61" s="155" t="str">
        <f>#REF!/#REF!</f>
        <v>#REF!</v>
      </c>
      <c r="U61" s="76"/>
      <c r="V61" s="77"/>
      <c r="W61" s="2"/>
      <c r="X61" s="2"/>
      <c r="Y61" s="2"/>
      <c r="Z61" s="2"/>
    </row>
    <row r="62" hidden="1" outlineLevel="1">
      <c r="A62" s="157" t="str">
        <f>iferror(if(D62&gt;0,month(D62)&amp;"-"&amp;year(D62),D62),)</f>
        <v/>
      </c>
      <c r="B62" s="158"/>
      <c r="C62" s="169" t="s">
        <v>61</v>
      </c>
      <c r="D62" s="170" t="s">
        <v>62</v>
      </c>
      <c r="E62" s="68"/>
      <c r="F62" s="164">
        <v>1403.48</v>
      </c>
      <c r="G62" s="171">
        <v>52.0</v>
      </c>
      <c r="H62" s="171">
        <v>46.0</v>
      </c>
      <c r="I62" s="163">
        <f t="shared" si="60"/>
        <v>1.130434783</v>
      </c>
      <c r="J62" s="164">
        <f t="shared" si="61"/>
        <v>30.51043478</v>
      </c>
      <c r="K62" s="164">
        <f t="shared" si="62"/>
        <v>26.99</v>
      </c>
      <c r="L62" s="165">
        <v>387.0</v>
      </c>
      <c r="M62" s="155">
        <f t="shared" si="63"/>
        <v>0.1343669251</v>
      </c>
      <c r="N62" s="172">
        <v>71.54</v>
      </c>
      <c r="O62" s="172">
        <v>454.83</v>
      </c>
      <c r="P62" s="173">
        <v>16.0</v>
      </c>
      <c r="Q62" s="174">
        <v>18237.0</v>
      </c>
      <c r="R62" s="155">
        <f t="shared" si="1"/>
        <v>0.1572895367</v>
      </c>
      <c r="S62" s="156">
        <f t="shared" si="2"/>
        <v>6.357701985</v>
      </c>
      <c r="T62" s="155">
        <f t="shared" ref="T62:T66" si="64">O62/F62</f>
        <v>0.3240730185</v>
      </c>
      <c r="U62" s="76"/>
      <c r="V62" s="77"/>
      <c r="W62" s="2"/>
      <c r="X62" s="2"/>
      <c r="Y62" s="2"/>
      <c r="Z62" s="2"/>
    </row>
    <row r="63" hidden="1" outlineLevel="1">
      <c r="A63" s="175"/>
      <c r="B63" s="158"/>
      <c r="C63" s="176" t="s">
        <v>14</v>
      </c>
      <c r="D63" s="177" t="s">
        <v>15</v>
      </c>
      <c r="E63" s="68"/>
      <c r="F63" s="164">
        <v>74.97</v>
      </c>
      <c r="G63" s="171">
        <v>4.0</v>
      </c>
      <c r="H63" s="171">
        <v>4.0</v>
      </c>
      <c r="I63" s="163">
        <f t="shared" si="60"/>
        <v>1</v>
      </c>
      <c r="J63" s="164">
        <f t="shared" si="61"/>
        <v>18.7425</v>
      </c>
      <c r="K63" s="164">
        <f t="shared" si="62"/>
        <v>18.7425</v>
      </c>
      <c r="L63" s="165">
        <v>60.0</v>
      </c>
      <c r="M63" s="155">
        <f t="shared" si="63"/>
        <v>0.06666666667</v>
      </c>
      <c r="N63" s="178">
        <v>5.35</v>
      </c>
      <c r="O63" s="178">
        <v>0.0</v>
      </c>
      <c r="P63" s="179">
        <v>0.0</v>
      </c>
      <c r="Q63" s="180">
        <v>3506.0</v>
      </c>
      <c r="R63" s="155" t="str">
        <f t="shared" si="1"/>
        <v>#DIV/0!</v>
      </c>
      <c r="S63" s="156">
        <f t="shared" si="2"/>
        <v>0</v>
      </c>
      <c r="T63" s="155">
        <f t="shared" si="64"/>
        <v>0</v>
      </c>
      <c r="U63" s="76"/>
      <c r="V63" s="77"/>
      <c r="W63" s="2"/>
      <c r="X63" s="2"/>
      <c r="Y63" s="2"/>
      <c r="Z63" s="2"/>
    </row>
    <row r="64" hidden="1" outlineLevel="1">
      <c r="A64" s="56" t="str">
        <f>iferror(if(B64&gt;0,month(B64)&amp;"-"&amp;year(B64),B64),)</f>
        <v>9-2024</v>
      </c>
      <c r="B64" s="143">
        <v>45563.0</v>
      </c>
      <c r="C64" s="181" t="s">
        <v>63</v>
      </c>
      <c r="D64" s="182" t="s">
        <v>64</v>
      </c>
      <c r="E64" s="68"/>
      <c r="F64" s="164">
        <v>99.96</v>
      </c>
      <c r="G64" s="171">
        <v>4.0</v>
      </c>
      <c r="H64" s="171">
        <v>4.0</v>
      </c>
      <c r="I64" s="163">
        <f t="shared" si="60"/>
        <v>1</v>
      </c>
      <c r="J64" s="164">
        <f t="shared" si="61"/>
        <v>24.99</v>
      </c>
      <c r="K64" s="164">
        <f t="shared" si="62"/>
        <v>24.99</v>
      </c>
      <c r="L64" s="165">
        <v>81.0</v>
      </c>
      <c r="M64" s="155">
        <f t="shared" si="63"/>
        <v>0.04938271605</v>
      </c>
      <c r="N64" s="183">
        <v>10.61</v>
      </c>
      <c r="O64" s="183">
        <v>0.0</v>
      </c>
      <c r="P64" s="270">
        <v>0.0</v>
      </c>
      <c r="Q64" s="185">
        <v>2695.0</v>
      </c>
      <c r="R64" s="155" t="str">
        <f t="shared" si="1"/>
        <v>#DIV/0!</v>
      </c>
      <c r="S64" s="156">
        <f t="shared" si="2"/>
        <v>0</v>
      </c>
      <c r="T64" s="155">
        <f t="shared" si="64"/>
        <v>0</v>
      </c>
      <c r="U64" s="76"/>
      <c r="V64" s="77"/>
      <c r="W64" s="2"/>
      <c r="X64" s="2"/>
      <c r="Y64" s="2"/>
      <c r="Z64" s="2"/>
    </row>
    <row r="65" collapsed="1">
      <c r="A65" s="101" t="s">
        <v>132</v>
      </c>
      <c r="B65" s="79"/>
      <c r="C65" s="79"/>
      <c r="D65" s="79"/>
      <c r="E65" s="80"/>
      <c r="F65" s="190">
        <f t="shared" ref="F65:H65" si="65">SUM(F60:F64)</f>
        <v>2038.21</v>
      </c>
      <c r="G65" s="191">
        <f t="shared" si="65"/>
        <v>80</v>
      </c>
      <c r="H65" s="191">
        <f t="shared" si="65"/>
        <v>72</v>
      </c>
      <c r="I65" s="192">
        <f t="shared" si="60"/>
        <v>1.111111111</v>
      </c>
      <c r="J65" s="193">
        <f>F65/G65</f>
        <v>25.477625</v>
      </c>
      <c r="K65" s="193">
        <f>J65/I65</f>
        <v>22.9298625</v>
      </c>
      <c r="L65" s="194">
        <f>SUM(L60:L64)</f>
        <v>668</v>
      </c>
      <c r="M65" s="195">
        <f t="shared" si="63"/>
        <v>0.119760479</v>
      </c>
      <c r="N65" s="190">
        <f t="shared" ref="N65:P65" si="66">SUM(N60:N64)</f>
        <v>251.74</v>
      </c>
      <c r="O65" s="190">
        <f t="shared" si="66"/>
        <v>937.64</v>
      </c>
      <c r="P65" s="196">
        <f t="shared" si="66"/>
        <v>35</v>
      </c>
      <c r="Q65" s="197">
        <f>sum(Q60:Q64)</f>
        <v>66140</v>
      </c>
      <c r="R65" s="195">
        <f t="shared" si="1"/>
        <v>0.2684825733</v>
      </c>
      <c r="S65" s="198">
        <f t="shared" si="2"/>
        <v>3.72463653</v>
      </c>
      <c r="T65" s="199">
        <f t="shared" si="64"/>
        <v>0.4600311057</v>
      </c>
      <c r="U65" s="80" t="str">
        <f>iferror((F65-#REF!)/F65,)</f>
        <v/>
      </c>
      <c r="V65" s="90" t="str">
        <f>iferror((H65-#REF!)/H65,)</f>
        <v/>
      </c>
      <c r="W65" s="2"/>
      <c r="X65" s="2"/>
      <c r="Y65" s="2"/>
      <c r="Z65" s="2"/>
    </row>
    <row r="66" hidden="1" outlineLevel="1">
      <c r="A66" s="56" t="str">
        <f>iferror(if(B66&gt;0,month(B66)&amp;"-"&amp;year(B66),B66),)</f>
        <v>9-2024</v>
      </c>
      <c r="B66" s="143">
        <v>45564.0</v>
      </c>
      <c r="C66" s="144"/>
      <c r="D66" s="145" t="s">
        <v>60</v>
      </c>
      <c r="E66" s="58"/>
      <c r="F66" s="146"/>
      <c r="G66" s="147"/>
      <c r="H66" s="147"/>
      <c r="I66" s="148"/>
      <c r="J66" s="149"/>
      <c r="K66" s="149"/>
      <c r="L66" s="150"/>
      <c r="M66" s="151"/>
      <c r="N66" s="152">
        <v>588.28</v>
      </c>
      <c r="O66" s="152">
        <v>1963.24</v>
      </c>
      <c r="P66" s="153">
        <v>67.0</v>
      </c>
      <c r="Q66" s="154">
        <v>147518.0</v>
      </c>
      <c r="R66" s="155">
        <f t="shared" si="1"/>
        <v>0.2996475214</v>
      </c>
      <c r="S66" s="156">
        <f t="shared" si="2"/>
        <v>3.337254369</v>
      </c>
      <c r="T66" s="155" t="str">
        <f t="shared" si="64"/>
        <v>#DIV/0!</v>
      </c>
      <c r="U66" s="76"/>
      <c r="V66" s="77"/>
      <c r="W66" s="2"/>
      <c r="X66" s="2"/>
      <c r="Y66" s="2"/>
      <c r="Z66" s="2"/>
    </row>
    <row r="67" hidden="1" outlineLevel="1">
      <c r="A67" s="157"/>
      <c r="B67" s="158"/>
      <c r="C67" s="159" t="s">
        <v>12</v>
      </c>
      <c r="D67" s="160" t="s">
        <v>13</v>
      </c>
      <c r="E67" s="58"/>
      <c r="F67" s="161">
        <v>459.8</v>
      </c>
      <c r="G67" s="162">
        <v>20.0</v>
      </c>
      <c r="H67" s="162">
        <v>18.0</v>
      </c>
      <c r="I67" s="163">
        <f t="shared" ref="I67:I71" si="67">G67/H67</f>
        <v>1.111111111</v>
      </c>
      <c r="J67" s="164">
        <f t="shared" ref="J67:J70" si="68">F67/H67</f>
        <v>25.54444444</v>
      </c>
      <c r="K67" s="164">
        <f t="shared" ref="K67:K70" si="69">F67/G67</f>
        <v>22.99</v>
      </c>
      <c r="L67" s="165">
        <v>273.0</v>
      </c>
      <c r="M67" s="155">
        <f t="shared" ref="M67:M71" si="70">G67/L67</f>
        <v>0.07326007326</v>
      </c>
      <c r="N67" s="166">
        <v>40.9</v>
      </c>
      <c r="O67" s="166">
        <v>0.0</v>
      </c>
      <c r="P67" s="167">
        <v>0.0</v>
      </c>
      <c r="Q67" s="168">
        <v>9542.0</v>
      </c>
      <c r="R67" s="155" t="str">
        <f t="shared" si="1"/>
        <v>#DIV/0!</v>
      </c>
      <c r="S67" s="156">
        <f t="shared" si="2"/>
        <v>0</v>
      </c>
      <c r="T67" s="155" t="str">
        <f>#REF!/#REF!</f>
        <v>#REF!</v>
      </c>
      <c r="U67" s="76"/>
      <c r="V67" s="77"/>
      <c r="W67" s="2"/>
      <c r="X67" s="2"/>
      <c r="Y67" s="2"/>
      <c r="Z67" s="2"/>
    </row>
    <row r="68" hidden="1" outlineLevel="1">
      <c r="A68" s="157" t="str">
        <f>iferror(if(D68&gt;0,month(D68)&amp;"-"&amp;year(D68),D68),)</f>
        <v/>
      </c>
      <c r="B68" s="158"/>
      <c r="C68" s="169" t="s">
        <v>61</v>
      </c>
      <c r="D68" s="170" t="s">
        <v>62</v>
      </c>
      <c r="E68" s="68"/>
      <c r="F68" s="164">
        <v>2456.09</v>
      </c>
      <c r="G68" s="171">
        <v>91.0</v>
      </c>
      <c r="H68" s="171">
        <v>82.0</v>
      </c>
      <c r="I68" s="163">
        <f t="shared" si="67"/>
        <v>1.109756098</v>
      </c>
      <c r="J68" s="164">
        <f t="shared" si="68"/>
        <v>29.95231707</v>
      </c>
      <c r="K68" s="164">
        <f t="shared" si="69"/>
        <v>26.99</v>
      </c>
      <c r="L68" s="165">
        <v>860.0</v>
      </c>
      <c r="M68" s="155">
        <f t="shared" si="70"/>
        <v>0.1058139535</v>
      </c>
      <c r="N68" s="172">
        <v>246.85</v>
      </c>
      <c r="O68" s="172">
        <v>508.81</v>
      </c>
      <c r="P68" s="173">
        <v>19.0</v>
      </c>
      <c r="Q68" s="174">
        <v>47514.0</v>
      </c>
      <c r="R68" s="155">
        <f t="shared" si="1"/>
        <v>0.4851516283</v>
      </c>
      <c r="S68" s="156">
        <f t="shared" si="2"/>
        <v>2.061211262</v>
      </c>
      <c r="T68" s="155">
        <f t="shared" ref="T68:T72" si="71">O68/F68</f>
        <v>0.207162604</v>
      </c>
      <c r="U68" s="76"/>
      <c r="V68" s="77"/>
      <c r="W68" s="2"/>
      <c r="X68" s="2"/>
      <c r="Y68" s="2"/>
      <c r="Z68" s="2"/>
    </row>
    <row r="69" hidden="1" outlineLevel="1">
      <c r="A69" s="175"/>
      <c r="B69" s="158"/>
      <c r="C69" s="176" t="s">
        <v>14</v>
      </c>
      <c r="D69" s="177" t="s">
        <v>15</v>
      </c>
      <c r="E69" s="68"/>
      <c r="F69" s="164">
        <v>524.79</v>
      </c>
      <c r="G69" s="171">
        <v>21.0</v>
      </c>
      <c r="H69" s="171">
        <v>18.0</v>
      </c>
      <c r="I69" s="163">
        <f t="shared" si="67"/>
        <v>1.166666667</v>
      </c>
      <c r="J69" s="164">
        <f t="shared" si="68"/>
        <v>29.155</v>
      </c>
      <c r="K69" s="164">
        <f t="shared" si="69"/>
        <v>24.99</v>
      </c>
      <c r="L69" s="165">
        <v>189.0</v>
      </c>
      <c r="M69" s="155">
        <f t="shared" si="70"/>
        <v>0.1111111111</v>
      </c>
      <c r="N69" s="178">
        <v>60.26</v>
      </c>
      <c r="O69" s="178">
        <v>124.95</v>
      </c>
      <c r="P69" s="179">
        <v>4.0</v>
      </c>
      <c r="Q69" s="180">
        <v>25042.0</v>
      </c>
      <c r="R69" s="155">
        <f t="shared" si="1"/>
        <v>0.4822729092</v>
      </c>
      <c r="S69" s="156">
        <f t="shared" si="2"/>
        <v>2.073514769</v>
      </c>
      <c r="T69" s="155">
        <f t="shared" si="71"/>
        <v>0.2380952381</v>
      </c>
      <c r="U69" s="76"/>
      <c r="V69" s="77"/>
      <c r="W69" s="2"/>
      <c r="X69" s="2"/>
      <c r="Y69" s="2"/>
      <c r="Z69" s="2"/>
    </row>
    <row r="70" hidden="1" outlineLevel="1">
      <c r="A70" s="56" t="str">
        <f>iferror(if(B70&gt;0,month(B70)&amp;"-"&amp;year(B70),B70),)</f>
        <v>10-2024</v>
      </c>
      <c r="B70" s="143">
        <v>45570.0</v>
      </c>
      <c r="C70" s="181" t="s">
        <v>63</v>
      </c>
      <c r="D70" s="182" t="s">
        <v>64</v>
      </c>
      <c r="E70" s="68"/>
      <c r="F70" s="164">
        <v>324.87</v>
      </c>
      <c r="G70" s="171">
        <v>13.0</v>
      </c>
      <c r="H70" s="171">
        <v>10.0</v>
      </c>
      <c r="I70" s="163">
        <f t="shared" si="67"/>
        <v>1.3</v>
      </c>
      <c r="J70" s="164">
        <f t="shared" si="68"/>
        <v>32.487</v>
      </c>
      <c r="K70" s="164">
        <f t="shared" si="69"/>
        <v>24.99</v>
      </c>
      <c r="L70" s="165">
        <v>183.0</v>
      </c>
      <c r="M70" s="155">
        <f t="shared" si="70"/>
        <v>0.07103825137</v>
      </c>
      <c r="N70" s="183">
        <v>18.1</v>
      </c>
      <c r="O70" s="183">
        <v>24.99</v>
      </c>
      <c r="P70" s="270">
        <v>1.0</v>
      </c>
      <c r="Q70" s="185">
        <v>12632.0</v>
      </c>
      <c r="R70" s="155">
        <f t="shared" si="1"/>
        <v>0.7242897159</v>
      </c>
      <c r="S70" s="156">
        <f t="shared" si="2"/>
        <v>1.380662983</v>
      </c>
      <c r="T70" s="155">
        <f t="shared" si="71"/>
        <v>0.07692307692</v>
      </c>
      <c r="U70" s="76"/>
      <c r="V70" s="77"/>
      <c r="W70" s="2"/>
      <c r="X70" s="2"/>
      <c r="Y70" s="2"/>
      <c r="Z70" s="2"/>
    </row>
    <row r="71" collapsed="1">
      <c r="A71" s="101" t="s">
        <v>133</v>
      </c>
      <c r="B71" s="79"/>
      <c r="C71" s="79"/>
      <c r="D71" s="79"/>
      <c r="E71" s="80"/>
      <c r="F71" s="190">
        <f t="shared" ref="F71:H71" si="72">SUM(F66:F70)</f>
        <v>3765.55</v>
      </c>
      <c r="G71" s="191">
        <f t="shared" si="72"/>
        <v>145</v>
      </c>
      <c r="H71" s="191">
        <f t="shared" si="72"/>
        <v>128</v>
      </c>
      <c r="I71" s="192">
        <f t="shared" si="67"/>
        <v>1.1328125</v>
      </c>
      <c r="J71" s="193">
        <f>F71/G71</f>
        <v>25.96931034</v>
      </c>
      <c r="K71" s="193">
        <f>J71/I71</f>
        <v>22.92463258</v>
      </c>
      <c r="L71" s="194">
        <f>SUM(L66:L70)</f>
        <v>1505</v>
      </c>
      <c r="M71" s="195">
        <f t="shared" si="70"/>
        <v>0.09634551495</v>
      </c>
      <c r="N71" s="190">
        <f t="shared" ref="N71:P71" si="73">SUM(N66:N70)</f>
        <v>954.39</v>
      </c>
      <c r="O71" s="190">
        <f t="shared" si="73"/>
        <v>2621.99</v>
      </c>
      <c r="P71" s="196">
        <f t="shared" si="73"/>
        <v>91</v>
      </c>
      <c r="Q71" s="197">
        <f>sum(Q66:Q70)</f>
        <v>242248</v>
      </c>
      <c r="R71" s="195">
        <f t="shared" si="1"/>
        <v>0.3639945232</v>
      </c>
      <c r="S71" s="198">
        <f t="shared" si="2"/>
        <v>2.747294083</v>
      </c>
      <c r="T71" s="199">
        <f t="shared" si="71"/>
        <v>0.696309968</v>
      </c>
      <c r="U71" s="80" t="str">
        <f>iferror((F71-#REF!)/F71,)</f>
        <v/>
      </c>
      <c r="V71" s="90" t="str">
        <f>iferror((H71-#REF!)/H71,)</f>
        <v/>
      </c>
      <c r="W71" s="2"/>
      <c r="X71" s="2"/>
      <c r="Y71" s="2"/>
      <c r="Z71" s="2"/>
    </row>
    <row r="72" hidden="1" outlineLevel="1">
      <c r="A72" s="56" t="str">
        <f>iferror(if(B72&gt;0,month(B72)&amp;"-"&amp;year(B72),B72),)</f>
        <v>10-2024</v>
      </c>
      <c r="B72" s="143">
        <v>45571.0</v>
      </c>
      <c r="C72" s="144"/>
      <c r="D72" s="145" t="s">
        <v>60</v>
      </c>
      <c r="E72" s="58"/>
      <c r="F72" s="146"/>
      <c r="G72" s="147"/>
      <c r="H72" s="147"/>
      <c r="I72" s="148"/>
      <c r="J72" s="149"/>
      <c r="K72" s="149"/>
      <c r="L72" s="150"/>
      <c r="M72" s="151"/>
      <c r="N72" s="152">
        <v>464.22</v>
      </c>
      <c r="O72" s="152">
        <v>1839.3</v>
      </c>
      <c r="P72" s="153">
        <v>43.0</v>
      </c>
      <c r="Q72" s="154">
        <v>135496.0</v>
      </c>
      <c r="R72" s="155">
        <f t="shared" si="1"/>
        <v>0.252389496</v>
      </c>
      <c r="S72" s="156">
        <f t="shared" si="2"/>
        <v>3.962130025</v>
      </c>
      <c r="T72" s="155" t="str">
        <f t="shared" si="71"/>
        <v>#DIV/0!</v>
      </c>
      <c r="U72" s="76"/>
      <c r="V72" s="77"/>
      <c r="W72" s="2"/>
      <c r="X72" s="2"/>
      <c r="Y72" s="2"/>
      <c r="Z72" s="2"/>
    </row>
    <row r="73" hidden="1" outlineLevel="1">
      <c r="A73" s="157"/>
      <c r="B73" s="158"/>
      <c r="C73" s="159" t="s">
        <v>12</v>
      </c>
      <c r="D73" s="160" t="s">
        <v>13</v>
      </c>
      <c r="E73" s="58"/>
      <c r="F73" s="161">
        <v>505.78</v>
      </c>
      <c r="G73" s="162">
        <v>22.0</v>
      </c>
      <c r="H73" s="162">
        <v>16.0</v>
      </c>
      <c r="I73" s="163">
        <f t="shared" ref="I73:I77" si="74">G73/H73</f>
        <v>1.375</v>
      </c>
      <c r="J73" s="164">
        <f t="shared" ref="J73:J76" si="75">F73/H73</f>
        <v>31.61125</v>
      </c>
      <c r="K73" s="164">
        <f t="shared" ref="K73:K76" si="76">F73/G73</f>
        <v>22.99</v>
      </c>
      <c r="L73" s="165">
        <v>252.0</v>
      </c>
      <c r="M73" s="155">
        <f t="shared" ref="M73:M77" si="77">G73/L73</f>
        <v>0.0873015873</v>
      </c>
      <c r="N73" s="166">
        <v>25.68</v>
      </c>
      <c r="O73" s="166">
        <v>93.96</v>
      </c>
      <c r="P73" s="167">
        <v>3.0</v>
      </c>
      <c r="Q73" s="168">
        <v>7856.0</v>
      </c>
      <c r="R73" s="155">
        <f t="shared" si="1"/>
        <v>0.2733077905</v>
      </c>
      <c r="S73" s="156">
        <f t="shared" si="2"/>
        <v>3.658878505</v>
      </c>
      <c r="T73" s="155" t="str">
        <f>#REF!/#REF!</f>
        <v>#REF!</v>
      </c>
      <c r="U73" s="76"/>
      <c r="V73" s="77"/>
      <c r="W73" s="2"/>
      <c r="X73" s="2"/>
      <c r="Y73" s="2"/>
      <c r="Z73" s="2"/>
    </row>
    <row r="74" hidden="1" outlineLevel="1">
      <c r="A74" s="157" t="str">
        <f>iferror(if(D74&gt;0,month(D74)&amp;"-"&amp;year(D74),D74),)</f>
        <v/>
      </c>
      <c r="B74" s="158"/>
      <c r="C74" s="169" t="s">
        <v>61</v>
      </c>
      <c r="D74" s="170" t="s">
        <v>62</v>
      </c>
      <c r="E74" s="68"/>
      <c r="F74" s="164">
        <v>2941.91</v>
      </c>
      <c r="G74" s="171">
        <v>111.0</v>
      </c>
      <c r="H74" s="171">
        <v>81.0</v>
      </c>
      <c r="I74" s="163">
        <f t="shared" si="74"/>
        <v>1.37037037</v>
      </c>
      <c r="J74" s="164">
        <f t="shared" si="75"/>
        <v>36.31987654</v>
      </c>
      <c r="K74" s="164">
        <f t="shared" si="76"/>
        <v>26.50369369</v>
      </c>
      <c r="L74" s="165">
        <v>868.0</v>
      </c>
      <c r="M74" s="155">
        <f t="shared" si="77"/>
        <v>0.1278801843</v>
      </c>
      <c r="N74" s="172">
        <v>249.82</v>
      </c>
      <c r="O74" s="172">
        <v>797.7</v>
      </c>
      <c r="P74" s="173">
        <v>28.0</v>
      </c>
      <c r="Q74" s="174">
        <v>66267.0</v>
      </c>
      <c r="R74" s="155">
        <f t="shared" si="1"/>
        <v>0.3131753792</v>
      </c>
      <c r="S74" s="156">
        <f t="shared" si="2"/>
        <v>3.193099031</v>
      </c>
      <c r="T74" s="155">
        <f t="shared" ref="T74:T78" si="78">O74/F74</f>
        <v>0.2711503751</v>
      </c>
      <c r="U74" s="76"/>
      <c r="V74" s="77"/>
      <c r="W74" s="2"/>
      <c r="X74" s="2"/>
      <c r="Y74" s="2"/>
      <c r="Z74" s="2"/>
    </row>
    <row r="75" hidden="1" outlineLevel="1">
      <c r="A75" s="175"/>
      <c r="B75" s="158"/>
      <c r="C75" s="176" t="s">
        <v>14</v>
      </c>
      <c r="D75" s="177" t="s">
        <v>15</v>
      </c>
      <c r="E75" s="68"/>
      <c r="F75" s="164">
        <v>274.89</v>
      </c>
      <c r="G75" s="171">
        <v>11.0</v>
      </c>
      <c r="H75" s="171">
        <v>10.0</v>
      </c>
      <c r="I75" s="163">
        <f t="shared" si="74"/>
        <v>1.1</v>
      </c>
      <c r="J75" s="164">
        <f t="shared" si="75"/>
        <v>27.489</v>
      </c>
      <c r="K75" s="164">
        <f t="shared" si="76"/>
        <v>24.99</v>
      </c>
      <c r="L75" s="165">
        <v>204.0</v>
      </c>
      <c r="M75" s="155">
        <f t="shared" si="77"/>
        <v>0.05392156863</v>
      </c>
      <c r="N75" s="178">
        <v>69.61</v>
      </c>
      <c r="O75" s="178">
        <v>151.94</v>
      </c>
      <c r="P75" s="179">
        <v>5.0</v>
      </c>
      <c r="Q75" s="180">
        <v>38586.0</v>
      </c>
      <c r="R75" s="155">
        <f t="shared" si="1"/>
        <v>0.4581413716</v>
      </c>
      <c r="S75" s="156">
        <f t="shared" si="2"/>
        <v>2.182732366</v>
      </c>
      <c r="T75" s="155">
        <f t="shared" si="78"/>
        <v>0.552730183</v>
      </c>
      <c r="U75" s="76"/>
      <c r="V75" s="77"/>
      <c r="W75" s="2"/>
      <c r="X75" s="2"/>
      <c r="Y75" s="2"/>
      <c r="Z75" s="2"/>
    </row>
    <row r="76" hidden="1" outlineLevel="1">
      <c r="A76" s="56" t="str">
        <f>iferror(if(B76&gt;0,month(B76)&amp;"-"&amp;year(B76),B76),)</f>
        <v>10-2024</v>
      </c>
      <c r="B76" s="143">
        <v>45577.0</v>
      </c>
      <c r="C76" s="181" t="s">
        <v>63</v>
      </c>
      <c r="D76" s="182" t="s">
        <v>64</v>
      </c>
      <c r="E76" s="68"/>
      <c r="F76" s="164">
        <v>274.89</v>
      </c>
      <c r="G76" s="171">
        <v>11.0</v>
      </c>
      <c r="H76" s="171">
        <v>10.0</v>
      </c>
      <c r="I76" s="163">
        <f t="shared" si="74"/>
        <v>1.1</v>
      </c>
      <c r="J76" s="164">
        <f t="shared" si="75"/>
        <v>27.489</v>
      </c>
      <c r="K76" s="164">
        <f t="shared" si="76"/>
        <v>24.99</v>
      </c>
      <c r="L76" s="165">
        <v>158.0</v>
      </c>
      <c r="M76" s="155">
        <f t="shared" si="77"/>
        <v>0.06962025316</v>
      </c>
      <c r="N76" s="183">
        <v>13.45</v>
      </c>
      <c r="O76" s="183">
        <v>49.98</v>
      </c>
      <c r="P76" s="270">
        <v>2.0</v>
      </c>
      <c r="Q76" s="185">
        <v>8722.0</v>
      </c>
      <c r="R76" s="155">
        <f t="shared" si="1"/>
        <v>0.2691076431</v>
      </c>
      <c r="S76" s="156">
        <f t="shared" si="2"/>
        <v>3.71598513</v>
      </c>
      <c r="T76" s="155">
        <f t="shared" si="78"/>
        <v>0.1818181818</v>
      </c>
      <c r="U76" s="76"/>
      <c r="V76" s="77"/>
      <c r="W76" s="2"/>
      <c r="X76" s="2"/>
      <c r="Y76" s="2"/>
      <c r="Z76" s="2"/>
    </row>
    <row r="77" collapsed="1">
      <c r="A77" s="101" t="s">
        <v>134</v>
      </c>
      <c r="B77" s="79"/>
      <c r="C77" s="79"/>
      <c r="D77" s="79"/>
      <c r="E77" s="80"/>
      <c r="F77" s="190">
        <f t="shared" ref="F77:H77" si="79">SUM(F72:F76)</f>
        <v>3997.47</v>
      </c>
      <c r="G77" s="191">
        <f t="shared" si="79"/>
        <v>155</v>
      </c>
      <c r="H77" s="191">
        <f t="shared" si="79"/>
        <v>117</v>
      </c>
      <c r="I77" s="192">
        <f t="shared" si="74"/>
        <v>1.324786325</v>
      </c>
      <c r="J77" s="193">
        <f>F77/G77</f>
        <v>25.79012903</v>
      </c>
      <c r="K77" s="193">
        <f>J77/I77</f>
        <v>19.46738772</v>
      </c>
      <c r="L77" s="194">
        <f>SUM(L72:L76)</f>
        <v>1482</v>
      </c>
      <c r="M77" s="195">
        <f t="shared" si="77"/>
        <v>0.1045883941</v>
      </c>
      <c r="N77" s="190">
        <f t="shared" ref="N77:P77" si="80">SUM(N72:N76)</f>
        <v>822.78</v>
      </c>
      <c r="O77" s="190">
        <f t="shared" si="80"/>
        <v>2932.88</v>
      </c>
      <c r="P77" s="196">
        <f t="shared" si="80"/>
        <v>81</v>
      </c>
      <c r="Q77" s="197">
        <f>sum(Q72:Q76)</f>
        <v>256927</v>
      </c>
      <c r="R77" s="195">
        <f t="shared" si="1"/>
        <v>0.2805365375</v>
      </c>
      <c r="S77" s="198">
        <f t="shared" si="2"/>
        <v>3.56459807</v>
      </c>
      <c r="T77" s="199">
        <f t="shared" si="78"/>
        <v>0.7336840552</v>
      </c>
      <c r="U77" s="80" t="str">
        <f>iferror((F77-#REF!)/F77,)</f>
        <v/>
      </c>
      <c r="V77" s="90" t="str">
        <f>iferror((H77-#REF!)/H77,)</f>
        <v/>
      </c>
      <c r="W77" s="2"/>
      <c r="X77" s="2"/>
      <c r="Y77" s="2"/>
      <c r="Z77" s="2"/>
    </row>
    <row r="78" hidden="1" outlineLevel="1">
      <c r="A78" s="56" t="str">
        <f>iferror(if(B78&gt;0,month(B78)&amp;"-"&amp;year(B78),B78),)</f>
        <v>10-2024</v>
      </c>
      <c r="B78" s="143">
        <v>45578.0</v>
      </c>
      <c r="C78" s="144"/>
      <c r="D78" s="145" t="s">
        <v>60</v>
      </c>
      <c r="E78" s="58"/>
      <c r="F78" s="146"/>
      <c r="G78" s="147"/>
      <c r="H78" s="147"/>
      <c r="I78" s="148"/>
      <c r="J78" s="149"/>
      <c r="K78" s="149"/>
      <c r="L78" s="150"/>
      <c r="M78" s="151"/>
      <c r="N78" s="152">
        <v>435.85</v>
      </c>
      <c r="O78" s="152">
        <v>1112.57</v>
      </c>
      <c r="P78" s="153">
        <v>39.0</v>
      </c>
      <c r="Q78" s="154">
        <v>102341.0</v>
      </c>
      <c r="R78" s="155">
        <f t="shared" si="1"/>
        <v>0.3917506314</v>
      </c>
      <c r="S78" s="156">
        <f t="shared" si="2"/>
        <v>2.552644258</v>
      </c>
      <c r="T78" s="155" t="str">
        <f t="shared" si="78"/>
        <v>#DIV/0!</v>
      </c>
      <c r="U78" s="76"/>
      <c r="V78" s="77"/>
      <c r="W78" s="2"/>
      <c r="X78" s="2"/>
      <c r="Y78" s="2"/>
      <c r="Z78" s="2"/>
    </row>
    <row r="79" hidden="1" outlineLevel="1">
      <c r="A79" s="157"/>
      <c r="B79" s="158"/>
      <c r="C79" s="159" t="s">
        <v>12</v>
      </c>
      <c r="D79" s="160" t="s">
        <v>13</v>
      </c>
      <c r="E79" s="58"/>
      <c r="F79" s="161">
        <v>298.87</v>
      </c>
      <c r="G79" s="162">
        <v>13.0</v>
      </c>
      <c r="H79" s="162">
        <v>12.0</v>
      </c>
      <c r="I79" s="163">
        <f t="shared" ref="I79:I83" si="81">G79/H79</f>
        <v>1.083333333</v>
      </c>
      <c r="J79" s="164">
        <f t="shared" ref="J79:J82" si="82">F79/H79</f>
        <v>24.90583333</v>
      </c>
      <c r="K79" s="164">
        <f t="shared" ref="K79:K82" si="83">F79/G79</f>
        <v>22.99</v>
      </c>
      <c r="L79" s="165">
        <v>234.0</v>
      </c>
      <c r="M79" s="155">
        <f t="shared" ref="M79:M83" si="84">G79/L79</f>
        <v>0.05555555556</v>
      </c>
      <c r="N79" s="166">
        <v>10.19</v>
      </c>
      <c r="O79" s="166">
        <v>0.0</v>
      </c>
      <c r="P79" s="167">
        <v>0.0</v>
      </c>
      <c r="Q79" s="168">
        <v>2489.0</v>
      </c>
      <c r="R79" s="155" t="str">
        <f t="shared" si="1"/>
        <v>#DIV/0!</v>
      </c>
      <c r="S79" s="156">
        <f t="shared" si="2"/>
        <v>0</v>
      </c>
      <c r="T79" s="155" t="str">
        <f>#REF!/#REF!</f>
        <v>#REF!</v>
      </c>
      <c r="U79" s="76"/>
      <c r="V79" s="77"/>
      <c r="W79" s="2"/>
      <c r="X79" s="2"/>
      <c r="Y79" s="2"/>
      <c r="Z79" s="2"/>
    </row>
    <row r="80" hidden="1" outlineLevel="1">
      <c r="A80" s="157" t="str">
        <f>iferror(if(D80&gt;0,month(D80)&amp;"-"&amp;year(D80),D80),)</f>
        <v/>
      </c>
      <c r="B80" s="158"/>
      <c r="C80" s="169" t="s">
        <v>61</v>
      </c>
      <c r="D80" s="170" t="s">
        <v>62</v>
      </c>
      <c r="E80" s="68"/>
      <c r="F80" s="164">
        <v>2483.08</v>
      </c>
      <c r="G80" s="171">
        <v>92.0</v>
      </c>
      <c r="H80" s="171">
        <v>84.0</v>
      </c>
      <c r="I80" s="163">
        <f t="shared" si="81"/>
        <v>1.095238095</v>
      </c>
      <c r="J80" s="164">
        <f t="shared" si="82"/>
        <v>29.56047619</v>
      </c>
      <c r="K80" s="164">
        <f t="shared" si="83"/>
        <v>26.99</v>
      </c>
      <c r="L80" s="165">
        <v>941.0</v>
      </c>
      <c r="M80" s="155">
        <f t="shared" si="84"/>
        <v>0.09776833156</v>
      </c>
      <c r="N80" s="172">
        <v>444.6</v>
      </c>
      <c r="O80" s="172">
        <v>1098.59</v>
      </c>
      <c r="P80" s="173">
        <v>41.0</v>
      </c>
      <c r="Q80" s="174">
        <v>81043.0</v>
      </c>
      <c r="R80" s="155">
        <f t="shared" si="1"/>
        <v>0.4047005707</v>
      </c>
      <c r="S80" s="156">
        <f t="shared" si="2"/>
        <v>2.470962663</v>
      </c>
      <c r="T80" s="155">
        <f t="shared" ref="T80:T84" si="85">O80/F80</f>
        <v>0.4424303687</v>
      </c>
      <c r="U80" s="76"/>
      <c r="V80" s="77"/>
      <c r="W80" s="2"/>
      <c r="X80" s="2"/>
      <c r="Y80" s="2"/>
      <c r="Z80" s="2"/>
    </row>
    <row r="81" hidden="1" outlineLevel="1">
      <c r="A81" s="175"/>
      <c r="B81" s="158"/>
      <c r="C81" s="176" t="s">
        <v>14</v>
      </c>
      <c r="D81" s="177" t="s">
        <v>15</v>
      </c>
      <c r="E81" s="68"/>
      <c r="F81" s="164">
        <v>249.9</v>
      </c>
      <c r="G81" s="171">
        <v>10.0</v>
      </c>
      <c r="H81" s="171">
        <v>9.0</v>
      </c>
      <c r="I81" s="163">
        <f t="shared" si="81"/>
        <v>1.111111111</v>
      </c>
      <c r="J81" s="164">
        <f t="shared" si="82"/>
        <v>27.76666667</v>
      </c>
      <c r="K81" s="164">
        <f t="shared" si="83"/>
        <v>24.99</v>
      </c>
      <c r="L81" s="165">
        <v>134.0</v>
      </c>
      <c r="M81" s="155">
        <f t="shared" si="84"/>
        <v>0.07462686567</v>
      </c>
      <c r="N81" s="178">
        <v>13.81</v>
      </c>
      <c r="O81" s="178">
        <v>24.99</v>
      </c>
      <c r="P81" s="179">
        <v>1.0</v>
      </c>
      <c r="Q81" s="180">
        <v>9535.0</v>
      </c>
      <c r="R81" s="155">
        <f t="shared" si="1"/>
        <v>0.5526210484</v>
      </c>
      <c r="S81" s="156">
        <f t="shared" si="2"/>
        <v>1.809558291</v>
      </c>
      <c r="T81" s="155">
        <f t="shared" si="85"/>
        <v>0.1</v>
      </c>
      <c r="U81" s="76"/>
      <c r="V81" s="77"/>
      <c r="W81" s="2"/>
      <c r="X81" s="2"/>
      <c r="Y81" s="2"/>
      <c r="Z81" s="2"/>
    </row>
    <row r="82" hidden="1" outlineLevel="1">
      <c r="A82" s="56" t="str">
        <f>iferror(if(B82&gt;0,month(B82)&amp;"-"&amp;year(B82),B82),)</f>
        <v>10-2024</v>
      </c>
      <c r="B82" s="143">
        <v>45584.0</v>
      </c>
      <c r="C82" s="181" t="s">
        <v>63</v>
      </c>
      <c r="D82" s="182" t="s">
        <v>64</v>
      </c>
      <c r="E82" s="68"/>
      <c r="F82" s="164">
        <v>374.85</v>
      </c>
      <c r="G82" s="171">
        <v>15.0</v>
      </c>
      <c r="H82" s="171">
        <v>13.0</v>
      </c>
      <c r="I82" s="163">
        <f t="shared" si="81"/>
        <v>1.153846154</v>
      </c>
      <c r="J82" s="164">
        <f t="shared" si="82"/>
        <v>28.83461538</v>
      </c>
      <c r="K82" s="164">
        <f t="shared" si="83"/>
        <v>24.99</v>
      </c>
      <c r="L82" s="165">
        <v>170.0</v>
      </c>
      <c r="M82" s="155">
        <f t="shared" si="84"/>
        <v>0.08823529412</v>
      </c>
      <c r="N82" s="183">
        <v>16.26</v>
      </c>
      <c r="O82" s="183">
        <v>51.98</v>
      </c>
      <c r="P82" s="270">
        <v>2.0</v>
      </c>
      <c r="Q82" s="185">
        <v>7578.0</v>
      </c>
      <c r="R82" s="155">
        <f t="shared" si="1"/>
        <v>0.3128126202</v>
      </c>
      <c r="S82" s="156">
        <f t="shared" si="2"/>
        <v>3.196801968</v>
      </c>
      <c r="T82" s="155">
        <f t="shared" si="85"/>
        <v>0.1386688009</v>
      </c>
      <c r="U82" s="76"/>
      <c r="V82" s="77"/>
      <c r="W82" s="2"/>
      <c r="X82" s="2"/>
      <c r="Y82" s="2"/>
      <c r="Z82" s="2"/>
    </row>
    <row r="83" collapsed="1">
      <c r="A83" s="101" t="s">
        <v>135</v>
      </c>
      <c r="B83" s="79"/>
      <c r="C83" s="79"/>
      <c r="D83" s="79"/>
      <c r="E83" s="80"/>
      <c r="F83" s="190">
        <f t="shared" ref="F83:H83" si="86">SUM(F78:F82)</f>
        <v>3406.7</v>
      </c>
      <c r="G83" s="191">
        <f t="shared" si="86"/>
        <v>130</v>
      </c>
      <c r="H83" s="191">
        <f t="shared" si="86"/>
        <v>118</v>
      </c>
      <c r="I83" s="192">
        <f t="shared" si="81"/>
        <v>1.101694915</v>
      </c>
      <c r="J83" s="193">
        <f>F83/G83</f>
        <v>26.20538462</v>
      </c>
      <c r="K83" s="193">
        <f>J83/I83</f>
        <v>23.78642604</v>
      </c>
      <c r="L83" s="194">
        <f>SUM(L78:L82)</f>
        <v>1479</v>
      </c>
      <c r="M83" s="195">
        <f t="shared" si="84"/>
        <v>0.08789722786</v>
      </c>
      <c r="N83" s="190">
        <f t="shared" ref="N83:P83" si="87">SUM(N78:N82)</f>
        <v>920.71</v>
      </c>
      <c r="O83" s="190">
        <f t="shared" si="87"/>
        <v>2288.13</v>
      </c>
      <c r="P83" s="196">
        <f t="shared" si="87"/>
        <v>83</v>
      </c>
      <c r="Q83" s="197">
        <f>sum(Q78:Q82)</f>
        <v>202986</v>
      </c>
      <c r="R83" s="195">
        <f t="shared" si="1"/>
        <v>0.402385354</v>
      </c>
      <c r="S83" s="198">
        <f t="shared" si="2"/>
        <v>2.485179915</v>
      </c>
      <c r="T83" s="199">
        <f t="shared" si="85"/>
        <v>0.6716558546</v>
      </c>
      <c r="U83" s="80" t="str">
        <f>iferror((F83-#REF!)/F83,)</f>
        <v/>
      </c>
      <c r="V83" s="90" t="str">
        <f>iferror((H83-#REF!)/H83,)</f>
        <v/>
      </c>
      <c r="W83" s="2"/>
      <c r="X83" s="2"/>
      <c r="Y83" s="2"/>
      <c r="Z83" s="2"/>
    </row>
    <row r="84" hidden="1" outlineLevel="1">
      <c r="A84" s="56" t="str">
        <f>iferror(if(B84&gt;0,month(B84)&amp;"-"&amp;year(B84),B84),)</f>
        <v>10-2024</v>
      </c>
      <c r="B84" s="143">
        <v>45585.0</v>
      </c>
      <c r="C84" s="144"/>
      <c r="D84" s="145" t="s">
        <v>60</v>
      </c>
      <c r="E84" s="58"/>
      <c r="F84" s="146"/>
      <c r="G84" s="147"/>
      <c r="H84" s="147"/>
      <c r="I84" s="148"/>
      <c r="J84" s="149"/>
      <c r="K84" s="149"/>
      <c r="L84" s="150"/>
      <c r="M84" s="151"/>
      <c r="N84" s="152">
        <v>396.05</v>
      </c>
      <c r="O84" s="152">
        <v>1610.37</v>
      </c>
      <c r="P84" s="153">
        <v>50.0</v>
      </c>
      <c r="Q84" s="154">
        <v>83733.0</v>
      </c>
      <c r="R84" s="155">
        <f t="shared" si="1"/>
        <v>0.2459372691</v>
      </c>
      <c r="S84" s="156">
        <f t="shared" si="2"/>
        <v>4.066077515</v>
      </c>
      <c r="T84" s="155" t="str">
        <f t="shared" si="85"/>
        <v>#DIV/0!</v>
      </c>
      <c r="U84" s="76"/>
      <c r="V84" s="77"/>
      <c r="W84" s="2"/>
      <c r="X84" s="2"/>
      <c r="Y84" s="2"/>
      <c r="Z84" s="2"/>
    </row>
    <row r="85" hidden="1" outlineLevel="1">
      <c r="A85" s="157"/>
      <c r="B85" s="158"/>
      <c r="C85" s="159" t="s">
        <v>12</v>
      </c>
      <c r="D85" s="160" t="s">
        <v>13</v>
      </c>
      <c r="E85" s="58"/>
      <c r="F85" s="161">
        <v>344.85</v>
      </c>
      <c r="G85" s="162">
        <v>15.0</v>
      </c>
      <c r="H85" s="162">
        <v>10.0</v>
      </c>
      <c r="I85" s="163">
        <f t="shared" ref="I85:I89" si="88">G85/H85</f>
        <v>1.5</v>
      </c>
      <c r="J85" s="164">
        <f t="shared" ref="J85:J88" si="89">F85/H85</f>
        <v>34.485</v>
      </c>
      <c r="K85" s="164">
        <f t="shared" ref="K85:K88" si="90">F85/G85</f>
        <v>22.99</v>
      </c>
      <c r="L85" s="165">
        <v>227.0</v>
      </c>
      <c r="M85" s="155">
        <f t="shared" ref="M85:M89" si="91">G85/L85</f>
        <v>0.06607929515</v>
      </c>
      <c r="N85" s="166">
        <v>8.19</v>
      </c>
      <c r="O85" s="166">
        <v>51.98</v>
      </c>
      <c r="P85" s="167">
        <v>2.0</v>
      </c>
      <c r="Q85" s="168">
        <v>3130.0</v>
      </c>
      <c r="R85" s="155">
        <f t="shared" si="1"/>
        <v>0.1575606002</v>
      </c>
      <c r="S85" s="156">
        <f t="shared" si="2"/>
        <v>6.346764347</v>
      </c>
      <c r="T85" s="155" t="str">
        <f>#REF!/#REF!</f>
        <v>#REF!</v>
      </c>
      <c r="U85" s="76"/>
      <c r="V85" s="77"/>
      <c r="W85" s="2"/>
      <c r="X85" s="2"/>
      <c r="Y85" s="2"/>
      <c r="Z85" s="2"/>
    </row>
    <row r="86" hidden="1" outlineLevel="1">
      <c r="A86" s="157" t="str">
        <f>iferror(if(D86&gt;0,month(D86)&amp;"-"&amp;year(D86),D86),)</f>
        <v/>
      </c>
      <c r="B86" s="158"/>
      <c r="C86" s="169" t="s">
        <v>61</v>
      </c>
      <c r="D86" s="170" t="s">
        <v>62</v>
      </c>
      <c r="E86" s="68"/>
      <c r="F86" s="164">
        <v>3184.82</v>
      </c>
      <c r="G86" s="171">
        <v>119.0</v>
      </c>
      <c r="H86" s="171">
        <v>103.0</v>
      </c>
      <c r="I86" s="163">
        <f t="shared" si="88"/>
        <v>1.155339806</v>
      </c>
      <c r="J86" s="164">
        <f t="shared" si="89"/>
        <v>30.92058252</v>
      </c>
      <c r="K86" s="164">
        <f t="shared" si="90"/>
        <v>26.76319328</v>
      </c>
      <c r="L86" s="165">
        <v>970.0</v>
      </c>
      <c r="M86" s="155">
        <f t="shared" si="91"/>
        <v>0.1226804124</v>
      </c>
      <c r="N86" s="172">
        <v>444.9</v>
      </c>
      <c r="O86" s="172">
        <v>1503.44</v>
      </c>
      <c r="P86" s="173">
        <v>52.0</v>
      </c>
      <c r="Q86" s="174">
        <v>99642.0</v>
      </c>
      <c r="R86" s="155">
        <f t="shared" si="1"/>
        <v>0.2959213537</v>
      </c>
      <c r="S86" s="156">
        <f t="shared" si="2"/>
        <v>3.379276242</v>
      </c>
      <c r="T86" s="155">
        <f t="shared" ref="T86:T90" si="92">O86/F86</f>
        <v>0.4720643553</v>
      </c>
      <c r="U86" s="76"/>
      <c r="V86" s="77"/>
      <c r="W86" s="2"/>
      <c r="X86" s="2"/>
      <c r="Y86" s="2"/>
      <c r="Z86" s="2"/>
    </row>
    <row r="87" hidden="1" outlineLevel="1">
      <c r="A87" s="175"/>
      <c r="B87" s="158"/>
      <c r="C87" s="176" t="s">
        <v>14</v>
      </c>
      <c r="D87" s="177" t="s">
        <v>15</v>
      </c>
      <c r="E87" s="68"/>
      <c r="F87" s="164">
        <v>349.86</v>
      </c>
      <c r="G87" s="171">
        <v>14.0</v>
      </c>
      <c r="H87" s="171">
        <v>13.0</v>
      </c>
      <c r="I87" s="163">
        <f t="shared" si="88"/>
        <v>1.076923077</v>
      </c>
      <c r="J87" s="164">
        <f t="shared" si="89"/>
        <v>26.91230769</v>
      </c>
      <c r="K87" s="164">
        <f t="shared" si="90"/>
        <v>24.99</v>
      </c>
      <c r="L87" s="165">
        <v>178.0</v>
      </c>
      <c r="M87" s="155">
        <f t="shared" si="91"/>
        <v>0.07865168539</v>
      </c>
      <c r="N87" s="178">
        <v>24.13</v>
      </c>
      <c r="O87" s="178">
        <v>49.98</v>
      </c>
      <c r="P87" s="179">
        <v>2.0</v>
      </c>
      <c r="Q87" s="180">
        <v>10515.0</v>
      </c>
      <c r="R87" s="155">
        <f t="shared" si="1"/>
        <v>0.4827931172</v>
      </c>
      <c r="S87" s="156">
        <f t="shared" si="2"/>
        <v>2.071280564</v>
      </c>
      <c r="T87" s="155">
        <f t="shared" si="92"/>
        <v>0.1428571429</v>
      </c>
      <c r="U87" s="76"/>
      <c r="V87" s="77"/>
      <c r="W87" s="2"/>
      <c r="X87" s="2"/>
      <c r="Y87" s="2"/>
      <c r="Z87" s="2"/>
    </row>
    <row r="88" hidden="1" outlineLevel="1">
      <c r="A88" s="56" t="str">
        <f>iferror(if(B88&gt;0,month(B88)&amp;"-"&amp;year(B88),B88),)</f>
        <v>10-2024</v>
      </c>
      <c r="B88" s="143">
        <v>45591.0</v>
      </c>
      <c r="C88" s="181" t="s">
        <v>63</v>
      </c>
      <c r="D88" s="182" t="s">
        <v>64</v>
      </c>
      <c r="E88" s="68"/>
      <c r="F88" s="164">
        <v>549.78</v>
      </c>
      <c r="G88" s="171">
        <v>22.0</v>
      </c>
      <c r="H88" s="171">
        <v>15.0</v>
      </c>
      <c r="I88" s="163">
        <f t="shared" si="88"/>
        <v>1.466666667</v>
      </c>
      <c r="J88" s="164">
        <f t="shared" si="89"/>
        <v>36.652</v>
      </c>
      <c r="K88" s="164">
        <f t="shared" si="90"/>
        <v>24.99</v>
      </c>
      <c r="L88" s="165">
        <v>178.0</v>
      </c>
      <c r="M88" s="155">
        <f t="shared" si="91"/>
        <v>0.1235955056</v>
      </c>
      <c r="N88" s="183">
        <v>18.23</v>
      </c>
      <c r="O88" s="183">
        <v>74.97</v>
      </c>
      <c r="P88" s="270">
        <v>2.0</v>
      </c>
      <c r="Q88" s="185">
        <v>4823.0</v>
      </c>
      <c r="R88" s="155">
        <f t="shared" si="1"/>
        <v>0.2431639322</v>
      </c>
      <c r="S88" s="156">
        <f t="shared" si="2"/>
        <v>4.112452002</v>
      </c>
      <c r="T88" s="155">
        <f t="shared" si="92"/>
        <v>0.1363636364</v>
      </c>
      <c r="U88" s="76"/>
      <c r="V88" s="77"/>
      <c r="W88" s="2"/>
      <c r="X88" s="2"/>
      <c r="Y88" s="2"/>
      <c r="Z88" s="2"/>
    </row>
    <row r="89" collapsed="1">
      <c r="A89" s="101" t="s">
        <v>136</v>
      </c>
      <c r="B89" s="79"/>
      <c r="C89" s="79"/>
      <c r="D89" s="79"/>
      <c r="E89" s="80"/>
      <c r="F89" s="190">
        <f t="shared" ref="F89:H89" si="93">SUM(F84:F88)</f>
        <v>4429.31</v>
      </c>
      <c r="G89" s="191">
        <f t="shared" si="93"/>
        <v>170</v>
      </c>
      <c r="H89" s="191">
        <f t="shared" si="93"/>
        <v>141</v>
      </c>
      <c r="I89" s="192">
        <f t="shared" si="88"/>
        <v>1.205673759</v>
      </c>
      <c r="J89" s="193">
        <f>F89/G89</f>
        <v>26.05476471</v>
      </c>
      <c r="K89" s="193">
        <f>J89/I89</f>
        <v>21.61012837</v>
      </c>
      <c r="L89" s="194">
        <f>SUM(L84:L88)</f>
        <v>1553</v>
      </c>
      <c r="M89" s="195">
        <f t="shared" si="91"/>
        <v>0.1094655505</v>
      </c>
      <c r="N89" s="190">
        <f t="shared" ref="N89:P89" si="94">SUM(N84:N88)</f>
        <v>891.5</v>
      </c>
      <c r="O89" s="190">
        <f t="shared" si="94"/>
        <v>3290.74</v>
      </c>
      <c r="P89" s="196">
        <f t="shared" si="94"/>
        <v>108</v>
      </c>
      <c r="Q89" s="197">
        <f>sum(Q84:Q88)</f>
        <v>201843</v>
      </c>
      <c r="R89" s="195">
        <f t="shared" si="1"/>
        <v>0.2709117098</v>
      </c>
      <c r="S89" s="198">
        <f t="shared" si="2"/>
        <v>3.691239484</v>
      </c>
      <c r="T89" s="199">
        <f t="shared" si="92"/>
        <v>0.7429464183</v>
      </c>
      <c r="U89" s="80" t="str">
        <f>iferror((F89-#REF!)/F89,)</f>
        <v/>
      </c>
      <c r="V89" s="90" t="str">
        <f>iferror((H89-#REF!)/H89,)</f>
        <v/>
      </c>
      <c r="W89" s="2"/>
      <c r="X89" s="2"/>
      <c r="Y89" s="2"/>
      <c r="Z89" s="2"/>
    </row>
    <row r="90" hidden="1" outlineLevel="1">
      <c r="A90" s="56" t="str">
        <f>iferror(if(B90&gt;0,month(B90)&amp;"-"&amp;year(B90),B90),)</f>
        <v>10-2024</v>
      </c>
      <c r="B90" s="143">
        <v>45592.0</v>
      </c>
      <c r="C90" s="144"/>
      <c r="D90" s="145" t="s">
        <v>60</v>
      </c>
      <c r="E90" s="58"/>
      <c r="F90" s="146"/>
      <c r="G90" s="147"/>
      <c r="H90" s="147"/>
      <c r="I90" s="148"/>
      <c r="J90" s="149"/>
      <c r="K90" s="149"/>
      <c r="L90" s="150"/>
      <c r="M90" s="151"/>
      <c r="N90" s="152">
        <v>450.48</v>
      </c>
      <c r="O90" s="152">
        <v>1416.45</v>
      </c>
      <c r="P90" s="153">
        <v>49.0</v>
      </c>
      <c r="Q90" s="154">
        <v>100603.0</v>
      </c>
      <c r="R90" s="155">
        <f t="shared" si="1"/>
        <v>0.3180345229</v>
      </c>
      <c r="S90" s="156">
        <f t="shared" si="2"/>
        <v>3.144312733</v>
      </c>
      <c r="T90" s="155" t="str">
        <f t="shared" si="92"/>
        <v>#DIV/0!</v>
      </c>
      <c r="U90" s="76"/>
      <c r="V90" s="77"/>
      <c r="W90" s="2"/>
      <c r="X90" s="2"/>
      <c r="Y90" s="2"/>
      <c r="Z90" s="2"/>
    </row>
    <row r="91" hidden="1" outlineLevel="1">
      <c r="A91" s="157"/>
      <c r="B91" s="158"/>
      <c r="C91" s="159" t="s">
        <v>12</v>
      </c>
      <c r="D91" s="160" t="s">
        <v>13</v>
      </c>
      <c r="E91" s="58"/>
      <c r="F91" s="161">
        <v>321.86</v>
      </c>
      <c r="G91" s="162">
        <v>14.0</v>
      </c>
      <c r="H91" s="162">
        <v>14.0</v>
      </c>
      <c r="I91" s="163">
        <f t="shared" ref="I91:I95" si="95">G91/H91</f>
        <v>1</v>
      </c>
      <c r="J91" s="164">
        <f t="shared" ref="J91:J94" si="96">F91/H91</f>
        <v>22.99</v>
      </c>
      <c r="K91" s="164">
        <f t="shared" ref="K91:K94" si="97">F91/G91</f>
        <v>22.99</v>
      </c>
      <c r="L91" s="165">
        <v>256.0</v>
      </c>
      <c r="M91" s="155">
        <f t="shared" ref="M91:M95" si="98">G91/L91</f>
        <v>0.0546875</v>
      </c>
      <c r="N91" s="166">
        <v>9.86</v>
      </c>
      <c r="O91" s="166">
        <v>0.0</v>
      </c>
      <c r="P91" s="167">
        <v>0.0</v>
      </c>
      <c r="Q91" s="168">
        <v>2556.0</v>
      </c>
      <c r="R91" s="155" t="str">
        <f t="shared" si="1"/>
        <v>#DIV/0!</v>
      </c>
      <c r="S91" s="156">
        <f t="shared" si="2"/>
        <v>0</v>
      </c>
      <c r="T91" s="155" t="str">
        <f>#REF!/#REF!</f>
        <v>#REF!</v>
      </c>
      <c r="U91" s="76"/>
      <c r="V91" s="77"/>
      <c r="W91" s="2"/>
      <c r="X91" s="2"/>
      <c r="Y91" s="2"/>
      <c r="Z91" s="2"/>
    </row>
    <row r="92" hidden="1" outlineLevel="1">
      <c r="A92" s="157" t="str">
        <f>iferror(if(D92&gt;0,month(D92)&amp;"-"&amp;year(D92),D92),)</f>
        <v/>
      </c>
      <c r="B92" s="158"/>
      <c r="C92" s="169" t="s">
        <v>61</v>
      </c>
      <c r="D92" s="170" t="s">
        <v>62</v>
      </c>
      <c r="E92" s="68"/>
      <c r="F92" s="164">
        <v>1889.3</v>
      </c>
      <c r="G92" s="171">
        <v>70.0</v>
      </c>
      <c r="H92" s="171">
        <v>60.0</v>
      </c>
      <c r="I92" s="163">
        <f t="shared" si="95"/>
        <v>1.166666667</v>
      </c>
      <c r="J92" s="164">
        <f t="shared" si="96"/>
        <v>31.48833333</v>
      </c>
      <c r="K92" s="164">
        <f t="shared" si="97"/>
        <v>26.99</v>
      </c>
      <c r="L92" s="165">
        <v>777.0</v>
      </c>
      <c r="M92" s="155">
        <f t="shared" si="98"/>
        <v>0.09009009009</v>
      </c>
      <c r="N92" s="172">
        <v>287.48</v>
      </c>
      <c r="O92" s="172">
        <v>509.81</v>
      </c>
      <c r="P92" s="173">
        <v>18.0</v>
      </c>
      <c r="Q92" s="174">
        <v>90472.0</v>
      </c>
      <c r="R92" s="155">
        <f t="shared" si="1"/>
        <v>0.5638963535</v>
      </c>
      <c r="S92" s="156">
        <f t="shared" si="2"/>
        <v>1.773375539</v>
      </c>
      <c r="T92" s="155">
        <f t="shared" ref="T92:T96" si="99">O92/F92</f>
        <v>0.2698406817</v>
      </c>
      <c r="U92" s="76"/>
      <c r="V92" s="77"/>
      <c r="W92" s="2"/>
      <c r="X92" s="2"/>
      <c r="Y92" s="2"/>
      <c r="Z92" s="2"/>
    </row>
    <row r="93" hidden="1" outlineLevel="1">
      <c r="A93" s="175"/>
      <c r="B93" s="158"/>
      <c r="C93" s="176" t="s">
        <v>14</v>
      </c>
      <c r="D93" s="177" t="s">
        <v>15</v>
      </c>
      <c r="E93" s="68"/>
      <c r="F93" s="164">
        <v>499.8</v>
      </c>
      <c r="G93" s="171">
        <v>20.0</v>
      </c>
      <c r="H93" s="171">
        <v>18.0</v>
      </c>
      <c r="I93" s="163">
        <f t="shared" si="95"/>
        <v>1.111111111</v>
      </c>
      <c r="J93" s="164">
        <f t="shared" si="96"/>
        <v>27.76666667</v>
      </c>
      <c r="K93" s="164">
        <f t="shared" si="97"/>
        <v>24.99</v>
      </c>
      <c r="L93" s="165">
        <v>194.0</v>
      </c>
      <c r="M93" s="155">
        <f t="shared" si="98"/>
        <v>0.1030927835</v>
      </c>
      <c r="N93" s="178">
        <v>31.32</v>
      </c>
      <c r="O93" s="178">
        <v>176.93</v>
      </c>
      <c r="P93" s="179">
        <v>6.0</v>
      </c>
      <c r="Q93" s="180">
        <v>10010.0</v>
      </c>
      <c r="R93" s="155">
        <f t="shared" si="1"/>
        <v>0.1770191601</v>
      </c>
      <c r="S93" s="156">
        <f t="shared" si="2"/>
        <v>5.649106003</v>
      </c>
      <c r="T93" s="155">
        <f t="shared" si="99"/>
        <v>0.3540016006</v>
      </c>
      <c r="U93" s="76"/>
      <c r="V93" s="77"/>
      <c r="W93" s="2"/>
      <c r="X93" s="2"/>
      <c r="Y93" s="2"/>
      <c r="Z93" s="2"/>
    </row>
    <row r="94" hidden="1" outlineLevel="1">
      <c r="A94" s="56" t="str">
        <f>iferror(if(B94&gt;0,month(B94)&amp;"-"&amp;year(B94),B94),)</f>
        <v>11-2024</v>
      </c>
      <c r="B94" s="143">
        <v>45598.0</v>
      </c>
      <c r="C94" s="181" t="s">
        <v>63</v>
      </c>
      <c r="D94" s="182" t="s">
        <v>64</v>
      </c>
      <c r="E94" s="68"/>
      <c r="F94" s="164">
        <v>299.88</v>
      </c>
      <c r="G94" s="171">
        <v>12.0</v>
      </c>
      <c r="H94" s="171">
        <v>11.0</v>
      </c>
      <c r="I94" s="163">
        <f t="shared" si="95"/>
        <v>1.090909091</v>
      </c>
      <c r="J94" s="164">
        <f t="shared" si="96"/>
        <v>27.26181818</v>
      </c>
      <c r="K94" s="164">
        <f t="shared" si="97"/>
        <v>24.99</v>
      </c>
      <c r="L94" s="165">
        <v>228.0</v>
      </c>
      <c r="M94" s="155">
        <f t="shared" si="98"/>
        <v>0.05263157895</v>
      </c>
      <c r="N94" s="183">
        <v>23.79</v>
      </c>
      <c r="O94" s="183">
        <v>24.99</v>
      </c>
      <c r="P94" s="270">
        <v>1.0</v>
      </c>
      <c r="Q94" s="185">
        <v>4844.0</v>
      </c>
      <c r="R94" s="155">
        <f t="shared" si="1"/>
        <v>0.9519807923</v>
      </c>
      <c r="S94" s="156">
        <f t="shared" si="2"/>
        <v>1.050441362</v>
      </c>
      <c r="T94" s="155">
        <f t="shared" si="99"/>
        <v>0.08333333333</v>
      </c>
      <c r="U94" s="76"/>
      <c r="V94" s="77"/>
      <c r="W94" s="2"/>
      <c r="X94" s="2"/>
      <c r="Y94" s="2"/>
      <c r="Z94" s="2"/>
    </row>
    <row r="95" collapsed="1">
      <c r="A95" s="101" t="s">
        <v>137</v>
      </c>
      <c r="B95" s="79"/>
      <c r="C95" s="79"/>
      <c r="D95" s="79"/>
      <c r="E95" s="80"/>
      <c r="F95" s="190">
        <f t="shared" ref="F95:H95" si="100">SUM(F90:F94)</f>
        <v>3010.84</v>
      </c>
      <c r="G95" s="191">
        <f t="shared" si="100"/>
        <v>116</v>
      </c>
      <c r="H95" s="191">
        <f t="shared" si="100"/>
        <v>103</v>
      </c>
      <c r="I95" s="192">
        <f t="shared" si="95"/>
        <v>1.126213592</v>
      </c>
      <c r="J95" s="193">
        <f>F95/G95</f>
        <v>25.95551724</v>
      </c>
      <c r="K95" s="193">
        <f>J95/I95</f>
        <v>23.04670927</v>
      </c>
      <c r="L95" s="194">
        <f>SUM(L90:L94)</f>
        <v>1455</v>
      </c>
      <c r="M95" s="195">
        <f t="shared" si="98"/>
        <v>0.07972508591</v>
      </c>
      <c r="N95" s="190">
        <f t="shared" ref="N95:P95" si="101">SUM(N90:N94)</f>
        <v>802.93</v>
      </c>
      <c r="O95" s="190">
        <f t="shared" si="101"/>
        <v>2128.18</v>
      </c>
      <c r="P95" s="196">
        <f t="shared" si="101"/>
        <v>74</v>
      </c>
      <c r="Q95" s="197">
        <f>sum(Q90:Q94)</f>
        <v>208485</v>
      </c>
      <c r="R95" s="195">
        <f t="shared" si="1"/>
        <v>0.3772848161</v>
      </c>
      <c r="S95" s="198">
        <f t="shared" si="2"/>
        <v>2.65051748</v>
      </c>
      <c r="T95" s="199">
        <f t="shared" si="99"/>
        <v>0.7068392874</v>
      </c>
      <c r="U95" s="80" t="str">
        <f>iferror((F95-#REF!)/F95,)</f>
        <v/>
      </c>
      <c r="V95" s="90" t="str">
        <f>iferror((H95-#REF!)/H95,)</f>
        <v/>
      </c>
      <c r="W95" s="2"/>
      <c r="X95" s="2"/>
      <c r="Y95" s="2"/>
      <c r="Z95" s="2"/>
    </row>
    <row r="96" hidden="1" outlineLevel="1">
      <c r="A96" s="56" t="str">
        <f>iferror(if(B96&gt;0,month(B96)&amp;"-"&amp;year(B96),B96),)</f>
        <v>11-2024</v>
      </c>
      <c r="B96" s="143">
        <v>45599.0</v>
      </c>
      <c r="C96" s="144"/>
      <c r="D96" s="145" t="s">
        <v>60</v>
      </c>
      <c r="E96" s="58"/>
      <c r="F96" s="146"/>
      <c r="G96" s="147"/>
      <c r="H96" s="147"/>
      <c r="I96" s="148"/>
      <c r="J96" s="149"/>
      <c r="K96" s="149"/>
      <c r="L96" s="150"/>
      <c r="M96" s="151"/>
      <c r="N96" s="152">
        <v>549.93</v>
      </c>
      <c r="O96" s="152">
        <v>1611.38</v>
      </c>
      <c r="P96" s="153">
        <v>50.0</v>
      </c>
      <c r="Q96" s="154">
        <v>140336.0</v>
      </c>
      <c r="R96" s="155">
        <f t="shared" si="1"/>
        <v>0.3412789038</v>
      </c>
      <c r="S96" s="156">
        <f t="shared" si="2"/>
        <v>2.930154747</v>
      </c>
      <c r="T96" s="155" t="str">
        <f t="shared" si="99"/>
        <v>#DIV/0!</v>
      </c>
      <c r="U96" s="76"/>
      <c r="V96" s="77"/>
      <c r="W96" s="2"/>
      <c r="X96" s="2"/>
      <c r="Y96" s="2"/>
      <c r="Z96" s="2"/>
    </row>
    <row r="97" hidden="1" outlineLevel="1">
      <c r="A97" s="157"/>
      <c r="B97" s="158"/>
      <c r="C97" s="159" t="s">
        <v>12</v>
      </c>
      <c r="D97" s="160" t="s">
        <v>13</v>
      </c>
      <c r="E97" s="58"/>
      <c r="F97" s="161">
        <v>298.87</v>
      </c>
      <c r="G97" s="162">
        <v>13.0</v>
      </c>
      <c r="H97" s="162">
        <v>12.0</v>
      </c>
      <c r="I97" s="163">
        <f t="shared" ref="I97:I101" si="102">G97/H97</f>
        <v>1.083333333</v>
      </c>
      <c r="J97" s="164">
        <f t="shared" ref="J97:J100" si="103">F97/H97</f>
        <v>24.90583333</v>
      </c>
      <c r="K97" s="164">
        <f t="shared" ref="K97:K100" si="104">F97/G97</f>
        <v>22.99</v>
      </c>
      <c r="L97" s="165">
        <v>265.0</v>
      </c>
      <c r="M97" s="155">
        <f t="shared" ref="M97:M101" si="105">G97/L97</f>
        <v>0.04905660377</v>
      </c>
      <c r="N97" s="166">
        <v>7.55</v>
      </c>
      <c r="O97" s="166">
        <v>45.98</v>
      </c>
      <c r="P97" s="167">
        <v>1.0</v>
      </c>
      <c r="Q97" s="168">
        <v>2226.0</v>
      </c>
      <c r="R97" s="155">
        <f t="shared" si="1"/>
        <v>0.1642018269</v>
      </c>
      <c r="S97" s="156">
        <f t="shared" si="2"/>
        <v>6.090066225</v>
      </c>
      <c r="T97" s="155" t="str">
        <f>#REF!/#REF!</f>
        <v>#REF!</v>
      </c>
      <c r="U97" s="76"/>
      <c r="V97" s="77"/>
      <c r="W97" s="2"/>
      <c r="X97" s="2"/>
      <c r="Y97" s="2"/>
      <c r="Z97" s="2"/>
    </row>
    <row r="98" hidden="1" outlineLevel="1">
      <c r="A98" s="157" t="str">
        <f>iferror(if(D98&gt;0,month(D98)&amp;"-"&amp;year(D98),D98),)</f>
        <v/>
      </c>
      <c r="B98" s="158"/>
      <c r="C98" s="169" t="s">
        <v>61</v>
      </c>
      <c r="D98" s="170" t="s">
        <v>62</v>
      </c>
      <c r="E98" s="68"/>
      <c r="F98" s="164">
        <v>2402.11</v>
      </c>
      <c r="G98" s="171">
        <v>90.0</v>
      </c>
      <c r="H98" s="171">
        <v>76.0</v>
      </c>
      <c r="I98" s="163">
        <f t="shared" si="102"/>
        <v>1.184210526</v>
      </c>
      <c r="J98" s="164">
        <f t="shared" si="103"/>
        <v>31.60671053</v>
      </c>
      <c r="K98" s="164">
        <f t="shared" si="104"/>
        <v>26.69011111</v>
      </c>
      <c r="L98" s="165">
        <v>748.0</v>
      </c>
      <c r="M98" s="155">
        <f t="shared" si="105"/>
        <v>0.1203208556</v>
      </c>
      <c r="N98" s="172">
        <v>205.83</v>
      </c>
      <c r="O98" s="172">
        <v>562.79</v>
      </c>
      <c r="P98" s="173">
        <v>20.0</v>
      </c>
      <c r="Q98" s="174">
        <v>54330.0</v>
      </c>
      <c r="R98" s="155">
        <f t="shared" si="1"/>
        <v>0.3657314451</v>
      </c>
      <c r="S98" s="156">
        <f t="shared" si="2"/>
        <v>2.734246708</v>
      </c>
      <c r="T98" s="155">
        <f t="shared" ref="T98:T102" si="106">O98/F98</f>
        <v>0.2342898535</v>
      </c>
      <c r="U98" s="76"/>
      <c r="V98" s="77"/>
      <c r="W98" s="2"/>
      <c r="X98" s="2"/>
      <c r="Y98" s="2"/>
      <c r="Z98" s="2"/>
    </row>
    <row r="99" hidden="1" outlineLevel="1">
      <c r="A99" s="175"/>
      <c r="B99" s="158"/>
      <c r="C99" s="176" t="s">
        <v>14</v>
      </c>
      <c r="D99" s="177" t="s">
        <v>15</v>
      </c>
      <c r="E99" s="68"/>
      <c r="F99" s="164">
        <v>224.91</v>
      </c>
      <c r="G99" s="171">
        <v>9.0</v>
      </c>
      <c r="H99" s="171">
        <v>8.0</v>
      </c>
      <c r="I99" s="163">
        <f t="shared" si="102"/>
        <v>1.125</v>
      </c>
      <c r="J99" s="164">
        <f t="shared" si="103"/>
        <v>28.11375</v>
      </c>
      <c r="K99" s="164">
        <f t="shared" si="104"/>
        <v>24.99</v>
      </c>
      <c r="L99" s="165">
        <v>182.0</v>
      </c>
      <c r="M99" s="155">
        <f t="shared" si="105"/>
        <v>0.04945054945</v>
      </c>
      <c r="N99" s="178">
        <v>31.69</v>
      </c>
      <c r="O99" s="178">
        <v>24.99</v>
      </c>
      <c r="P99" s="179">
        <v>1.0</v>
      </c>
      <c r="Q99" s="180">
        <v>15827.0</v>
      </c>
      <c r="R99" s="155">
        <f t="shared" si="1"/>
        <v>1.268107243</v>
      </c>
      <c r="S99" s="156">
        <f t="shared" si="2"/>
        <v>0.7885768381</v>
      </c>
      <c r="T99" s="155">
        <f t="shared" si="106"/>
        <v>0.1111111111</v>
      </c>
      <c r="U99" s="76"/>
      <c r="V99" s="77"/>
      <c r="W99" s="2"/>
      <c r="X99" s="2"/>
      <c r="Y99" s="2"/>
      <c r="Z99" s="2"/>
    </row>
    <row r="100" hidden="1" outlineLevel="1">
      <c r="A100" s="56" t="str">
        <f>iferror(if(B100&gt;0,month(B100)&amp;"-"&amp;year(B100),B100),)</f>
        <v>11-2024</v>
      </c>
      <c r="B100" s="143">
        <v>45605.0</v>
      </c>
      <c r="C100" s="181" t="s">
        <v>63</v>
      </c>
      <c r="D100" s="182" t="s">
        <v>64</v>
      </c>
      <c r="E100" s="68"/>
      <c r="F100" s="164">
        <v>399.84</v>
      </c>
      <c r="G100" s="171">
        <v>16.0</v>
      </c>
      <c r="H100" s="171">
        <v>13.0</v>
      </c>
      <c r="I100" s="163">
        <f t="shared" si="102"/>
        <v>1.230769231</v>
      </c>
      <c r="J100" s="164">
        <f t="shared" si="103"/>
        <v>30.75692308</v>
      </c>
      <c r="K100" s="164">
        <f t="shared" si="104"/>
        <v>24.99</v>
      </c>
      <c r="L100" s="165">
        <v>242.0</v>
      </c>
      <c r="M100" s="155">
        <f t="shared" si="105"/>
        <v>0.06611570248</v>
      </c>
      <c r="N100" s="183">
        <v>35.77</v>
      </c>
      <c r="O100" s="183">
        <v>172.93</v>
      </c>
      <c r="P100" s="270">
        <v>6.0</v>
      </c>
      <c r="Q100" s="185">
        <v>8278.0</v>
      </c>
      <c r="R100" s="155">
        <f t="shared" si="1"/>
        <v>0.206846701</v>
      </c>
      <c r="S100" s="156">
        <f t="shared" si="2"/>
        <v>4.834498183</v>
      </c>
      <c r="T100" s="155">
        <f t="shared" si="106"/>
        <v>0.4324979992</v>
      </c>
      <c r="U100" s="76"/>
      <c r="V100" s="77"/>
      <c r="W100" s="2"/>
      <c r="X100" s="2"/>
      <c r="Y100" s="2"/>
      <c r="Z100" s="2"/>
    </row>
    <row r="101" collapsed="1">
      <c r="A101" s="101" t="s">
        <v>138</v>
      </c>
      <c r="B101" s="79"/>
      <c r="C101" s="79"/>
      <c r="D101" s="79"/>
      <c r="E101" s="80"/>
      <c r="F101" s="190">
        <f t="shared" ref="F101:H101" si="107">SUM(F96:F100)</f>
        <v>3325.73</v>
      </c>
      <c r="G101" s="191">
        <f t="shared" si="107"/>
        <v>128</v>
      </c>
      <c r="H101" s="191">
        <f t="shared" si="107"/>
        <v>109</v>
      </c>
      <c r="I101" s="192">
        <f t="shared" si="102"/>
        <v>1.174311927</v>
      </c>
      <c r="J101" s="193">
        <f>F101/G101</f>
        <v>25.98226563</v>
      </c>
      <c r="K101" s="193">
        <f>J101/I101</f>
        <v>22.12552307</v>
      </c>
      <c r="L101" s="194">
        <f>SUM(L96:L100)</f>
        <v>1437</v>
      </c>
      <c r="M101" s="195">
        <f t="shared" si="105"/>
        <v>0.08907446068</v>
      </c>
      <c r="N101" s="190">
        <f t="shared" ref="N101:P101" si="108">SUM(N96:N100)</f>
        <v>830.77</v>
      </c>
      <c r="O101" s="190">
        <f t="shared" si="108"/>
        <v>2418.07</v>
      </c>
      <c r="P101" s="196">
        <f t="shared" si="108"/>
        <v>78</v>
      </c>
      <c r="Q101" s="197">
        <f>sum(Q96:Q100)</f>
        <v>220997</v>
      </c>
      <c r="R101" s="195">
        <f t="shared" si="1"/>
        <v>0.3435673905</v>
      </c>
      <c r="S101" s="198">
        <f t="shared" si="2"/>
        <v>2.91063712</v>
      </c>
      <c r="T101" s="199">
        <f t="shared" si="106"/>
        <v>0.7270794683</v>
      </c>
      <c r="U101" s="80" t="str">
        <f>iferror((F101-#REF!)/F101,)</f>
        <v/>
      </c>
      <c r="V101" s="90" t="str">
        <f>iferror((H101-#REF!)/H101,)</f>
        <v/>
      </c>
      <c r="W101" s="2"/>
      <c r="X101" s="2"/>
      <c r="Y101" s="2"/>
      <c r="Z101" s="2"/>
    </row>
    <row r="102" hidden="1" outlineLevel="1">
      <c r="A102" s="56" t="str">
        <f>iferror(if(B102&gt;0,month(B102)&amp;"-"&amp;year(B102),B102),)</f>
        <v>11-2024</v>
      </c>
      <c r="B102" s="143">
        <v>45606.0</v>
      </c>
      <c r="C102" s="144"/>
      <c r="D102" s="145" t="s">
        <v>60</v>
      </c>
      <c r="E102" s="58"/>
      <c r="F102" s="146"/>
      <c r="G102" s="147"/>
      <c r="H102" s="147"/>
      <c r="I102" s="148"/>
      <c r="J102" s="149"/>
      <c r="K102" s="149"/>
      <c r="L102" s="150"/>
      <c r="M102" s="151"/>
      <c r="N102" s="152">
        <v>536.63</v>
      </c>
      <c r="O102" s="152">
        <v>1572.39</v>
      </c>
      <c r="P102" s="153">
        <v>58.0</v>
      </c>
      <c r="Q102" s="154">
        <v>146321.0</v>
      </c>
      <c r="R102" s="155">
        <f t="shared" si="1"/>
        <v>0.341283015</v>
      </c>
      <c r="S102" s="156">
        <f t="shared" si="2"/>
        <v>2.930119449</v>
      </c>
      <c r="T102" s="155" t="str">
        <f t="shared" si="106"/>
        <v>#DIV/0!</v>
      </c>
      <c r="U102" s="76"/>
      <c r="V102" s="77"/>
      <c r="W102" s="2"/>
      <c r="X102" s="2"/>
      <c r="Y102" s="2"/>
      <c r="Z102" s="2"/>
    </row>
    <row r="103" hidden="1" outlineLevel="1">
      <c r="A103" s="157"/>
      <c r="B103" s="158"/>
      <c r="C103" s="159" t="s">
        <v>12</v>
      </c>
      <c r="D103" s="160" t="s">
        <v>13</v>
      </c>
      <c r="E103" s="58"/>
      <c r="F103" s="161">
        <v>390.83</v>
      </c>
      <c r="G103" s="162">
        <v>17.0</v>
      </c>
      <c r="H103" s="162">
        <v>14.0</v>
      </c>
      <c r="I103" s="163">
        <f t="shared" ref="I103:I107" si="109">G103/H103</f>
        <v>1.214285714</v>
      </c>
      <c r="J103" s="164">
        <f t="shared" ref="J103:J106" si="110">F103/H103</f>
        <v>27.91642857</v>
      </c>
      <c r="K103" s="164">
        <f t="shared" ref="K103:K106" si="111">F103/G103</f>
        <v>22.99</v>
      </c>
      <c r="L103" s="165">
        <v>229.0</v>
      </c>
      <c r="M103" s="155">
        <f t="shared" ref="M103:M107" si="112">G103/L103</f>
        <v>0.07423580786</v>
      </c>
      <c r="N103" s="166">
        <v>11.95</v>
      </c>
      <c r="O103" s="166">
        <v>114.95</v>
      </c>
      <c r="P103" s="167">
        <v>3.0</v>
      </c>
      <c r="Q103" s="168">
        <v>2996.0</v>
      </c>
      <c r="R103" s="155">
        <f t="shared" si="1"/>
        <v>0.1039582427</v>
      </c>
      <c r="S103" s="156">
        <f t="shared" si="2"/>
        <v>9.619246862</v>
      </c>
      <c r="T103" s="155" t="str">
        <f>#REF!/#REF!</f>
        <v>#REF!</v>
      </c>
      <c r="U103" s="76"/>
      <c r="V103" s="77"/>
      <c r="W103" s="2"/>
      <c r="X103" s="2"/>
      <c r="Y103" s="2"/>
      <c r="Z103" s="2"/>
    </row>
    <row r="104" hidden="1" outlineLevel="1">
      <c r="A104" s="157" t="str">
        <f>iferror(if(D104&gt;0,month(D104)&amp;"-"&amp;year(D104),D104),)</f>
        <v/>
      </c>
      <c r="B104" s="158"/>
      <c r="C104" s="169" t="s">
        <v>61</v>
      </c>
      <c r="D104" s="170" t="s">
        <v>62</v>
      </c>
      <c r="E104" s="68"/>
      <c r="F104" s="164">
        <v>1862.31</v>
      </c>
      <c r="G104" s="171">
        <v>69.0</v>
      </c>
      <c r="H104" s="171">
        <v>65.0</v>
      </c>
      <c r="I104" s="163">
        <f t="shared" si="109"/>
        <v>1.061538462</v>
      </c>
      <c r="J104" s="164">
        <f t="shared" si="110"/>
        <v>28.65092308</v>
      </c>
      <c r="K104" s="164">
        <f t="shared" si="111"/>
        <v>26.99</v>
      </c>
      <c r="L104" s="165">
        <v>815.0</v>
      </c>
      <c r="M104" s="155">
        <f t="shared" si="112"/>
        <v>0.08466257669</v>
      </c>
      <c r="N104" s="172">
        <v>253.81</v>
      </c>
      <c r="O104" s="172">
        <v>647.76</v>
      </c>
      <c r="P104" s="173">
        <v>22.0</v>
      </c>
      <c r="Q104" s="174">
        <v>69572.0</v>
      </c>
      <c r="R104" s="155">
        <f t="shared" si="1"/>
        <v>0.39182722</v>
      </c>
      <c r="S104" s="156">
        <f t="shared" si="2"/>
        <v>2.552145306</v>
      </c>
      <c r="T104" s="155">
        <f t="shared" ref="T104:T108" si="113">O104/F104</f>
        <v>0.347826087</v>
      </c>
      <c r="U104" s="76"/>
      <c r="V104" s="77"/>
      <c r="W104" s="2"/>
      <c r="X104" s="2"/>
      <c r="Y104" s="2"/>
      <c r="Z104" s="2"/>
    </row>
    <row r="105" hidden="1" outlineLevel="1">
      <c r="A105" s="175"/>
      <c r="B105" s="158"/>
      <c r="C105" s="176" t="s">
        <v>14</v>
      </c>
      <c r="D105" s="177" t="s">
        <v>15</v>
      </c>
      <c r="E105" s="68"/>
      <c r="F105" s="164">
        <v>299.88</v>
      </c>
      <c r="G105" s="171">
        <v>12.0</v>
      </c>
      <c r="H105" s="171">
        <v>10.0</v>
      </c>
      <c r="I105" s="163">
        <f t="shared" si="109"/>
        <v>1.2</v>
      </c>
      <c r="J105" s="164">
        <f t="shared" si="110"/>
        <v>29.988</v>
      </c>
      <c r="K105" s="164">
        <f t="shared" si="111"/>
        <v>24.99</v>
      </c>
      <c r="L105" s="165">
        <v>217.0</v>
      </c>
      <c r="M105" s="155">
        <f t="shared" si="112"/>
        <v>0.05529953917</v>
      </c>
      <c r="N105" s="178">
        <v>52.21</v>
      </c>
      <c r="O105" s="178">
        <v>99.96</v>
      </c>
      <c r="P105" s="179">
        <v>3.0</v>
      </c>
      <c r="Q105" s="180">
        <v>17397.0</v>
      </c>
      <c r="R105" s="155">
        <f t="shared" si="1"/>
        <v>0.5223089236</v>
      </c>
      <c r="S105" s="156">
        <f t="shared" si="2"/>
        <v>1.914575752</v>
      </c>
      <c r="T105" s="155">
        <f t="shared" si="113"/>
        <v>0.3333333333</v>
      </c>
      <c r="U105" s="76"/>
      <c r="V105" s="77"/>
      <c r="W105" s="2"/>
      <c r="X105" s="2"/>
      <c r="Y105" s="2"/>
      <c r="Z105" s="2"/>
    </row>
    <row r="106" hidden="1" outlineLevel="1">
      <c r="A106" s="56" t="str">
        <f>iferror(if(B106&gt;0,month(B106)&amp;"-"&amp;year(B106),B106),)</f>
        <v>11-2024</v>
      </c>
      <c r="B106" s="143">
        <v>45612.0</v>
      </c>
      <c r="C106" s="181" t="s">
        <v>63</v>
      </c>
      <c r="D106" s="182" t="s">
        <v>64</v>
      </c>
      <c r="E106" s="68"/>
      <c r="F106" s="164">
        <v>599.76</v>
      </c>
      <c r="G106" s="171">
        <v>25.0</v>
      </c>
      <c r="H106" s="171">
        <v>20.0</v>
      </c>
      <c r="I106" s="163">
        <f t="shared" si="109"/>
        <v>1.25</v>
      </c>
      <c r="J106" s="164">
        <f t="shared" si="110"/>
        <v>29.988</v>
      </c>
      <c r="K106" s="164">
        <f t="shared" si="111"/>
        <v>23.9904</v>
      </c>
      <c r="L106" s="165">
        <v>341.0</v>
      </c>
      <c r="M106" s="155">
        <f t="shared" si="112"/>
        <v>0.07331378299</v>
      </c>
      <c r="N106" s="183">
        <v>60.25</v>
      </c>
      <c r="O106" s="183">
        <v>74.97</v>
      </c>
      <c r="P106" s="270">
        <v>3.0</v>
      </c>
      <c r="Q106" s="185">
        <v>17091.0</v>
      </c>
      <c r="R106" s="155">
        <f t="shared" si="1"/>
        <v>0.8036547953</v>
      </c>
      <c r="S106" s="156">
        <f t="shared" si="2"/>
        <v>1.244315353</v>
      </c>
      <c r="T106" s="155">
        <f t="shared" si="113"/>
        <v>0.125</v>
      </c>
      <c r="U106" s="76"/>
      <c r="V106" s="77"/>
      <c r="W106" s="2"/>
      <c r="X106" s="2"/>
      <c r="Y106" s="2"/>
      <c r="Z106" s="2"/>
    </row>
    <row r="107" collapsed="1">
      <c r="A107" s="101" t="s">
        <v>139</v>
      </c>
      <c r="B107" s="79"/>
      <c r="C107" s="79"/>
      <c r="D107" s="79"/>
      <c r="E107" s="80"/>
      <c r="F107" s="190">
        <f t="shared" ref="F107:H107" si="114">SUM(F102:F106)</f>
        <v>3152.78</v>
      </c>
      <c r="G107" s="191">
        <f t="shared" si="114"/>
        <v>123</v>
      </c>
      <c r="H107" s="191">
        <f t="shared" si="114"/>
        <v>109</v>
      </c>
      <c r="I107" s="192">
        <f t="shared" si="109"/>
        <v>1.128440367</v>
      </c>
      <c r="J107" s="193">
        <f>F107/G107</f>
        <v>25.63235772</v>
      </c>
      <c r="K107" s="193">
        <f>J107/I107</f>
        <v>22.71485359</v>
      </c>
      <c r="L107" s="194">
        <f>SUM(L102:L106)</f>
        <v>1602</v>
      </c>
      <c r="M107" s="195">
        <f t="shared" si="112"/>
        <v>0.07677902622</v>
      </c>
      <c r="N107" s="190">
        <f t="shared" ref="N107:P107" si="115">SUM(N102:N106)</f>
        <v>914.85</v>
      </c>
      <c r="O107" s="190">
        <f t="shared" si="115"/>
        <v>2510.03</v>
      </c>
      <c r="P107" s="196">
        <f t="shared" si="115"/>
        <v>89</v>
      </c>
      <c r="Q107" s="197">
        <f>sum(Q102:Q106)</f>
        <v>253377</v>
      </c>
      <c r="R107" s="195">
        <f t="shared" si="1"/>
        <v>0.3644777154</v>
      </c>
      <c r="S107" s="198">
        <f t="shared" si="2"/>
        <v>2.743651965</v>
      </c>
      <c r="T107" s="199">
        <f t="shared" si="113"/>
        <v>0.7961323023</v>
      </c>
      <c r="U107" s="80" t="str">
        <f>iferror((F107-#REF!)/F107,)</f>
        <v/>
      </c>
      <c r="V107" s="90" t="str">
        <f>iferror((H107-#REF!)/H107,)</f>
        <v/>
      </c>
      <c r="W107" s="2"/>
      <c r="X107" s="2"/>
      <c r="Y107" s="2"/>
      <c r="Z107" s="2"/>
    </row>
    <row r="108" hidden="1" outlineLevel="1">
      <c r="A108" s="56" t="str">
        <f>iferror(if(B108&gt;0,month(B108)&amp;"-"&amp;year(B108),B108),)</f>
        <v>11-2024</v>
      </c>
      <c r="B108" s="143">
        <v>45613.0</v>
      </c>
      <c r="C108" s="144"/>
      <c r="D108" s="145" t="s">
        <v>60</v>
      </c>
      <c r="E108" s="58"/>
      <c r="F108" s="146"/>
      <c r="G108" s="147"/>
      <c r="H108" s="147"/>
      <c r="I108" s="148"/>
      <c r="J108" s="149"/>
      <c r="K108" s="149"/>
      <c r="L108" s="150"/>
      <c r="M108" s="151"/>
      <c r="N108" s="152">
        <v>408.43</v>
      </c>
      <c r="O108" s="152">
        <v>1017.6</v>
      </c>
      <c r="P108" s="153">
        <v>33.0</v>
      </c>
      <c r="Q108" s="154">
        <v>109962.0</v>
      </c>
      <c r="R108" s="155">
        <f t="shared" si="1"/>
        <v>0.4013659591</v>
      </c>
      <c r="S108" s="156">
        <f t="shared" si="2"/>
        <v>2.49149181</v>
      </c>
      <c r="T108" s="155" t="str">
        <f t="shared" si="113"/>
        <v>#DIV/0!</v>
      </c>
      <c r="U108" s="76"/>
      <c r="V108" s="77"/>
      <c r="W108" s="2"/>
      <c r="X108" s="2"/>
      <c r="Y108" s="2"/>
      <c r="Z108" s="2"/>
    </row>
    <row r="109" hidden="1" outlineLevel="1">
      <c r="A109" s="157"/>
      <c r="B109" s="158"/>
      <c r="C109" s="159" t="s">
        <v>12</v>
      </c>
      <c r="D109" s="160" t="s">
        <v>13</v>
      </c>
      <c r="E109" s="58"/>
      <c r="F109" s="161">
        <v>367.84</v>
      </c>
      <c r="G109" s="162">
        <v>16.0</v>
      </c>
      <c r="H109" s="162">
        <v>14.0</v>
      </c>
      <c r="I109" s="163">
        <f t="shared" ref="I109:I113" si="116">G109/H109</f>
        <v>1.142857143</v>
      </c>
      <c r="J109" s="164">
        <f t="shared" ref="J109:J112" si="117">F109/H109</f>
        <v>26.27428571</v>
      </c>
      <c r="K109" s="164">
        <f t="shared" ref="K109:K112" si="118">F109/G109</f>
        <v>22.99</v>
      </c>
      <c r="L109" s="165">
        <v>203.0</v>
      </c>
      <c r="M109" s="155">
        <f t="shared" ref="M109:M113" si="119">G109/L109</f>
        <v>0.07881773399</v>
      </c>
      <c r="N109" s="166">
        <v>18.86</v>
      </c>
      <c r="O109" s="166">
        <v>68.97</v>
      </c>
      <c r="P109" s="167">
        <v>3.0</v>
      </c>
      <c r="Q109" s="168">
        <v>2822.0</v>
      </c>
      <c r="R109" s="155">
        <f t="shared" si="1"/>
        <v>0.2734522256</v>
      </c>
      <c r="S109" s="156">
        <f t="shared" si="2"/>
        <v>3.656945917</v>
      </c>
      <c r="T109" s="155" t="str">
        <f>#REF!/#REF!</f>
        <v>#REF!</v>
      </c>
      <c r="U109" s="76"/>
      <c r="V109" s="77"/>
      <c r="W109" s="2"/>
      <c r="X109" s="2"/>
      <c r="Y109" s="2"/>
      <c r="Z109" s="2"/>
    </row>
    <row r="110" hidden="1" outlineLevel="1">
      <c r="A110" s="157" t="str">
        <f>iferror(if(D110&gt;0,month(D110)&amp;"-"&amp;year(D110),D110),)</f>
        <v/>
      </c>
      <c r="B110" s="158"/>
      <c r="C110" s="169" t="s">
        <v>61</v>
      </c>
      <c r="D110" s="170" t="s">
        <v>62</v>
      </c>
      <c r="E110" s="68"/>
      <c r="F110" s="164">
        <v>1349.5</v>
      </c>
      <c r="G110" s="171">
        <v>50.0</v>
      </c>
      <c r="H110" s="171">
        <v>43.0</v>
      </c>
      <c r="I110" s="163">
        <f t="shared" si="116"/>
        <v>1.162790698</v>
      </c>
      <c r="J110" s="164">
        <f t="shared" si="117"/>
        <v>31.38372093</v>
      </c>
      <c r="K110" s="164">
        <f t="shared" si="118"/>
        <v>26.99</v>
      </c>
      <c r="L110" s="165">
        <v>522.0</v>
      </c>
      <c r="M110" s="155">
        <f t="shared" si="119"/>
        <v>0.09578544061</v>
      </c>
      <c r="N110" s="172">
        <v>133.81</v>
      </c>
      <c r="O110" s="172">
        <v>242.91</v>
      </c>
      <c r="P110" s="173">
        <v>7.0</v>
      </c>
      <c r="Q110" s="174">
        <v>40068.0</v>
      </c>
      <c r="R110" s="155">
        <f t="shared" si="1"/>
        <v>0.5508624593</v>
      </c>
      <c r="S110" s="156">
        <f t="shared" si="2"/>
        <v>1.815335177</v>
      </c>
      <c r="T110" s="155">
        <f t="shared" ref="T110:T114" si="120">O110/F110</f>
        <v>0.18</v>
      </c>
      <c r="U110" s="76"/>
      <c r="V110" s="77"/>
      <c r="W110" s="2"/>
      <c r="X110" s="2"/>
      <c r="Y110" s="2"/>
      <c r="Z110" s="2"/>
    </row>
    <row r="111" hidden="1" outlineLevel="1">
      <c r="A111" s="175"/>
      <c r="B111" s="158"/>
      <c r="C111" s="176" t="s">
        <v>14</v>
      </c>
      <c r="D111" s="177" t="s">
        <v>15</v>
      </c>
      <c r="E111" s="68"/>
      <c r="F111" s="164">
        <v>349.86</v>
      </c>
      <c r="G111" s="171">
        <v>14.0</v>
      </c>
      <c r="H111" s="171">
        <v>11.0</v>
      </c>
      <c r="I111" s="163">
        <f t="shared" si="116"/>
        <v>1.272727273</v>
      </c>
      <c r="J111" s="164">
        <f t="shared" si="117"/>
        <v>31.80545455</v>
      </c>
      <c r="K111" s="164">
        <f t="shared" si="118"/>
        <v>24.99</v>
      </c>
      <c r="L111" s="165">
        <v>174.0</v>
      </c>
      <c r="M111" s="155">
        <f t="shared" si="119"/>
        <v>0.08045977011</v>
      </c>
      <c r="N111" s="178">
        <v>31.85</v>
      </c>
      <c r="O111" s="178">
        <v>99.96</v>
      </c>
      <c r="P111" s="179">
        <v>3.0</v>
      </c>
      <c r="Q111" s="180">
        <v>7708.0</v>
      </c>
      <c r="R111" s="155">
        <f t="shared" si="1"/>
        <v>0.318627451</v>
      </c>
      <c r="S111" s="156">
        <f t="shared" si="2"/>
        <v>3.138461538</v>
      </c>
      <c r="T111" s="155">
        <f t="shared" si="120"/>
        <v>0.2857142857</v>
      </c>
      <c r="U111" s="76"/>
      <c r="V111" s="77"/>
      <c r="W111" s="2"/>
      <c r="X111" s="2"/>
      <c r="Y111" s="2"/>
      <c r="Z111" s="2"/>
    </row>
    <row r="112" hidden="1" outlineLevel="1">
      <c r="A112" s="56" t="str">
        <f>iferror(if(B112&gt;0,month(B112)&amp;"-"&amp;year(B112),B112),)</f>
        <v>11-2024</v>
      </c>
      <c r="B112" s="143">
        <v>45619.0</v>
      </c>
      <c r="C112" s="181" t="s">
        <v>63</v>
      </c>
      <c r="D112" s="182" t="s">
        <v>64</v>
      </c>
      <c r="E112" s="68"/>
      <c r="F112" s="164">
        <v>399.84</v>
      </c>
      <c r="G112" s="171">
        <v>17.0</v>
      </c>
      <c r="H112" s="171">
        <v>14.0</v>
      </c>
      <c r="I112" s="163">
        <f t="shared" si="116"/>
        <v>1.214285714</v>
      </c>
      <c r="J112" s="164">
        <f t="shared" si="117"/>
        <v>28.56</v>
      </c>
      <c r="K112" s="164">
        <f t="shared" si="118"/>
        <v>23.52</v>
      </c>
      <c r="L112" s="165">
        <v>262.0</v>
      </c>
      <c r="M112" s="155">
        <f t="shared" si="119"/>
        <v>0.06488549618</v>
      </c>
      <c r="N112" s="183">
        <v>44.67</v>
      </c>
      <c r="O112" s="183">
        <v>70.97</v>
      </c>
      <c r="P112" s="270">
        <v>3.0</v>
      </c>
      <c r="Q112" s="185">
        <v>12733.0</v>
      </c>
      <c r="R112" s="155">
        <f t="shared" si="1"/>
        <v>0.6294208821</v>
      </c>
      <c r="S112" s="156">
        <f t="shared" si="2"/>
        <v>1.588762033</v>
      </c>
      <c r="T112" s="155">
        <f t="shared" si="120"/>
        <v>0.1774959984</v>
      </c>
      <c r="U112" s="76"/>
      <c r="V112" s="77"/>
      <c r="W112" s="2"/>
      <c r="X112" s="2"/>
      <c r="Y112" s="2"/>
      <c r="Z112" s="2"/>
    </row>
    <row r="113" collapsed="1">
      <c r="A113" s="101" t="s">
        <v>140</v>
      </c>
      <c r="B113" s="79"/>
      <c r="C113" s="79"/>
      <c r="D113" s="79"/>
      <c r="E113" s="80"/>
      <c r="F113" s="190">
        <f t="shared" ref="F113:H113" si="121">SUM(F108:F112)</f>
        <v>2467.04</v>
      </c>
      <c r="G113" s="191">
        <f t="shared" si="121"/>
        <v>97</v>
      </c>
      <c r="H113" s="191">
        <f t="shared" si="121"/>
        <v>82</v>
      </c>
      <c r="I113" s="192">
        <f t="shared" si="116"/>
        <v>1.182926829</v>
      </c>
      <c r="J113" s="193">
        <f>F113/G113</f>
        <v>25.43340206</v>
      </c>
      <c r="K113" s="193">
        <f>J113/I113</f>
        <v>21.50040174</v>
      </c>
      <c r="L113" s="194">
        <f>SUM(L108:L112)</f>
        <v>1161</v>
      </c>
      <c r="M113" s="195">
        <f t="shared" si="119"/>
        <v>0.08354866494</v>
      </c>
      <c r="N113" s="190">
        <f t="shared" ref="N113:P113" si="122">SUM(N108:N112)</f>
        <v>637.62</v>
      </c>
      <c r="O113" s="190">
        <f t="shared" si="122"/>
        <v>1500.41</v>
      </c>
      <c r="P113" s="196">
        <f t="shared" si="122"/>
        <v>49</v>
      </c>
      <c r="Q113" s="197">
        <f>sum(Q108:Q112)</f>
        <v>173293</v>
      </c>
      <c r="R113" s="195">
        <f t="shared" si="1"/>
        <v>0.4249638432</v>
      </c>
      <c r="S113" s="198">
        <f t="shared" si="2"/>
        <v>2.353141369</v>
      </c>
      <c r="T113" s="199">
        <f t="shared" si="120"/>
        <v>0.6081822751</v>
      </c>
      <c r="U113" s="80" t="str">
        <f>iferror((F113-#REF!)/F113,)</f>
        <v/>
      </c>
      <c r="V113" s="90" t="str">
        <f>iferror((H113-#REF!)/H113,)</f>
        <v/>
      </c>
      <c r="W113" s="2"/>
      <c r="X113" s="2"/>
      <c r="Y113" s="2"/>
      <c r="Z113" s="2"/>
    </row>
    <row r="114" hidden="1" outlineLevel="1">
      <c r="A114" s="56" t="str">
        <f>iferror(if(B114&gt;0,month(B114)&amp;"-"&amp;year(B114),B114),)</f>
        <v>11-2024</v>
      </c>
      <c r="B114" s="143">
        <v>45620.0</v>
      </c>
      <c r="C114" s="144"/>
      <c r="D114" s="145" t="s">
        <v>60</v>
      </c>
      <c r="E114" s="58"/>
      <c r="F114" s="146"/>
      <c r="G114" s="147"/>
      <c r="H114" s="147"/>
      <c r="I114" s="148"/>
      <c r="J114" s="149"/>
      <c r="K114" s="149"/>
      <c r="L114" s="150"/>
      <c r="M114" s="151"/>
      <c r="N114" s="152">
        <v>242.23</v>
      </c>
      <c r="O114" s="152">
        <v>455.82</v>
      </c>
      <c r="P114" s="153">
        <v>16.0</v>
      </c>
      <c r="Q114" s="154">
        <v>71690.0</v>
      </c>
      <c r="R114" s="155">
        <f t="shared" si="1"/>
        <v>0.5314159098</v>
      </c>
      <c r="S114" s="156">
        <f t="shared" si="2"/>
        <v>1.881765264</v>
      </c>
      <c r="T114" s="155" t="str">
        <f t="shared" si="120"/>
        <v>#DIV/0!</v>
      </c>
      <c r="U114" s="76"/>
      <c r="V114" s="77"/>
      <c r="W114" s="2"/>
      <c r="X114" s="2"/>
      <c r="Y114" s="2"/>
      <c r="Z114" s="2"/>
    </row>
    <row r="115" hidden="1" outlineLevel="1">
      <c r="A115" s="157"/>
      <c r="B115" s="158"/>
      <c r="C115" s="159" t="s">
        <v>12</v>
      </c>
      <c r="D115" s="160" t="s">
        <v>13</v>
      </c>
      <c r="E115" s="58"/>
      <c r="F115" s="161">
        <v>275.88</v>
      </c>
      <c r="G115" s="162">
        <v>12.0</v>
      </c>
      <c r="H115" s="162">
        <v>11.0</v>
      </c>
      <c r="I115" s="163">
        <f t="shared" ref="I115:I119" si="123">G115/H115</f>
        <v>1.090909091</v>
      </c>
      <c r="J115" s="164">
        <f t="shared" ref="J115:J118" si="124">F115/H115</f>
        <v>25.08</v>
      </c>
      <c r="K115" s="164">
        <f t="shared" ref="K115:K118" si="125">F115/G115</f>
        <v>22.99</v>
      </c>
      <c r="L115" s="165">
        <v>146.0</v>
      </c>
      <c r="M115" s="155">
        <f t="shared" ref="M115:M119" si="126">G115/L115</f>
        <v>0.08219178082</v>
      </c>
      <c r="N115" s="166">
        <v>17.24</v>
      </c>
      <c r="O115" s="166">
        <v>24.99</v>
      </c>
      <c r="P115" s="167">
        <v>1.0</v>
      </c>
      <c r="Q115" s="168">
        <v>2775.0</v>
      </c>
      <c r="R115" s="155">
        <f t="shared" si="1"/>
        <v>0.6898759504</v>
      </c>
      <c r="S115" s="156">
        <f t="shared" si="2"/>
        <v>1.449535963</v>
      </c>
      <c r="T115" s="155" t="str">
        <f>#REF!/#REF!</f>
        <v>#REF!</v>
      </c>
      <c r="U115" s="76"/>
      <c r="V115" s="77"/>
      <c r="W115" s="2"/>
      <c r="X115" s="2"/>
      <c r="Y115" s="2"/>
      <c r="Z115" s="2"/>
    </row>
    <row r="116" hidden="1" outlineLevel="1">
      <c r="A116" s="157" t="str">
        <f>iferror(if(D116&gt;0,month(D116)&amp;"-"&amp;year(D116),D116),)</f>
        <v/>
      </c>
      <c r="B116" s="158"/>
      <c r="C116" s="169" t="s">
        <v>61</v>
      </c>
      <c r="D116" s="170" t="s">
        <v>62</v>
      </c>
      <c r="E116" s="68"/>
      <c r="F116" s="164">
        <v>1106.59</v>
      </c>
      <c r="G116" s="171">
        <v>41.0</v>
      </c>
      <c r="H116" s="171">
        <v>37.0</v>
      </c>
      <c r="I116" s="163">
        <f t="shared" si="123"/>
        <v>1.108108108</v>
      </c>
      <c r="J116" s="164">
        <f t="shared" si="124"/>
        <v>29.90783784</v>
      </c>
      <c r="K116" s="164">
        <f t="shared" si="125"/>
        <v>26.99</v>
      </c>
      <c r="L116" s="165">
        <v>404.0</v>
      </c>
      <c r="M116" s="155">
        <f t="shared" si="126"/>
        <v>0.1014851485</v>
      </c>
      <c r="N116" s="172">
        <v>110.4</v>
      </c>
      <c r="O116" s="172">
        <v>161.94</v>
      </c>
      <c r="P116" s="173">
        <v>6.0</v>
      </c>
      <c r="Q116" s="174">
        <v>26363.0</v>
      </c>
      <c r="R116" s="155">
        <f t="shared" si="1"/>
        <v>0.6817339755</v>
      </c>
      <c r="S116" s="156">
        <f t="shared" si="2"/>
        <v>1.466847826</v>
      </c>
      <c r="T116" s="155">
        <f t="shared" ref="T116:T120" si="127">O116/F116</f>
        <v>0.1463414634</v>
      </c>
      <c r="U116" s="76"/>
      <c r="V116" s="77"/>
      <c r="W116" s="2"/>
      <c r="X116" s="2"/>
      <c r="Y116" s="2"/>
      <c r="Z116" s="2"/>
    </row>
    <row r="117" hidden="1" outlineLevel="1">
      <c r="A117" s="175"/>
      <c r="B117" s="158"/>
      <c r="C117" s="176" t="s">
        <v>14</v>
      </c>
      <c r="D117" s="177" t="s">
        <v>15</v>
      </c>
      <c r="E117" s="68"/>
      <c r="F117" s="164">
        <v>99.96</v>
      </c>
      <c r="G117" s="171">
        <v>4.0</v>
      </c>
      <c r="H117" s="171">
        <v>4.0</v>
      </c>
      <c r="I117" s="163">
        <f t="shared" si="123"/>
        <v>1</v>
      </c>
      <c r="J117" s="164">
        <f t="shared" si="124"/>
        <v>24.99</v>
      </c>
      <c r="K117" s="164">
        <f t="shared" si="125"/>
        <v>24.99</v>
      </c>
      <c r="L117" s="165">
        <v>125.0</v>
      </c>
      <c r="M117" s="155">
        <f t="shared" si="126"/>
        <v>0.032</v>
      </c>
      <c r="N117" s="178">
        <v>41.93</v>
      </c>
      <c r="O117" s="178">
        <v>49.98</v>
      </c>
      <c r="P117" s="179">
        <v>2.0</v>
      </c>
      <c r="Q117" s="180">
        <v>8691.0</v>
      </c>
      <c r="R117" s="155">
        <f t="shared" si="1"/>
        <v>0.8389355742</v>
      </c>
      <c r="S117" s="156">
        <f t="shared" si="2"/>
        <v>1.191986644</v>
      </c>
      <c r="T117" s="155">
        <f t="shared" si="127"/>
        <v>0.5</v>
      </c>
      <c r="U117" s="76"/>
      <c r="V117" s="77"/>
      <c r="W117" s="2"/>
      <c r="X117" s="2"/>
      <c r="Y117" s="2"/>
      <c r="Z117" s="2"/>
    </row>
    <row r="118" hidden="1" outlineLevel="1">
      <c r="A118" s="56" t="str">
        <f>iferror(if(B118&gt;0,month(B118)&amp;"-"&amp;year(B118),B118),)</f>
        <v>11-2024</v>
      </c>
      <c r="B118" s="143">
        <v>45626.0</v>
      </c>
      <c r="C118" s="181" t="s">
        <v>63</v>
      </c>
      <c r="D118" s="182" t="s">
        <v>64</v>
      </c>
      <c r="E118" s="68"/>
      <c r="F118" s="164">
        <v>299.88</v>
      </c>
      <c r="G118" s="171">
        <v>12.0</v>
      </c>
      <c r="H118" s="171">
        <v>9.0</v>
      </c>
      <c r="I118" s="163">
        <f t="shared" si="123"/>
        <v>1.333333333</v>
      </c>
      <c r="J118" s="164">
        <f t="shared" si="124"/>
        <v>33.32</v>
      </c>
      <c r="K118" s="164">
        <f t="shared" si="125"/>
        <v>24.99</v>
      </c>
      <c r="L118" s="165">
        <v>186.0</v>
      </c>
      <c r="M118" s="155">
        <f t="shared" si="126"/>
        <v>0.06451612903</v>
      </c>
      <c r="N118" s="183">
        <v>17.21</v>
      </c>
      <c r="O118" s="183">
        <v>24.99</v>
      </c>
      <c r="P118" s="270">
        <v>1.0</v>
      </c>
      <c r="Q118" s="185">
        <v>5408.0</v>
      </c>
      <c r="R118" s="155">
        <f t="shared" si="1"/>
        <v>0.6886754702</v>
      </c>
      <c r="S118" s="156">
        <f t="shared" si="2"/>
        <v>1.452062754</v>
      </c>
      <c r="T118" s="155">
        <f t="shared" si="127"/>
        <v>0.08333333333</v>
      </c>
      <c r="U118" s="76"/>
      <c r="V118" s="77"/>
      <c r="W118" s="2"/>
      <c r="X118" s="2"/>
      <c r="Y118" s="2"/>
      <c r="Z118" s="2"/>
    </row>
    <row r="119" collapsed="1">
      <c r="A119" s="101" t="s">
        <v>141</v>
      </c>
      <c r="B119" s="79"/>
      <c r="C119" s="79"/>
      <c r="D119" s="79"/>
      <c r="E119" s="80"/>
      <c r="F119" s="190">
        <f t="shared" ref="F119:H119" si="128">SUM(F114:F118)</f>
        <v>1782.31</v>
      </c>
      <c r="G119" s="191">
        <f t="shared" si="128"/>
        <v>69</v>
      </c>
      <c r="H119" s="191">
        <f t="shared" si="128"/>
        <v>61</v>
      </c>
      <c r="I119" s="192">
        <f t="shared" si="123"/>
        <v>1.131147541</v>
      </c>
      <c r="J119" s="193">
        <f>F119/G119</f>
        <v>25.83057971</v>
      </c>
      <c r="K119" s="193">
        <f>J119/I119</f>
        <v>22.83572989</v>
      </c>
      <c r="L119" s="194">
        <f>SUM(L114:L118)</f>
        <v>861</v>
      </c>
      <c r="M119" s="195">
        <f t="shared" si="126"/>
        <v>0.08013937282</v>
      </c>
      <c r="N119" s="190">
        <f t="shared" ref="N119:P119" si="129">SUM(N114:N118)</f>
        <v>429.01</v>
      </c>
      <c r="O119" s="190">
        <f t="shared" si="129"/>
        <v>717.72</v>
      </c>
      <c r="P119" s="196">
        <f t="shared" si="129"/>
        <v>26</v>
      </c>
      <c r="Q119" s="197">
        <f>sum(Q114:Q118)</f>
        <v>114927</v>
      </c>
      <c r="R119" s="195">
        <f t="shared" si="1"/>
        <v>0.5977400658</v>
      </c>
      <c r="S119" s="198">
        <f t="shared" si="2"/>
        <v>1.672967996</v>
      </c>
      <c r="T119" s="199">
        <f t="shared" si="127"/>
        <v>0.4026908899</v>
      </c>
      <c r="U119" s="80" t="str">
        <f>iferror((F119-#REF!)/F119,)</f>
        <v/>
      </c>
      <c r="V119" s="90" t="str">
        <f>iferror((H119-#REF!)/H119,)</f>
        <v/>
      </c>
      <c r="W119" s="2"/>
      <c r="X119" s="2"/>
      <c r="Y119" s="2"/>
      <c r="Z119" s="2"/>
    </row>
    <row r="120" hidden="1" outlineLevel="1">
      <c r="A120" s="56" t="str">
        <f>iferror(if(B120&gt;0,month(B120)&amp;"-"&amp;year(B120),B120),)</f>
        <v>12-2024</v>
      </c>
      <c r="B120" s="143">
        <v>45627.0</v>
      </c>
      <c r="C120" s="144"/>
      <c r="D120" s="145" t="s">
        <v>60</v>
      </c>
      <c r="E120" s="58"/>
      <c r="F120" s="146"/>
      <c r="G120" s="147"/>
      <c r="H120" s="147"/>
      <c r="I120" s="148"/>
      <c r="J120" s="149"/>
      <c r="K120" s="149"/>
      <c r="L120" s="150"/>
      <c r="M120" s="151"/>
      <c r="N120" s="152">
        <v>473.15</v>
      </c>
      <c r="O120" s="152">
        <v>927.64</v>
      </c>
      <c r="P120" s="153">
        <v>34.0</v>
      </c>
      <c r="Q120" s="154">
        <v>148152.0</v>
      </c>
      <c r="R120" s="155">
        <f t="shared" si="1"/>
        <v>0.510057781</v>
      </c>
      <c r="S120" s="156">
        <f t="shared" si="2"/>
        <v>1.96056219</v>
      </c>
      <c r="T120" s="155" t="str">
        <f t="shared" si="127"/>
        <v>#DIV/0!</v>
      </c>
      <c r="U120" s="76"/>
      <c r="V120" s="77"/>
      <c r="W120" s="2"/>
      <c r="X120" s="2"/>
      <c r="Y120" s="2"/>
      <c r="Z120" s="2"/>
    </row>
    <row r="121" hidden="1" outlineLevel="1">
      <c r="A121" s="157"/>
      <c r="B121" s="158"/>
      <c r="C121" s="159" t="s">
        <v>12</v>
      </c>
      <c r="D121" s="160" t="s">
        <v>13</v>
      </c>
      <c r="E121" s="58"/>
      <c r="F121" s="161">
        <v>206.91</v>
      </c>
      <c r="G121" s="162">
        <v>9.0</v>
      </c>
      <c r="H121" s="162">
        <v>9.0</v>
      </c>
      <c r="I121" s="163">
        <f t="shared" ref="I121:I125" si="130">G121/H121</f>
        <v>1</v>
      </c>
      <c r="J121" s="164">
        <f t="shared" ref="J121:J124" si="131">F121/H121</f>
        <v>22.99</v>
      </c>
      <c r="K121" s="164">
        <f t="shared" ref="K121:K124" si="132">F121/G121</f>
        <v>22.99</v>
      </c>
      <c r="L121" s="165">
        <v>272.0</v>
      </c>
      <c r="M121" s="155">
        <f t="shared" ref="M121:M125" si="133">G121/L121</f>
        <v>0.03308823529</v>
      </c>
      <c r="N121" s="166">
        <v>26.69</v>
      </c>
      <c r="O121" s="166">
        <v>68.97</v>
      </c>
      <c r="P121" s="167">
        <v>3.0</v>
      </c>
      <c r="Q121" s="168">
        <v>4556.0</v>
      </c>
      <c r="R121" s="155">
        <f t="shared" si="1"/>
        <v>0.3869798463</v>
      </c>
      <c r="S121" s="156">
        <f t="shared" si="2"/>
        <v>2.5841139</v>
      </c>
      <c r="T121" s="155" t="str">
        <f>#REF!/#REF!</f>
        <v>#REF!</v>
      </c>
      <c r="U121" s="76"/>
      <c r="V121" s="77"/>
      <c r="W121" s="2"/>
      <c r="X121" s="2"/>
      <c r="Y121" s="2"/>
      <c r="Z121" s="2"/>
    </row>
    <row r="122" hidden="1" outlineLevel="1">
      <c r="A122" s="157" t="str">
        <f>iferror(if(D122&gt;0,month(D122)&amp;"-"&amp;year(D122),D122),)</f>
        <v/>
      </c>
      <c r="B122" s="158"/>
      <c r="C122" s="169" t="s">
        <v>61</v>
      </c>
      <c r="D122" s="170" t="s">
        <v>62</v>
      </c>
      <c r="E122" s="68"/>
      <c r="F122" s="164">
        <v>917.66</v>
      </c>
      <c r="G122" s="171">
        <v>34.0</v>
      </c>
      <c r="H122" s="171">
        <v>34.0</v>
      </c>
      <c r="I122" s="163">
        <f t="shared" si="130"/>
        <v>1</v>
      </c>
      <c r="J122" s="164">
        <f t="shared" si="131"/>
        <v>26.99</v>
      </c>
      <c r="K122" s="164">
        <f t="shared" si="132"/>
        <v>26.99</v>
      </c>
      <c r="L122" s="165">
        <v>493.0</v>
      </c>
      <c r="M122" s="155">
        <f t="shared" si="133"/>
        <v>0.06896551724</v>
      </c>
      <c r="N122" s="172">
        <v>103.99</v>
      </c>
      <c r="O122" s="172">
        <v>80.97</v>
      </c>
      <c r="P122" s="173">
        <v>3.0</v>
      </c>
      <c r="Q122" s="174">
        <v>31848.0</v>
      </c>
      <c r="R122" s="155">
        <f t="shared" si="1"/>
        <v>1.284302828</v>
      </c>
      <c r="S122" s="156">
        <f t="shared" si="2"/>
        <v>0.7786325608</v>
      </c>
      <c r="T122" s="155">
        <f t="shared" ref="T122:T126" si="134">O122/F122</f>
        <v>0.08823529412</v>
      </c>
      <c r="U122" s="76"/>
      <c r="V122" s="77"/>
      <c r="W122" s="2"/>
      <c r="X122" s="2"/>
      <c r="Y122" s="2"/>
      <c r="Z122" s="2"/>
    </row>
    <row r="123" hidden="1" outlineLevel="1">
      <c r="A123" s="175"/>
      <c r="B123" s="158"/>
      <c r="C123" s="176" t="s">
        <v>14</v>
      </c>
      <c r="D123" s="177" t="s">
        <v>15</v>
      </c>
      <c r="E123" s="68"/>
      <c r="F123" s="164">
        <v>299.88</v>
      </c>
      <c r="G123" s="171">
        <v>12.0</v>
      </c>
      <c r="H123" s="171">
        <v>12.0</v>
      </c>
      <c r="I123" s="163">
        <f t="shared" si="130"/>
        <v>1</v>
      </c>
      <c r="J123" s="164">
        <f t="shared" si="131"/>
        <v>24.99</v>
      </c>
      <c r="K123" s="164">
        <f t="shared" si="132"/>
        <v>24.99</v>
      </c>
      <c r="L123" s="165">
        <v>226.0</v>
      </c>
      <c r="M123" s="155">
        <f t="shared" si="133"/>
        <v>0.05309734513</v>
      </c>
      <c r="N123" s="178">
        <v>84.33</v>
      </c>
      <c r="O123" s="178">
        <v>274.89</v>
      </c>
      <c r="P123" s="179">
        <v>11.0</v>
      </c>
      <c r="Q123" s="180">
        <v>21035.0</v>
      </c>
      <c r="R123" s="155">
        <f t="shared" si="1"/>
        <v>0.3067772564</v>
      </c>
      <c r="S123" s="156">
        <f t="shared" si="2"/>
        <v>3.259694059</v>
      </c>
      <c r="T123" s="155">
        <f t="shared" si="134"/>
        <v>0.9166666667</v>
      </c>
      <c r="U123" s="76"/>
      <c r="V123" s="77"/>
      <c r="W123" s="2"/>
      <c r="X123" s="2"/>
      <c r="Y123" s="2"/>
      <c r="Z123" s="2"/>
    </row>
    <row r="124" hidden="1" outlineLevel="1">
      <c r="A124" s="56" t="str">
        <f>iferror(if(B124&gt;0,month(B124)&amp;"-"&amp;year(B124),B124),)</f>
        <v>12-2024</v>
      </c>
      <c r="B124" s="143">
        <v>45633.0</v>
      </c>
      <c r="C124" s="181" t="s">
        <v>63</v>
      </c>
      <c r="D124" s="182" t="s">
        <v>64</v>
      </c>
      <c r="E124" s="68"/>
      <c r="F124" s="164">
        <v>424.83</v>
      </c>
      <c r="G124" s="171">
        <v>17.0</v>
      </c>
      <c r="H124" s="171">
        <v>15.0</v>
      </c>
      <c r="I124" s="163">
        <f t="shared" si="130"/>
        <v>1.133333333</v>
      </c>
      <c r="J124" s="164">
        <f t="shared" si="131"/>
        <v>28.322</v>
      </c>
      <c r="K124" s="164">
        <f t="shared" si="132"/>
        <v>24.99</v>
      </c>
      <c r="L124" s="165">
        <v>329.0</v>
      </c>
      <c r="M124" s="155">
        <f t="shared" si="133"/>
        <v>0.05167173252</v>
      </c>
      <c r="N124" s="183">
        <v>41.39</v>
      </c>
      <c r="O124" s="183">
        <v>124.95</v>
      </c>
      <c r="P124" s="270">
        <v>4.0</v>
      </c>
      <c r="Q124" s="185">
        <v>11047.0</v>
      </c>
      <c r="R124" s="155">
        <f t="shared" si="1"/>
        <v>0.331252501</v>
      </c>
      <c r="S124" s="156">
        <f t="shared" si="2"/>
        <v>3.018845132</v>
      </c>
      <c r="T124" s="155">
        <f t="shared" si="134"/>
        <v>0.2941176471</v>
      </c>
      <c r="U124" s="76"/>
      <c r="V124" s="77"/>
      <c r="W124" s="2"/>
      <c r="X124" s="2"/>
      <c r="Y124" s="2"/>
      <c r="Z124" s="2"/>
    </row>
    <row r="125" collapsed="1">
      <c r="A125" s="101" t="s">
        <v>142</v>
      </c>
      <c r="B125" s="79"/>
      <c r="C125" s="79"/>
      <c r="D125" s="79"/>
      <c r="E125" s="80"/>
      <c r="F125" s="190">
        <f t="shared" ref="F125:H125" si="135">SUM(F120:F124)</f>
        <v>1849.28</v>
      </c>
      <c r="G125" s="191">
        <f t="shared" si="135"/>
        <v>72</v>
      </c>
      <c r="H125" s="191">
        <f t="shared" si="135"/>
        <v>70</v>
      </c>
      <c r="I125" s="192">
        <f t="shared" si="130"/>
        <v>1.028571429</v>
      </c>
      <c r="J125" s="193">
        <f>F125/G125</f>
        <v>25.68444444</v>
      </c>
      <c r="K125" s="193">
        <f>J125/I125</f>
        <v>24.97098765</v>
      </c>
      <c r="L125" s="194">
        <f>SUM(L120:L124)</f>
        <v>1320</v>
      </c>
      <c r="M125" s="195">
        <f t="shared" si="133"/>
        <v>0.05454545455</v>
      </c>
      <c r="N125" s="190">
        <f t="shared" ref="N125:P125" si="136">SUM(N120:N124)</f>
        <v>729.55</v>
      </c>
      <c r="O125" s="190">
        <f t="shared" si="136"/>
        <v>1477.42</v>
      </c>
      <c r="P125" s="196">
        <f t="shared" si="136"/>
        <v>55</v>
      </c>
      <c r="Q125" s="197">
        <f>sum(Q120:Q124)</f>
        <v>216638</v>
      </c>
      <c r="R125" s="195">
        <f t="shared" si="1"/>
        <v>0.4938000027</v>
      </c>
      <c r="S125" s="198">
        <f t="shared" si="2"/>
        <v>2.02511137</v>
      </c>
      <c r="T125" s="199">
        <f t="shared" si="134"/>
        <v>0.798916335</v>
      </c>
      <c r="U125" s="80" t="str">
        <f>iferror((F125-#REF!)/F125,)</f>
        <v/>
      </c>
      <c r="V125" s="90" t="str">
        <f>iferror((H125-#REF!)/H125,)</f>
        <v/>
      </c>
      <c r="W125" s="2"/>
      <c r="X125" s="2"/>
      <c r="Y125" s="2"/>
      <c r="Z125" s="2"/>
    </row>
    <row r="126" hidden="1" outlineLevel="1">
      <c r="A126" s="56" t="str">
        <f>iferror(if(B126&gt;0,month(B126)&amp;"-"&amp;year(B126),B126),)</f>
        <v>12-2024</v>
      </c>
      <c r="B126" s="143">
        <v>45634.0</v>
      </c>
      <c r="C126" s="144"/>
      <c r="D126" s="145" t="s">
        <v>60</v>
      </c>
      <c r="E126" s="58"/>
      <c r="F126" s="146"/>
      <c r="G126" s="147"/>
      <c r="H126" s="147"/>
      <c r="I126" s="148"/>
      <c r="J126" s="149"/>
      <c r="K126" s="149"/>
      <c r="L126" s="150"/>
      <c r="M126" s="151"/>
      <c r="N126" s="152">
        <v>448.1</v>
      </c>
      <c r="O126" s="152">
        <v>1417.44</v>
      </c>
      <c r="P126" s="153">
        <v>49.0</v>
      </c>
      <c r="Q126" s="154">
        <v>124347.0</v>
      </c>
      <c r="R126" s="155">
        <f t="shared" si="1"/>
        <v>0.3161333108</v>
      </c>
      <c r="S126" s="156">
        <f t="shared" si="2"/>
        <v>3.163222495</v>
      </c>
      <c r="T126" s="155" t="str">
        <f t="shared" si="134"/>
        <v>#DIV/0!</v>
      </c>
      <c r="U126" s="76"/>
      <c r="V126" s="77"/>
      <c r="W126" s="2"/>
      <c r="X126" s="2"/>
      <c r="Y126" s="2"/>
      <c r="Z126" s="2"/>
    </row>
    <row r="127" hidden="1" outlineLevel="1">
      <c r="A127" s="157"/>
      <c r="B127" s="158"/>
      <c r="C127" s="159" t="s">
        <v>12</v>
      </c>
      <c r="D127" s="160" t="s">
        <v>13</v>
      </c>
      <c r="E127" s="58"/>
      <c r="F127" s="161">
        <v>482.79</v>
      </c>
      <c r="G127" s="162">
        <v>21.0</v>
      </c>
      <c r="H127" s="162">
        <v>20.0</v>
      </c>
      <c r="I127" s="163">
        <f t="shared" ref="I127:I131" si="137">G127/H127</f>
        <v>1.05</v>
      </c>
      <c r="J127" s="164">
        <f t="shared" ref="J127:J130" si="138">F127/H127</f>
        <v>24.1395</v>
      </c>
      <c r="K127" s="164">
        <f t="shared" ref="K127:K130" si="139">F127/G127</f>
        <v>22.99</v>
      </c>
      <c r="L127" s="165">
        <v>222.0</v>
      </c>
      <c r="M127" s="155">
        <f t="shared" ref="M127:M131" si="140">G127/L127</f>
        <v>0.09459459459</v>
      </c>
      <c r="N127" s="166">
        <v>12.69</v>
      </c>
      <c r="O127" s="166">
        <v>0.0</v>
      </c>
      <c r="P127" s="167">
        <v>0.0</v>
      </c>
      <c r="Q127" s="168">
        <v>3346.0</v>
      </c>
      <c r="R127" s="155" t="str">
        <f t="shared" si="1"/>
        <v>#DIV/0!</v>
      </c>
      <c r="S127" s="156">
        <f t="shared" si="2"/>
        <v>0</v>
      </c>
      <c r="T127" s="155" t="str">
        <f>#REF!/#REF!</f>
        <v>#REF!</v>
      </c>
      <c r="U127" s="76"/>
      <c r="V127" s="77"/>
      <c r="W127" s="2"/>
      <c r="X127" s="2"/>
      <c r="Y127" s="2"/>
      <c r="Z127" s="2"/>
    </row>
    <row r="128" hidden="1" outlineLevel="1">
      <c r="A128" s="157" t="str">
        <f>iferror(if(D128&gt;0,month(D128)&amp;"-"&amp;year(D128),D128),)</f>
        <v/>
      </c>
      <c r="B128" s="158"/>
      <c r="C128" s="169" t="s">
        <v>61</v>
      </c>
      <c r="D128" s="170" t="s">
        <v>62</v>
      </c>
      <c r="E128" s="68"/>
      <c r="F128" s="164">
        <v>1025.62</v>
      </c>
      <c r="G128" s="171">
        <v>38.0</v>
      </c>
      <c r="H128" s="171">
        <v>33.0</v>
      </c>
      <c r="I128" s="163">
        <f t="shared" si="137"/>
        <v>1.151515152</v>
      </c>
      <c r="J128" s="164">
        <f t="shared" si="138"/>
        <v>31.07939394</v>
      </c>
      <c r="K128" s="164">
        <f t="shared" si="139"/>
        <v>26.99</v>
      </c>
      <c r="L128" s="165">
        <v>397.0</v>
      </c>
      <c r="M128" s="155">
        <f t="shared" si="140"/>
        <v>0.09571788413</v>
      </c>
      <c r="N128" s="172">
        <v>56.7</v>
      </c>
      <c r="O128" s="172">
        <v>107.96</v>
      </c>
      <c r="P128" s="173">
        <v>3.0</v>
      </c>
      <c r="Q128" s="174">
        <v>12824.0</v>
      </c>
      <c r="R128" s="155">
        <f t="shared" si="1"/>
        <v>0.5251945165</v>
      </c>
      <c r="S128" s="156">
        <f t="shared" si="2"/>
        <v>1.904056437</v>
      </c>
      <c r="T128" s="155">
        <f t="shared" ref="T128:T132" si="141">O128/F128</f>
        <v>0.1052631579</v>
      </c>
      <c r="U128" s="76"/>
      <c r="V128" s="77"/>
      <c r="W128" s="2"/>
      <c r="X128" s="2"/>
      <c r="Y128" s="2"/>
      <c r="Z128" s="2"/>
    </row>
    <row r="129" hidden="1" outlineLevel="1">
      <c r="A129" s="175"/>
      <c r="B129" s="158"/>
      <c r="C129" s="176" t="s">
        <v>14</v>
      </c>
      <c r="D129" s="177" t="s">
        <v>15</v>
      </c>
      <c r="E129" s="68"/>
      <c r="F129" s="164">
        <v>324.87</v>
      </c>
      <c r="G129" s="171">
        <v>13.0</v>
      </c>
      <c r="H129" s="171">
        <v>13.0</v>
      </c>
      <c r="I129" s="163">
        <f t="shared" si="137"/>
        <v>1</v>
      </c>
      <c r="J129" s="164">
        <f t="shared" si="138"/>
        <v>24.99</v>
      </c>
      <c r="K129" s="164">
        <f t="shared" si="139"/>
        <v>24.99</v>
      </c>
      <c r="L129" s="165">
        <v>272.0</v>
      </c>
      <c r="M129" s="155">
        <f t="shared" si="140"/>
        <v>0.04779411765</v>
      </c>
      <c r="N129" s="178">
        <v>183.96</v>
      </c>
      <c r="O129" s="178">
        <v>226.91</v>
      </c>
      <c r="P129" s="179">
        <v>9.0</v>
      </c>
      <c r="Q129" s="180">
        <v>22589.0</v>
      </c>
      <c r="R129" s="155">
        <f t="shared" si="1"/>
        <v>0.8107179058</v>
      </c>
      <c r="S129" s="156">
        <f t="shared" si="2"/>
        <v>1.233474668</v>
      </c>
      <c r="T129" s="155">
        <f t="shared" si="141"/>
        <v>0.698464001</v>
      </c>
      <c r="U129" s="76"/>
      <c r="V129" s="77"/>
      <c r="W129" s="2"/>
      <c r="X129" s="2"/>
      <c r="Y129" s="2"/>
      <c r="Z129" s="2"/>
    </row>
    <row r="130" hidden="1" outlineLevel="1">
      <c r="A130" s="56" t="str">
        <f>iferror(if(B130&gt;0,month(B130)&amp;"-"&amp;year(B130),B130),)</f>
        <v>12-2024</v>
      </c>
      <c r="B130" s="143">
        <v>45640.0</v>
      </c>
      <c r="C130" s="181" t="s">
        <v>63</v>
      </c>
      <c r="D130" s="182" t="s">
        <v>64</v>
      </c>
      <c r="E130" s="68"/>
      <c r="F130" s="164">
        <v>599.76</v>
      </c>
      <c r="G130" s="171">
        <v>24.0</v>
      </c>
      <c r="H130" s="171">
        <v>20.0</v>
      </c>
      <c r="I130" s="163">
        <f t="shared" si="137"/>
        <v>1.2</v>
      </c>
      <c r="J130" s="164">
        <f t="shared" si="138"/>
        <v>29.988</v>
      </c>
      <c r="K130" s="164">
        <f t="shared" si="139"/>
        <v>24.99</v>
      </c>
      <c r="L130" s="165">
        <v>280.0</v>
      </c>
      <c r="M130" s="155">
        <f t="shared" si="140"/>
        <v>0.08571428571</v>
      </c>
      <c r="N130" s="183">
        <v>43.64</v>
      </c>
      <c r="O130" s="183">
        <v>24.99</v>
      </c>
      <c r="P130" s="270">
        <v>1.0</v>
      </c>
      <c r="Q130" s="185">
        <v>11179.0</v>
      </c>
      <c r="R130" s="155">
        <f t="shared" si="1"/>
        <v>1.746298519</v>
      </c>
      <c r="S130" s="156">
        <f t="shared" si="2"/>
        <v>0.57263978</v>
      </c>
      <c r="T130" s="155">
        <f t="shared" si="141"/>
        <v>0.04166666667</v>
      </c>
      <c r="U130" s="76"/>
      <c r="V130" s="77"/>
      <c r="W130" s="2"/>
      <c r="X130" s="2"/>
      <c r="Y130" s="2"/>
      <c r="Z130" s="2"/>
    </row>
    <row r="131" collapsed="1">
      <c r="A131" s="101" t="s">
        <v>143</v>
      </c>
      <c r="B131" s="79"/>
      <c r="C131" s="79"/>
      <c r="D131" s="79"/>
      <c r="E131" s="80"/>
      <c r="F131" s="190">
        <f t="shared" ref="F131:H131" si="142">SUM(F126:F130)</f>
        <v>2433.04</v>
      </c>
      <c r="G131" s="191">
        <f t="shared" si="142"/>
        <v>96</v>
      </c>
      <c r="H131" s="191">
        <f t="shared" si="142"/>
        <v>86</v>
      </c>
      <c r="I131" s="192">
        <f t="shared" si="137"/>
        <v>1.11627907</v>
      </c>
      <c r="J131" s="193">
        <f>F131/G131</f>
        <v>25.34416667</v>
      </c>
      <c r="K131" s="193">
        <f>J131/I131</f>
        <v>22.70414931</v>
      </c>
      <c r="L131" s="194">
        <f>SUM(L126:L130)</f>
        <v>1171</v>
      </c>
      <c r="M131" s="195">
        <f t="shared" si="140"/>
        <v>0.08198121264</v>
      </c>
      <c r="N131" s="190">
        <f t="shared" ref="N131:P131" si="143">SUM(N126:N130)</f>
        <v>745.09</v>
      </c>
      <c r="O131" s="190">
        <f t="shared" si="143"/>
        <v>1777.3</v>
      </c>
      <c r="P131" s="196">
        <f t="shared" si="143"/>
        <v>62</v>
      </c>
      <c r="Q131" s="197">
        <f>sum(Q126:Q130)</f>
        <v>174285</v>
      </c>
      <c r="R131" s="195">
        <f t="shared" si="1"/>
        <v>0.4192257919</v>
      </c>
      <c r="S131" s="198">
        <f t="shared" si="2"/>
        <v>2.385349421</v>
      </c>
      <c r="T131" s="199">
        <f t="shared" si="141"/>
        <v>0.7304853188</v>
      </c>
      <c r="U131" s="80" t="str">
        <f>iferror((F131-#REF!)/F131,)</f>
        <v/>
      </c>
      <c r="V131" s="90" t="str">
        <f>iferror((H131-#REF!)/H131,)</f>
        <v/>
      </c>
      <c r="W131" s="2"/>
      <c r="X131" s="2"/>
      <c r="Y131" s="2"/>
      <c r="Z131" s="2"/>
    </row>
    <row r="132" hidden="1" outlineLevel="1">
      <c r="A132" s="56" t="str">
        <f>iferror(if(B132&gt;0,month(B132)&amp;"-"&amp;year(B132),B132),)</f>
        <v>12-2024</v>
      </c>
      <c r="B132" s="143">
        <v>45641.0</v>
      </c>
      <c r="C132" s="144"/>
      <c r="D132" s="145" t="s">
        <v>60</v>
      </c>
      <c r="E132" s="58"/>
      <c r="F132" s="146"/>
      <c r="G132" s="147"/>
      <c r="H132" s="147"/>
      <c r="I132" s="148"/>
      <c r="J132" s="149"/>
      <c r="K132" s="149"/>
      <c r="L132" s="150"/>
      <c r="M132" s="151"/>
      <c r="N132" s="152">
        <v>359.71</v>
      </c>
      <c r="O132" s="152">
        <v>547.78</v>
      </c>
      <c r="P132" s="153">
        <v>22.0</v>
      </c>
      <c r="Q132" s="154">
        <v>102167.0</v>
      </c>
      <c r="R132" s="155">
        <f t="shared" si="1"/>
        <v>0.6566687356</v>
      </c>
      <c r="S132" s="156">
        <f t="shared" si="2"/>
        <v>1.522837842</v>
      </c>
      <c r="T132" s="155" t="str">
        <f t="shared" si="141"/>
        <v>#DIV/0!</v>
      </c>
      <c r="U132" s="76"/>
      <c r="V132" s="77"/>
      <c r="W132" s="2"/>
      <c r="X132" s="2"/>
      <c r="Y132" s="2"/>
      <c r="Z132" s="2"/>
    </row>
    <row r="133" hidden="1" outlineLevel="1">
      <c r="A133" s="157"/>
      <c r="B133" s="158"/>
      <c r="C133" s="159" t="s">
        <v>12</v>
      </c>
      <c r="D133" s="160" t="s">
        <v>13</v>
      </c>
      <c r="E133" s="58"/>
      <c r="F133" s="161">
        <v>275.88</v>
      </c>
      <c r="G133" s="162">
        <v>12.0</v>
      </c>
      <c r="H133" s="162">
        <v>12.0</v>
      </c>
      <c r="I133" s="163">
        <f t="shared" ref="I133:I137" si="144">G133/H133</f>
        <v>1</v>
      </c>
      <c r="J133" s="164">
        <f t="shared" ref="J133:J136" si="145">F133/H133</f>
        <v>22.99</v>
      </c>
      <c r="K133" s="164">
        <f t="shared" ref="K133:K136" si="146">F133/G133</f>
        <v>22.99</v>
      </c>
      <c r="L133" s="165">
        <v>193.0</v>
      </c>
      <c r="M133" s="155">
        <f t="shared" ref="M133:M137" si="147">G133/L133</f>
        <v>0.0621761658</v>
      </c>
      <c r="N133" s="166">
        <v>6.62</v>
      </c>
      <c r="O133" s="166">
        <v>0.0</v>
      </c>
      <c r="P133" s="167">
        <v>0.0</v>
      </c>
      <c r="Q133" s="168">
        <v>2166.0</v>
      </c>
      <c r="R133" s="155" t="str">
        <f t="shared" si="1"/>
        <v>#DIV/0!</v>
      </c>
      <c r="S133" s="156">
        <f t="shared" si="2"/>
        <v>0</v>
      </c>
      <c r="T133" s="155" t="str">
        <f>#REF!/#REF!</f>
        <v>#REF!</v>
      </c>
      <c r="U133" s="76"/>
      <c r="V133" s="77"/>
      <c r="W133" s="2"/>
      <c r="X133" s="2"/>
      <c r="Y133" s="2"/>
      <c r="Z133" s="2"/>
    </row>
    <row r="134" hidden="1" outlineLevel="1">
      <c r="A134" s="157" t="str">
        <f>iferror(if(D134&gt;0,month(D134)&amp;"-"&amp;year(D134),D134),)</f>
        <v/>
      </c>
      <c r="B134" s="158"/>
      <c r="C134" s="169" t="s">
        <v>61</v>
      </c>
      <c r="D134" s="170" t="s">
        <v>62</v>
      </c>
      <c r="E134" s="68"/>
      <c r="F134" s="164">
        <v>566.79</v>
      </c>
      <c r="G134" s="171">
        <v>21.0</v>
      </c>
      <c r="H134" s="171">
        <v>17.0</v>
      </c>
      <c r="I134" s="163">
        <f t="shared" si="144"/>
        <v>1.235294118</v>
      </c>
      <c r="J134" s="164">
        <f t="shared" si="145"/>
        <v>33.34058824</v>
      </c>
      <c r="K134" s="164">
        <f t="shared" si="146"/>
        <v>26.99</v>
      </c>
      <c r="L134" s="165">
        <v>357.0</v>
      </c>
      <c r="M134" s="155">
        <f t="shared" si="147"/>
        <v>0.05882352941</v>
      </c>
      <c r="N134" s="172">
        <v>23.44</v>
      </c>
      <c r="O134" s="172">
        <v>53.98</v>
      </c>
      <c r="P134" s="173">
        <v>2.0</v>
      </c>
      <c r="Q134" s="174">
        <v>10255.0</v>
      </c>
      <c r="R134" s="155">
        <f t="shared" si="1"/>
        <v>0.4342349018</v>
      </c>
      <c r="S134" s="156">
        <f t="shared" si="2"/>
        <v>2.302901024</v>
      </c>
      <c r="T134" s="155">
        <f t="shared" ref="T134:T138" si="148">O134/F134</f>
        <v>0.09523809524</v>
      </c>
      <c r="U134" s="76"/>
      <c r="V134" s="77"/>
      <c r="W134" s="2"/>
      <c r="X134" s="2"/>
      <c r="Y134" s="2"/>
      <c r="Z134" s="2"/>
    </row>
    <row r="135" hidden="1" outlineLevel="1">
      <c r="A135" s="175"/>
      <c r="B135" s="158"/>
      <c r="C135" s="176" t="s">
        <v>14</v>
      </c>
      <c r="D135" s="177" t="s">
        <v>15</v>
      </c>
      <c r="E135" s="68"/>
      <c r="F135" s="164">
        <v>399.84</v>
      </c>
      <c r="G135" s="171">
        <v>16.0</v>
      </c>
      <c r="H135" s="171">
        <v>14.0</v>
      </c>
      <c r="I135" s="163">
        <f t="shared" si="144"/>
        <v>1.142857143</v>
      </c>
      <c r="J135" s="164">
        <f t="shared" si="145"/>
        <v>28.56</v>
      </c>
      <c r="K135" s="164">
        <f t="shared" si="146"/>
        <v>24.99</v>
      </c>
      <c r="L135" s="165">
        <v>256.0</v>
      </c>
      <c r="M135" s="155">
        <f t="shared" si="147"/>
        <v>0.0625</v>
      </c>
      <c r="N135" s="178">
        <v>106.43</v>
      </c>
      <c r="O135" s="178">
        <v>176.93</v>
      </c>
      <c r="P135" s="179">
        <v>7.0</v>
      </c>
      <c r="Q135" s="180">
        <v>21196.0</v>
      </c>
      <c r="R135" s="155">
        <f t="shared" si="1"/>
        <v>0.6015373311</v>
      </c>
      <c r="S135" s="156">
        <f t="shared" si="2"/>
        <v>1.662407216</v>
      </c>
      <c r="T135" s="155">
        <f t="shared" si="148"/>
        <v>0.4425020008</v>
      </c>
      <c r="U135" s="76"/>
      <c r="V135" s="77"/>
      <c r="W135" s="2"/>
      <c r="X135" s="2"/>
      <c r="Y135" s="2"/>
      <c r="Z135" s="2"/>
    </row>
    <row r="136" hidden="1" outlineLevel="1">
      <c r="A136" s="56" t="str">
        <f>iferror(if(B136&gt;0,month(B136)&amp;"-"&amp;year(B136),B136),)</f>
        <v>12-2024</v>
      </c>
      <c r="B136" s="143">
        <v>45647.0</v>
      </c>
      <c r="C136" s="181" t="s">
        <v>63</v>
      </c>
      <c r="D136" s="182" t="s">
        <v>64</v>
      </c>
      <c r="E136" s="68"/>
      <c r="F136" s="164">
        <v>399.84</v>
      </c>
      <c r="G136" s="171">
        <v>16.0</v>
      </c>
      <c r="H136" s="171">
        <v>16.0</v>
      </c>
      <c r="I136" s="163">
        <f t="shared" si="144"/>
        <v>1</v>
      </c>
      <c r="J136" s="164">
        <f t="shared" si="145"/>
        <v>24.99</v>
      </c>
      <c r="K136" s="164">
        <f t="shared" si="146"/>
        <v>24.99</v>
      </c>
      <c r="L136" s="165">
        <v>316.0</v>
      </c>
      <c r="M136" s="155">
        <f t="shared" si="147"/>
        <v>0.05063291139</v>
      </c>
      <c r="N136" s="183">
        <v>29.69</v>
      </c>
      <c r="O136" s="183">
        <v>0.0</v>
      </c>
      <c r="P136" s="184">
        <v>0.0</v>
      </c>
      <c r="Q136" s="185">
        <v>7464.0</v>
      </c>
      <c r="R136" s="155" t="str">
        <f t="shared" si="1"/>
        <v>#DIV/0!</v>
      </c>
      <c r="S136" s="156">
        <f t="shared" si="2"/>
        <v>0</v>
      </c>
      <c r="T136" s="155">
        <f t="shared" si="148"/>
        <v>0</v>
      </c>
      <c r="U136" s="76"/>
      <c r="V136" s="77"/>
      <c r="W136" s="2"/>
      <c r="X136" s="2"/>
      <c r="Y136" s="2"/>
      <c r="Z136" s="2"/>
    </row>
    <row r="137" collapsed="1">
      <c r="A137" s="101" t="s">
        <v>144</v>
      </c>
      <c r="B137" s="79"/>
      <c r="C137" s="79"/>
      <c r="D137" s="79"/>
      <c r="E137" s="80"/>
      <c r="F137" s="190">
        <f t="shared" ref="F137:H137" si="149">SUM(F132:F136)</f>
        <v>1642.35</v>
      </c>
      <c r="G137" s="191">
        <f t="shared" si="149"/>
        <v>65</v>
      </c>
      <c r="H137" s="191">
        <f t="shared" si="149"/>
        <v>59</v>
      </c>
      <c r="I137" s="192">
        <f t="shared" si="144"/>
        <v>1.101694915</v>
      </c>
      <c r="J137" s="193">
        <f>F137/G137</f>
        <v>25.26692308</v>
      </c>
      <c r="K137" s="193">
        <f>J137/I137</f>
        <v>22.93459172</v>
      </c>
      <c r="L137" s="194">
        <f>SUM(L132:L136)</f>
        <v>1122</v>
      </c>
      <c r="M137" s="195">
        <f t="shared" si="147"/>
        <v>0.05793226381</v>
      </c>
      <c r="N137" s="190">
        <f t="shared" ref="N137:P137" si="150">SUM(N132:N136)</f>
        <v>525.89</v>
      </c>
      <c r="O137" s="190">
        <f t="shared" si="150"/>
        <v>778.69</v>
      </c>
      <c r="P137" s="196">
        <f t="shared" si="150"/>
        <v>31</v>
      </c>
      <c r="Q137" s="197">
        <f>sum(Q132:Q136)</f>
        <v>143248</v>
      </c>
      <c r="R137" s="195">
        <f t="shared" si="1"/>
        <v>0.6753521941</v>
      </c>
      <c r="S137" s="198">
        <f t="shared" si="2"/>
        <v>1.480708893</v>
      </c>
      <c r="T137" s="199">
        <f t="shared" si="148"/>
        <v>0.4741315797</v>
      </c>
      <c r="U137" s="80" t="str">
        <f>iferror((F137-#REF!)/F137,)</f>
        <v/>
      </c>
      <c r="V137" s="90" t="str">
        <f>iferror((H137-#REF!)/H137,)</f>
        <v/>
      </c>
      <c r="W137" s="2"/>
      <c r="X137" s="2"/>
      <c r="Y137" s="2"/>
      <c r="Z137" s="2"/>
    </row>
    <row r="138">
      <c r="A138" s="56" t="str">
        <f>iferror(if(B138&gt;0,month(B138)&amp;"-"&amp;year(B138),B138),)</f>
        <v>12-2024</v>
      </c>
      <c r="B138" s="227">
        <v>45648.0</v>
      </c>
      <c r="C138" s="144"/>
      <c r="D138" s="228" t="s">
        <v>60</v>
      </c>
      <c r="E138" s="58"/>
      <c r="F138" s="146"/>
      <c r="G138" s="147"/>
      <c r="H138" s="147"/>
      <c r="I138" s="148"/>
      <c r="J138" s="149"/>
      <c r="K138" s="149"/>
      <c r="L138" s="150"/>
      <c r="M138" s="151"/>
      <c r="N138" s="229">
        <v>363.6</v>
      </c>
      <c r="O138" s="229">
        <v>901.64</v>
      </c>
      <c r="P138" s="230">
        <v>33.0</v>
      </c>
      <c r="Q138" s="231">
        <v>102249.0</v>
      </c>
      <c r="R138" s="155">
        <f t="shared" si="1"/>
        <v>0.4032651613</v>
      </c>
      <c r="S138" s="156">
        <f t="shared" si="2"/>
        <v>2.479757976</v>
      </c>
      <c r="T138" s="155" t="str">
        <f t="shared" si="148"/>
        <v>#DIV/0!</v>
      </c>
      <c r="U138" s="76"/>
      <c r="V138" s="77"/>
      <c r="W138" s="2"/>
      <c r="X138" s="2"/>
    </row>
    <row r="139">
      <c r="A139" s="157"/>
      <c r="B139" s="158"/>
      <c r="C139" s="232" t="s">
        <v>12</v>
      </c>
      <c r="D139" s="232" t="s">
        <v>13</v>
      </c>
      <c r="E139" s="58"/>
      <c r="F139" s="233">
        <v>91.96</v>
      </c>
      <c r="G139" s="234">
        <v>4.0</v>
      </c>
      <c r="H139" s="234">
        <v>4.0</v>
      </c>
      <c r="I139" s="71">
        <f t="shared" ref="I139:I143" si="151">G139/H139</f>
        <v>1</v>
      </c>
      <c r="J139" s="69">
        <f t="shared" ref="J139:J142" si="152">F139/H139</f>
        <v>22.99</v>
      </c>
      <c r="K139" s="69">
        <f t="shared" ref="K139:K142" si="153">F139/G139</f>
        <v>22.99</v>
      </c>
      <c r="L139" s="236">
        <v>151.0</v>
      </c>
      <c r="M139" s="73">
        <f t="shared" ref="M139:M143" si="154">G139/L139</f>
        <v>0.02649006623</v>
      </c>
      <c r="N139" s="237">
        <v>6.46</v>
      </c>
      <c r="O139" s="237">
        <v>0.0</v>
      </c>
      <c r="P139" s="238">
        <v>0.0</v>
      </c>
      <c r="Q139" s="239">
        <v>2564.0</v>
      </c>
      <c r="R139" s="155" t="str">
        <f t="shared" si="1"/>
        <v>#DIV/0!</v>
      </c>
      <c r="S139" s="156">
        <f t="shared" si="2"/>
        <v>0</v>
      </c>
      <c r="T139" s="155" t="str">
        <f>#REF!/#REF!</f>
        <v>#REF!</v>
      </c>
      <c r="U139" s="76"/>
      <c r="V139" s="77"/>
      <c r="W139" s="2"/>
      <c r="X139" s="2"/>
    </row>
    <row r="140">
      <c r="A140" s="157" t="str">
        <f>iferror(if(D140&gt;0,month(D140)&amp;"-"&amp;year(D140),D140),)</f>
        <v/>
      </c>
      <c r="B140" s="158"/>
      <c r="C140" s="240" t="s">
        <v>61</v>
      </c>
      <c r="D140" s="240" t="s">
        <v>62</v>
      </c>
      <c r="E140" s="68"/>
      <c r="F140" s="235">
        <v>323.88</v>
      </c>
      <c r="G140" s="241">
        <v>13.0</v>
      </c>
      <c r="H140" s="241">
        <v>11.0</v>
      </c>
      <c r="I140" s="71">
        <f t="shared" si="151"/>
        <v>1.181818182</v>
      </c>
      <c r="J140" s="69">
        <f t="shared" si="152"/>
        <v>29.44363636</v>
      </c>
      <c r="K140" s="69">
        <f t="shared" si="153"/>
        <v>24.91384615</v>
      </c>
      <c r="L140" s="236">
        <v>270.0</v>
      </c>
      <c r="M140" s="73">
        <f t="shared" si="154"/>
        <v>0.04814814815</v>
      </c>
      <c r="N140" s="242">
        <v>15.08</v>
      </c>
      <c r="O140" s="242">
        <v>26.99</v>
      </c>
      <c r="P140" s="243">
        <v>1.0</v>
      </c>
      <c r="Q140" s="244">
        <v>5920.0</v>
      </c>
      <c r="R140" s="155">
        <f t="shared" si="1"/>
        <v>0.5587254539</v>
      </c>
      <c r="S140" s="156">
        <f t="shared" si="2"/>
        <v>1.789787798</v>
      </c>
      <c r="T140" s="155">
        <f t="shared" ref="T140:T144" si="155">O140/F140</f>
        <v>0.08333333333</v>
      </c>
      <c r="U140" s="76"/>
      <c r="V140" s="77"/>
      <c r="W140" s="2"/>
      <c r="X140" s="2"/>
    </row>
    <row r="141">
      <c r="A141" s="56"/>
      <c r="B141" s="227"/>
      <c r="C141" s="245" t="s">
        <v>14</v>
      </c>
      <c r="D141" s="245" t="s">
        <v>15</v>
      </c>
      <c r="E141" s="68"/>
      <c r="F141" s="235">
        <v>299.88</v>
      </c>
      <c r="G141" s="241">
        <v>12.0</v>
      </c>
      <c r="H141" s="241">
        <v>12.0</v>
      </c>
      <c r="I141" s="71">
        <f t="shared" si="151"/>
        <v>1</v>
      </c>
      <c r="J141" s="69">
        <f t="shared" si="152"/>
        <v>24.99</v>
      </c>
      <c r="K141" s="69">
        <f t="shared" si="153"/>
        <v>24.99</v>
      </c>
      <c r="L141" s="236">
        <v>189.0</v>
      </c>
      <c r="M141" s="73">
        <f t="shared" si="154"/>
        <v>0.06349206349</v>
      </c>
      <c r="N141" s="246">
        <v>45.22</v>
      </c>
      <c r="O141" s="246">
        <v>99.96</v>
      </c>
      <c r="P141" s="247">
        <v>4.0</v>
      </c>
      <c r="Q141" s="248">
        <v>9200.0</v>
      </c>
      <c r="R141" s="155">
        <f t="shared" si="1"/>
        <v>0.4523809524</v>
      </c>
      <c r="S141" s="156">
        <f t="shared" si="2"/>
        <v>2.210526316</v>
      </c>
      <c r="T141" s="155">
        <f t="shared" si="155"/>
        <v>0.3333333333</v>
      </c>
      <c r="U141" s="76"/>
      <c r="V141" s="77"/>
      <c r="W141" s="2"/>
      <c r="X141" s="2"/>
    </row>
    <row r="142">
      <c r="A142" s="56" t="str">
        <f>iferror(if(B142&gt;0,month(B142)&amp;"-"&amp;year(B142),B142),)</f>
        <v>12-2024</v>
      </c>
      <c r="B142" s="227">
        <v>45654.0</v>
      </c>
      <c r="C142" s="249" t="s">
        <v>63</v>
      </c>
      <c r="D142" s="249" t="s">
        <v>64</v>
      </c>
      <c r="E142" s="68"/>
      <c r="F142" s="235">
        <v>524.79</v>
      </c>
      <c r="G142" s="241">
        <v>22.0</v>
      </c>
      <c r="H142" s="241">
        <v>18.0</v>
      </c>
      <c r="I142" s="71">
        <f t="shared" si="151"/>
        <v>1.222222222</v>
      </c>
      <c r="J142" s="69">
        <f t="shared" si="152"/>
        <v>29.155</v>
      </c>
      <c r="K142" s="69">
        <f t="shared" si="153"/>
        <v>23.85409091</v>
      </c>
      <c r="L142" s="236">
        <v>270.0</v>
      </c>
      <c r="M142" s="73">
        <f t="shared" si="154"/>
        <v>0.08148148148</v>
      </c>
      <c r="N142" s="250">
        <v>26.59</v>
      </c>
      <c r="O142" s="250">
        <v>99.96</v>
      </c>
      <c r="P142" s="251">
        <v>3.0</v>
      </c>
      <c r="Q142" s="252">
        <v>7230.0</v>
      </c>
      <c r="R142" s="155">
        <f t="shared" si="1"/>
        <v>0.2660064026</v>
      </c>
      <c r="S142" s="156">
        <f t="shared" si="2"/>
        <v>3.759308011</v>
      </c>
      <c r="T142" s="155">
        <f t="shared" si="155"/>
        <v>0.1904761905</v>
      </c>
      <c r="U142" s="76"/>
      <c r="V142" s="77"/>
      <c r="W142" s="2"/>
      <c r="X142" s="2"/>
    </row>
    <row r="143">
      <c r="A143" s="256" t="s">
        <v>55</v>
      </c>
      <c r="B143" s="79"/>
      <c r="C143" s="79"/>
      <c r="D143" s="79"/>
      <c r="E143" s="80"/>
      <c r="F143" s="81">
        <f t="shared" ref="F143:H143" si="156">SUM(F138:F142)</f>
        <v>1240.51</v>
      </c>
      <c r="G143" s="256">
        <f t="shared" si="156"/>
        <v>51</v>
      </c>
      <c r="H143" s="256">
        <f t="shared" si="156"/>
        <v>45</v>
      </c>
      <c r="I143" s="257">
        <f t="shared" si="151"/>
        <v>1.133333333</v>
      </c>
      <c r="J143" s="84">
        <f>F143/G143</f>
        <v>24.32372549</v>
      </c>
      <c r="K143" s="84">
        <f>J143/I143</f>
        <v>21.46211073</v>
      </c>
      <c r="L143" s="85">
        <f>SUM(L138:L142)</f>
        <v>880</v>
      </c>
      <c r="M143" s="86">
        <f t="shared" si="154"/>
        <v>0.05795454545</v>
      </c>
      <c r="N143" s="81">
        <f t="shared" ref="N143:P143" si="157">SUM(N138:N142)</f>
        <v>456.95</v>
      </c>
      <c r="O143" s="81">
        <f t="shared" si="157"/>
        <v>1128.55</v>
      </c>
      <c r="P143" s="256">
        <f t="shared" si="157"/>
        <v>41</v>
      </c>
      <c r="Q143" s="258">
        <f>sum(Q138:Q142)</f>
        <v>127163</v>
      </c>
      <c r="R143" s="86">
        <f t="shared" si="1"/>
        <v>0.404900093</v>
      </c>
      <c r="S143" s="259">
        <f t="shared" si="2"/>
        <v>2.469745049</v>
      </c>
      <c r="T143" s="89">
        <f t="shared" si="155"/>
        <v>0.9097467977</v>
      </c>
      <c r="U143" s="80" t="str">
        <f>iferror((F143-#REF!)/F143,)</f>
        <v/>
      </c>
      <c r="V143" s="90" t="str">
        <f>iferror((H143-#REF!)/H143,)</f>
        <v/>
      </c>
      <c r="W143" s="2"/>
      <c r="X143" s="2"/>
    </row>
    <row r="144">
      <c r="A144" s="56" t="str">
        <f>iferror(if(B144&gt;0,month(B144)&amp;"-"&amp;year(B144),B144),)</f>
        <v>12-2024</v>
      </c>
      <c r="B144" s="227">
        <v>45655.0</v>
      </c>
      <c r="C144" s="144"/>
      <c r="D144" s="228" t="s">
        <v>60</v>
      </c>
      <c r="E144" s="58"/>
      <c r="F144" s="146"/>
      <c r="G144" s="147"/>
      <c r="H144" s="147"/>
      <c r="I144" s="148"/>
      <c r="J144" s="149"/>
      <c r="K144" s="149"/>
      <c r="L144" s="150"/>
      <c r="M144" s="151"/>
      <c r="N144" s="229">
        <v>557.49</v>
      </c>
      <c r="O144" s="229">
        <v>1220.51</v>
      </c>
      <c r="P144" s="230">
        <v>46.0</v>
      </c>
      <c r="Q144" s="231">
        <v>153711.0</v>
      </c>
      <c r="R144" s="155">
        <f t="shared" si="1"/>
        <v>0.4567680724</v>
      </c>
      <c r="S144" s="156">
        <f t="shared" si="2"/>
        <v>2.189294875</v>
      </c>
      <c r="T144" s="155" t="str">
        <f t="shared" si="155"/>
        <v>#DIV/0!</v>
      </c>
      <c r="U144" s="76"/>
      <c r="V144" s="77"/>
      <c r="W144" s="2"/>
      <c r="X144" s="2"/>
    </row>
    <row r="145">
      <c r="A145" s="157"/>
      <c r="B145" s="158"/>
      <c r="C145" s="232" t="s">
        <v>12</v>
      </c>
      <c r="D145" s="232" t="s">
        <v>13</v>
      </c>
      <c r="E145" s="58"/>
      <c r="F145" s="233">
        <v>482.79</v>
      </c>
      <c r="G145" s="234">
        <v>21.0</v>
      </c>
      <c r="H145" s="234">
        <v>18.0</v>
      </c>
      <c r="I145" s="71">
        <f t="shared" ref="I145:I149" si="158">G145/H145</f>
        <v>1.166666667</v>
      </c>
      <c r="J145" s="69">
        <f t="shared" ref="J145:J148" si="159">F145/H145</f>
        <v>26.82166667</v>
      </c>
      <c r="K145" s="69">
        <f t="shared" ref="K145:K148" si="160">F145/G145</f>
        <v>22.99</v>
      </c>
      <c r="L145" s="236">
        <v>279.0</v>
      </c>
      <c r="M145" s="73">
        <f t="shared" ref="M145:M149" si="161">G145/L145</f>
        <v>0.0752688172</v>
      </c>
      <c r="N145" s="237">
        <v>6.95</v>
      </c>
      <c r="O145" s="237">
        <v>45.98</v>
      </c>
      <c r="P145" s="238">
        <v>1.0</v>
      </c>
      <c r="Q145" s="239">
        <v>3386.0</v>
      </c>
      <c r="R145" s="155">
        <f t="shared" si="1"/>
        <v>0.1511526751</v>
      </c>
      <c r="S145" s="156">
        <f t="shared" si="2"/>
        <v>6.615827338</v>
      </c>
      <c r="T145" s="155" t="str">
        <f>#REF!/#REF!</f>
        <v>#REF!</v>
      </c>
      <c r="U145" s="76"/>
      <c r="V145" s="77"/>
      <c r="W145" s="2"/>
      <c r="X145" s="2"/>
    </row>
    <row r="146">
      <c r="A146" s="157" t="str">
        <f>iferror(if(D146&gt;0,month(D146)&amp;"-"&amp;year(D146),D146),)</f>
        <v/>
      </c>
      <c r="B146" s="158"/>
      <c r="C146" s="240" t="s">
        <v>61</v>
      </c>
      <c r="D146" s="240" t="s">
        <v>62</v>
      </c>
      <c r="E146" s="68"/>
      <c r="F146" s="235">
        <v>512.81</v>
      </c>
      <c r="G146" s="241">
        <v>19.0</v>
      </c>
      <c r="H146" s="241">
        <v>18.0</v>
      </c>
      <c r="I146" s="71">
        <f t="shared" si="158"/>
        <v>1.055555556</v>
      </c>
      <c r="J146" s="69">
        <f t="shared" si="159"/>
        <v>28.48944444</v>
      </c>
      <c r="K146" s="69">
        <f t="shared" si="160"/>
        <v>26.99</v>
      </c>
      <c r="L146" s="236">
        <v>559.0</v>
      </c>
      <c r="M146" s="73">
        <f t="shared" si="161"/>
        <v>0.03398926655</v>
      </c>
      <c r="N146" s="242">
        <v>132.45</v>
      </c>
      <c r="O146" s="242">
        <v>107.96</v>
      </c>
      <c r="P146" s="243">
        <v>4.0</v>
      </c>
      <c r="Q146" s="244">
        <v>39435.0</v>
      </c>
      <c r="R146" s="155">
        <f t="shared" si="1"/>
        <v>1.226843275</v>
      </c>
      <c r="S146" s="156">
        <f t="shared" si="2"/>
        <v>0.8151000378</v>
      </c>
      <c r="T146" s="155">
        <f t="shared" ref="T146:T149" si="162">O146/F146</f>
        <v>0.2105263158</v>
      </c>
      <c r="U146" s="76"/>
      <c r="V146" s="77"/>
      <c r="W146" s="2"/>
      <c r="X146" s="2"/>
    </row>
    <row r="147">
      <c r="A147" s="56"/>
      <c r="B147" s="227"/>
      <c r="C147" s="245" t="s">
        <v>14</v>
      </c>
      <c r="D147" s="245" t="s">
        <v>15</v>
      </c>
      <c r="E147" s="68"/>
      <c r="F147" s="235">
        <v>524.79</v>
      </c>
      <c r="G147" s="241">
        <v>22.0</v>
      </c>
      <c r="H147" s="241">
        <v>20.0</v>
      </c>
      <c r="I147" s="71">
        <f t="shared" si="158"/>
        <v>1.1</v>
      </c>
      <c r="J147" s="69">
        <f t="shared" si="159"/>
        <v>26.2395</v>
      </c>
      <c r="K147" s="69">
        <f t="shared" si="160"/>
        <v>23.85409091</v>
      </c>
      <c r="L147" s="236">
        <v>263.0</v>
      </c>
      <c r="M147" s="73">
        <f t="shared" si="161"/>
        <v>0.08365019011</v>
      </c>
      <c r="N147" s="246">
        <v>60.59</v>
      </c>
      <c r="O147" s="246">
        <v>147.94</v>
      </c>
      <c r="P147" s="247">
        <v>5.0</v>
      </c>
      <c r="Q147" s="248">
        <v>14381.0</v>
      </c>
      <c r="R147" s="155">
        <f t="shared" si="1"/>
        <v>0.4095579289</v>
      </c>
      <c r="S147" s="156">
        <f t="shared" si="2"/>
        <v>2.441657039</v>
      </c>
      <c r="T147" s="155">
        <f t="shared" si="162"/>
        <v>0.2819032375</v>
      </c>
      <c r="U147" s="76"/>
      <c r="V147" s="77"/>
      <c r="W147" s="2"/>
      <c r="X147" s="2"/>
    </row>
    <row r="148">
      <c r="A148" s="56" t="str">
        <f>iferror(if(B148&gt;0,month(B148)&amp;"-"&amp;year(B148),B148),)</f>
        <v>1-2025</v>
      </c>
      <c r="B148" s="227">
        <v>45661.0</v>
      </c>
      <c r="C148" s="249" t="s">
        <v>63</v>
      </c>
      <c r="D148" s="249" t="s">
        <v>64</v>
      </c>
      <c r="E148" s="68"/>
      <c r="F148" s="235">
        <v>724.71</v>
      </c>
      <c r="G148" s="241">
        <v>29.0</v>
      </c>
      <c r="H148" s="241">
        <v>27.0</v>
      </c>
      <c r="I148" s="71">
        <f t="shared" si="158"/>
        <v>1.074074074</v>
      </c>
      <c r="J148" s="69">
        <f t="shared" si="159"/>
        <v>26.84111111</v>
      </c>
      <c r="K148" s="69">
        <f t="shared" si="160"/>
        <v>24.99</v>
      </c>
      <c r="L148" s="236">
        <v>409.0</v>
      </c>
      <c r="M148" s="73">
        <f t="shared" si="161"/>
        <v>0.07090464548</v>
      </c>
      <c r="N148" s="250">
        <v>38.8</v>
      </c>
      <c r="O148" s="250">
        <v>0.0</v>
      </c>
      <c r="P148" s="251">
        <v>0.0</v>
      </c>
      <c r="Q148" s="252">
        <v>9564.0</v>
      </c>
      <c r="R148" s="155" t="str">
        <f t="shared" si="1"/>
        <v>#DIV/0!</v>
      </c>
      <c r="S148" s="156">
        <f t="shared" si="2"/>
        <v>0</v>
      </c>
      <c r="T148" s="155">
        <f t="shared" si="162"/>
        <v>0</v>
      </c>
      <c r="U148" s="76"/>
      <c r="V148" s="77"/>
      <c r="W148" s="2"/>
      <c r="X148" s="2"/>
    </row>
    <row r="149">
      <c r="A149" s="256" t="s">
        <v>56</v>
      </c>
      <c r="B149" s="79"/>
      <c r="C149" s="79"/>
      <c r="D149" s="79"/>
      <c r="E149" s="80"/>
      <c r="F149" s="81">
        <f t="shared" ref="F149:H149" si="163">SUM(F144:F148)</f>
        <v>2245.1</v>
      </c>
      <c r="G149" s="256">
        <f t="shared" si="163"/>
        <v>91</v>
      </c>
      <c r="H149" s="256">
        <f t="shared" si="163"/>
        <v>83</v>
      </c>
      <c r="I149" s="257">
        <f t="shared" si="158"/>
        <v>1.096385542</v>
      </c>
      <c r="J149" s="84">
        <f>F149/G149</f>
        <v>24.67142857</v>
      </c>
      <c r="K149" s="84">
        <f>J149/I149</f>
        <v>22.50251177</v>
      </c>
      <c r="L149" s="85">
        <f>SUM(L144:L148)</f>
        <v>1510</v>
      </c>
      <c r="M149" s="86">
        <f t="shared" si="161"/>
        <v>0.06026490066</v>
      </c>
      <c r="N149" s="81">
        <f t="shared" ref="N149:P149" si="164">SUM(N144:N148)</f>
        <v>796.28</v>
      </c>
      <c r="O149" s="81">
        <f t="shared" si="164"/>
        <v>1522.39</v>
      </c>
      <c r="P149" s="256">
        <f t="shared" si="164"/>
        <v>56</v>
      </c>
      <c r="Q149" s="258">
        <f>sum(Q144:Q148)</f>
        <v>220477</v>
      </c>
      <c r="R149" s="86">
        <f t="shared" si="1"/>
        <v>0.523046</v>
      </c>
      <c r="S149" s="259">
        <f t="shared" si="2"/>
        <v>1.911877731</v>
      </c>
      <c r="T149" s="89">
        <f t="shared" si="162"/>
        <v>0.6780945169</v>
      </c>
      <c r="U149" s="80">
        <f>iferror((F149-F143)/F149,)</f>
        <v>0.4474589105</v>
      </c>
      <c r="V149" s="90">
        <f>iferror((H149-G143)/H149,)</f>
        <v>0.3855421687</v>
      </c>
      <c r="W149" s="2"/>
      <c r="X149" s="2"/>
    </row>
  </sheetData>
  <mergeCells count="26">
    <mergeCell ref="I3:K3"/>
    <mergeCell ref="I4:K4"/>
    <mergeCell ref="E4:G4"/>
    <mergeCell ref="E5:H5"/>
    <mergeCell ref="I5:K5"/>
    <mergeCell ref="L5:N5"/>
    <mergeCell ref="E3:H3"/>
    <mergeCell ref="E7:H7"/>
    <mergeCell ref="I7:K7"/>
    <mergeCell ref="L7:N7"/>
    <mergeCell ref="E8:G8"/>
    <mergeCell ref="I8:K8"/>
    <mergeCell ref="L8:N8"/>
    <mergeCell ref="E9:H9"/>
    <mergeCell ref="I9:K9"/>
    <mergeCell ref="L9:N9"/>
    <mergeCell ref="F10:M10"/>
    <mergeCell ref="N10:T10"/>
    <mergeCell ref="U10:V10"/>
    <mergeCell ref="A1:D1"/>
    <mergeCell ref="A2:V2"/>
    <mergeCell ref="A3:D9"/>
    <mergeCell ref="L3:N3"/>
    <mergeCell ref="O3:O9"/>
    <mergeCell ref="L4:N4"/>
    <mergeCell ref="L6:N6"/>
  </mergeCells>
  <dataValidations>
    <dataValidation type="list" allowBlank="1" sqref="A2 A17 A23 A29 A35 A41 A47 A53 A59 A65 A71 A77 A83 A89 A95 A101 A107 A113 A119 A125 A131 A137 A143 A149">
      <formula1>"Previous Week,Current Week"</formula1>
    </dataValidation>
  </dataValidations>
  <hyperlinks>
    <hyperlink r:id="rId1" location="/report?id=102%3ADetailSalesTrafficBySKU&amp;chartCols=&amp;columns=0%2F1%2F2%2F3%2F8%2F9%2F14%2F15%2F20%2F21%2F26%2F27%2F28%2F29%2F30%2F31%2F32%2F33%2F34%2F35%2F36%2F37&amp;fromDate=2024-12-29&amp;toDate=2025-01-04" ref="A1"/>
  </hyperlinks>
  <drawing r:id="rId2"/>
</worksheet>
</file>